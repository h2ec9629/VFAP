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図書ブロッ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4">
    <numFmt numFmtId="164" formatCode="&quot;L=&quot;0.0_ "/>
    <numFmt numFmtId="165" formatCode="#"/>
    <numFmt numFmtId="166" formatCode="#&quot;枚&quot;;;"/>
    <numFmt numFmtId="167" formatCode="&quot;切断作業&quot;"/>
    <numFmt numFmtId="168" formatCode="yy\,mm\,dd"/>
    <numFmt numFmtId="169" formatCode="#&quot;箱&quot;"/>
    <numFmt numFmtId="170" formatCode="mm&quot;月&quot;dd&quot;日&quot;;;"/>
    <numFmt numFmtId="171" formatCode="&quot;外観検査&quot;#"/>
    <numFmt numFmtId="172" formatCode="0.00_ "/>
    <numFmt numFmtId="173" formatCode="&quot;端&quot;mm/dd;;"/>
    <numFmt numFmtId="174" formatCode="#;;"/>
    <numFmt numFmtId="175" formatCode="&quot;初&quot;mm/dd;;"/>
    <numFmt numFmtId="176" formatCode="mm/dd;;"/>
    <numFmt numFmtId="177" formatCode="&quot;不&quot;mm/dd;;"/>
  </numFmts>
  <fonts count="21">
    <font>
      <name val="Calibri"/>
      <family val="2"/>
      <color theme="1"/>
      <sz val="11"/>
      <scheme val="minor"/>
    </font>
    <font>
      <name val="游ゴシック"/>
      <charset val="128"/>
      <family val="3"/>
      <color theme="0"/>
      <sz val="11"/>
      <scheme val="minor"/>
    </font>
    <font>
      <name val="游ゴシック"/>
      <charset val="128"/>
      <family val="3"/>
      <b val="1"/>
      <color theme="0"/>
      <sz val="12"/>
      <scheme val="minor"/>
    </font>
    <font>
      <name val="游ゴシック"/>
      <charset val="128"/>
      <family val="3"/>
      <color theme="1"/>
      <sz val="12"/>
      <scheme val="minor"/>
    </font>
    <font>
      <name val="游ゴシック"/>
      <charset val="128"/>
      <family val="2"/>
      <color theme="1"/>
      <sz val="11"/>
      <scheme val="minor"/>
    </font>
    <font>
      <name val="游ゴシック"/>
      <charset val="128"/>
      <family val="3"/>
      <sz val="11"/>
      <scheme val="minor"/>
    </font>
    <font>
      <name val="游ゴシック"/>
      <charset val="128"/>
      <family val="3"/>
      <b val="1"/>
      <sz val="12"/>
      <scheme val="minor"/>
    </font>
    <font>
      <name val="游ゴシック"/>
      <charset val="128"/>
      <family val="3"/>
      <b val="1"/>
      <sz val="10"/>
      <scheme val="minor"/>
    </font>
    <font>
      <name val="游ゴシック"/>
      <charset val="128"/>
      <family val="3"/>
      <b val="1"/>
      <sz val="14"/>
      <scheme val="minor"/>
    </font>
    <font>
      <name val="游ゴシック"/>
      <charset val="128"/>
      <family val="3"/>
      <sz val="12"/>
      <scheme val="minor"/>
    </font>
    <font>
      <name val="游ゴシック"/>
      <charset val="128"/>
      <family val="3"/>
      <color theme="0"/>
      <sz val="10"/>
      <scheme val="minor"/>
    </font>
    <font>
      <name val="游ゴシック"/>
      <charset val="128"/>
      <family val="3"/>
      <sz val="12"/>
    </font>
    <font>
      <name val="游ゴシック"/>
      <charset val="128"/>
      <family val="3"/>
      <sz val="9"/>
      <scheme val="minor"/>
    </font>
    <font>
      <name val="游ゴシック"/>
      <charset val="128"/>
      <family val="3"/>
      <sz val="11"/>
    </font>
    <font>
      <name val="游ゴシック"/>
      <charset val="128"/>
      <family val="3"/>
      <b val="1"/>
      <color theme="1"/>
      <sz val="12"/>
      <scheme val="minor"/>
    </font>
    <font>
      <name val="游ゴシック"/>
      <charset val="128"/>
      <family val="3"/>
      <b val="1"/>
      <color theme="0"/>
      <sz val="11"/>
      <scheme val="minor"/>
    </font>
    <font>
      <name val="游ゴシック"/>
      <charset val="128"/>
      <family val="3"/>
      <b val="1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3"/>
      <b val="1"/>
      <color theme="1"/>
      <sz val="9"/>
      <scheme val="minor"/>
    </font>
    <font>
      <name val="游ゴシック"/>
      <charset val="128"/>
      <family val="3"/>
      <color theme="1"/>
      <sz val="9"/>
      <scheme val="minor"/>
    </font>
    <font>
      <name val="ＭＳ Ｐゴシック"/>
      <charset val="128"/>
      <family val="3"/>
      <color theme="1"/>
      <sz val="11"/>
    </font>
  </fonts>
  <fills count="7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thin">
        <color indexed="64"/>
      </bottom>
      <diagonal style="thin">
        <color auto="1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medium">
        <color indexed="64"/>
      </bottom>
      <diagonal style="thin">
        <color auto="1"/>
      </diagonal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2" borderId="1" applyAlignment="1" pivotButton="0" quotePrefix="0" xfId="0">
      <alignment horizontal="center" vertical="center" shrinkToFit="1"/>
    </xf>
    <xf numFmtId="0" fontId="3" fillId="3" borderId="2" applyAlignment="1" pivotButton="0" quotePrefix="0" xfId="0">
      <alignment horizontal="center" vertical="center"/>
    </xf>
    <xf numFmtId="0" fontId="0" fillId="0" borderId="3" pivotButton="0" quotePrefix="0" xfId="0"/>
    <xf numFmtId="0" fontId="3" fillId="3" borderId="4" applyAlignment="1" pivotButton="0" quotePrefix="0" xfId="0">
      <alignment horizontal="center" vertical="center"/>
    </xf>
    <xf numFmtId="49" fontId="5" fillId="3" borderId="5" applyAlignment="1" pivotButton="0" quotePrefix="0" xfId="0">
      <alignment horizontal="center" vertical="center" shrinkToFit="1"/>
    </xf>
    <xf numFmtId="49" fontId="6" fillId="4" borderId="3" applyAlignment="1" pivotButton="0" quotePrefix="0" xfId="0">
      <alignment horizontal="center" vertical="center" shrinkToFit="1"/>
    </xf>
    <xf numFmtId="49" fontId="6" fillId="4" borderId="5" applyAlignment="1" pivotButton="0" quotePrefix="0" xfId="0">
      <alignment horizontal="center" vertical="center" shrinkToFit="1"/>
    </xf>
    <xf numFmtId="49" fontId="6" fillId="4" borderId="2" applyAlignment="1" pivotButton="0" quotePrefix="0" xfId="0">
      <alignment horizontal="center" vertical="center" shrinkToFit="1"/>
    </xf>
    <xf numFmtId="0" fontId="7" fillId="0" borderId="6" applyAlignment="1" pivotButton="0" quotePrefix="0" xfId="0">
      <alignment horizontal="center" vertical="center"/>
    </xf>
    <xf numFmtId="164" fontId="6" fillId="0" borderId="6" applyAlignment="1" pivotButton="0" quotePrefix="0" xfId="0">
      <alignment horizontal="center" vertical="center"/>
    </xf>
    <xf numFmtId="165" fontId="8" fillId="5" borderId="7" applyAlignment="1" pivotButton="0" quotePrefix="0" xfId="0">
      <alignment horizontal="center" vertical="center" shrinkToFit="1"/>
    </xf>
    <xf numFmtId="0" fontId="0" fillId="0" borderId="8" pivotButton="0" quotePrefix="0" xfId="0"/>
    <xf numFmtId="166" fontId="8" fillId="0" borderId="9" applyAlignment="1" pivotButton="0" quotePrefix="0" xfId="0">
      <alignment horizontal="center" vertical="center" shrinkToFit="1"/>
    </xf>
    <xf numFmtId="167" fontId="7" fillId="0" borderId="10" applyAlignment="1" pivotButton="0" quotePrefix="0" xfId="0">
      <alignment vertical="center" shrinkToFit="1"/>
    </xf>
    <xf numFmtId="168" fontId="9" fillId="0" borderId="11" applyAlignment="1" pivotButton="0" quotePrefix="0" xfId="0">
      <alignment horizontal="center" vertical="center" shrinkToFit="1"/>
    </xf>
    <xf numFmtId="169" fontId="9" fillId="0" borderId="10" applyAlignment="1" pivotButton="0" quotePrefix="0" xfId="0">
      <alignment horizontal="center" vertical="center" shrinkToFit="1"/>
    </xf>
    <xf numFmtId="49" fontId="5" fillId="0" borderId="7" applyAlignment="1" pivotButton="0" quotePrefix="0" xfId="0">
      <alignment horizontal="center" vertical="center" shrinkToFit="1"/>
    </xf>
    <xf numFmtId="170" fontId="5" fillId="0" borderId="10" applyAlignment="1" pivotButton="0" quotePrefix="0" xfId="0">
      <alignment horizontal="center" vertical="center" shrinkToFit="1"/>
    </xf>
    <xf numFmtId="49" fontId="10" fillId="2" borderId="6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171" fontId="7" fillId="0" borderId="10" applyAlignment="1" pivotButton="0" quotePrefix="0" xfId="0">
      <alignment vertical="center" shrinkToFit="1"/>
    </xf>
    <xf numFmtId="165" fontId="9" fillId="0" borderId="10" applyAlignment="1" pivotButton="0" quotePrefix="0" xfId="0">
      <alignment horizontal="center" vertical="center" shrinkToFit="1"/>
    </xf>
    <xf numFmtId="49" fontId="11" fillId="0" borderId="0" applyAlignment="1" pivotButton="0" quotePrefix="0" xfId="0">
      <alignment horizontal="left" vertical="center" shrinkToFit="1"/>
    </xf>
    <xf numFmtId="0" fontId="6" fillId="0" borderId="6" applyAlignment="1" pivotButton="0" quotePrefix="0" xfId="0">
      <alignment horizontal="center" vertical="center"/>
    </xf>
    <xf numFmtId="172" fontId="6" fillId="0" borderId="6" applyAlignment="1" pivotButton="0" quotePrefix="0" xfId="0">
      <alignment horizontal="center" vertical="center"/>
    </xf>
    <xf numFmtId="49" fontId="12" fillId="4" borderId="7" applyAlignment="1" pivotButton="0" quotePrefix="0" xfId="0">
      <alignment horizontal="center" vertical="center" wrapText="1" shrinkToFit="1"/>
    </xf>
    <xf numFmtId="165" fontId="6" fillId="5" borderId="9" applyAlignment="1" pivotButton="0" quotePrefix="0" xfId="0">
      <alignment horizontal="left" vertical="center" shrinkToFit="1"/>
    </xf>
    <xf numFmtId="0" fontId="0" fillId="0" borderId="15" pivotButton="0" quotePrefix="0" xfId="0"/>
    <xf numFmtId="0" fontId="0" fillId="0" borderId="16" pivotButton="0" quotePrefix="0" xfId="0"/>
    <xf numFmtId="49" fontId="13" fillId="0" borderId="0" applyAlignment="1" pivotButton="0" quotePrefix="0" xfId="0">
      <alignment horizontal="left" vertical="center" shrinkToFit="1"/>
    </xf>
    <xf numFmtId="49" fontId="10" fillId="2" borderId="6" applyAlignment="1" pivotButton="0" quotePrefix="0" xfId="0">
      <alignment horizontal="center" vertical="center" shrinkToFit="1"/>
    </xf>
    <xf numFmtId="49" fontId="2" fillId="2" borderId="6" applyAlignment="1" pivotButton="0" quotePrefix="0" xfId="0">
      <alignment horizontal="center" vertical="center" shrinkToFit="1"/>
    </xf>
    <xf numFmtId="0" fontId="0" fillId="0" borderId="17" pivotButton="0" quotePrefix="0" xfId="0"/>
    <xf numFmtId="0" fontId="6" fillId="0" borderId="18" applyAlignment="1" pivotButton="0" quotePrefix="0" xfId="0">
      <alignment horizontal="center" vertical="center"/>
    </xf>
    <xf numFmtId="0" fontId="14" fillId="0" borderId="18" applyAlignment="1" pivotButton="0" quotePrefix="0" xfId="0">
      <alignment horizontal="center" vertical="center" shrinkToFit="1"/>
    </xf>
    <xf numFmtId="49" fontId="12" fillId="4" borderId="19" applyAlignment="1" pivotButton="0" quotePrefix="0" xfId="0">
      <alignment horizontal="center" vertical="center" shrinkToFit="1"/>
    </xf>
    <xf numFmtId="165" fontId="6" fillId="5" borderId="20" applyAlignment="1" pivotButton="0" quotePrefix="0" xfId="0">
      <alignment horizontal="left" vertical="center" shrinkToFit="1"/>
    </xf>
    <xf numFmtId="0" fontId="0" fillId="0" borderId="21" pivotButton="0" quotePrefix="0" xfId="0"/>
    <xf numFmtId="0" fontId="0" fillId="0" borderId="22" pivotButton="0" quotePrefix="0" xfId="0"/>
    <xf numFmtId="168" fontId="9" fillId="0" borderId="23" applyAlignment="1" pivotButton="0" quotePrefix="0" xfId="0">
      <alignment horizontal="center" vertical="center" shrinkToFit="1"/>
    </xf>
    <xf numFmtId="169" fontId="9" fillId="0" borderId="24" applyAlignment="1" pivotButton="0" quotePrefix="0" xfId="0">
      <alignment horizontal="center" vertical="center" shrinkToFit="1"/>
    </xf>
    <xf numFmtId="165" fontId="9" fillId="0" borderId="25" applyAlignment="1" pivotButton="0" quotePrefix="0" xfId="0">
      <alignment horizontal="center" vertical="center" shrinkToFit="1"/>
    </xf>
    <xf numFmtId="0" fontId="15" fillId="6" borderId="1" applyAlignment="1" pivotButton="0" quotePrefix="0" xfId="0">
      <alignment horizontal="center" vertical="center"/>
    </xf>
    <xf numFmtId="0" fontId="15" fillId="6" borderId="2" applyAlignment="1" pivotButton="0" quotePrefix="0" xfId="0">
      <alignment horizontal="center" vertical="center"/>
    </xf>
    <xf numFmtId="49" fontId="15" fillId="6" borderId="14" applyAlignment="1" pivotButton="0" quotePrefix="0" xfId="0">
      <alignment horizontal="center" vertical="center" shrinkToFit="1"/>
    </xf>
    <xf numFmtId="0" fontId="15" fillId="6" borderId="26" applyAlignment="1" pivotButton="0" quotePrefix="0" xfId="0">
      <alignment horizontal="center" vertical="center"/>
    </xf>
    <xf numFmtId="0" fontId="15" fillId="6" borderId="2" applyAlignment="1" pivotButton="0" quotePrefix="0" xfId="0">
      <alignment horizontal="center" vertical="center" shrinkToFit="1"/>
    </xf>
    <xf numFmtId="49" fontId="15" fillId="6" borderId="4" applyAlignment="1" pivotButton="0" quotePrefix="0" xfId="0">
      <alignment horizontal="center" vertical="center" shrinkToFit="1"/>
    </xf>
    <xf numFmtId="49" fontId="15" fillId="6" borderId="5" applyAlignment="1" pivotButton="0" quotePrefix="0" xfId="0">
      <alignment horizontal="center" vertical="center" shrinkToFit="1"/>
    </xf>
    <xf numFmtId="49" fontId="5" fillId="0" borderId="19" applyAlignment="1" pivotButton="0" quotePrefix="0" xfId="0">
      <alignment horizontal="center" vertical="center" shrinkToFit="1"/>
    </xf>
    <xf numFmtId="165" fontId="9" fillId="0" borderId="24" applyAlignment="1" pivotButton="0" quotePrefix="0" xfId="0">
      <alignment horizontal="center" vertical="center" shrinkToFit="1"/>
    </xf>
    <xf numFmtId="173" fontId="3" fillId="4" borderId="6" applyAlignment="1" pivotButton="0" quotePrefix="0" xfId="0">
      <alignment horizontal="center" vertical="center"/>
    </xf>
    <xf numFmtId="174" fontId="3" fillId="4" borderId="7" applyAlignment="1" pivotButton="0" quotePrefix="0" xfId="0">
      <alignment horizontal="left" vertical="center" wrapText="1" shrinkToFit="1"/>
    </xf>
    <xf numFmtId="0" fontId="5" fillId="4" borderId="27" applyAlignment="1" pivotButton="0" quotePrefix="0" xfId="0">
      <alignment vertical="center" shrinkToFit="1"/>
    </xf>
    <xf numFmtId="172" fontId="3" fillId="4" borderId="27" applyAlignment="1" pivotButton="0" quotePrefix="0" xfId="0">
      <alignment horizontal="center" vertical="center"/>
    </xf>
    <xf numFmtId="172" fontId="3" fillId="4" borderId="28" applyAlignment="1" pivotButton="0" quotePrefix="0" xfId="0">
      <alignment horizontal="right" vertical="center"/>
    </xf>
    <xf numFmtId="165" fontId="3" fillId="4" borderId="7" applyAlignment="1" pivotButton="0" quotePrefix="0" xfId="0">
      <alignment horizontal="center" vertical="center"/>
    </xf>
    <xf numFmtId="165" fontId="3" fillId="4" borderId="9" applyAlignment="1" pivotButton="0" quotePrefix="0" xfId="0">
      <alignment horizontal="center" vertical="center"/>
    </xf>
    <xf numFmtId="165" fontId="3" fillId="4" borderId="10" applyAlignment="1" pivotButton="0" quotePrefix="0" xfId="0">
      <alignment horizontal="center" vertical="center"/>
    </xf>
    <xf numFmtId="49" fontId="16" fillId="4" borderId="29" applyAlignment="1" pivotButton="0" quotePrefix="0" xfId="0">
      <alignment horizontal="center" vertical="top" shrinkToFit="1"/>
    </xf>
    <xf numFmtId="0" fontId="0" fillId="0" borderId="30" pivotButton="0" quotePrefix="0" xfId="0"/>
    <xf numFmtId="49" fontId="5" fillId="0" borderId="0" applyAlignment="1" pivotButton="0" quotePrefix="0" xfId="0">
      <alignment horizontal="left" vertical="center" shrinkToFit="1"/>
    </xf>
    <xf numFmtId="175" fontId="3" fillId="0" borderId="6" applyAlignment="1" pivotButton="0" quotePrefix="0" xfId="0">
      <alignment horizontal="center" vertical="center" shrinkToFit="1"/>
    </xf>
    <xf numFmtId="49" fontId="3" fillId="0" borderId="7" applyAlignment="1" pivotButton="0" quotePrefix="0" xfId="0">
      <alignment horizontal="left" vertical="center" shrinkToFit="1"/>
    </xf>
    <xf numFmtId="165" fontId="3" fillId="0" borderId="9" applyAlignment="1" pivotButton="0" quotePrefix="0" xfId="0">
      <alignment horizontal="center" vertical="center" shrinkToFit="1"/>
    </xf>
    <xf numFmtId="172" fontId="3" fillId="0" borderId="9" applyAlignment="1" pivotButton="0" quotePrefix="0" xfId="0">
      <alignment horizontal="center" vertical="center" shrinkToFit="1"/>
    </xf>
    <xf numFmtId="172" fontId="3" fillId="0" borderId="31" applyAlignment="1" pivotButton="0" quotePrefix="0" xfId="0">
      <alignment horizontal="right" vertical="center" shrinkToFit="1"/>
    </xf>
    <xf numFmtId="165" fontId="3" fillId="0" borderId="7" applyAlignment="1" pivotButton="0" quotePrefix="0" xfId="0">
      <alignment horizontal="center" vertical="center" shrinkToFit="1"/>
    </xf>
    <xf numFmtId="165" fontId="3" fillId="0" borderId="10" applyAlignment="1" pivotButton="0" quotePrefix="0" xfId="0">
      <alignment horizontal="center" vertical="center" shrinkToFit="1"/>
    </xf>
    <xf numFmtId="0" fontId="17" fillId="0" borderId="7" applyAlignment="1" pivotButton="0" quotePrefix="0" xfId="0">
      <alignment horizontal="center" vertical="center"/>
    </xf>
    <xf numFmtId="176" fontId="3" fillId="0" borderId="6" applyAlignment="1" pivotButton="0" quotePrefix="0" xfId="0">
      <alignment horizontal="center" vertical="center" shrinkToFit="1"/>
    </xf>
    <xf numFmtId="49" fontId="18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49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49" fontId="5" fillId="0" borderId="7" applyAlignment="1" pivotButton="0" quotePrefix="0" xfId="0">
      <alignment horizontal="center" vertical="top" shrinkToFit="1"/>
    </xf>
    <xf numFmtId="165" fontId="9" fillId="0" borderId="10" applyAlignment="1" pivotButton="0" quotePrefix="0" xfId="0">
      <alignment horizontal="center" vertical="top" shrinkToFit="1"/>
    </xf>
    <xf numFmtId="177" fontId="17" fillId="4" borderId="18" applyAlignment="1" pivotButton="0" quotePrefix="0" xfId="0">
      <alignment horizontal="center" vertical="center" shrinkToFit="1"/>
    </xf>
    <xf numFmtId="49" fontId="3" fillId="4" borderId="19" applyAlignment="1" pivotButton="0" quotePrefix="0" xfId="0">
      <alignment horizontal="left" vertical="center" shrinkToFit="1"/>
    </xf>
    <xf numFmtId="165" fontId="3" fillId="4" borderId="32" applyAlignment="1" pivotButton="0" quotePrefix="0" xfId="0">
      <alignment horizontal="center" vertical="center" shrinkToFit="1"/>
    </xf>
    <xf numFmtId="172" fontId="3" fillId="4" borderId="32" applyAlignment="1" pivotButton="0" quotePrefix="0" xfId="0">
      <alignment horizontal="right" vertical="center" shrinkToFit="1"/>
    </xf>
    <xf numFmtId="172" fontId="3" fillId="4" borderId="33" applyAlignment="1" pivotButton="0" quotePrefix="0" xfId="0">
      <alignment horizontal="right" vertical="center" shrinkToFit="1"/>
    </xf>
    <xf numFmtId="165" fontId="3" fillId="4" borderId="19" applyAlignment="1" pivotButton="0" quotePrefix="0" xfId="0">
      <alignment horizontal="center" vertical="center" shrinkToFit="1"/>
    </xf>
    <xf numFmtId="165" fontId="3" fillId="4" borderId="20" applyAlignment="1" pivotButton="0" quotePrefix="0" xfId="0">
      <alignment horizontal="center" vertical="center" shrinkToFit="1"/>
    </xf>
    <xf numFmtId="165" fontId="3" fillId="4" borderId="24" applyAlignment="1" pivotButton="0" quotePrefix="0" xfId="0">
      <alignment horizontal="center" vertical="center" shrinkToFit="1"/>
    </xf>
    <xf numFmtId="0" fontId="17" fillId="0" borderId="19" applyAlignment="1" pivotButton="0" quotePrefix="0" xfId="0">
      <alignment horizontal="center" vertical="center"/>
    </xf>
    <xf numFmtId="165" fontId="14" fillId="0" borderId="24" applyAlignment="1" pivotButton="0" quotePrefix="0" xfId="0">
      <alignment horizontal="center" vertical="center" shrinkToFit="1"/>
    </xf>
    <xf numFmtId="49" fontId="20" fillId="0" borderId="0" applyAlignment="1" pivotButton="0" quotePrefix="0" xfId="0">
      <alignment horizontal="center" vertical="center" shrinkToFit="1"/>
    </xf>
    <xf numFmtId="49" fontId="20" fillId="0" borderId="0" applyAlignment="1" pivotButton="0" quotePrefix="0" xfId="0">
      <alignment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8:N56"/>
  <sheetViews>
    <sheetView workbookViewId="0">
      <selection activeCell="A1" sqref="A1"/>
    </sheetView>
  </sheetViews>
  <sheetFormatPr baseColWidth="8" defaultRowHeight="15"/>
  <sheetData>
    <row r="38" ht="18" customHeight="1">
      <c r="A38" s="1" t="inlineStr">
        <is>
          <t>温度換算</t>
        </is>
      </c>
      <c r="B38" s="2" t="inlineStr">
        <is>
          <t>L寸</t>
        </is>
      </c>
      <c r="C38" s="3" t="inlineStr">
        <is>
          <t>梱包箱</t>
        </is>
      </c>
      <c r="D38" s="4" t="n"/>
      <c r="E38" s="5" t="inlineStr">
        <is>
          <t>使用数</t>
        </is>
      </c>
      <c r="F38" s="6" t="inlineStr">
        <is>
          <t>作業者</t>
        </is>
      </c>
      <c r="G38" s="7" t="inlineStr">
        <is>
          <t>加工Lot</t>
        </is>
      </c>
      <c r="H38" s="8" t="inlineStr">
        <is>
          <t>箱数</t>
        </is>
      </c>
      <c r="I38" s="9" t="inlineStr">
        <is>
          <t>加工明細</t>
        </is>
      </c>
      <c r="J38" s="4" t="n"/>
    </row>
    <row r="39" ht="18" customHeight="1">
      <c r="A39" s="10" t="n"/>
      <c r="B39" s="11">
        <f>D3</f>
        <v/>
      </c>
      <c r="C39" s="12" t="n"/>
      <c r="D39" s="13" t="n"/>
      <c r="E39" s="14" t="n"/>
      <c r="F39" s="15" t="n"/>
      <c r="G39" s="16" t="n"/>
      <c r="H39" s="17" t="n"/>
      <c r="I39" s="18" t="inlineStr">
        <is>
          <t>入庫日</t>
        </is>
      </c>
      <c r="J39" s="19" t="n"/>
    </row>
    <row r="40" ht="18" customHeight="1">
      <c r="A40" s="20" t="inlineStr">
        <is>
          <t>+公差</t>
        </is>
      </c>
      <c r="B40" s="21" t="inlineStr">
        <is>
          <t>切断寸法</t>
        </is>
      </c>
      <c r="C40" s="22" t="n"/>
      <c r="D40" s="23" t="n"/>
      <c r="E40" s="24" t="n"/>
      <c r="F40" s="25" t="n"/>
      <c r="G40" s="16" t="n"/>
      <c r="H40" s="17" t="n"/>
      <c r="I40" s="18" t="inlineStr">
        <is>
          <t>入庫数</t>
        </is>
      </c>
      <c r="J40" s="26" t="n">
        <v>0</v>
      </c>
      <c r="K40" s="27" t="n"/>
    </row>
    <row r="41" ht="18" customHeight="1">
      <c r="A41" s="28" t="n"/>
      <c r="B41" s="29" t="n"/>
      <c r="C41" s="30" t="inlineStr">
        <is>
          <t>梱包
方法</t>
        </is>
      </c>
      <c r="D41" s="31" t="n"/>
      <c r="E41" s="32" t="n"/>
      <c r="F41" s="33" t="n"/>
      <c r="G41" s="16" t="n"/>
      <c r="H41" s="17" t="n"/>
      <c r="I41" s="18" t="inlineStr">
        <is>
          <t>使用基材数</t>
        </is>
      </c>
      <c r="J41" s="26" t="n">
        <v>0</v>
      </c>
      <c r="K41" s="34" t="n"/>
    </row>
    <row r="42" ht="18" customHeight="1">
      <c r="A42" s="35" t="inlineStr">
        <is>
          <t>-公差</t>
        </is>
      </c>
      <c r="B42" s="36" t="inlineStr">
        <is>
          <t>取数</t>
        </is>
      </c>
      <c r="C42" s="37" t="n"/>
      <c r="D42" s="31" t="n"/>
      <c r="E42" s="32" t="n"/>
      <c r="F42" s="33" t="n"/>
      <c r="G42" s="16" t="n"/>
      <c r="H42" s="17" t="n"/>
      <c r="I42" s="18" t="inlineStr">
        <is>
          <t>製品不良</t>
        </is>
      </c>
      <c r="J42" s="26" t="n">
        <v>0</v>
      </c>
      <c r="K42" s="27" t="n"/>
    </row>
    <row r="43" ht="18" customHeight="1">
      <c r="A43" s="38" t="n"/>
      <c r="B43" s="39" t="n"/>
      <c r="C43" s="40" t="inlineStr">
        <is>
          <t>備考</t>
        </is>
      </c>
      <c r="D43" s="41" t="n"/>
      <c r="E43" s="42" t="n"/>
      <c r="F43" s="43" t="n"/>
      <c r="G43" s="44" t="n"/>
      <c r="H43" s="45" t="n"/>
      <c r="I43" s="18" t="inlineStr">
        <is>
          <t>基材不良</t>
        </is>
      </c>
      <c r="J43" s="46" t="n">
        <v>0</v>
      </c>
      <c r="K43" s="34" t="n"/>
    </row>
    <row r="44" ht="18" customHeight="1">
      <c r="A44" s="47" t="inlineStr">
        <is>
          <t>作業日</t>
        </is>
      </c>
      <c r="B44" s="48">
        <f t="array" ref="B44">IF(SUM(--(ISTEXT(B45:B55)*(B45:B55&lt;&gt;"")))=0,"計測Lot","計測Lot・加工数")</f>
        <v/>
      </c>
      <c r="C44" s="49" t="inlineStr">
        <is>
          <t>温度</t>
        </is>
      </c>
      <c r="D44" s="49" t="inlineStr">
        <is>
          <t>換算</t>
        </is>
      </c>
      <c r="E44" s="50" t="inlineStr">
        <is>
          <t>計測値</t>
        </is>
      </c>
      <c r="F44" s="51">
        <f t="array" ref="F44">IF(SUM(--(ISTEXT(B45:B55)*(B45:B55&lt;&gt;"")))=0,"記入不要","使用Lot")</f>
        <v/>
      </c>
      <c r="G44" s="52" t="inlineStr">
        <is>
          <t>加工数</t>
        </is>
      </c>
      <c r="H44" s="53" t="inlineStr">
        <is>
          <t>基材換算</t>
        </is>
      </c>
      <c r="I44" s="54" t="inlineStr">
        <is>
          <t>端材使用</t>
        </is>
      </c>
      <c r="J44" s="55" t="n">
        <v>0</v>
      </c>
      <c r="K44" s="27" t="n"/>
    </row>
    <row r="45" ht="18" customHeight="1">
      <c r="A45" s="56" t="n"/>
      <c r="B45" s="57" t="n"/>
      <c r="C45" s="58" t="n"/>
      <c r="D45" s="59" t="n"/>
      <c r="E45" s="60" t="n"/>
      <c r="F45" s="61" t="n"/>
      <c r="G45" s="62" t="n"/>
      <c r="H45" s="63" t="n"/>
      <c r="I45" s="64" t="inlineStr">
        <is>
          <t>不良内訳</t>
        </is>
      </c>
      <c r="J45" s="65" t="n"/>
      <c r="K45" s="66" t="n"/>
    </row>
    <row r="46" ht="18" customHeight="1">
      <c r="A46" s="67" t="n"/>
      <c r="B46" s="68" t="n"/>
      <c r="C46" s="69" t="n"/>
      <c r="D46" s="70" t="n"/>
      <c r="E46" s="71" t="n"/>
      <c r="F46" s="72" t="n"/>
      <c r="G46" s="69" t="n"/>
      <c r="H46" s="73" t="n"/>
      <c r="I46" s="74" t="inlineStr">
        <is>
          <t>キズ</t>
        </is>
      </c>
      <c r="J46" s="73" t="n"/>
      <c r="K46" s="66" t="n"/>
    </row>
    <row r="47" ht="18.95" customHeight="1">
      <c r="A47" s="75" t="n"/>
      <c r="B47" s="68" t="n"/>
      <c r="C47" s="69" t="n"/>
      <c r="D47" s="70" t="n"/>
      <c r="E47" s="71" t="n"/>
      <c r="F47" s="72" t="n"/>
      <c r="G47" s="69" t="n"/>
      <c r="H47" s="73" t="n"/>
      <c r="I47" s="74" t="inlineStr">
        <is>
          <t>凹み</t>
        </is>
      </c>
      <c r="J47" s="73" t="n"/>
      <c r="K47" s="76" t="n"/>
      <c r="L47" s="77" t="n"/>
      <c r="M47" s="77" t="n"/>
      <c r="N47" s="77" t="n"/>
    </row>
    <row r="48" ht="18.95" customHeight="1">
      <c r="A48" s="75" t="n"/>
      <c r="B48" s="68" t="n"/>
      <c r="C48" s="69" t="n"/>
      <c r="D48" s="70" t="n"/>
      <c r="E48" s="71" t="n"/>
      <c r="F48" s="72" t="n"/>
      <c r="G48" s="69" t="n"/>
      <c r="H48" s="73" t="n"/>
      <c r="I48" s="74" t="inlineStr">
        <is>
          <t>異物</t>
        </is>
      </c>
      <c r="J48" s="73" t="n"/>
      <c r="K48" s="78" t="n"/>
      <c r="L48" s="79" t="n"/>
      <c r="M48" s="79" t="n"/>
      <c r="N48" s="79" t="n"/>
    </row>
    <row r="49" ht="18.95" customHeight="1">
      <c r="A49" s="75" t="n"/>
      <c r="B49" s="68" t="n"/>
      <c r="C49" s="69" t="n"/>
      <c r="D49" s="70" t="n"/>
      <c r="E49" s="71" t="n"/>
      <c r="F49" s="72" t="n"/>
      <c r="G49" s="69" t="n"/>
      <c r="H49" s="73" t="n"/>
      <c r="I49" s="74" t="inlineStr">
        <is>
          <t>欠け</t>
        </is>
      </c>
      <c r="J49" s="73" t="n"/>
      <c r="K49" s="78" t="n"/>
      <c r="L49" s="79" t="n"/>
      <c r="M49" s="79" t="n"/>
      <c r="N49" s="79" t="n"/>
    </row>
    <row r="50" ht="18.95" customHeight="1">
      <c r="A50" s="75" t="n"/>
      <c r="B50" s="68" t="n"/>
      <c r="C50" s="69" t="n"/>
      <c r="D50" s="70" t="n"/>
      <c r="E50" s="71" t="n"/>
      <c r="F50" s="72" t="n"/>
      <c r="G50" s="69" t="n"/>
      <c r="H50" s="73" t="n"/>
      <c r="I50" s="74" t="inlineStr">
        <is>
          <t>メヤニ</t>
        </is>
      </c>
      <c r="J50" s="73" t="n"/>
      <c r="K50" s="78" t="n"/>
      <c r="L50" s="79" t="n"/>
      <c r="M50" s="79" t="n"/>
      <c r="N50" s="79" t="n"/>
    </row>
    <row r="51" ht="18.95" customHeight="1">
      <c r="A51" s="75" t="n"/>
      <c r="B51" s="68" t="n"/>
      <c r="C51" s="69" t="n"/>
      <c r="D51" s="70" t="n"/>
      <c r="E51" s="71" t="n"/>
      <c r="F51" s="72" t="n"/>
      <c r="G51" s="69" t="n"/>
      <c r="H51" s="73" t="n"/>
      <c r="I51" s="74" t="inlineStr">
        <is>
          <t>ベコツキ</t>
        </is>
      </c>
      <c r="J51" s="73" t="n"/>
      <c r="K51" s="78" t="n"/>
      <c r="L51" s="79" t="n"/>
      <c r="M51" s="79" t="n"/>
      <c r="N51" s="79" t="n"/>
    </row>
    <row r="52" ht="18.95" customHeight="1">
      <c r="A52" s="75" t="n"/>
      <c r="B52" s="68" t="n"/>
      <c r="C52" s="69" t="n"/>
      <c r="D52" s="70" t="n"/>
      <c r="E52" s="71" t="n"/>
      <c r="F52" s="72" t="n"/>
      <c r="G52" s="69" t="n"/>
      <c r="H52" s="73" t="n"/>
      <c r="I52" s="80" t="inlineStr">
        <is>
          <t>汚損</t>
        </is>
      </c>
      <c r="J52" s="73" t="n"/>
      <c r="K52" s="78" t="n"/>
      <c r="L52" s="79" t="n"/>
      <c r="M52" s="79" t="n"/>
      <c r="N52" s="79" t="n"/>
    </row>
    <row r="53" ht="18.95" customHeight="1">
      <c r="A53" s="75" t="n"/>
      <c r="B53" s="68" t="n"/>
      <c r="C53" s="69" t="n"/>
      <c r="D53" s="70" t="n"/>
      <c r="E53" s="71" t="n"/>
      <c r="F53" s="72" t="n"/>
      <c r="G53" s="69" t="n"/>
      <c r="H53" s="73" t="n"/>
      <c r="I53" s="80" t="inlineStr">
        <is>
          <t>形状異常</t>
        </is>
      </c>
      <c r="J53" s="73" t="n"/>
      <c r="K53" s="78" t="n"/>
      <c r="L53" s="79" t="n"/>
      <c r="M53" s="79" t="n"/>
      <c r="N53" s="79" t="n"/>
    </row>
    <row r="54" ht="18.95" customHeight="1">
      <c r="A54" s="75" t="n"/>
      <c r="B54" s="68" t="n"/>
      <c r="C54" s="69" t="n"/>
      <c r="D54" s="70" t="n"/>
      <c r="E54" s="71" t="n"/>
      <c r="F54" s="72" t="n"/>
      <c r="G54" s="69" t="n"/>
      <c r="H54" s="73" t="n"/>
      <c r="I54" s="74" t="inlineStr">
        <is>
          <t>その他</t>
        </is>
      </c>
      <c r="J54" s="81" t="n"/>
      <c r="K54" s="78" t="n"/>
      <c r="L54" s="79" t="n"/>
      <c r="M54" s="79" t="n"/>
      <c r="N54" s="79" t="n"/>
    </row>
    <row r="55" ht="18.95" customHeight="1">
      <c r="A55" s="82" t="inlineStr">
        <is>
          <t>不良補填</t>
        </is>
      </c>
      <c r="B55" s="83" t="n"/>
      <c r="C55" s="84" t="n"/>
      <c r="D55" s="85" t="n"/>
      <c r="E55" s="86" t="n"/>
      <c r="F55" s="87" t="n"/>
      <c r="G55" s="88" t="n"/>
      <c r="H55" s="89" t="n"/>
      <c r="I55" s="90" t="inlineStr">
        <is>
          <t>合計</t>
        </is>
      </c>
      <c r="J55" s="91" t="n"/>
      <c r="K55" s="78" t="n"/>
      <c r="L55" s="79" t="n"/>
      <c r="M55" s="79" t="n"/>
      <c r="N55" s="79" t="n"/>
    </row>
    <row r="56" ht="6" customHeight="1">
      <c r="A56" s="92" t="n"/>
      <c r="B56" s="93" t="n"/>
      <c r="C56" s="93" t="n"/>
      <c r="D56" s="92" t="n"/>
      <c r="E56" s="93" t="n"/>
      <c r="F56" s="93" t="n"/>
      <c r="G56" s="93" t="n"/>
      <c r="H56" s="93" t="n"/>
    </row>
  </sheetData>
  <mergeCells count="9">
    <mergeCell ref="D42:F42"/>
    <mergeCell ref="E39:E40"/>
    <mergeCell ref="C38:D38"/>
    <mergeCell ref="I38:J38"/>
    <mergeCell ref="D41:F41"/>
    <mergeCell ref="C41:C42"/>
    <mergeCell ref="C39:D40"/>
    <mergeCell ref="I45:J45"/>
    <mergeCell ref="D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2026-07-16T11:36:07Z</dcterms:created>
  <dcterms:modified xmlns:dcterms="http://purl.org/dc/terms/" xmlns:xsi="http://www.w3.org/2001/XMLSchema-instance" xsi:type="dcterms:W3CDTF">2026-07-16T11:36:07Z</dcterms:modified>
</cp:coreProperties>
</file>