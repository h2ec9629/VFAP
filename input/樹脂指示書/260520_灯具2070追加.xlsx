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d2b15137c379bc/work/SGT_cloud/input/樹脂指示書/"/>
    </mc:Choice>
  </mc:AlternateContent>
  <xr:revisionPtr revIDLastSave="7" documentId="8_{2C6C4A35-9F4C-4562-952D-1F0D12291D80}" xr6:coauthVersionLast="47" xr6:coauthVersionMax="47" xr10:uidLastSave="{D4CA1D14-474F-45D3-8799-10E787D12923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F44" i="1" l="1" a="1"/>
  <c r="F44" i="1" s="1"/>
  <c r="B44" i="1" a="1"/>
  <c r="B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<sst xmlns="http://schemas.openxmlformats.org/spreadsheetml/2006/main" count="101" uniqueCount="96">
  <si>
    <t>検査梱包指示書</t>
  </si>
  <si>
    <t>品目番号</t>
  </si>
  <si>
    <t>J1ZAFJB00219660</t>
  </si>
  <si>
    <t>Ｌ寸</t>
  </si>
  <si>
    <t>名称</t>
  </si>
  <si>
    <t>463301-2070灯具ｶﾊﾞｰPC IN</t>
  </si>
  <si>
    <t>上長</t>
  </si>
  <si>
    <t>係員</t>
  </si>
  <si>
    <t>製造指図№</t>
  </si>
  <si>
    <t>000000000014865</t>
  </si>
  <si>
    <t>原料名</t>
  </si>
  <si>
    <t>J6VZ041</t>
  </si>
  <si>
    <t>発注明細№</t>
  </si>
  <si>
    <t>000000000858244</t>
  </si>
  <si>
    <t>色　名</t>
  </si>
  <si>
    <t>拡散</t>
  </si>
  <si>
    <t>製品Grp</t>
  </si>
  <si>
    <t>J1ZA</t>
  </si>
  <si>
    <t>開始日</t>
  </si>
  <si>
    <t>入り数</t>
  </si>
  <si>
    <t>終了日</t>
  </si>
  <si>
    <t>梱包数</t>
  </si>
  <si>
    <t>指示数量</t>
  </si>
  <si>
    <t>金　型</t>
  </si>
  <si>
    <t>4317</t>
  </si>
  <si>
    <t>*J1ZAFJB00219660*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</si>
  <si>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</si>
  <si>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</si>
  <si>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</si>
  <si>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</si>
  <si>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</si>
  <si>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</si>
  <si>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</si>
  <si>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</si>
  <si>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</si>
  <si>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</si>
  <si>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</si>
  <si>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</si>
  <si>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</si>
  <si>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</si>
  <si>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V3P13</t>
  </si>
  <si>
    <t>捺印</t>
  </si>
  <si>
    <t>品目コード</t>
  </si>
  <si>
    <t>品目名１</t>
  </si>
  <si>
    <t>在庫場所</t>
  </si>
  <si>
    <t>出庫数量</t>
  </si>
  <si>
    <t>バッチ必要数</t>
  </si>
  <si>
    <t>品目名２</t>
  </si>
  <si>
    <t>J1ZAFJA00219660</t>
  </si>
  <si>
    <t>@463301-2070灯具ｶﾊﾞｰPCIN</t>
  </si>
  <si>
    <t>V3J04</t>
  </si>
  <si>
    <t>*J1ZAFJA00219660*</t>
  </si>
  <si>
    <t>J6DW0044</t>
  </si>
  <si>
    <t>灯具-2</t>
  </si>
  <si>
    <t>*J6DW0044*</t>
  </si>
  <si>
    <t>J6XX0050</t>
  </si>
  <si>
    <t>(管理外)筋入ｸﾗﾌﾄ紙</t>
  </si>
  <si>
    <t>*J6XX0050*</t>
  </si>
  <si>
    <t>300＊100</t>
  </si>
  <si>
    <t>温度換算</t>
    <phoneticPr fontId="2"/>
  </si>
  <si>
    <t>L寸</t>
    <phoneticPr fontId="2"/>
  </si>
  <si>
    <t>梱包箱</t>
    <rPh sb="0" eb="3">
      <t>コンポウバコ</t>
    </rPh>
    <phoneticPr fontId="2"/>
  </si>
  <si>
    <t>使用数</t>
    <rPh sb="0" eb="2">
      <t>シヨウ</t>
    </rPh>
    <rPh sb="2" eb="3">
      <t>スウ</t>
    </rPh>
    <phoneticPr fontId="2"/>
  </si>
  <si>
    <t>作業者</t>
    <rPh sb="0" eb="3">
      <t>サギョウシャ</t>
    </rPh>
    <phoneticPr fontId="2"/>
  </si>
  <si>
    <t>加工Lot</t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</si>
  <si>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</si>
  <si>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</si>
  <si>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入庫日</t>
    <rPh sb="0" eb="3">
      <t>ニュウコビ</t>
    </rPh>
    <phoneticPr fontId="2"/>
  </si>
  <si>
    <t>+公差</t>
    <phoneticPr fontId="2"/>
  </si>
  <si>
    <t>切断寸法</t>
    <phoneticPr fontId="2"/>
  </si>
  <si>
    <t>入庫数</t>
    <rPh sb="0" eb="3">
      <t>ニュウコスウ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</si>
  <si>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</si>
  <si>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</si>
  <si>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-公差</t>
    <phoneticPr fontId="2"/>
  </si>
  <si>
    <t>取数</t>
    <phoneticPr fontId="2"/>
  </si>
  <si>
    <t>製品不良</t>
    <rPh sb="0" eb="2">
      <t>セイヒン</t>
    </rPh>
    <rPh sb="2" eb="4">
      <t>フリョウ</t>
    </rPh>
    <phoneticPr fontId="2"/>
  </si>
  <si>
    <t>備考</t>
    <rPh sb="0" eb="2">
      <t>ビコウ</t>
    </rPh>
    <phoneticPr fontId="2"/>
  </si>
  <si>
    <t>基材不良</t>
    <rPh sb="0" eb="2">
      <t>キザイ</t>
    </rPh>
    <rPh sb="2" eb="4">
      <t>フリョウ</t>
    </rPh>
    <phoneticPr fontId="2"/>
  </si>
  <si>
    <t>作業日</t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</si>
  <si>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</si>
  <si>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</si>
  <si>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</si>
  <si>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</si>
  <si>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</si>
  <si>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端材使用</t>
    <rPh sb="0" eb="2">
      <t>ハザイ</t>
    </rPh>
    <rPh sb="2" eb="4">
      <t>シヨウ</t>
    </rPh>
    <phoneticPr fontId="2"/>
  </si>
  <si>
    <t>不良内訳</t>
    <rPh sb="0" eb="2">
      <t>フリョウ</t>
    </rPh>
    <rPh sb="2" eb="4">
      <t>ウチワケ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</si>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</sst>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&quot;L=&quot;0.0_ "/>
    <numFmt numFmtId="180" formatCode="#"/>
    <numFmt numFmtId="181" formatCode="#&quot;枚&quot;;;"/>
    <numFmt numFmtId="182" formatCode="&quot;切断作業&quot;"/>
    <numFmt numFmtId="183" formatCode="yy\,mm\,dd"/>
    <numFmt numFmtId="184" formatCode="#&quot;箱&quot;"/>
    <numFmt numFmtId="185" formatCode="mm&quot;月&quot;dd&quot;日&quot;;;"/>
    <numFmt numFmtId="186" formatCode="&quot;外観検査&quot;#"/>
    <numFmt numFmtId="187" formatCode="0.00_ "/>
    <numFmt numFmtId="188" formatCode="&quot;端&quot;mm/dd;;"/>
    <numFmt numFmtId="189" formatCode="&quot;初&quot;mm/dd;;"/>
    <numFmt numFmtId="190" formatCode="mm/dd;;"/>
    <numFmt numFmtId="191" formatCode="&quot;不&quot;mm/dd;;"/>
    <numFmt numFmtId="192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2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>
      <left style="thin">
        <color auto="1"/>
      </left>
      <right/>
      <top style="thin">
        <color indexed="64"/>
      </top>
      <bottom style="medium">
        <color indexed="64"/>
      </bottom>
      <diagonal style="thin">
        <color auto="1"/>
      </diagonal>
    </border>
  </borders>
  <cellStyleXfs count="4">
    <xf numFmtId="0" fontId="0" fillId="0" borderId="0">
      <alignment vertical="center"/>
    </xf>
    <xf numFmtId="0" fontId="1" fillId="0" borderId="0"/>
    <xf numFmtId="0" fontId="14" fillId="2" borderId="0" applyNumberFormat="0" applyBorder="0" applyAlignment="0" applyProtection="0">
      <alignment vertical="center"/>
    </xf>
    <xf numFmtId="0" fontId="1" fillId="0" borderId="0"/>
  </cellStyleXfs>
  <cellXfs count="156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6" xfId="0" applyFont="1" applyFill="1" applyBorder="1" applyAlignment="1">
      <alignment horizontal="center" vertical="center"/>
    </xf>
    <xf numFmtId="49" fontId="16" fillId="3" borderId="16" xfId="1" applyNumberFormat="1" applyFont="1" applyFill="1" applyBorder="1" applyAlignment="1">
      <alignment horizontal="center" vertical="center" shrinkToFit="1"/>
    </xf>
    <xf numFmtId="0" fontId="17" fillId="4" borderId="18" xfId="0" applyFont="1" applyFill="1" applyBorder="1" applyAlignment="1">
      <alignment horizontal="center" vertical="center"/>
    </xf>
    <xf numFmtId="49" fontId="18" fillId="4" borderId="19" xfId="1" applyNumberFormat="1" applyFont="1" applyFill="1" applyBorder="1" applyAlignment="1">
      <alignment horizontal="center" vertical="center" shrinkToFit="1"/>
    </xf>
    <xf numFmtId="49" fontId="19" fillId="5" borderId="20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/>
    </xf>
    <xf numFmtId="179" fontId="19" fillId="0" borderId="21" xfId="0" applyNumberFormat="1" applyFont="1" applyBorder="1" applyAlignment="1">
      <alignment horizontal="center" vertical="center"/>
    </xf>
    <xf numFmtId="182" fontId="20" fillId="0" borderId="23" xfId="1" applyNumberFormat="1" applyFont="1" applyBorder="1" applyAlignment="1">
      <alignment vertical="center" shrinkToFit="1"/>
    </xf>
    <xf numFmtId="183" fontId="22" fillId="0" borderId="24" xfId="1" applyNumberFormat="1" applyFont="1" applyBorder="1" applyAlignment="1">
      <alignment horizontal="center" vertical="center" shrinkToFit="1"/>
    </xf>
    <xf numFmtId="184" fontId="22" fillId="0" borderId="23" xfId="1" applyNumberFormat="1" applyFont="1" applyBorder="1" applyAlignment="1">
      <alignment horizontal="center" vertical="center" shrinkToFit="1"/>
    </xf>
    <xf numFmtId="49" fontId="18" fillId="0" borderId="22" xfId="1" applyNumberFormat="1" applyFont="1" applyBorder="1" applyAlignment="1">
      <alignment horizontal="center" vertical="center" shrinkToFit="1"/>
    </xf>
    <xf numFmtId="185" fontId="18" fillId="0" borderId="23" xfId="1" applyNumberFormat="1" applyFont="1" applyBorder="1" applyAlignment="1">
      <alignment horizontal="center" vertical="center" shrinkToFit="1"/>
    </xf>
    <xf numFmtId="180" fontId="22" fillId="0" borderId="23" xfId="1" applyNumberFormat="1" applyFont="1" applyBorder="1" applyAlignment="1">
      <alignment horizontal="center" vertical="center" shrinkToFit="1"/>
    </xf>
    <xf numFmtId="180" fontId="22" fillId="0" borderId="25" xfId="1" applyNumberFormat="1" applyFont="1" applyBorder="1" applyAlignment="1">
      <alignment horizontal="center" vertical="center" shrinkToFit="1"/>
    </xf>
    <xf numFmtId="180" fontId="22" fillId="0" borderId="26" xfId="1" applyNumberFormat="1" applyFont="1" applyBorder="1" applyAlignment="1">
      <alignment horizontal="center" vertical="center" shrinkToFit="1"/>
    </xf>
    <xf numFmtId="49" fontId="23" fillId="3" borderId="21" xfId="0" applyNumberFormat="1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186" fontId="20" fillId="0" borderId="23" xfId="1" applyNumberFormat="1" applyFont="1" applyBorder="1" applyAlignment="1">
      <alignment vertical="center" shrinkToFit="1"/>
    </xf>
    <xf numFmtId="49" fontId="24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center" vertical="center"/>
    </xf>
    <xf numFmtId="187" fontId="19" fillId="0" borderId="21" xfId="0" applyNumberFormat="1" applyFont="1" applyBorder="1" applyAlignment="1">
      <alignment horizontal="center" vertical="center"/>
    </xf>
    <xf numFmtId="49" fontId="26" fillId="0" borderId="0" xfId="1" applyNumberFormat="1" applyFont="1" applyAlignment="1">
      <alignment horizontal="left" vertical="center" shrinkToFit="1"/>
    </xf>
    <xf numFmtId="49" fontId="23" fillId="3" borderId="21" xfId="1" applyNumberFormat="1" applyFont="1" applyFill="1" applyBorder="1" applyAlignment="1">
      <alignment horizontal="center" vertical="center" shrinkToFit="1"/>
    </xf>
    <xf numFmtId="49" fontId="16" fillId="3" borderId="21" xfId="1" applyNumberFormat="1" applyFont="1" applyFill="1" applyBorder="1" applyAlignment="1">
      <alignment horizontal="center" vertical="center" shrinkToFit="1"/>
    </xf>
    <xf numFmtId="0" fontId="19" fillId="0" borderId="27" xfId="0" applyFont="1" applyBorder="1" applyAlignment="1">
      <alignment horizontal="center" vertical="center"/>
    </xf>
    <xf numFmtId="0" fontId="27" fillId="0" borderId="27" xfId="1" applyFont="1" applyBorder="1" applyAlignment="1">
      <alignment horizontal="center" vertical="center" shrinkToFit="1"/>
    </xf>
    <xf numFmtId="49" fontId="25" fillId="5" borderId="28" xfId="1" applyNumberFormat="1" applyFont="1" applyFill="1" applyBorder="1" applyAlignment="1">
      <alignment horizontal="center" vertical="center" shrinkToFit="1"/>
    </xf>
    <xf numFmtId="183" fontId="22" fillId="0" borderId="30" xfId="1" applyNumberFormat="1" applyFont="1" applyBorder="1" applyAlignment="1">
      <alignment horizontal="center" vertical="center" shrinkToFit="1"/>
    </xf>
    <xf numFmtId="184" fontId="22" fillId="0" borderId="26" xfId="1" applyNumberFormat="1" applyFont="1" applyBorder="1" applyAlignment="1">
      <alignment horizontal="center" vertical="center" shrinkToFit="1"/>
    </xf>
    <xf numFmtId="0" fontId="28" fillId="7" borderId="16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/>
    </xf>
    <xf numFmtId="49" fontId="28" fillId="7" borderId="5" xfId="1" applyNumberFormat="1" applyFont="1" applyFill="1" applyBorder="1" applyAlignment="1">
      <alignment horizontal="center" vertical="center" shrinkToFit="1"/>
    </xf>
    <xf numFmtId="49" fontId="28" fillId="7" borderId="5" xfId="0" applyNumberFormat="1" applyFont="1" applyFill="1" applyBorder="1" applyAlignment="1">
      <alignment horizontal="center" vertical="center" shrinkToFit="1"/>
    </xf>
    <xf numFmtId="0" fontId="28" fillId="7" borderId="14" xfId="0" applyFont="1" applyFill="1" applyBorder="1" applyAlignment="1">
      <alignment horizontal="center" vertical="center"/>
    </xf>
    <xf numFmtId="0" fontId="28" fillId="7" borderId="17" xfId="0" applyFont="1" applyFill="1" applyBorder="1" applyAlignment="1">
      <alignment horizontal="center" vertical="center" shrinkToFit="1"/>
    </xf>
    <xf numFmtId="49" fontId="28" fillId="7" borderId="18" xfId="0" applyNumberFormat="1" applyFont="1" applyFill="1" applyBorder="1" applyAlignment="1">
      <alignment horizontal="center" vertical="center" shrinkToFit="1"/>
    </xf>
    <xf numFmtId="49" fontId="28" fillId="7" borderId="19" xfId="0" applyNumberFormat="1" applyFont="1" applyFill="1" applyBorder="1" applyAlignment="1">
      <alignment horizontal="center" vertical="center" shrinkToFit="1"/>
    </xf>
    <xf numFmtId="49" fontId="18" fillId="0" borderId="28" xfId="1" applyNumberFormat="1" applyFont="1" applyBorder="1" applyAlignment="1">
      <alignment horizontal="center" vertical="center" shrinkToFit="1"/>
    </xf>
    <xf numFmtId="188" fontId="17" fillId="5" borderId="21" xfId="0" applyNumberFormat="1" applyFont="1" applyFill="1" applyBorder="1" applyAlignment="1">
      <alignment horizontal="center" vertical="center"/>
    </xf>
    <xf numFmtId="189" fontId="17" fillId="0" borderId="21" xfId="3" applyNumberFormat="1" applyFont="1" applyBorder="1" applyAlignment="1">
      <alignment horizontal="center" vertical="center" shrinkToFit="1"/>
    </xf>
    <xf numFmtId="190" fontId="17" fillId="0" borderId="21" xfId="3" applyNumberFormat="1" applyFont="1" applyBorder="1" applyAlignment="1">
      <alignment horizontal="center" vertical="center" shrinkToFit="1"/>
    </xf>
    <xf numFmtId="191" fontId="29" fillId="5" borderId="27" xfId="3" applyNumberFormat="1" applyFont="1" applyFill="1" applyBorder="1" applyAlignment="1">
      <alignment horizontal="center" vertical="center" shrinkToFit="1"/>
    </xf>
    <xf numFmtId="192" fontId="17" fillId="5" borderId="22" xfId="1" applyNumberFormat="1" applyFont="1" applyFill="1" applyBorder="1" applyAlignment="1">
      <alignment horizontal="left" vertical="center" wrapText="1" shrinkToFit="1"/>
    </xf>
    <xf numFmtId="49" fontId="17" fillId="0" borderId="22" xfId="3" applyNumberFormat="1" applyFont="1" applyBorder="1" applyAlignment="1">
      <alignment horizontal="left" vertical="center" shrinkToFit="1"/>
    </xf>
    <xf numFmtId="49" fontId="17" fillId="5" borderId="28" xfId="3" applyNumberFormat="1" applyFont="1" applyFill="1" applyBorder="1" applyAlignment="1">
      <alignment horizontal="left" vertical="center" shrinkToFit="1"/>
    </xf>
    <xf numFmtId="0" fontId="18" fillId="5" borderId="31" xfId="3" applyFont="1" applyFill="1" applyBorder="1" applyAlignment="1">
      <alignment vertical="center" shrinkToFit="1"/>
    </xf>
    <xf numFmtId="187" fontId="17" fillId="5" borderId="31" xfId="0" applyNumberFormat="1" applyFont="1" applyFill="1" applyBorder="1" applyAlignment="1">
      <alignment horizontal="center" vertical="center"/>
    </xf>
    <xf numFmtId="187" fontId="17" fillId="5" borderId="32" xfId="0" applyNumberFormat="1" applyFont="1" applyFill="1" applyBorder="1" applyAlignment="1">
      <alignment horizontal="right" vertical="center"/>
    </xf>
    <xf numFmtId="180" fontId="17" fillId="5" borderId="22" xfId="0" applyNumberFormat="1" applyFont="1" applyFill="1" applyBorder="1" applyAlignment="1">
      <alignment horizontal="center" vertical="center"/>
    </xf>
    <xf numFmtId="180" fontId="17" fillId="5" borderId="15" xfId="0" applyNumberFormat="1" applyFont="1" applyFill="1" applyBorder="1" applyAlignment="1">
      <alignment horizontal="center" vertical="center"/>
    </xf>
    <xf numFmtId="180" fontId="17" fillId="5" borderId="23" xfId="0" applyNumberFormat="1" applyFont="1" applyFill="1" applyBorder="1" applyAlignment="1">
      <alignment horizontal="center" vertical="center"/>
    </xf>
    <xf numFmtId="49" fontId="18" fillId="0" borderId="0" xfId="1" applyNumberFormat="1" applyFont="1" applyAlignment="1">
      <alignment horizontal="left" vertical="center" shrinkToFit="1"/>
    </xf>
    <xf numFmtId="180" fontId="17" fillId="0" borderId="15" xfId="3" applyNumberFormat="1" applyFont="1" applyBorder="1" applyAlignment="1">
      <alignment horizontal="center" vertical="center" shrinkToFit="1"/>
    </xf>
    <xf numFmtId="187" fontId="17" fillId="0" borderId="15" xfId="3" applyNumberFormat="1" applyFont="1" applyBorder="1" applyAlignment="1">
      <alignment horizontal="center" vertical="center" shrinkToFit="1"/>
    </xf>
    <xf numFmtId="187" fontId="17" fillId="0" borderId="10" xfId="3" applyNumberFormat="1" applyFont="1" applyBorder="1" applyAlignment="1">
      <alignment horizontal="right" vertical="center" shrinkToFit="1"/>
    </xf>
    <xf numFmtId="180" fontId="17" fillId="0" borderId="22" xfId="3" applyNumberFormat="1" applyFont="1" applyBorder="1" applyAlignment="1">
      <alignment horizontal="center" vertical="center" shrinkToFit="1"/>
    </xf>
    <xf numFmtId="180" fontId="17" fillId="0" borderId="23" xfId="3" applyNumberFormat="1" applyFont="1" applyBorder="1" applyAlignment="1">
      <alignment horizontal="center" vertical="center" shrinkToFit="1"/>
    </xf>
    <xf numFmtId="0" fontId="29" fillId="0" borderId="22" xfId="2" applyFont="1" applyFill="1" applyBorder="1" applyAlignment="1">
      <alignment horizontal="center" vertical="center"/>
    </xf>
    <xf numFmtId="180" fontId="22" fillId="0" borderId="23" xfId="0" applyNumberFormat="1" applyFont="1" applyBorder="1" applyAlignment="1">
      <alignment horizontal="center" vertical="top" shrinkToFit="1"/>
    </xf>
    <xf numFmtId="180" fontId="27" fillId="0" borderId="26" xfId="1" applyNumberFormat="1" applyFont="1" applyBorder="1" applyAlignment="1">
      <alignment horizontal="center" vertical="center" shrinkToFit="1"/>
    </xf>
    <xf numFmtId="49" fontId="31" fillId="0" borderId="0" xfId="0" applyNumberFormat="1" applyFont="1">
      <alignment vertical="center"/>
    </xf>
    <xf numFmtId="0" fontId="31" fillId="0" borderId="0" xfId="0" applyFont="1">
      <alignment vertical="center"/>
    </xf>
    <xf numFmtId="49" fontId="30" fillId="0" borderId="0" xfId="0" applyNumberFormat="1" applyFont="1" applyAlignment="1">
      <alignment vertical="top" shrinkToFit="1"/>
    </xf>
    <xf numFmtId="49" fontId="32" fillId="0" borderId="0" xfId="0" applyNumberFormat="1" applyFont="1">
      <alignment vertical="center"/>
    </xf>
    <xf numFmtId="0" fontId="32" fillId="0" borderId="0" xfId="0" applyFont="1">
      <alignment vertical="center"/>
    </xf>
    <xf numFmtId="49" fontId="18" fillId="0" borderId="0" xfId="0" applyNumberFormat="1" applyFont="1" applyAlignment="1">
      <alignment vertical="top" shrinkToFit="1"/>
    </xf>
    <xf numFmtId="49" fontId="18" fillId="0" borderId="22" xfId="0" applyNumberFormat="1" applyFont="1" applyBorder="1" applyAlignment="1">
      <alignment horizontal="center" vertical="top" shrinkToFit="1"/>
    </xf>
    <xf numFmtId="180" fontId="17" fillId="5" borderId="34" xfId="3" applyNumberFormat="1" applyFont="1" applyFill="1" applyBorder="1" applyAlignment="1">
      <alignment horizontal="center" vertical="center" shrinkToFit="1"/>
    </xf>
    <xf numFmtId="187" fontId="17" fillId="5" borderId="34" xfId="3" applyNumberFormat="1" applyFont="1" applyFill="1" applyBorder="1" applyAlignment="1">
      <alignment horizontal="right" vertical="center" shrinkToFit="1"/>
    </xf>
    <xf numFmtId="187" fontId="17" fillId="5" borderId="35" xfId="3" applyNumberFormat="1" applyFont="1" applyFill="1" applyBorder="1" applyAlignment="1">
      <alignment horizontal="right" vertical="center" shrinkToFit="1"/>
    </xf>
    <xf numFmtId="180" fontId="17" fillId="5" borderId="28" xfId="3" applyNumberFormat="1" applyFont="1" applyFill="1" applyBorder="1" applyAlignment="1">
      <alignment horizontal="center" vertical="center" shrinkToFit="1"/>
    </xf>
    <xf numFmtId="180" fontId="17" fillId="5" borderId="29" xfId="3" applyNumberFormat="1" applyFont="1" applyFill="1" applyBorder="1" applyAlignment="1">
      <alignment horizontal="center" vertical="center" shrinkToFit="1"/>
    </xf>
    <xf numFmtId="180" fontId="17" fillId="5" borderId="26" xfId="3" applyNumberFormat="1" applyFont="1" applyFill="1" applyBorder="1" applyAlignment="1">
      <alignment horizontal="center" vertical="center" shrinkToFit="1"/>
    </xf>
    <xf numFmtId="0" fontId="29" fillId="0" borderId="28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  <xf numFmtId="49" fontId="19" fillId="5" borderId="17" xfId="1" applyNumberFormat="1" applyFont="1" applyFill="1" applyBorder="1" applyAlignment="1">
      <alignment horizontal="center" vertical="center" shrinkToFit="1"/>
    </xf>
    <xf numFmtId="49" fontId="19" fillId="5" borderId="19" xfId="1" applyNumberFormat="1" applyFont="1" applyFill="1" applyBorder="1" applyAlignment="1">
      <alignment horizontal="center"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49" fontId="10" fillId="0" borderId="0" xfId="1" applyNumberFormat="1" applyFont="1" applyAlignment="1">
      <alignment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0" fillId="0" borderId="11" xfId="0" applyBorder="1" applyAlignment="1"/>
    <xf numFmtId="49" fontId="11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7" fillId="0" borderId="0" xfId="1" applyNumberFormat="1" applyFont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9" fillId="0" borderId="0" xfId="1" applyNumberFormat="1" applyFont="1" applyAlignment="1">
      <alignment vertical="center" shrinkToFit="1"/>
    </xf>
    <xf numFmtId="49" fontId="11" fillId="0" borderId="1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30" fillId="5" borderId="16" xfId="0" applyNumberFormat="1" applyFont="1" applyFill="1" applyBorder="1" applyAlignment="1">
      <alignment horizontal="center" vertical="top" shrinkToFit="1"/>
    </xf>
    <xf numFmtId="49" fontId="30" fillId="5" borderId="33" xfId="0" applyNumberFormat="1" applyFont="1" applyFill="1" applyBorder="1" applyAlignment="1">
      <alignment horizontal="center" vertical="top" shrinkToFit="1"/>
    </xf>
    <xf numFmtId="49" fontId="11" fillId="0" borderId="10" xfId="1" applyNumberFormat="1" applyFont="1" applyBorder="1" applyAlignment="1">
      <alignment horizontal="center" vertical="center" shrinkToFit="1"/>
    </xf>
    <xf numFmtId="0" fontId="17" fillId="4" borderId="17" xfId="0" applyFont="1" applyFill="1" applyBorder="1" applyAlignment="1">
      <alignment horizontal="center" vertical="center"/>
    </xf>
    <xf numFmtId="0" fontId="17" fillId="4" borderId="18" xfId="0" applyFont="1" applyFill="1" applyBorder="1" applyAlignment="1">
      <alignment horizontal="center" vertical="center"/>
    </xf>
    <xf numFmtId="180" fontId="21" fillId="6" borderId="22" xfId="0" applyNumberFormat="1" applyFont="1" applyFill="1" applyBorder="1" applyAlignment="1">
      <alignment horizontal="center" vertical="center" shrinkToFit="1"/>
    </xf>
    <xf numFmtId="180" fontId="21" fillId="6" borderId="15" xfId="0" applyNumberFormat="1" applyFont="1" applyFill="1" applyBorder="1" applyAlignment="1">
      <alignment horizontal="center" vertical="center" shrinkToFit="1"/>
    </xf>
    <xf numFmtId="181" fontId="21" fillId="0" borderId="15" xfId="1" applyNumberFormat="1" applyFont="1" applyBorder="1" applyAlignment="1">
      <alignment horizontal="center" vertical="center" shrinkToFit="1"/>
    </xf>
    <xf numFmtId="49" fontId="25" fillId="5" borderId="22" xfId="1" applyNumberFormat="1" applyFont="1" applyFill="1" applyBorder="1" applyAlignment="1">
      <alignment horizontal="center" vertical="center" wrapText="1" shrinkToFit="1"/>
    </xf>
    <xf numFmtId="180" fontId="19" fillId="6" borderId="15" xfId="0" applyNumberFormat="1" applyFont="1" applyFill="1" applyBorder="1" applyAlignment="1">
      <alignment horizontal="left" vertical="center" shrinkToFit="1"/>
    </xf>
    <xf numFmtId="180" fontId="19" fillId="6" borderId="23" xfId="0" applyNumberFormat="1" applyFont="1" applyFill="1" applyBorder="1" applyAlignment="1">
      <alignment horizontal="left" vertical="center" shrinkToFit="1"/>
    </xf>
    <xf numFmtId="49" fontId="11" fillId="0" borderId="5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9" fillId="6" borderId="29" xfId="0" applyNumberFormat="1" applyFont="1" applyFill="1" applyBorder="1" applyAlignment="1">
      <alignment horizontal="left" vertical="center" shrinkToFit="1"/>
    </xf>
    <xf numFmtId="180" fontId="19" fillId="6" borderId="26" xfId="0" applyNumberFormat="1" applyFont="1" applyFill="1" applyBorder="1" applyAlignment="1">
      <alignment horizontal="left"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8D90AFA0-0516-4433-AC4D-54504F5768ED}"/>
  </cellStyles>
  <dxfs count="4">
    <dxf>
      <font>
        <color theme="2" tint="-9.9948118533890809E-2"/>
      </font>
    </dxf>
    <dxf>
      <font>
        <color theme="0"/>
      </font>
    </dxf>
    <dxf>
      <font>
        <color theme="2" tint="-9.9948118533890809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4</xdr:row>
      <xdr:rowOff>133350</xdr:rowOff>
    </xdr:from>
    <xdr:to>
      <xdr:col>9</xdr:col>
      <xdr:colOff>628650</xdr:colOff>
      <xdr:row>7</xdr:row>
      <xdr:rowOff>19050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63DDB34-E032-37CD-D6B7-D2350A780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10600" y="857250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133351</xdr:colOff>
      <xdr:row>4</xdr:row>
      <xdr:rowOff>76201</xdr:rowOff>
    </xdr:from>
    <xdr:to>
      <xdr:col>8</xdr:col>
      <xdr:colOff>704851</xdr:colOff>
      <xdr:row>6</xdr:row>
      <xdr:rowOff>209551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CD94F054-BF21-5421-6808-4EA1D3656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48601" y="800101"/>
          <a:ext cx="571500" cy="57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aster/VFDB.xlsm" TargetMode="External"/><Relationship Id="rId2" Type="http://schemas.openxmlformats.org/officeDocument/2006/relationships/externalLinkPath" Target="https://d.docs.live.net/82d2b15137c379bc/work/SGT_cloud/master/VFDB.xlsm" TargetMode="External"/><Relationship Id="rId1" Type="http://schemas.openxmlformats.org/officeDocument/2006/relationships/externalLinkPath" Target="/82d2b15137c379bc/work/SGT_cloud/master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GT.xlsm" TargetMode="External"/><Relationship Id="rId2" Type="http://schemas.openxmlformats.org/officeDocument/2006/relationships/externalLinkPath" Target="https://d.docs.live.net/82d2b15137c379bc/work/SGT_cloud/SGT.xlsm" TargetMode="External"/><Relationship Id="rId1" Type="http://schemas.openxmlformats.org/officeDocument/2006/relationships/externalLinkPath" Target="/82d2b15137c379bc/work/SGT_cloud/SG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FDB2"/>
      <sheetName val="温度換算"/>
    </sheetNames>
    <sheetDataSet>
      <sheetData sheetId="0" refreshError="1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-0.5</v>
          </cell>
          <cell r="L5" t="str">
            <v>+0.5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灯具-2　L＝1996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J1ZAFJB00211835+</v>
          </cell>
          <cell r="J179" t="str">
            <v>-</v>
          </cell>
          <cell r="K179">
            <v>-2</v>
          </cell>
          <cell r="L179" t="str">
            <v>+2</v>
          </cell>
          <cell r="P179">
            <v>1</v>
          </cell>
          <cell r="R179" t="str">
            <v>ラベル2枚　長手有　鉢巻１</v>
          </cell>
          <cell r="V179" t="str">
            <v>梱包箱:灯具-1　L1370(隙間埋め)</v>
          </cell>
          <cell r="W179" t="str">
            <v>クラフト紙：1370型</v>
          </cell>
          <cell r="Z179" t="str">
            <v>灯具-1　L=1370</v>
          </cell>
          <cell r="AC179" t="str">
            <v>換算表確認</v>
          </cell>
        </row>
        <row r="180">
          <cell r="A180" t="str">
            <v>J1ZAFJB00208400+</v>
          </cell>
          <cell r="J180" t="str">
            <v>-</v>
          </cell>
          <cell r="K180">
            <v>-2</v>
          </cell>
          <cell r="L180" t="str">
            <v>+2</v>
          </cell>
          <cell r="P180">
            <v>1</v>
          </cell>
          <cell r="R180" t="str">
            <v>ラベル２枚　長手有　鉢巻無</v>
          </cell>
          <cell r="V180" t="str">
            <v>梱包箱:灯具-3　L=970(隙間埋め)</v>
          </cell>
          <cell r="W180" t="str">
            <v>クラフト紙：970型</v>
          </cell>
          <cell r="Z180" t="str">
            <v>灯具-3　L=970</v>
          </cell>
          <cell r="AC180" t="str">
            <v>換算表確認</v>
          </cell>
        </row>
        <row r="181">
          <cell r="A181" t="str">
            <v>J1ZAFJB00205470+</v>
          </cell>
          <cell r="J181" t="str">
            <v>-</v>
          </cell>
          <cell r="K181">
            <v>-2</v>
          </cell>
          <cell r="L181" t="str">
            <v>+2</v>
          </cell>
          <cell r="P181">
            <v>1</v>
          </cell>
          <cell r="R181" t="str">
            <v>ラベル２枚　長手有　鉢巻無</v>
          </cell>
          <cell r="V181" t="str">
            <v>梱包箱:灯具-1　L1370÷2</v>
          </cell>
          <cell r="W181" t="str">
            <v>クラフト紙：1370型　1/2</v>
          </cell>
          <cell r="Z181" t="str">
            <v>灯具-1　L=1370</v>
          </cell>
          <cell r="AC181" t="str">
            <v>換算表確認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取引"/>
      <sheetName val="日程"/>
      <sheetName val="加工記録２"/>
      <sheetName val="8FL管理"/>
      <sheetName val="納品明細書"/>
      <sheetName val="依頼書保管"/>
      <sheetName val="請求"/>
      <sheetName val="リマインダー管理"/>
      <sheetName val="非稼働日設定"/>
      <sheetName val="VFDB2"/>
      <sheetName val="温度換算"/>
      <sheetName val="指図書"/>
      <sheetName val="指図書 (2)"/>
      <sheetName val="網戸日程"/>
      <sheetName val="設定"/>
      <sheetName val="棚卸"/>
    </sheetNames>
    <sheetDataSet>
      <sheetData sheetId="0"/>
      <sheetData sheetId="1"/>
      <sheetData sheetId="2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M2" t="str">
            <v>加工Lot</v>
          </cell>
          <cell r="N2" t="str">
            <v>箱数</v>
          </cell>
        </row>
        <row r="3">
          <cell r="C3" t="str">
            <v>8FL281304 5010　L=888</v>
          </cell>
          <cell r="M3">
            <v>46171</v>
          </cell>
          <cell r="N3">
            <v>12</v>
          </cell>
          <cell r="P3">
            <v>46174</v>
          </cell>
          <cell r="R3">
            <v>7</v>
          </cell>
          <cell r="U3" t="str">
            <v>000000000014593</v>
          </cell>
        </row>
        <row r="4">
          <cell r="D4">
            <v>46170</v>
          </cell>
          <cell r="E4" t="str">
            <v>26E19-01</v>
          </cell>
          <cell r="M4">
            <v>46174</v>
          </cell>
          <cell r="N4">
            <v>8</v>
          </cell>
          <cell r="P4">
            <v>2000</v>
          </cell>
          <cell r="U4" t="str">
            <v>000000000014593</v>
          </cell>
        </row>
        <row r="5">
          <cell r="C5">
            <v>2000</v>
          </cell>
          <cell r="D5">
            <v>46170</v>
          </cell>
          <cell r="E5" t="str">
            <v>26E19-01</v>
          </cell>
          <cell r="F5">
            <v>400</v>
          </cell>
          <cell r="P5">
            <v>1006.5</v>
          </cell>
          <cell r="R5">
            <v>6</v>
          </cell>
          <cell r="U5" t="str">
            <v>000000000014593</v>
          </cell>
        </row>
        <row r="6">
          <cell r="C6">
            <v>2000</v>
          </cell>
          <cell r="D6">
            <v>46170</v>
          </cell>
          <cell r="E6" t="str">
            <v>26E19-01</v>
          </cell>
          <cell r="F6">
            <v>400</v>
          </cell>
          <cell r="P6">
            <v>13</v>
          </cell>
          <cell r="U6" t="str">
            <v>000000000014593</v>
          </cell>
        </row>
        <row r="7">
          <cell r="C7">
            <v>2</v>
          </cell>
          <cell r="D7">
            <v>46170</v>
          </cell>
          <cell r="E7" t="str">
            <v>26E19-01</v>
          </cell>
          <cell r="F7">
            <v>2</v>
          </cell>
          <cell r="P7">
            <v>6.5</v>
          </cell>
          <cell r="U7" t="str">
            <v>000000000014593</v>
          </cell>
        </row>
        <row r="8">
          <cell r="C8">
            <v>100</v>
          </cell>
          <cell r="D8">
            <v>46170</v>
          </cell>
          <cell r="E8" t="str">
            <v>26E20-02</v>
          </cell>
          <cell r="M8" t="str">
            <v>合計</v>
          </cell>
          <cell r="N8">
            <v>20</v>
          </cell>
          <cell r="P8">
            <v>0</v>
          </cell>
          <cell r="U8" t="str">
            <v>000000000014593</v>
          </cell>
        </row>
        <row r="9">
          <cell r="C9" t="str">
            <v>LED-A888</v>
          </cell>
          <cell r="D9">
            <v>46171</v>
          </cell>
          <cell r="E9" t="str">
            <v>26E20-02</v>
          </cell>
          <cell r="F9">
            <v>398</v>
          </cell>
          <cell r="M9" t="str">
            <v>入数</v>
          </cell>
          <cell r="N9">
            <v>2000</v>
          </cell>
          <cell r="P9">
            <v>2013</v>
          </cell>
          <cell r="U9" t="str">
            <v>000000000014593</v>
          </cell>
        </row>
        <row r="10">
          <cell r="D10">
            <v>46171</v>
          </cell>
          <cell r="E10" t="str">
            <v>26E20-02</v>
          </cell>
          <cell r="F10">
            <v>400</v>
          </cell>
          <cell r="M10" t="str">
            <v>作業者</v>
          </cell>
          <cell r="U10" t="str">
            <v>000000000014593</v>
          </cell>
        </row>
        <row r="11">
          <cell r="C11">
            <v>20</v>
          </cell>
          <cell r="D11">
            <v>46171</v>
          </cell>
          <cell r="E11" t="str">
            <v>26E20-02</v>
          </cell>
          <cell r="F11">
            <v>400</v>
          </cell>
          <cell r="M11" t="str">
            <v>I</v>
          </cell>
          <cell r="U11" t="str">
            <v>000000000014593</v>
          </cell>
        </row>
        <row r="12">
          <cell r="M12" t="str">
            <v>U</v>
          </cell>
          <cell r="N12" t="str">
            <v>T</v>
          </cell>
          <cell r="R12">
            <v>13</v>
          </cell>
          <cell r="U12" t="str">
            <v>000000000014593</v>
          </cell>
        </row>
        <row r="13">
          <cell r="D13" t="str">
            <v>不良補填</v>
          </cell>
          <cell r="E13" t="str">
            <v>26D21-09</v>
          </cell>
          <cell r="F13">
            <v>13</v>
          </cell>
          <cell r="U13" t="str">
            <v>000000000014593</v>
          </cell>
        </row>
        <row r="14">
          <cell r="C14" t="str">
            <v>採光ルーバーパネルB　L=1996</v>
          </cell>
          <cell r="D14">
            <v>46161</v>
          </cell>
          <cell r="E14" t="str">
            <v>26E13-03</v>
          </cell>
          <cell r="F14">
            <v>16</v>
          </cell>
          <cell r="M14">
            <v>46174</v>
          </cell>
          <cell r="N14">
            <v>2</v>
          </cell>
          <cell r="P14">
            <v>46175</v>
          </cell>
          <cell r="R14">
            <v>4</v>
          </cell>
          <cell r="U14" t="str">
            <v>000000000014639</v>
          </cell>
        </row>
        <row r="15">
          <cell r="D15">
            <v>46171</v>
          </cell>
          <cell r="E15" t="str">
            <v>26E13-04</v>
          </cell>
          <cell r="M15">
            <v>46175</v>
          </cell>
          <cell r="N15">
            <v>7</v>
          </cell>
          <cell r="P15">
            <v>378</v>
          </cell>
          <cell r="R15">
            <v>81</v>
          </cell>
          <cell r="U15" t="str">
            <v>000000000014639</v>
          </cell>
        </row>
        <row r="16">
          <cell r="C16">
            <v>378</v>
          </cell>
          <cell r="D16">
            <v>46171</v>
          </cell>
          <cell r="E16" t="str">
            <v>26E13-04</v>
          </cell>
          <cell r="P16">
            <v>463</v>
          </cell>
          <cell r="U16" t="str">
            <v>000000000014639</v>
          </cell>
        </row>
        <row r="17">
          <cell r="C17">
            <v>378</v>
          </cell>
          <cell r="D17">
            <v>46174</v>
          </cell>
          <cell r="E17" t="str">
            <v>26E13-04</v>
          </cell>
          <cell r="P17">
            <v>85</v>
          </cell>
          <cell r="U17" t="str">
            <v>000000000014639</v>
          </cell>
        </row>
        <row r="18">
          <cell r="C18">
            <v>1</v>
          </cell>
          <cell r="D18">
            <v>46174</v>
          </cell>
          <cell r="E18" t="str">
            <v>26E13-04</v>
          </cell>
          <cell r="F18">
            <v>384</v>
          </cell>
          <cell r="P18">
            <v>85</v>
          </cell>
          <cell r="U18" t="str">
            <v>000000000014639</v>
          </cell>
        </row>
        <row r="19">
          <cell r="C19">
            <v>42</v>
          </cell>
          <cell r="D19">
            <v>46174</v>
          </cell>
          <cell r="E19" t="str">
            <v>26E13-04</v>
          </cell>
          <cell r="F19">
            <v>17</v>
          </cell>
          <cell r="M19" t="str">
            <v>合計</v>
          </cell>
          <cell r="N19">
            <v>9</v>
          </cell>
          <cell r="P19">
            <v>0</v>
          </cell>
          <cell r="U19" t="str">
            <v>000000000014639</v>
          </cell>
        </row>
        <row r="20">
          <cell r="C20" t="str">
            <v>上-1</v>
          </cell>
          <cell r="D20">
            <v>46174</v>
          </cell>
          <cell r="E20" t="str">
            <v>26E14-05</v>
          </cell>
          <cell r="M20" t="str">
            <v>入数</v>
          </cell>
          <cell r="N20">
            <v>378</v>
          </cell>
          <cell r="P20">
            <v>463</v>
          </cell>
          <cell r="U20" t="str">
            <v>000000000014639</v>
          </cell>
        </row>
        <row r="21">
          <cell r="D21">
            <v>46174</v>
          </cell>
          <cell r="E21" t="str">
            <v>26E14-05</v>
          </cell>
          <cell r="F21">
            <v>46</v>
          </cell>
          <cell r="M21" t="str">
            <v>作業者</v>
          </cell>
          <cell r="U21" t="str">
            <v>000000000014639</v>
          </cell>
        </row>
        <row r="22">
          <cell r="C22">
            <v>9</v>
          </cell>
          <cell r="M22" t="str">
            <v>I</v>
          </cell>
          <cell r="U22" t="str">
            <v>000000000014639</v>
          </cell>
        </row>
        <row r="23">
          <cell r="M23" t="str">
            <v>U</v>
          </cell>
          <cell r="N23" t="str">
            <v>T</v>
          </cell>
          <cell r="R23">
            <v>85</v>
          </cell>
          <cell r="U23" t="str">
            <v>000000000014639</v>
          </cell>
        </row>
        <row r="24">
          <cell r="D24" t="str">
            <v>不良補填</v>
          </cell>
          <cell r="F24" t="str">
            <v/>
          </cell>
          <cell r="U24" t="str">
            <v>000000000014639</v>
          </cell>
        </row>
        <row r="25">
          <cell r="C25" t="str">
            <v>採光ルーバーパネルB　L=1996</v>
          </cell>
          <cell r="D25">
            <v>46174</v>
          </cell>
          <cell r="E25" t="str">
            <v>26E14-05</v>
          </cell>
          <cell r="M25">
            <v>46175</v>
          </cell>
          <cell r="N25">
            <v>1</v>
          </cell>
          <cell r="P25">
            <v>46175</v>
          </cell>
          <cell r="R25">
            <v>1</v>
          </cell>
          <cell r="U25" t="str">
            <v>000000000014895</v>
          </cell>
        </row>
        <row r="26">
          <cell r="D26">
            <v>46174</v>
          </cell>
          <cell r="E26" t="str">
            <v>26E14-05</v>
          </cell>
          <cell r="P26">
            <v>42</v>
          </cell>
          <cell r="R26">
            <v>18</v>
          </cell>
          <cell r="U26" t="str">
            <v>000000000014895</v>
          </cell>
        </row>
        <row r="27">
          <cell r="C27">
            <v>42</v>
          </cell>
          <cell r="D27">
            <v>46174</v>
          </cell>
          <cell r="E27" t="str">
            <v>26E14-05</v>
          </cell>
          <cell r="F27">
            <v>62</v>
          </cell>
          <cell r="P27">
            <v>62</v>
          </cell>
          <cell r="R27">
            <v>1</v>
          </cell>
          <cell r="U27" t="str">
            <v>000000000014895</v>
          </cell>
        </row>
        <row r="28">
          <cell r="C28">
            <v>42</v>
          </cell>
          <cell r="P28">
            <v>20</v>
          </cell>
          <cell r="U28" t="str">
            <v>000000000014895</v>
          </cell>
        </row>
        <row r="29">
          <cell r="C29">
            <v>1</v>
          </cell>
          <cell r="P29">
            <v>20</v>
          </cell>
          <cell r="U29" t="str">
            <v>000000000014895</v>
          </cell>
        </row>
        <row r="30">
          <cell r="C30">
            <v>42</v>
          </cell>
          <cell r="M30" t="str">
            <v>合計</v>
          </cell>
          <cell r="N30">
            <v>1</v>
          </cell>
          <cell r="P30">
            <v>0</v>
          </cell>
          <cell r="U30" t="str">
            <v>000000000014895</v>
          </cell>
        </row>
        <row r="31">
          <cell r="C31" t="str">
            <v>上-1</v>
          </cell>
          <cell r="M31" t="str">
            <v>入数</v>
          </cell>
          <cell r="N31">
            <v>42</v>
          </cell>
          <cell r="P31">
            <v>62</v>
          </cell>
          <cell r="U31" t="str">
            <v>000000000014895</v>
          </cell>
        </row>
        <row r="32">
          <cell r="M32" t="str">
            <v>作業者</v>
          </cell>
          <cell r="U32" t="str">
            <v>000000000014895</v>
          </cell>
        </row>
        <row r="33">
          <cell r="C33">
            <v>1</v>
          </cell>
          <cell r="M33" t="str">
            <v>I</v>
          </cell>
          <cell r="U33" t="str">
            <v>000000000014895</v>
          </cell>
        </row>
        <row r="34">
          <cell r="M34" t="str">
            <v>T</v>
          </cell>
          <cell r="R34">
            <v>20</v>
          </cell>
          <cell r="U34" t="str">
            <v>000000000014895</v>
          </cell>
        </row>
        <row r="35">
          <cell r="D35" t="str">
            <v>不良補填</v>
          </cell>
          <cell r="F35" t="str">
            <v/>
          </cell>
          <cell r="U35" t="str">
            <v>000000000014895</v>
          </cell>
        </row>
        <row r="36">
          <cell r="C36" t="str">
            <v>8FL281304 6110　L=1478</v>
          </cell>
          <cell r="M36">
            <v>46175</v>
          </cell>
          <cell r="N36">
            <v>2</v>
          </cell>
          <cell r="P36">
            <v>46176</v>
          </cell>
          <cell r="R36">
            <v>2</v>
          </cell>
          <cell r="U36" t="str">
            <v>000000000014602</v>
          </cell>
        </row>
        <row r="37">
          <cell r="D37">
            <v>46174</v>
          </cell>
          <cell r="E37" t="str">
            <v>26E20-02</v>
          </cell>
          <cell r="M37">
            <v>46176</v>
          </cell>
          <cell r="N37">
            <v>1</v>
          </cell>
          <cell r="P37">
            <v>300</v>
          </cell>
          <cell r="U37" t="str">
            <v>000000000014602</v>
          </cell>
        </row>
        <row r="38">
          <cell r="C38">
            <v>300</v>
          </cell>
          <cell r="D38">
            <v>46174</v>
          </cell>
          <cell r="E38" t="str">
            <v>26E20-02</v>
          </cell>
          <cell r="F38">
            <v>201</v>
          </cell>
          <cell r="P38">
            <v>302</v>
          </cell>
          <cell r="U38" t="str">
            <v>000000000014602</v>
          </cell>
        </row>
        <row r="39">
          <cell r="C39">
            <v>300</v>
          </cell>
          <cell r="D39">
            <v>46174</v>
          </cell>
          <cell r="E39" t="str">
            <v>26E21-03</v>
          </cell>
          <cell r="P39">
            <v>2</v>
          </cell>
          <cell r="U39" t="str">
            <v>000000000014602</v>
          </cell>
        </row>
        <row r="40">
          <cell r="C40">
            <v>1</v>
          </cell>
          <cell r="D40">
            <v>46174</v>
          </cell>
          <cell r="E40" t="str">
            <v>26E21-03</v>
          </cell>
          <cell r="F40">
            <v>99</v>
          </cell>
          <cell r="P40">
            <v>2</v>
          </cell>
          <cell r="U40" t="str">
            <v>000000000014602</v>
          </cell>
        </row>
        <row r="41">
          <cell r="C41">
            <v>100</v>
          </cell>
          <cell r="M41" t="str">
            <v>合計</v>
          </cell>
          <cell r="N41">
            <v>3</v>
          </cell>
          <cell r="P41">
            <v>0</v>
          </cell>
          <cell r="U41" t="str">
            <v>000000000014602</v>
          </cell>
        </row>
        <row r="42">
          <cell r="C42" t="str">
            <v>LED-A1478</v>
          </cell>
          <cell r="M42" t="str">
            <v>入数</v>
          </cell>
          <cell r="N42">
            <v>300</v>
          </cell>
          <cell r="P42">
            <v>302</v>
          </cell>
          <cell r="U42" t="str">
            <v>000000000014602</v>
          </cell>
        </row>
        <row r="43">
          <cell r="M43" t="str">
            <v>作業者</v>
          </cell>
          <cell r="U43" t="str">
            <v>000000000014602</v>
          </cell>
        </row>
        <row r="44">
          <cell r="C44">
            <v>3</v>
          </cell>
          <cell r="M44" t="str">
            <v>I</v>
          </cell>
          <cell r="U44" t="str">
            <v>000000000014602</v>
          </cell>
        </row>
        <row r="45">
          <cell r="M45" t="str">
            <v>U</v>
          </cell>
          <cell r="N45" t="str">
            <v>T</v>
          </cell>
          <cell r="R45">
            <v>2</v>
          </cell>
          <cell r="U45" t="str">
            <v>000000000014602</v>
          </cell>
        </row>
        <row r="46">
          <cell r="D46" t="str">
            <v>不良補填</v>
          </cell>
          <cell r="E46" t="str">
            <v>26D18-08</v>
          </cell>
          <cell r="F46">
            <v>2</v>
          </cell>
          <cell r="U46" t="str">
            <v>000000000014602</v>
          </cell>
        </row>
        <row r="47">
          <cell r="C47" t="str">
            <v>8FL281304 6110　L=1478</v>
          </cell>
          <cell r="M47">
            <v>46176</v>
          </cell>
          <cell r="N47">
            <v>1</v>
          </cell>
          <cell r="P47">
            <v>46176</v>
          </cell>
          <cell r="R47">
            <v>1</v>
          </cell>
          <cell r="U47" t="str">
            <v>000000000014603</v>
          </cell>
        </row>
        <row r="48">
          <cell r="D48">
            <v>46174</v>
          </cell>
          <cell r="E48" t="str">
            <v>26E21-03</v>
          </cell>
          <cell r="P48">
            <v>100</v>
          </cell>
          <cell r="U48" t="str">
            <v>000000000014603</v>
          </cell>
        </row>
        <row r="49">
          <cell r="C49">
            <v>100</v>
          </cell>
          <cell r="D49">
            <v>46175</v>
          </cell>
          <cell r="E49" t="str">
            <v>26E21-03</v>
          </cell>
          <cell r="P49">
            <v>101</v>
          </cell>
          <cell r="U49" t="str">
            <v>000000000014603</v>
          </cell>
        </row>
        <row r="50">
          <cell r="C50">
            <v>100</v>
          </cell>
          <cell r="D50">
            <v>46175</v>
          </cell>
          <cell r="E50" t="str">
            <v>26E21-03</v>
          </cell>
          <cell r="F50">
            <v>100</v>
          </cell>
          <cell r="P50">
            <v>1</v>
          </cell>
          <cell r="U50" t="str">
            <v>000000000014603</v>
          </cell>
        </row>
        <row r="51">
          <cell r="C51">
            <v>1</v>
          </cell>
          <cell r="P51">
            <v>1</v>
          </cell>
          <cell r="U51" t="str">
            <v>000000000014603</v>
          </cell>
        </row>
        <row r="52">
          <cell r="C52">
            <v>100</v>
          </cell>
          <cell r="M52" t="str">
            <v>合計</v>
          </cell>
          <cell r="N52">
            <v>1</v>
          </cell>
          <cell r="P52">
            <v>0</v>
          </cell>
          <cell r="U52" t="str">
            <v>000000000014603</v>
          </cell>
        </row>
        <row r="53">
          <cell r="C53" t="str">
            <v>LED-A1478</v>
          </cell>
          <cell r="M53" t="str">
            <v>入数</v>
          </cell>
          <cell r="N53">
            <v>100</v>
          </cell>
          <cell r="P53">
            <v>101</v>
          </cell>
          <cell r="U53" t="str">
            <v>000000000014603</v>
          </cell>
        </row>
        <row r="54">
          <cell r="M54" t="str">
            <v>作業者</v>
          </cell>
          <cell r="U54" t="str">
            <v>000000000014603</v>
          </cell>
        </row>
        <row r="55">
          <cell r="C55">
            <v>1</v>
          </cell>
          <cell r="M55" t="str">
            <v>I</v>
          </cell>
          <cell r="U55" t="str">
            <v>000000000014603</v>
          </cell>
        </row>
        <row r="56">
          <cell r="M56" t="str">
            <v>T</v>
          </cell>
          <cell r="R56">
            <v>1</v>
          </cell>
          <cell r="U56" t="str">
            <v>000000000014603</v>
          </cell>
        </row>
        <row r="57">
          <cell r="D57" t="str">
            <v>不良補填</v>
          </cell>
          <cell r="E57" t="str">
            <v>26d18-03</v>
          </cell>
          <cell r="F57">
            <v>1</v>
          </cell>
          <cell r="U57" t="str">
            <v>000000000014603</v>
          </cell>
        </row>
        <row r="58">
          <cell r="C58" t="str">
            <v>8FL281304 6110　L=1478</v>
          </cell>
          <cell r="M58">
            <v>46176</v>
          </cell>
          <cell r="N58">
            <v>2</v>
          </cell>
          <cell r="P58">
            <v>46176</v>
          </cell>
          <cell r="R58">
            <v>1</v>
          </cell>
          <cell r="U58" t="str">
            <v>000000000014847</v>
          </cell>
        </row>
        <row r="59">
          <cell r="D59">
            <v>46175</v>
          </cell>
          <cell r="E59" t="str">
            <v>26E21-03</v>
          </cell>
          <cell r="P59">
            <v>200</v>
          </cell>
          <cell r="U59" t="str">
            <v>000000000014847</v>
          </cell>
        </row>
        <row r="60">
          <cell r="C60">
            <v>200</v>
          </cell>
          <cell r="D60">
            <v>46175</v>
          </cell>
          <cell r="E60" t="str">
            <v>26E21-03</v>
          </cell>
          <cell r="F60">
            <v>200</v>
          </cell>
          <cell r="P60">
            <v>201</v>
          </cell>
          <cell r="U60" t="str">
            <v>000000000014847</v>
          </cell>
        </row>
        <row r="61">
          <cell r="C61">
            <v>200</v>
          </cell>
          <cell r="P61">
            <v>1</v>
          </cell>
          <cell r="U61" t="str">
            <v>000000000014847</v>
          </cell>
        </row>
        <row r="62">
          <cell r="C62">
            <v>1</v>
          </cell>
          <cell r="P62">
            <v>1</v>
          </cell>
          <cell r="U62" t="str">
            <v>000000000014847</v>
          </cell>
        </row>
        <row r="63">
          <cell r="C63">
            <v>100</v>
          </cell>
          <cell r="M63" t="str">
            <v>合計</v>
          </cell>
          <cell r="N63">
            <v>2</v>
          </cell>
          <cell r="P63">
            <v>0</v>
          </cell>
          <cell r="U63" t="str">
            <v>000000000014847</v>
          </cell>
        </row>
        <row r="64">
          <cell r="C64" t="str">
            <v>LED-A1478</v>
          </cell>
          <cell r="M64" t="str">
            <v>入数</v>
          </cell>
          <cell r="N64">
            <v>200</v>
          </cell>
          <cell r="P64">
            <v>201</v>
          </cell>
          <cell r="U64" t="str">
            <v>000000000014847</v>
          </cell>
        </row>
        <row r="65">
          <cell r="M65" t="str">
            <v>作業者</v>
          </cell>
          <cell r="U65" t="str">
            <v>000000000014847</v>
          </cell>
        </row>
        <row r="66">
          <cell r="C66">
            <v>2</v>
          </cell>
          <cell r="M66" t="str">
            <v>I</v>
          </cell>
          <cell r="U66" t="str">
            <v>000000000014847</v>
          </cell>
        </row>
        <row r="67">
          <cell r="M67" t="str">
            <v>T</v>
          </cell>
          <cell r="R67">
            <v>1</v>
          </cell>
          <cell r="U67" t="str">
            <v>000000000014847</v>
          </cell>
        </row>
        <row r="68">
          <cell r="D68" t="str">
            <v>不良補填</v>
          </cell>
          <cell r="E68" t="str">
            <v>26E21-03</v>
          </cell>
          <cell r="F68">
            <v>1</v>
          </cell>
          <cell r="U68" t="str">
            <v>000000000014847</v>
          </cell>
        </row>
        <row r="69">
          <cell r="C69" t="str">
            <v>8FL281304 5010　L=888</v>
          </cell>
          <cell r="D69">
            <v>46156</v>
          </cell>
          <cell r="E69" t="str">
            <v>26D21-09</v>
          </cell>
          <cell r="F69">
            <v>5</v>
          </cell>
          <cell r="M69">
            <v>46176</v>
          </cell>
          <cell r="N69">
            <v>1</v>
          </cell>
          <cell r="P69">
            <v>46176</v>
          </cell>
          <cell r="R69">
            <v>1</v>
          </cell>
          <cell r="U69" t="str">
            <v>000000000014594</v>
          </cell>
        </row>
        <row r="70">
          <cell r="D70">
            <v>46175</v>
          </cell>
          <cell r="E70" t="str">
            <v>26E21-03</v>
          </cell>
          <cell r="P70">
            <v>100</v>
          </cell>
          <cell r="U70" t="str">
            <v>000000000014594</v>
          </cell>
        </row>
        <row r="71">
          <cell r="C71">
            <v>100</v>
          </cell>
          <cell r="D71">
            <v>46175</v>
          </cell>
          <cell r="E71" t="str">
            <v>26E21-03</v>
          </cell>
          <cell r="F71">
            <v>95</v>
          </cell>
          <cell r="P71">
            <v>50.5</v>
          </cell>
          <cell r="U71" t="str">
            <v>000000000014594</v>
          </cell>
        </row>
        <row r="72">
          <cell r="C72">
            <v>100</v>
          </cell>
          <cell r="P72">
            <v>1</v>
          </cell>
          <cell r="U72" t="str">
            <v>000000000014594</v>
          </cell>
        </row>
        <row r="73">
          <cell r="C73">
            <v>2</v>
          </cell>
          <cell r="P73">
            <v>0.5</v>
          </cell>
          <cell r="U73" t="str">
            <v>000000000014594</v>
          </cell>
        </row>
        <row r="74">
          <cell r="C74">
            <v>100</v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000000000014594</v>
          </cell>
        </row>
        <row r="75">
          <cell r="C75" t="str">
            <v>LED-A888</v>
          </cell>
          <cell r="M75" t="str">
            <v>入数</v>
          </cell>
          <cell r="N75">
            <v>100</v>
          </cell>
          <cell r="P75">
            <v>101</v>
          </cell>
          <cell r="U75" t="str">
            <v>000000000014594</v>
          </cell>
        </row>
        <row r="76">
          <cell r="M76" t="str">
            <v>作業者</v>
          </cell>
          <cell r="U76" t="str">
            <v>000000000014594</v>
          </cell>
        </row>
        <row r="77">
          <cell r="C77">
            <v>1</v>
          </cell>
          <cell r="M77" t="str">
            <v>I</v>
          </cell>
          <cell r="U77" t="str">
            <v>000000000014594</v>
          </cell>
        </row>
        <row r="78">
          <cell r="M78" t="str">
            <v>T</v>
          </cell>
          <cell r="R78">
            <v>1</v>
          </cell>
          <cell r="U78" t="str">
            <v>000000000014594</v>
          </cell>
        </row>
        <row r="79">
          <cell r="D79" t="str">
            <v>不良補填</v>
          </cell>
          <cell r="E79" t="str">
            <v>26E21-03</v>
          </cell>
          <cell r="F79">
            <v>1</v>
          </cell>
          <cell r="U79" t="str">
            <v>000000000014594</v>
          </cell>
        </row>
        <row r="80">
          <cell r="C80" t="str">
            <v>8FL281304 8310　L=748</v>
          </cell>
          <cell r="D80">
            <v>46100</v>
          </cell>
          <cell r="E80" t="str">
            <v>26B28-05</v>
          </cell>
          <cell r="F80">
            <v>5</v>
          </cell>
          <cell r="M80">
            <v>46176</v>
          </cell>
          <cell r="N80">
            <v>4</v>
          </cell>
          <cell r="P80">
            <v>46176</v>
          </cell>
          <cell r="U80" t="str">
            <v>000000000014580</v>
          </cell>
        </row>
        <row r="81">
          <cell r="D81">
            <v>46175</v>
          </cell>
          <cell r="E81" t="str">
            <v>26E21-03</v>
          </cell>
          <cell r="P81">
            <v>400</v>
          </cell>
          <cell r="U81" t="str">
            <v>000000000014580</v>
          </cell>
        </row>
        <row r="82">
          <cell r="C82">
            <v>400</v>
          </cell>
          <cell r="D82">
            <v>46176</v>
          </cell>
          <cell r="E82" t="str">
            <v>26E21-03</v>
          </cell>
          <cell r="P82">
            <v>200</v>
          </cell>
          <cell r="U82" t="str">
            <v>000000000014580</v>
          </cell>
        </row>
        <row r="83">
          <cell r="C83">
            <v>400</v>
          </cell>
          <cell r="D83">
            <v>46176</v>
          </cell>
          <cell r="E83" t="str">
            <v>26E21-03</v>
          </cell>
          <cell r="F83">
            <v>395</v>
          </cell>
          <cell r="P83">
            <v>0</v>
          </cell>
          <cell r="U83" t="str">
            <v>000000000014580</v>
          </cell>
        </row>
        <row r="84">
          <cell r="C84">
            <v>2</v>
          </cell>
          <cell r="P84">
            <v>0</v>
          </cell>
          <cell r="U84" t="str">
            <v>000000000014580</v>
          </cell>
        </row>
        <row r="85">
          <cell r="C85">
            <v>100</v>
          </cell>
          <cell r="M85" t="str">
            <v>合計</v>
          </cell>
          <cell r="N85">
            <v>4</v>
          </cell>
          <cell r="P85">
            <v>0</v>
          </cell>
          <cell r="U85" t="str">
            <v>000000000014580</v>
          </cell>
        </row>
        <row r="86">
          <cell r="C86" t="str">
            <v>LED-A888</v>
          </cell>
          <cell r="M86" t="str">
            <v>入数</v>
          </cell>
          <cell r="N86">
            <v>400</v>
          </cell>
          <cell r="P86">
            <v>400</v>
          </cell>
          <cell r="U86" t="str">
            <v>000000000014580</v>
          </cell>
        </row>
        <row r="87">
          <cell r="M87" t="str">
            <v>作業者</v>
          </cell>
          <cell r="U87" t="str">
            <v>000000000014580</v>
          </cell>
        </row>
        <row r="88">
          <cell r="C88">
            <v>4</v>
          </cell>
          <cell r="M88" t="str">
            <v>I</v>
          </cell>
          <cell r="U88" t="str">
            <v>000000000014580</v>
          </cell>
        </row>
        <row r="89">
          <cell r="M89" t="str">
            <v>T</v>
          </cell>
          <cell r="R89">
            <v>0</v>
          </cell>
          <cell r="U89" t="str">
            <v>000000000014580</v>
          </cell>
        </row>
        <row r="90">
          <cell r="D90" t="str">
            <v>不良補填</v>
          </cell>
          <cell r="F90">
            <v>0</v>
          </cell>
          <cell r="U90" t="str">
            <v>000000000014580</v>
          </cell>
        </row>
        <row r="91">
          <cell r="C91" t="str">
            <v>GA-770 (特注)BR</v>
          </cell>
          <cell r="M91">
            <v>46176</v>
          </cell>
          <cell r="N91">
            <v>1</v>
          </cell>
          <cell r="P91">
            <v>46176</v>
          </cell>
          <cell r="U91" t="str">
            <v>000000000014963</v>
          </cell>
        </row>
        <row r="92">
          <cell r="D92">
            <v>46176</v>
          </cell>
          <cell r="E92" t="str">
            <v>26B21B-02</v>
          </cell>
          <cell r="P92">
            <v>6</v>
          </cell>
          <cell r="U92" t="str">
            <v>000000000014963</v>
          </cell>
        </row>
        <row r="93">
          <cell r="C93">
            <v>6</v>
          </cell>
          <cell r="D93">
            <v>46176</v>
          </cell>
          <cell r="E93" t="str">
            <v>26B21B-02</v>
          </cell>
          <cell r="F93">
            <v>7</v>
          </cell>
          <cell r="P93">
            <v>284</v>
          </cell>
          <cell r="U93" t="str">
            <v>000000000014963</v>
          </cell>
        </row>
        <row r="94">
          <cell r="C94">
            <v>6</v>
          </cell>
          <cell r="P94">
            <v>1</v>
          </cell>
          <cell r="U94" t="str">
            <v>000000000014963</v>
          </cell>
        </row>
        <row r="95">
          <cell r="C95">
            <v>1</v>
          </cell>
          <cell r="P95">
            <v>1</v>
          </cell>
          <cell r="U95" t="str">
            <v>000000000014963</v>
          </cell>
        </row>
        <row r="96">
          <cell r="C96">
            <v>6</v>
          </cell>
          <cell r="M96" t="str">
            <v>合計</v>
          </cell>
          <cell r="N96">
            <v>1</v>
          </cell>
          <cell r="P96">
            <v>0</v>
          </cell>
          <cell r="U96" t="str">
            <v>000000000014963</v>
          </cell>
        </row>
        <row r="97">
          <cell r="C97" t="str">
            <v>SB-246</v>
          </cell>
          <cell r="M97" t="str">
            <v>入数</v>
          </cell>
          <cell r="N97">
            <v>6</v>
          </cell>
          <cell r="P97">
            <v>7</v>
          </cell>
          <cell r="U97" t="str">
            <v>000000000014963</v>
          </cell>
        </row>
        <row r="98">
          <cell r="M98" t="str">
            <v>作業者</v>
          </cell>
          <cell r="U98" t="str">
            <v>000000000014963</v>
          </cell>
        </row>
        <row r="99">
          <cell r="C99">
            <v>1</v>
          </cell>
          <cell r="M99" t="str">
            <v>I</v>
          </cell>
          <cell r="R99">
            <v>1</v>
          </cell>
          <cell r="U99" t="str">
            <v>000000000014963</v>
          </cell>
        </row>
        <row r="100">
          <cell r="R100">
            <v>1</v>
          </cell>
          <cell r="U100" t="str">
            <v>000000000014963</v>
          </cell>
        </row>
        <row r="101">
          <cell r="D101" t="str">
            <v>不良補填</v>
          </cell>
          <cell r="F101" t="str">
            <v/>
          </cell>
          <cell r="U101" t="str">
            <v>000000000014963</v>
          </cell>
        </row>
        <row r="102">
          <cell r="C102" t="str">
            <v>灯具カバーPC IN 2130　L=908</v>
          </cell>
          <cell r="D102">
            <v>46163</v>
          </cell>
          <cell r="E102" t="str">
            <v>26E18-01</v>
          </cell>
          <cell r="F102">
            <v>1</v>
          </cell>
          <cell r="M102">
            <v>46176</v>
          </cell>
          <cell r="N102">
            <v>3</v>
          </cell>
          <cell r="P102">
            <v>46177</v>
          </cell>
          <cell r="R102">
            <v>23</v>
          </cell>
          <cell r="U102" t="str">
            <v>000000000014330</v>
          </cell>
        </row>
        <row r="103">
          <cell r="D103">
            <v>46176</v>
          </cell>
          <cell r="E103" t="str">
            <v>26E19-02</v>
          </cell>
          <cell r="M103">
            <v>46177</v>
          </cell>
          <cell r="N103">
            <v>7</v>
          </cell>
          <cell r="P103">
            <v>160</v>
          </cell>
          <cell r="R103">
            <v>18</v>
          </cell>
          <cell r="U103" t="str">
            <v>000000000014330</v>
          </cell>
        </row>
        <row r="104">
          <cell r="C104">
            <v>160</v>
          </cell>
          <cell r="D104">
            <v>46177</v>
          </cell>
          <cell r="E104" t="str">
            <v>26E19-02</v>
          </cell>
          <cell r="F104">
            <v>200</v>
          </cell>
          <cell r="P104">
            <v>201</v>
          </cell>
          <cell r="U104" t="str">
            <v>000000000014330</v>
          </cell>
        </row>
        <row r="105">
          <cell r="C105">
            <v>160</v>
          </cell>
          <cell r="P105">
            <v>41</v>
          </cell>
          <cell r="U105" t="str">
            <v>000000000014330</v>
          </cell>
        </row>
        <row r="106">
          <cell r="C106">
            <v>1</v>
          </cell>
          <cell r="P106">
            <v>41</v>
          </cell>
          <cell r="U106" t="str">
            <v>000000000014330</v>
          </cell>
        </row>
        <row r="107">
          <cell r="C107">
            <v>16</v>
          </cell>
          <cell r="M107" t="str">
            <v>合計</v>
          </cell>
          <cell r="N107">
            <v>10</v>
          </cell>
          <cell r="P107">
            <v>0</v>
          </cell>
          <cell r="U107" t="str">
            <v>000000000014330</v>
          </cell>
        </row>
        <row r="108">
          <cell r="C108" t="str">
            <v>灯具-3　L=970</v>
          </cell>
          <cell r="M108" t="str">
            <v>入数</v>
          </cell>
          <cell r="N108">
            <v>160</v>
          </cell>
          <cell r="P108">
            <v>201</v>
          </cell>
          <cell r="U108" t="str">
            <v>000000000014330</v>
          </cell>
        </row>
        <row r="109">
          <cell r="M109" t="str">
            <v>作業者</v>
          </cell>
          <cell r="U109" t="str">
            <v>000000000014330</v>
          </cell>
        </row>
        <row r="110">
          <cell r="C110">
            <v>10</v>
          </cell>
          <cell r="U110" t="str">
            <v>000000000014330</v>
          </cell>
        </row>
        <row r="111">
          <cell r="M111" t="str">
            <v>I</v>
          </cell>
          <cell r="N111" t="str">
            <v>T</v>
          </cell>
          <cell r="R111">
            <v>41</v>
          </cell>
          <cell r="U111" t="str">
            <v>000000000014330</v>
          </cell>
        </row>
        <row r="112">
          <cell r="D112" t="str">
            <v>不良補填</v>
          </cell>
          <cell r="F112" t="str">
            <v/>
          </cell>
          <cell r="U112" t="str">
            <v>000000000014330</v>
          </cell>
        </row>
        <row r="113">
          <cell r="C113" t="str">
            <v>灯具カバーPC IN 2050　L=1183.5</v>
          </cell>
          <cell r="D113">
            <v>46167</v>
          </cell>
          <cell r="E113" t="str">
            <v>26E19-01</v>
          </cell>
          <cell r="F113">
            <v>1</v>
          </cell>
          <cell r="M113">
            <v>46177</v>
          </cell>
          <cell r="N113">
            <v>10</v>
          </cell>
          <cell r="P113">
            <v>46177</v>
          </cell>
          <cell r="R113">
            <v>22</v>
          </cell>
          <cell r="U113" t="str">
            <v>000000000014332</v>
          </cell>
        </row>
        <row r="114">
          <cell r="D114">
            <v>46177</v>
          </cell>
          <cell r="E114" t="str">
            <v>26E19-02</v>
          </cell>
          <cell r="F114">
            <v>200</v>
          </cell>
          <cell r="P114">
            <v>160</v>
          </cell>
          <cell r="R114">
            <v>19</v>
          </cell>
          <cell r="U114" t="str">
            <v>000000000014332</v>
          </cell>
        </row>
        <row r="115">
          <cell r="C115">
            <v>160</v>
          </cell>
          <cell r="P115">
            <v>201</v>
          </cell>
          <cell r="U115" t="str">
            <v>000000000014332</v>
          </cell>
        </row>
        <row r="116">
          <cell r="C116">
            <v>160</v>
          </cell>
          <cell r="P116">
            <v>41</v>
          </cell>
          <cell r="U116" t="str">
            <v>000000000014332</v>
          </cell>
        </row>
        <row r="117">
          <cell r="C117">
            <v>1</v>
          </cell>
          <cell r="P117">
            <v>41</v>
          </cell>
          <cell r="U117" t="str">
            <v>000000000014332</v>
          </cell>
        </row>
        <row r="118">
          <cell r="C118">
            <v>16</v>
          </cell>
          <cell r="M118" t="str">
            <v>合計</v>
          </cell>
          <cell r="N118">
            <v>10</v>
          </cell>
          <cell r="P118">
            <v>0</v>
          </cell>
          <cell r="U118" t="str">
            <v>000000000014332</v>
          </cell>
        </row>
        <row r="119">
          <cell r="C119" t="str">
            <v>灯具-1　L=1370</v>
          </cell>
          <cell r="M119" t="str">
            <v>入数</v>
          </cell>
          <cell r="N119">
            <v>160</v>
          </cell>
          <cell r="P119">
            <v>201</v>
          </cell>
          <cell r="U119" t="str">
            <v>000000000014332</v>
          </cell>
        </row>
        <row r="120">
          <cell r="M120" t="str">
            <v>作業者</v>
          </cell>
          <cell r="U120" t="str">
            <v>000000000014332</v>
          </cell>
        </row>
        <row r="121">
          <cell r="C121">
            <v>10</v>
          </cell>
          <cell r="U121" t="str">
            <v>000000000014332</v>
          </cell>
        </row>
        <row r="122">
          <cell r="M122" t="str">
            <v>T</v>
          </cell>
          <cell r="N122" t="str">
            <v>I</v>
          </cell>
          <cell r="R122">
            <v>41</v>
          </cell>
          <cell r="U122" t="str">
            <v>000000000014332</v>
          </cell>
        </row>
        <row r="123">
          <cell r="D123" t="str">
            <v>不良補填</v>
          </cell>
          <cell r="F123" t="str">
            <v/>
          </cell>
          <cell r="U123" t="str">
            <v>000000000014332</v>
          </cell>
        </row>
        <row r="124">
          <cell r="C124" t="str">
            <v>灯具カバーPC IN 2080　L=1540</v>
          </cell>
          <cell r="D124">
            <v>46128</v>
          </cell>
          <cell r="E124" t="str">
            <v>26D14-01</v>
          </cell>
          <cell r="F124">
            <v>9</v>
          </cell>
          <cell r="M124">
            <v>46178</v>
          </cell>
          <cell r="N124">
            <v>5</v>
          </cell>
          <cell r="P124">
            <v>46178</v>
          </cell>
          <cell r="R124">
            <v>6</v>
          </cell>
          <cell r="U124" t="str">
            <v>000000000014333</v>
          </cell>
        </row>
        <row r="125">
          <cell r="D125">
            <v>46178</v>
          </cell>
          <cell r="E125" t="str">
            <v>26E22-01</v>
          </cell>
          <cell r="F125">
            <v>87</v>
          </cell>
          <cell r="P125">
            <v>80</v>
          </cell>
          <cell r="R125">
            <v>10</v>
          </cell>
          <cell r="U125" t="str">
            <v>000000000014333</v>
          </cell>
        </row>
        <row r="126">
          <cell r="C126">
            <v>80</v>
          </cell>
          <cell r="P126">
            <v>96</v>
          </cell>
          <cell r="U126" t="str">
            <v>000000000014333</v>
          </cell>
        </row>
        <row r="127">
          <cell r="C127">
            <v>80</v>
          </cell>
          <cell r="P127">
            <v>16</v>
          </cell>
          <cell r="U127" t="str">
            <v>000000000014333</v>
          </cell>
        </row>
        <row r="128">
          <cell r="C128">
            <v>1</v>
          </cell>
          <cell r="P128">
            <v>16</v>
          </cell>
          <cell r="U128" t="str">
            <v>000000000014333</v>
          </cell>
        </row>
        <row r="129">
          <cell r="C129">
            <v>16</v>
          </cell>
          <cell r="M129" t="str">
            <v>合計</v>
          </cell>
          <cell r="N129">
            <v>5</v>
          </cell>
          <cell r="P129">
            <v>0</v>
          </cell>
          <cell r="U129" t="str">
            <v>000000000014333</v>
          </cell>
        </row>
        <row r="130">
          <cell r="C130" t="str">
            <v>灯具-2　L＝1996</v>
          </cell>
          <cell r="M130" t="str">
            <v>入数</v>
          </cell>
          <cell r="N130">
            <v>80</v>
          </cell>
          <cell r="P130">
            <v>96</v>
          </cell>
          <cell r="U130" t="str">
            <v>000000000014333</v>
          </cell>
        </row>
        <row r="131">
          <cell r="M131" t="str">
            <v>作業者</v>
          </cell>
          <cell r="U131" t="str">
            <v>000000000014333</v>
          </cell>
        </row>
        <row r="132">
          <cell r="C132">
            <v>10</v>
          </cell>
          <cell r="U132" t="str">
            <v>000000000014333</v>
          </cell>
        </row>
        <row r="133">
          <cell r="M133" t="str">
            <v>I</v>
          </cell>
          <cell r="N133" t="str">
            <v>T</v>
          </cell>
          <cell r="R133">
            <v>16</v>
          </cell>
          <cell r="U133" t="str">
            <v>000000000014333</v>
          </cell>
        </row>
        <row r="134">
          <cell r="D134" t="str">
            <v>不良補填</v>
          </cell>
          <cell r="F134" t="str">
            <v/>
          </cell>
          <cell r="U134" t="str">
            <v>000000000014333</v>
          </cell>
        </row>
        <row r="135">
          <cell r="C135" t="str">
            <v>灯具カバーPC IN 2100　L=1923</v>
          </cell>
          <cell r="M135">
            <v>46178</v>
          </cell>
          <cell r="N135">
            <v>4</v>
          </cell>
          <cell r="P135">
            <v>46181</v>
          </cell>
          <cell r="R135">
            <v>4</v>
          </cell>
          <cell r="U135" t="str">
            <v>000000000014336</v>
          </cell>
        </row>
        <row r="136">
          <cell r="D136">
            <v>46178</v>
          </cell>
          <cell r="E136" t="str">
            <v>26E22-01</v>
          </cell>
          <cell r="M136">
            <v>46181</v>
          </cell>
          <cell r="N136">
            <v>1</v>
          </cell>
          <cell r="P136">
            <v>80</v>
          </cell>
          <cell r="R136">
            <v>13</v>
          </cell>
          <cell r="U136" t="str">
            <v>000000000014336</v>
          </cell>
        </row>
        <row r="137">
          <cell r="C137">
            <v>80</v>
          </cell>
          <cell r="D137">
            <v>46181</v>
          </cell>
          <cell r="E137" t="str">
            <v>26E22-01</v>
          </cell>
          <cell r="F137">
            <v>97</v>
          </cell>
          <cell r="P137">
            <v>97</v>
          </cell>
          <cell r="U137" t="str">
            <v>000000000014336</v>
          </cell>
        </row>
        <row r="138">
          <cell r="C138">
            <v>80</v>
          </cell>
          <cell r="P138">
            <v>17</v>
          </cell>
          <cell r="U138" t="str">
            <v>000000000014336</v>
          </cell>
        </row>
        <row r="139">
          <cell r="C139">
            <v>1</v>
          </cell>
          <cell r="P139">
            <v>17</v>
          </cell>
          <cell r="U139" t="str">
            <v>000000000014336</v>
          </cell>
        </row>
        <row r="140">
          <cell r="C140">
            <v>16</v>
          </cell>
          <cell r="M140" t="str">
            <v>合計</v>
          </cell>
          <cell r="N140">
            <v>5</v>
          </cell>
          <cell r="P140">
            <v>0</v>
          </cell>
          <cell r="U140" t="str">
            <v>000000000014336</v>
          </cell>
        </row>
        <row r="141">
          <cell r="C141" t="str">
            <v>灯具-2　L＝1996</v>
          </cell>
          <cell r="M141" t="str">
            <v>入数</v>
          </cell>
          <cell r="N141">
            <v>80</v>
          </cell>
          <cell r="P141">
            <v>97</v>
          </cell>
          <cell r="U141" t="str">
            <v>000000000014336</v>
          </cell>
        </row>
        <row r="142">
          <cell r="M142" t="str">
            <v>作業者</v>
          </cell>
          <cell r="U142" t="str">
            <v>000000000014336</v>
          </cell>
        </row>
        <row r="143">
          <cell r="C143">
            <v>5</v>
          </cell>
          <cell r="U143" t="str">
            <v>000000000014336</v>
          </cell>
        </row>
        <row r="144">
          <cell r="M144" t="str">
            <v>I</v>
          </cell>
          <cell r="N144" t="str">
            <v>T</v>
          </cell>
          <cell r="R144">
            <v>17</v>
          </cell>
          <cell r="U144" t="str">
            <v>000000000014336</v>
          </cell>
        </row>
        <row r="145">
          <cell r="D145" t="str">
            <v>不良補填</v>
          </cell>
          <cell r="F145" t="str">
            <v/>
          </cell>
          <cell r="U145" t="str">
            <v>000000000014336</v>
          </cell>
        </row>
        <row r="146">
          <cell r="C146" t="str">
            <v>8FL281304 6110　L=1478</v>
          </cell>
          <cell r="M146">
            <v>46181</v>
          </cell>
          <cell r="N146">
            <v>5</v>
          </cell>
          <cell r="P146">
            <v>46181</v>
          </cell>
          <cell r="R146">
            <v>2</v>
          </cell>
          <cell r="U146" t="str">
            <v>000000000014604</v>
          </cell>
        </row>
        <row r="147">
          <cell r="D147">
            <v>46178</v>
          </cell>
          <cell r="E147" t="str">
            <v>26E22-04</v>
          </cell>
          <cell r="P147">
            <v>500</v>
          </cell>
          <cell r="U147" t="str">
            <v>000000000014604</v>
          </cell>
        </row>
        <row r="148">
          <cell r="C148">
            <v>500</v>
          </cell>
          <cell r="D148">
            <v>46181</v>
          </cell>
          <cell r="E148" t="str">
            <v>26E22-04</v>
          </cell>
          <cell r="P148">
            <v>628</v>
          </cell>
          <cell r="R148">
            <v>2</v>
          </cell>
          <cell r="U148" t="str">
            <v>000000000014604</v>
          </cell>
        </row>
        <row r="149">
          <cell r="C149">
            <v>500</v>
          </cell>
          <cell r="D149">
            <v>46181</v>
          </cell>
          <cell r="E149" t="str">
            <v>26E22-04</v>
          </cell>
          <cell r="F149">
            <v>400</v>
          </cell>
          <cell r="P149">
            <v>128</v>
          </cell>
          <cell r="U149" t="str">
            <v>000000000014604</v>
          </cell>
        </row>
        <row r="150">
          <cell r="C150">
            <v>1</v>
          </cell>
          <cell r="D150">
            <v>46181</v>
          </cell>
          <cell r="E150" t="str">
            <v>26E22-04</v>
          </cell>
          <cell r="F150">
            <v>100</v>
          </cell>
          <cell r="P150">
            <v>128</v>
          </cell>
          <cell r="U150" t="str">
            <v>000000000014604</v>
          </cell>
        </row>
        <row r="151">
          <cell r="C151">
            <v>100</v>
          </cell>
          <cell r="M151" t="str">
            <v>合計</v>
          </cell>
          <cell r="N151">
            <v>5</v>
          </cell>
          <cell r="P151">
            <v>0</v>
          </cell>
          <cell r="U151" t="str">
            <v>000000000014604</v>
          </cell>
        </row>
        <row r="152">
          <cell r="C152" t="str">
            <v>LED-A1478</v>
          </cell>
          <cell r="M152" t="str">
            <v>入数</v>
          </cell>
          <cell r="N152">
            <v>500</v>
          </cell>
          <cell r="P152">
            <v>628</v>
          </cell>
          <cell r="U152" t="str">
            <v>000000000014604</v>
          </cell>
        </row>
        <row r="153">
          <cell r="M153" t="str">
            <v>作業者</v>
          </cell>
          <cell r="U153" t="str">
            <v>000000000014604</v>
          </cell>
        </row>
        <row r="154">
          <cell r="C154">
            <v>5</v>
          </cell>
          <cell r="M154" t="str">
            <v>I</v>
          </cell>
          <cell r="R154">
            <v>124</v>
          </cell>
          <cell r="U154" t="str">
            <v>000000000014604</v>
          </cell>
        </row>
        <row r="155">
          <cell r="M155" t="str">
            <v>T</v>
          </cell>
          <cell r="R155">
            <v>128</v>
          </cell>
          <cell r="U155" t="str">
            <v>000000000014604</v>
          </cell>
        </row>
        <row r="156">
          <cell r="D156" t="str">
            <v>不良補填</v>
          </cell>
          <cell r="E156" t="str">
            <v>26D18-08</v>
          </cell>
          <cell r="F156">
            <v>128</v>
          </cell>
          <cell r="U156" t="str">
            <v>000000000014604</v>
          </cell>
        </row>
        <row r="157">
          <cell r="C157" t="str">
            <v>8FL281304 6110　L=1478</v>
          </cell>
          <cell r="M157">
            <v>46181</v>
          </cell>
          <cell r="N157">
            <v>1</v>
          </cell>
          <cell r="P157">
            <v>46181</v>
          </cell>
          <cell r="U157" t="str">
            <v>000000000014605</v>
          </cell>
        </row>
        <row r="158">
          <cell r="D158">
            <v>46181</v>
          </cell>
          <cell r="E158" t="str">
            <v>26E22-04</v>
          </cell>
          <cell r="P158">
            <v>100</v>
          </cell>
          <cell r="U158" t="str">
            <v>000000000014605</v>
          </cell>
        </row>
        <row r="159">
          <cell r="C159">
            <v>100</v>
          </cell>
          <cell r="D159">
            <v>46181</v>
          </cell>
          <cell r="E159" t="str">
            <v>26E22-04</v>
          </cell>
          <cell r="F159">
            <v>100</v>
          </cell>
          <cell r="P159">
            <v>102</v>
          </cell>
          <cell r="R159">
            <v>2</v>
          </cell>
          <cell r="U159" t="str">
            <v>000000000014605</v>
          </cell>
        </row>
        <row r="160">
          <cell r="C160">
            <v>100</v>
          </cell>
          <cell r="P160">
            <v>2</v>
          </cell>
          <cell r="U160" t="str">
            <v>000000000014605</v>
          </cell>
        </row>
        <row r="161">
          <cell r="C161">
            <v>1</v>
          </cell>
          <cell r="P161">
            <v>2</v>
          </cell>
          <cell r="U161" t="str">
            <v>000000000014605</v>
          </cell>
        </row>
        <row r="162">
          <cell r="C162">
            <v>100</v>
          </cell>
          <cell r="M162" t="str">
            <v>合計</v>
          </cell>
          <cell r="N162">
            <v>1</v>
          </cell>
          <cell r="P162">
            <v>0</v>
          </cell>
          <cell r="U162" t="str">
            <v>000000000014605</v>
          </cell>
        </row>
        <row r="163">
          <cell r="C163" t="str">
            <v>LED-A1478</v>
          </cell>
          <cell r="M163" t="str">
            <v>入数</v>
          </cell>
          <cell r="N163">
            <v>100</v>
          </cell>
          <cell r="P163">
            <v>102</v>
          </cell>
          <cell r="U163" t="str">
            <v>000000000014605</v>
          </cell>
        </row>
        <row r="164">
          <cell r="M164" t="str">
            <v>作業者</v>
          </cell>
          <cell r="U164" t="str">
            <v>000000000014605</v>
          </cell>
        </row>
        <row r="165">
          <cell r="C165">
            <v>1</v>
          </cell>
          <cell r="M165" t="str">
            <v>I</v>
          </cell>
          <cell r="U165" t="str">
            <v>000000000014605</v>
          </cell>
        </row>
        <row r="166">
          <cell r="M166" t="str">
            <v>T</v>
          </cell>
          <cell r="R166">
            <v>2</v>
          </cell>
          <cell r="U166" t="str">
            <v>000000000014605</v>
          </cell>
        </row>
        <row r="167">
          <cell r="D167" t="str">
            <v>不良補填</v>
          </cell>
          <cell r="E167" t="str">
            <v>26D18-08</v>
          </cell>
          <cell r="F167">
            <v>2</v>
          </cell>
          <cell r="U167" t="str">
            <v>000000000014605</v>
          </cell>
        </row>
        <row r="168">
          <cell r="C168" t="str">
            <v>8FL281304 6110　L=1478</v>
          </cell>
          <cell r="M168">
            <v>46181</v>
          </cell>
          <cell r="N168">
            <v>1</v>
          </cell>
          <cell r="P168">
            <v>46181</v>
          </cell>
          <cell r="U168" t="str">
            <v>000000000014606</v>
          </cell>
        </row>
        <row r="169">
          <cell r="D169">
            <v>46181</v>
          </cell>
          <cell r="E169" t="str">
            <v>26E22-04</v>
          </cell>
          <cell r="P169">
            <v>100</v>
          </cell>
          <cell r="U169" t="str">
            <v>000000000014606</v>
          </cell>
        </row>
        <row r="170">
          <cell r="C170">
            <v>100</v>
          </cell>
          <cell r="D170">
            <v>46181</v>
          </cell>
          <cell r="E170" t="str">
            <v>26E22-04</v>
          </cell>
          <cell r="F170">
            <v>100</v>
          </cell>
          <cell r="P170">
            <v>100</v>
          </cell>
          <cell r="U170" t="str">
            <v>000000000014606</v>
          </cell>
        </row>
        <row r="171">
          <cell r="C171">
            <v>100</v>
          </cell>
          <cell r="P171">
            <v>0</v>
          </cell>
          <cell r="U171" t="str">
            <v>000000000014606</v>
          </cell>
        </row>
        <row r="172">
          <cell r="C172">
            <v>1</v>
          </cell>
          <cell r="P172">
            <v>0</v>
          </cell>
          <cell r="U172" t="str">
            <v>000000000014606</v>
          </cell>
        </row>
        <row r="173">
          <cell r="C173">
            <v>100</v>
          </cell>
          <cell r="M173" t="str">
            <v>合計</v>
          </cell>
          <cell r="N173">
            <v>1</v>
          </cell>
          <cell r="P173">
            <v>0</v>
          </cell>
          <cell r="U173" t="str">
            <v>000000000014606</v>
          </cell>
        </row>
        <row r="174">
          <cell r="C174" t="str">
            <v>LED-A1478</v>
          </cell>
          <cell r="M174" t="str">
            <v>入数</v>
          </cell>
          <cell r="N174">
            <v>100</v>
          </cell>
          <cell r="P174">
            <v>100</v>
          </cell>
          <cell r="U174" t="str">
            <v>000000000014606</v>
          </cell>
        </row>
        <row r="175">
          <cell r="M175" t="str">
            <v>作業者</v>
          </cell>
          <cell r="U175" t="str">
            <v>000000000014606</v>
          </cell>
        </row>
        <row r="176">
          <cell r="C176">
            <v>1</v>
          </cell>
          <cell r="M176" t="str">
            <v>I</v>
          </cell>
          <cell r="U176" t="str">
            <v>000000000014606</v>
          </cell>
        </row>
        <row r="177">
          <cell r="M177" t="str">
            <v>U</v>
          </cell>
          <cell r="R177">
            <v>0</v>
          </cell>
          <cell r="U177" t="str">
            <v>000000000014606</v>
          </cell>
        </row>
        <row r="178">
          <cell r="D178" t="str">
            <v>不良補填</v>
          </cell>
          <cell r="F178">
            <v>0</v>
          </cell>
          <cell r="U178" t="str">
            <v>000000000014606</v>
          </cell>
        </row>
        <row r="179">
          <cell r="C179" t="str">
            <v>8FL281304 4910　L=592</v>
          </cell>
          <cell r="D179">
            <v>46065</v>
          </cell>
          <cell r="E179" t="str">
            <v>26A23-05</v>
          </cell>
          <cell r="F179">
            <v>8</v>
          </cell>
          <cell r="M179">
            <v>46181</v>
          </cell>
          <cell r="N179">
            <v>1</v>
          </cell>
          <cell r="P179">
            <v>46182</v>
          </cell>
          <cell r="R179">
            <v>1</v>
          </cell>
          <cell r="U179" t="str">
            <v>000000000014578</v>
          </cell>
        </row>
        <row r="180">
          <cell r="D180">
            <v>46181</v>
          </cell>
          <cell r="E180" t="str">
            <v>26E21-03</v>
          </cell>
          <cell r="M180">
            <v>46182</v>
          </cell>
          <cell r="N180">
            <v>2</v>
          </cell>
          <cell r="P180">
            <v>300</v>
          </cell>
          <cell r="U180" t="str">
            <v>000000000014578</v>
          </cell>
        </row>
        <row r="181">
          <cell r="C181">
            <v>300</v>
          </cell>
          <cell r="D181">
            <v>46181</v>
          </cell>
          <cell r="E181" t="str">
            <v>26E21-03</v>
          </cell>
          <cell r="F181">
            <v>100</v>
          </cell>
          <cell r="P181">
            <v>100.33333333333333</v>
          </cell>
          <cell r="U181" t="str">
            <v>000000000014578</v>
          </cell>
        </row>
        <row r="182">
          <cell r="C182">
            <v>300</v>
          </cell>
          <cell r="D182">
            <v>46181</v>
          </cell>
          <cell r="E182" t="str">
            <v>26E22-04</v>
          </cell>
          <cell r="P182">
            <v>1</v>
          </cell>
          <cell r="U182" t="str">
            <v>000000000014578</v>
          </cell>
        </row>
        <row r="183">
          <cell r="C183">
            <v>3</v>
          </cell>
          <cell r="D183">
            <v>46181</v>
          </cell>
          <cell r="E183" t="str">
            <v>26E22-04</v>
          </cell>
          <cell r="F183">
            <v>192</v>
          </cell>
          <cell r="P183">
            <v>0.33333333333333331</v>
          </cell>
          <cell r="U183" t="str">
            <v>000000000014578</v>
          </cell>
        </row>
        <row r="184">
          <cell r="C184">
            <v>100</v>
          </cell>
          <cell r="M184" t="str">
            <v>合計</v>
          </cell>
          <cell r="N184">
            <v>3</v>
          </cell>
          <cell r="P184">
            <v>0</v>
          </cell>
          <cell r="U184" t="str">
            <v>000000000014578</v>
          </cell>
        </row>
        <row r="185">
          <cell r="C185" t="str">
            <v>LED-A592</v>
          </cell>
          <cell r="M185" t="str">
            <v>入数</v>
          </cell>
          <cell r="N185">
            <v>300</v>
          </cell>
          <cell r="P185">
            <v>301</v>
          </cell>
          <cell r="U185" t="str">
            <v>000000000014578</v>
          </cell>
        </row>
        <row r="186">
          <cell r="M186" t="str">
            <v>作業者</v>
          </cell>
          <cell r="U186" t="str">
            <v>000000000014578</v>
          </cell>
        </row>
        <row r="187">
          <cell r="C187">
            <v>3</v>
          </cell>
          <cell r="M187" t="str">
            <v>I</v>
          </cell>
          <cell r="U187" t="str">
            <v>000000000014578</v>
          </cell>
        </row>
        <row r="188">
          <cell r="M188" t="str">
            <v>U</v>
          </cell>
          <cell r="N188" t="str">
            <v>T</v>
          </cell>
          <cell r="R188">
            <v>1</v>
          </cell>
          <cell r="U188" t="str">
            <v>000000000014578</v>
          </cell>
        </row>
        <row r="189">
          <cell r="D189" t="str">
            <v>不良補填</v>
          </cell>
          <cell r="E189" t="str">
            <v>26E21-03</v>
          </cell>
          <cell r="F189">
            <v>1</v>
          </cell>
          <cell r="U189" t="str">
            <v>000000000014578</v>
          </cell>
        </row>
        <row r="190">
          <cell r="C190" t="str">
            <v>8FL281304 4910　L=592</v>
          </cell>
          <cell r="M190">
            <v>46182</v>
          </cell>
          <cell r="N190">
            <v>1</v>
          </cell>
          <cell r="P190">
            <v>46182</v>
          </cell>
          <cell r="U190" t="str">
            <v>000000000014579</v>
          </cell>
        </row>
        <row r="191">
          <cell r="D191">
            <v>46181</v>
          </cell>
          <cell r="E191" t="str">
            <v>26E22-04</v>
          </cell>
          <cell r="P191">
            <v>100</v>
          </cell>
          <cell r="U191" t="str">
            <v>000000000014579</v>
          </cell>
        </row>
        <row r="192">
          <cell r="C192">
            <v>100</v>
          </cell>
          <cell r="D192">
            <v>46181</v>
          </cell>
          <cell r="E192" t="str">
            <v>26E22-04</v>
          </cell>
          <cell r="F192">
            <v>100</v>
          </cell>
          <cell r="P192">
            <v>33.333333333333336</v>
          </cell>
          <cell r="U192" t="str">
            <v>000000000014579</v>
          </cell>
        </row>
        <row r="193">
          <cell r="C193">
            <v>100</v>
          </cell>
          <cell r="P193">
            <v>0</v>
          </cell>
          <cell r="U193" t="str">
            <v>000000000014579</v>
          </cell>
        </row>
        <row r="194">
          <cell r="C194">
            <v>3</v>
          </cell>
          <cell r="P194">
            <v>0</v>
          </cell>
          <cell r="U194" t="str">
            <v>000000000014579</v>
          </cell>
        </row>
        <row r="195">
          <cell r="C195">
            <v>100</v>
          </cell>
          <cell r="M195" t="str">
            <v>合計</v>
          </cell>
          <cell r="N195">
            <v>1</v>
          </cell>
          <cell r="P195">
            <v>0</v>
          </cell>
          <cell r="U195" t="str">
            <v>000000000014579</v>
          </cell>
        </row>
        <row r="196">
          <cell r="C196" t="str">
            <v>LED-A592</v>
          </cell>
          <cell r="M196" t="str">
            <v>入数</v>
          </cell>
          <cell r="N196">
            <v>100</v>
          </cell>
          <cell r="P196">
            <v>100</v>
          </cell>
          <cell r="U196" t="str">
            <v>000000000014579</v>
          </cell>
        </row>
        <row r="197">
          <cell r="M197" t="str">
            <v>作業者</v>
          </cell>
          <cell r="U197" t="str">
            <v>000000000014579</v>
          </cell>
        </row>
        <row r="198">
          <cell r="C198">
            <v>1</v>
          </cell>
          <cell r="M198" t="str">
            <v>I</v>
          </cell>
          <cell r="U198" t="str">
            <v>000000000014579</v>
          </cell>
        </row>
        <row r="199">
          <cell r="M199" t="str">
            <v>T</v>
          </cell>
          <cell r="R199">
            <v>0</v>
          </cell>
          <cell r="U199" t="str">
            <v>000000000014579</v>
          </cell>
        </row>
        <row r="200">
          <cell r="D200" t="str">
            <v>不良補填</v>
          </cell>
          <cell r="F200">
            <v>0</v>
          </cell>
          <cell r="U200" t="str">
            <v>000000000014579</v>
          </cell>
        </row>
        <row r="201">
          <cell r="C201" t="str">
            <v>8FL281304 4810　L=297</v>
          </cell>
          <cell r="M201">
            <v>46182</v>
          </cell>
          <cell r="N201">
            <v>2</v>
          </cell>
          <cell r="P201">
            <v>46182</v>
          </cell>
          <cell r="R201">
            <v>4</v>
          </cell>
          <cell r="U201" t="str">
            <v>000000000014573</v>
          </cell>
        </row>
        <row r="202">
          <cell r="D202">
            <v>46181</v>
          </cell>
          <cell r="E202" t="str">
            <v>端材</v>
          </cell>
          <cell r="P202">
            <v>200</v>
          </cell>
          <cell r="U202" t="str">
            <v>000000000014573</v>
          </cell>
        </row>
        <row r="203">
          <cell r="C203">
            <v>200</v>
          </cell>
          <cell r="D203">
            <v>46181</v>
          </cell>
          <cell r="E203" t="str">
            <v>端材</v>
          </cell>
          <cell r="F203">
            <v>200</v>
          </cell>
          <cell r="P203">
            <v>1.1666666666666667</v>
          </cell>
          <cell r="R203">
            <v>3</v>
          </cell>
          <cell r="U203" t="str">
            <v>000000000014573</v>
          </cell>
        </row>
        <row r="204">
          <cell r="C204">
            <v>200</v>
          </cell>
          <cell r="P204">
            <v>7</v>
          </cell>
          <cell r="U204" t="str">
            <v>000000000014573</v>
          </cell>
        </row>
        <row r="205">
          <cell r="C205">
            <v>6</v>
          </cell>
          <cell r="P205">
            <v>1.1666666666666667</v>
          </cell>
          <cell r="U205" t="str">
            <v>000000000014573</v>
          </cell>
        </row>
        <row r="206">
          <cell r="C206">
            <v>100</v>
          </cell>
          <cell r="M206" t="str">
            <v>合計</v>
          </cell>
          <cell r="N206">
            <v>2</v>
          </cell>
          <cell r="P206">
            <v>200</v>
          </cell>
          <cell r="U206" t="str">
            <v>000000000014573</v>
          </cell>
        </row>
        <row r="207">
          <cell r="C207" t="str">
            <v>LED-A300</v>
          </cell>
          <cell r="M207" t="str">
            <v>入数</v>
          </cell>
          <cell r="N207">
            <v>200</v>
          </cell>
          <cell r="P207">
            <v>207</v>
          </cell>
          <cell r="U207" t="str">
            <v>000000000014573</v>
          </cell>
        </row>
        <row r="208">
          <cell r="M208" t="str">
            <v>作業者</v>
          </cell>
          <cell r="U208" t="str">
            <v>000000000014573</v>
          </cell>
        </row>
        <row r="209">
          <cell r="C209">
            <v>2</v>
          </cell>
          <cell r="M209" t="str">
            <v>I</v>
          </cell>
          <cell r="U209" t="str">
            <v>000000000014573</v>
          </cell>
        </row>
        <row r="210">
          <cell r="M210" t="str">
            <v>T</v>
          </cell>
          <cell r="R210">
            <v>7</v>
          </cell>
          <cell r="U210" t="str">
            <v>000000000014573</v>
          </cell>
        </row>
        <row r="211">
          <cell r="D211" t="str">
            <v>不良補填</v>
          </cell>
          <cell r="E211" t="str">
            <v>26B24-01</v>
          </cell>
          <cell r="F211">
            <v>7</v>
          </cell>
          <cell r="U211" t="str">
            <v>000000000014573</v>
          </cell>
        </row>
        <row r="212">
          <cell r="C212" t="str">
            <v>8FL281304 4810　L=297</v>
          </cell>
          <cell r="M212">
            <v>46182</v>
          </cell>
          <cell r="N212">
            <v>1</v>
          </cell>
          <cell r="P212">
            <v>46182</v>
          </cell>
          <cell r="U212" t="str">
            <v>000000000014574</v>
          </cell>
        </row>
        <row r="213">
          <cell r="D213">
            <v>46181</v>
          </cell>
          <cell r="E213" t="str">
            <v>端材</v>
          </cell>
          <cell r="P213">
            <v>100</v>
          </cell>
          <cell r="U213" t="str">
            <v>000000000014574</v>
          </cell>
        </row>
        <row r="214">
          <cell r="C214">
            <v>100</v>
          </cell>
          <cell r="D214">
            <v>46181</v>
          </cell>
          <cell r="E214" t="str">
            <v>端材</v>
          </cell>
          <cell r="F214">
            <v>100</v>
          </cell>
          <cell r="P214">
            <v>0.16666666666666666</v>
          </cell>
          <cell r="R214">
            <v>1</v>
          </cell>
          <cell r="U214" t="str">
            <v>000000000014574</v>
          </cell>
        </row>
        <row r="215">
          <cell r="C215">
            <v>100</v>
          </cell>
          <cell r="P215">
            <v>1</v>
          </cell>
          <cell r="U215" t="str">
            <v>000000000014574</v>
          </cell>
        </row>
        <row r="216">
          <cell r="C216">
            <v>6</v>
          </cell>
          <cell r="P216">
            <v>0.16666666666666666</v>
          </cell>
          <cell r="U216" t="str">
            <v>000000000014574</v>
          </cell>
        </row>
        <row r="217">
          <cell r="C217">
            <v>100</v>
          </cell>
          <cell r="M217" t="str">
            <v>合計</v>
          </cell>
          <cell r="N217">
            <v>1</v>
          </cell>
          <cell r="P217">
            <v>100</v>
          </cell>
          <cell r="U217" t="str">
            <v>000000000014574</v>
          </cell>
        </row>
        <row r="218">
          <cell r="C218" t="str">
            <v>LED-A300</v>
          </cell>
          <cell r="M218" t="str">
            <v>入数</v>
          </cell>
          <cell r="N218">
            <v>100</v>
          </cell>
          <cell r="P218">
            <v>101</v>
          </cell>
          <cell r="U218" t="str">
            <v>000000000014574</v>
          </cell>
        </row>
        <row r="219">
          <cell r="M219" t="str">
            <v>作業者</v>
          </cell>
          <cell r="U219" t="str">
            <v>000000000014574</v>
          </cell>
        </row>
        <row r="220">
          <cell r="C220">
            <v>1</v>
          </cell>
          <cell r="M220" t="str">
            <v>I</v>
          </cell>
          <cell r="U220" t="str">
            <v>000000000014574</v>
          </cell>
        </row>
        <row r="221">
          <cell r="M221" t="str">
            <v>T</v>
          </cell>
          <cell r="R221">
            <v>1</v>
          </cell>
          <cell r="U221" t="str">
            <v>000000000014574</v>
          </cell>
        </row>
        <row r="222">
          <cell r="D222" t="str">
            <v>不良補填</v>
          </cell>
          <cell r="E222" t="str">
            <v>26B24-01</v>
          </cell>
          <cell r="F222">
            <v>1</v>
          </cell>
          <cell r="U222" t="str">
            <v>000000000014574</v>
          </cell>
        </row>
        <row r="223">
          <cell r="C223" t="str">
            <v>8FL281304 4810　L=297</v>
          </cell>
          <cell r="M223">
            <v>46182</v>
          </cell>
          <cell r="N223">
            <v>3</v>
          </cell>
          <cell r="P223">
            <v>46182</v>
          </cell>
          <cell r="R223">
            <v>1</v>
          </cell>
          <cell r="U223" t="str">
            <v>000000000014575</v>
          </cell>
        </row>
        <row r="224">
          <cell r="D224">
            <v>46181</v>
          </cell>
          <cell r="E224" t="str">
            <v>端材</v>
          </cell>
          <cell r="P224">
            <v>300</v>
          </cell>
          <cell r="U224" t="str">
            <v>000000000014575</v>
          </cell>
        </row>
        <row r="225">
          <cell r="C225">
            <v>300</v>
          </cell>
          <cell r="D225">
            <v>46181</v>
          </cell>
          <cell r="E225" t="str">
            <v>端材</v>
          </cell>
          <cell r="F225">
            <v>32</v>
          </cell>
          <cell r="P225">
            <v>44.833333333333336</v>
          </cell>
          <cell r="U225" t="str">
            <v>000000000014575</v>
          </cell>
        </row>
        <row r="226">
          <cell r="C226">
            <v>300</v>
          </cell>
          <cell r="D226">
            <v>46181</v>
          </cell>
          <cell r="E226" t="str">
            <v>26E22-04</v>
          </cell>
          <cell r="P226">
            <v>1</v>
          </cell>
          <cell r="U226" t="str">
            <v>000000000014575</v>
          </cell>
        </row>
        <row r="227">
          <cell r="C227">
            <v>6</v>
          </cell>
          <cell r="D227">
            <v>46181</v>
          </cell>
          <cell r="E227" t="str">
            <v>26E22-04</v>
          </cell>
          <cell r="F227">
            <v>12</v>
          </cell>
          <cell r="P227">
            <v>0.16666666666666666</v>
          </cell>
          <cell r="U227" t="str">
            <v>000000000014575</v>
          </cell>
        </row>
        <row r="228">
          <cell r="C228">
            <v>100</v>
          </cell>
          <cell r="D228">
            <v>46182</v>
          </cell>
          <cell r="E228" t="str">
            <v>26E23-05</v>
          </cell>
          <cell r="M228" t="str">
            <v>合計</v>
          </cell>
          <cell r="N228">
            <v>3</v>
          </cell>
          <cell r="P228">
            <v>32</v>
          </cell>
          <cell r="U228" t="str">
            <v>000000000014575</v>
          </cell>
        </row>
        <row r="229">
          <cell r="C229" t="str">
            <v>LED-A300</v>
          </cell>
          <cell r="D229">
            <v>46182</v>
          </cell>
          <cell r="E229" t="str">
            <v>26E23-05</v>
          </cell>
          <cell r="F229">
            <v>256</v>
          </cell>
          <cell r="M229" t="str">
            <v>入数</v>
          </cell>
          <cell r="N229">
            <v>300</v>
          </cell>
          <cell r="P229">
            <v>301</v>
          </cell>
          <cell r="U229" t="str">
            <v>000000000014575</v>
          </cell>
        </row>
        <row r="230">
          <cell r="M230" t="str">
            <v>作業者</v>
          </cell>
          <cell r="U230" t="str">
            <v>000000000014575</v>
          </cell>
        </row>
        <row r="231">
          <cell r="C231">
            <v>3</v>
          </cell>
          <cell r="M231" t="str">
            <v>I</v>
          </cell>
          <cell r="U231" t="str">
            <v>000000000014575</v>
          </cell>
        </row>
        <row r="232">
          <cell r="M232" t="str">
            <v>T</v>
          </cell>
          <cell r="R232">
            <v>1</v>
          </cell>
          <cell r="U232" t="str">
            <v>000000000014575</v>
          </cell>
        </row>
        <row r="233">
          <cell r="D233" t="str">
            <v>不良補填</v>
          </cell>
          <cell r="E233" t="str">
            <v>26B24-01</v>
          </cell>
          <cell r="F233">
            <v>1</v>
          </cell>
          <cell r="U233" t="str">
            <v>000000000014575</v>
          </cell>
        </row>
        <row r="234">
          <cell r="C234" t="str">
            <v>8FL281304 5010　L=888</v>
          </cell>
          <cell r="M234">
            <v>46182</v>
          </cell>
          <cell r="N234">
            <v>5</v>
          </cell>
          <cell r="P234">
            <v>46183</v>
          </cell>
          <cell r="R234">
            <v>1</v>
          </cell>
          <cell r="U234" t="str">
            <v>000000000014595</v>
          </cell>
        </row>
        <row r="235">
          <cell r="D235">
            <v>46182</v>
          </cell>
          <cell r="E235" t="str">
            <v>26E23-05</v>
          </cell>
          <cell r="M235">
            <v>46183</v>
          </cell>
          <cell r="N235">
            <v>1</v>
          </cell>
          <cell r="P235">
            <v>600</v>
          </cell>
          <cell r="U235" t="str">
            <v>000000000014595</v>
          </cell>
        </row>
        <row r="236">
          <cell r="C236">
            <v>600</v>
          </cell>
          <cell r="D236">
            <v>46182</v>
          </cell>
          <cell r="E236" t="str">
            <v>26E23-05</v>
          </cell>
          <cell r="F236">
            <v>400</v>
          </cell>
          <cell r="P236">
            <v>300.5</v>
          </cell>
          <cell r="U236" t="str">
            <v>000000000014595</v>
          </cell>
        </row>
        <row r="237">
          <cell r="C237">
            <v>600</v>
          </cell>
          <cell r="D237">
            <v>46182</v>
          </cell>
          <cell r="E237" t="str">
            <v>26E23-05</v>
          </cell>
          <cell r="F237">
            <v>200</v>
          </cell>
          <cell r="P237">
            <v>1</v>
          </cell>
          <cell r="U237" t="str">
            <v>000000000014595</v>
          </cell>
        </row>
        <row r="238">
          <cell r="C238">
            <v>2</v>
          </cell>
          <cell r="P238">
            <v>0.5</v>
          </cell>
          <cell r="U238" t="str">
            <v>000000000014595</v>
          </cell>
        </row>
        <row r="239">
          <cell r="C239">
            <v>100</v>
          </cell>
          <cell r="M239" t="str">
            <v>合計</v>
          </cell>
          <cell r="N239">
            <v>6</v>
          </cell>
          <cell r="P239">
            <v>0</v>
          </cell>
          <cell r="U239" t="str">
            <v>000000000014595</v>
          </cell>
        </row>
        <row r="240">
          <cell r="C240" t="str">
            <v>LED-A888</v>
          </cell>
          <cell r="M240" t="str">
            <v>入数</v>
          </cell>
          <cell r="N240">
            <v>600</v>
          </cell>
          <cell r="P240">
            <v>601</v>
          </cell>
          <cell r="U240" t="str">
            <v>000000000014595</v>
          </cell>
        </row>
        <row r="241">
          <cell r="M241" t="str">
            <v>作業者</v>
          </cell>
          <cell r="U241" t="str">
            <v>000000000014595</v>
          </cell>
        </row>
        <row r="242">
          <cell r="C242">
            <v>6</v>
          </cell>
          <cell r="M242" t="str">
            <v>I</v>
          </cell>
          <cell r="U242" t="str">
            <v>000000000014595</v>
          </cell>
        </row>
        <row r="243">
          <cell r="M243" t="str">
            <v>U</v>
          </cell>
          <cell r="N243" t="str">
            <v>T</v>
          </cell>
          <cell r="R243">
            <v>1</v>
          </cell>
          <cell r="U243" t="str">
            <v>000000000014595</v>
          </cell>
        </row>
        <row r="244">
          <cell r="D244" t="str">
            <v>不良補填</v>
          </cell>
          <cell r="E244" t="str">
            <v>26E23-05</v>
          </cell>
          <cell r="F244">
            <v>1</v>
          </cell>
          <cell r="U244" t="str">
            <v>000000000014595</v>
          </cell>
        </row>
        <row r="245">
          <cell r="C245" t="str">
            <v>8FL281304 5010　L=888</v>
          </cell>
          <cell r="M245">
            <v>46183</v>
          </cell>
          <cell r="N245">
            <v>4</v>
          </cell>
          <cell r="P245">
            <v>46183</v>
          </cell>
          <cell r="U245" t="str">
            <v>000000000014596</v>
          </cell>
        </row>
        <row r="246">
          <cell r="D246">
            <v>46182</v>
          </cell>
          <cell r="E246" t="str">
            <v>26E23-05</v>
          </cell>
          <cell r="P246">
            <v>400</v>
          </cell>
          <cell r="U246" t="str">
            <v>000000000014596</v>
          </cell>
        </row>
        <row r="247">
          <cell r="C247">
            <v>400</v>
          </cell>
          <cell r="D247">
            <v>46182</v>
          </cell>
          <cell r="E247" t="str">
            <v>26E23-05</v>
          </cell>
          <cell r="F247">
            <v>400</v>
          </cell>
          <cell r="P247">
            <v>200</v>
          </cell>
          <cell r="U247" t="str">
            <v>000000000014596</v>
          </cell>
        </row>
        <row r="248">
          <cell r="C248">
            <v>400</v>
          </cell>
          <cell r="P248">
            <v>0</v>
          </cell>
          <cell r="U248" t="str">
            <v>000000000014596</v>
          </cell>
        </row>
        <row r="249">
          <cell r="C249">
            <v>2</v>
          </cell>
          <cell r="P249">
            <v>0</v>
          </cell>
          <cell r="U249" t="str">
            <v>000000000014596</v>
          </cell>
        </row>
        <row r="250">
          <cell r="C250">
            <v>100</v>
          </cell>
          <cell r="M250" t="str">
            <v>合計</v>
          </cell>
          <cell r="N250">
            <v>4</v>
          </cell>
          <cell r="P250">
            <v>0</v>
          </cell>
          <cell r="U250" t="str">
            <v>000000000014596</v>
          </cell>
        </row>
        <row r="251">
          <cell r="C251" t="str">
            <v>LED-A888</v>
          </cell>
          <cell r="M251" t="str">
            <v>入数</v>
          </cell>
          <cell r="N251">
            <v>400</v>
          </cell>
          <cell r="P251">
            <v>400</v>
          </cell>
          <cell r="U251" t="str">
            <v>000000000014596</v>
          </cell>
        </row>
        <row r="252">
          <cell r="M252" t="str">
            <v>作業者</v>
          </cell>
          <cell r="U252" t="str">
            <v>000000000014596</v>
          </cell>
        </row>
        <row r="253">
          <cell r="C253">
            <v>4</v>
          </cell>
          <cell r="M253" t="str">
            <v>I</v>
          </cell>
          <cell r="U253" t="str">
            <v>000000000014596</v>
          </cell>
        </row>
        <row r="254">
          <cell r="M254" t="str">
            <v>T</v>
          </cell>
          <cell r="R254">
            <v>0</v>
          </cell>
          <cell r="U254" t="str">
            <v>000000000014596</v>
          </cell>
        </row>
        <row r="255">
          <cell r="D255" t="str">
            <v>不良補填</v>
          </cell>
          <cell r="F255">
            <v>0</v>
          </cell>
          <cell r="U255" t="str">
            <v>000000000014596</v>
          </cell>
        </row>
        <row r="256">
          <cell r="C256" t="str">
            <v>8FL281304 5010　L=888</v>
          </cell>
          <cell r="M256">
            <v>46183</v>
          </cell>
          <cell r="N256">
            <v>1</v>
          </cell>
          <cell r="P256">
            <v>46183</v>
          </cell>
          <cell r="U256" t="str">
            <v>000000000014597</v>
          </cell>
        </row>
        <row r="257">
          <cell r="D257">
            <v>46182</v>
          </cell>
          <cell r="E257" t="str">
            <v>26E23-05</v>
          </cell>
          <cell r="P257">
            <v>100</v>
          </cell>
          <cell r="U257" t="str">
            <v>000000000014597</v>
          </cell>
        </row>
        <row r="258">
          <cell r="C258">
            <v>100</v>
          </cell>
          <cell r="D258">
            <v>46182</v>
          </cell>
          <cell r="E258" t="str">
            <v>26E23-05</v>
          </cell>
          <cell r="F258">
            <v>100</v>
          </cell>
          <cell r="P258">
            <v>50</v>
          </cell>
          <cell r="U258" t="str">
            <v>000000000014597</v>
          </cell>
        </row>
        <row r="259">
          <cell r="C259">
            <v>100</v>
          </cell>
          <cell r="P259">
            <v>0</v>
          </cell>
          <cell r="U259" t="str">
            <v>000000000014597</v>
          </cell>
        </row>
        <row r="260">
          <cell r="C260">
            <v>2</v>
          </cell>
          <cell r="P260">
            <v>0</v>
          </cell>
          <cell r="U260" t="str">
            <v>000000000014597</v>
          </cell>
        </row>
        <row r="261">
          <cell r="C261">
            <v>100</v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000000000014597</v>
          </cell>
        </row>
        <row r="262">
          <cell r="C262" t="str">
            <v>LED-A888</v>
          </cell>
          <cell r="M262" t="str">
            <v>入数</v>
          </cell>
          <cell r="N262">
            <v>100</v>
          </cell>
          <cell r="P262">
            <v>100</v>
          </cell>
          <cell r="U262" t="str">
            <v>000000000014597</v>
          </cell>
        </row>
        <row r="263">
          <cell r="M263" t="str">
            <v>作業者</v>
          </cell>
          <cell r="U263" t="str">
            <v>000000000014597</v>
          </cell>
        </row>
        <row r="264">
          <cell r="C264">
            <v>1</v>
          </cell>
          <cell r="M264" t="str">
            <v>I</v>
          </cell>
          <cell r="U264" t="str">
            <v>000000000014597</v>
          </cell>
        </row>
        <row r="265">
          <cell r="M265" t="str">
            <v>T</v>
          </cell>
          <cell r="R265">
            <v>0</v>
          </cell>
          <cell r="U265" t="str">
            <v>000000000014597</v>
          </cell>
        </row>
        <row r="266">
          <cell r="D266" t="str">
            <v>不良補填</v>
          </cell>
          <cell r="F266">
            <v>0</v>
          </cell>
          <cell r="U266" t="str">
            <v>000000000014597</v>
          </cell>
        </row>
        <row r="267">
          <cell r="C267" t="str">
            <v>8FL281304 5010　L=888</v>
          </cell>
          <cell r="P267">
            <v>0</v>
          </cell>
          <cell r="U267" t="str">
            <v>000000000014599</v>
          </cell>
        </row>
        <row r="268">
          <cell r="P268">
            <v>0</v>
          </cell>
          <cell r="U268" t="str">
            <v>000000000014599</v>
          </cell>
        </row>
        <row r="269">
          <cell r="P269">
            <v>0</v>
          </cell>
          <cell r="U269" t="str">
            <v>000000000014599</v>
          </cell>
        </row>
        <row r="270">
          <cell r="C270">
            <v>1000</v>
          </cell>
          <cell r="P270">
            <v>0</v>
          </cell>
          <cell r="U270" t="str">
            <v>000000000014599</v>
          </cell>
        </row>
        <row r="271">
          <cell r="C271">
            <v>2</v>
          </cell>
          <cell r="P271">
            <v>0</v>
          </cell>
          <cell r="U271" t="str">
            <v>000000000014599</v>
          </cell>
        </row>
        <row r="272">
          <cell r="C272">
            <v>100</v>
          </cell>
          <cell r="M272" t="str">
            <v>合計</v>
          </cell>
          <cell r="N272">
            <v>0</v>
          </cell>
          <cell r="P272">
            <v>0</v>
          </cell>
          <cell r="U272" t="str">
            <v>000000000014599</v>
          </cell>
        </row>
        <row r="273">
          <cell r="C273" t="str">
            <v>LED-A888</v>
          </cell>
          <cell r="M273" t="str">
            <v>入数</v>
          </cell>
          <cell r="N273">
            <v>0</v>
          </cell>
          <cell r="P273">
            <v>0</v>
          </cell>
          <cell r="U273" t="str">
            <v>000000000014599</v>
          </cell>
        </row>
        <row r="274">
          <cell r="M274" t="str">
            <v>作業者</v>
          </cell>
          <cell r="U274" t="str">
            <v>000000000014599</v>
          </cell>
        </row>
        <row r="275">
          <cell r="C275">
            <v>0</v>
          </cell>
          <cell r="U275" t="str">
            <v>000000000014599</v>
          </cell>
        </row>
        <row r="276">
          <cell r="R276">
            <v>0</v>
          </cell>
          <cell r="U276" t="str">
            <v>000000000014599</v>
          </cell>
        </row>
        <row r="277">
          <cell r="D277" t="str">
            <v>不良補填</v>
          </cell>
          <cell r="F277">
            <v>0</v>
          </cell>
          <cell r="U277" t="str">
            <v>000000000014599</v>
          </cell>
        </row>
        <row r="278">
          <cell r="C278" t="str">
            <v>8FL281304 5010　L=888</v>
          </cell>
          <cell r="P278">
            <v>0</v>
          </cell>
          <cell r="U278" t="str">
            <v>000000000014598</v>
          </cell>
        </row>
        <row r="279">
          <cell r="P279">
            <v>0</v>
          </cell>
          <cell r="U279" t="str">
            <v>000000000014598</v>
          </cell>
        </row>
        <row r="280">
          <cell r="P280">
            <v>0</v>
          </cell>
          <cell r="U280" t="str">
            <v>000000000014598</v>
          </cell>
        </row>
        <row r="281">
          <cell r="C281">
            <v>2000</v>
          </cell>
          <cell r="P281">
            <v>0</v>
          </cell>
          <cell r="U281" t="str">
            <v>000000000014598</v>
          </cell>
        </row>
        <row r="282">
          <cell r="C282">
            <v>2</v>
          </cell>
          <cell r="P282">
            <v>0</v>
          </cell>
          <cell r="U282" t="str">
            <v>000000000014598</v>
          </cell>
        </row>
        <row r="283">
          <cell r="C283">
            <v>100</v>
          </cell>
          <cell r="M283" t="str">
            <v>合計</v>
          </cell>
          <cell r="N283">
            <v>0</v>
          </cell>
          <cell r="P283">
            <v>0</v>
          </cell>
          <cell r="U283" t="str">
            <v>000000000014598</v>
          </cell>
        </row>
        <row r="284">
          <cell r="C284" t="str">
            <v>LED-A888</v>
          </cell>
          <cell r="M284" t="str">
            <v>入数</v>
          </cell>
          <cell r="N284">
            <v>0</v>
          </cell>
          <cell r="P284">
            <v>0</v>
          </cell>
          <cell r="U284" t="str">
            <v>000000000014598</v>
          </cell>
        </row>
        <row r="285">
          <cell r="M285" t="str">
            <v>作業者</v>
          </cell>
          <cell r="U285" t="str">
            <v>000000000014598</v>
          </cell>
        </row>
        <row r="286">
          <cell r="C286">
            <v>0</v>
          </cell>
          <cell r="U286" t="str">
            <v>000000000014598</v>
          </cell>
        </row>
        <row r="287">
          <cell r="R287">
            <v>0</v>
          </cell>
          <cell r="U287" t="str">
            <v>000000000014598</v>
          </cell>
        </row>
        <row r="288">
          <cell r="D288" t="str">
            <v>不良補填</v>
          </cell>
          <cell r="F288">
            <v>0</v>
          </cell>
          <cell r="U288" t="str">
            <v>000000000014598</v>
          </cell>
        </row>
        <row r="289">
          <cell r="C289" t="str">
            <v>8FL281304 4810　L=297</v>
          </cell>
          <cell r="P289">
            <v>0</v>
          </cell>
          <cell r="U289" t="str">
            <v>000000000014576</v>
          </cell>
        </row>
        <row r="290">
          <cell r="P290">
            <v>0</v>
          </cell>
          <cell r="U290" t="str">
            <v>000000000014576</v>
          </cell>
        </row>
        <row r="291">
          <cell r="P291">
            <v>0</v>
          </cell>
          <cell r="U291" t="str">
            <v>000000000014576</v>
          </cell>
        </row>
        <row r="292">
          <cell r="C292">
            <v>300</v>
          </cell>
          <cell r="P292">
            <v>0</v>
          </cell>
          <cell r="U292" t="str">
            <v>000000000014576</v>
          </cell>
        </row>
        <row r="293">
          <cell r="C293">
            <v>6</v>
          </cell>
          <cell r="P293">
            <v>0</v>
          </cell>
          <cell r="U293" t="str">
            <v>000000000014576</v>
          </cell>
        </row>
        <row r="294">
          <cell r="C294">
            <v>100</v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000000000014576</v>
          </cell>
        </row>
        <row r="295">
          <cell r="C295" t="str">
            <v>LED-A300</v>
          </cell>
          <cell r="M295" t="str">
            <v>入数</v>
          </cell>
          <cell r="N295">
            <v>0</v>
          </cell>
          <cell r="P295">
            <v>0</v>
          </cell>
          <cell r="U295" t="str">
            <v>000000000014576</v>
          </cell>
        </row>
        <row r="296">
          <cell r="M296" t="str">
            <v>作業者</v>
          </cell>
          <cell r="U296" t="str">
            <v>000000000014576</v>
          </cell>
        </row>
        <row r="297">
          <cell r="C297">
            <v>0</v>
          </cell>
          <cell r="U297" t="str">
            <v>000000000014576</v>
          </cell>
        </row>
        <row r="298">
          <cell r="R298">
            <v>0</v>
          </cell>
          <cell r="U298" t="str">
            <v>000000000014576</v>
          </cell>
        </row>
        <row r="299">
          <cell r="D299" t="str">
            <v>不良補填</v>
          </cell>
          <cell r="F299">
            <v>0</v>
          </cell>
          <cell r="U299" t="str">
            <v>000000000014576</v>
          </cell>
        </row>
        <row r="300">
          <cell r="C300" t="str">
            <v>灯具カバーPC  　2200    L=221.8</v>
          </cell>
          <cell r="P300">
            <v>0</v>
          </cell>
          <cell r="U300" t="str">
            <v>000000000014999</v>
          </cell>
        </row>
        <row r="301">
          <cell r="P301">
            <v>0</v>
          </cell>
          <cell r="U301" t="str">
            <v>000000000014999</v>
          </cell>
        </row>
        <row r="302">
          <cell r="P302">
            <v>0</v>
          </cell>
          <cell r="U302" t="str">
            <v>000000000014999</v>
          </cell>
        </row>
        <row r="303">
          <cell r="C303">
            <v>10</v>
          </cell>
          <cell r="P303">
            <v>0</v>
          </cell>
          <cell r="U303" t="str">
            <v>000000000014999</v>
          </cell>
        </row>
        <row r="304">
          <cell r="C304">
            <v>2</v>
          </cell>
          <cell r="P304">
            <v>0</v>
          </cell>
          <cell r="U304" t="str">
            <v>000000000014999</v>
          </cell>
        </row>
        <row r="305">
          <cell r="C305">
            <v>2</v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000000000014999</v>
          </cell>
        </row>
        <row r="306">
          <cell r="C306" t="str">
            <v>H型ジョイナー端材</v>
          </cell>
          <cell r="M306" t="str">
            <v>入数</v>
          </cell>
          <cell r="N306">
            <v>0</v>
          </cell>
          <cell r="P306">
            <v>0</v>
          </cell>
          <cell r="U306" t="str">
            <v>000000000014999</v>
          </cell>
        </row>
        <row r="307">
          <cell r="M307" t="str">
            <v>作業者</v>
          </cell>
          <cell r="U307" t="str">
            <v>000000000014999</v>
          </cell>
        </row>
        <row r="308">
          <cell r="C308">
            <v>0</v>
          </cell>
          <cell r="U308" t="str">
            <v>000000000014999</v>
          </cell>
        </row>
        <row r="309">
          <cell r="R309">
            <v>0</v>
          </cell>
          <cell r="U309" t="str">
            <v>000000000014999</v>
          </cell>
        </row>
        <row r="310">
          <cell r="D310" t="str">
            <v>不良補填</v>
          </cell>
          <cell r="F310" t="str">
            <v/>
          </cell>
          <cell r="U310" t="str">
            <v>000000000014999</v>
          </cell>
        </row>
        <row r="311">
          <cell r="C311" t="str">
            <v>灯具カバーPC IN 2070　L=1966</v>
          </cell>
          <cell r="P311">
            <v>0</v>
          </cell>
          <cell r="U311" t="str">
            <v>000000000014865</v>
          </cell>
        </row>
        <row r="312">
          <cell r="P312">
            <v>0</v>
          </cell>
          <cell r="U312" t="str">
            <v>000000000014865</v>
          </cell>
        </row>
        <row r="313">
          <cell r="P313">
            <v>0</v>
          </cell>
          <cell r="U313" t="str">
            <v>000000000014865</v>
          </cell>
        </row>
        <row r="314">
          <cell r="C314">
            <v>208</v>
          </cell>
          <cell r="P314">
            <v>0</v>
          </cell>
          <cell r="U314" t="str">
            <v>000000000014865</v>
          </cell>
        </row>
        <row r="315">
          <cell r="C315">
            <v>1</v>
          </cell>
          <cell r="P315">
            <v>0</v>
          </cell>
          <cell r="U315" t="str">
            <v>000000000014865</v>
          </cell>
        </row>
        <row r="316">
          <cell r="C316">
            <v>16</v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000000000014865</v>
          </cell>
        </row>
        <row r="317">
          <cell r="C317" t="str">
            <v>灯具-2　L＝1996</v>
          </cell>
          <cell r="M317" t="str">
            <v>入数</v>
          </cell>
          <cell r="N317">
            <v>0</v>
          </cell>
          <cell r="P317">
            <v>0</v>
          </cell>
          <cell r="U317" t="str">
            <v>000000000014865</v>
          </cell>
        </row>
        <row r="318">
          <cell r="M318" t="str">
            <v>作業者</v>
          </cell>
          <cell r="U318" t="str">
            <v>000000000014865</v>
          </cell>
        </row>
        <row r="319">
          <cell r="C319">
            <v>0</v>
          </cell>
          <cell r="U319" t="str">
            <v>000000000014865</v>
          </cell>
        </row>
        <row r="320">
          <cell r="R320">
            <v>0</v>
          </cell>
          <cell r="U320" t="str">
            <v>000000000014865</v>
          </cell>
        </row>
        <row r="321">
          <cell r="D321" t="str">
            <v>不良補填</v>
          </cell>
          <cell r="F321" t="str">
            <v/>
          </cell>
          <cell r="U321" t="str">
            <v>000000000014865</v>
          </cell>
        </row>
        <row r="322">
          <cell r="C322" t="str">
            <v>灯具カバーPC IN 2110　L=1815</v>
          </cell>
          <cell r="P322">
            <v>0</v>
          </cell>
          <cell r="U322" t="str">
            <v>000000000014335</v>
          </cell>
        </row>
        <row r="323">
          <cell r="P323">
            <v>0</v>
          </cell>
          <cell r="U323" t="str">
            <v>000000000014335</v>
          </cell>
        </row>
        <row r="324">
          <cell r="P324">
            <v>0</v>
          </cell>
          <cell r="U324" t="str">
            <v>000000000014335</v>
          </cell>
        </row>
        <row r="325">
          <cell r="C325">
            <v>208</v>
          </cell>
          <cell r="P325">
            <v>0</v>
          </cell>
          <cell r="U325" t="str">
            <v>000000000014335</v>
          </cell>
        </row>
        <row r="326">
          <cell r="C326">
            <v>1</v>
          </cell>
          <cell r="P326">
            <v>0</v>
          </cell>
          <cell r="U326" t="str">
            <v>000000000014335</v>
          </cell>
        </row>
        <row r="327">
          <cell r="C327">
            <v>16</v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000000000014335</v>
          </cell>
        </row>
        <row r="328">
          <cell r="C328" t="str">
            <v>灯具-2　L＝1996</v>
          </cell>
          <cell r="M328" t="str">
            <v>入数</v>
          </cell>
          <cell r="N328">
            <v>0</v>
          </cell>
          <cell r="P328">
            <v>0</v>
          </cell>
          <cell r="U328" t="str">
            <v>000000000014335</v>
          </cell>
        </row>
        <row r="329">
          <cell r="M329" t="str">
            <v>作業者</v>
          </cell>
          <cell r="U329" t="str">
            <v>000000000014335</v>
          </cell>
        </row>
        <row r="330">
          <cell r="C330">
            <v>0</v>
          </cell>
          <cell r="U330" t="str">
            <v>000000000014335</v>
          </cell>
        </row>
        <row r="331">
          <cell r="R331">
            <v>0</v>
          </cell>
          <cell r="U331" t="str">
            <v>000000000014335</v>
          </cell>
        </row>
        <row r="332">
          <cell r="D332" t="str">
            <v>不良補填</v>
          </cell>
          <cell r="F332" t="str">
            <v/>
          </cell>
          <cell r="U332" t="str">
            <v>000000000014335</v>
          </cell>
        </row>
        <row r="333">
          <cell r="C333" t="str">
            <v>採光ルーバーパネルB　L=1996</v>
          </cell>
          <cell r="P333">
            <v>0</v>
          </cell>
          <cell r="U333" t="str">
            <v>000000000014896</v>
          </cell>
        </row>
        <row r="334">
          <cell r="P334">
            <v>0</v>
          </cell>
          <cell r="U334" t="str">
            <v>000000000014896</v>
          </cell>
        </row>
        <row r="335">
          <cell r="P335">
            <v>0</v>
          </cell>
          <cell r="U335" t="str">
            <v>000000000014896</v>
          </cell>
        </row>
        <row r="336">
          <cell r="C336">
            <v>336</v>
          </cell>
          <cell r="P336">
            <v>0</v>
          </cell>
          <cell r="U336" t="str">
            <v>000000000014896</v>
          </cell>
        </row>
        <row r="337">
          <cell r="C337">
            <v>1</v>
          </cell>
          <cell r="P337">
            <v>0</v>
          </cell>
          <cell r="U337" t="str">
            <v>000000000014896</v>
          </cell>
        </row>
        <row r="338">
          <cell r="C338">
            <v>42</v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000000000014896</v>
          </cell>
        </row>
        <row r="339">
          <cell r="C339" t="str">
            <v>上-1</v>
          </cell>
          <cell r="M339" t="str">
            <v>入数</v>
          </cell>
          <cell r="N339">
            <v>0</v>
          </cell>
          <cell r="P339">
            <v>0</v>
          </cell>
          <cell r="U339" t="str">
            <v>000000000014896</v>
          </cell>
        </row>
        <row r="340">
          <cell r="M340" t="str">
            <v>作業者</v>
          </cell>
          <cell r="U340" t="str">
            <v>000000000014896</v>
          </cell>
        </row>
        <row r="341">
          <cell r="C341">
            <v>0</v>
          </cell>
          <cell r="U341" t="str">
            <v>000000000014896</v>
          </cell>
        </row>
        <row r="342">
          <cell r="R342">
            <v>0</v>
          </cell>
          <cell r="U342" t="str">
            <v>000000000014896</v>
          </cell>
        </row>
        <row r="343">
          <cell r="D343" t="str">
            <v>不良補填</v>
          </cell>
          <cell r="F343" t="str">
            <v/>
          </cell>
          <cell r="U343" t="str">
            <v>000000000014896</v>
          </cell>
        </row>
        <row r="344">
          <cell r="C344" t="str">
            <v>8FL281304 6110　L=1478</v>
          </cell>
          <cell r="P344">
            <v>0</v>
          </cell>
          <cell r="U344" t="str">
            <v>000000000014607</v>
          </cell>
        </row>
        <row r="345">
          <cell r="P345">
            <v>0</v>
          </cell>
          <cell r="U345" t="str">
            <v>000000000014607</v>
          </cell>
        </row>
        <row r="346">
          <cell r="P346">
            <v>0</v>
          </cell>
          <cell r="U346" t="str">
            <v>000000000014607</v>
          </cell>
        </row>
        <row r="347">
          <cell r="C347">
            <v>400</v>
          </cell>
          <cell r="P347">
            <v>0</v>
          </cell>
          <cell r="U347" t="str">
            <v>000000000014607</v>
          </cell>
        </row>
        <row r="348">
          <cell r="C348">
            <v>1</v>
          </cell>
          <cell r="P348">
            <v>0</v>
          </cell>
          <cell r="U348" t="str">
            <v>000000000014607</v>
          </cell>
        </row>
        <row r="349">
          <cell r="C349">
            <v>100</v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000000000014607</v>
          </cell>
        </row>
        <row r="350">
          <cell r="C350" t="str">
            <v>LED-A1478</v>
          </cell>
          <cell r="M350" t="str">
            <v>入数</v>
          </cell>
          <cell r="N350">
            <v>0</v>
          </cell>
          <cell r="P350">
            <v>0</v>
          </cell>
          <cell r="U350" t="str">
            <v>000000000014607</v>
          </cell>
        </row>
        <row r="351">
          <cell r="M351" t="str">
            <v>作業者</v>
          </cell>
          <cell r="U351" t="str">
            <v>000000000014607</v>
          </cell>
        </row>
        <row r="352">
          <cell r="C352">
            <v>0</v>
          </cell>
          <cell r="U352" t="str">
            <v>000000000014607</v>
          </cell>
        </row>
        <row r="353">
          <cell r="R353">
            <v>0</v>
          </cell>
          <cell r="U353" t="str">
            <v>000000000014607</v>
          </cell>
        </row>
        <row r="354">
          <cell r="D354" t="str">
            <v>不良補填</v>
          </cell>
          <cell r="F354">
            <v>0</v>
          </cell>
          <cell r="U354" t="str">
            <v>000000000014607</v>
          </cell>
        </row>
        <row r="355">
          <cell r="C355" t="str">
            <v>8FL281304 5010　L=888</v>
          </cell>
          <cell r="P355">
            <v>0</v>
          </cell>
          <cell r="U355" t="str">
            <v>000000000014600</v>
          </cell>
        </row>
        <row r="356">
          <cell r="P356">
            <v>0</v>
          </cell>
          <cell r="U356" t="str">
            <v>000000000014600</v>
          </cell>
        </row>
        <row r="357">
          <cell r="P357">
            <v>0</v>
          </cell>
          <cell r="U357" t="str">
            <v>000000000014600</v>
          </cell>
        </row>
        <row r="358">
          <cell r="C358">
            <v>900</v>
          </cell>
          <cell r="P358">
            <v>0</v>
          </cell>
          <cell r="U358" t="str">
            <v>000000000014600</v>
          </cell>
        </row>
        <row r="359">
          <cell r="C359">
            <v>2</v>
          </cell>
          <cell r="P359">
            <v>0</v>
          </cell>
          <cell r="U359" t="str">
            <v>000000000014600</v>
          </cell>
        </row>
        <row r="360">
          <cell r="C360">
            <v>100</v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000000000014600</v>
          </cell>
        </row>
        <row r="361">
          <cell r="C361" t="str">
            <v>LED-A888</v>
          </cell>
          <cell r="M361" t="str">
            <v>入数</v>
          </cell>
          <cell r="N361">
            <v>0</v>
          </cell>
          <cell r="P361">
            <v>0</v>
          </cell>
          <cell r="U361" t="str">
            <v>000000000014600</v>
          </cell>
        </row>
        <row r="362">
          <cell r="M362" t="str">
            <v>作業者</v>
          </cell>
          <cell r="U362" t="str">
            <v>000000000014600</v>
          </cell>
        </row>
        <row r="363">
          <cell r="C363">
            <v>0</v>
          </cell>
          <cell r="U363" t="str">
            <v>000000000014600</v>
          </cell>
        </row>
        <row r="364">
          <cell r="R364">
            <v>0</v>
          </cell>
          <cell r="U364" t="str">
            <v>000000000014600</v>
          </cell>
        </row>
        <row r="365">
          <cell r="D365" t="str">
            <v>不良補填</v>
          </cell>
          <cell r="F365">
            <v>0</v>
          </cell>
          <cell r="U365" t="str">
            <v>000000000014600</v>
          </cell>
        </row>
        <row r="366">
          <cell r="C366" t="str">
            <v>8FL281304 5010　L=888</v>
          </cell>
          <cell r="P366">
            <v>0</v>
          </cell>
          <cell r="U366" t="str">
            <v>000000000014601</v>
          </cell>
        </row>
        <row r="367">
          <cell r="P367">
            <v>0</v>
          </cell>
          <cell r="U367" t="str">
            <v>000000000014601</v>
          </cell>
        </row>
        <row r="368">
          <cell r="P368">
            <v>0</v>
          </cell>
          <cell r="U368" t="str">
            <v>000000000014601</v>
          </cell>
        </row>
        <row r="369">
          <cell r="C369">
            <v>2000</v>
          </cell>
          <cell r="P369">
            <v>0</v>
          </cell>
          <cell r="U369" t="str">
            <v>000000000014601</v>
          </cell>
        </row>
        <row r="370">
          <cell r="C370">
            <v>2</v>
          </cell>
          <cell r="P370">
            <v>0</v>
          </cell>
          <cell r="U370" t="str">
            <v>000000000014601</v>
          </cell>
        </row>
        <row r="371">
          <cell r="C371">
            <v>100</v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000000000014601</v>
          </cell>
        </row>
        <row r="372">
          <cell r="C372" t="str">
            <v>LED-A888</v>
          </cell>
          <cell r="M372" t="str">
            <v>入数</v>
          </cell>
          <cell r="N372">
            <v>0</v>
          </cell>
          <cell r="P372">
            <v>0</v>
          </cell>
          <cell r="U372" t="str">
            <v>000000000014601</v>
          </cell>
        </row>
        <row r="373">
          <cell r="M373" t="str">
            <v>作業者</v>
          </cell>
          <cell r="U373" t="str">
            <v>000000000014601</v>
          </cell>
        </row>
        <row r="374">
          <cell r="C374">
            <v>0</v>
          </cell>
          <cell r="U374" t="str">
            <v>000000000014601</v>
          </cell>
        </row>
        <row r="375">
          <cell r="R375">
            <v>0</v>
          </cell>
          <cell r="U375" t="str">
            <v>000000000014601</v>
          </cell>
        </row>
        <row r="376">
          <cell r="D376" t="str">
            <v>不良補填</v>
          </cell>
          <cell r="F376">
            <v>0</v>
          </cell>
          <cell r="U376" t="str">
            <v>000000000014601</v>
          </cell>
        </row>
        <row r="377">
          <cell r="C377" t="str">
            <v>8FL281304 8310　L=748</v>
          </cell>
          <cell r="P377">
            <v>0</v>
          </cell>
          <cell r="U377" t="str">
            <v>000000000014581</v>
          </cell>
        </row>
        <row r="378">
          <cell r="P378">
            <v>0</v>
          </cell>
          <cell r="U378" t="str">
            <v>000000000014581</v>
          </cell>
        </row>
        <row r="379">
          <cell r="P379">
            <v>0</v>
          </cell>
          <cell r="U379" t="str">
            <v>000000000014581</v>
          </cell>
        </row>
        <row r="380">
          <cell r="C380">
            <v>400</v>
          </cell>
          <cell r="P380">
            <v>0</v>
          </cell>
          <cell r="U380" t="str">
            <v>000000000014581</v>
          </cell>
        </row>
        <row r="381">
          <cell r="C381">
            <v>2</v>
          </cell>
          <cell r="P381">
            <v>0</v>
          </cell>
          <cell r="U381" t="str">
            <v>000000000014581</v>
          </cell>
        </row>
        <row r="382">
          <cell r="C382">
            <v>100</v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000000000014581</v>
          </cell>
        </row>
        <row r="383">
          <cell r="C383" t="str">
            <v>LED-A888</v>
          </cell>
          <cell r="M383" t="str">
            <v>入数</v>
          </cell>
          <cell r="N383">
            <v>0</v>
          </cell>
          <cell r="P383">
            <v>0</v>
          </cell>
          <cell r="U383" t="str">
            <v>000000000014581</v>
          </cell>
        </row>
        <row r="384">
          <cell r="M384" t="str">
            <v>作業者</v>
          </cell>
          <cell r="U384" t="str">
            <v>000000000014581</v>
          </cell>
        </row>
        <row r="385">
          <cell r="C385">
            <v>0</v>
          </cell>
          <cell r="U385" t="str">
            <v>000000000014581</v>
          </cell>
        </row>
        <row r="386">
          <cell r="R386">
            <v>0</v>
          </cell>
          <cell r="U386" t="str">
            <v>000000000014581</v>
          </cell>
        </row>
        <row r="387">
          <cell r="D387" t="str">
            <v>不良補填</v>
          </cell>
          <cell r="F387">
            <v>0</v>
          </cell>
          <cell r="U387" t="str">
            <v>000000000014581</v>
          </cell>
        </row>
        <row r="388">
          <cell r="C388" t="str">
            <v>8FL281304 4910　L=592</v>
          </cell>
          <cell r="P388">
            <v>0</v>
          </cell>
          <cell r="U388" t="str">
            <v>000000000015076</v>
          </cell>
        </row>
        <row r="389">
          <cell r="P389">
            <v>0</v>
          </cell>
          <cell r="U389" t="str">
            <v>000000000015076</v>
          </cell>
        </row>
        <row r="390">
          <cell r="P390">
            <v>0</v>
          </cell>
          <cell r="U390" t="str">
            <v>000000000015076</v>
          </cell>
        </row>
        <row r="391">
          <cell r="C391">
            <v>100</v>
          </cell>
          <cell r="P391">
            <v>0</v>
          </cell>
          <cell r="U391" t="str">
            <v>000000000015076</v>
          </cell>
        </row>
        <row r="392">
          <cell r="C392">
            <v>3</v>
          </cell>
          <cell r="P392">
            <v>0</v>
          </cell>
          <cell r="U392" t="str">
            <v>000000000015076</v>
          </cell>
        </row>
        <row r="393">
          <cell r="C393">
            <v>100</v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000000000015076</v>
          </cell>
        </row>
        <row r="394">
          <cell r="C394" t="str">
            <v>LED-A592</v>
          </cell>
          <cell r="M394" t="str">
            <v>入数</v>
          </cell>
          <cell r="N394">
            <v>0</v>
          </cell>
          <cell r="P394">
            <v>0</v>
          </cell>
          <cell r="U394" t="str">
            <v>000000000015076</v>
          </cell>
        </row>
        <row r="395">
          <cell r="M395" t="str">
            <v>作業者</v>
          </cell>
          <cell r="U395" t="str">
            <v>000000000015076</v>
          </cell>
        </row>
        <row r="396">
          <cell r="C396">
            <v>0</v>
          </cell>
          <cell r="U396" t="str">
            <v>000000000015076</v>
          </cell>
        </row>
        <row r="397">
          <cell r="R397">
            <v>0</v>
          </cell>
          <cell r="U397" t="str">
            <v>000000000015076</v>
          </cell>
        </row>
        <row r="398">
          <cell r="D398" t="str">
            <v>不良補填</v>
          </cell>
          <cell r="F398">
            <v>0</v>
          </cell>
          <cell r="U398" t="str">
            <v>000000000015076</v>
          </cell>
        </row>
        <row r="399">
          <cell r="C399" t="str">
            <v>752GPSB　865</v>
          </cell>
          <cell r="P399">
            <v>0</v>
          </cell>
          <cell r="U399" t="str">
            <v>000000000014671</v>
          </cell>
        </row>
        <row r="400">
          <cell r="P400">
            <v>0</v>
          </cell>
          <cell r="U400" t="str">
            <v>000000000014671</v>
          </cell>
        </row>
        <row r="401">
          <cell r="P401">
            <v>0</v>
          </cell>
          <cell r="U401" t="str">
            <v>000000000014671</v>
          </cell>
        </row>
        <row r="402">
          <cell r="C402">
            <v>200</v>
          </cell>
          <cell r="P402">
            <v>0</v>
          </cell>
          <cell r="U402" t="str">
            <v>000000000014671</v>
          </cell>
        </row>
        <row r="403">
          <cell r="C403">
            <v>1</v>
          </cell>
          <cell r="P403">
            <v>0</v>
          </cell>
          <cell r="U403" t="str">
            <v>000000000014671</v>
          </cell>
        </row>
        <row r="404">
          <cell r="C404">
            <v>100</v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000000000014671</v>
          </cell>
        </row>
        <row r="405">
          <cell r="C405" t="str">
            <v>S-40</v>
          </cell>
          <cell r="M405" t="str">
            <v>入数</v>
          </cell>
          <cell r="N405">
            <v>0</v>
          </cell>
          <cell r="P405">
            <v>0</v>
          </cell>
          <cell r="U405" t="str">
            <v>000000000014671</v>
          </cell>
        </row>
        <row r="406">
          <cell r="M406" t="str">
            <v>作業者</v>
          </cell>
          <cell r="U406" t="str">
            <v>000000000014671</v>
          </cell>
        </row>
        <row r="407">
          <cell r="C407">
            <v>0</v>
          </cell>
          <cell r="U407" t="str">
            <v>000000000014671</v>
          </cell>
        </row>
        <row r="408">
          <cell r="R408">
            <v>0</v>
          </cell>
          <cell r="U408" t="str">
            <v>000000000014671</v>
          </cell>
        </row>
        <row r="409">
          <cell r="D409" t="str">
            <v>不良補填</v>
          </cell>
          <cell r="F409" t="str">
            <v/>
          </cell>
          <cell r="U409" t="str">
            <v>000000000014671</v>
          </cell>
        </row>
        <row r="410">
          <cell r="C410" t="str">
            <v>752GPSB　715</v>
          </cell>
          <cell r="P410">
            <v>0</v>
          </cell>
          <cell r="U410" t="str">
            <v>000000000014670</v>
          </cell>
        </row>
        <row r="411">
          <cell r="P411">
            <v>0</v>
          </cell>
          <cell r="U411" t="str">
            <v>000000000014670</v>
          </cell>
        </row>
        <row r="412">
          <cell r="P412">
            <v>0</v>
          </cell>
          <cell r="U412" t="str">
            <v>000000000014670</v>
          </cell>
        </row>
        <row r="413">
          <cell r="C413">
            <v>800</v>
          </cell>
          <cell r="P413">
            <v>0</v>
          </cell>
          <cell r="U413" t="str">
            <v>000000000014670</v>
          </cell>
        </row>
        <row r="414">
          <cell r="C414">
            <v>2</v>
          </cell>
          <cell r="P414">
            <v>0</v>
          </cell>
          <cell r="U414" t="str">
            <v>000000000014670</v>
          </cell>
        </row>
        <row r="415">
          <cell r="C415">
            <v>100</v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000000000014670</v>
          </cell>
        </row>
        <row r="416">
          <cell r="C416" t="str">
            <v>S-40</v>
          </cell>
          <cell r="M416" t="str">
            <v>入数</v>
          </cell>
          <cell r="N416">
            <v>0</v>
          </cell>
          <cell r="P416">
            <v>0</v>
          </cell>
          <cell r="U416" t="str">
            <v>000000000014670</v>
          </cell>
        </row>
        <row r="417">
          <cell r="M417" t="str">
            <v>作業者</v>
          </cell>
          <cell r="U417" t="str">
            <v>000000000014670</v>
          </cell>
        </row>
        <row r="418">
          <cell r="C418">
            <v>0</v>
          </cell>
          <cell r="U418" t="str">
            <v>000000000014670</v>
          </cell>
        </row>
        <row r="419">
          <cell r="R419">
            <v>0</v>
          </cell>
          <cell r="U419" t="str">
            <v>000000000014670</v>
          </cell>
        </row>
        <row r="420">
          <cell r="D420" t="str">
            <v>不良補填</v>
          </cell>
          <cell r="F420" t="str">
            <v/>
          </cell>
          <cell r="U420" t="str">
            <v>000000000014670</v>
          </cell>
        </row>
        <row r="421">
          <cell r="C421" t="str">
            <v>752GPSB　665</v>
          </cell>
          <cell r="P421">
            <v>0</v>
          </cell>
          <cell r="U421" t="str">
            <v>000000000014669</v>
          </cell>
        </row>
        <row r="422">
          <cell r="P422">
            <v>0</v>
          </cell>
          <cell r="U422" t="str">
            <v>000000000014669</v>
          </cell>
        </row>
        <row r="423">
          <cell r="P423">
            <v>0</v>
          </cell>
          <cell r="U423" t="str">
            <v>000000000014669</v>
          </cell>
        </row>
        <row r="424">
          <cell r="C424">
            <v>100</v>
          </cell>
          <cell r="P424">
            <v>0</v>
          </cell>
          <cell r="U424" t="str">
            <v>000000000014669</v>
          </cell>
        </row>
        <row r="425">
          <cell r="C425">
            <v>2</v>
          </cell>
          <cell r="P425">
            <v>0</v>
          </cell>
          <cell r="U425" t="str">
            <v>000000000014669</v>
          </cell>
        </row>
        <row r="426">
          <cell r="C426">
            <v>100</v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000000000014669</v>
          </cell>
        </row>
        <row r="427">
          <cell r="C427" t="str">
            <v>S-40</v>
          </cell>
          <cell r="M427" t="str">
            <v>入数</v>
          </cell>
          <cell r="N427">
            <v>0</v>
          </cell>
          <cell r="P427">
            <v>0</v>
          </cell>
          <cell r="U427" t="str">
            <v>000000000014669</v>
          </cell>
        </row>
        <row r="428">
          <cell r="M428" t="str">
            <v>作業者</v>
          </cell>
          <cell r="U428" t="str">
            <v>000000000014669</v>
          </cell>
        </row>
        <row r="429">
          <cell r="C429">
            <v>0</v>
          </cell>
          <cell r="U429" t="str">
            <v>000000000014669</v>
          </cell>
        </row>
        <row r="430">
          <cell r="R430">
            <v>0</v>
          </cell>
          <cell r="U430" t="str">
            <v>000000000014669</v>
          </cell>
        </row>
        <row r="431">
          <cell r="D431" t="str">
            <v>不良補填</v>
          </cell>
          <cell r="F431" t="str">
            <v/>
          </cell>
          <cell r="U431" t="str">
            <v>000000000014669</v>
          </cell>
        </row>
        <row r="432">
          <cell r="C432" t="str">
            <v>752GPSB　565</v>
          </cell>
          <cell r="P432">
            <v>0</v>
          </cell>
          <cell r="U432" t="str">
            <v>000000000014668</v>
          </cell>
        </row>
        <row r="433">
          <cell r="P433">
            <v>0</v>
          </cell>
          <cell r="U433" t="str">
            <v>000000000014668</v>
          </cell>
        </row>
        <row r="434">
          <cell r="P434">
            <v>0</v>
          </cell>
          <cell r="U434" t="str">
            <v>000000000014668</v>
          </cell>
        </row>
        <row r="435">
          <cell r="C435">
            <v>1200</v>
          </cell>
          <cell r="P435">
            <v>0</v>
          </cell>
          <cell r="U435" t="str">
            <v>000000000014668</v>
          </cell>
        </row>
        <row r="436">
          <cell r="C436">
            <v>2</v>
          </cell>
          <cell r="P436">
            <v>0</v>
          </cell>
          <cell r="U436" t="str">
            <v>000000000014668</v>
          </cell>
        </row>
        <row r="437">
          <cell r="C437">
            <v>100</v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000000000014668</v>
          </cell>
        </row>
        <row r="438">
          <cell r="C438" t="str">
            <v>S-30</v>
          </cell>
          <cell r="M438" t="str">
            <v>入数</v>
          </cell>
          <cell r="N438">
            <v>0</v>
          </cell>
          <cell r="P438">
            <v>0</v>
          </cell>
          <cell r="U438" t="str">
            <v>000000000014668</v>
          </cell>
        </row>
        <row r="439">
          <cell r="M439" t="str">
            <v>作業者</v>
          </cell>
          <cell r="U439" t="str">
            <v>000000000014668</v>
          </cell>
        </row>
        <row r="440">
          <cell r="C440">
            <v>0</v>
          </cell>
          <cell r="U440" t="str">
            <v>000000000014668</v>
          </cell>
        </row>
        <row r="441">
          <cell r="R441">
            <v>0</v>
          </cell>
          <cell r="U441" t="str">
            <v>000000000014668</v>
          </cell>
        </row>
        <row r="442">
          <cell r="D442" t="str">
            <v>不良補填</v>
          </cell>
          <cell r="F442" t="str">
            <v/>
          </cell>
          <cell r="U442" t="str">
            <v>000000000014668</v>
          </cell>
        </row>
        <row r="443">
          <cell r="C443" t="str">
            <v>752GPSB　415</v>
          </cell>
          <cell r="P443">
            <v>0</v>
          </cell>
          <cell r="U443" t="str">
            <v>000000000014667</v>
          </cell>
        </row>
        <row r="444">
          <cell r="P444">
            <v>0</v>
          </cell>
          <cell r="U444" t="str">
            <v>000000000014667</v>
          </cell>
        </row>
        <row r="445">
          <cell r="P445">
            <v>0</v>
          </cell>
          <cell r="U445" t="str">
            <v>000000000014667</v>
          </cell>
        </row>
        <row r="446">
          <cell r="C446">
            <v>2100</v>
          </cell>
          <cell r="P446">
            <v>0</v>
          </cell>
          <cell r="U446" t="str">
            <v>000000000014667</v>
          </cell>
        </row>
        <row r="447">
          <cell r="C447">
            <v>3</v>
          </cell>
          <cell r="P447">
            <v>0</v>
          </cell>
          <cell r="U447" t="str">
            <v>000000000014667</v>
          </cell>
        </row>
        <row r="448">
          <cell r="C448">
            <v>100</v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000000000014667</v>
          </cell>
        </row>
        <row r="449">
          <cell r="C449" t="str">
            <v>S-20</v>
          </cell>
          <cell r="M449" t="str">
            <v>入数</v>
          </cell>
          <cell r="N449">
            <v>0</v>
          </cell>
          <cell r="P449">
            <v>0</v>
          </cell>
          <cell r="U449" t="str">
            <v>000000000014667</v>
          </cell>
        </row>
        <row r="450">
          <cell r="M450" t="str">
            <v>作業者</v>
          </cell>
          <cell r="U450" t="str">
            <v>000000000014667</v>
          </cell>
        </row>
        <row r="451">
          <cell r="C451">
            <v>0</v>
          </cell>
          <cell r="U451" t="str">
            <v>000000000014667</v>
          </cell>
        </row>
        <row r="452">
          <cell r="R452">
            <v>0</v>
          </cell>
          <cell r="U452" t="str">
            <v>000000000014667</v>
          </cell>
        </row>
        <row r="453">
          <cell r="D453" t="str">
            <v>不良補填</v>
          </cell>
          <cell r="F453" t="str">
            <v/>
          </cell>
          <cell r="U453" t="str">
            <v>000000000014667</v>
          </cell>
        </row>
        <row r="454">
          <cell r="C454" t="str">
            <v>752GPSB　265</v>
          </cell>
          <cell r="P454">
            <v>0</v>
          </cell>
          <cell r="U454" t="str">
            <v>000000000014666</v>
          </cell>
        </row>
        <row r="455">
          <cell r="P455">
            <v>0</v>
          </cell>
          <cell r="U455" t="str">
            <v>000000000014666</v>
          </cell>
        </row>
        <row r="456">
          <cell r="P456">
            <v>0</v>
          </cell>
          <cell r="U456" t="str">
            <v>000000000014666</v>
          </cell>
        </row>
        <row r="457">
          <cell r="C457">
            <v>600</v>
          </cell>
          <cell r="P457">
            <v>0</v>
          </cell>
          <cell r="U457" t="str">
            <v>000000000014666</v>
          </cell>
        </row>
        <row r="458">
          <cell r="C458">
            <v>5</v>
          </cell>
          <cell r="P458">
            <v>0</v>
          </cell>
          <cell r="U458" t="str">
            <v>000000000014666</v>
          </cell>
        </row>
        <row r="459">
          <cell r="C459">
            <v>100</v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000000000014666</v>
          </cell>
        </row>
        <row r="460">
          <cell r="C460" t="str">
            <v>S-10</v>
          </cell>
          <cell r="M460" t="str">
            <v>入数</v>
          </cell>
          <cell r="N460">
            <v>0</v>
          </cell>
          <cell r="P460">
            <v>0</v>
          </cell>
          <cell r="U460" t="str">
            <v>000000000014666</v>
          </cell>
        </row>
        <row r="461">
          <cell r="M461" t="str">
            <v>作業者</v>
          </cell>
          <cell r="U461" t="str">
            <v>000000000014666</v>
          </cell>
        </row>
        <row r="462">
          <cell r="C462">
            <v>0</v>
          </cell>
          <cell r="U462" t="str">
            <v>000000000014666</v>
          </cell>
        </row>
        <row r="463">
          <cell r="R463">
            <v>0</v>
          </cell>
          <cell r="U463" t="str">
            <v>000000000014666</v>
          </cell>
        </row>
        <row r="464">
          <cell r="D464" t="str">
            <v>不良補填</v>
          </cell>
          <cell r="F464" t="str">
            <v/>
          </cell>
          <cell r="U464" t="str">
            <v>000000000014666</v>
          </cell>
        </row>
        <row r="465">
          <cell r="C465" t="str">
            <v>8FL281304 8310　L=748</v>
          </cell>
          <cell r="P465">
            <v>0</v>
          </cell>
          <cell r="U465" t="str">
            <v>000000000014580</v>
          </cell>
        </row>
        <row r="466">
          <cell r="P466">
            <v>0</v>
          </cell>
          <cell r="U466" t="str">
            <v>000000000014580</v>
          </cell>
        </row>
        <row r="467">
          <cell r="P467">
            <v>0</v>
          </cell>
          <cell r="U467" t="str">
            <v>000000000014580</v>
          </cell>
        </row>
        <row r="468">
          <cell r="C468">
            <v>400</v>
          </cell>
          <cell r="P468">
            <v>0</v>
          </cell>
          <cell r="U468" t="str">
            <v>000000000014580</v>
          </cell>
        </row>
        <row r="469">
          <cell r="C469">
            <v>2</v>
          </cell>
          <cell r="P469">
            <v>0</v>
          </cell>
          <cell r="U469" t="str">
            <v>000000000014580</v>
          </cell>
        </row>
        <row r="470">
          <cell r="C470">
            <v>100</v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000000000014580</v>
          </cell>
        </row>
        <row r="471">
          <cell r="C471" t="str">
            <v>LED-A888</v>
          </cell>
          <cell r="M471" t="str">
            <v>入数</v>
          </cell>
          <cell r="N471">
            <v>0</v>
          </cell>
          <cell r="P471">
            <v>0</v>
          </cell>
          <cell r="U471" t="str">
            <v>000000000014580</v>
          </cell>
        </row>
        <row r="472">
          <cell r="M472" t="str">
            <v>作業者</v>
          </cell>
          <cell r="U472" t="str">
            <v>000000000014580</v>
          </cell>
        </row>
        <row r="473">
          <cell r="C473">
            <v>0</v>
          </cell>
          <cell r="U473" t="str">
            <v>000000000014580</v>
          </cell>
        </row>
        <row r="474">
          <cell r="R474">
            <v>0</v>
          </cell>
          <cell r="U474" t="str">
            <v>000000000014580</v>
          </cell>
        </row>
        <row r="475">
          <cell r="D475" t="str">
            <v>不良補填</v>
          </cell>
          <cell r="F475">
            <v>0</v>
          </cell>
          <cell r="U475" t="str">
            <v>000000000014580</v>
          </cell>
        </row>
        <row r="476">
          <cell r="C476" t="str">
            <v>GA-770 (特注)BR</v>
          </cell>
          <cell r="P476">
            <v>0</v>
          </cell>
          <cell r="U476" t="str">
            <v>000000000014963</v>
          </cell>
        </row>
        <row r="477">
          <cell r="P477">
            <v>0</v>
          </cell>
          <cell r="U477" t="str">
            <v>000000000014963</v>
          </cell>
        </row>
        <row r="478">
          <cell r="P478">
            <v>0</v>
          </cell>
          <cell r="U478" t="str">
            <v>000000000014963</v>
          </cell>
        </row>
        <row r="479">
          <cell r="C479">
            <v>6</v>
          </cell>
          <cell r="P479">
            <v>0</v>
          </cell>
          <cell r="U479" t="str">
            <v>000000000014963</v>
          </cell>
        </row>
        <row r="480">
          <cell r="C480">
            <v>1</v>
          </cell>
          <cell r="P480">
            <v>0</v>
          </cell>
          <cell r="U480" t="str">
            <v>000000000014963</v>
          </cell>
        </row>
        <row r="481">
          <cell r="C481">
            <v>6</v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000000000014963</v>
          </cell>
        </row>
        <row r="482">
          <cell r="C482" t="str">
            <v>SB-246</v>
          </cell>
          <cell r="M482" t="str">
            <v>入数</v>
          </cell>
          <cell r="N482">
            <v>0</v>
          </cell>
          <cell r="P482">
            <v>0</v>
          </cell>
          <cell r="U482" t="str">
            <v>000000000014963</v>
          </cell>
        </row>
        <row r="483">
          <cell r="M483" t="str">
            <v>作業者</v>
          </cell>
          <cell r="U483" t="str">
            <v>000000000014963</v>
          </cell>
        </row>
        <row r="484">
          <cell r="C484">
            <v>0</v>
          </cell>
          <cell r="U484" t="str">
            <v>000000000014963</v>
          </cell>
        </row>
        <row r="485">
          <cell r="R485">
            <v>0</v>
          </cell>
          <cell r="U485" t="str">
            <v>000000000014963</v>
          </cell>
        </row>
        <row r="486">
          <cell r="D486" t="str">
            <v>不良補填</v>
          </cell>
          <cell r="F486" t="str">
            <v/>
          </cell>
          <cell r="U486" t="str">
            <v>000000000014963</v>
          </cell>
        </row>
        <row r="487">
          <cell r="C487" t="str">
            <v>灯具カバーPC IN 2130　L=908</v>
          </cell>
          <cell r="P487">
            <v>0</v>
          </cell>
          <cell r="U487" t="str">
            <v>000000000014330</v>
          </cell>
        </row>
        <row r="488">
          <cell r="P488">
            <v>0</v>
          </cell>
          <cell r="U488" t="str">
            <v>000000000014330</v>
          </cell>
        </row>
        <row r="489">
          <cell r="P489">
            <v>0</v>
          </cell>
          <cell r="U489" t="str">
            <v>000000000014330</v>
          </cell>
        </row>
        <row r="490">
          <cell r="C490">
            <v>208</v>
          </cell>
          <cell r="P490">
            <v>0</v>
          </cell>
          <cell r="U490" t="str">
            <v>000000000014330</v>
          </cell>
        </row>
        <row r="491">
          <cell r="C491">
            <v>1</v>
          </cell>
          <cell r="P491">
            <v>0</v>
          </cell>
          <cell r="U491" t="str">
            <v>000000000014330</v>
          </cell>
        </row>
        <row r="492">
          <cell r="C492">
            <v>16</v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000000000014330</v>
          </cell>
        </row>
        <row r="493">
          <cell r="C493" t="str">
            <v>灯具-3　L=970</v>
          </cell>
          <cell r="M493" t="str">
            <v>入数</v>
          </cell>
          <cell r="N493">
            <v>0</v>
          </cell>
          <cell r="P493">
            <v>0</v>
          </cell>
          <cell r="U493" t="str">
            <v>000000000014330</v>
          </cell>
        </row>
        <row r="494">
          <cell r="M494" t="str">
            <v>作業者</v>
          </cell>
          <cell r="U494" t="str">
            <v>000000000014330</v>
          </cell>
        </row>
        <row r="495">
          <cell r="C495">
            <v>0</v>
          </cell>
          <cell r="U495" t="str">
            <v>000000000014330</v>
          </cell>
        </row>
        <row r="496">
          <cell r="R496">
            <v>0</v>
          </cell>
          <cell r="U496" t="str">
            <v>000000000014330</v>
          </cell>
        </row>
        <row r="497">
          <cell r="D497" t="str">
            <v>不良補填</v>
          </cell>
          <cell r="F497" t="str">
            <v/>
          </cell>
          <cell r="U497" t="str">
            <v>000000000014330</v>
          </cell>
        </row>
        <row r="498">
          <cell r="C498" t="str">
            <v>灯具カバーPC IN 2050　L=1183.5</v>
          </cell>
          <cell r="P498">
            <v>0</v>
          </cell>
          <cell r="U498" t="str">
            <v>000000000014332</v>
          </cell>
        </row>
        <row r="499">
          <cell r="P499">
            <v>0</v>
          </cell>
          <cell r="U499" t="str">
            <v>000000000014332</v>
          </cell>
        </row>
        <row r="500">
          <cell r="P500">
            <v>0</v>
          </cell>
          <cell r="U500" t="str">
            <v>000000000014332</v>
          </cell>
        </row>
        <row r="501">
          <cell r="C501">
            <v>208</v>
          </cell>
          <cell r="P501">
            <v>0</v>
          </cell>
          <cell r="U501" t="str">
            <v>000000000014332</v>
          </cell>
        </row>
        <row r="502">
          <cell r="C502">
            <v>1</v>
          </cell>
          <cell r="P502">
            <v>0</v>
          </cell>
          <cell r="U502" t="str">
            <v>000000000014332</v>
          </cell>
        </row>
        <row r="503">
          <cell r="C503">
            <v>16</v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000000000014332</v>
          </cell>
        </row>
        <row r="504">
          <cell r="C504" t="str">
            <v>灯具-1　L=1370</v>
          </cell>
          <cell r="M504" t="str">
            <v>入数</v>
          </cell>
          <cell r="N504">
            <v>0</v>
          </cell>
          <cell r="P504">
            <v>0</v>
          </cell>
          <cell r="U504" t="str">
            <v>000000000014332</v>
          </cell>
        </row>
        <row r="505">
          <cell r="M505" t="str">
            <v>作業者</v>
          </cell>
          <cell r="U505" t="str">
            <v>000000000014332</v>
          </cell>
        </row>
        <row r="506">
          <cell r="C506">
            <v>0</v>
          </cell>
          <cell r="U506" t="str">
            <v>000000000014332</v>
          </cell>
        </row>
        <row r="507">
          <cell r="R507">
            <v>0</v>
          </cell>
          <cell r="U507" t="str">
            <v>000000000014332</v>
          </cell>
        </row>
        <row r="508">
          <cell r="D508" t="str">
            <v>不良補填</v>
          </cell>
          <cell r="F508" t="str">
            <v/>
          </cell>
          <cell r="U508" t="str">
            <v>000000000014332</v>
          </cell>
        </row>
        <row r="509">
          <cell r="C509" t="str">
            <v>灯具カバーPC IN 2080　L=1540</v>
          </cell>
          <cell r="P509">
            <v>0</v>
          </cell>
          <cell r="U509" t="str">
            <v>000000000014333</v>
          </cell>
        </row>
        <row r="510">
          <cell r="P510">
            <v>0</v>
          </cell>
          <cell r="U510" t="str">
            <v>000000000014333</v>
          </cell>
        </row>
        <row r="511">
          <cell r="P511">
            <v>0</v>
          </cell>
          <cell r="U511" t="str">
            <v>000000000014333</v>
          </cell>
        </row>
        <row r="512">
          <cell r="C512">
            <v>96</v>
          </cell>
          <cell r="P512">
            <v>0</v>
          </cell>
          <cell r="U512" t="str">
            <v>000000000014333</v>
          </cell>
        </row>
        <row r="513">
          <cell r="C513">
            <v>1</v>
          </cell>
          <cell r="P513">
            <v>0</v>
          </cell>
          <cell r="U513" t="str">
            <v>000000000014333</v>
          </cell>
        </row>
        <row r="514">
          <cell r="C514">
            <v>16</v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000000000014333</v>
          </cell>
        </row>
        <row r="515">
          <cell r="C515" t="str">
            <v>灯具-2　L＝1996</v>
          </cell>
          <cell r="M515" t="str">
            <v>入数</v>
          </cell>
          <cell r="N515">
            <v>0</v>
          </cell>
          <cell r="P515">
            <v>0</v>
          </cell>
          <cell r="U515" t="str">
            <v>000000000014333</v>
          </cell>
        </row>
        <row r="516">
          <cell r="M516" t="str">
            <v>作業者</v>
          </cell>
          <cell r="U516" t="str">
            <v>000000000014333</v>
          </cell>
        </row>
        <row r="517">
          <cell r="C517">
            <v>0</v>
          </cell>
          <cell r="U517" t="str">
            <v>000000000014333</v>
          </cell>
        </row>
        <row r="518">
          <cell r="R518">
            <v>0</v>
          </cell>
          <cell r="U518" t="str">
            <v>000000000014333</v>
          </cell>
        </row>
        <row r="519">
          <cell r="D519" t="str">
            <v>不良補填</v>
          </cell>
          <cell r="F519" t="str">
            <v/>
          </cell>
          <cell r="U519" t="str">
            <v>000000000014333</v>
          </cell>
        </row>
        <row r="520">
          <cell r="C520" t="str">
            <v>灯具カバーPC IN 2100　L=1923</v>
          </cell>
          <cell r="P520">
            <v>0</v>
          </cell>
          <cell r="U520" t="str">
            <v>000000000014336</v>
          </cell>
        </row>
        <row r="521">
          <cell r="P521">
            <v>0</v>
          </cell>
          <cell r="U521" t="str">
            <v>000000000014336</v>
          </cell>
        </row>
        <row r="522">
          <cell r="P522">
            <v>0</v>
          </cell>
          <cell r="U522" t="str">
            <v>000000000014336</v>
          </cell>
        </row>
        <row r="523">
          <cell r="C523">
            <v>96</v>
          </cell>
          <cell r="P523">
            <v>0</v>
          </cell>
          <cell r="U523" t="str">
            <v>000000000014336</v>
          </cell>
        </row>
        <row r="524">
          <cell r="C524">
            <v>1</v>
          </cell>
          <cell r="P524">
            <v>0</v>
          </cell>
          <cell r="U524" t="str">
            <v>000000000014336</v>
          </cell>
        </row>
        <row r="525">
          <cell r="C525">
            <v>16</v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000000000014336</v>
          </cell>
        </row>
        <row r="526">
          <cell r="C526" t="str">
            <v>灯具-2　L＝1996</v>
          </cell>
          <cell r="M526" t="str">
            <v>入数</v>
          </cell>
          <cell r="N526">
            <v>0</v>
          </cell>
          <cell r="P526">
            <v>0</v>
          </cell>
          <cell r="U526" t="str">
            <v>000000000014336</v>
          </cell>
        </row>
        <row r="527">
          <cell r="M527" t="str">
            <v>作業者</v>
          </cell>
          <cell r="U527" t="str">
            <v>000000000014336</v>
          </cell>
        </row>
        <row r="528">
          <cell r="C528">
            <v>0</v>
          </cell>
          <cell r="U528" t="str">
            <v>000000000014336</v>
          </cell>
        </row>
        <row r="529">
          <cell r="R529">
            <v>0</v>
          </cell>
          <cell r="U529" t="str">
            <v>000000000014336</v>
          </cell>
        </row>
        <row r="530">
          <cell r="D530" t="str">
            <v>不良補填</v>
          </cell>
          <cell r="F530" t="str">
            <v/>
          </cell>
          <cell r="U530" t="str">
            <v>000000000014336</v>
          </cell>
        </row>
        <row r="531">
          <cell r="C531" t="str">
            <v>8FL281304 6110　L=1478</v>
          </cell>
          <cell r="P531">
            <v>0</v>
          </cell>
          <cell r="U531" t="str">
            <v>000000000014604</v>
          </cell>
        </row>
        <row r="532">
          <cell r="P532">
            <v>0</v>
          </cell>
          <cell r="U532" t="str">
            <v>000000000014604</v>
          </cell>
        </row>
        <row r="533">
          <cell r="P533">
            <v>0</v>
          </cell>
          <cell r="U533" t="str">
            <v>000000000014604</v>
          </cell>
        </row>
        <row r="534">
          <cell r="C534">
            <v>500</v>
          </cell>
          <cell r="P534">
            <v>0</v>
          </cell>
          <cell r="U534" t="str">
            <v>000000000014604</v>
          </cell>
        </row>
        <row r="535">
          <cell r="C535">
            <v>1</v>
          </cell>
          <cell r="P535">
            <v>0</v>
          </cell>
          <cell r="U535" t="str">
            <v>000000000014604</v>
          </cell>
        </row>
        <row r="536">
          <cell r="C536">
            <v>100</v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000000000014604</v>
          </cell>
        </row>
        <row r="537">
          <cell r="C537" t="str">
            <v>LED-A1478</v>
          </cell>
          <cell r="M537" t="str">
            <v>入数</v>
          </cell>
          <cell r="N537">
            <v>0</v>
          </cell>
          <cell r="P537">
            <v>0</v>
          </cell>
          <cell r="U537" t="str">
            <v>000000000014604</v>
          </cell>
        </row>
        <row r="538">
          <cell r="M538" t="str">
            <v>作業者</v>
          </cell>
          <cell r="U538" t="str">
            <v>000000000014604</v>
          </cell>
        </row>
        <row r="539">
          <cell r="C539">
            <v>0</v>
          </cell>
          <cell r="U539" t="str">
            <v>000000000014604</v>
          </cell>
        </row>
        <row r="540">
          <cell r="R540">
            <v>0</v>
          </cell>
          <cell r="U540" t="str">
            <v>000000000014604</v>
          </cell>
        </row>
        <row r="541">
          <cell r="D541" t="str">
            <v>不良補填</v>
          </cell>
          <cell r="F541">
            <v>0</v>
          </cell>
          <cell r="U541" t="str">
            <v>000000000014604</v>
          </cell>
        </row>
        <row r="542">
          <cell r="C542" t="str">
            <v>8FL281304 6110　L=1478</v>
          </cell>
          <cell r="P542">
            <v>0</v>
          </cell>
          <cell r="U542" t="str">
            <v>000000000014605</v>
          </cell>
        </row>
        <row r="543">
          <cell r="P543">
            <v>0</v>
          </cell>
          <cell r="U543" t="str">
            <v>000000000014605</v>
          </cell>
        </row>
        <row r="544">
          <cell r="P544">
            <v>0</v>
          </cell>
          <cell r="U544" t="str">
            <v>000000000014605</v>
          </cell>
        </row>
        <row r="545">
          <cell r="C545">
            <v>100</v>
          </cell>
          <cell r="P545">
            <v>0</v>
          </cell>
          <cell r="U545" t="str">
            <v>000000000014605</v>
          </cell>
        </row>
        <row r="546">
          <cell r="C546">
            <v>1</v>
          </cell>
          <cell r="P546">
            <v>0</v>
          </cell>
          <cell r="U546" t="str">
            <v>000000000014605</v>
          </cell>
        </row>
        <row r="547">
          <cell r="C547">
            <v>100</v>
          </cell>
          <cell r="M547" t="str">
            <v>合計</v>
          </cell>
          <cell r="N547">
            <v>0</v>
          </cell>
          <cell r="P547">
            <v>0</v>
          </cell>
          <cell r="U547" t="str">
            <v>000000000014605</v>
          </cell>
        </row>
        <row r="548">
          <cell r="C548" t="str">
            <v>LED-A1478</v>
          </cell>
          <cell r="M548" t="str">
            <v>入数</v>
          </cell>
          <cell r="N548">
            <v>0</v>
          </cell>
          <cell r="P548">
            <v>0</v>
          </cell>
          <cell r="U548" t="str">
            <v>000000000014605</v>
          </cell>
        </row>
        <row r="549">
          <cell r="M549" t="str">
            <v>作業者</v>
          </cell>
          <cell r="U549" t="str">
            <v>000000000014605</v>
          </cell>
        </row>
        <row r="550">
          <cell r="C550">
            <v>0</v>
          </cell>
          <cell r="U550" t="str">
            <v>000000000014605</v>
          </cell>
        </row>
        <row r="551">
          <cell r="R551">
            <v>0</v>
          </cell>
          <cell r="U551" t="str">
            <v>000000000014605</v>
          </cell>
        </row>
        <row r="552">
          <cell r="D552" t="str">
            <v>不良補填</v>
          </cell>
          <cell r="F552">
            <v>0</v>
          </cell>
          <cell r="U552" t="str">
            <v>000000000014605</v>
          </cell>
        </row>
        <row r="553">
          <cell r="C553" t="str">
            <v>8FL281304 6110　L=1478</v>
          </cell>
          <cell r="P553">
            <v>0</v>
          </cell>
          <cell r="U553" t="str">
            <v>000000000014606</v>
          </cell>
        </row>
        <row r="554">
          <cell r="P554">
            <v>0</v>
          </cell>
          <cell r="U554" t="str">
            <v>000000000014606</v>
          </cell>
        </row>
        <row r="555">
          <cell r="P555">
            <v>0</v>
          </cell>
          <cell r="U555" t="str">
            <v>000000000014606</v>
          </cell>
        </row>
        <row r="556">
          <cell r="C556">
            <v>100</v>
          </cell>
          <cell r="P556">
            <v>0</v>
          </cell>
          <cell r="U556" t="str">
            <v>000000000014606</v>
          </cell>
        </row>
        <row r="557">
          <cell r="C557">
            <v>1</v>
          </cell>
          <cell r="P557">
            <v>0</v>
          </cell>
          <cell r="U557" t="str">
            <v>000000000014606</v>
          </cell>
        </row>
        <row r="558">
          <cell r="C558">
            <v>100</v>
          </cell>
          <cell r="M558" t="str">
            <v>合計</v>
          </cell>
          <cell r="N558">
            <v>0</v>
          </cell>
          <cell r="P558">
            <v>0</v>
          </cell>
          <cell r="U558" t="str">
            <v>000000000014606</v>
          </cell>
        </row>
        <row r="559">
          <cell r="C559" t="str">
            <v>LED-A1478</v>
          </cell>
          <cell r="M559" t="str">
            <v>入数</v>
          </cell>
          <cell r="N559">
            <v>0</v>
          </cell>
          <cell r="P559">
            <v>0</v>
          </cell>
          <cell r="U559" t="str">
            <v>000000000014606</v>
          </cell>
        </row>
        <row r="560">
          <cell r="M560" t="str">
            <v>作業者</v>
          </cell>
          <cell r="U560" t="str">
            <v>000000000014606</v>
          </cell>
        </row>
        <row r="561">
          <cell r="C561">
            <v>0</v>
          </cell>
          <cell r="U561" t="str">
            <v>000000000014606</v>
          </cell>
        </row>
        <row r="562">
          <cell r="R562">
            <v>0</v>
          </cell>
          <cell r="U562" t="str">
            <v>000000000014606</v>
          </cell>
        </row>
        <row r="563">
          <cell r="D563" t="str">
            <v>不良補填</v>
          </cell>
          <cell r="F563">
            <v>0</v>
          </cell>
          <cell r="U563" t="str">
            <v>000000000014606</v>
          </cell>
        </row>
        <row r="564">
          <cell r="C564" t="str">
            <v>8FL281304 4910　L=592</v>
          </cell>
          <cell r="P564">
            <v>0</v>
          </cell>
          <cell r="U564" t="str">
            <v>000000000014578</v>
          </cell>
        </row>
        <row r="565">
          <cell r="P565">
            <v>0</v>
          </cell>
          <cell r="U565" t="str">
            <v>000000000014578</v>
          </cell>
        </row>
        <row r="566">
          <cell r="P566">
            <v>0</v>
          </cell>
          <cell r="U566" t="str">
            <v>000000000014578</v>
          </cell>
        </row>
        <row r="567">
          <cell r="C567">
            <v>300</v>
          </cell>
          <cell r="P567">
            <v>0</v>
          </cell>
          <cell r="U567" t="str">
            <v>000000000014578</v>
          </cell>
        </row>
        <row r="568">
          <cell r="C568">
            <v>3</v>
          </cell>
          <cell r="P568">
            <v>0</v>
          </cell>
          <cell r="U568" t="str">
            <v>000000000014578</v>
          </cell>
        </row>
        <row r="569">
          <cell r="C569">
            <v>100</v>
          </cell>
          <cell r="M569" t="str">
            <v>合計</v>
          </cell>
          <cell r="N569">
            <v>0</v>
          </cell>
          <cell r="P569">
            <v>0</v>
          </cell>
          <cell r="U569" t="str">
            <v>000000000014578</v>
          </cell>
        </row>
        <row r="570">
          <cell r="C570" t="str">
            <v>LED-A592</v>
          </cell>
          <cell r="M570" t="str">
            <v>入数</v>
          </cell>
          <cell r="N570">
            <v>0</v>
          </cell>
          <cell r="P570">
            <v>0</v>
          </cell>
          <cell r="U570" t="str">
            <v>000000000014578</v>
          </cell>
        </row>
        <row r="571">
          <cell r="M571" t="str">
            <v>作業者</v>
          </cell>
          <cell r="U571" t="str">
            <v>000000000014578</v>
          </cell>
        </row>
        <row r="572">
          <cell r="C572">
            <v>0</v>
          </cell>
          <cell r="U572" t="str">
            <v>000000000014578</v>
          </cell>
        </row>
        <row r="573">
          <cell r="R573">
            <v>0</v>
          </cell>
          <cell r="U573" t="str">
            <v>000000000014578</v>
          </cell>
        </row>
        <row r="574">
          <cell r="D574" t="str">
            <v>不良補填</v>
          </cell>
          <cell r="F574">
            <v>0</v>
          </cell>
          <cell r="U574" t="str">
            <v>000000000014578</v>
          </cell>
        </row>
        <row r="575">
          <cell r="C575" t="str">
            <v>8FL281304 4910　L=592</v>
          </cell>
          <cell r="P575">
            <v>0</v>
          </cell>
          <cell r="U575" t="str">
            <v>000000000014579</v>
          </cell>
        </row>
        <row r="576">
          <cell r="P576">
            <v>0</v>
          </cell>
          <cell r="U576" t="str">
            <v>000000000014579</v>
          </cell>
        </row>
        <row r="577">
          <cell r="P577">
            <v>0</v>
          </cell>
          <cell r="U577" t="str">
            <v>000000000014579</v>
          </cell>
        </row>
        <row r="578">
          <cell r="C578">
            <v>100</v>
          </cell>
          <cell r="P578">
            <v>0</v>
          </cell>
          <cell r="U578" t="str">
            <v>000000000014579</v>
          </cell>
        </row>
        <row r="579">
          <cell r="C579">
            <v>3</v>
          </cell>
          <cell r="P579">
            <v>0</v>
          </cell>
          <cell r="U579" t="str">
            <v>000000000014579</v>
          </cell>
        </row>
        <row r="580">
          <cell r="C580">
            <v>100</v>
          </cell>
          <cell r="M580" t="str">
            <v>合計</v>
          </cell>
          <cell r="N580">
            <v>0</v>
          </cell>
          <cell r="P580">
            <v>0</v>
          </cell>
          <cell r="U580" t="str">
            <v>000000000014579</v>
          </cell>
        </row>
        <row r="581">
          <cell r="C581" t="str">
            <v>LED-A592</v>
          </cell>
          <cell r="M581" t="str">
            <v>入数</v>
          </cell>
          <cell r="N581">
            <v>0</v>
          </cell>
          <cell r="P581">
            <v>0</v>
          </cell>
          <cell r="U581" t="str">
            <v>000000000014579</v>
          </cell>
        </row>
        <row r="582">
          <cell r="M582" t="str">
            <v>作業者</v>
          </cell>
          <cell r="U582" t="str">
            <v>000000000014579</v>
          </cell>
        </row>
        <row r="583">
          <cell r="C583">
            <v>0</v>
          </cell>
          <cell r="U583" t="str">
            <v>000000000014579</v>
          </cell>
        </row>
        <row r="584">
          <cell r="R584">
            <v>0</v>
          </cell>
          <cell r="U584" t="str">
            <v>000000000014579</v>
          </cell>
        </row>
        <row r="585">
          <cell r="D585" t="str">
            <v>不良補填</v>
          </cell>
          <cell r="F585">
            <v>0</v>
          </cell>
          <cell r="U585" t="str">
            <v>000000000014579</v>
          </cell>
        </row>
        <row r="586">
          <cell r="C586" t="str">
            <v>8FL281304 4810　L=297</v>
          </cell>
          <cell r="P586">
            <v>0</v>
          </cell>
          <cell r="U586" t="str">
            <v>000000000014573</v>
          </cell>
        </row>
        <row r="587">
          <cell r="P587">
            <v>0</v>
          </cell>
          <cell r="U587" t="str">
            <v>000000000014573</v>
          </cell>
        </row>
        <row r="588">
          <cell r="P588">
            <v>0</v>
          </cell>
          <cell r="U588" t="str">
            <v>000000000014573</v>
          </cell>
        </row>
        <row r="589">
          <cell r="C589">
            <v>200</v>
          </cell>
          <cell r="P589">
            <v>0</v>
          </cell>
          <cell r="U589" t="str">
            <v>000000000014573</v>
          </cell>
        </row>
        <row r="590">
          <cell r="C590">
            <v>6</v>
          </cell>
          <cell r="P590">
            <v>0</v>
          </cell>
          <cell r="U590" t="str">
            <v>000000000014573</v>
          </cell>
        </row>
        <row r="591">
          <cell r="C591">
            <v>100</v>
          </cell>
          <cell r="M591" t="str">
            <v>合計</v>
          </cell>
          <cell r="N591">
            <v>0</v>
          </cell>
          <cell r="P591">
            <v>0</v>
          </cell>
          <cell r="U591" t="str">
            <v>000000000014573</v>
          </cell>
        </row>
        <row r="592">
          <cell r="C592" t="str">
            <v>LED-A300</v>
          </cell>
          <cell r="M592" t="str">
            <v>入数</v>
          </cell>
          <cell r="N592">
            <v>0</v>
          </cell>
          <cell r="P592">
            <v>0</v>
          </cell>
          <cell r="U592" t="str">
            <v>000000000014573</v>
          </cell>
        </row>
        <row r="593">
          <cell r="M593" t="str">
            <v>作業者</v>
          </cell>
          <cell r="U593" t="str">
            <v>000000000014573</v>
          </cell>
        </row>
        <row r="594">
          <cell r="C594">
            <v>0</v>
          </cell>
          <cell r="U594" t="str">
            <v>000000000014573</v>
          </cell>
        </row>
        <row r="595">
          <cell r="R595">
            <v>0</v>
          </cell>
          <cell r="U595" t="str">
            <v>000000000014573</v>
          </cell>
        </row>
        <row r="596">
          <cell r="D596" t="str">
            <v>不良補填</v>
          </cell>
          <cell r="F596">
            <v>0</v>
          </cell>
          <cell r="U596" t="str">
            <v>000000000014573</v>
          </cell>
        </row>
        <row r="597">
          <cell r="C597" t="str">
            <v>8FL281304 4810　L=297</v>
          </cell>
          <cell r="P597">
            <v>0</v>
          </cell>
          <cell r="U597" t="str">
            <v>000000000014574</v>
          </cell>
        </row>
        <row r="598">
          <cell r="P598">
            <v>0</v>
          </cell>
          <cell r="U598" t="str">
            <v>000000000014574</v>
          </cell>
        </row>
        <row r="599">
          <cell r="P599">
            <v>0</v>
          </cell>
          <cell r="U599" t="str">
            <v>000000000014574</v>
          </cell>
        </row>
        <row r="600">
          <cell r="C600">
            <v>100</v>
          </cell>
          <cell r="P600">
            <v>0</v>
          </cell>
          <cell r="U600" t="str">
            <v>000000000014574</v>
          </cell>
        </row>
        <row r="601">
          <cell r="C601">
            <v>6</v>
          </cell>
          <cell r="P601">
            <v>0</v>
          </cell>
          <cell r="U601" t="str">
            <v>000000000014574</v>
          </cell>
        </row>
        <row r="602">
          <cell r="C602">
            <v>100</v>
          </cell>
          <cell r="M602" t="str">
            <v>合計</v>
          </cell>
          <cell r="N602">
            <v>0</v>
          </cell>
          <cell r="P602">
            <v>0</v>
          </cell>
          <cell r="U602" t="str">
            <v>000000000014574</v>
          </cell>
        </row>
        <row r="603">
          <cell r="C603" t="str">
            <v>LED-A300</v>
          </cell>
          <cell r="M603" t="str">
            <v>入数</v>
          </cell>
          <cell r="N603">
            <v>0</v>
          </cell>
          <cell r="P603">
            <v>0</v>
          </cell>
          <cell r="U603" t="str">
            <v>000000000014574</v>
          </cell>
        </row>
        <row r="604">
          <cell r="M604" t="str">
            <v>作業者</v>
          </cell>
          <cell r="U604" t="str">
            <v>000000000014574</v>
          </cell>
        </row>
        <row r="605">
          <cell r="C605">
            <v>0</v>
          </cell>
          <cell r="U605" t="str">
            <v>000000000014574</v>
          </cell>
        </row>
        <row r="606">
          <cell r="R606">
            <v>0</v>
          </cell>
          <cell r="U606" t="str">
            <v>000000000014574</v>
          </cell>
        </row>
        <row r="607">
          <cell r="D607" t="str">
            <v>不良補填</v>
          </cell>
          <cell r="F607">
            <v>0</v>
          </cell>
          <cell r="U607" t="str">
            <v>000000000014574</v>
          </cell>
        </row>
        <row r="608">
          <cell r="C608" t="str">
            <v>8FL281304 4810　L=297</v>
          </cell>
          <cell r="P608">
            <v>0</v>
          </cell>
          <cell r="U608" t="str">
            <v>000000000014575</v>
          </cell>
        </row>
        <row r="609">
          <cell r="P609">
            <v>0</v>
          </cell>
          <cell r="U609" t="str">
            <v>000000000014575</v>
          </cell>
        </row>
        <row r="610">
          <cell r="P610">
            <v>0</v>
          </cell>
          <cell r="U610" t="str">
            <v>000000000014575</v>
          </cell>
        </row>
        <row r="611">
          <cell r="C611">
            <v>300</v>
          </cell>
          <cell r="P611">
            <v>0</v>
          </cell>
          <cell r="U611" t="str">
            <v>000000000014575</v>
          </cell>
        </row>
        <row r="612">
          <cell r="C612">
            <v>6</v>
          </cell>
          <cell r="P612">
            <v>0</v>
          </cell>
          <cell r="U612" t="str">
            <v>000000000014575</v>
          </cell>
        </row>
        <row r="613">
          <cell r="C613">
            <v>100</v>
          </cell>
          <cell r="M613" t="str">
            <v>合計</v>
          </cell>
          <cell r="N613">
            <v>0</v>
          </cell>
          <cell r="P613">
            <v>0</v>
          </cell>
          <cell r="U613" t="str">
            <v>000000000014575</v>
          </cell>
        </row>
        <row r="614">
          <cell r="C614" t="str">
            <v>LED-A300</v>
          </cell>
          <cell r="M614" t="str">
            <v>入数</v>
          </cell>
          <cell r="N614">
            <v>0</v>
          </cell>
          <cell r="P614">
            <v>0</v>
          </cell>
          <cell r="U614" t="str">
            <v>000000000014575</v>
          </cell>
        </row>
        <row r="615">
          <cell r="M615" t="str">
            <v>作業者</v>
          </cell>
          <cell r="U615" t="str">
            <v>000000000014575</v>
          </cell>
        </row>
        <row r="616">
          <cell r="C616">
            <v>0</v>
          </cell>
          <cell r="U616" t="str">
            <v>000000000014575</v>
          </cell>
        </row>
        <row r="617">
          <cell r="R617">
            <v>0</v>
          </cell>
          <cell r="U617" t="str">
            <v>000000000014575</v>
          </cell>
        </row>
        <row r="618">
          <cell r="D618" t="str">
            <v>不良補填</v>
          </cell>
          <cell r="F618">
            <v>0</v>
          </cell>
          <cell r="U618" t="str">
            <v>000000000014575</v>
          </cell>
        </row>
        <row r="619">
          <cell r="C619" t="str">
            <v>8FL281304 5010　L=888</v>
          </cell>
          <cell r="P619">
            <v>0</v>
          </cell>
          <cell r="U619" t="str">
            <v>000000000014595</v>
          </cell>
        </row>
        <row r="620">
          <cell r="P620">
            <v>0</v>
          </cell>
          <cell r="U620" t="str">
            <v>000000000014595</v>
          </cell>
        </row>
        <row r="621">
          <cell r="P621">
            <v>0</v>
          </cell>
          <cell r="U621" t="str">
            <v>000000000014595</v>
          </cell>
        </row>
        <row r="622">
          <cell r="C622">
            <v>600</v>
          </cell>
          <cell r="P622">
            <v>0</v>
          </cell>
          <cell r="U622" t="str">
            <v>000000000014595</v>
          </cell>
        </row>
        <row r="623">
          <cell r="C623">
            <v>2</v>
          </cell>
          <cell r="P623">
            <v>0</v>
          </cell>
          <cell r="U623" t="str">
            <v>000000000014595</v>
          </cell>
        </row>
        <row r="624">
          <cell r="C624">
            <v>100</v>
          </cell>
          <cell r="M624" t="str">
            <v>合計</v>
          </cell>
          <cell r="N624">
            <v>0</v>
          </cell>
          <cell r="P624">
            <v>0</v>
          </cell>
          <cell r="U624" t="str">
            <v>000000000014595</v>
          </cell>
        </row>
        <row r="625">
          <cell r="C625" t="str">
            <v>LED-A888</v>
          </cell>
          <cell r="M625" t="str">
            <v>入数</v>
          </cell>
          <cell r="N625">
            <v>0</v>
          </cell>
          <cell r="P625">
            <v>0</v>
          </cell>
          <cell r="U625" t="str">
            <v>000000000014595</v>
          </cell>
        </row>
        <row r="626">
          <cell r="M626" t="str">
            <v>作業者</v>
          </cell>
          <cell r="U626" t="str">
            <v>000000000014595</v>
          </cell>
        </row>
        <row r="627">
          <cell r="C627">
            <v>0</v>
          </cell>
          <cell r="U627" t="str">
            <v>000000000014595</v>
          </cell>
        </row>
        <row r="628">
          <cell r="R628">
            <v>0</v>
          </cell>
          <cell r="U628" t="str">
            <v>000000000014595</v>
          </cell>
        </row>
        <row r="629">
          <cell r="D629" t="str">
            <v>不良補填</v>
          </cell>
          <cell r="F629">
            <v>0</v>
          </cell>
          <cell r="U629" t="str">
            <v>000000000014595</v>
          </cell>
        </row>
        <row r="630">
          <cell r="C630" t="str">
            <v>8FL281304 5010　L=888</v>
          </cell>
          <cell r="P630">
            <v>0</v>
          </cell>
          <cell r="U630" t="str">
            <v>000000000014596</v>
          </cell>
        </row>
        <row r="631">
          <cell r="P631">
            <v>0</v>
          </cell>
          <cell r="U631" t="str">
            <v>000000000014596</v>
          </cell>
        </row>
        <row r="632">
          <cell r="P632">
            <v>0</v>
          </cell>
          <cell r="U632" t="str">
            <v>000000000014596</v>
          </cell>
        </row>
        <row r="633">
          <cell r="C633">
            <v>400</v>
          </cell>
          <cell r="P633">
            <v>0</v>
          </cell>
          <cell r="U633" t="str">
            <v>000000000014596</v>
          </cell>
        </row>
        <row r="634">
          <cell r="C634">
            <v>2</v>
          </cell>
          <cell r="P634">
            <v>0</v>
          </cell>
          <cell r="U634" t="str">
            <v>000000000014596</v>
          </cell>
        </row>
        <row r="635">
          <cell r="C635">
            <v>100</v>
          </cell>
          <cell r="M635" t="str">
            <v>合計</v>
          </cell>
          <cell r="N635">
            <v>0</v>
          </cell>
          <cell r="P635">
            <v>0</v>
          </cell>
          <cell r="U635" t="str">
            <v>000000000014596</v>
          </cell>
        </row>
        <row r="636">
          <cell r="C636" t="str">
            <v>LED-A888</v>
          </cell>
          <cell r="M636" t="str">
            <v>入数</v>
          </cell>
          <cell r="N636">
            <v>0</v>
          </cell>
          <cell r="P636">
            <v>0</v>
          </cell>
          <cell r="U636" t="str">
            <v>000000000014596</v>
          </cell>
        </row>
        <row r="637">
          <cell r="M637" t="str">
            <v>作業者</v>
          </cell>
          <cell r="U637" t="str">
            <v>000000000014596</v>
          </cell>
        </row>
        <row r="638">
          <cell r="C638">
            <v>0</v>
          </cell>
          <cell r="U638" t="str">
            <v>000000000014596</v>
          </cell>
        </row>
        <row r="639">
          <cell r="R639">
            <v>0</v>
          </cell>
          <cell r="U639" t="str">
            <v>000000000014596</v>
          </cell>
        </row>
        <row r="640">
          <cell r="D640" t="str">
            <v>不良補填</v>
          </cell>
          <cell r="F640">
            <v>0</v>
          </cell>
          <cell r="U640" t="str">
            <v>000000000014596</v>
          </cell>
        </row>
        <row r="641">
          <cell r="C641" t="str">
            <v>8FL281304 5010　L=888</v>
          </cell>
          <cell r="P641">
            <v>0</v>
          </cell>
          <cell r="U641" t="str">
            <v>000000000014597</v>
          </cell>
        </row>
        <row r="642">
          <cell r="P642">
            <v>0</v>
          </cell>
          <cell r="U642" t="str">
            <v>000000000014597</v>
          </cell>
        </row>
        <row r="643">
          <cell r="P643">
            <v>0</v>
          </cell>
          <cell r="U643" t="str">
            <v>000000000014597</v>
          </cell>
        </row>
        <row r="644">
          <cell r="C644">
            <v>100</v>
          </cell>
          <cell r="P644">
            <v>0</v>
          </cell>
          <cell r="U644" t="str">
            <v>000000000014597</v>
          </cell>
        </row>
        <row r="645">
          <cell r="C645">
            <v>2</v>
          </cell>
          <cell r="P645">
            <v>0</v>
          </cell>
          <cell r="U645" t="str">
            <v>000000000014597</v>
          </cell>
        </row>
        <row r="646">
          <cell r="C646">
            <v>100</v>
          </cell>
          <cell r="M646" t="str">
            <v>合計</v>
          </cell>
          <cell r="N646">
            <v>0</v>
          </cell>
          <cell r="P646">
            <v>0</v>
          </cell>
          <cell r="U646" t="str">
            <v>000000000014597</v>
          </cell>
        </row>
        <row r="647">
          <cell r="C647" t="str">
            <v>LED-A888</v>
          </cell>
          <cell r="M647" t="str">
            <v>入数</v>
          </cell>
          <cell r="N647">
            <v>0</v>
          </cell>
          <cell r="P647">
            <v>0</v>
          </cell>
          <cell r="U647" t="str">
            <v>000000000014597</v>
          </cell>
        </row>
        <row r="648">
          <cell r="M648" t="str">
            <v>作業者</v>
          </cell>
          <cell r="U648" t="str">
            <v>000000000014597</v>
          </cell>
        </row>
        <row r="649">
          <cell r="C649">
            <v>0</v>
          </cell>
          <cell r="U649" t="str">
            <v>000000000014597</v>
          </cell>
        </row>
        <row r="650">
          <cell r="R650">
            <v>0</v>
          </cell>
          <cell r="U650" t="str">
            <v>000000000014597</v>
          </cell>
        </row>
        <row r="651">
          <cell r="D651" t="str">
            <v>不良補填</v>
          </cell>
          <cell r="F651">
            <v>0</v>
          </cell>
          <cell r="U651" t="str">
            <v>000000000014597</v>
          </cell>
        </row>
        <row r="652">
          <cell r="C652" t="str">
            <v>8FL281304 5010　L=888</v>
          </cell>
          <cell r="P652">
            <v>0</v>
          </cell>
          <cell r="U652" t="str">
            <v>000000000014599</v>
          </cell>
        </row>
        <row r="653">
          <cell r="P653">
            <v>0</v>
          </cell>
          <cell r="U653" t="str">
            <v>000000000014599</v>
          </cell>
        </row>
        <row r="654">
          <cell r="P654">
            <v>0</v>
          </cell>
          <cell r="U654" t="str">
            <v>000000000014599</v>
          </cell>
        </row>
        <row r="655">
          <cell r="C655">
            <v>1000</v>
          </cell>
          <cell r="P655">
            <v>0</v>
          </cell>
          <cell r="U655" t="str">
            <v>000000000014599</v>
          </cell>
        </row>
        <row r="656">
          <cell r="C656">
            <v>2</v>
          </cell>
          <cell r="P656">
            <v>0</v>
          </cell>
          <cell r="U656" t="str">
            <v>000000000014599</v>
          </cell>
        </row>
        <row r="657">
          <cell r="C657">
            <v>100</v>
          </cell>
          <cell r="M657" t="str">
            <v>合計</v>
          </cell>
          <cell r="N657">
            <v>0</v>
          </cell>
          <cell r="P657">
            <v>0</v>
          </cell>
          <cell r="U657" t="str">
            <v>000000000014599</v>
          </cell>
        </row>
        <row r="658">
          <cell r="C658" t="str">
            <v>LED-A888</v>
          </cell>
          <cell r="M658" t="str">
            <v>入数</v>
          </cell>
          <cell r="N658">
            <v>0</v>
          </cell>
          <cell r="P658">
            <v>0</v>
          </cell>
          <cell r="U658" t="str">
            <v>000000000014599</v>
          </cell>
        </row>
        <row r="659">
          <cell r="M659" t="str">
            <v>作業者</v>
          </cell>
          <cell r="U659" t="str">
            <v>000000000014599</v>
          </cell>
        </row>
        <row r="660">
          <cell r="C660">
            <v>0</v>
          </cell>
          <cell r="U660" t="str">
            <v>000000000014599</v>
          </cell>
        </row>
        <row r="661">
          <cell r="R661">
            <v>0</v>
          </cell>
          <cell r="U661" t="str">
            <v>000000000014599</v>
          </cell>
        </row>
        <row r="662">
          <cell r="D662" t="str">
            <v>不良補填</v>
          </cell>
          <cell r="F662">
            <v>0</v>
          </cell>
          <cell r="U662" t="str">
            <v>000000000014599</v>
          </cell>
        </row>
        <row r="663">
          <cell r="C663" t="str">
            <v>灯具カバーPC IN 2070　L=1966</v>
          </cell>
          <cell r="P663">
            <v>0</v>
          </cell>
          <cell r="U663" t="str">
            <v>000000000014865</v>
          </cell>
        </row>
        <row r="664">
          <cell r="P664">
            <v>0</v>
          </cell>
          <cell r="U664" t="str">
            <v>000000000014865</v>
          </cell>
        </row>
        <row r="665">
          <cell r="P665">
            <v>0</v>
          </cell>
          <cell r="U665" t="str">
            <v>000000000014865</v>
          </cell>
        </row>
        <row r="666">
          <cell r="C666">
            <v>208</v>
          </cell>
          <cell r="P666">
            <v>0</v>
          </cell>
          <cell r="U666" t="str">
            <v>000000000014865</v>
          </cell>
        </row>
        <row r="667">
          <cell r="C667">
            <v>1</v>
          </cell>
          <cell r="P667">
            <v>0</v>
          </cell>
          <cell r="U667" t="str">
            <v>000000000014865</v>
          </cell>
        </row>
        <row r="668">
          <cell r="C668">
            <v>16</v>
          </cell>
          <cell r="M668" t="str">
            <v>合計</v>
          </cell>
          <cell r="N668">
            <v>0</v>
          </cell>
          <cell r="P668">
            <v>0</v>
          </cell>
          <cell r="U668" t="str">
            <v>000000000014865</v>
          </cell>
        </row>
        <row r="669">
          <cell r="C669" t="str">
            <v>灯具-2　L＝1996</v>
          </cell>
          <cell r="M669" t="str">
            <v>入数</v>
          </cell>
          <cell r="N669">
            <v>0</v>
          </cell>
          <cell r="P669">
            <v>0</v>
          </cell>
          <cell r="U669" t="str">
            <v>000000000014865</v>
          </cell>
        </row>
        <row r="670">
          <cell r="M670" t="str">
            <v>作業者</v>
          </cell>
          <cell r="U670" t="str">
            <v>000000000014865</v>
          </cell>
        </row>
        <row r="671">
          <cell r="C671">
            <v>0</v>
          </cell>
          <cell r="U671" t="str">
            <v>000000000014865</v>
          </cell>
        </row>
        <row r="672">
          <cell r="R672">
            <v>0</v>
          </cell>
          <cell r="U672" t="str">
            <v>000000000014865</v>
          </cell>
        </row>
        <row r="673">
          <cell r="D673" t="str">
            <v>不良補填</v>
          </cell>
          <cell r="F673" t="str">
            <v/>
          </cell>
          <cell r="U673" t="str">
            <v>000000000014865</v>
          </cell>
        </row>
        <row r="674">
          <cell r="C674" t="str">
            <v>灯具カバーPC IN 2110　L=1815</v>
          </cell>
          <cell r="P674">
            <v>0</v>
          </cell>
          <cell r="U674" t="str">
            <v>000000000014335</v>
          </cell>
        </row>
        <row r="675">
          <cell r="P675">
            <v>0</v>
          </cell>
          <cell r="U675" t="str">
            <v>000000000014335</v>
          </cell>
        </row>
        <row r="676">
          <cell r="P676">
            <v>0</v>
          </cell>
          <cell r="U676" t="str">
            <v>000000000014335</v>
          </cell>
        </row>
        <row r="677">
          <cell r="C677">
            <v>208</v>
          </cell>
          <cell r="P677">
            <v>0</v>
          </cell>
          <cell r="U677" t="str">
            <v>000000000014335</v>
          </cell>
        </row>
        <row r="678">
          <cell r="C678">
            <v>1</v>
          </cell>
          <cell r="P678">
            <v>0</v>
          </cell>
          <cell r="U678" t="str">
            <v>000000000014335</v>
          </cell>
        </row>
        <row r="679">
          <cell r="C679">
            <v>16</v>
          </cell>
          <cell r="M679" t="str">
            <v>合計</v>
          </cell>
          <cell r="N679">
            <v>0</v>
          </cell>
          <cell r="P679">
            <v>0</v>
          </cell>
          <cell r="U679" t="str">
            <v>000000000014335</v>
          </cell>
        </row>
        <row r="680">
          <cell r="C680" t="str">
            <v>灯具-2　L＝1996</v>
          </cell>
          <cell r="M680" t="str">
            <v>入数</v>
          </cell>
          <cell r="N680">
            <v>0</v>
          </cell>
          <cell r="P680">
            <v>0</v>
          </cell>
          <cell r="U680" t="str">
            <v>000000000014335</v>
          </cell>
        </row>
        <row r="681">
          <cell r="M681" t="str">
            <v>作業者</v>
          </cell>
          <cell r="U681" t="str">
            <v>000000000014335</v>
          </cell>
        </row>
        <row r="682">
          <cell r="C682">
            <v>0</v>
          </cell>
          <cell r="U682" t="str">
            <v>000000000014335</v>
          </cell>
        </row>
        <row r="683">
          <cell r="R683">
            <v>0</v>
          </cell>
          <cell r="U683" t="str">
            <v>000000000014335</v>
          </cell>
        </row>
        <row r="684">
          <cell r="D684" t="str">
            <v>不良補填</v>
          </cell>
          <cell r="F684" t="str">
            <v/>
          </cell>
          <cell r="U684" t="str">
            <v>000000000014335</v>
          </cell>
        </row>
        <row r="685">
          <cell r="C685" t="str">
            <v>灯具カバーPC  　2200    L=221.8</v>
          </cell>
          <cell r="P685">
            <v>0</v>
          </cell>
          <cell r="U685" t="str">
            <v>000000000014999</v>
          </cell>
        </row>
        <row r="686">
          <cell r="P686">
            <v>0</v>
          </cell>
          <cell r="U686" t="str">
            <v>000000000014999</v>
          </cell>
        </row>
        <row r="687">
          <cell r="P687">
            <v>0</v>
          </cell>
          <cell r="U687" t="str">
            <v>000000000014999</v>
          </cell>
        </row>
        <row r="688">
          <cell r="C688">
            <v>10</v>
          </cell>
          <cell r="P688">
            <v>0</v>
          </cell>
          <cell r="U688" t="str">
            <v>000000000014999</v>
          </cell>
        </row>
        <row r="689">
          <cell r="C689">
            <v>2</v>
          </cell>
          <cell r="P689">
            <v>0</v>
          </cell>
          <cell r="U689" t="str">
            <v>000000000014999</v>
          </cell>
        </row>
        <row r="690">
          <cell r="C690">
            <v>2</v>
          </cell>
          <cell r="M690" t="str">
            <v>合計</v>
          </cell>
          <cell r="N690">
            <v>0</v>
          </cell>
          <cell r="P690">
            <v>0</v>
          </cell>
          <cell r="U690" t="str">
            <v>000000000014999</v>
          </cell>
        </row>
        <row r="691">
          <cell r="C691" t="str">
            <v>H型ジョイナー端材</v>
          </cell>
          <cell r="M691" t="str">
            <v>入数</v>
          </cell>
          <cell r="N691">
            <v>0</v>
          </cell>
          <cell r="P691">
            <v>0</v>
          </cell>
          <cell r="U691" t="str">
            <v>000000000014999</v>
          </cell>
        </row>
        <row r="692">
          <cell r="M692" t="str">
            <v>作業者</v>
          </cell>
          <cell r="U692" t="str">
            <v>000000000014999</v>
          </cell>
        </row>
        <row r="693">
          <cell r="C693">
            <v>0</v>
          </cell>
          <cell r="U693" t="str">
            <v>000000000014999</v>
          </cell>
        </row>
        <row r="694">
          <cell r="R694">
            <v>0</v>
          </cell>
          <cell r="U694" t="str">
            <v>000000000014999</v>
          </cell>
        </row>
        <row r="695">
          <cell r="D695" t="str">
            <v>不良補填</v>
          </cell>
          <cell r="F695" t="str">
            <v/>
          </cell>
          <cell r="U695" t="str">
            <v>000000000014999</v>
          </cell>
        </row>
        <row r="696">
          <cell r="C696" t="str">
            <v>8FL281304 5010　L=888</v>
          </cell>
          <cell r="P696">
            <v>0</v>
          </cell>
          <cell r="U696" t="str">
            <v>000000000014598</v>
          </cell>
        </row>
        <row r="697">
          <cell r="P697">
            <v>0</v>
          </cell>
          <cell r="U697" t="str">
            <v>000000000014598</v>
          </cell>
        </row>
        <row r="698">
          <cell r="P698">
            <v>0</v>
          </cell>
          <cell r="U698" t="str">
            <v>000000000014598</v>
          </cell>
        </row>
        <row r="699">
          <cell r="C699">
            <v>2000</v>
          </cell>
          <cell r="P699">
            <v>0</v>
          </cell>
          <cell r="U699" t="str">
            <v>000000000014598</v>
          </cell>
        </row>
        <row r="700">
          <cell r="C700">
            <v>2</v>
          </cell>
          <cell r="P700">
            <v>0</v>
          </cell>
          <cell r="U700" t="str">
            <v>000000000014598</v>
          </cell>
        </row>
        <row r="701">
          <cell r="C701">
            <v>100</v>
          </cell>
          <cell r="M701" t="str">
            <v>合計</v>
          </cell>
          <cell r="N701">
            <v>0</v>
          </cell>
          <cell r="P701">
            <v>0</v>
          </cell>
          <cell r="U701" t="str">
            <v>000000000014598</v>
          </cell>
        </row>
        <row r="702">
          <cell r="C702" t="str">
            <v>LED-A888</v>
          </cell>
          <cell r="M702" t="str">
            <v>入数</v>
          </cell>
          <cell r="N702">
            <v>0</v>
          </cell>
          <cell r="P702">
            <v>0</v>
          </cell>
          <cell r="U702" t="str">
            <v>000000000014598</v>
          </cell>
        </row>
        <row r="703">
          <cell r="M703" t="str">
            <v>作業者</v>
          </cell>
          <cell r="U703" t="str">
            <v>000000000014598</v>
          </cell>
        </row>
        <row r="704">
          <cell r="C704">
            <v>0</v>
          </cell>
          <cell r="U704" t="str">
            <v>000000000014598</v>
          </cell>
        </row>
        <row r="705">
          <cell r="R705">
            <v>0</v>
          </cell>
          <cell r="U705" t="str">
            <v>000000000014598</v>
          </cell>
        </row>
        <row r="706">
          <cell r="D706" t="str">
            <v>不良補填</v>
          </cell>
          <cell r="F706">
            <v>0</v>
          </cell>
          <cell r="U706" t="str">
            <v>000000000014598</v>
          </cell>
        </row>
        <row r="707">
          <cell r="C707" t="str">
            <v>8FL281304 4810　L=297</v>
          </cell>
          <cell r="U707" t="str">
            <v>000000000014576</v>
          </cell>
        </row>
        <row r="708">
          <cell r="U708" t="str">
            <v>000000000014576</v>
          </cell>
        </row>
        <row r="709">
          <cell r="U709" t="str">
            <v>000000000014576</v>
          </cell>
        </row>
        <row r="710">
          <cell r="C710">
            <v>300</v>
          </cell>
          <cell r="U710" t="str">
            <v>000000000014576</v>
          </cell>
        </row>
        <row r="711">
          <cell r="C711">
            <v>6</v>
          </cell>
          <cell r="U711" t="str">
            <v>000000000014576</v>
          </cell>
        </row>
        <row r="712">
          <cell r="C712">
            <v>100</v>
          </cell>
          <cell r="N712">
            <v>0</v>
          </cell>
          <cell r="U712" t="str">
            <v>000000000014576</v>
          </cell>
        </row>
        <row r="713">
          <cell r="C713" t="str">
            <v>LED-A300</v>
          </cell>
          <cell r="N713">
            <v>0</v>
          </cell>
          <cell r="U713" t="str">
            <v>000000000014576</v>
          </cell>
        </row>
        <row r="714">
          <cell r="U714" t="str">
            <v>000000000014576</v>
          </cell>
        </row>
        <row r="715">
          <cell r="U715" t="str">
            <v>000000000014576</v>
          </cell>
        </row>
        <row r="716">
          <cell r="U716" t="str">
            <v>000000000014576</v>
          </cell>
        </row>
        <row r="717">
          <cell r="D717" t="str">
            <v>不良補填</v>
          </cell>
          <cell r="F717">
            <v>0</v>
          </cell>
          <cell r="U717" t="str">
            <v>000000000014576</v>
          </cell>
        </row>
        <row r="718">
          <cell r="C718" t="str">
            <v>採光ルーバーパネルB　L=1996</v>
          </cell>
          <cell r="U718" t="str">
            <v>000000000014896</v>
          </cell>
        </row>
        <row r="719">
          <cell r="U719" t="str">
            <v>000000000014896</v>
          </cell>
        </row>
        <row r="720">
          <cell r="U720" t="str">
            <v>000000000014896</v>
          </cell>
        </row>
        <row r="721">
          <cell r="C721">
            <v>336</v>
          </cell>
          <cell r="U721" t="str">
            <v>000000000014896</v>
          </cell>
        </row>
        <row r="722">
          <cell r="C722">
            <v>1</v>
          </cell>
          <cell r="U722" t="str">
            <v>000000000014896</v>
          </cell>
        </row>
        <row r="723">
          <cell r="C723">
            <v>42</v>
          </cell>
          <cell r="N723">
            <v>0</v>
          </cell>
          <cell r="U723" t="str">
            <v>000000000014896</v>
          </cell>
        </row>
        <row r="724">
          <cell r="C724" t="str">
            <v>上-1</v>
          </cell>
          <cell r="N724">
            <v>0</v>
          </cell>
          <cell r="U724" t="str">
            <v>000000000014896</v>
          </cell>
        </row>
        <row r="725">
          <cell r="U725" t="str">
            <v>000000000014896</v>
          </cell>
        </row>
        <row r="726">
          <cell r="U726" t="str">
            <v>000000000014896</v>
          </cell>
        </row>
        <row r="727">
          <cell r="U727" t="str">
            <v>000000000014896</v>
          </cell>
        </row>
        <row r="728">
          <cell r="D728" t="str">
            <v>不良補填</v>
          </cell>
          <cell r="F728" t="str">
            <v/>
          </cell>
          <cell r="U728" t="str">
            <v>000000000014896</v>
          </cell>
        </row>
        <row r="729">
          <cell r="C729" t="str">
            <v>8FL281304 6110　L=1478</v>
          </cell>
          <cell r="U729" t="str">
            <v>000000000014607</v>
          </cell>
        </row>
        <row r="730">
          <cell r="U730" t="str">
            <v>000000000014607</v>
          </cell>
        </row>
        <row r="731">
          <cell r="U731" t="str">
            <v>000000000014607</v>
          </cell>
        </row>
        <row r="732">
          <cell r="C732">
            <v>400</v>
          </cell>
          <cell r="U732" t="str">
            <v>000000000014607</v>
          </cell>
        </row>
        <row r="733">
          <cell r="C733">
            <v>1</v>
          </cell>
          <cell r="U733" t="str">
            <v>000000000014607</v>
          </cell>
        </row>
        <row r="734">
          <cell r="C734">
            <v>100</v>
          </cell>
          <cell r="N734">
            <v>0</v>
          </cell>
          <cell r="U734" t="str">
            <v>000000000014607</v>
          </cell>
        </row>
        <row r="735">
          <cell r="C735" t="str">
            <v>LED-A1478</v>
          </cell>
          <cell r="N735">
            <v>0</v>
          </cell>
          <cell r="U735" t="str">
            <v>000000000014607</v>
          </cell>
        </row>
        <row r="736">
          <cell r="U736" t="str">
            <v>000000000014607</v>
          </cell>
        </row>
        <row r="737">
          <cell r="U737" t="str">
            <v>000000000014607</v>
          </cell>
        </row>
        <row r="738">
          <cell r="U738" t="str">
            <v>000000000014607</v>
          </cell>
        </row>
        <row r="739">
          <cell r="D739" t="str">
            <v>不良補填</v>
          </cell>
          <cell r="F739">
            <v>0</v>
          </cell>
          <cell r="U739" t="str">
            <v>000000000014607</v>
          </cell>
        </row>
        <row r="740">
          <cell r="C740" t="str">
            <v>8FL281304 5010　L=888</v>
          </cell>
          <cell r="U740" t="str">
            <v>000000000014600</v>
          </cell>
        </row>
        <row r="741">
          <cell r="U741" t="str">
            <v>000000000014600</v>
          </cell>
        </row>
        <row r="742">
          <cell r="U742" t="str">
            <v>000000000014600</v>
          </cell>
        </row>
        <row r="743">
          <cell r="C743">
            <v>900</v>
          </cell>
          <cell r="U743" t="str">
            <v>000000000014600</v>
          </cell>
        </row>
        <row r="744">
          <cell r="C744">
            <v>2</v>
          </cell>
          <cell r="U744" t="str">
            <v>000000000014600</v>
          </cell>
        </row>
        <row r="745">
          <cell r="C745">
            <v>100</v>
          </cell>
          <cell r="N745">
            <v>0</v>
          </cell>
          <cell r="U745" t="str">
            <v>000000000014600</v>
          </cell>
        </row>
        <row r="746">
          <cell r="C746" t="str">
            <v>LED-A888</v>
          </cell>
          <cell r="N746">
            <v>0</v>
          </cell>
          <cell r="U746" t="str">
            <v>000000000014600</v>
          </cell>
        </row>
        <row r="747">
          <cell r="U747" t="str">
            <v>000000000014600</v>
          </cell>
        </row>
        <row r="748">
          <cell r="U748" t="str">
            <v>000000000014600</v>
          </cell>
        </row>
        <row r="749">
          <cell r="U749" t="str">
            <v>000000000014600</v>
          </cell>
        </row>
        <row r="750">
          <cell r="D750" t="str">
            <v>不良補填</v>
          </cell>
          <cell r="F750">
            <v>0</v>
          </cell>
          <cell r="U750" t="str">
            <v>000000000014600</v>
          </cell>
        </row>
        <row r="751">
          <cell r="C751" t="str">
            <v>8FL281304 5010　L=888</v>
          </cell>
          <cell r="U751" t="str">
            <v>000000000014601</v>
          </cell>
        </row>
        <row r="752">
          <cell r="U752" t="str">
            <v>000000000014601</v>
          </cell>
        </row>
        <row r="753">
          <cell r="U753" t="str">
            <v>000000000014601</v>
          </cell>
        </row>
        <row r="754">
          <cell r="C754">
            <v>2000</v>
          </cell>
          <cell r="U754" t="str">
            <v>000000000014601</v>
          </cell>
        </row>
        <row r="755">
          <cell r="C755">
            <v>2</v>
          </cell>
          <cell r="U755" t="str">
            <v>000000000014601</v>
          </cell>
        </row>
        <row r="756">
          <cell r="C756">
            <v>100</v>
          </cell>
          <cell r="N756">
            <v>0</v>
          </cell>
          <cell r="U756" t="str">
            <v>000000000014601</v>
          </cell>
        </row>
        <row r="757">
          <cell r="C757" t="str">
            <v>LED-A888</v>
          </cell>
          <cell r="N757">
            <v>0</v>
          </cell>
          <cell r="U757" t="str">
            <v>000000000014601</v>
          </cell>
        </row>
        <row r="758">
          <cell r="U758" t="str">
            <v>000000000014601</v>
          </cell>
        </row>
        <row r="759">
          <cell r="U759" t="str">
            <v>000000000014601</v>
          </cell>
        </row>
        <row r="760">
          <cell r="U760" t="str">
            <v>000000000014601</v>
          </cell>
        </row>
        <row r="761">
          <cell r="D761" t="str">
            <v>不良補填</v>
          </cell>
          <cell r="F761">
            <v>0</v>
          </cell>
          <cell r="U761" t="str">
            <v>000000000014601</v>
          </cell>
        </row>
        <row r="762">
          <cell r="C762" t="str">
            <v>8FL281304 8310　L=748</v>
          </cell>
          <cell r="U762" t="str">
            <v>000000000014581</v>
          </cell>
        </row>
        <row r="763">
          <cell r="U763" t="str">
            <v>000000000014581</v>
          </cell>
        </row>
        <row r="764">
          <cell r="U764" t="str">
            <v>000000000014581</v>
          </cell>
        </row>
        <row r="765">
          <cell r="C765">
            <v>400</v>
          </cell>
          <cell r="U765" t="str">
            <v>000000000014581</v>
          </cell>
        </row>
        <row r="766">
          <cell r="C766">
            <v>2</v>
          </cell>
          <cell r="U766" t="str">
            <v>000000000014581</v>
          </cell>
        </row>
        <row r="767">
          <cell r="C767">
            <v>100</v>
          </cell>
          <cell r="U767" t="str">
            <v>000000000014581</v>
          </cell>
        </row>
        <row r="768">
          <cell r="C768" t="str">
            <v>LED-A888</v>
          </cell>
          <cell r="U768" t="str">
            <v>000000000014581</v>
          </cell>
        </row>
        <row r="769">
          <cell r="U769" t="str">
            <v>000000000014581</v>
          </cell>
        </row>
        <row r="770">
          <cell r="U770" t="str">
            <v>000000000014581</v>
          </cell>
        </row>
        <row r="771">
          <cell r="U771" t="str">
            <v>000000000014581</v>
          </cell>
        </row>
        <row r="772">
          <cell r="D772" t="str">
            <v>不良補填</v>
          </cell>
          <cell r="F772">
            <v>0</v>
          </cell>
          <cell r="U772" t="str">
            <v>000000000014581</v>
          </cell>
        </row>
        <row r="773">
          <cell r="C773" t="str">
            <v>752GPSB　865</v>
          </cell>
          <cell r="U773" t="str">
            <v>000000000014671</v>
          </cell>
        </row>
        <row r="774">
          <cell r="U774" t="str">
            <v>000000000014671</v>
          </cell>
        </row>
        <row r="775">
          <cell r="U775" t="str">
            <v>000000000014671</v>
          </cell>
        </row>
        <row r="776">
          <cell r="C776">
            <v>200</v>
          </cell>
          <cell r="U776" t="str">
            <v>000000000014671</v>
          </cell>
        </row>
        <row r="777">
          <cell r="C777">
            <v>1</v>
          </cell>
          <cell r="U777" t="str">
            <v>000000000014671</v>
          </cell>
        </row>
        <row r="778">
          <cell r="C778">
            <v>100</v>
          </cell>
          <cell r="U778" t="str">
            <v>000000000014671</v>
          </cell>
        </row>
        <row r="779">
          <cell r="C779" t="str">
            <v>S-40</v>
          </cell>
          <cell r="U779" t="str">
            <v>000000000014671</v>
          </cell>
        </row>
        <row r="780">
          <cell r="U780" t="str">
            <v>000000000014671</v>
          </cell>
        </row>
        <row r="781">
          <cell r="U781" t="str">
            <v>000000000014671</v>
          </cell>
        </row>
        <row r="782">
          <cell r="U782" t="str">
            <v>000000000014671</v>
          </cell>
        </row>
        <row r="783">
          <cell r="D783" t="str">
            <v>不良補填</v>
          </cell>
          <cell r="F783" t="str">
            <v/>
          </cell>
          <cell r="U783" t="str">
            <v>000000000014671</v>
          </cell>
        </row>
        <row r="784">
          <cell r="C784" t="str">
            <v>752GPSB　715</v>
          </cell>
          <cell r="U784" t="str">
            <v>000000000014670</v>
          </cell>
        </row>
        <row r="785">
          <cell r="U785" t="str">
            <v>000000000014670</v>
          </cell>
        </row>
        <row r="786">
          <cell r="U786" t="str">
            <v>000000000014670</v>
          </cell>
        </row>
        <row r="787">
          <cell r="C787">
            <v>800</v>
          </cell>
          <cell r="U787" t="str">
            <v>000000000014670</v>
          </cell>
        </row>
        <row r="788">
          <cell r="C788">
            <v>2</v>
          </cell>
          <cell r="U788" t="str">
            <v>000000000014670</v>
          </cell>
        </row>
        <row r="789">
          <cell r="C789">
            <v>100</v>
          </cell>
          <cell r="U789" t="str">
            <v>000000000014670</v>
          </cell>
        </row>
        <row r="790">
          <cell r="C790" t="str">
            <v>S-40</v>
          </cell>
          <cell r="U790" t="str">
            <v>000000000014670</v>
          </cell>
        </row>
        <row r="791">
          <cell r="U791" t="str">
            <v>000000000014670</v>
          </cell>
        </row>
        <row r="792">
          <cell r="U792" t="str">
            <v>000000000014670</v>
          </cell>
        </row>
        <row r="793">
          <cell r="U793" t="str">
            <v>000000000014670</v>
          </cell>
        </row>
        <row r="794">
          <cell r="D794" t="str">
            <v>不良補填</v>
          </cell>
          <cell r="F794" t="str">
            <v/>
          </cell>
          <cell r="U794" t="str">
            <v>000000000014670</v>
          </cell>
        </row>
        <row r="795">
          <cell r="C795" t="str">
            <v>752GPSB　665</v>
          </cell>
          <cell r="U795" t="str">
            <v>000000000014669</v>
          </cell>
        </row>
        <row r="796">
          <cell r="U796" t="str">
            <v>000000000014669</v>
          </cell>
        </row>
        <row r="797">
          <cell r="U797" t="str">
            <v>000000000014669</v>
          </cell>
        </row>
        <row r="798">
          <cell r="C798">
            <v>100</v>
          </cell>
          <cell r="U798" t="str">
            <v>000000000014669</v>
          </cell>
        </row>
        <row r="799">
          <cell r="C799">
            <v>2</v>
          </cell>
          <cell r="U799" t="str">
            <v>000000000014669</v>
          </cell>
        </row>
        <row r="800">
          <cell r="C800">
            <v>100</v>
          </cell>
          <cell r="U800" t="str">
            <v>000000000014669</v>
          </cell>
        </row>
        <row r="801">
          <cell r="C801" t="str">
            <v>S-40</v>
          </cell>
          <cell r="U801" t="str">
            <v>000000000014669</v>
          </cell>
        </row>
        <row r="802">
          <cell r="U802" t="str">
            <v>000000000014669</v>
          </cell>
        </row>
        <row r="803">
          <cell r="U803" t="str">
            <v>000000000014669</v>
          </cell>
        </row>
        <row r="804">
          <cell r="U804" t="str">
            <v>000000000014669</v>
          </cell>
        </row>
        <row r="805">
          <cell r="U805" t="str">
            <v>000000000014669</v>
          </cell>
        </row>
        <row r="806">
          <cell r="C806" t="str">
            <v>752GPSB　565</v>
          </cell>
          <cell r="U806" t="str">
            <v>000000000014668</v>
          </cell>
        </row>
        <row r="807">
          <cell r="U807" t="str">
            <v>000000000014668</v>
          </cell>
        </row>
        <row r="808">
          <cell r="U808" t="str">
            <v>000000000014668</v>
          </cell>
        </row>
        <row r="809">
          <cell r="C809">
            <v>1200</v>
          </cell>
          <cell r="U809" t="str">
            <v>000000000014668</v>
          </cell>
        </row>
        <row r="810">
          <cell r="C810">
            <v>2</v>
          </cell>
          <cell r="U810" t="str">
            <v>000000000014668</v>
          </cell>
        </row>
        <row r="811">
          <cell r="C811">
            <v>100</v>
          </cell>
          <cell r="U811" t="str">
            <v>000000000014668</v>
          </cell>
        </row>
        <row r="812">
          <cell r="C812" t="str">
            <v>S-30</v>
          </cell>
          <cell r="U812" t="str">
            <v>000000000014668</v>
          </cell>
        </row>
        <row r="813">
          <cell r="U813" t="str">
            <v>000000000014668</v>
          </cell>
        </row>
        <row r="814">
          <cell r="U814" t="str">
            <v>000000000014668</v>
          </cell>
        </row>
        <row r="815">
          <cell r="U815" t="str">
            <v>000000000014668</v>
          </cell>
        </row>
        <row r="816">
          <cell r="U816" t="str">
            <v>000000000014668</v>
          </cell>
        </row>
        <row r="817">
          <cell r="C817" t="str">
            <v>752GPSB　415</v>
          </cell>
          <cell r="U817" t="str">
            <v>000000000014667</v>
          </cell>
        </row>
        <row r="818">
          <cell r="U818" t="str">
            <v>000000000014667</v>
          </cell>
        </row>
        <row r="819">
          <cell r="U819" t="str">
            <v>000000000014667</v>
          </cell>
        </row>
        <row r="820">
          <cell r="C820">
            <v>2100</v>
          </cell>
          <cell r="U820" t="str">
            <v>000000000014667</v>
          </cell>
        </row>
        <row r="821">
          <cell r="C821">
            <v>3</v>
          </cell>
          <cell r="U821" t="str">
            <v>000000000014667</v>
          </cell>
        </row>
        <row r="822">
          <cell r="C822">
            <v>100</v>
          </cell>
          <cell r="U822" t="str">
            <v>000000000014667</v>
          </cell>
        </row>
        <row r="823">
          <cell r="C823" t="str">
            <v>S-20</v>
          </cell>
          <cell r="U823" t="str">
            <v>000000000014667</v>
          </cell>
        </row>
        <row r="824">
          <cell r="U824" t="str">
            <v>000000000014667</v>
          </cell>
        </row>
        <row r="825">
          <cell r="U825" t="str">
            <v>000000000014667</v>
          </cell>
        </row>
        <row r="826">
          <cell r="U826" t="str">
            <v>000000000014667</v>
          </cell>
        </row>
        <row r="827">
          <cell r="U827" t="str">
            <v>000000000014667</v>
          </cell>
        </row>
        <row r="828">
          <cell r="C828" t="str">
            <v>752GPSB　265</v>
          </cell>
          <cell r="U828" t="str">
            <v>000000000014666</v>
          </cell>
        </row>
        <row r="829">
          <cell r="U829" t="str">
            <v>000000000014666</v>
          </cell>
        </row>
        <row r="830">
          <cell r="U830" t="str">
            <v>000000000014666</v>
          </cell>
        </row>
        <row r="831">
          <cell r="C831">
            <v>600</v>
          </cell>
          <cell r="U831" t="str">
            <v>000000000014666</v>
          </cell>
        </row>
        <row r="832">
          <cell r="C832">
            <v>5</v>
          </cell>
          <cell r="U832" t="str">
            <v>000000000014666</v>
          </cell>
        </row>
        <row r="833">
          <cell r="C833">
            <v>100</v>
          </cell>
          <cell r="U833" t="str">
            <v>000000000014666</v>
          </cell>
        </row>
        <row r="834">
          <cell r="C834" t="str">
            <v>S-10</v>
          </cell>
          <cell r="U834" t="str">
            <v>000000000014666</v>
          </cell>
        </row>
        <row r="835">
          <cell r="U835" t="str">
            <v>000000000014666</v>
          </cell>
        </row>
        <row r="836">
          <cell r="U836" t="str">
            <v>000000000014666</v>
          </cell>
        </row>
        <row r="837">
          <cell r="U837" t="str">
            <v>000000000014666</v>
          </cell>
        </row>
        <row r="838">
          <cell r="U838" t="str">
            <v>000000000014666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workbookViewId="0">
      <selection activeCell="I4" sqref="I4:I5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33" t="s">
        <v>0</v>
      </c>
      <c r="C1" s="116"/>
      <c r="D1" s="11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116"/>
      <c r="C2" s="116"/>
      <c r="D2" s="116"/>
      <c r="E2" s="12"/>
      <c r="F2" s="12"/>
      <c r="G2" s="12"/>
      <c r="H2" s="12"/>
      <c r="I2" s="12"/>
      <c r="J2" s="12"/>
    </row>
    <row r="3" spans="1:10" ht="14.25" customHeight="1">
      <c r="A3" s="117" t="s">
        <v>1</v>
      </c>
      <c r="B3" s="117" t="s">
        <v>2</v>
      </c>
      <c r="C3" s="117" t="s">
        <v>3</v>
      </c>
      <c r="D3" s="121">
        <v>1966</v>
      </c>
      <c r="E3" s="117" t="s">
        <v>4</v>
      </c>
      <c r="F3" s="115" t="s">
        <v>5</v>
      </c>
      <c r="G3" s="116"/>
      <c r="H3" s="116"/>
      <c r="I3" s="24" t="s">
        <v>6</v>
      </c>
      <c r="J3" s="24" t="s">
        <v>7</v>
      </c>
    </row>
    <row r="4" spans="1:10" ht="14.25" customHeight="1">
      <c r="A4" s="116"/>
      <c r="B4" s="116"/>
      <c r="C4" s="116"/>
      <c r="D4" s="116"/>
      <c r="E4" s="116"/>
      <c r="F4" s="116"/>
      <c r="G4" s="116"/>
      <c r="H4" s="116"/>
      <c r="I4" s="119"/>
      <c r="J4" s="119"/>
    </row>
    <row r="5" spans="1:10" ht="17.45" customHeight="1">
      <c r="A5" s="118" t="s">
        <v>8</v>
      </c>
      <c r="B5" s="118" t="s">
        <v>9</v>
      </c>
      <c r="E5" s="118" t="s">
        <v>10</v>
      </c>
      <c r="F5" s="127" t="s">
        <v>11</v>
      </c>
      <c r="G5" s="116"/>
      <c r="H5" s="116"/>
      <c r="I5" s="120"/>
      <c r="J5" s="120"/>
    </row>
    <row r="6" spans="1:10" ht="17.45" customHeight="1">
      <c r="A6" s="116"/>
      <c r="B6" s="116"/>
      <c r="E6" s="116"/>
      <c r="F6" s="116"/>
      <c r="G6" s="116"/>
      <c r="H6" s="116"/>
      <c r="I6" s="13"/>
      <c r="J6" s="13"/>
    </row>
    <row r="7" spans="1:10" ht="17.45" customHeight="1">
      <c r="A7" s="118" t="s">
        <v>12</v>
      </c>
      <c r="B7" s="118" t="s">
        <v>13</v>
      </c>
      <c r="E7" s="2" t="s">
        <v>14</v>
      </c>
      <c r="F7" s="127" t="s">
        <v>15</v>
      </c>
      <c r="G7" s="116"/>
      <c r="H7" s="21"/>
      <c r="I7" s="13"/>
      <c r="J7" s="13"/>
    </row>
    <row r="8" spans="1:10" ht="17.45" customHeight="1">
      <c r="A8" s="116"/>
      <c r="B8" s="116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46188</v>
      </c>
      <c r="E9" s="2" t="s">
        <v>19</v>
      </c>
      <c r="F9" s="153">
        <v>16</v>
      </c>
      <c r="G9" s="116"/>
      <c r="H9" s="21"/>
    </row>
    <row r="10" spans="1:10" ht="17.45" customHeight="1">
      <c r="A10" s="2" t="s">
        <v>20</v>
      </c>
      <c r="B10" s="4">
        <v>46188</v>
      </c>
      <c r="E10" s="2" t="s">
        <v>21</v>
      </c>
      <c r="F10" s="21">
        <v>13</v>
      </c>
      <c r="G10" s="143" t="s">
        <v>22</v>
      </c>
      <c r="H10" s="136">
        <v>208</v>
      </c>
      <c r="I10" s="137"/>
      <c r="J10" s="138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39"/>
      <c r="H11" s="139"/>
      <c r="I11" s="114"/>
      <c r="J11" s="126"/>
    </row>
    <row r="12" spans="1:10" ht="13.5" customHeight="1">
      <c r="A12" s="130" t="s">
        <v>25</v>
      </c>
      <c r="B12" s="116"/>
      <c r="C12" s="116"/>
      <c r="D12" s="20"/>
      <c r="F12" s="3"/>
      <c r="G12" s="134" t="s">
        <v>26</v>
      </c>
      <c r="H12" s="152" t="s">
        <v>27</v>
      </c>
      <c r="I12" s="124" t="s">
        <v>28</v>
      </c>
      <c r="J12" s="125"/>
    </row>
    <row r="13" spans="1:10" ht="13.5" customHeight="1">
      <c r="A13" s="116"/>
      <c r="B13" s="116"/>
      <c r="C13" s="116"/>
      <c r="D13" s="20"/>
      <c r="F13" s="3"/>
      <c r="G13" s="135"/>
      <c r="H13" s="135"/>
      <c r="I13" s="114"/>
      <c r="J13" s="126"/>
    </row>
    <row r="14" spans="1:10" ht="13.5" customHeight="1">
      <c r="A14" s="1" t="s">
        <v>29</v>
      </c>
    </row>
    <row r="15" spans="1:10" ht="63" customHeight="1" thickBot="1">
      <c r="A15" s="122"/>
      <c r="B15" s="123"/>
      <c r="C15" s="123"/>
      <c r="D15" s="123"/>
      <c r="E15" s="123"/>
      <c r="F15" s="123"/>
      <c r="G15" s="123"/>
      <c r="H15" s="123"/>
      <c r="I15" s="123"/>
      <c r="J15" s="123"/>
    </row>
    <row r="16" spans="1:10" ht="18.75">
      <c r="A16" s="23" t="s">
        <v>30</v>
      </c>
      <c r="B16" s="16" t="s">
        <v>31</v>
      </c>
      <c r="C16" s="128" t="s">
        <v>32</v>
      </c>
      <c r="D16" s="129"/>
      <c r="E16" s="16" t="s">
        <v>33</v>
      </c>
      <c r="F16" s="128" t="s">
        <v>34</v>
      </c>
      <c r="G16" s="129"/>
      <c r="H16" s="129"/>
      <c r="I16" s="140" t="s">
        <v>35</v>
      </c>
      <c r="J16" s="129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107" t="s">
        <v>37</v>
      </c>
      <c r="D18" s="108"/>
      <c r="E18" s="25" t="s">
        <v>38</v>
      </c>
      <c r="F18" s="107" t="s">
        <v>39</v>
      </c>
      <c r="G18" s="108"/>
      <c r="H18" s="108"/>
      <c r="I18" s="112"/>
      <c r="J18" s="108"/>
    </row>
    <row r="19" spans="1:10" s="7" customFormat="1" ht="16.5" customHeight="1">
      <c r="A19" s="22">
        <v>1</v>
      </c>
      <c r="B19" s="26" t="s">
        <v>36</v>
      </c>
      <c r="C19" s="107" t="s">
        <v>37</v>
      </c>
      <c r="D19" s="108"/>
      <c r="E19" s="25" t="s">
        <v>40</v>
      </c>
      <c r="F19" s="107" t="s">
        <v>41</v>
      </c>
      <c r="G19" s="108"/>
      <c r="H19" s="108"/>
      <c r="I19" s="112"/>
      <c r="J19" s="108"/>
    </row>
    <row r="20" spans="1:10" s="7" customFormat="1" ht="16.5" customHeight="1">
      <c r="A20" s="22"/>
      <c r="B20" s="26"/>
      <c r="C20" s="107"/>
      <c r="D20" s="108"/>
      <c r="E20" s="25"/>
      <c r="F20" s="107"/>
      <c r="G20" s="108"/>
      <c r="H20" s="108"/>
      <c r="I20" s="112"/>
      <c r="J20" s="108"/>
    </row>
    <row r="21" spans="1:10" s="7" customFormat="1" ht="16.5" customHeight="1">
      <c r="A21" s="22"/>
      <c r="B21" s="26"/>
      <c r="C21" s="107"/>
      <c r="D21" s="108"/>
      <c r="E21" s="25"/>
      <c r="F21" s="107"/>
      <c r="G21" s="108"/>
      <c r="H21" s="108"/>
      <c r="I21" s="112"/>
      <c r="J21" s="108"/>
    </row>
    <row r="22" spans="1:10" s="7" customFormat="1" ht="16.5" customHeight="1">
      <c r="A22" s="22"/>
      <c r="B22" s="26"/>
      <c r="C22" s="107"/>
      <c r="D22" s="108"/>
      <c r="E22" s="25"/>
      <c r="F22" s="107"/>
      <c r="G22" s="108"/>
      <c r="H22" s="108"/>
      <c r="I22" s="112"/>
      <c r="J22" s="108"/>
    </row>
    <row r="23" spans="1:10" s="7" customFormat="1" ht="16.5" customHeight="1">
      <c r="A23" s="22"/>
      <c r="B23" s="26"/>
      <c r="C23" s="107"/>
      <c r="D23" s="108"/>
      <c r="E23" s="25"/>
      <c r="F23" s="107"/>
      <c r="G23" s="108"/>
      <c r="H23" s="108"/>
      <c r="I23" s="112"/>
      <c r="J23" s="108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131" t="s">
        <v>42</v>
      </c>
      <c r="B25" s="132"/>
      <c r="C25" s="131" t="s">
        <v>43</v>
      </c>
      <c r="D25" s="132"/>
      <c r="E25" s="132"/>
      <c r="F25" s="17" t="s">
        <v>44</v>
      </c>
      <c r="G25" s="131" t="s">
        <v>45</v>
      </c>
      <c r="H25" s="132"/>
      <c r="I25" s="131" t="s">
        <v>46</v>
      </c>
      <c r="J25" s="132"/>
    </row>
    <row r="26" spans="1:10" ht="14.25" customHeight="1">
      <c r="A26" s="8"/>
      <c r="B26" s="18"/>
      <c r="C26" s="113" t="s">
        <v>47</v>
      </c>
      <c r="D26" s="114"/>
      <c r="E26" s="18"/>
      <c r="F26" s="113" t="s">
        <v>29</v>
      </c>
      <c r="G26" s="114"/>
      <c r="H26" s="114"/>
      <c r="I26" s="114"/>
      <c r="J26" s="114"/>
    </row>
    <row r="27" spans="1:10">
      <c r="A27" s="9"/>
      <c r="C27" s="7"/>
      <c r="D27" s="7"/>
      <c r="E27" s="7"/>
    </row>
    <row r="28" spans="1:10" s="5" customFormat="1" ht="14.25" customHeight="1">
      <c r="A28" s="107" t="s">
        <v>48</v>
      </c>
      <c r="B28" s="110"/>
      <c r="C28" s="107" t="s">
        <v>49</v>
      </c>
      <c r="D28" s="110"/>
      <c r="E28" s="110"/>
      <c r="F28" s="27" t="s">
        <v>50</v>
      </c>
      <c r="G28" s="111">
        <v>208</v>
      </c>
      <c r="H28" s="110"/>
      <c r="I28" s="111">
        <v>13</v>
      </c>
      <c r="J28" s="110"/>
    </row>
    <row r="29" spans="1:10" s="7" customFormat="1" ht="24.95" customHeight="1">
      <c r="A29" s="109" t="s">
        <v>51</v>
      </c>
      <c r="B29" s="108"/>
      <c r="C29" s="107" t="s">
        <v>11</v>
      </c>
      <c r="D29" s="108"/>
      <c r="E29" s="108"/>
      <c r="F29" s="107"/>
      <c r="G29" s="108"/>
      <c r="H29" s="108"/>
      <c r="I29" s="108"/>
      <c r="J29" s="108"/>
    </row>
    <row r="30" spans="1:10" s="5" customFormat="1" ht="14.25" customHeight="1">
      <c r="A30" s="107" t="s">
        <v>52</v>
      </c>
      <c r="B30" s="110"/>
      <c r="C30" s="107" t="s">
        <v>53</v>
      </c>
      <c r="D30" s="110"/>
      <c r="E30" s="110"/>
      <c r="F30" s="27" t="s">
        <v>27</v>
      </c>
      <c r="G30" s="111">
        <v>13.103999999999999</v>
      </c>
      <c r="H30" s="110"/>
      <c r="I30" s="111">
        <v>0.81899999999999995</v>
      </c>
      <c r="J30" s="110"/>
    </row>
    <row r="31" spans="1:10" s="7" customFormat="1" ht="24.95" customHeight="1">
      <c r="A31" s="109" t="s">
        <v>54</v>
      </c>
      <c r="B31" s="108"/>
      <c r="C31" s="107"/>
      <c r="D31" s="108"/>
      <c r="E31" s="108"/>
      <c r="F31" s="107"/>
      <c r="G31" s="108"/>
      <c r="H31" s="108"/>
      <c r="I31" s="108"/>
      <c r="J31" s="108"/>
    </row>
    <row r="32" spans="1:10" s="5" customFormat="1" ht="14.25" customHeight="1">
      <c r="A32" s="107" t="s">
        <v>55</v>
      </c>
      <c r="B32" s="110"/>
      <c r="C32" s="107" t="s">
        <v>56</v>
      </c>
      <c r="D32" s="110"/>
      <c r="E32" s="110"/>
      <c r="F32" s="27"/>
      <c r="G32" s="111">
        <v>1.248</v>
      </c>
      <c r="H32" s="110"/>
      <c r="I32" s="111">
        <v>7.8E-2</v>
      </c>
      <c r="J32" s="110"/>
    </row>
    <row r="33" spans="1:14" s="7" customFormat="1" ht="24.95" customHeight="1">
      <c r="A33" s="109" t="s">
        <v>57</v>
      </c>
      <c r="B33" s="108"/>
      <c r="C33" s="107" t="s">
        <v>58</v>
      </c>
      <c r="D33" s="108"/>
      <c r="E33" s="108"/>
      <c r="F33" s="107"/>
      <c r="G33" s="108"/>
      <c r="H33" s="108"/>
      <c r="I33" s="108"/>
      <c r="J33" s="108"/>
    </row>
    <row r="34" spans="1:14" s="5" customFormat="1" ht="14.25" customHeight="1">
      <c r="A34" s="107"/>
      <c r="B34" s="110"/>
      <c r="C34" s="107"/>
      <c r="D34" s="110"/>
      <c r="E34" s="110"/>
      <c r="F34" s="27"/>
      <c r="G34" s="111"/>
      <c r="H34" s="110"/>
      <c r="I34" s="111"/>
      <c r="J34" s="110"/>
    </row>
    <row r="35" spans="1:14" s="7" customFormat="1" ht="24.95" customHeight="1">
      <c r="A35" s="109"/>
      <c r="B35" s="108"/>
      <c r="C35" s="107"/>
      <c r="D35" s="108"/>
      <c r="E35" s="108"/>
      <c r="F35" s="107"/>
      <c r="G35" s="108"/>
      <c r="H35" s="108"/>
      <c r="I35" s="108"/>
      <c r="J35" s="108"/>
    </row>
    <row r="36" spans="1:14" s="5" customFormat="1" ht="14.25" customHeight="1">
      <c r="A36" s="107"/>
      <c r="B36" s="110"/>
      <c r="C36" s="107"/>
      <c r="D36" s="110"/>
      <c r="E36" s="110"/>
      <c r="F36" s="27"/>
      <c r="G36" s="111"/>
      <c r="H36" s="110"/>
      <c r="I36" s="111"/>
      <c r="J36" s="110"/>
    </row>
    <row r="37" spans="1:14" s="7" customFormat="1" ht="24.95" customHeight="1" thickBot="1">
      <c r="A37" s="109"/>
      <c r="B37" s="108"/>
      <c r="C37" s="107"/>
      <c r="D37" s="108"/>
      <c r="E37" s="108"/>
      <c r="F37" s="107"/>
      <c r="G37" s="108"/>
      <c r="H37" s="108"/>
      <c r="I37" s="108"/>
      <c r="J37" s="108"/>
    </row>
    <row r="38" spans="1:14" s="5" customFormat="1" ht="18" customHeight="1">
      <c r="A38" s="28" t="s">
        <v>59</v>
      </c>
      <c r="B38" s="29" t="s">
        <v>60</v>
      </c>
      <c r="C38" s="144" t="s">
        <v>61</v>
      </c>
      <c r="D38" s="145"/>
      <c r="E38" s="30" t="s">
        <v>62</v>
      </c>
      <c r="F38" s="31" t="s">
        <v>63</v>
      </c>
      <c r="G38" s="32" t="s">
        <v>64</v>
      </c>
      <c r="H38" s="33" t="s">
        <v>65</v>
      </c>
      <c r="I38" s="105" t="s">
        <v>66</v>
      </c>
      <c r="J38" s="106"/>
    </row>
    <row r="39" spans="1:14" s="7" customFormat="1" ht="18" customHeight="1">
      <c r="A39" s="34" t="str">
        <f>_xlfn.XLOOKUP(B3,[1]VFDB2!$A:$A,[1]VFDB2!$J:$J)</f>
        <v>-</v>
      </c>
      <c r="B39" s="35">
        <f>D3</f>
        <v>1966</v>
      </c>
      <c r="C39" s="146" t="str">
        <f>_xlfn.XLOOKUP(B3,[1]VFDB2!$A:$A,[1]VFDB2!$Z:$Z)</f>
        <v>灯具-2　L＝1996</v>
      </c>
      <c r="D39" s="147"/>
      <c r="E39" s="148" cm="1">
        <f t="array" ref="E39">IFERROR(INDEX(_xlfn._xlws.FILTER([2]加工記録２!C:C,[2]加工記録２!U:U=B5),9),"")</f>
        <v>0</v>
      </c>
      <c r="F39" s="36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>切断加工：</v>
      </c>
      <c r="G39" s="37" t="str" cm="1">
        <f t="array" ref="G39:H43">IFERROR(IF(_xlfn.TAKE(_xlfn._xlws.FILTER([2]加工記録２!$M:$N,[2]加工記録２!$U:$U=B5),5)=0,"",_xlfn.TAKE(_xlfn._xlws.FILTER([2]加工記録２!$M:$N,[2]加工記録２!$U:$U=B5),5)),"")</f>
        <v/>
      </c>
      <c r="H39" s="38" t="str">
        <v/>
      </c>
      <c r="I39" s="39" t="s">
        <v>67</v>
      </c>
      <c r="J39" s="40" cm="1">
        <f t="array" ref="J39:J44">IFERROR(INDEX(_xlfn._xlws.FILTER([2]加工記録２!P:P, [2]加工記録２!U:U=B5),_xlfn.SEQUENCE(6)),"")</f>
        <v>0</v>
      </c>
    </row>
    <row r="40" spans="1:14" s="5" customFormat="1" ht="18" customHeight="1">
      <c r="A40" s="44" t="s">
        <v>68</v>
      </c>
      <c r="B40" s="45" t="s">
        <v>69</v>
      </c>
      <c r="C40" s="146"/>
      <c r="D40" s="147"/>
      <c r="E40" s="148"/>
      <c r="F40" s="46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>外観検査：</v>
      </c>
      <c r="G40" s="37" t="str">
        <v/>
      </c>
      <c r="H40" s="38" t="str">
        <v/>
      </c>
      <c r="I40" s="39" t="s">
        <v>70</v>
      </c>
      <c r="J40" s="41">
        <v>0</v>
      </c>
      <c r="K40" s="47"/>
    </row>
    <row r="41" spans="1:14" s="7" customFormat="1" ht="18" customHeight="1">
      <c r="A41" s="48" t="str">
        <f>_xlfn.XLOOKUP(B3,[1]VFDB2!$A:$A,[1]VFDB2!$L:$L)</f>
        <v>+2</v>
      </c>
      <c r="B41" s="49" t="str">
        <f>_xlfn.XLOOKUP(B3,[1]VFDB2!$A:$A,[1]VFDB2!$AC:$AC)</f>
        <v>換算表確認</v>
      </c>
      <c r="C41" s="149" t="s">
        <v>71</v>
      </c>
      <c r="D41" s="150" t="str">
        <f>_xlfn.XLOOKUP(B3,[1]VFDB2!$A:$A,[1]VFDB2!$W:$W)</f>
        <v>クラフト紙：1996型</v>
      </c>
      <c r="E41" s="150"/>
      <c r="F41" s="151"/>
      <c r="G41" s="37" t="str">
        <v/>
      </c>
      <c r="H41" s="38" t="str">
        <v/>
      </c>
      <c r="I41" s="39" t="s">
        <v>72</v>
      </c>
      <c r="J41" s="41">
        <v>0</v>
      </c>
      <c r="K41" s="50"/>
    </row>
    <row r="42" spans="1:14" s="5" customFormat="1" ht="18" customHeight="1">
      <c r="A42" s="51" t="s">
        <v>73</v>
      </c>
      <c r="B42" s="52" t="s">
        <v>74</v>
      </c>
      <c r="C42" s="149"/>
      <c r="D42" s="150" t="str">
        <f>_xlfn.XLOOKUP(B3,[1]VFDB2!$A:$A,[1]VFDB2!$R:$R)</f>
        <v>ラベル2枚　長手有　鉢巻１</v>
      </c>
      <c r="E42" s="150"/>
      <c r="F42" s="151"/>
      <c r="G42" s="37" t="str">
        <v/>
      </c>
      <c r="H42" s="38" t="str">
        <v/>
      </c>
      <c r="I42" s="39" t="s">
        <v>75</v>
      </c>
      <c r="J42" s="41">
        <v>0</v>
      </c>
      <c r="K42" s="47"/>
    </row>
    <row r="43" spans="1:14" s="7" customFormat="1" ht="18" customHeight="1" thickBot="1">
      <c r="A43" s="53">
        <f>_xlfn.XLOOKUP(B3,[1]VFDB2!$A:$A,[1]VFDB2!$K:$K)</f>
        <v>-2</v>
      </c>
      <c r="B43" s="54">
        <f>_xlfn.XLOOKUP(B3,[1]VFDB2!$A:$A,[1]VFDB2!$P:$P)</f>
        <v>1</v>
      </c>
      <c r="C43" s="55" t="s">
        <v>76</v>
      </c>
      <c r="D43" s="154" t="str">
        <f>_xlfn.XLOOKUP(B3,[1]VFDB2!$A:$A,[1]VFDB2!$V:$V)</f>
        <v>梱包箱:灯具-2　L1996</v>
      </c>
      <c r="E43" s="154"/>
      <c r="F43" s="155"/>
      <c r="G43" s="56" t="str">
        <v/>
      </c>
      <c r="H43" s="57" t="str">
        <v/>
      </c>
      <c r="I43" s="39" t="s">
        <v>77</v>
      </c>
      <c r="J43" s="42">
        <v>0</v>
      </c>
      <c r="K43" s="50"/>
    </row>
    <row r="44" spans="1:14" s="5" customFormat="1" ht="18" customHeight="1" thickBot="1">
      <c r="A44" s="58" t="s">
        <v>78</v>
      </c>
      <c r="B44" s="59" t="str" cm="1">
        <f t="array" ref="B44">IF(SUM(--(ISTEXT(B45:B55)*(B45:B55&lt;&gt;"")))=0,"計測Lot","計測Lot・加工数")</f>
        <v>計測Lot</v>
      </c>
      <c r="C44" s="60" t="s">
        <v>79</v>
      </c>
      <c r="D44" s="61" t="s">
        <v>80</v>
      </c>
      <c r="E44" s="62" t="s">
        <v>81</v>
      </c>
      <c r="F44" s="63" t="str" cm="1">
        <f t="array" ref="F44">IF(SUM(--(ISTEXT(B45:B55)*(B45:B55&lt;&gt;"")))=0,"記入不要","使用Lot")</f>
        <v>記入不要</v>
      </c>
      <c r="G44" s="64" t="s">
        <v>82</v>
      </c>
      <c r="H44" s="65" t="s">
        <v>83</v>
      </c>
      <c r="I44" s="66" t="s">
        <v>84</v>
      </c>
      <c r="J44" s="43">
        <v>0</v>
      </c>
      <c r="K44" s="47"/>
    </row>
    <row r="45" spans="1:14" s="7" customFormat="1" ht="18" customHeight="1">
      <c r="A45" s="67" cm="1">
        <f t="array" ref="A45:A55">IFERROR(INDEX(_xlfn._xlws.FILTER([2]加工記録２!$D:$D,[2]加工記録２!$U:$U=B5),_xlfn.SEQUENCE(11),0),"")</f>
        <v>0</v>
      </c>
      <c r="B45" s="71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74"/>
      <c r="D45" s="75"/>
      <c r="E45" s="76"/>
      <c r="F45" s="77"/>
      <c r="G45" s="78"/>
      <c r="H45" s="79"/>
      <c r="I45" s="141" t="s">
        <v>85</v>
      </c>
      <c r="J45" s="142"/>
      <c r="K45" s="80"/>
    </row>
    <row r="46" spans="1:14" s="5" customFormat="1" ht="18" customHeight="1">
      <c r="A46" s="68">
        <v>0</v>
      </c>
      <c r="B46" s="72" t="str">
        <v/>
      </c>
      <c r="C46" s="81"/>
      <c r="D46" s="82"/>
      <c r="E46" s="83"/>
      <c r="F46" s="84"/>
      <c r="G46" s="81"/>
      <c r="H46" s="85"/>
      <c r="I46" s="86" t="s">
        <v>86</v>
      </c>
      <c r="J46" s="85" cm="1">
        <f t="array" ref="J46:J55">IFERROR(INDEX(_xlfn._xlws.FILTER([2]加工記録２!R:R, [2]加工記録２!U:U=B5),_xlfn.SEQUENCE(10)),"")</f>
        <v>0</v>
      </c>
      <c r="K46" s="80"/>
    </row>
    <row r="47" spans="1:14" s="91" customFormat="1" ht="18.95" customHeight="1">
      <c r="A47" s="69">
        <v>0</v>
      </c>
      <c r="B47" s="72" t="str">
        <v/>
      </c>
      <c r="C47" s="81"/>
      <c r="D47" s="82"/>
      <c r="E47" s="83"/>
      <c r="F47" s="84"/>
      <c r="G47" s="81"/>
      <c r="H47" s="85"/>
      <c r="I47" s="86" t="s">
        <v>87</v>
      </c>
      <c r="J47" s="85">
        <v>0</v>
      </c>
      <c r="K47" s="89"/>
      <c r="L47" s="90"/>
      <c r="M47" s="90"/>
      <c r="N47" s="90"/>
    </row>
    <row r="48" spans="1:14" s="94" customFormat="1" ht="18.95" customHeight="1">
      <c r="A48" s="69">
        <v>0</v>
      </c>
      <c r="B48" s="72" t="str">
        <v/>
      </c>
      <c r="C48" s="81"/>
      <c r="D48" s="82"/>
      <c r="E48" s="83"/>
      <c r="F48" s="84"/>
      <c r="G48" s="81"/>
      <c r="H48" s="85"/>
      <c r="I48" s="86" t="s">
        <v>88</v>
      </c>
      <c r="J48" s="85">
        <v>0</v>
      </c>
      <c r="K48" s="92"/>
      <c r="L48" s="93"/>
      <c r="M48" s="93"/>
      <c r="N48" s="93"/>
    </row>
    <row r="49" spans="1:14" s="94" customFormat="1" ht="18.95" customHeight="1">
      <c r="A49" s="69">
        <v>0</v>
      </c>
      <c r="B49" s="72" t="str">
        <v/>
      </c>
      <c r="C49" s="81"/>
      <c r="D49" s="82"/>
      <c r="E49" s="83"/>
      <c r="F49" s="84"/>
      <c r="G49" s="81"/>
      <c r="H49" s="85"/>
      <c r="I49" s="86" t="s">
        <v>89</v>
      </c>
      <c r="J49" s="85">
        <v>0</v>
      </c>
      <c r="K49" s="92"/>
      <c r="L49" s="93"/>
      <c r="M49" s="93"/>
      <c r="N49" s="93"/>
    </row>
    <row r="50" spans="1:14" s="94" customFormat="1" ht="18.95" customHeight="1">
      <c r="A50" s="69">
        <v>0</v>
      </c>
      <c r="B50" s="72" t="str">
        <v/>
      </c>
      <c r="C50" s="81"/>
      <c r="D50" s="82"/>
      <c r="E50" s="83"/>
      <c r="F50" s="84"/>
      <c r="G50" s="81"/>
      <c r="H50" s="85"/>
      <c r="I50" s="86" t="s">
        <v>90</v>
      </c>
      <c r="J50" s="85">
        <v>0</v>
      </c>
      <c r="K50" s="92"/>
      <c r="L50" s="93"/>
      <c r="M50" s="93"/>
      <c r="N50" s="93"/>
    </row>
    <row r="51" spans="1:14" s="94" customFormat="1" ht="18.95" customHeight="1">
      <c r="A51" s="69">
        <v>0</v>
      </c>
      <c r="B51" s="72" t="str">
        <v/>
      </c>
      <c r="C51" s="81"/>
      <c r="D51" s="82"/>
      <c r="E51" s="83"/>
      <c r="F51" s="84"/>
      <c r="G51" s="81"/>
      <c r="H51" s="85"/>
      <c r="I51" s="86" t="s">
        <v>91</v>
      </c>
      <c r="J51" s="85">
        <v>0</v>
      </c>
      <c r="K51" s="92"/>
      <c r="L51" s="93"/>
      <c r="M51" s="93"/>
      <c r="N51" s="93"/>
    </row>
    <row r="52" spans="1:14" s="94" customFormat="1" ht="18.95" customHeight="1">
      <c r="A52" s="69">
        <v>0</v>
      </c>
      <c r="B52" s="72" t="str">
        <v/>
      </c>
      <c r="C52" s="81"/>
      <c r="D52" s="82"/>
      <c r="E52" s="83"/>
      <c r="F52" s="84"/>
      <c r="G52" s="81"/>
      <c r="H52" s="85"/>
      <c r="I52" s="95" t="s">
        <v>92</v>
      </c>
      <c r="J52" s="85">
        <v>0</v>
      </c>
      <c r="K52" s="92"/>
      <c r="L52" s="93"/>
      <c r="M52" s="93"/>
      <c r="N52" s="93"/>
    </row>
    <row r="53" spans="1:14" s="94" customFormat="1" ht="18.95" customHeight="1">
      <c r="A53" s="69">
        <v>0</v>
      </c>
      <c r="B53" s="72" t="str">
        <v/>
      </c>
      <c r="C53" s="81"/>
      <c r="D53" s="82"/>
      <c r="E53" s="83"/>
      <c r="F53" s="84"/>
      <c r="G53" s="81"/>
      <c r="H53" s="85"/>
      <c r="I53" s="95" t="s">
        <v>93</v>
      </c>
      <c r="J53" s="85">
        <v>0</v>
      </c>
      <c r="K53" s="92"/>
      <c r="L53" s="93"/>
      <c r="M53" s="93"/>
      <c r="N53" s="93"/>
    </row>
    <row r="54" spans="1:14" s="94" customFormat="1" ht="18.95" customHeight="1">
      <c r="A54" s="69">
        <v>0</v>
      </c>
      <c r="B54" s="72" t="str">
        <v/>
      </c>
      <c r="C54" s="81"/>
      <c r="D54" s="82"/>
      <c r="E54" s="83"/>
      <c r="F54" s="84"/>
      <c r="G54" s="81"/>
      <c r="H54" s="85"/>
      <c r="I54" s="86" t="s">
        <v>94</v>
      </c>
      <c r="J54" s="87">
        <v>0</v>
      </c>
      <c r="K54" s="92"/>
      <c r="L54" s="93"/>
      <c r="M54" s="93"/>
      <c r="N54" s="93"/>
    </row>
    <row r="55" spans="1:14" s="94" customFormat="1" ht="18.95" customHeight="1" thickBot="1">
      <c r="A55" s="70" t="str">
        <v>不良補填</v>
      </c>
      <c r="B55" s="73" t="str">
        <v/>
      </c>
      <c r="C55" s="96"/>
      <c r="D55" s="97"/>
      <c r="E55" s="98"/>
      <c r="F55" s="99"/>
      <c r="G55" s="100"/>
      <c r="H55" s="101"/>
      <c r="I55" s="102" t="s">
        <v>95</v>
      </c>
      <c r="J55" s="88">
        <v>0</v>
      </c>
      <c r="K55" s="92"/>
      <c r="L55" s="93"/>
      <c r="M55" s="93"/>
      <c r="N55" s="93"/>
    </row>
    <row r="56" spans="1:14" ht="6" customHeight="1" thickBot="1">
      <c r="A56" s="103"/>
      <c r="B56" s="104"/>
      <c r="C56" s="104"/>
      <c r="D56" s="103"/>
      <c r="E56" s="104"/>
      <c r="F56" s="104"/>
      <c r="G56" s="104"/>
      <c r="H56" s="104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I45:J45"/>
    <mergeCell ref="A7:A8"/>
    <mergeCell ref="G10:G11"/>
    <mergeCell ref="F22:H22"/>
    <mergeCell ref="C38:D38"/>
    <mergeCell ref="C39:D40"/>
    <mergeCell ref="E39:E40"/>
    <mergeCell ref="C41:C42"/>
    <mergeCell ref="D41:F41"/>
    <mergeCell ref="H12:H13"/>
    <mergeCell ref="F9:G9"/>
    <mergeCell ref="C33:E33"/>
    <mergeCell ref="D42:F42"/>
    <mergeCell ref="D43:F43"/>
    <mergeCell ref="I30:J30"/>
    <mergeCell ref="A30:B30"/>
    <mergeCell ref="B1:D2"/>
    <mergeCell ref="I20:J20"/>
    <mergeCell ref="G12:G13"/>
    <mergeCell ref="C19:D19"/>
    <mergeCell ref="A28:B28"/>
    <mergeCell ref="F21:H21"/>
    <mergeCell ref="C25:E25"/>
    <mergeCell ref="B3:B4"/>
    <mergeCell ref="H10:J11"/>
    <mergeCell ref="I16:J16"/>
    <mergeCell ref="I25:J25"/>
    <mergeCell ref="J4:J5"/>
    <mergeCell ref="C3:C4"/>
    <mergeCell ref="G25:H25"/>
    <mergeCell ref="E3:E4"/>
    <mergeCell ref="F18:H18"/>
    <mergeCell ref="C18:D18"/>
    <mergeCell ref="C35:E35"/>
    <mergeCell ref="A34:B34"/>
    <mergeCell ref="E5:E6"/>
    <mergeCell ref="F29:J29"/>
    <mergeCell ref="I12:J13"/>
    <mergeCell ref="F5:H6"/>
    <mergeCell ref="C16:D16"/>
    <mergeCell ref="C31:E31"/>
    <mergeCell ref="F7:G7"/>
    <mergeCell ref="F23:H23"/>
    <mergeCell ref="C20:D20"/>
    <mergeCell ref="F16:H16"/>
    <mergeCell ref="F20:H20"/>
    <mergeCell ref="A12:C13"/>
    <mergeCell ref="A25:B25"/>
    <mergeCell ref="F3:H4"/>
    <mergeCell ref="I18:J18"/>
    <mergeCell ref="G34:H34"/>
    <mergeCell ref="A33:B33"/>
    <mergeCell ref="A3:A4"/>
    <mergeCell ref="A5:A6"/>
    <mergeCell ref="I4:I5"/>
    <mergeCell ref="B5:B6"/>
    <mergeCell ref="F19:H19"/>
    <mergeCell ref="A29:B29"/>
    <mergeCell ref="I32:J32"/>
    <mergeCell ref="D3:D4"/>
    <mergeCell ref="A15:J15"/>
    <mergeCell ref="C32:E32"/>
    <mergeCell ref="I19:J19"/>
    <mergeCell ref="B7:B8"/>
    <mergeCell ref="C22:D22"/>
    <mergeCell ref="F26:J26"/>
    <mergeCell ref="I21:J21"/>
    <mergeCell ref="C28:E28"/>
    <mergeCell ref="C21:D21"/>
    <mergeCell ref="I22:J22"/>
    <mergeCell ref="I28:J28"/>
    <mergeCell ref="G28:H28"/>
    <mergeCell ref="F35:J35"/>
    <mergeCell ref="I23:J23"/>
    <mergeCell ref="C30:E30"/>
    <mergeCell ref="C23:D23"/>
    <mergeCell ref="C26:D26"/>
    <mergeCell ref="G30:H30"/>
    <mergeCell ref="F33:J33"/>
    <mergeCell ref="F31:J31"/>
    <mergeCell ref="C34:E34"/>
    <mergeCell ref="I38:J38"/>
    <mergeCell ref="C29:E29"/>
    <mergeCell ref="A31:B31"/>
    <mergeCell ref="C37:E37"/>
    <mergeCell ref="A32:B32"/>
    <mergeCell ref="A36:B36"/>
    <mergeCell ref="A37:B37"/>
    <mergeCell ref="F37:J37"/>
    <mergeCell ref="G32:H32"/>
    <mergeCell ref="I34:J34"/>
    <mergeCell ref="G36:H36"/>
    <mergeCell ref="I36:J36"/>
    <mergeCell ref="A35:B35"/>
    <mergeCell ref="C36:E36"/>
  </mergeCells>
  <phoneticPr fontId="2"/>
  <conditionalFormatting sqref="A45:B55 D45:E45 C46:E5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2026-05-20T01:36:18Z</cp:lastPrinted>
  <dcterms:created xsi:type="dcterms:W3CDTF">2024-07-11T02:08:33Z</dcterms:created>
  <dcterms:modified xsi:type="dcterms:W3CDTF">2026-06-10T23:03:27Z</dcterms:modified>
</cp:coreProperties>
</file>