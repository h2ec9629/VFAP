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帳票レイアウト Copy" sheetId="1" state="visible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F800]dddd\,\ mmmm\ dd\,\ yyyy"/>
    <numFmt numFmtId="165" formatCode="&quot;L=&quot;0.0_ "/>
    <numFmt numFmtId="166" formatCode="&quot;切断作業&quot;"/>
    <numFmt numFmtId="167" formatCode="yy\,mm\,dd"/>
    <numFmt numFmtId="168" formatCode="#&quot;箱&quot;"/>
    <numFmt numFmtId="169" formatCode="mm&quot;月&quot;dd&quot;日&quot;;;"/>
    <numFmt numFmtId="170" formatCode="#"/>
    <numFmt numFmtId="171" formatCode="&quot;外観検査&quot;#"/>
    <numFmt numFmtId="172" formatCode="0.00_ "/>
    <numFmt numFmtId="173" formatCode="&quot;端&quot;mm/dd;;"/>
    <numFmt numFmtId="174" formatCode="&quot;初&quot;mm/dd;;"/>
    <numFmt numFmtId="175" formatCode="mm/dd;;"/>
    <numFmt numFmtId="176" formatCode="&quot;不&quot;mm/dd;;"/>
    <numFmt numFmtId="177" formatCode="#;;"/>
    <numFmt numFmtId="178" formatCode="#,##0.0_ "/>
    <numFmt numFmtId="179" formatCode="#,##0_ "/>
    <numFmt numFmtId="180" formatCode="#&quot;枚&quot;;;"/>
  </numFmts>
  <fonts count="34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6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sz val="11"/>
    </font>
    <font>
      <name val="K's BarCodeFont Code39"/>
      <family val="2"/>
      <sz val="72"/>
    </font>
    <font>
      <name val="K's BarCodeFont Code39"/>
      <family val="2"/>
      <sz val="36"/>
    </font>
    <font>
      <name val="ＭＳ Ｐゴシック"/>
      <charset val="128"/>
      <family val="3"/>
      <b val="1"/>
      <sz val="28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sz val="16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b val="1"/>
      <color theme="0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sz val="10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sz val="12"/>
      <scheme val="minor"/>
    </font>
    <font>
      <name val="游ゴシック"/>
      <charset val="128"/>
      <family val="3"/>
      <color theme="0"/>
      <sz val="10"/>
      <scheme val="minor"/>
    </font>
    <font>
      <name val="游ゴシック"/>
      <charset val="128"/>
      <family val="3"/>
      <sz val="12"/>
    </font>
    <font>
      <name val="游ゴシック"/>
      <charset val="128"/>
      <family val="3"/>
      <sz val="9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color theme="1"/>
      <sz val="9"/>
      <scheme val="minor"/>
    </font>
    <font>
      <name val="ＭＳ Ｐゴシック"/>
      <charset val="128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5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13" fillId="0" borderId="0"/>
    <xf numFmtId="0" fontId="14" fillId="2" borderId="0" applyAlignment="1">
      <alignment vertical="center"/>
    </xf>
    <xf numFmtId="0" fontId="13" fillId="0" borderId="0"/>
  </cellStyleXfs>
  <cellXfs count="21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 shrinkToFit="1"/>
    </xf>
    <xf numFmtId="49" fontId="3" fillId="0" borderId="0" applyAlignment="1" pivotButton="0" quotePrefix="0" xfId="1">
      <alignment horizontal="center" vertical="center" shrinkToFit="1"/>
    </xf>
    <xf numFmtId="49" fontId="3" fillId="0" borderId="0" applyAlignment="1" pivotButton="0" quotePrefix="0" xfId="1">
      <alignment vertical="center" shrinkToFit="1"/>
    </xf>
    <xf numFmtId="164" fontId="3" fillId="0" borderId="0" applyAlignment="1" pivotButton="0" quotePrefix="0" xfId="1">
      <alignment horizontal="left" vertical="center" shrinkToFit="1"/>
    </xf>
    <xf numFmtId="49" fontId="4" fillId="0" borderId="0" applyAlignment="1" pivotButton="0" quotePrefix="0" xfId="1">
      <alignment horizontal="left" vertical="center" shrinkToFit="1"/>
    </xf>
    <xf numFmtId="49" fontId="4" fillId="0" borderId="0" applyAlignment="1" pivotButton="0" quotePrefix="0" xfId="1">
      <alignment vertical="center" shrinkToFit="1"/>
    </xf>
    <xf numFmtId="49" fontId="1" fillId="0" borderId="0" applyAlignment="1" pivotButton="0" quotePrefix="0" xfId="1">
      <alignment horizontal="left" vertical="center" shrinkToFit="1"/>
    </xf>
    <xf numFmtId="49" fontId="5" fillId="0" borderId="9" applyAlignment="1" pivotButton="0" quotePrefix="0" xfId="1">
      <alignment vertical="center" shrinkToFit="1"/>
    </xf>
    <xf numFmtId="49" fontId="6" fillId="0" borderId="0" applyAlignment="1" pivotButton="0" quotePrefix="0" xfId="1">
      <alignment vertical="center" shrinkToFit="1"/>
    </xf>
    <xf numFmtId="49" fontId="1" fillId="0" borderId="1" applyAlignment="1" pivotButton="0" quotePrefix="0" xfId="1">
      <alignment vertical="center" shrinkToFit="1"/>
    </xf>
    <xf numFmtId="49" fontId="1" fillId="0" borderId="0" applyAlignment="1" pivotButton="0" quotePrefix="0" xfId="1">
      <alignment horizontal="center" vertical="center" shrinkToFit="1"/>
    </xf>
    <xf numFmtId="49" fontId="1" fillId="0" borderId="1" applyAlignment="1" pivotButton="0" quotePrefix="0" xfId="1">
      <alignment horizontal="center" vertical="center" shrinkToFit="1"/>
    </xf>
    <xf numFmtId="49" fontId="1" fillId="0" borderId="4" applyAlignment="1" pivotButton="0" quotePrefix="0" xfId="1">
      <alignment vertical="center" shrinkToFit="1"/>
    </xf>
    <xf numFmtId="49" fontId="1" fillId="0" borderId="5" applyAlignment="1" pivotButton="0" quotePrefix="0" xfId="1">
      <alignment vertical="center" shrinkToFit="1"/>
    </xf>
    <xf numFmtId="49" fontId="1" fillId="0" borderId="6" applyAlignment="1" pivotButton="0" quotePrefix="0" xfId="1">
      <alignment vertical="center" shrinkToFit="1"/>
    </xf>
    <xf numFmtId="49" fontId="1" fillId="0" borderId="7" applyAlignment="1" pivotButton="0" quotePrefix="0" xfId="1">
      <alignment horizontal="left" vertical="center" shrinkToFit="1"/>
    </xf>
    <xf numFmtId="49" fontId="1" fillId="0" borderId="8" applyAlignment="1" pivotButton="0" quotePrefix="0" xfId="1">
      <alignment vertical="center" shrinkToFit="1"/>
    </xf>
    <xf numFmtId="49" fontId="1" fillId="0" borderId="9" applyAlignment="1" pivotButton="0" quotePrefix="0" xfId="1">
      <alignment vertical="center" shrinkToFit="1"/>
    </xf>
    <xf numFmtId="49" fontId="7" fillId="0" borderId="0" applyAlignment="1" pivotButton="0" quotePrefix="0" xfId="1">
      <alignment horizontal="center" vertical="center" shrinkToFit="1"/>
    </xf>
    <xf numFmtId="49" fontId="7" fillId="0" borderId="0" applyAlignment="1" pivotButton="0" quotePrefix="0" xfId="1">
      <alignment vertical="center" shrinkToFit="1"/>
    </xf>
    <xf numFmtId="49" fontId="3" fillId="0" borderId="0" applyAlignment="1" pivotButton="0" quotePrefix="0" xfId="1">
      <alignment horizontal="left" vertical="center" shrinkToFit="1"/>
    </xf>
    <xf numFmtId="49" fontId="1" fillId="0" borderId="0" applyAlignment="1" pivotButton="0" quotePrefix="0" xfId="1">
      <alignment horizontal="right" vertical="center" shrinkToFit="1"/>
    </xf>
    <xf numFmtId="49" fontId="1" fillId="0" borderId="7" applyAlignment="1" pivotButton="0" quotePrefix="0" xfId="1">
      <alignment horizontal="right" vertical="center" shrinkToFit="1"/>
    </xf>
    <xf numFmtId="49" fontId="1" fillId="0" borderId="2" applyAlignment="1" pivotButton="0" quotePrefix="0" xfId="1">
      <alignment horizontal="center" vertical="center" shrinkToFit="1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5" fillId="3" borderId="16" applyAlignment="1" pivotButton="0" quotePrefix="0" xfId="0">
      <alignment horizontal="center" vertical="center"/>
    </xf>
    <xf numFmtId="49" fontId="16" fillId="3" borderId="16" applyAlignment="1" pivotButton="0" quotePrefix="0" xfId="1">
      <alignment horizontal="center" vertical="center" shrinkToFit="1"/>
    </xf>
    <xf numFmtId="0" fontId="17" fillId="4" borderId="18" applyAlignment="1" pivotButton="0" quotePrefix="0" xfId="0">
      <alignment horizontal="center" vertical="center"/>
    </xf>
    <xf numFmtId="49" fontId="18" fillId="4" borderId="19" applyAlignment="1" pivotButton="0" quotePrefix="0" xfId="1">
      <alignment horizontal="center" vertical="center" shrinkToFit="1"/>
    </xf>
    <xf numFmtId="49" fontId="19" fillId="5" borderId="20" applyAlignment="1" pivotButton="0" quotePrefix="0" xfId="1">
      <alignment horizontal="center" vertical="center" shrinkToFit="1"/>
    </xf>
    <xf numFmtId="49" fontId="19" fillId="5" borderId="19" applyAlignment="1" pivotButton="0" quotePrefix="0" xfId="1">
      <alignment horizontal="center" vertical="center" shrinkToFit="1"/>
    </xf>
    <xf numFmtId="0" fontId="20" fillId="0" borderId="21" applyAlignment="1" pivotButton="0" quotePrefix="0" xfId="0">
      <alignment horizontal="center" vertical="center"/>
    </xf>
    <xf numFmtId="165" fontId="19" fillId="0" borderId="21" applyAlignment="1" pivotButton="0" quotePrefix="0" xfId="0">
      <alignment horizontal="center" vertical="center"/>
    </xf>
    <xf numFmtId="166" fontId="20" fillId="0" borderId="23" applyAlignment="1" pivotButton="0" quotePrefix="0" xfId="1">
      <alignment vertical="center" shrinkToFit="1"/>
    </xf>
    <xf numFmtId="167" fontId="22" fillId="0" borderId="24" applyAlignment="1" pivotButton="0" quotePrefix="0" xfId="1">
      <alignment horizontal="center" vertical="center" shrinkToFit="1"/>
    </xf>
    <xf numFmtId="168" fontId="22" fillId="0" borderId="23" applyAlignment="1" pivotButton="0" quotePrefix="0" xfId="1">
      <alignment horizontal="center" vertical="center" shrinkToFit="1"/>
    </xf>
    <xf numFmtId="49" fontId="18" fillId="0" borderId="22" applyAlignment="1" pivotButton="0" quotePrefix="0" xfId="1">
      <alignment horizontal="center" vertical="center" shrinkToFit="1"/>
    </xf>
    <xf numFmtId="169" fontId="18" fillId="0" borderId="23" applyAlignment="1" pivotButton="0" quotePrefix="0" xfId="1">
      <alignment horizontal="center" vertical="center" shrinkToFit="1"/>
    </xf>
    <xf numFmtId="170" fontId="22" fillId="0" borderId="23" applyAlignment="1" pivotButton="0" quotePrefix="0" xfId="1">
      <alignment horizontal="center" vertical="center" shrinkToFit="1"/>
    </xf>
    <xf numFmtId="170" fontId="22" fillId="0" borderId="25" applyAlignment="1" pivotButton="0" quotePrefix="0" xfId="1">
      <alignment horizontal="center" vertical="center" shrinkToFit="1"/>
    </xf>
    <xf numFmtId="170" fontId="22" fillId="0" borderId="26" applyAlignment="1" pivotButton="0" quotePrefix="0" xfId="1">
      <alignment horizontal="center" vertical="center" shrinkToFit="1"/>
    </xf>
    <xf numFmtId="49" fontId="23" fillId="3" borderId="21" applyAlignment="1" pivotButton="0" quotePrefix="0" xfId="0">
      <alignment horizontal="center" vertical="center"/>
    </xf>
    <xf numFmtId="0" fontId="16" fillId="3" borderId="21" applyAlignment="1" pivotButton="0" quotePrefix="0" xfId="0">
      <alignment horizontal="center" vertical="center"/>
    </xf>
    <xf numFmtId="171" fontId="20" fillId="0" borderId="23" applyAlignment="1" pivotButton="0" quotePrefix="0" xfId="1">
      <alignment vertical="center" shrinkToFit="1"/>
    </xf>
    <xf numFmtId="49" fontId="24" fillId="0" borderId="0" applyAlignment="1" pivotButton="0" quotePrefix="0" xfId="1">
      <alignment horizontal="left" vertical="center" shrinkToFit="1"/>
    </xf>
    <xf numFmtId="0" fontId="19" fillId="0" borderId="21" applyAlignment="1" pivotButton="0" quotePrefix="0" xfId="0">
      <alignment horizontal="center" vertical="center"/>
    </xf>
    <xf numFmtId="172" fontId="19" fillId="0" borderId="21" applyAlignment="1" pivotButton="0" quotePrefix="0" xfId="0">
      <alignment horizontal="center" vertical="center"/>
    </xf>
    <xf numFmtId="49" fontId="26" fillId="0" borderId="0" applyAlignment="1" pivotButton="0" quotePrefix="0" xfId="1">
      <alignment horizontal="left" vertical="center" shrinkToFit="1"/>
    </xf>
    <xf numFmtId="49" fontId="23" fillId="3" borderId="21" applyAlignment="1" pivotButton="0" quotePrefix="0" xfId="1">
      <alignment horizontal="center" vertical="center" shrinkToFit="1"/>
    </xf>
    <xf numFmtId="49" fontId="16" fillId="3" borderId="21" applyAlignment="1" pivotButton="0" quotePrefix="0" xfId="1">
      <alignment horizontal="center" vertical="center" shrinkToFit="1"/>
    </xf>
    <xf numFmtId="0" fontId="19" fillId="0" borderId="27" applyAlignment="1" pivotButton="0" quotePrefix="0" xfId="0">
      <alignment horizontal="center" vertical="center"/>
    </xf>
    <xf numFmtId="0" fontId="27" fillId="0" borderId="27" applyAlignment="1" pivotButton="0" quotePrefix="0" xfId="1">
      <alignment horizontal="center" vertical="center" shrinkToFit="1"/>
    </xf>
    <xf numFmtId="49" fontId="25" fillId="5" borderId="28" applyAlignment="1" pivotButton="0" quotePrefix="0" xfId="1">
      <alignment horizontal="center" vertical="center" shrinkToFit="1"/>
    </xf>
    <xf numFmtId="167" fontId="22" fillId="0" borderId="30" applyAlignment="1" pivotButton="0" quotePrefix="0" xfId="1">
      <alignment horizontal="center" vertical="center" shrinkToFit="1"/>
    </xf>
    <xf numFmtId="168" fontId="22" fillId="0" borderId="26" applyAlignment="1" pivotButton="0" quotePrefix="0" xfId="1">
      <alignment horizontal="center" vertical="center" shrinkToFit="1"/>
    </xf>
    <xf numFmtId="0" fontId="28" fillId="7" borderId="16" applyAlignment="1" pivotButton="0" quotePrefix="0" xfId="0">
      <alignment horizontal="center" vertical="center"/>
    </xf>
    <xf numFmtId="0" fontId="28" fillId="7" borderId="17" applyAlignment="1" pivotButton="0" quotePrefix="0" xfId="0">
      <alignment horizontal="center" vertical="center"/>
    </xf>
    <xf numFmtId="49" fontId="28" fillId="7" borderId="5" applyAlignment="1" pivotButton="0" quotePrefix="0" xfId="1">
      <alignment horizontal="center" vertical="center" shrinkToFit="1"/>
    </xf>
    <xf numFmtId="49" fontId="28" fillId="7" borderId="5" applyAlignment="1" pivotButton="0" quotePrefix="0" xfId="0">
      <alignment horizontal="center" vertical="center" shrinkToFit="1"/>
    </xf>
    <xf numFmtId="0" fontId="28" fillId="7" borderId="14" applyAlignment="1" pivotButton="0" quotePrefix="0" xfId="0">
      <alignment horizontal="center" vertical="center"/>
    </xf>
    <xf numFmtId="0" fontId="28" fillId="7" borderId="17" applyAlignment="1" pivotButton="0" quotePrefix="0" xfId="0">
      <alignment horizontal="center" vertical="center" shrinkToFit="1"/>
    </xf>
    <xf numFmtId="49" fontId="28" fillId="7" borderId="18" applyAlignment="1" pivotButton="0" quotePrefix="0" xfId="0">
      <alignment horizontal="center" vertical="center" shrinkToFit="1"/>
    </xf>
    <xf numFmtId="49" fontId="28" fillId="7" borderId="19" applyAlignment="1" pivotButton="0" quotePrefix="0" xfId="0">
      <alignment horizontal="center" vertical="center" shrinkToFit="1"/>
    </xf>
    <xf numFmtId="49" fontId="18" fillId="0" borderId="28" applyAlignment="1" pivotButton="0" quotePrefix="0" xfId="1">
      <alignment horizontal="center" vertical="center" shrinkToFit="1"/>
    </xf>
    <xf numFmtId="173" fontId="17" fillId="5" borderId="21" applyAlignment="1" pivotButton="0" quotePrefix="0" xfId="0">
      <alignment horizontal="center" vertical="center"/>
    </xf>
    <xf numFmtId="174" fontId="17" fillId="0" borderId="21" applyAlignment="1" pivotButton="0" quotePrefix="0" xfId="3">
      <alignment horizontal="center" vertical="center" shrinkToFit="1"/>
    </xf>
    <xf numFmtId="175" fontId="17" fillId="0" borderId="21" applyAlignment="1" pivotButton="0" quotePrefix="0" xfId="3">
      <alignment horizontal="center" vertical="center" shrinkToFit="1"/>
    </xf>
    <xf numFmtId="176" fontId="29" fillId="5" borderId="27" applyAlignment="1" pivotButton="0" quotePrefix="0" xfId="3">
      <alignment horizontal="center" vertical="center" shrinkToFit="1"/>
    </xf>
    <xf numFmtId="177" fontId="17" fillId="5" borderId="22" applyAlignment="1" pivotButton="0" quotePrefix="0" xfId="1">
      <alignment horizontal="left" vertical="center" wrapText="1" shrinkToFit="1"/>
    </xf>
    <xf numFmtId="49" fontId="17" fillId="0" borderId="22" applyAlignment="1" pivotButton="0" quotePrefix="0" xfId="3">
      <alignment horizontal="left" vertical="center" shrinkToFit="1"/>
    </xf>
    <xf numFmtId="49" fontId="17" fillId="5" borderId="28" applyAlignment="1" pivotButton="0" quotePrefix="0" xfId="3">
      <alignment horizontal="left" vertical="center" shrinkToFit="1"/>
    </xf>
    <xf numFmtId="0" fontId="18" fillId="5" borderId="31" applyAlignment="1" pivotButton="0" quotePrefix="0" xfId="3">
      <alignment vertical="center" shrinkToFit="1"/>
    </xf>
    <xf numFmtId="172" fontId="17" fillId="5" borderId="31" applyAlignment="1" pivotButton="0" quotePrefix="0" xfId="0">
      <alignment horizontal="center" vertical="center"/>
    </xf>
    <xf numFmtId="172" fontId="17" fillId="5" borderId="32" applyAlignment="1" pivotButton="0" quotePrefix="0" xfId="0">
      <alignment horizontal="right" vertical="center"/>
    </xf>
    <xf numFmtId="170" fontId="17" fillId="5" borderId="22" applyAlignment="1" pivotButton="0" quotePrefix="0" xfId="0">
      <alignment horizontal="center" vertical="center"/>
    </xf>
    <xf numFmtId="170" fontId="17" fillId="5" borderId="15" applyAlignment="1" pivotButton="0" quotePrefix="0" xfId="0">
      <alignment horizontal="center" vertical="center"/>
    </xf>
    <xf numFmtId="170" fontId="17" fillId="5" borderId="23" applyAlignment="1" pivotButton="0" quotePrefix="0" xfId="0">
      <alignment horizontal="center" vertical="center"/>
    </xf>
    <xf numFmtId="49" fontId="18" fillId="0" borderId="0" applyAlignment="1" pivotButton="0" quotePrefix="0" xfId="1">
      <alignment horizontal="left" vertical="center" shrinkToFit="1"/>
    </xf>
    <xf numFmtId="170" fontId="17" fillId="0" borderId="15" applyAlignment="1" pivotButton="0" quotePrefix="0" xfId="3">
      <alignment horizontal="center" vertical="center" shrinkToFit="1"/>
    </xf>
    <xf numFmtId="172" fontId="17" fillId="0" borderId="15" applyAlignment="1" pivotButton="0" quotePrefix="0" xfId="3">
      <alignment horizontal="center" vertical="center" shrinkToFit="1"/>
    </xf>
    <xf numFmtId="172" fontId="17" fillId="0" borderId="10" applyAlignment="1" pivotButton="0" quotePrefix="0" xfId="3">
      <alignment horizontal="right" vertical="center" shrinkToFit="1"/>
    </xf>
    <xf numFmtId="170" fontId="17" fillId="0" borderId="22" applyAlignment="1" pivotButton="0" quotePrefix="0" xfId="3">
      <alignment horizontal="center" vertical="center" shrinkToFit="1"/>
    </xf>
    <xf numFmtId="170" fontId="17" fillId="0" borderId="23" applyAlignment="1" pivotButton="0" quotePrefix="0" xfId="3">
      <alignment horizontal="center" vertical="center" shrinkToFit="1"/>
    </xf>
    <xf numFmtId="0" fontId="29" fillId="0" borderId="22" applyAlignment="1" pivotButton="0" quotePrefix="0" xfId="2">
      <alignment horizontal="center" vertical="center"/>
    </xf>
    <xf numFmtId="170" fontId="22" fillId="0" borderId="23" applyAlignment="1" pivotButton="0" quotePrefix="0" xfId="0">
      <alignment horizontal="center" vertical="top" shrinkToFit="1"/>
    </xf>
    <xf numFmtId="170" fontId="27" fillId="0" borderId="26" applyAlignment="1" pivotButton="0" quotePrefix="0" xfId="1">
      <alignment horizontal="center" vertical="center" shrinkToFit="1"/>
    </xf>
    <xf numFmtId="49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49" fontId="30" fillId="0" borderId="0" applyAlignment="1" pivotButton="0" quotePrefix="0" xfId="0">
      <alignment vertical="top" shrinkToFit="1"/>
    </xf>
    <xf numFmtId="49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49" fontId="18" fillId="0" borderId="0" applyAlignment="1" pivotButton="0" quotePrefix="0" xfId="0">
      <alignment vertical="top" shrinkToFit="1"/>
    </xf>
    <xf numFmtId="49" fontId="18" fillId="0" borderId="22" applyAlignment="1" pivotButton="0" quotePrefix="0" xfId="0">
      <alignment horizontal="center" vertical="top" shrinkToFit="1"/>
    </xf>
    <xf numFmtId="170" fontId="17" fillId="5" borderId="34" applyAlignment="1" pivotButton="0" quotePrefix="0" xfId="3">
      <alignment horizontal="center" vertical="center" shrinkToFit="1"/>
    </xf>
    <xf numFmtId="172" fontId="17" fillId="5" borderId="34" applyAlignment="1" pivotButton="0" quotePrefix="0" xfId="3">
      <alignment horizontal="right" vertical="center" shrinkToFit="1"/>
    </xf>
    <xf numFmtId="172" fontId="17" fillId="5" borderId="35" applyAlignment="1" pivotButton="0" quotePrefix="0" xfId="3">
      <alignment horizontal="right" vertical="center" shrinkToFit="1"/>
    </xf>
    <xf numFmtId="170" fontId="17" fillId="5" borderId="28" applyAlignment="1" pivotButton="0" quotePrefix="0" xfId="3">
      <alignment horizontal="center" vertical="center" shrinkToFit="1"/>
    </xf>
    <xf numFmtId="170" fontId="17" fillId="5" borderId="29" applyAlignment="1" pivotButton="0" quotePrefix="0" xfId="3">
      <alignment horizontal="center" vertical="center" shrinkToFit="1"/>
    </xf>
    <xf numFmtId="170" fontId="17" fillId="5" borderId="26" applyAlignment="1" pivotButton="0" quotePrefix="0" xfId="3">
      <alignment horizontal="center" vertical="center" shrinkToFit="1"/>
    </xf>
    <xf numFmtId="0" fontId="29" fillId="0" borderId="28" applyAlignment="1" pivotButton="0" quotePrefix="0" xfId="2">
      <alignment horizontal="center" vertical="center"/>
    </xf>
    <xf numFmtId="49" fontId="33" fillId="0" borderId="0" applyAlignment="1" pivotButton="0" quotePrefix="0" xfId="3">
      <alignment horizontal="center" vertical="center" shrinkToFit="1"/>
    </xf>
    <xf numFmtId="49" fontId="33" fillId="0" borderId="0" applyAlignment="1" pivotButton="0" quotePrefix="0" xfId="3">
      <alignment vertical="center" shrinkToFit="1"/>
    </xf>
    <xf numFmtId="49" fontId="1" fillId="0" borderId="2" applyAlignment="1" pivotButton="0" quotePrefix="0" xfId="1">
      <alignment vertical="center" shrinkToFit="1"/>
    </xf>
    <xf numFmtId="0" fontId="0" fillId="0" borderId="4" pivotButton="0" quotePrefix="0" xfId="0"/>
    <xf numFmtId="0" fontId="12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 shrinkToFit="1"/>
    </xf>
    <xf numFmtId="49" fontId="12" fillId="0" borderId="8" applyAlignment="1" pivotButton="0" quotePrefix="0" xfId="1">
      <alignment vertical="center" shrinkToFit="1"/>
    </xf>
    <xf numFmtId="0" fontId="0" fillId="0" borderId="8" pivotButton="0" quotePrefix="0" xfId="0"/>
    <xf numFmtId="49" fontId="11" fillId="0" borderId="0" applyAlignment="1" pivotButton="0" quotePrefix="0" xfId="1">
      <alignment vertical="center" shrinkToFit="1"/>
    </xf>
    <xf numFmtId="49" fontId="10" fillId="0" borderId="0" applyAlignment="1" pivotButton="0" quotePrefix="0" xfId="1">
      <alignment vertical="center" shrinkToFit="1"/>
    </xf>
    <xf numFmtId="178" fontId="12" fillId="0" borderId="0" applyAlignment="1" pivotButton="0" quotePrefix="0" xfId="1">
      <alignment horizontal="left" vertical="center" shrinkToFit="1"/>
    </xf>
    <xf numFmtId="178" fontId="10" fillId="0" borderId="0" applyAlignment="1" pivotButton="0" quotePrefix="0" xfId="1">
      <alignment vertical="center" shrinkToFit="1"/>
    </xf>
    <xf numFmtId="49" fontId="12" fillId="0" borderId="0" applyAlignment="1" pivotButton="0" quotePrefix="0" xfId="1">
      <alignment horizontal="right" vertical="center" shrinkToFit="1"/>
    </xf>
    <xf numFmtId="49" fontId="12" fillId="0" borderId="9" applyAlignment="1" pivotButton="0" quotePrefix="0" xfId="1">
      <alignment vertical="center" shrinkToFit="1"/>
    </xf>
    <xf numFmtId="0" fontId="0" fillId="0" borderId="9" pivotButton="0" quotePrefix="0" xfId="0"/>
    <xf numFmtId="49" fontId="11" fillId="0" borderId="5" applyAlignment="1" pivotButton="0" quotePrefix="0" xfId="1">
      <alignment vertical="center" shrinkToFit="1"/>
    </xf>
    <xf numFmtId="0" fontId="0" fillId="0" borderId="5" pivotButton="0" quotePrefix="0" xfId="0"/>
    <xf numFmtId="49" fontId="12" fillId="0" borderId="7" applyAlignment="1" pivotButton="0" quotePrefix="0" xfId="1">
      <alignment vertical="center" shrinkToFit="1"/>
    </xf>
    <xf numFmtId="0" fontId="0" fillId="0" borderId="7" pivotButton="0" quotePrefix="0" xfId="0"/>
    <xf numFmtId="49" fontId="8" fillId="0" borderId="0" applyAlignment="1" pivotButton="0" quotePrefix="0" xfId="1">
      <alignment horizontal="left" vertical="center" shrinkToFit="1"/>
    </xf>
    <xf numFmtId="49" fontId="10" fillId="0" borderId="0" applyAlignment="1" pivotButton="0" quotePrefix="0" xfId="1">
      <alignment horizontal="left" vertical="center" shrinkToFit="1"/>
    </xf>
    <xf numFmtId="49" fontId="12" fillId="0" borderId="7" applyAlignment="1" pivotButton="0" quotePrefix="0" xfId="1">
      <alignment horizontal="right" vertical="center" shrinkToFit="1"/>
    </xf>
    <xf numFmtId="49" fontId="9" fillId="0" borderId="0" applyAlignment="1" pivotButton="0" quotePrefix="0" xfId="1">
      <alignment vertical="center" shrinkToFit="1"/>
    </xf>
    <xf numFmtId="49" fontId="11" fillId="0" borderId="15" applyAlignment="1" pivotButton="0" quotePrefix="0" xfId="1">
      <alignment vertical="center" shrinkToFit="1"/>
    </xf>
    <xf numFmtId="49" fontId="7" fillId="0" borderId="0" applyAlignment="1" pivotButton="0" quotePrefix="0" xfId="1">
      <alignment vertical="center" shrinkToFit="1"/>
    </xf>
    <xf numFmtId="49" fontId="19" fillId="5" borderId="17" applyAlignment="1" pivotButton="0" quotePrefix="0" xfId="1">
      <alignment horizontal="center" vertical="center" shrinkToFit="1"/>
    </xf>
    <xf numFmtId="49" fontId="19" fillId="5" borderId="19" applyAlignment="1" pivotButton="0" quotePrefix="0" xfId="1">
      <alignment horizontal="center" vertical="center" shrinkToFit="1"/>
    </xf>
    <xf numFmtId="49" fontId="11" fillId="0" borderId="6" applyAlignment="1" pivotButton="0" quotePrefix="0" xfId="1">
      <alignment vertical="center" shrinkToFit="1"/>
    </xf>
    <xf numFmtId="0" fontId="0" fillId="0" borderId="6" pivotButton="0" quotePrefix="0" xfId="0"/>
    <xf numFmtId="179" fontId="11" fillId="0" borderId="15" applyAlignment="1" pivotButton="0" quotePrefix="0" xfId="1">
      <alignment horizontal="center" vertical="center" shrinkToFi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49" fontId="1" fillId="0" borderId="0" applyAlignment="1" pivotButton="0" quotePrefix="0" xfId="1">
      <alignment horizontal="left" vertical="center" shrinkToFit="1"/>
    </xf>
    <xf numFmtId="49" fontId="11" fillId="0" borderId="11" applyAlignment="1" pivotButton="0" quotePrefix="0" xfId="1">
      <alignment vertical="center" shrinkToFit="1"/>
    </xf>
    <xf numFmtId="0" fontId="0" fillId="0" borderId="3" pivotButton="0" quotePrefix="0" xfId="0"/>
    <xf numFmtId="49" fontId="11" fillId="0" borderId="0" applyAlignment="1" pivotButton="0" quotePrefix="0" xfId="1">
      <alignment horizontal="left" vertical="center" shrinkToFit="1"/>
    </xf>
    <xf numFmtId="49" fontId="4" fillId="0" borderId="0" applyAlignment="1" pivotButton="0" quotePrefix="0" xfId="1">
      <alignment horizontal="left" vertical="center" shrinkToFit="1"/>
    </xf>
    <xf numFmtId="179" fontId="11" fillId="0" borderId="0" applyAlignment="1" pivotButton="0" quotePrefix="0" xfId="1">
      <alignment horizontal="left" vertical="center" shrinkToFit="1"/>
    </xf>
    <xf numFmtId="49" fontId="11" fillId="0" borderId="10" applyAlignment="1" pivotButton="0" quotePrefix="0" xfId="1">
      <alignment horizontal="center" vertical="center" shrinkToFit="1"/>
    </xf>
    <xf numFmtId="170" fontId="21" fillId="6" borderId="22" applyAlignment="1" pivotButton="0" quotePrefix="0" xfId="0">
      <alignment horizontal="center" vertical="center" shrinkToFit="1"/>
    </xf>
    <xf numFmtId="170" fontId="21" fillId="6" borderId="15" applyAlignment="1" pivotButton="0" quotePrefix="0" xfId="0">
      <alignment horizontal="center" vertical="center" shrinkToFit="1"/>
    </xf>
    <xf numFmtId="180" fontId="21" fillId="0" borderId="15" applyAlignment="1" pivotButton="0" quotePrefix="0" xfId="1">
      <alignment horizontal="center" vertical="center" shrinkToFit="1"/>
    </xf>
    <xf numFmtId="0" fontId="17" fillId="4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170" fontId="19" fillId="6" borderId="15" applyAlignment="1" pivotButton="0" quotePrefix="0" xfId="0">
      <alignment horizontal="left" vertical="center" shrinkToFit="1"/>
    </xf>
    <xf numFmtId="170" fontId="19" fillId="6" borderId="23" applyAlignment="1" pivotButton="0" quotePrefix="0" xfId="0">
      <alignment horizontal="left" vertical="center" shrinkToFit="1"/>
    </xf>
    <xf numFmtId="170" fontId="19" fillId="6" borderId="29" applyAlignment="1" pivotButton="0" quotePrefix="0" xfId="0">
      <alignment horizontal="left" vertical="center" shrinkToFit="1"/>
    </xf>
    <xf numFmtId="170" fontId="19" fillId="6" borderId="26" applyAlignment="1" pivotButton="0" quotePrefix="0" xfId="0">
      <alignment horizontal="left" vertical="center" shrinkToFit="1"/>
    </xf>
    <xf numFmtId="49" fontId="30" fillId="5" borderId="16" applyAlignment="1" pivotButton="0" quotePrefix="0" xfId="0">
      <alignment horizontal="center" vertical="top" shrinkToFit="1"/>
    </xf>
    <xf numFmtId="49" fontId="30" fillId="5" borderId="33" applyAlignment="1" pivotButton="0" quotePrefix="0" xfId="0">
      <alignment horizontal="center" vertical="top" shrinkToFit="1"/>
    </xf>
    <xf numFmtId="49" fontId="25" fillId="5" borderId="22" applyAlignment="1" pivotButton="0" quotePrefix="0" xfId="1">
      <alignment horizontal="center" vertical="center" wrapText="1" shrinkToFit="1"/>
    </xf>
    <xf numFmtId="0" fontId="0" fillId="0" borderId="0" pivotButton="0" quotePrefix="0" xfId="0"/>
    <xf numFmtId="178" fontId="10" fillId="0" borderId="0" applyAlignment="1" pivotButton="0" quotePrefix="0" xfId="1">
      <alignment vertical="center" shrinkToFit="1"/>
    </xf>
    <xf numFmtId="164" fontId="3" fillId="0" borderId="0" applyAlignment="1" pivotButton="0" quotePrefix="0" xfId="1">
      <alignment horizontal="left" vertical="center" shrinkToFit="1"/>
    </xf>
    <xf numFmtId="179" fontId="11" fillId="0" borderId="0" applyAlignment="1" pivotButton="0" quotePrefix="0" xfId="1">
      <alignment horizontal="left" vertical="center" shrinkToFit="1"/>
    </xf>
    <xf numFmtId="179" fontId="11" fillId="0" borderId="15" applyAlignment="1" pivotButton="0" quotePrefix="0" xfId="1">
      <alignment horizontal="center" vertical="center" shrinkToFit="1"/>
    </xf>
    <xf numFmtId="178" fontId="12" fillId="0" borderId="0" applyAlignment="1" pivotButton="0" quotePrefix="0" xfId="1">
      <alignment horizontal="left" vertical="center" shrinkToFit="1"/>
    </xf>
    <xf numFmtId="0" fontId="0" fillId="0" borderId="20" pivotButton="0" quotePrefix="0" xfId="0"/>
    <xf numFmtId="165" fontId="19" fillId="0" borderId="21" applyAlignment="1" pivotButton="0" quotePrefix="0" xfId="0">
      <alignment horizontal="center" vertical="center"/>
    </xf>
    <xf numFmtId="170" fontId="21" fillId="6" borderId="22" applyAlignment="1" pivotButton="0" quotePrefix="0" xfId="0">
      <alignment horizontal="center" vertical="center" shrinkToFit="1"/>
    </xf>
    <xf numFmtId="0" fontId="0" fillId="0" borderId="50" pivotButton="0" quotePrefix="0" xfId="0"/>
    <xf numFmtId="180" fontId="21" fillId="0" borderId="15" applyAlignment="1" pivotButton="0" quotePrefix="0" xfId="1">
      <alignment horizontal="center" vertical="center" shrinkToFit="1"/>
    </xf>
    <xf numFmtId="166" fontId="20" fillId="0" borderId="23" applyAlignment="1" pivotButton="0" quotePrefix="0" xfId="1">
      <alignment vertical="center" shrinkToFit="1"/>
    </xf>
    <xf numFmtId="167" fontId="22" fillId="0" borderId="24" applyAlignment="1" pivotButton="0" quotePrefix="0" xfId="1">
      <alignment horizontal="center" vertical="center" shrinkToFit="1"/>
    </xf>
    <xf numFmtId="168" fontId="22" fillId="0" borderId="23" applyAlignment="1" pivotButton="0" quotePrefix="0" xfId="1">
      <alignment horizontal="center" vertical="center" shrinkToFit="1"/>
    </xf>
    <xf numFmtId="169" fontId="18" fillId="0" borderId="23" applyAlignment="1" pivotButton="0" quotePrefix="0" xfId="1">
      <alignment horizontal="center" vertical="center" shrinkToFit="1"/>
    </xf>
    <xf numFmtId="0" fontId="0" fillId="0" borderId="52" pivotButton="0" quotePrefix="0" xfId="0"/>
    <xf numFmtId="0" fontId="0" fillId="0" borderId="53" pivotButton="0" quotePrefix="0" xfId="0"/>
    <xf numFmtId="171" fontId="20" fillId="0" borderId="23" applyAlignment="1" pivotButton="0" quotePrefix="0" xfId="1">
      <alignment vertical="center" shrinkToFit="1"/>
    </xf>
    <xf numFmtId="170" fontId="22" fillId="0" borderId="23" applyAlignment="1" pivotButton="0" quotePrefix="0" xfId="1">
      <alignment horizontal="center" vertical="center" shrinkToFit="1"/>
    </xf>
    <xf numFmtId="172" fontId="19" fillId="0" borderId="21" applyAlignment="1" pivotButton="0" quotePrefix="0" xfId="0">
      <alignment horizontal="center" vertical="center"/>
    </xf>
    <xf numFmtId="170" fontId="19" fillId="6" borderId="15" applyAlignment="1" pivotButton="0" quotePrefix="0" xfId="0">
      <alignment horizontal="left" vertical="center" shrinkToFit="1"/>
    </xf>
    <xf numFmtId="0" fontId="0" fillId="0" borderId="40" pivotButton="0" quotePrefix="0" xfId="0"/>
    <xf numFmtId="0" fontId="0" fillId="0" borderId="41" pivotButton="0" quotePrefix="0" xfId="0"/>
    <xf numFmtId="0" fontId="0" fillId="0" borderId="39" pivotButton="0" quotePrefix="0" xfId="0"/>
    <xf numFmtId="170" fontId="19" fillId="6" borderId="29" applyAlignment="1" pivotButton="0" quotePrefix="0" xfId="0">
      <alignment horizontal="left" vertical="center" shrinkToFit="1"/>
    </xf>
    <xf numFmtId="0" fontId="0" fillId="0" borderId="43" pivotButton="0" quotePrefix="0" xfId="0"/>
    <xf numFmtId="0" fontId="0" fillId="0" borderId="44" pivotButton="0" quotePrefix="0" xfId="0"/>
    <xf numFmtId="167" fontId="22" fillId="0" borderId="30" applyAlignment="1" pivotButton="0" quotePrefix="0" xfId="1">
      <alignment horizontal="center" vertical="center" shrinkToFit="1"/>
    </xf>
    <xf numFmtId="168" fontId="22" fillId="0" borderId="26" applyAlignment="1" pivotButton="0" quotePrefix="0" xfId="1">
      <alignment horizontal="center" vertical="center" shrinkToFit="1"/>
    </xf>
    <xf numFmtId="170" fontId="22" fillId="0" borderId="25" applyAlignment="1" pivotButton="0" quotePrefix="0" xfId="1">
      <alignment horizontal="center" vertical="center" shrinkToFit="1"/>
    </xf>
    <xf numFmtId="170" fontId="22" fillId="0" borderId="26" applyAlignment="1" pivotButton="0" quotePrefix="0" xfId="1">
      <alignment horizontal="center" vertical="center" shrinkToFit="1"/>
    </xf>
    <xf numFmtId="173" fontId="17" fillId="5" borderId="21" applyAlignment="1" pivotButton="0" quotePrefix="0" xfId="0">
      <alignment horizontal="center" vertical="center"/>
    </xf>
    <xf numFmtId="177" fontId="17" fillId="5" borderId="22" applyAlignment="1" pivotButton="0" quotePrefix="0" xfId="1">
      <alignment horizontal="left" vertical="center" wrapText="1" shrinkToFit="1"/>
    </xf>
    <xf numFmtId="172" fontId="17" fillId="5" borderId="31" applyAlignment="1" pivotButton="0" quotePrefix="0" xfId="0">
      <alignment horizontal="center" vertical="center"/>
    </xf>
    <xf numFmtId="172" fontId="17" fillId="5" borderId="32" applyAlignment="1" pivotButton="0" quotePrefix="0" xfId="0">
      <alignment horizontal="right" vertical="center"/>
    </xf>
    <xf numFmtId="170" fontId="17" fillId="5" borderId="22" applyAlignment="1" pivotButton="0" quotePrefix="0" xfId="0">
      <alignment horizontal="center" vertical="center"/>
    </xf>
    <xf numFmtId="170" fontId="17" fillId="5" borderId="15" applyAlignment="1" pivotButton="0" quotePrefix="0" xfId="0">
      <alignment horizontal="center" vertical="center"/>
    </xf>
    <xf numFmtId="170" fontId="17" fillId="5" borderId="23" applyAlignment="1" pivotButton="0" quotePrefix="0" xfId="0">
      <alignment horizontal="center" vertical="center"/>
    </xf>
    <xf numFmtId="49" fontId="30" fillId="5" borderId="45" applyAlignment="1" pivotButton="0" quotePrefix="0" xfId="0">
      <alignment horizontal="center" vertical="top" shrinkToFit="1"/>
    </xf>
    <xf numFmtId="0" fontId="0" fillId="0" borderId="47" pivotButton="0" quotePrefix="0" xfId="0"/>
    <xf numFmtId="174" fontId="17" fillId="0" borderId="21" applyAlignment="1" pivotButton="0" quotePrefix="0" xfId="3">
      <alignment horizontal="center" vertical="center" shrinkToFit="1"/>
    </xf>
    <xf numFmtId="170" fontId="17" fillId="0" borderId="15" applyAlignment="1" pivotButton="0" quotePrefix="0" xfId="3">
      <alignment horizontal="center" vertical="center" shrinkToFit="1"/>
    </xf>
    <xf numFmtId="172" fontId="17" fillId="0" borderId="15" applyAlignment="1" pivotButton="0" quotePrefix="0" xfId="3">
      <alignment horizontal="center" vertical="center" shrinkToFit="1"/>
    </xf>
    <xf numFmtId="172" fontId="17" fillId="0" borderId="10" applyAlignment="1" pivotButton="0" quotePrefix="0" xfId="3">
      <alignment horizontal="right" vertical="center" shrinkToFit="1"/>
    </xf>
    <xf numFmtId="170" fontId="17" fillId="0" borderId="22" applyAlignment="1" pivotButton="0" quotePrefix="0" xfId="3">
      <alignment horizontal="center" vertical="center" shrinkToFit="1"/>
    </xf>
    <xf numFmtId="170" fontId="17" fillId="0" borderId="23" applyAlignment="1" pivotButton="0" quotePrefix="0" xfId="3">
      <alignment horizontal="center" vertical="center" shrinkToFit="1"/>
    </xf>
    <xf numFmtId="175" fontId="17" fillId="0" borderId="21" applyAlignment="1" pivotButton="0" quotePrefix="0" xfId="3">
      <alignment horizontal="center" vertical="center" shrinkToFit="1"/>
    </xf>
    <xf numFmtId="170" fontId="22" fillId="0" borderId="23" applyAlignment="1" pivotButton="0" quotePrefix="0" xfId="0">
      <alignment horizontal="center" vertical="top" shrinkToFit="1"/>
    </xf>
    <xf numFmtId="176" fontId="29" fillId="5" borderId="27" applyAlignment="1" pivotButton="0" quotePrefix="0" xfId="3">
      <alignment horizontal="center" vertical="center" shrinkToFit="1"/>
    </xf>
    <xf numFmtId="170" fontId="17" fillId="5" borderId="34" applyAlignment="1" pivotButton="0" quotePrefix="0" xfId="3">
      <alignment horizontal="center" vertical="center" shrinkToFit="1"/>
    </xf>
    <xf numFmtId="172" fontId="17" fillId="5" borderId="34" applyAlignment="1" pivotButton="0" quotePrefix="0" xfId="3">
      <alignment horizontal="right" vertical="center" shrinkToFit="1"/>
    </xf>
    <xf numFmtId="172" fontId="17" fillId="5" borderId="35" applyAlignment="1" pivotButton="0" quotePrefix="0" xfId="3">
      <alignment horizontal="right" vertical="center" shrinkToFit="1"/>
    </xf>
    <xf numFmtId="170" fontId="17" fillId="5" borderId="28" applyAlignment="1" pivotButton="0" quotePrefix="0" xfId="3">
      <alignment horizontal="center" vertical="center" shrinkToFit="1"/>
    </xf>
    <xf numFmtId="170" fontId="17" fillId="5" borderId="29" applyAlignment="1" pivotButton="0" quotePrefix="0" xfId="3">
      <alignment horizontal="center" vertical="center" shrinkToFit="1"/>
    </xf>
    <xf numFmtId="170" fontId="17" fillId="5" borderId="26" applyAlignment="1" pivotButton="0" quotePrefix="0" xfId="3">
      <alignment horizontal="center" vertical="center" shrinkToFit="1"/>
    </xf>
    <xf numFmtId="170" fontId="27" fillId="0" borderId="26" applyAlignment="1" pivotButton="0" quotePrefix="0" xfId="1">
      <alignment horizontal="center" vertical="center" shrinkToFit="1"/>
    </xf>
  </cellXfs>
  <cellStyles count="4">
    <cellStyle name="標準" xfId="0" builtinId="0"/>
    <cellStyle name="標準 2" xfId="1"/>
    <cellStyle name="どちらでもない" xfId="2" builtinId="28"/>
    <cellStyle name="標準 2 4" xfId="3"/>
  </cellStyles>
  <dxfs count="54">
    <dxf>
      <font>
        <color theme="2" tint="-0.09994811853389081"/>
      </font>
    </dxf>
    <dxf>
      <font>
        <color theme="0"/>
      </font>
    </dxf>
    <dxf>
      <font>
        <color theme="2" tint="-0.09994811853389081"/>
      </font>
    </dxf>
    <dxf>
      <font>
        <color theme="0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2" tint="-0.0999481185338908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85595</colOff>
      <row>4</row>
      <rowOff>85725</rowOff>
    </from>
    <to>
      <col>9</col>
      <colOff>742820</colOff>
      <row>7</row>
      <rowOff>85725</rowOff>
    </to>
    <pic>
      <nvPicPr>
        <cNvPr id="2" name="図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610470" y="809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85595</colOff>
      <row>4</row>
      <rowOff>85725</rowOff>
    </from>
    <to>
      <col>8</col>
      <colOff>742820</colOff>
      <row>7</row>
      <rowOff>85725</rowOff>
    </to>
    <pic>
      <nvPicPr>
        <cNvPr id="3" name="図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7800845" y="809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61</row>
      <rowOff>19050</rowOff>
    </from>
    <to>
      <col>9</col>
      <colOff>733425</colOff>
      <row>64</row>
      <rowOff>19050</rowOff>
    </to>
    <pic>
      <nvPicPr>
        <cNvPr id="6" name="図 5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8601075" y="139731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61</row>
      <rowOff>19050</rowOff>
    </from>
    <to>
      <col>8</col>
      <colOff>733425</colOff>
      <row>64</row>
      <rowOff>19050</rowOff>
    </to>
    <pic>
      <nvPicPr>
        <cNvPr id="7" name="図 6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7791450" y="139731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118</row>
      <rowOff>66675</rowOff>
    </from>
    <to>
      <col>9</col>
      <colOff>752475</colOff>
      <row>121</row>
      <rowOff>66675</rowOff>
    </to>
    <pic>
      <nvPicPr>
        <cNvPr id="8" name="図 7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620125" y="272510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118</row>
      <rowOff>66675</rowOff>
    </from>
    <to>
      <col>8</col>
      <colOff>752475</colOff>
      <row>121</row>
      <rowOff>66675</rowOff>
    </to>
    <pic>
      <nvPicPr>
        <cNvPr id="9" name="図 8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7810500" y="272510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175</row>
      <rowOff>66675</rowOff>
    </from>
    <to>
      <col>9</col>
      <colOff>733425</colOff>
      <row>178</row>
      <rowOff>66675</rowOff>
    </to>
    <pic>
      <nvPicPr>
        <cNvPr id="10" name="図 9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8601075" y="404812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175</row>
      <rowOff>66675</rowOff>
    </from>
    <to>
      <col>8</col>
      <colOff>733425</colOff>
      <row>178</row>
      <rowOff>66675</rowOff>
    </to>
    <pic>
      <nvPicPr>
        <cNvPr id="11" name="図 10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7791450" y="404812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232</row>
      <rowOff>47625</rowOff>
    </from>
    <to>
      <col>9</col>
      <colOff>742950</colOff>
      <row>235</row>
      <rowOff>47625</rowOff>
    </to>
    <pic>
      <nvPicPr>
        <cNvPr id="12" name="図 1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8610600" y="536924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85725</colOff>
      <row>232</row>
      <rowOff>47625</rowOff>
    </from>
    <to>
      <col>8</col>
      <colOff>742950</colOff>
      <row>235</row>
      <rowOff>47625</rowOff>
    </to>
    <pic>
      <nvPicPr>
        <cNvPr id="13" name="図 1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7800975" y="536924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289</row>
      <rowOff>47625</rowOff>
    </from>
    <to>
      <col>9</col>
      <colOff>733425</colOff>
      <row>292</row>
      <rowOff>47625</rowOff>
    </to>
    <pic>
      <nvPicPr>
        <cNvPr id="14" name="図 13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8601075" y="669226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289</row>
      <rowOff>47625</rowOff>
    </from>
    <to>
      <col>8</col>
      <colOff>733425</colOff>
      <row>292</row>
      <rowOff>47625</rowOff>
    </to>
    <pic>
      <nvPicPr>
        <cNvPr id="15" name="図 14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7791450" y="669226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346</row>
      <rowOff>9525</rowOff>
    </from>
    <to>
      <col>9</col>
      <colOff>752475</colOff>
      <row>349</row>
      <rowOff>9525</rowOff>
    </to>
    <pic>
      <nvPicPr>
        <cNvPr id="16" name="図 15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620125" y="801147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346</row>
      <rowOff>9525</rowOff>
    </from>
    <to>
      <col>8</col>
      <colOff>752475</colOff>
      <row>349</row>
      <rowOff>9525</rowOff>
    </to>
    <pic>
      <nvPicPr>
        <cNvPr id="17" name="図 16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7810500" y="801147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403</row>
      <rowOff>57150</rowOff>
    </from>
    <to>
      <col>9</col>
      <colOff>742950</colOff>
      <row>406</row>
      <rowOff>57150</rowOff>
    </to>
    <pic>
      <nvPicPr>
        <cNvPr id="18" name="図 17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8610600" y="93392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85725</colOff>
      <row>403</row>
      <rowOff>57150</rowOff>
    </from>
    <to>
      <col>8</col>
      <colOff>742950</colOff>
      <row>406</row>
      <rowOff>57150</rowOff>
    </to>
    <pic>
      <nvPicPr>
        <cNvPr id="19" name="図 18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7800975" y="93392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460</row>
      <rowOff>66675</rowOff>
    </from>
    <to>
      <col>9</col>
      <colOff>752475</colOff>
      <row>463</row>
      <rowOff>66675</rowOff>
    </to>
    <pic>
      <nvPicPr>
        <cNvPr id="20" name="図 19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8620125" y="1066323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460</row>
      <rowOff>66675</rowOff>
    </from>
    <to>
      <col>8</col>
      <colOff>752475</colOff>
      <row>463</row>
      <rowOff>66675</rowOff>
    </to>
    <pic>
      <nvPicPr>
        <cNvPr id="21" name="図 20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7810500" y="1066323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517</row>
      <rowOff>47625</rowOff>
    </from>
    <to>
      <col>9</col>
      <colOff>733425</colOff>
      <row>520</row>
      <rowOff>47625</rowOff>
    </to>
    <pic>
      <nvPicPr>
        <cNvPr id="22" name="図 21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8601075" y="1198435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517</row>
      <rowOff>47625</rowOff>
    </from>
    <to>
      <col>8</col>
      <colOff>733425</colOff>
      <row>520</row>
      <rowOff>47625</rowOff>
    </to>
    <pic>
      <nvPicPr>
        <cNvPr id="23" name="図 22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7791450" y="1198435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574</row>
      <rowOff>47625</rowOff>
    </from>
    <to>
      <col>9</col>
      <colOff>742950</colOff>
      <row>577</row>
      <rowOff>47625</rowOff>
    </to>
    <pic>
      <nvPicPr>
        <cNvPr id="26" name="図 25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8610600" y="1330737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85725</colOff>
      <row>574</row>
      <rowOff>47625</rowOff>
    </from>
    <to>
      <col>8</col>
      <colOff>742950</colOff>
      <row>577</row>
      <rowOff>47625</rowOff>
    </to>
    <pic>
      <nvPicPr>
        <cNvPr id="27" name="図 26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7800975" y="1330737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631</row>
      <rowOff>19050</rowOff>
    </from>
    <to>
      <col>9</col>
      <colOff>742950</colOff>
      <row>634</row>
      <rowOff>19050</rowOff>
    </to>
    <pic>
      <nvPicPr>
        <cNvPr id="28" name="図 27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8610600" y="1462754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85725</colOff>
      <row>631</row>
      <rowOff>19050</rowOff>
    </from>
    <to>
      <col>8</col>
      <colOff>742950</colOff>
      <row>634</row>
      <rowOff>19050</rowOff>
    </to>
    <pic>
      <nvPicPr>
        <cNvPr id="29" name="図 28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7800975" y="1462754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85725</colOff>
      <row>688</row>
      <rowOff>47625</rowOff>
    </from>
    <to>
      <col>9</col>
      <colOff>742950</colOff>
      <row>691</row>
      <rowOff>47625</rowOff>
    </to>
    <pic>
      <nvPicPr>
        <cNvPr id="30" name="図 29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8610600" y="1595342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85725</colOff>
      <row>688</row>
      <rowOff>47625</rowOff>
    </from>
    <to>
      <col>8</col>
      <colOff>742950</colOff>
      <row>691</row>
      <rowOff>47625</rowOff>
    </to>
    <pic>
      <nvPicPr>
        <cNvPr id="31" name="図 30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7800975" y="1595342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745</row>
      <rowOff>0</rowOff>
    </from>
    <to>
      <col>9</col>
      <colOff>752475</colOff>
      <row>748</row>
      <rowOff>28575</rowOff>
    </to>
    <pic>
      <nvPicPr>
        <cNvPr id="32" name="図 31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8620125" y="172716825"/>
          <a:ext cx="657225" cy="685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745</row>
      <rowOff>0</rowOff>
    </from>
    <to>
      <col>8</col>
      <colOff>752475</colOff>
      <row>748</row>
      <rowOff>28575</rowOff>
    </to>
    <pic>
      <nvPicPr>
        <cNvPr id="33" name="図 32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7810500" y="172716825"/>
          <a:ext cx="657225" cy="685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66675</colOff>
      <row>802</row>
      <rowOff>57150</rowOff>
    </from>
    <to>
      <col>9</col>
      <colOff>723900</colOff>
      <row>805</row>
      <rowOff>57150</rowOff>
    </to>
    <pic>
      <nvPicPr>
        <cNvPr id="34" name="図 33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8591550" y="18600420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66675</colOff>
      <row>802</row>
      <rowOff>57150</rowOff>
    </from>
    <to>
      <col>8</col>
      <colOff>723900</colOff>
      <row>805</row>
      <rowOff>57150</rowOff>
    </to>
    <pic>
      <nvPicPr>
        <cNvPr id="35" name="図 34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7781925" y="18600420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858</row>
      <rowOff>171450</rowOff>
    </from>
    <to>
      <col>9</col>
      <colOff>752475</colOff>
      <row>861</row>
      <rowOff>209550</rowOff>
    </to>
    <pic>
      <nvPicPr>
        <cNvPr id="38" name="図 37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8620125" y="1991677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858</row>
      <rowOff>171450</rowOff>
    </from>
    <to>
      <col>8</col>
      <colOff>752475</colOff>
      <row>861</row>
      <rowOff>209550</rowOff>
    </to>
    <pic>
      <nvPicPr>
        <cNvPr id="39" name="図 38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7810500" y="1991677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915</row>
      <rowOff>171450</rowOff>
    </from>
    <to>
      <col>9</col>
      <colOff>752475</colOff>
      <row>918</row>
      <rowOff>209550</rowOff>
    </to>
    <pic>
      <nvPicPr>
        <cNvPr id="40" name="図 39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8620125" y="2123979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915</row>
      <rowOff>171450</rowOff>
    </from>
    <to>
      <col>8</col>
      <colOff>752475</colOff>
      <row>918</row>
      <rowOff>209550</rowOff>
    </to>
    <pic>
      <nvPicPr>
        <cNvPr id="41" name="図 40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7810500" y="2123979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973</row>
      <rowOff>47625</rowOff>
    </from>
    <to>
      <col>9</col>
      <colOff>733425</colOff>
      <row>976</row>
      <rowOff>47625</rowOff>
    </to>
    <pic>
      <nvPicPr>
        <cNvPr id="42" name="図 41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8601075" y="2256853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973</row>
      <rowOff>47625</rowOff>
    </from>
    <to>
      <col>8</col>
      <colOff>733425</colOff>
      <row>976</row>
      <rowOff>47625</rowOff>
    </to>
    <pic>
      <nvPicPr>
        <cNvPr id="43" name="図 42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7791450" y="2256853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95250</colOff>
      <row>1030</row>
      <rowOff>66675</rowOff>
    </from>
    <to>
      <col>9</col>
      <colOff>752475</colOff>
      <row>1033</row>
      <rowOff>66675</rowOff>
    </to>
    <pic>
      <nvPicPr>
        <cNvPr id="44" name="図 43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8620125" y="238934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95250</colOff>
      <row>1030</row>
      <rowOff>66675</rowOff>
    </from>
    <to>
      <col>8</col>
      <colOff>752475</colOff>
      <row>1033</row>
      <rowOff>66675</rowOff>
    </to>
    <pic>
      <nvPicPr>
        <cNvPr id="45" name="図 44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7810500" y="238934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1087</row>
      <rowOff>57150</rowOff>
    </from>
    <to>
      <col>9</col>
      <colOff>733425</colOff>
      <row>1090</row>
      <rowOff>57150</rowOff>
    </to>
    <pic>
      <nvPicPr>
        <cNvPr id="46" name="図 45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8601075" y="2521553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1087</row>
      <rowOff>57150</rowOff>
    </from>
    <to>
      <col>8</col>
      <colOff>733425</colOff>
      <row>1090</row>
      <rowOff>57150</rowOff>
    </to>
    <pic>
      <nvPicPr>
        <cNvPr id="47" name="図 46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7791450" y="2521553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1144</row>
      <rowOff>0</rowOff>
    </from>
    <to>
      <col>9</col>
      <colOff>733425</colOff>
      <row>1147</row>
      <rowOff>0</rowOff>
    </to>
    <pic>
      <nvPicPr>
        <cNvPr id="48" name="図 47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8601075" y="26532840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1144</row>
      <rowOff>0</rowOff>
    </from>
    <to>
      <col>8</col>
      <colOff>733425</colOff>
      <row>1147</row>
      <rowOff>0</rowOff>
    </to>
    <pic>
      <nvPicPr>
        <cNvPr id="49" name="図 48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7791450" y="26532840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1201</row>
      <rowOff>0</rowOff>
    </from>
    <to>
      <col>9</col>
      <colOff>733425</colOff>
      <row>1204</row>
      <rowOff>0</rowOff>
    </to>
    <pic>
      <nvPicPr>
        <cNvPr id="50" name="図 49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8601075" y="278558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1201</row>
      <rowOff>0</rowOff>
    </from>
    <to>
      <col>8</col>
      <colOff>733425</colOff>
      <row>1204</row>
      <rowOff>0</rowOff>
    </to>
    <pic>
      <nvPicPr>
        <cNvPr id="51" name="図 50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7791450" y="2785586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1258</row>
      <rowOff>38100</rowOff>
    </from>
    <to>
      <col>9</col>
      <colOff>733425</colOff>
      <row>1261</row>
      <rowOff>38100</rowOff>
    </to>
    <pic>
      <nvPicPr>
        <cNvPr id="52" name="図 51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8601075" y="2918269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1258</row>
      <rowOff>38100</rowOff>
    </from>
    <to>
      <col>8</col>
      <colOff>733425</colOff>
      <row>1261</row>
      <rowOff>38100</rowOff>
    </to>
    <pic>
      <nvPicPr>
        <cNvPr id="53" name="図 52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7791450" y="291826950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1315</row>
      <rowOff>57150</rowOff>
    </from>
    <to>
      <col>9</col>
      <colOff>733425</colOff>
      <row>1318</row>
      <rowOff>57150</rowOff>
    </to>
    <pic>
      <nvPicPr>
        <cNvPr id="54" name="図 53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8601075" y="3050762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1315</row>
      <rowOff>57150</rowOff>
    </from>
    <to>
      <col>8</col>
      <colOff>733425</colOff>
      <row>1318</row>
      <rowOff>57150</rowOff>
    </to>
    <pic>
      <nvPicPr>
        <cNvPr id="55" name="図 54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7791450" y="30507622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76200</colOff>
      <row>1372</row>
      <rowOff>66675</rowOff>
    </from>
    <to>
      <col>9</col>
      <colOff>733425</colOff>
      <row>1375</row>
      <rowOff>66675</rowOff>
    </to>
    <pic>
      <nvPicPr>
        <cNvPr id="56" name="図 55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8601075" y="318315975"/>
          <a:ext cx="657225" cy="657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76200</colOff>
      <row>1372</row>
      <rowOff>66675</rowOff>
    </from>
    <to>
      <col>8</col>
      <colOff>733425</colOff>
      <row>1375</row>
      <rowOff>66675</rowOff>
    </to>
    <pic>
      <nvPicPr>
        <cNvPr id="57" name="図 56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7791450" y="318315975"/>
          <a:ext cx="657225" cy="65722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aster/VFDB.xlsm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SGT.xlsm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sgt2605_cloud_bundle/master/VFDB.xlsm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sgt2605_cloud_bundle/sgt2605.xlsm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 xml:space="preserve"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 xml:space="preserve"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/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/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/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/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/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/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/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M267">
            <v>46183</v>
          </cell>
          <cell r="N267">
            <v>9</v>
          </cell>
          <cell r="P267">
            <v>46184</v>
          </cell>
          <cell r="R267">
            <v>5</v>
          </cell>
          <cell r="U267" t="str">
            <v>000000000014599</v>
          </cell>
        </row>
        <row r="268">
          <cell r="D268">
            <v>46182</v>
          </cell>
          <cell r="E268" t="str">
            <v>26E23-05</v>
          </cell>
          <cell r="M268">
            <v>46184</v>
          </cell>
          <cell r="N268">
            <v>1</v>
          </cell>
          <cell r="P268">
            <v>1000</v>
          </cell>
          <cell r="U268" t="str">
            <v>000000000014599</v>
          </cell>
        </row>
        <row r="269">
          <cell r="C269">
            <v>1000</v>
          </cell>
          <cell r="D269">
            <v>46183</v>
          </cell>
          <cell r="E269" t="str">
            <v>26E23-05</v>
          </cell>
          <cell r="F269">
            <v>400</v>
          </cell>
          <cell r="P269">
            <v>503</v>
          </cell>
          <cell r="R269">
            <v>1</v>
          </cell>
          <cell r="U269" t="str">
            <v>000000000014599</v>
          </cell>
        </row>
        <row r="270">
          <cell r="C270">
            <v>1000</v>
          </cell>
          <cell r="D270">
            <v>46183</v>
          </cell>
          <cell r="E270" t="str">
            <v>26E23-05</v>
          </cell>
          <cell r="F270">
            <v>14</v>
          </cell>
          <cell r="P270">
            <v>6</v>
          </cell>
          <cell r="U270" t="str">
            <v>000000000014599</v>
          </cell>
        </row>
        <row r="271">
          <cell r="C271">
            <v>2</v>
          </cell>
          <cell r="D271">
            <v>46183</v>
          </cell>
          <cell r="E271" t="str">
            <v>26E26-07</v>
          </cell>
          <cell r="P271">
            <v>3</v>
          </cell>
          <cell r="U271" t="str">
            <v>000000000014599</v>
          </cell>
        </row>
        <row r="272">
          <cell r="C272">
            <v>100</v>
          </cell>
          <cell r="D272">
            <v>46183</v>
          </cell>
          <cell r="E272" t="str">
            <v>26E26-07</v>
          </cell>
          <cell r="F272">
            <v>386</v>
          </cell>
          <cell r="M272" t="str">
            <v>合計</v>
          </cell>
          <cell r="N272">
            <v>10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D273">
            <v>46183</v>
          </cell>
          <cell r="E273" t="str">
            <v>26E26-07</v>
          </cell>
          <cell r="F273">
            <v>200</v>
          </cell>
          <cell r="M273" t="str">
            <v>入数</v>
          </cell>
          <cell r="N273">
            <v>1000</v>
          </cell>
          <cell r="P273">
            <v>1006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10</v>
          </cell>
          <cell r="M275" t="str">
            <v>I</v>
          </cell>
          <cell r="U275" t="str">
            <v>000000000014599</v>
          </cell>
        </row>
        <row r="276">
          <cell r="M276" t="str">
            <v>T</v>
          </cell>
          <cell r="N276" t="str">
            <v>U</v>
          </cell>
          <cell r="R276">
            <v>6</v>
          </cell>
          <cell r="U276" t="str">
            <v>000000000014599</v>
          </cell>
        </row>
        <row r="277">
          <cell r="D277" t="str">
            <v>不良補填</v>
          </cell>
          <cell r="E277" t="str">
            <v>26E21-03</v>
          </cell>
          <cell r="F277">
            <v>6</v>
          </cell>
          <cell r="U277" t="str">
            <v>000000000014599</v>
          </cell>
        </row>
        <row r="278">
          <cell r="C278" t="str">
            <v>8FL281304 5010　L=888</v>
          </cell>
          <cell r="M278">
            <v>46184</v>
          </cell>
          <cell r="N278">
            <v>13</v>
          </cell>
          <cell r="P278">
            <v>46185</v>
          </cell>
          <cell r="R278">
            <v>5</v>
          </cell>
          <cell r="U278" t="str">
            <v>000000000014598</v>
          </cell>
        </row>
        <row r="279">
          <cell r="D279">
            <v>46183</v>
          </cell>
          <cell r="E279" t="str">
            <v>26E26-07</v>
          </cell>
          <cell r="M279">
            <v>46185</v>
          </cell>
          <cell r="N279">
            <v>7</v>
          </cell>
          <cell r="P279">
            <v>2000</v>
          </cell>
          <cell r="U279" t="str">
            <v>000000000014598</v>
          </cell>
        </row>
        <row r="280">
          <cell r="C280">
            <v>2000</v>
          </cell>
          <cell r="D280">
            <v>46183</v>
          </cell>
          <cell r="E280" t="str">
            <v>26E26-07</v>
          </cell>
          <cell r="F280">
            <v>400</v>
          </cell>
          <cell r="P280">
            <v>1006</v>
          </cell>
          <cell r="R280">
            <v>2</v>
          </cell>
          <cell r="U280" t="str">
            <v>000000000014598</v>
          </cell>
        </row>
        <row r="281">
          <cell r="C281">
            <v>2000</v>
          </cell>
          <cell r="D281">
            <v>46183</v>
          </cell>
          <cell r="E281" t="str">
            <v>26E26-07</v>
          </cell>
          <cell r="F281">
            <v>214</v>
          </cell>
          <cell r="P281">
            <v>12</v>
          </cell>
          <cell r="U281" t="str">
            <v>000000000014598</v>
          </cell>
        </row>
        <row r="282">
          <cell r="C282">
            <v>2</v>
          </cell>
          <cell r="D282">
            <v>46183</v>
          </cell>
          <cell r="E282" t="str">
            <v>26E23-06</v>
          </cell>
          <cell r="F282">
            <v>186</v>
          </cell>
          <cell r="P282">
            <v>6</v>
          </cell>
          <cell r="U282" t="str">
            <v>000000000014598</v>
          </cell>
        </row>
        <row r="283">
          <cell r="C283">
            <v>100</v>
          </cell>
          <cell r="D283">
            <v>46184</v>
          </cell>
          <cell r="E283" t="str">
            <v>26E23-06</v>
          </cell>
          <cell r="F283">
            <v>214</v>
          </cell>
          <cell r="M283" t="str">
            <v>合計</v>
          </cell>
          <cell r="N283">
            <v>20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D284">
            <v>46184</v>
          </cell>
          <cell r="E284" t="str">
            <v>26E27-08</v>
          </cell>
          <cell r="F284">
            <v>186</v>
          </cell>
          <cell r="M284" t="str">
            <v>入数</v>
          </cell>
          <cell r="N284">
            <v>2000</v>
          </cell>
          <cell r="P284">
            <v>2012</v>
          </cell>
          <cell r="R284">
            <v>1</v>
          </cell>
          <cell r="U284" t="str">
            <v>000000000014598</v>
          </cell>
        </row>
        <row r="285">
          <cell r="D285">
            <v>46184</v>
          </cell>
          <cell r="E285" t="str">
            <v>26E27-08</v>
          </cell>
          <cell r="F285">
            <v>400</v>
          </cell>
          <cell r="M285" t="str">
            <v>作業者</v>
          </cell>
          <cell r="U285" t="str">
            <v>000000000014598</v>
          </cell>
        </row>
        <row r="286">
          <cell r="C286">
            <v>20</v>
          </cell>
          <cell r="D286">
            <v>46184</v>
          </cell>
          <cell r="E286" t="str">
            <v>26E27-08</v>
          </cell>
          <cell r="F286">
            <v>400</v>
          </cell>
          <cell r="M286" t="str">
            <v>I</v>
          </cell>
          <cell r="R286">
            <v>4</v>
          </cell>
          <cell r="U286" t="str">
            <v>000000000014598</v>
          </cell>
        </row>
        <row r="287">
          <cell r="M287" t="str">
            <v>T</v>
          </cell>
          <cell r="N287" t="str">
            <v>U</v>
          </cell>
          <cell r="R287">
            <v>12</v>
          </cell>
          <cell r="U287" t="str">
            <v>000000000014598</v>
          </cell>
        </row>
        <row r="288">
          <cell r="D288" t="str">
            <v>不良補填</v>
          </cell>
          <cell r="E288" t="str">
            <v>26E27-08</v>
          </cell>
          <cell r="F288">
            <v>12</v>
          </cell>
          <cell r="U288" t="str">
            <v>000000000014598</v>
          </cell>
        </row>
        <row r="289">
          <cell r="C289" t="str">
            <v>灯具カバーPC  　2200    L=221.8</v>
          </cell>
          <cell r="P289">
            <v>0</v>
          </cell>
          <cell r="U289" t="str">
            <v>000000000014999</v>
          </cell>
        </row>
        <row r="290">
          <cell r="P290">
            <v>0</v>
          </cell>
          <cell r="U290" t="str">
            <v>000000000014999</v>
          </cell>
        </row>
        <row r="291">
          <cell r="P291">
            <v>0</v>
          </cell>
          <cell r="U291" t="str">
            <v>000000000014999</v>
          </cell>
        </row>
        <row r="292">
          <cell r="C292">
            <v>10</v>
          </cell>
          <cell r="P292">
            <v>0</v>
          </cell>
          <cell r="U292" t="str">
            <v>000000000014999</v>
          </cell>
        </row>
        <row r="293">
          <cell r="C293">
            <v>2</v>
          </cell>
          <cell r="P293">
            <v>0</v>
          </cell>
          <cell r="U293" t="str">
            <v>000000000014999</v>
          </cell>
        </row>
        <row r="294">
          <cell r="C294">
            <v>2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000000000014999</v>
          </cell>
        </row>
        <row r="295">
          <cell r="C295" t="str">
            <v>H型ジョイナー端材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000000000014999</v>
          </cell>
        </row>
        <row r="296">
          <cell r="M296" t="str">
            <v>作業者</v>
          </cell>
          <cell r="U296" t="str">
            <v>000000000014999</v>
          </cell>
        </row>
        <row r="297">
          <cell r="C297">
            <v>0</v>
          </cell>
          <cell r="U297" t="str">
            <v>000000000014999</v>
          </cell>
        </row>
        <row r="298">
          <cell r="R298">
            <v>0</v>
          </cell>
          <cell r="U298" t="str">
            <v>000000000014999</v>
          </cell>
        </row>
        <row r="299">
          <cell r="D299" t="str">
            <v>不良補填</v>
          </cell>
          <cell r="F299" t="str"/>
          <cell r="U299" t="str">
            <v>000000000014999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/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/>
          <cell r="U321" t="str">
            <v>000000000014335</v>
          </cell>
        </row>
        <row r="322">
          <cell r="C322" t="str">
            <v>8FL281304 4810　L=297</v>
          </cell>
          <cell r="P322">
            <v>0</v>
          </cell>
          <cell r="U322" t="str">
            <v>000000000014576</v>
          </cell>
        </row>
        <row r="323">
          <cell r="P323">
            <v>0</v>
          </cell>
          <cell r="U323" t="str">
            <v>000000000014576</v>
          </cell>
        </row>
        <row r="324">
          <cell r="P324">
            <v>0</v>
          </cell>
          <cell r="U324" t="str">
            <v>000000000014576</v>
          </cell>
        </row>
        <row r="325">
          <cell r="C325">
            <v>300</v>
          </cell>
          <cell r="P325">
            <v>0</v>
          </cell>
          <cell r="U325" t="str">
            <v>000000000014576</v>
          </cell>
        </row>
        <row r="326">
          <cell r="C326">
            <v>6</v>
          </cell>
          <cell r="P326">
            <v>0</v>
          </cell>
          <cell r="U326" t="str">
            <v>000000000014576</v>
          </cell>
        </row>
        <row r="327">
          <cell r="C327">
            <v>100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000000000014576</v>
          </cell>
        </row>
        <row r="328">
          <cell r="C328" t="str">
            <v>LED-A300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000000000014576</v>
          </cell>
        </row>
        <row r="329">
          <cell r="M329" t="str">
            <v>作業者</v>
          </cell>
          <cell r="U329" t="str">
            <v>000000000014576</v>
          </cell>
        </row>
        <row r="330">
          <cell r="C330">
            <v>0</v>
          </cell>
          <cell r="U330" t="str">
            <v>000000000014576</v>
          </cell>
        </row>
        <row r="331">
          <cell r="R331">
            <v>0</v>
          </cell>
          <cell r="U331" t="str">
            <v>000000000014576</v>
          </cell>
        </row>
        <row r="332">
          <cell r="D332" t="str">
            <v>不良補填</v>
          </cell>
          <cell r="F332">
            <v>0</v>
          </cell>
          <cell r="U332" t="str">
            <v>000000000014576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/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灯具カバーPC IN 2130　L=908</v>
          </cell>
          <cell r="P399">
            <v>0</v>
          </cell>
          <cell r="U399" t="str">
            <v>000000000015460</v>
          </cell>
        </row>
        <row r="400">
          <cell r="P400">
            <v>0</v>
          </cell>
          <cell r="U400" t="str">
            <v>000000000015460</v>
          </cell>
        </row>
        <row r="401">
          <cell r="P401">
            <v>0</v>
          </cell>
          <cell r="U401" t="str">
            <v>000000000015460</v>
          </cell>
        </row>
        <row r="402">
          <cell r="C402">
            <v>48</v>
          </cell>
          <cell r="P402">
            <v>0</v>
          </cell>
          <cell r="U402" t="str">
            <v>000000000015460</v>
          </cell>
        </row>
        <row r="403">
          <cell r="C403">
            <v>1</v>
          </cell>
          <cell r="P403">
            <v>0</v>
          </cell>
          <cell r="U403" t="str">
            <v>000000000015460</v>
          </cell>
        </row>
        <row r="404">
          <cell r="C404">
            <v>16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000000000015460</v>
          </cell>
        </row>
        <row r="405">
          <cell r="C405" t="str">
            <v>灯具-3　L=970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000000000015460</v>
          </cell>
        </row>
        <row r="406">
          <cell r="M406" t="str">
            <v>作業者</v>
          </cell>
          <cell r="U406" t="str">
            <v>000000000015460</v>
          </cell>
        </row>
        <row r="407">
          <cell r="C407">
            <v>0</v>
          </cell>
          <cell r="U407" t="str">
            <v>000000000015460</v>
          </cell>
        </row>
        <row r="408">
          <cell r="R408">
            <v>0</v>
          </cell>
          <cell r="U408" t="str">
            <v>000000000015460</v>
          </cell>
        </row>
        <row r="409">
          <cell r="D409" t="str">
            <v>不良補填</v>
          </cell>
          <cell r="F409" t="str"/>
          <cell r="U409" t="str">
            <v>000000000015460</v>
          </cell>
        </row>
        <row r="410">
          <cell r="C410" t="str">
            <v>灯具カバーPC IN 2130　L=908</v>
          </cell>
          <cell r="P410">
            <v>0</v>
          </cell>
          <cell r="U410" t="str">
            <v>000000000015461</v>
          </cell>
        </row>
        <row r="411">
          <cell r="P411">
            <v>0</v>
          </cell>
          <cell r="U411" t="str">
            <v>000000000015461</v>
          </cell>
        </row>
        <row r="412">
          <cell r="P412">
            <v>0</v>
          </cell>
          <cell r="U412" t="str">
            <v>000000000015461</v>
          </cell>
        </row>
        <row r="413">
          <cell r="C413">
            <v>144</v>
          </cell>
          <cell r="P413">
            <v>0</v>
          </cell>
          <cell r="U413" t="str">
            <v>000000000015461</v>
          </cell>
        </row>
        <row r="414">
          <cell r="C414">
            <v>1</v>
          </cell>
          <cell r="P414">
            <v>0</v>
          </cell>
          <cell r="U414" t="str">
            <v>000000000015461</v>
          </cell>
        </row>
        <row r="415">
          <cell r="C415">
            <v>16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000000000015461</v>
          </cell>
        </row>
        <row r="416">
          <cell r="C416" t="str">
            <v>灯具-3　L=970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000000000015461</v>
          </cell>
        </row>
        <row r="417">
          <cell r="M417" t="str">
            <v>作業者</v>
          </cell>
          <cell r="U417" t="str">
            <v>000000000015461</v>
          </cell>
        </row>
        <row r="418">
          <cell r="C418">
            <v>0</v>
          </cell>
          <cell r="U418" t="str">
            <v>000000000015461</v>
          </cell>
        </row>
        <row r="419">
          <cell r="R419">
            <v>0</v>
          </cell>
          <cell r="U419" t="str">
            <v>000000000015461</v>
          </cell>
        </row>
        <row r="420">
          <cell r="D420" t="str">
            <v>不良補填</v>
          </cell>
          <cell r="F420" t="str"/>
          <cell r="U420" t="str">
            <v>000000000015461</v>
          </cell>
        </row>
        <row r="421">
          <cell r="C421" t="str">
            <v>灯具カバーPC  　2200    L=221.8</v>
          </cell>
          <cell r="P421">
            <v>0</v>
          </cell>
          <cell r="U421" t="str">
            <v>000000000015456</v>
          </cell>
        </row>
        <row r="422">
          <cell r="P422">
            <v>0</v>
          </cell>
          <cell r="U422" t="str">
            <v>000000000015456</v>
          </cell>
        </row>
        <row r="423">
          <cell r="P423">
            <v>0</v>
          </cell>
          <cell r="U423" t="str">
            <v>000000000015456</v>
          </cell>
        </row>
        <row r="424">
          <cell r="C424">
            <v>20</v>
          </cell>
          <cell r="P424">
            <v>0</v>
          </cell>
          <cell r="U424" t="str">
            <v>000000000015456</v>
          </cell>
        </row>
        <row r="425">
          <cell r="C425">
            <v>2</v>
          </cell>
          <cell r="P425">
            <v>0</v>
          </cell>
          <cell r="U425" t="str">
            <v>000000000015456</v>
          </cell>
        </row>
        <row r="426">
          <cell r="C426">
            <v>2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000000000015456</v>
          </cell>
        </row>
        <row r="427">
          <cell r="C427" t="str">
            <v>H型ジョイナー端材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000000000015456</v>
          </cell>
        </row>
        <row r="428">
          <cell r="M428" t="str">
            <v>作業者</v>
          </cell>
          <cell r="U428" t="str">
            <v>000000000015456</v>
          </cell>
        </row>
        <row r="429">
          <cell r="C429">
            <v>0</v>
          </cell>
          <cell r="U429" t="str">
            <v>000000000015456</v>
          </cell>
        </row>
        <row r="430">
          <cell r="R430">
            <v>0</v>
          </cell>
          <cell r="U430" t="str">
            <v>000000000015456</v>
          </cell>
        </row>
        <row r="431">
          <cell r="D431" t="str">
            <v>不良補填</v>
          </cell>
          <cell r="F431" t="str"/>
          <cell r="U431" t="str">
            <v>000000000015456</v>
          </cell>
        </row>
        <row r="432">
          <cell r="C432" t="str">
            <v>灯具カバーPC IN 2050　L=1183.5</v>
          </cell>
          <cell r="P432">
            <v>0</v>
          </cell>
          <cell r="U432" t="str">
            <v>000000000015463</v>
          </cell>
        </row>
        <row r="433">
          <cell r="P433">
            <v>0</v>
          </cell>
          <cell r="U433" t="str">
            <v>000000000015463</v>
          </cell>
        </row>
        <row r="434">
          <cell r="P434">
            <v>0</v>
          </cell>
          <cell r="U434" t="str">
            <v>000000000015463</v>
          </cell>
        </row>
        <row r="435">
          <cell r="C435">
            <v>192</v>
          </cell>
          <cell r="P435">
            <v>0</v>
          </cell>
          <cell r="U435" t="str">
            <v>000000000015463</v>
          </cell>
        </row>
        <row r="436">
          <cell r="C436">
            <v>1</v>
          </cell>
          <cell r="P436">
            <v>0</v>
          </cell>
          <cell r="U436" t="str">
            <v>000000000015463</v>
          </cell>
        </row>
        <row r="437">
          <cell r="C437">
            <v>16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000000000015463</v>
          </cell>
        </row>
        <row r="438">
          <cell r="C438" t="str">
            <v>灯具-1　L=1370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000000000015463</v>
          </cell>
        </row>
        <row r="439">
          <cell r="M439" t="str">
            <v>作業者</v>
          </cell>
          <cell r="U439" t="str">
            <v>000000000015463</v>
          </cell>
        </row>
        <row r="440">
          <cell r="C440">
            <v>0</v>
          </cell>
          <cell r="U440" t="str">
            <v>000000000015463</v>
          </cell>
        </row>
        <row r="441">
          <cell r="R441">
            <v>0</v>
          </cell>
          <cell r="U441" t="str">
            <v>000000000015463</v>
          </cell>
        </row>
        <row r="442">
          <cell r="D442" t="str">
            <v>不良補填</v>
          </cell>
          <cell r="F442" t="str"/>
          <cell r="U442" t="str">
            <v>000000000015463</v>
          </cell>
        </row>
        <row r="443">
          <cell r="C443" t="str">
            <v>灯具カバーPC IN 2090　L=840</v>
          </cell>
          <cell r="P443">
            <v>0</v>
          </cell>
          <cell r="U443" t="str">
            <v>000000000015458</v>
          </cell>
        </row>
        <row r="444">
          <cell r="P444">
            <v>0</v>
          </cell>
          <cell r="U444" t="str">
            <v>000000000015458</v>
          </cell>
        </row>
        <row r="445">
          <cell r="P445">
            <v>0</v>
          </cell>
          <cell r="U445" t="str">
            <v>000000000015458</v>
          </cell>
        </row>
        <row r="446">
          <cell r="C446">
            <v>192</v>
          </cell>
          <cell r="P446">
            <v>0</v>
          </cell>
          <cell r="U446" t="str">
            <v>000000000015458</v>
          </cell>
        </row>
        <row r="447">
          <cell r="C447">
            <v>1</v>
          </cell>
          <cell r="P447">
            <v>0</v>
          </cell>
          <cell r="U447" t="str">
            <v>000000000015458</v>
          </cell>
        </row>
        <row r="448">
          <cell r="C448">
            <v>16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000000000015458</v>
          </cell>
        </row>
        <row r="449">
          <cell r="C449" t="str">
            <v>灯具-3　L=970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000000000015458</v>
          </cell>
        </row>
        <row r="450">
          <cell r="M450" t="str">
            <v>作業者</v>
          </cell>
          <cell r="U450" t="str">
            <v>000000000015458</v>
          </cell>
        </row>
        <row r="451">
          <cell r="C451">
            <v>0</v>
          </cell>
          <cell r="U451" t="str">
            <v>000000000015458</v>
          </cell>
        </row>
        <row r="452">
          <cell r="R452">
            <v>0</v>
          </cell>
          <cell r="U452" t="str">
            <v>000000000015458</v>
          </cell>
        </row>
        <row r="453">
          <cell r="D453" t="str">
            <v>不良補填</v>
          </cell>
          <cell r="F453" t="str"/>
          <cell r="U453" t="str">
            <v>000000000015458</v>
          </cell>
        </row>
        <row r="454">
          <cell r="C454" t="str">
            <v>752GPSB　865</v>
          </cell>
          <cell r="P454">
            <v>0</v>
          </cell>
          <cell r="U454" t="str">
            <v>000000000014671</v>
          </cell>
        </row>
        <row r="455">
          <cell r="P455">
            <v>0</v>
          </cell>
          <cell r="U455" t="str">
            <v>000000000014671</v>
          </cell>
        </row>
        <row r="456">
          <cell r="P456">
            <v>0</v>
          </cell>
          <cell r="U456" t="str">
            <v>000000000014671</v>
          </cell>
        </row>
        <row r="457">
          <cell r="C457">
            <v>200</v>
          </cell>
          <cell r="P457">
            <v>0</v>
          </cell>
          <cell r="U457" t="str">
            <v>000000000014671</v>
          </cell>
        </row>
        <row r="458">
          <cell r="C458">
            <v>1</v>
          </cell>
          <cell r="P458">
            <v>0</v>
          </cell>
          <cell r="U458" t="str">
            <v>000000000014671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000000000014671</v>
          </cell>
        </row>
        <row r="460">
          <cell r="C460" t="str">
            <v>S-40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000000000014671</v>
          </cell>
        </row>
        <row r="461">
          <cell r="M461" t="str">
            <v>作業者</v>
          </cell>
          <cell r="U461" t="str">
            <v>000000000014671</v>
          </cell>
        </row>
        <row r="462">
          <cell r="C462">
            <v>0</v>
          </cell>
          <cell r="U462" t="str">
            <v>000000000014671</v>
          </cell>
        </row>
        <row r="463">
          <cell r="R463">
            <v>0</v>
          </cell>
          <cell r="U463" t="str">
            <v>000000000014671</v>
          </cell>
        </row>
        <row r="464">
          <cell r="D464" t="str">
            <v>不良補填</v>
          </cell>
          <cell r="F464" t="str"/>
          <cell r="U464" t="str">
            <v>000000000014671</v>
          </cell>
        </row>
        <row r="465">
          <cell r="C465" t="str">
            <v>752GPSB　715</v>
          </cell>
          <cell r="P465">
            <v>0</v>
          </cell>
          <cell r="U465" t="str">
            <v>000000000014670</v>
          </cell>
        </row>
        <row r="466">
          <cell r="P466">
            <v>0</v>
          </cell>
          <cell r="U466" t="str">
            <v>000000000014670</v>
          </cell>
        </row>
        <row r="467">
          <cell r="P467">
            <v>0</v>
          </cell>
          <cell r="U467" t="str">
            <v>000000000014670</v>
          </cell>
        </row>
        <row r="468">
          <cell r="C468">
            <v>800</v>
          </cell>
          <cell r="P468">
            <v>0</v>
          </cell>
          <cell r="U468" t="str">
            <v>000000000014670</v>
          </cell>
        </row>
        <row r="469">
          <cell r="C469">
            <v>2</v>
          </cell>
          <cell r="P469">
            <v>0</v>
          </cell>
          <cell r="U469" t="str">
            <v>000000000014670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000000000014670</v>
          </cell>
        </row>
        <row r="471">
          <cell r="C471" t="str">
            <v>S-40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000000000014670</v>
          </cell>
        </row>
        <row r="472">
          <cell r="M472" t="str">
            <v>作業者</v>
          </cell>
          <cell r="U472" t="str">
            <v>000000000014670</v>
          </cell>
        </row>
        <row r="473">
          <cell r="C473">
            <v>0</v>
          </cell>
          <cell r="U473" t="str">
            <v>000000000014670</v>
          </cell>
        </row>
        <row r="474">
          <cell r="R474">
            <v>0</v>
          </cell>
          <cell r="U474" t="str">
            <v>000000000014670</v>
          </cell>
        </row>
        <row r="475">
          <cell r="D475" t="str">
            <v>不良補填</v>
          </cell>
          <cell r="F475" t="str"/>
          <cell r="U475" t="str">
            <v>000000000014670</v>
          </cell>
        </row>
        <row r="476">
          <cell r="C476" t="str">
            <v>752GPSB　665</v>
          </cell>
          <cell r="P476">
            <v>0</v>
          </cell>
          <cell r="U476" t="str">
            <v>000000000014669</v>
          </cell>
        </row>
        <row r="477">
          <cell r="P477">
            <v>0</v>
          </cell>
          <cell r="U477" t="str">
            <v>000000000014669</v>
          </cell>
        </row>
        <row r="478">
          <cell r="P478">
            <v>0</v>
          </cell>
          <cell r="U478" t="str">
            <v>000000000014669</v>
          </cell>
        </row>
        <row r="479">
          <cell r="C479">
            <v>100</v>
          </cell>
          <cell r="P479">
            <v>0</v>
          </cell>
          <cell r="U479" t="str">
            <v>000000000014669</v>
          </cell>
        </row>
        <row r="480">
          <cell r="C480">
            <v>2</v>
          </cell>
          <cell r="P480">
            <v>0</v>
          </cell>
          <cell r="U480" t="str">
            <v>000000000014669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000000000014669</v>
          </cell>
        </row>
        <row r="482">
          <cell r="C482" t="str">
            <v>S-40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000000000014669</v>
          </cell>
        </row>
        <row r="483">
          <cell r="M483" t="str">
            <v>作業者</v>
          </cell>
          <cell r="U483" t="str">
            <v>000000000014669</v>
          </cell>
        </row>
        <row r="484">
          <cell r="C484">
            <v>0</v>
          </cell>
          <cell r="U484" t="str">
            <v>000000000014669</v>
          </cell>
        </row>
        <row r="485">
          <cell r="R485">
            <v>0</v>
          </cell>
          <cell r="U485" t="str">
            <v>000000000014669</v>
          </cell>
        </row>
        <row r="486">
          <cell r="D486" t="str">
            <v>不良補填</v>
          </cell>
          <cell r="F486" t="str"/>
          <cell r="U486" t="str">
            <v>000000000014669</v>
          </cell>
        </row>
        <row r="487">
          <cell r="C487" t="str">
            <v>752GPSB　565</v>
          </cell>
          <cell r="P487">
            <v>0</v>
          </cell>
          <cell r="U487" t="str">
            <v>000000000014668</v>
          </cell>
        </row>
        <row r="488">
          <cell r="P488">
            <v>0</v>
          </cell>
          <cell r="U488" t="str">
            <v>000000000014668</v>
          </cell>
        </row>
        <row r="489">
          <cell r="P489">
            <v>0</v>
          </cell>
          <cell r="U489" t="str">
            <v>000000000014668</v>
          </cell>
        </row>
        <row r="490">
          <cell r="C490">
            <v>1200</v>
          </cell>
          <cell r="P490">
            <v>0</v>
          </cell>
          <cell r="U490" t="str">
            <v>000000000014668</v>
          </cell>
        </row>
        <row r="491">
          <cell r="C491">
            <v>2</v>
          </cell>
          <cell r="P491">
            <v>0</v>
          </cell>
          <cell r="U491" t="str">
            <v>000000000014668</v>
          </cell>
        </row>
        <row r="492">
          <cell r="C492">
            <v>100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000000000014668</v>
          </cell>
        </row>
        <row r="493">
          <cell r="C493" t="str">
            <v>S-30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000000000014668</v>
          </cell>
        </row>
        <row r="494">
          <cell r="M494" t="str">
            <v>作業者</v>
          </cell>
          <cell r="U494" t="str">
            <v>000000000014668</v>
          </cell>
        </row>
        <row r="495">
          <cell r="C495">
            <v>0</v>
          </cell>
          <cell r="U495" t="str">
            <v>000000000014668</v>
          </cell>
        </row>
        <row r="496">
          <cell r="R496">
            <v>0</v>
          </cell>
          <cell r="U496" t="str">
            <v>000000000014668</v>
          </cell>
        </row>
        <row r="497">
          <cell r="D497" t="str">
            <v>不良補填</v>
          </cell>
          <cell r="F497" t="str"/>
          <cell r="U497" t="str">
            <v>000000000014668</v>
          </cell>
        </row>
        <row r="498">
          <cell r="C498" t="str">
            <v>752GPSB　415</v>
          </cell>
          <cell r="P498">
            <v>0</v>
          </cell>
          <cell r="U498" t="str">
            <v>000000000014667</v>
          </cell>
        </row>
        <row r="499">
          <cell r="P499">
            <v>0</v>
          </cell>
          <cell r="U499" t="str">
            <v>000000000014667</v>
          </cell>
        </row>
        <row r="500">
          <cell r="P500">
            <v>0</v>
          </cell>
          <cell r="U500" t="str">
            <v>000000000014667</v>
          </cell>
        </row>
        <row r="501">
          <cell r="C501">
            <v>2100</v>
          </cell>
          <cell r="P501">
            <v>0</v>
          </cell>
          <cell r="U501" t="str">
            <v>000000000014667</v>
          </cell>
        </row>
        <row r="502">
          <cell r="C502">
            <v>3</v>
          </cell>
          <cell r="P502">
            <v>0</v>
          </cell>
          <cell r="U502" t="str">
            <v>000000000014667</v>
          </cell>
        </row>
        <row r="503">
          <cell r="C503">
            <v>100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000000000014667</v>
          </cell>
        </row>
        <row r="504">
          <cell r="C504" t="str">
            <v>S-20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000000000014667</v>
          </cell>
        </row>
        <row r="505">
          <cell r="M505" t="str">
            <v>作業者</v>
          </cell>
          <cell r="U505" t="str">
            <v>000000000014667</v>
          </cell>
        </row>
        <row r="506">
          <cell r="C506">
            <v>0</v>
          </cell>
          <cell r="U506" t="str">
            <v>000000000014667</v>
          </cell>
        </row>
        <row r="507">
          <cell r="R507">
            <v>0</v>
          </cell>
          <cell r="U507" t="str">
            <v>000000000014667</v>
          </cell>
        </row>
        <row r="508">
          <cell r="D508" t="str">
            <v>不良補填</v>
          </cell>
          <cell r="F508" t="str"/>
          <cell r="U508" t="str">
            <v>000000000014667</v>
          </cell>
        </row>
        <row r="509">
          <cell r="C509" t="str">
            <v>752GPSB　265</v>
          </cell>
          <cell r="P509">
            <v>0</v>
          </cell>
          <cell r="U509" t="str">
            <v>000000000014666</v>
          </cell>
        </row>
        <row r="510">
          <cell r="P510">
            <v>0</v>
          </cell>
          <cell r="U510" t="str">
            <v>000000000014666</v>
          </cell>
        </row>
        <row r="511">
          <cell r="P511">
            <v>0</v>
          </cell>
          <cell r="U511" t="str">
            <v>000000000014666</v>
          </cell>
        </row>
        <row r="512">
          <cell r="C512">
            <v>600</v>
          </cell>
          <cell r="P512">
            <v>0</v>
          </cell>
          <cell r="U512" t="str">
            <v>000000000014666</v>
          </cell>
        </row>
        <row r="513">
          <cell r="C513">
            <v>5</v>
          </cell>
          <cell r="P513">
            <v>0</v>
          </cell>
          <cell r="U513" t="str">
            <v>000000000014666</v>
          </cell>
        </row>
        <row r="514">
          <cell r="C514">
            <v>100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000000000014666</v>
          </cell>
        </row>
        <row r="515">
          <cell r="C515" t="str">
            <v>S-10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000000000014666</v>
          </cell>
        </row>
        <row r="516">
          <cell r="M516" t="str">
            <v>作業者</v>
          </cell>
          <cell r="U516" t="str">
            <v>000000000014666</v>
          </cell>
        </row>
        <row r="517">
          <cell r="C517">
            <v>0</v>
          </cell>
          <cell r="U517" t="str">
            <v>000000000014666</v>
          </cell>
        </row>
        <row r="518">
          <cell r="R518">
            <v>0</v>
          </cell>
          <cell r="U518" t="str">
            <v>000000000014666</v>
          </cell>
        </row>
        <row r="519">
          <cell r="D519" t="str">
            <v>不良補填</v>
          </cell>
          <cell r="F519" t="str"/>
          <cell r="U519" t="str">
            <v>000000000014666</v>
          </cell>
        </row>
        <row r="520">
          <cell r="C520" t="str">
            <v>8FL281304 6110　L=1478</v>
          </cell>
          <cell r="P520">
            <v>0</v>
          </cell>
          <cell r="U520" t="str">
            <v>000000000015387</v>
          </cell>
        </row>
        <row r="521">
          <cell r="P521">
            <v>0</v>
          </cell>
          <cell r="U521" t="str">
            <v>000000000015387</v>
          </cell>
        </row>
        <row r="522">
          <cell r="P522">
            <v>0</v>
          </cell>
          <cell r="U522" t="str">
            <v>000000000015387</v>
          </cell>
        </row>
        <row r="523">
          <cell r="C523">
            <v>400</v>
          </cell>
          <cell r="P523">
            <v>0</v>
          </cell>
          <cell r="U523" t="str">
            <v>000000000015387</v>
          </cell>
        </row>
        <row r="524">
          <cell r="C524">
            <v>1</v>
          </cell>
          <cell r="P524">
            <v>0</v>
          </cell>
          <cell r="U524" t="str">
            <v>000000000015387</v>
          </cell>
        </row>
        <row r="525">
          <cell r="C525">
            <v>100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000000000015387</v>
          </cell>
        </row>
        <row r="526">
          <cell r="C526" t="str">
            <v>LED-A1478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000000000015387</v>
          </cell>
        </row>
        <row r="527">
          <cell r="M527" t="str">
            <v>作業者</v>
          </cell>
          <cell r="U527" t="str">
            <v>000000000015387</v>
          </cell>
        </row>
        <row r="528">
          <cell r="C528">
            <v>0</v>
          </cell>
          <cell r="U528" t="str">
            <v>000000000015387</v>
          </cell>
        </row>
        <row r="529">
          <cell r="R529">
            <v>0</v>
          </cell>
          <cell r="U529" t="str">
            <v>000000000015387</v>
          </cell>
        </row>
        <row r="530">
          <cell r="D530" t="str">
            <v>不良補填</v>
          </cell>
          <cell r="F530">
            <v>0</v>
          </cell>
          <cell r="U530" t="str">
            <v>000000000015387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000000000015388</v>
          </cell>
        </row>
        <row r="532">
          <cell r="P532">
            <v>0</v>
          </cell>
          <cell r="U532" t="str">
            <v>000000000015388</v>
          </cell>
        </row>
        <row r="533">
          <cell r="P533">
            <v>0</v>
          </cell>
          <cell r="U533" t="str">
            <v>000000000015388</v>
          </cell>
        </row>
        <row r="534">
          <cell r="C534">
            <v>700</v>
          </cell>
          <cell r="P534">
            <v>0</v>
          </cell>
          <cell r="U534" t="str">
            <v>000000000015388</v>
          </cell>
        </row>
        <row r="535">
          <cell r="C535">
            <v>1</v>
          </cell>
          <cell r="P535">
            <v>0</v>
          </cell>
          <cell r="U535" t="str">
            <v>000000000015388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000000000015388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000000000015388</v>
          </cell>
        </row>
        <row r="538">
          <cell r="M538" t="str">
            <v>作業者</v>
          </cell>
          <cell r="U538" t="str">
            <v>000000000015388</v>
          </cell>
        </row>
        <row r="539">
          <cell r="C539">
            <v>0</v>
          </cell>
          <cell r="U539" t="str">
            <v>000000000015388</v>
          </cell>
        </row>
        <row r="540">
          <cell r="R540">
            <v>0</v>
          </cell>
          <cell r="U540" t="str">
            <v>000000000015388</v>
          </cell>
        </row>
        <row r="541">
          <cell r="D541" t="str">
            <v>不良補填</v>
          </cell>
          <cell r="F541">
            <v>0</v>
          </cell>
          <cell r="U541" t="str">
            <v>000000000015388</v>
          </cell>
        </row>
        <row r="542">
          <cell r="C542" t="str">
            <v>8FL281304 4810　L=297</v>
          </cell>
          <cell r="P542">
            <v>0</v>
          </cell>
          <cell r="U542" t="str">
            <v>000000000015372</v>
          </cell>
        </row>
        <row r="543">
          <cell r="P543">
            <v>0</v>
          </cell>
          <cell r="U543" t="str">
            <v>000000000015372</v>
          </cell>
        </row>
        <row r="544">
          <cell r="P544">
            <v>0</v>
          </cell>
          <cell r="U544" t="str">
            <v>000000000015372</v>
          </cell>
        </row>
        <row r="545">
          <cell r="C545">
            <v>300</v>
          </cell>
          <cell r="P545">
            <v>0</v>
          </cell>
          <cell r="U545" t="str">
            <v>000000000015372</v>
          </cell>
        </row>
        <row r="546">
          <cell r="C546">
            <v>6</v>
          </cell>
          <cell r="P546">
            <v>0</v>
          </cell>
          <cell r="U546" t="str">
            <v>000000000015372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000000000015372</v>
          </cell>
        </row>
        <row r="548">
          <cell r="C548" t="str">
            <v>LED-A300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000000000015372</v>
          </cell>
        </row>
        <row r="549">
          <cell r="M549" t="str">
            <v>作業者</v>
          </cell>
          <cell r="U549" t="str">
            <v>000000000015372</v>
          </cell>
        </row>
        <row r="550">
          <cell r="C550">
            <v>0</v>
          </cell>
          <cell r="U550" t="str">
            <v>000000000015372</v>
          </cell>
        </row>
        <row r="551">
          <cell r="R551">
            <v>0</v>
          </cell>
          <cell r="U551" t="str">
            <v>000000000015372</v>
          </cell>
        </row>
        <row r="552">
          <cell r="D552" t="str">
            <v>不良補填</v>
          </cell>
          <cell r="F552">
            <v>0</v>
          </cell>
          <cell r="U552" t="str">
            <v>000000000015372</v>
          </cell>
        </row>
        <row r="553">
          <cell r="C553" t="str">
            <v>8FL281304 4810　L=297</v>
          </cell>
          <cell r="P553">
            <v>0</v>
          </cell>
          <cell r="U553" t="str">
            <v>000000000015373</v>
          </cell>
        </row>
        <row r="554">
          <cell r="P554">
            <v>0</v>
          </cell>
          <cell r="U554" t="str">
            <v>000000000015373</v>
          </cell>
        </row>
        <row r="555">
          <cell r="P555">
            <v>0</v>
          </cell>
          <cell r="U555" t="str">
            <v>000000000015373</v>
          </cell>
        </row>
        <row r="556">
          <cell r="C556">
            <v>300</v>
          </cell>
          <cell r="P556">
            <v>0</v>
          </cell>
          <cell r="U556" t="str">
            <v>000000000015373</v>
          </cell>
        </row>
        <row r="557">
          <cell r="C557">
            <v>6</v>
          </cell>
          <cell r="P557">
            <v>0</v>
          </cell>
          <cell r="U557" t="str">
            <v>000000000015373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000000000015373</v>
          </cell>
        </row>
        <row r="559">
          <cell r="C559" t="str">
            <v>LED-A300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000000000015373</v>
          </cell>
        </row>
        <row r="560">
          <cell r="M560" t="str">
            <v>作業者</v>
          </cell>
          <cell r="U560" t="str">
            <v>000000000015373</v>
          </cell>
        </row>
        <row r="561">
          <cell r="C561">
            <v>0</v>
          </cell>
          <cell r="U561" t="str">
            <v>000000000015373</v>
          </cell>
        </row>
        <row r="562">
          <cell r="R562">
            <v>0</v>
          </cell>
          <cell r="U562" t="str">
            <v>000000000015373</v>
          </cell>
        </row>
        <row r="563">
          <cell r="D563" t="str">
            <v>不良補填</v>
          </cell>
          <cell r="F563">
            <v>0</v>
          </cell>
          <cell r="U563" t="str">
            <v>000000000015373</v>
          </cell>
        </row>
        <row r="564">
          <cell r="C564" t="str">
            <v>8FL281304 4810　L=297</v>
          </cell>
          <cell r="P564">
            <v>0</v>
          </cell>
          <cell r="U564" t="str">
            <v>000000000015374</v>
          </cell>
        </row>
        <row r="565">
          <cell r="P565">
            <v>0</v>
          </cell>
          <cell r="U565" t="str">
            <v>000000000015374</v>
          </cell>
        </row>
        <row r="566">
          <cell r="P566">
            <v>0</v>
          </cell>
          <cell r="U566" t="str">
            <v>000000000015374</v>
          </cell>
        </row>
        <row r="567">
          <cell r="C567">
            <v>100</v>
          </cell>
          <cell r="P567">
            <v>0</v>
          </cell>
          <cell r="U567" t="str">
            <v>000000000015374</v>
          </cell>
        </row>
        <row r="568">
          <cell r="C568">
            <v>6</v>
          </cell>
          <cell r="P568">
            <v>0</v>
          </cell>
          <cell r="U568" t="str">
            <v>000000000015374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000000000015374</v>
          </cell>
        </row>
        <row r="570">
          <cell r="C570" t="str">
            <v>LED-A300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000000000015374</v>
          </cell>
        </row>
        <row r="571">
          <cell r="M571" t="str">
            <v>作業者</v>
          </cell>
          <cell r="U571" t="str">
            <v>000000000015374</v>
          </cell>
        </row>
        <row r="572">
          <cell r="C572">
            <v>0</v>
          </cell>
          <cell r="U572" t="str">
            <v>000000000015374</v>
          </cell>
        </row>
        <row r="573">
          <cell r="R573">
            <v>0</v>
          </cell>
          <cell r="U573" t="str">
            <v>000000000015374</v>
          </cell>
        </row>
        <row r="574">
          <cell r="D574" t="str">
            <v>不良補填</v>
          </cell>
          <cell r="F574">
            <v>0</v>
          </cell>
          <cell r="U574" t="str">
            <v>000000000015374</v>
          </cell>
        </row>
        <row r="575">
          <cell r="C575" t="str">
            <v>8FL281304 4810　L=297</v>
          </cell>
          <cell r="P575">
            <v>0</v>
          </cell>
          <cell r="U575" t="str">
            <v>000000000015375</v>
          </cell>
        </row>
        <row r="576">
          <cell r="P576">
            <v>0</v>
          </cell>
          <cell r="U576" t="str">
            <v>000000000015375</v>
          </cell>
        </row>
        <row r="577">
          <cell r="P577">
            <v>0</v>
          </cell>
          <cell r="U577" t="str">
            <v>000000000015375</v>
          </cell>
        </row>
        <row r="578">
          <cell r="C578">
            <v>300</v>
          </cell>
          <cell r="P578">
            <v>0</v>
          </cell>
          <cell r="U578" t="str">
            <v>000000000015375</v>
          </cell>
        </row>
        <row r="579">
          <cell r="C579">
            <v>6</v>
          </cell>
          <cell r="P579">
            <v>0</v>
          </cell>
          <cell r="U579" t="str">
            <v>000000000015375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000000000015375</v>
          </cell>
        </row>
        <row r="581">
          <cell r="C581" t="str">
            <v>LED-A300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000000000015375</v>
          </cell>
        </row>
        <row r="582">
          <cell r="M582" t="str">
            <v>作業者</v>
          </cell>
          <cell r="U582" t="str">
            <v>000000000015375</v>
          </cell>
        </row>
        <row r="583">
          <cell r="C583">
            <v>0</v>
          </cell>
          <cell r="U583" t="str">
            <v>000000000015375</v>
          </cell>
        </row>
        <row r="584">
          <cell r="R584">
            <v>0</v>
          </cell>
          <cell r="U584" t="str">
            <v>000000000015375</v>
          </cell>
        </row>
        <row r="585">
          <cell r="D585" t="str">
            <v>不良補填</v>
          </cell>
          <cell r="F585">
            <v>0</v>
          </cell>
          <cell r="U585" t="str">
            <v>000000000015375</v>
          </cell>
        </row>
        <row r="586">
          <cell r="C586" t="str">
            <v>8FL281304 5010　L=888</v>
          </cell>
          <cell r="P586">
            <v>0</v>
          </cell>
          <cell r="U586" t="str">
            <v>000000000015378</v>
          </cell>
        </row>
        <row r="587">
          <cell r="P587">
            <v>0</v>
          </cell>
          <cell r="U587" t="str">
            <v>000000000015378</v>
          </cell>
        </row>
        <row r="588">
          <cell r="P588">
            <v>0</v>
          </cell>
          <cell r="U588" t="str">
            <v>000000000015378</v>
          </cell>
        </row>
        <row r="589">
          <cell r="C589">
            <v>2000</v>
          </cell>
          <cell r="P589">
            <v>0</v>
          </cell>
          <cell r="U589" t="str">
            <v>000000000015378</v>
          </cell>
        </row>
        <row r="590">
          <cell r="C590">
            <v>2</v>
          </cell>
          <cell r="P590">
            <v>0</v>
          </cell>
          <cell r="U590" t="str">
            <v>000000000015378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000000000015378</v>
          </cell>
        </row>
        <row r="592">
          <cell r="C592" t="str">
            <v>LED-A888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000000000015378</v>
          </cell>
        </row>
        <row r="593">
          <cell r="M593" t="str">
            <v>作業者</v>
          </cell>
          <cell r="U593" t="str">
            <v>000000000015378</v>
          </cell>
        </row>
        <row r="594">
          <cell r="C594">
            <v>0</v>
          </cell>
          <cell r="U594" t="str">
            <v>000000000015378</v>
          </cell>
        </row>
        <row r="595">
          <cell r="R595">
            <v>0</v>
          </cell>
          <cell r="U595" t="str">
            <v>000000000015378</v>
          </cell>
        </row>
        <row r="596">
          <cell r="D596" t="str">
            <v>不良補填</v>
          </cell>
          <cell r="F596">
            <v>0</v>
          </cell>
          <cell r="U596" t="str">
            <v>000000000015378</v>
          </cell>
        </row>
        <row r="597">
          <cell r="C597" t="str">
            <v>8FL281304 5010　L=888</v>
          </cell>
          <cell r="P597">
            <v>0</v>
          </cell>
          <cell r="U597" t="str">
            <v>000000000015379</v>
          </cell>
        </row>
        <row r="598">
          <cell r="P598">
            <v>0</v>
          </cell>
          <cell r="U598" t="str">
            <v>000000000015379</v>
          </cell>
        </row>
        <row r="599">
          <cell r="P599">
            <v>0</v>
          </cell>
          <cell r="U599" t="str">
            <v>000000000015379</v>
          </cell>
        </row>
        <row r="600">
          <cell r="C600">
            <v>200</v>
          </cell>
          <cell r="P600">
            <v>0</v>
          </cell>
          <cell r="U600" t="str">
            <v>000000000015379</v>
          </cell>
        </row>
        <row r="601">
          <cell r="C601">
            <v>2</v>
          </cell>
          <cell r="P601">
            <v>0</v>
          </cell>
          <cell r="U601" t="str">
            <v>000000000015379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000000000015379</v>
          </cell>
        </row>
        <row r="603">
          <cell r="C603" t="str">
            <v>LED-A888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000000000015379</v>
          </cell>
        </row>
        <row r="604">
          <cell r="M604" t="str">
            <v>作業者</v>
          </cell>
          <cell r="U604" t="str">
            <v>000000000015379</v>
          </cell>
        </row>
        <row r="605">
          <cell r="C605">
            <v>0</v>
          </cell>
          <cell r="U605" t="str">
            <v>000000000015379</v>
          </cell>
        </row>
        <row r="606">
          <cell r="R606">
            <v>0</v>
          </cell>
          <cell r="U606" t="str">
            <v>000000000015379</v>
          </cell>
        </row>
        <row r="607">
          <cell r="D607" t="str">
            <v>不良補填</v>
          </cell>
          <cell r="F607">
            <v>0</v>
          </cell>
          <cell r="U607" t="str">
            <v>000000000015379</v>
          </cell>
        </row>
        <row r="608">
          <cell r="C608" t="str">
            <v>8FL281304 5010　L=888</v>
          </cell>
          <cell r="P608">
            <v>0</v>
          </cell>
          <cell r="U608" t="str">
            <v>000000000015380</v>
          </cell>
        </row>
        <row r="609">
          <cell r="P609">
            <v>0</v>
          </cell>
          <cell r="U609" t="str">
            <v>000000000015380</v>
          </cell>
        </row>
        <row r="610">
          <cell r="P610">
            <v>0</v>
          </cell>
          <cell r="U610" t="str">
            <v>000000000015380</v>
          </cell>
        </row>
        <row r="611">
          <cell r="C611">
            <v>100</v>
          </cell>
          <cell r="P611">
            <v>0</v>
          </cell>
          <cell r="U611" t="str">
            <v>000000000015380</v>
          </cell>
        </row>
        <row r="612">
          <cell r="C612">
            <v>2</v>
          </cell>
          <cell r="P612">
            <v>0</v>
          </cell>
          <cell r="U612" t="str">
            <v>000000000015380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000000000015380</v>
          </cell>
        </row>
        <row r="614">
          <cell r="C614" t="str">
            <v>LED-A888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000000000015380</v>
          </cell>
        </row>
        <row r="615">
          <cell r="M615" t="str">
            <v>作業者</v>
          </cell>
          <cell r="U615" t="str">
            <v>000000000015380</v>
          </cell>
        </row>
        <row r="616">
          <cell r="C616">
            <v>0</v>
          </cell>
          <cell r="U616" t="str">
            <v>000000000015380</v>
          </cell>
        </row>
        <row r="617">
          <cell r="R617">
            <v>0</v>
          </cell>
          <cell r="U617" t="str">
            <v>000000000015380</v>
          </cell>
        </row>
        <row r="618">
          <cell r="D618" t="str">
            <v>不良補填</v>
          </cell>
          <cell r="F618">
            <v>0</v>
          </cell>
          <cell r="U618" t="str">
            <v>000000000015380</v>
          </cell>
        </row>
        <row r="619">
          <cell r="C619" t="str">
            <v>8FL281304 5010　L=888</v>
          </cell>
          <cell r="P619">
            <v>0</v>
          </cell>
          <cell r="U619" t="str">
            <v>000000000015381</v>
          </cell>
        </row>
        <row r="620">
          <cell r="P620">
            <v>0</v>
          </cell>
          <cell r="U620" t="str">
            <v>000000000015381</v>
          </cell>
        </row>
        <row r="621">
          <cell r="P621">
            <v>0</v>
          </cell>
          <cell r="U621" t="str">
            <v>000000000015381</v>
          </cell>
        </row>
        <row r="622">
          <cell r="C622">
            <v>200</v>
          </cell>
          <cell r="P622">
            <v>0</v>
          </cell>
          <cell r="U622" t="str">
            <v>000000000015381</v>
          </cell>
        </row>
        <row r="623">
          <cell r="C623">
            <v>2</v>
          </cell>
          <cell r="P623">
            <v>0</v>
          </cell>
          <cell r="U623" t="str">
            <v>000000000015381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000000000015381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000000000015381</v>
          </cell>
        </row>
        <row r="626">
          <cell r="M626" t="str">
            <v>作業者</v>
          </cell>
          <cell r="U626" t="str">
            <v>000000000015381</v>
          </cell>
        </row>
        <row r="627">
          <cell r="C627">
            <v>0</v>
          </cell>
          <cell r="U627" t="str">
            <v>000000000015381</v>
          </cell>
        </row>
        <row r="628">
          <cell r="R628">
            <v>0</v>
          </cell>
          <cell r="U628" t="str">
            <v>000000000015381</v>
          </cell>
        </row>
        <row r="629">
          <cell r="D629" t="str">
            <v>不良補填</v>
          </cell>
          <cell r="F629">
            <v>0</v>
          </cell>
          <cell r="U629" t="str">
            <v>000000000015381</v>
          </cell>
        </row>
        <row r="630">
          <cell r="C630" t="str">
            <v>8FL281304 5010　L=888</v>
          </cell>
          <cell r="P630">
            <v>0</v>
          </cell>
          <cell r="U630" t="str">
            <v>000000000015382</v>
          </cell>
        </row>
        <row r="631">
          <cell r="P631">
            <v>0</v>
          </cell>
          <cell r="U631" t="str">
            <v>000000000015382</v>
          </cell>
        </row>
        <row r="632">
          <cell r="P632">
            <v>0</v>
          </cell>
          <cell r="U632" t="str">
            <v>000000000015382</v>
          </cell>
        </row>
        <row r="633">
          <cell r="C633">
            <v>500</v>
          </cell>
          <cell r="P633">
            <v>0</v>
          </cell>
          <cell r="U633" t="str">
            <v>000000000015382</v>
          </cell>
        </row>
        <row r="634">
          <cell r="C634">
            <v>2</v>
          </cell>
          <cell r="P634">
            <v>0</v>
          </cell>
          <cell r="U634" t="str">
            <v>000000000015382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000000000015382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000000000015382</v>
          </cell>
        </row>
        <row r="637">
          <cell r="M637" t="str">
            <v>作業者</v>
          </cell>
          <cell r="U637" t="str">
            <v>000000000015382</v>
          </cell>
        </row>
        <row r="638">
          <cell r="C638">
            <v>0</v>
          </cell>
          <cell r="U638" t="str">
            <v>000000000015382</v>
          </cell>
        </row>
        <row r="639">
          <cell r="R639">
            <v>0</v>
          </cell>
          <cell r="U639" t="str">
            <v>000000000015382</v>
          </cell>
        </row>
        <row r="640">
          <cell r="D640" t="str">
            <v>不良補填</v>
          </cell>
          <cell r="F640">
            <v>0</v>
          </cell>
          <cell r="U640" t="str">
            <v>000000000015382</v>
          </cell>
        </row>
        <row r="641">
          <cell r="C641" t="str">
            <v>8FL281304 5010　L=888</v>
          </cell>
          <cell r="P641">
            <v>0</v>
          </cell>
          <cell r="U641" t="str">
            <v>000000000015385</v>
          </cell>
        </row>
        <row r="642">
          <cell r="P642">
            <v>0</v>
          </cell>
          <cell r="U642" t="str">
            <v>000000000015385</v>
          </cell>
        </row>
        <row r="643">
          <cell r="P643">
            <v>0</v>
          </cell>
          <cell r="U643" t="str">
            <v>000000000015385</v>
          </cell>
        </row>
        <row r="644">
          <cell r="C644">
            <v>100</v>
          </cell>
          <cell r="P644">
            <v>0</v>
          </cell>
          <cell r="U644" t="str">
            <v>000000000015385</v>
          </cell>
        </row>
        <row r="645">
          <cell r="C645">
            <v>2</v>
          </cell>
          <cell r="P645">
            <v>0</v>
          </cell>
          <cell r="U645" t="str">
            <v>000000000015385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000000000015385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000000000015385</v>
          </cell>
        </row>
        <row r="648">
          <cell r="M648" t="str">
            <v>作業者</v>
          </cell>
          <cell r="U648" t="str">
            <v>000000000015385</v>
          </cell>
        </row>
        <row r="649">
          <cell r="C649">
            <v>0</v>
          </cell>
          <cell r="U649" t="str">
            <v>000000000015385</v>
          </cell>
        </row>
        <row r="650">
          <cell r="R650">
            <v>0</v>
          </cell>
          <cell r="U650" t="str">
            <v>000000000015385</v>
          </cell>
        </row>
        <row r="651">
          <cell r="D651" t="str">
            <v>不良補填</v>
          </cell>
          <cell r="F651">
            <v>0</v>
          </cell>
          <cell r="U651" t="str">
            <v>000000000015385</v>
          </cell>
        </row>
        <row r="652">
          <cell r="C652" t="str">
            <v>8FL281304 5010　L=888</v>
          </cell>
          <cell r="P652">
            <v>0</v>
          </cell>
          <cell r="U652" t="str">
            <v>000000000015384</v>
          </cell>
        </row>
        <row r="653">
          <cell r="P653">
            <v>0</v>
          </cell>
          <cell r="U653" t="str">
            <v>000000000015384</v>
          </cell>
        </row>
        <row r="654">
          <cell r="P654">
            <v>0</v>
          </cell>
          <cell r="U654" t="str">
            <v>000000000015384</v>
          </cell>
        </row>
        <row r="655">
          <cell r="C655">
            <v>400</v>
          </cell>
          <cell r="P655">
            <v>0</v>
          </cell>
          <cell r="U655" t="str">
            <v>000000000015384</v>
          </cell>
        </row>
        <row r="656">
          <cell r="C656">
            <v>2</v>
          </cell>
          <cell r="P656">
            <v>0</v>
          </cell>
          <cell r="U656" t="str">
            <v>000000000015384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000000000015384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000000000015384</v>
          </cell>
        </row>
        <row r="659">
          <cell r="M659" t="str">
            <v>作業者</v>
          </cell>
          <cell r="U659" t="str">
            <v>000000000015384</v>
          </cell>
        </row>
        <row r="660">
          <cell r="C660">
            <v>0</v>
          </cell>
          <cell r="U660" t="str">
            <v>000000000015384</v>
          </cell>
        </row>
        <row r="661">
          <cell r="R661">
            <v>0</v>
          </cell>
          <cell r="U661" t="str">
            <v>000000000015384</v>
          </cell>
        </row>
        <row r="662">
          <cell r="D662" t="str">
            <v>不良補填</v>
          </cell>
          <cell r="F662">
            <v>0</v>
          </cell>
          <cell r="U662" t="str">
            <v>000000000015384</v>
          </cell>
        </row>
        <row r="663">
          <cell r="C663" t="str">
            <v>8FL281304 8310　L=748</v>
          </cell>
          <cell r="P663">
            <v>0</v>
          </cell>
          <cell r="U663" t="str">
            <v>000000000015377</v>
          </cell>
        </row>
        <row r="664">
          <cell r="P664">
            <v>0</v>
          </cell>
          <cell r="U664" t="str">
            <v>000000000015377</v>
          </cell>
        </row>
        <row r="665">
          <cell r="P665">
            <v>0</v>
          </cell>
          <cell r="U665" t="str">
            <v>000000000015377</v>
          </cell>
        </row>
        <row r="666">
          <cell r="C666">
            <v>200</v>
          </cell>
          <cell r="P666">
            <v>0</v>
          </cell>
          <cell r="U666" t="str">
            <v>000000000015377</v>
          </cell>
        </row>
        <row r="667">
          <cell r="C667">
            <v>2</v>
          </cell>
          <cell r="P667">
            <v>0</v>
          </cell>
          <cell r="U667" t="str">
            <v>000000000015377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000000000015377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000000000015377</v>
          </cell>
        </row>
        <row r="670">
          <cell r="M670" t="str">
            <v>作業者</v>
          </cell>
          <cell r="U670" t="str">
            <v>000000000015377</v>
          </cell>
        </row>
        <row r="671">
          <cell r="C671">
            <v>0</v>
          </cell>
          <cell r="U671" t="str">
            <v>000000000015377</v>
          </cell>
        </row>
        <row r="672">
          <cell r="R672">
            <v>0</v>
          </cell>
          <cell r="U672" t="str">
            <v>000000000015377</v>
          </cell>
        </row>
        <row r="673">
          <cell r="D673" t="str">
            <v>不良補填</v>
          </cell>
          <cell r="F673">
            <v>0</v>
          </cell>
          <cell r="U673" t="str">
            <v>000000000015377</v>
          </cell>
        </row>
        <row r="674">
          <cell r="C674" t="str">
            <v>8FL281304 6110　L=1478</v>
          </cell>
          <cell r="P674">
            <v>0</v>
          </cell>
          <cell r="U674" t="str">
            <v>000000000015389</v>
          </cell>
        </row>
        <row r="675">
          <cell r="P675">
            <v>0</v>
          </cell>
          <cell r="U675" t="str">
            <v>000000000015389</v>
          </cell>
        </row>
        <row r="676">
          <cell r="P676">
            <v>0</v>
          </cell>
          <cell r="U676" t="str">
            <v>000000000015389</v>
          </cell>
        </row>
        <row r="677">
          <cell r="C677">
            <v>500</v>
          </cell>
          <cell r="P677">
            <v>0</v>
          </cell>
          <cell r="U677" t="str">
            <v>000000000015389</v>
          </cell>
        </row>
        <row r="678">
          <cell r="C678">
            <v>1</v>
          </cell>
          <cell r="P678">
            <v>0</v>
          </cell>
          <cell r="U678" t="str">
            <v>000000000015389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000000000015389</v>
          </cell>
        </row>
        <row r="680">
          <cell r="C680" t="str">
            <v>LED-A1478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000000000015389</v>
          </cell>
        </row>
        <row r="681">
          <cell r="M681" t="str">
            <v>作業者</v>
          </cell>
          <cell r="U681" t="str">
            <v>000000000015389</v>
          </cell>
        </row>
        <row r="682">
          <cell r="C682">
            <v>0</v>
          </cell>
          <cell r="U682" t="str">
            <v>000000000015389</v>
          </cell>
        </row>
        <row r="683">
          <cell r="R683">
            <v>0</v>
          </cell>
          <cell r="U683" t="str">
            <v>000000000015389</v>
          </cell>
        </row>
        <row r="684">
          <cell r="D684" t="str">
            <v>不良補填</v>
          </cell>
          <cell r="F684">
            <v>0</v>
          </cell>
          <cell r="U684" t="str">
            <v>000000000015389</v>
          </cell>
        </row>
        <row r="685">
          <cell r="C685" t="str">
            <v>8FL281304 4910　L=592</v>
          </cell>
          <cell r="P685">
            <v>0</v>
          </cell>
          <cell r="U685" t="str">
            <v>000000000015376</v>
          </cell>
        </row>
        <row r="686">
          <cell r="P686">
            <v>0</v>
          </cell>
          <cell r="U686" t="str">
            <v>000000000015376</v>
          </cell>
        </row>
        <row r="687">
          <cell r="P687">
            <v>0</v>
          </cell>
          <cell r="U687" t="str">
            <v>000000000015376</v>
          </cell>
        </row>
        <row r="688">
          <cell r="C688">
            <v>500</v>
          </cell>
          <cell r="P688">
            <v>0</v>
          </cell>
          <cell r="U688" t="str">
            <v>000000000015376</v>
          </cell>
        </row>
        <row r="689">
          <cell r="C689">
            <v>3</v>
          </cell>
          <cell r="P689">
            <v>0</v>
          </cell>
          <cell r="U689" t="str">
            <v>000000000015376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000000000015376</v>
          </cell>
        </row>
        <row r="691">
          <cell r="C691" t="str">
            <v>LED-A592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000000000015376</v>
          </cell>
        </row>
        <row r="692">
          <cell r="M692" t="str">
            <v>作業者</v>
          </cell>
          <cell r="U692" t="str">
            <v>000000000015376</v>
          </cell>
        </row>
        <row r="693">
          <cell r="C693">
            <v>0</v>
          </cell>
          <cell r="U693" t="str">
            <v>000000000015376</v>
          </cell>
        </row>
        <row r="694">
          <cell r="R694">
            <v>0</v>
          </cell>
          <cell r="U694" t="str">
            <v>000000000015376</v>
          </cell>
        </row>
        <row r="695">
          <cell r="D695" t="str">
            <v>不良補填</v>
          </cell>
          <cell r="F695">
            <v>0</v>
          </cell>
          <cell r="U695" t="str">
            <v>000000000015376</v>
          </cell>
        </row>
        <row r="696">
          <cell r="C696" t="str">
            <v>8FL281304 5010　L=888</v>
          </cell>
          <cell r="P696">
            <v>0</v>
          </cell>
          <cell r="U696" t="str">
            <v>000000000015383</v>
          </cell>
        </row>
        <row r="697">
          <cell r="P697">
            <v>0</v>
          </cell>
          <cell r="U697" t="str">
            <v>000000000015383</v>
          </cell>
        </row>
        <row r="698">
          <cell r="P698">
            <v>0</v>
          </cell>
          <cell r="U698" t="str">
            <v>000000000015383</v>
          </cell>
        </row>
        <row r="699">
          <cell r="C699">
            <v>2000</v>
          </cell>
          <cell r="P699">
            <v>0</v>
          </cell>
          <cell r="U699" t="str">
            <v>000000000015383</v>
          </cell>
        </row>
        <row r="700">
          <cell r="C700">
            <v>2</v>
          </cell>
          <cell r="P700">
            <v>0</v>
          </cell>
          <cell r="U700" t="str">
            <v>000000000015383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000000000015383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000000000015383</v>
          </cell>
        </row>
        <row r="703">
          <cell r="M703" t="str">
            <v>作業者</v>
          </cell>
          <cell r="U703" t="str">
            <v>000000000015383</v>
          </cell>
        </row>
        <row r="704">
          <cell r="C704">
            <v>0</v>
          </cell>
          <cell r="U704" t="str">
            <v>000000000015383</v>
          </cell>
        </row>
        <row r="705">
          <cell r="R705">
            <v>0</v>
          </cell>
          <cell r="U705" t="str">
            <v>000000000015383</v>
          </cell>
        </row>
        <row r="706">
          <cell r="D706" t="str">
            <v>不良補填</v>
          </cell>
          <cell r="F706">
            <v>0</v>
          </cell>
          <cell r="U706" t="str">
            <v>000000000015383</v>
          </cell>
        </row>
        <row r="707">
          <cell r="C707" t="str">
            <v>灯具カバーPC IN 2110　L=1815</v>
          </cell>
          <cell r="U707" t="str">
            <v>000000000015469</v>
          </cell>
        </row>
        <row r="708">
          <cell r="U708" t="str">
            <v>000000000015469</v>
          </cell>
        </row>
        <row r="709">
          <cell r="U709" t="str">
            <v>000000000015469</v>
          </cell>
        </row>
        <row r="710">
          <cell r="C710">
            <v>192</v>
          </cell>
          <cell r="U710" t="str">
            <v>000000000015469</v>
          </cell>
        </row>
        <row r="711">
          <cell r="C711">
            <v>1</v>
          </cell>
          <cell r="U711" t="str">
            <v>000000000015469</v>
          </cell>
        </row>
        <row r="712">
          <cell r="C712">
            <v>16</v>
          </cell>
          <cell r="N712">
            <v>0</v>
          </cell>
          <cell r="U712" t="str">
            <v>000000000015469</v>
          </cell>
        </row>
        <row r="713">
          <cell r="C713" t="str">
            <v>灯具-2　L＝1996</v>
          </cell>
          <cell r="N713">
            <v>0</v>
          </cell>
          <cell r="U713" t="str">
            <v>000000000015469</v>
          </cell>
        </row>
        <row r="714">
          <cell r="U714" t="str">
            <v>000000000015469</v>
          </cell>
        </row>
        <row r="715">
          <cell r="U715" t="str">
            <v>000000000015469</v>
          </cell>
        </row>
        <row r="716">
          <cell r="U716" t="str">
            <v>000000000015469</v>
          </cell>
        </row>
        <row r="717">
          <cell r="D717" t="str">
            <v>不良補填</v>
          </cell>
          <cell r="F717" t="str"/>
          <cell r="U717" t="str">
            <v>000000000015469</v>
          </cell>
        </row>
        <row r="718">
          <cell r="C718" t="str">
            <v>灯具カバーPC IN 2140　L=547</v>
          </cell>
          <cell r="U718" t="str">
            <v>000000000015457</v>
          </cell>
        </row>
        <row r="719">
          <cell r="U719" t="str">
            <v>000000000015457</v>
          </cell>
        </row>
        <row r="720">
          <cell r="U720" t="str">
            <v>000000000015457</v>
          </cell>
        </row>
        <row r="721">
          <cell r="C721">
            <v>80</v>
          </cell>
          <cell r="U721" t="str">
            <v>000000000015457</v>
          </cell>
        </row>
        <row r="722">
          <cell r="C722">
            <v>1</v>
          </cell>
          <cell r="U722" t="str">
            <v>000000000015457</v>
          </cell>
        </row>
        <row r="723">
          <cell r="C723">
            <v>16</v>
          </cell>
          <cell r="N723">
            <v>0</v>
          </cell>
          <cell r="U723" t="str">
            <v>000000000015457</v>
          </cell>
        </row>
        <row r="724">
          <cell r="C724" t="str">
            <v>灯具-1　L=1370</v>
          </cell>
          <cell r="N724">
            <v>0</v>
          </cell>
          <cell r="U724" t="str">
            <v>000000000015457</v>
          </cell>
        </row>
        <row r="725">
          <cell r="U725" t="str">
            <v>000000000015457</v>
          </cell>
        </row>
        <row r="726">
          <cell r="U726" t="str">
            <v>000000000015457</v>
          </cell>
        </row>
        <row r="727">
          <cell r="U727" t="str">
            <v>000000000015457</v>
          </cell>
        </row>
        <row r="728">
          <cell r="D728" t="str">
            <v>不良補填</v>
          </cell>
          <cell r="F728" t="str"/>
          <cell r="U728" t="str">
            <v>000000000015457</v>
          </cell>
        </row>
        <row r="729">
          <cell r="C729" t="str">
            <v>灯具カバーPC IN 2130　L=908</v>
          </cell>
          <cell r="U729" t="str">
            <v>000000000015462</v>
          </cell>
        </row>
        <row r="730">
          <cell r="U730" t="str">
            <v>000000000015462</v>
          </cell>
        </row>
        <row r="731">
          <cell r="U731" t="str">
            <v>000000000015462</v>
          </cell>
        </row>
        <row r="732">
          <cell r="C732">
            <v>192</v>
          </cell>
          <cell r="U732" t="str">
            <v>000000000015462</v>
          </cell>
        </row>
        <row r="733">
          <cell r="C733">
            <v>1</v>
          </cell>
          <cell r="U733" t="str">
            <v>000000000015462</v>
          </cell>
        </row>
        <row r="734">
          <cell r="C734">
            <v>16</v>
          </cell>
          <cell r="N734">
            <v>0</v>
          </cell>
          <cell r="U734" t="str">
            <v>000000000015462</v>
          </cell>
        </row>
        <row r="735">
          <cell r="C735" t="str">
            <v>灯具-3　L=970</v>
          </cell>
          <cell r="N735">
            <v>0</v>
          </cell>
          <cell r="U735" t="str">
            <v>000000000015462</v>
          </cell>
        </row>
        <row r="736">
          <cell r="U736" t="str">
            <v>000000000015462</v>
          </cell>
        </row>
        <row r="737">
          <cell r="U737" t="str">
            <v>000000000015462</v>
          </cell>
        </row>
        <row r="738">
          <cell r="U738" t="str">
            <v>000000000015462</v>
          </cell>
        </row>
        <row r="739">
          <cell r="D739" t="str">
            <v>不良補填</v>
          </cell>
          <cell r="F739" t="str"/>
          <cell r="U739" t="str">
            <v>000000000015462</v>
          </cell>
        </row>
        <row r="740">
          <cell r="C740" t="str">
            <v>灯具カバーPC IN 2050　L=1183.5</v>
          </cell>
          <cell r="U740" t="str">
            <v>000000000015464</v>
          </cell>
        </row>
        <row r="741">
          <cell r="U741" t="str">
            <v>000000000015464</v>
          </cell>
        </row>
        <row r="742">
          <cell r="U742" t="str">
            <v>000000000015464</v>
          </cell>
        </row>
        <row r="743">
          <cell r="C743">
            <v>192</v>
          </cell>
          <cell r="U743" t="str">
            <v>000000000015464</v>
          </cell>
        </row>
        <row r="744">
          <cell r="C744">
            <v>1</v>
          </cell>
          <cell r="U744" t="str">
            <v>000000000015464</v>
          </cell>
        </row>
        <row r="745">
          <cell r="C745">
            <v>16</v>
          </cell>
          <cell r="N745">
            <v>0</v>
          </cell>
          <cell r="U745" t="str">
            <v>000000000015464</v>
          </cell>
        </row>
        <row r="746">
          <cell r="C746" t="str">
            <v>灯具-1　L=1370</v>
          </cell>
          <cell r="N746">
            <v>0</v>
          </cell>
          <cell r="U746" t="str">
            <v>000000000015464</v>
          </cell>
        </row>
        <row r="747">
          <cell r="U747" t="str">
            <v>000000000015464</v>
          </cell>
        </row>
        <row r="748">
          <cell r="U748" t="str">
            <v>000000000015464</v>
          </cell>
        </row>
        <row r="749">
          <cell r="U749" t="str">
            <v>000000000015464</v>
          </cell>
        </row>
        <row r="750">
          <cell r="D750" t="str">
            <v>不良補填</v>
          </cell>
          <cell r="F750" t="str"/>
          <cell r="U750" t="str">
            <v>000000000015464</v>
          </cell>
        </row>
        <row r="751">
          <cell r="C751" t="str">
            <v>灯具カバーPC IN 2060　L=1258.5</v>
          </cell>
          <cell r="U751" t="str">
            <v>000000000015466</v>
          </cell>
        </row>
        <row r="752">
          <cell r="U752" t="str">
            <v>000000000015466</v>
          </cell>
        </row>
        <row r="753">
          <cell r="U753" t="str">
            <v>000000000015466</v>
          </cell>
        </row>
        <row r="754">
          <cell r="C754">
            <v>96</v>
          </cell>
          <cell r="U754" t="str">
            <v>000000000015466</v>
          </cell>
        </row>
        <row r="755">
          <cell r="C755">
            <v>1</v>
          </cell>
          <cell r="U755" t="str">
            <v>000000000015466</v>
          </cell>
        </row>
        <row r="756">
          <cell r="C756">
            <v>16</v>
          </cell>
          <cell r="N756">
            <v>0</v>
          </cell>
          <cell r="U756" t="str">
            <v>000000000015466</v>
          </cell>
        </row>
        <row r="757">
          <cell r="C757" t="str">
            <v>灯具-1　L=1370</v>
          </cell>
          <cell r="N757">
            <v>0</v>
          </cell>
          <cell r="U757" t="str">
            <v>000000000015466</v>
          </cell>
        </row>
        <row r="758">
          <cell r="U758" t="str">
            <v>000000000015466</v>
          </cell>
        </row>
        <row r="759">
          <cell r="U759" t="str">
            <v>000000000015466</v>
          </cell>
        </row>
        <row r="760">
          <cell r="U760" t="str">
            <v>000000000015466</v>
          </cell>
        </row>
        <row r="761">
          <cell r="D761" t="str">
            <v>不良補填</v>
          </cell>
          <cell r="F761" t="str"/>
          <cell r="U761" t="str">
            <v>000000000015466</v>
          </cell>
        </row>
        <row r="762">
          <cell r="C762" t="str">
            <v>灯具カバーPC IN 2490　L=1264</v>
          </cell>
          <cell r="U762" t="str">
            <v>000000000015467</v>
          </cell>
        </row>
        <row r="763">
          <cell r="U763" t="str">
            <v>000000000015467</v>
          </cell>
        </row>
        <row r="764">
          <cell r="U764" t="str">
            <v>000000000015467</v>
          </cell>
        </row>
        <row r="765">
          <cell r="C765">
            <v>96</v>
          </cell>
          <cell r="U765" t="str">
            <v>000000000015467</v>
          </cell>
        </row>
        <row r="766">
          <cell r="C766">
            <v>1</v>
          </cell>
          <cell r="U766" t="str">
            <v>000000000015467</v>
          </cell>
        </row>
        <row r="767">
          <cell r="C767">
            <v>16</v>
          </cell>
          <cell r="U767" t="str">
            <v>000000000015467</v>
          </cell>
        </row>
        <row r="768">
          <cell r="C768" t="str">
            <v>灯具-1　L=1370</v>
          </cell>
          <cell r="U768" t="str">
            <v>000000000015467</v>
          </cell>
        </row>
        <row r="769">
          <cell r="U769" t="str">
            <v>000000000015467</v>
          </cell>
        </row>
        <row r="770">
          <cell r="U770" t="str">
            <v>000000000015467</v>
          </cell>
        </row>
        <row r="771">
          <cell r="U771" t="str">
            <v>000000000015467</v>
          </cell>
        </row>
        <row r="772">
          <cell r="D772" t="str">
            <v>不良補填</v>
          </cell>
          <cell r="F772" t="str"/>
          <cell r="U772" t="str">
            <v>000000000015467</v>
          </cell>
        </row>
        <row r="773">
          <cell r="C773" t="str">
            <v>灯具カバーPC IN 2460　L=1291</v>
          </cell>
          <cell r="U773" t="str">
            <v>000000000015468</v>
          </cell>
        </row>
        <row r="774">
          <cell r="U774" t="str">
            <v>000000000015468</v>
          </cell>
        </row>
        <row r="775">
          <cell r="U775" t="str">
            <v>000000000015468</v>
          </cell>
        </row>
        <row r="776">
          <cell r="C776">
            <v>96</v>
          </cell>
          <cell r="U776" t="str">
            <v>000000000015468</v>
          </cell>
        </row>
        <row r="777">
          <cell r="C777">
            <v>1</v>
          </cell>
          <cell r="U777" t="str">
            <v>000000000015468</v>
          </cell>
        </row>
        <row r="778">
          <cell r="C778">
            <v>16</v>
          </cell>
          <cell r="U778" t="str">
            <v>000000000015468</v>
          </cell>
        </row>
        <row r="779">
          <cell r="C779" t="str">
            <v>灯具-1　L=1370</v>
          </cell>
          <cell r="U779" t="str">
            <v>000000000015468</v>
          </cell>
        </row>
        <row r="780">
          <cell r="U780" t="str">
            <v>000000000015468</v>
          </cell>
        </row>
        <row r="781">
          <cell r="U781" t="str">
            <v>000000000015468</v>
          </cell>
        </row>
        <row r="782">
          <cell r="U782" t="str">
            <v>000000000015468</v>
          </cell>
        </row>
        <row r="783">
          <cell r="D783" t="str">
            <v>不良補填</v>
          </cell>
          <cell r="F783" t="str"/>
          <cell r="U783" t="str">
            <v>000000000015468</v>
          </cell>
        </row>
        <row r="784">
          <cell r="C784" t="str">
            <v>灯具カバーPC IN 2100　L=1923</v>
          </cell>
          <cell r="U784" t="str">
            <v>000000000015471</v>
          </cell>
        </row>
        <row r="785">
          <cell r="U785" t="str">
            <v>000000000015471</v>
          </cell>
        </row>
        <row r="786">
          <cell r="U786" t="str">
            <v>000000000015471</v>
          </cell>
        </row>
        <row r="787">
          <cell r="C787">
            <v>96</v>
          </cell>
          <cell r="U787" t="str">
            <v>000000000015471</v>
          </cell>
        </row>
        <row r="788">
          <cell r="C788">
            <v>1</v>
          </cell>
          <cell r="U788" t="str">
            <v>000000000015471</v>
          </cell>
        </row>
        <row r="789">
          <cell r="C789">
            <v>16</v>
          </cell>
          <cell r="U789" t="str">
            <v>000000000015471</v>
          </cell>
        </row>
        <row r="790">
          <cell r="C790" t="str">
            <v>灯具-2　L＝1996</v>
          </cell>
          <cell r="U790" t="str">
            <v>000000000015471</v>
          </cell>
        </row>
        <row r="791">
          <cell r="U791" t="str">
            <v>000000000015471</v>
          </cell>
        </row>
        <row r="792">
          <cell r="U792" t="str">
            <v>000000000015471</v>
          </cell>
        </row>
        <row r="793">
          <cell r="U793" t="str">
            <v>000000000015471</v>
          </cell>
        </row>
        <row r="794">
          <cell r="D794" t="str">
            <v>不良補填</v>
          </cell>
          <cell r="F794" t="str"/>
          <cell r="U794" t="str">
            <v>000000000015471</v>
          </cell>
        </row>
        <row r="795">
          <cell r="C795" t="str">
            <v>灯具カバーPC IN 2090　L=840</v>
          </cell>
          <cell r="U795" t="str">
            <v>000000000015459</v>
          </cell>
        </row>
        <row r="796">
          <cell r="U796" t="str">
            <v>000000000015459</v>
          </cell>
        </row>
        <row r="797">
          <cell r="U797" t="str">
            <v>000000000015459</v>
          </cell>
        </row>
        <row r="798">
          <cell r="C798">
            <v>192</v>
          </cell>
          <cell r="U798" t="str">
            <v>000000000015459</v>
          </cell>
        </row>
        <row r="799">
          <cell r="C799">
            <v>1</v>
          </cell>
          <cell r="U799" t="str">
            <v>000000000015459</v>
          </cell>
        </row>
        <row r="800">
          <cell r="C800">
            <v>16</v>
          </cell>
          <cell r="U800" t="str">
            <v>000000000015459</v>
          </cell>
        </row>
        <row r="801">
          <cell r="C801" t="str">
            <v>灯具-3　L=970</v>
          </cell>
          <cell r="U801" t="str">
            <v>000000000015459</v>
          </cell>
        </row>
        <row r="802">
          <cell r="U802" t="str">
            <v>000000000015459</v>
          </cell>
        </row>
        <row r="803">
          <cell r="U803" t="str">
            <v>000000000015459</v>
          </cell>
        </row>
        <row r="804">
          <cell r="U804" t="str">
            <v>000000000015459</v>
          </cell>
        </row>
        <row r="805">
          <cell r="U805" t="str">
            <v>000000000015459</v>
          </cell>
        </row>
        <row r="806">
          <cell r="C806" t="str">
            <v>灯具カバーPC IN 2500　L=1238</v>
          </cell>
          <cell r="U806" t="str">
            <v>000000000015465</v>
          </cell>
        </row>
        <row r="807">
          <cell r="U807" t="str">
            <v>000000000015465</v>
          </cell>
        </row>
        <row r="808">
          <cell r="U808" t="str">
            <v>000000000015465</v>
          </cell>
        </row>
        <row r="809">
          <cell r="C809">
            <v>96</v>
          </cell>
          <cell r="U809" t="str">
            <v>000000000015465</v>
          </cell>
        </row>
        <row r="810">
          <cell r="C810">
            <v>1</v>
          </cell>
          <cell r="U810" t="str">
            <v>000000000015465</v>
          </cell>
        </row>
        <row r="811">
          <cell r="C811">
            <v>16</v>
          </cell>
          <cell r="U811" t="str">
            <v>000000000015465</v>
          </cell>
        </row>
        <row r="812">
          <cell r="C812" t="str">
            <v>灯具-1　L=1370</v>
          </cell>
          <cell r="U812" t="str">
            <v>000000000015465</v>
          </cell>
        </row>
        <row r="813">
          <cell r="U813" t="str">
            <v>000000000015465</v>
          </cell>
        </row>
        <row r="814">
          <cell r="U814" t="str">
            <v>000000000015465</v>
          </cell>
        </row>
        <row r="815">
          <cell r="U815" t="str">
            <v>000000000015465</v>
          </cell>
        </row>
        <row r="816">
          <cell r="U816" t="str">
            <v>000000000015465</v>
          </cell>
        </row>
        <row r="817">
          <cell r="C817" t="str">
            <v>灯具カバーPC IN 2110　L=1815</v>
          </cell>
          <cell r="U817" t="str">
            <v>000000000015470</v>
          </cell>
        </row>
        <row r="818">
          <cell r="U818" t="str">
            <v>000000000015470</v>
          </cell>
        </row>
        <row r="819">
          <cell r="U819" t="str">
            <v>000000000015470</v>
          </cell>
        </row>
        <row r="820">
          <cell r="C820">
            <v>192</v>
          </cell>
          <cell r="U820" t="str">
            <v>000000000015470</v>
          </cell>
        </row>
        <row r="821">
          <cell r="C821">
            <v>1</v>
          </cell>
          <cell r="U821" t="str">
            <v>000000000015470</v>
          </cell>
        </row>
        <row r="822">
          <cell r="C822">
            <v>16</v>
          </cell>
          <cell r="U822" t="str">
            <v>000000000015470</v>
          </cell>
        </row>
        <row r="823">
          <cell r="C823" t="str">
            <v>灯具-2　L＝1996</v>
          </cell>
          <cell r="U823" t="str">
            <v>000000000015470</v>
          </cell>
        </row>
        <row r="824">
          <cell r="U824" t="str">
            <v>000000000015470</v>
          </cell>
        </row>
        <row r="825">
          <cell r="U825" t="str">
            <v>000000000015470</v>
          </cell>
        </row>
        <row r="826">
          <cell r="U826" t="str">
            <v>000000000015470</v>
          </cell>
        </row>
        <row r="827">
          <cell r="U827" t="str">
            <v>000000000015470</v>
          </cell>
        </row>
        <row r="828">
          <cell r="C828" t="str">
            <v>8FL281304 5010　L=888</v>
          </cell>
          <cell r="U828" t="str">
            <v>000000000015386</v>
          </cell>
        </row>
        <row r="829">
          <cell r="U829" t="str">
            <v>000000000015386</v>
          </cell>
        </row>
        <row r="830">
          <cell r="U830" t="str">
            <v>000000000015386</v>
          </cell>
        </row>
        <row r="831">
          <cell r="C831">
            <v>2000</v>
          </cell>
          <cell r="U831" t="str">
            <v>000000000015386</v>
          </cell>
        </row>
        <row r="832">
          <cell r="C832">
            <v>2</v>
          </cell>
          <cell r="U832" t="str">
            <v>000000000015386</v>
          </cell>
        </row>
        <row r="833">
          <cell r="C833">
            <v>100</v>
          </cell>
          <cell r="U833" t="str">
            <v>000000000015386</v>
          </cell>
        </row>
        <row r="834">
          <cell r="C834" t="str">
            <v>LED-A888</v>
          </cell>
          <cell r="U834" t="str">
            <v>000000000015386</v>
          </cell>
        </row>
        <row r="835">
          <cell r="U835" t="str">
            <v>000000000015386</v>
          </cell>
        </row>
        <row r="836">
          <cell r="U836" t="str">
            <v>000000000015386</v>
          </cell>
        </row>
        <row r="837">
          <cell r="U837" t="str">
            <v>000000000015386</v>
          </cell>
        </row>
        <row r="838">
          <cell r="U838" t="str">
            <v>000000000015386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 xml:space="preserve"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 xml:space="preserve"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D3">
            <v>46099</v>
          </cell>
          <cell r="E3" t="str">
            <v>26B28-05</v>
          </cell>
          <cell r="F3">
            <v>4</v>
          </cell>
          <cell r="M3">
            <v>46139</v>
          </cell>
          <cell r="N3">
            <v>1</v>
          </cell>
          <cell r="P3">
            <v>46139</v>
          </cell>
          <cell r="U3" t="str">
            <v>000000000013821</v>
          </cell>
        </row>
        <row r="4">
          <cell r="D4">
            <v>46136</v>
          </cell>
          <cell r="E4" t="str">
            <v>26D15-05</v>
          </cell>
          <cell r="P4">
            <v>100</v>
          </cell>
          <cell r="U4" t="str">
            <v>000000000013821</v>
          </cell>
        </row>
        <row r="5">
          <cell r="C5">
            <v>100</v>
          </cell>
          <cell r="D5">
            <v>46136</v>
          </cell>
          <cell r="E5" t="str">
            <v>26D15-05</v>
          </cell>
          <cell r="F5">
            <v>96</v>
          </cell>
          <cell r="P5">
            <v>50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1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100</v>
          </cell>
          <cell r="P9">
            <v>100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1</v>
          </cell>
          <cell r="M11" t="str">
            <v>I</v>
          </cell>
          <cell r="U11" t="str">
            <v>000000000013821</v>
          </cell>
        </row>
        <row r="12">
          <cell r="M12" t="str">
            <v>T</v>
          </cell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M14">
            <v>46139</v>
          </cell>
          <cell r="N14">
            <v>2</v>
          </cell>
          <cell r="P14">
            <v>46139</v>
          </cell>
          <cell r="U14" t="str">
            <v>000000000013822</v>
          </cell>
        </row>
        <row r="15">
          <cell r="D15">
            <v>46136</v>
          </cell>
          <cell r="E15" t="str">
            <v>26D15-05</v>
          </cell>
          <cell r="P15">
            <v>200</v>
          </cell>
          <cell r="R15">
            <v>2</v>
          </cell>
          <cell r="U15" t="str">
            <v>000000000013822</v>
          </cell>
        </row>
        <row r="16">
          <cell r="C16">
            <v>200</v>
          </cell>
          <cell r="D16">
            <v>46136</v>
          </cell>
          <cell r="E16" t="str">
            <v>26D15-05</v>
          </cell>
          <cell r="F16">
            <v>200</v>
          </cell>
          <cell r="P16">
            <v>101.5</v>
          </cell>
          <cell r="U16" t="str">
            <v>000000000013822</v>
          </cell>
        </row>
        <row r="17">
          <cell r="C17">
            <v>200</v>
          </cell>
          <cell r="P17">
            <v>3</v>
          </cell>
          <cell r="U17" t="str">
            <v>000000000013822</v>
          </cell>
        </row>
        <row r="18">
          <cell r="C18">
            <v>2</v>
          </cell>
          <cell r="P18">
            <v>1.5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2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200</v>
          </cell>
          <cell r="P20">
            <v>203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2</v>
          </cell>
          <cell r="M22" t="str">
            <v>I</v>
          </cell>
          <cell r="R22">
            <v>1</v>
          </cell>
          <cell r="U22" t="str">
            <v>000000000013822</v>
          </cell>
        </row>
        <row r="23">
          <cell r="M23" t="str">
            <v>T</v>
          </cell>
          <cell r="R23">
            <v>3</v>
          </cell>
          <cell r="U23" t="str">
            <v>000000000013822</v>
          </cell>
        </row>
        <row r="24">
          <cell r="D24" t="str">
            <v>不良補填</v>
          </cell>
          <cell r="E24" t="str">
            <v>26D15-05</v>
          </cell>
          <cell r="F24">
            <v>3</v>
          </cell>
          <cell r="U24" t="str">
            <v>000000000013822</v>
          </cell>
        </row>
        <row r="25">
          <cell r="C25" t="str">
            <v>8FL281304 5010　L=888</v>
          </cell>
          <cell r="M25">
            <v>46139</v>
          </cell>
          <cell r="N25">
            <v>7</v>
          </cell>
          <cell r="P25">
            <v>46140</v>
          </cell>
          <cell r="R25">
            <v>1</v>
          </cell>
          <cell r="U25" t="str">
            <v>000000000013826</v>
          </cell>
        </row>
        <row r="26">
          <cell r="D26">
            <v>46136</v>
          </cell>
          <cell r="E26" t="str">
            <v>26D15-05</v>
          </cell>
          <cell r="M26">
            <v>46140</v>
          </cell>
          <cell r="N26">
            <v>13</v>
          </cell>
          <cell r="P26">
            <v>2000</v>
          </cell>
          <cell r="R26">
            <v>1</v>
          </cell>
          <cell r="U26" t="str">
            <v>000000000013826</v>
          </cell>
        </row>
        <row r="27">
          <cell r="C27">
            <v>2000</v>
          </cell>
          <cell r="D27">
            <v>46139</v>
          </cell>
          <cell r="E27" t="str">
            <v>26D15-05</v>
          </cell>
          <cell r="F27">
            <v>400</v>
          </cell>
          <cell r="P27">
            <v>1002</v>
          </cell>
          <cell r="R27">
            <v>1</v>
          </cell>
          <cell r="U27" t="str">
            <v>000000000013826</v>
          </cell>
        </row>
        <row r="28">
          <cell r="C28">
            <v>2000</v>
          </cell>
          <cell r="D28">
            <v>46139</v>
          </cell>
          <cell r="E28" t="str">
            <v>26D15-05</v>
          </cell>
          <cell r="F28">
            <v>290</v>
          </cell>
          <cell r="P28">
            <v>4</v>
          </cell>
          <cell r="U28" t="str">
            <v>000000000013826</v>
          </cell>
        </row>
        <row r="29">
          <cell r="C29">
            <v>2</v>
          </cell>
          <cell r="D29">
            <v>46139</v>
          </cell>
          <cell r="E29" t="str">
            <v>26D16-06</v>
          </cell>
          <cell r="P29">
            <v>2</v>
          </cell>
          <cell r="U29" t="str">
            <v>000000000013826</v>
          </cell>
        </row>
        <row r="30">
          <cell r="C30">
            <v>100</v>
          </cell>
          <cell r="D30">
            <v>46139</v>
          </cell>
          <cell r="E30" t="str">
            <v>26D16-06</v>
          </cell>
          <cell r="F30">
            <v>110</v>
          </cell>
          <cell r="M30" t="str">
            <v>合計</v>
          </cell>
          <cell r="N30">
            <v>20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D31">
            <v>46139</v>
          </cell>
          <cell r="E31" t="str">
            <v>26D16-06</v>
          </cell>
          <cell r="F31">
            <v>400</v>
          </cell>
          <cell r="M31" t="str">
            <v>入数</v>
          </cell>
          <cell r="N31">
            <v>2000</v>
          </cell>
          <cell r="P31">
            <v>2004</v>
          </cell>
          <cell r="U31" t="str">
            <v>000000000013826</v>
          </cell>
        </row>
        <row r="32">
          <cell r="D32">
            <v>46139</v>
          </cell>
          <cell r="E32" t="str">
            <v>26D16-06</v>
          </cell>
          <cell r="F32">
            <v>400</v>
          </cell>
          <cell r="M32" t="str">
            <v>作業者</v>
          </cell>
          <cell r="U32" t="str">
            <v>000000000013826</v>
          </cell>
        </row>
        <row r="33">
          <cell r="C33">
            <v>20</v>
          </cell>
          <cell r="D33">
            <v>46140</v>
          </cell>
          <cell r="E33" t="str">
            <v>26D16-06</v>
          </cell>
          <cell r="F33">
            <v>400</v>
          </cell>
          <cell r="M33" t="str">
            <v>I</v>
          </cell>
          <cell r="R33">
            <v>1</v>
          </cell>
          <cell r="U33" t="str">
            <v>000000000013826</v>
          </cell>
        </row>
        <row r="34">
          <cell r="M34" t="str">
            <v>T</v>
          </cell>
          <cell r="N34" t="str">
            <v>U</v>
          </cell>
          <cell r="R34">
            <v>4</v>
          </cell>
          <cell r="U34" t="str">
            <v>000000000013826</v>
          </cell>
        </row>
        <row r="35">
          <cell r="D35" t="str">
            <v>不良補填</v>
          </cell>
          <cell r="E35" t="str">
            <v>26D15-05</v>
          </cell>
          <cell r="F35">
            <v>4</v>
          </cell>
          <cell r="U35" t="str">
            <v>000000000013826</v>
          </cell>
        </row>
        <row r="36">
          <cell r="C36" t="str">
            <v>8FL281304 5010　L=888</v>
          </cell>
          <cell r="M36">
            <v>46142</v>
          </cell>
          <cell r="N36">
            <v>13</v>
          </cell>
          <cell r="P36">
            <v>46143</v>
          </cell>
          <cell r="R36">
            <v>8</v>
          </cell>
          <cell r="U36" t="str">
            <v>000000000013827</v>
          </cell>
        </row>
        <row r="37">
          <cell r="D37">
            <v>46140</v>
          </cell>
          <cell r="E37" t="str">
            <v>26D16-06</v>
          </cell>
          <cell r="M37">
            <v>46143</v>
          </cell>
          <cell r="N37">
            <v>7</v>
          </cell>
          <cell r="P37">
            <v>2000</v>
          </cell>
          <cell r="R37">
            <v>4</v>
          </cell>
          <cell r="U37" t="str">
            <v>000000000013827</v>
          </cell>
        </row>
        <row r="38">
          <cell r="C38">
            <v>2000</v>
          </cell>
          <cell r="D38">
            <v>46140</v>
          </cell>
          <cell r="E38" t="str">
            <v>26D16-06</v>
          </cell>
          <cell r="F38">
            <v>288</v>
          </cell>
          <cell r="P38">
            <v>1011</v>
          </cell>
          <cell r="R38">
            <v>7</v>
          </cell>
          <cell r="U38" t="str">
            <v>000000000013827</v>
          </cell>
        </row>
        <row r="39">
          <cell r="C39">
            <v>2000</v>
          </cell>
          <cell r="D39">
            <v>46140</v>
          </cell>
          <cell r="E39" t="str">
            <v>26D17-07</v>
          </cell>
          <cell r="F39">
            <v>112</v>
          </cell>
          <cell r="P39">
            <v>22</v>
          </cell>
          <cell r="U39" t="str">
            <v>000000000013827</v>
          </cell>
        </row>
        <row r="40">
          <cell r="C40">
            <v>2</v>
          </cell>
          <cell r="D40">
            <v>46140</v>
          </cell>
          <cell r="E40" t="str">
            <v>26D17-07</v>
          </cell>
          <cell r="F40">
            <v>400</v>
          </cell>
          <cell r="P40">
            <v>11</v>
          </cell>
          <cell r="U40" t="str">
            <v>000000000013827</v>
          </cell>
        </row>
        <row r="41">
          <cell r="C41">
            <v>100</v>
          </cell>
          <cell r="D41">
            <v>46142</v>
          </cell>
          <cell r="E41" t="str">
            <v>26D17-07</v>
          </cell>
          <cell r="F41">
            <v>400</v>
          </cell>
          <cell r="M41" t="str">
            <v>合計</v>
          </cell>
          <cell r="N41">
            <v>20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D42">
            <v>46142</v>
          </cell>
          <cell r="E42" t="str">
            <v>26D17-07</v>
          </cell>
          <cell r="F42">
            <v>400</v>
          </cell>
          <cell r="M42" t="str">
            <v>入数</v>
          </cell>
          <cell r="N42">
            <v>2000</v>
          </cell>
          <cell r="P42">
            <v>2022</v>
          </cell>
          <cell r="U42" t="str">
            <v>000000000013827</v>
          </cell>
        </row>
        <row r="43">
          <cell r="D43">
            <v>46142</v>
          </cell>
          <cell r="E43" t="str">
            <v>26D17-07</v>
          </cell>
          <cell r="F43">
            <v>287</v>
          </cell>
          <cell r="M43" t="str">
            <v>作業者</v>
          </cell>
          <cell r="U43" t="str">
            <v>000000000013827</v>
          </cell>
        </row>
        <row r="44">
          <cell r="C44">
            <v>20</v>
          </cell>
          <cell r="D44">
            <v>46142</v>
          </cell>
          <cell r="E44" t="str">
            <v>26D18-08</v>
          </cell>
          <cell r="F44">
            <v>113</v>
          </cell>
          <cell r="M44" t="str">
            <v>I</v>
          </cell>
          <cell r="R44">
            <v>3</v>
          </cell>
          <cell r="U44" t="str">
            <v>000000000013827</v>
          </cell>
        </row>
        <row r="45">
          <cell r="M45" t="str">
            <v>T</v>
          </cell>
          <cell r="N45" t="str">
            <v>U</v>
          </cell>
          <cell r="R45">
            <v>22</v>
          </cell>
          <cell r="U45" t="str">
            <v>000000000013827</v>
          </cell>
        </row>
        <row r="46">
          <cell r="D46" t="str">
            <v>不良補填</v>
          </cell>
          <cell r="E46" t="str">
            <v>26D15-05</v>
          </cell>
          <cell r="F46">
            <v>22</v>
          </cell>
          <cell r="U46" t="str">
            <v>000000000013827</v>
          </cell>
        </row>
        <row r="47">
          <cell r="C47" t="str">
            <v>001EGAW　715</v>
          </cell>
          <cell r="M47">
            <v>46142</v>
          </cell>
          <cell r="N47">
            <v>2</v>
          </cell>
          <cell r="P47">
            <v>46142</v>
          </cell>
          <cell r="U47" t="str">
            <v>000000000013445</v>
          </cell>
        </row>
        <row r="48">
          <cell r="D48">
            <v>46142</v>
          </cell>
          <cell r="E48" t="str">
            <v>26D21C</v>
          </cell>
          <cell r="P48">
            <v>300</v>
          </cell>
          <cell r="U48" t="str">
            <v>000000000013445</v>
          </cell>
        </row>
        <row r="49">
          <cell r="C49">
            <v>300</v>
          </cell>
          <cell r="D49">
            <v>46142</v>
          </cell>
          <cell r="E49" t="str">
            <v>26D21C</v>
          </cell>
          <cell r="F49">
            <v>200</v>
          </cell>
          <cell r="P49">
            <v>150</v>
          </cell>
          <cell r="U49" t="str">
            <v>000000000013445</v>
          </cell>
        </row>
        <row r="50">
          <cell r="C50">
            <v>300</v>
          </cell>
          <cell r="D50">
            <v>46142</v>
          </cell>
          <cell r="E50" t="str">
            <v>26D21B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D51">
            <v>46142</v>
          </cell>
          <cell r="E51" t="str">
            <v>26D21B</v>
          </cell>
          <cell r="F51">
            <v>100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2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300</v>
          </cell>
          <cell r="P53">
            <v>300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2</v>
          </cell>
          <cell r="M55" t="str">
            <v>I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/>
          <cell r="U57" t="str">
            <v>000000000013445</v>
          </cell>
        </row>
        <row r="58">
          <cell r="C58" t="str">
            <v>001EGAW　652</v>
          </cell>
          <cell r="M58">
            <v>46142</v>
          </cell>
          <cell r="N58">
            <v>1</v>
          </cell>
          <cell r="P58">
            <v>46150</v>
          </cell>
          <cell r="U58" t="str">
            <v>000000000013444</v>
          </cell>
        </row>
        <row r="59">
          <cell r="D59">
            <v>46142</v>
          </cell>
          <cell r="E59" t="str">
            <v>26D21B</v>
          </cell>
          <cell r="M59">
            <v>46143</v>
          </cell>
          <cell r="N59">
            <v>11</v>
          </cell>
          <cell r="P59">
            <v>3600</v>
          </cell>
          <cell r="U59" t="str">
            <v>000000000013444</v>
          </cell>
        </row>
        <row r="60">
          <cell r="C60">
            <v>3600</v>
          </cell>
          <cell r="D60">
            <v>46142</v>
          </cell>
          <cell r="E60" t="str">
            <v>26D21B</v>
          </cell>
          <cell r="F60">
            <v>600</v>
          </cell>
          <cell r="M60">
            <v>46149</v>
          </cell>
          <cell r="N60">
            <v>5</v>
          </cell>
          <cell r="P60">
            <v>1800</v>
          </cell>
          <cell r="U60" t="str">
            <v>000000000013444</v>
          </cell>
        </row>
        <row r="61">
          <cell r="C61">
            <v>3600</v>
          </cell>
          <cell r="D61">
            <v>46143</v>
          </cell>
          <cell r="E61" t="str">
            <v>26D21C</v>
          </cell>
          <cell r="M61">
            <v>46150</v>
          </cell>
          <cell r="N61">
            <v>1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D62">
            <v>46143</v>
          </cell>
          <cell r="E62" t="str">
            <v>26D21C</v>
          </cell>
          <cell r="F62">
            <v>200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D63">
            <v>46143</v>
          </cell>
          <cell r="E63" t="str">
            <v>26D22A</v>
          </cell>
          <cell r="M63" t="str">
            <v>合計</v>
          </cell>
          <cell r="N63">
            <v>18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D64">
            <v>46143</v>
          </cell>
          <cell r="E64" t="str">
            <v>26D22A</v>
          </cell>
          <cell r="F64">
            <v>200</v>
          </cell>
          <cell r="M64" t="str">
            <v>入数</v>
          </cell>
          <cell r="N64">
            <v>3600</v>
          </cell>
          <cell r="P64">
            <v>3600</v>
          </cell>
          <cell r="U64" t="str">
            <v>000000000013444</v>
          </cell>
        </row>
        <row r="65">
          <cell r="D65">
            <v>46143</v>
          </cell>
          <cell r="E65" t="str">
            <v>26D21B</v>
          </cell>
          <cell r="M65" t="str">
            <v>作業者</v>
          </cell>
          <cell r="U65" t="str">
            <v>000000000013444</v>
          </cell>
        </row>
        <row r="66">
          <cell r="C66">
            <v>18</v>
          </cell>
          <cell r="D66">
            <v>46149</v>
          </cell>
          <cell r="E66" t="str">
            <v>26D21A</v>
          </cell>
          <cell r="F66">
            <v>1400</v>
          </cell>
          <cell r="M66" t="str">
            <v>I</v>
          </cell>
          <cell r="U66" t="str">
            <v>000000000013444</v>
          </cell>
        </row>
        <row r="67">
          <cell r="D67">
            <v>46150</v>
          </cell>
          <cell r="E67" t="str">
            <v>26D20C</v>
          </cell>
          <cell r="F67">
            <v>1200</v>
          </cell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/>
          <cell r="U68" t="str">
            <v>000000000013444</v>
          </cell>
        </row>
        <row r="69">
          <cell r="C69" t="str">
            <v>001EGAW　565</v>
          </cell>
          <cell r="M69">
            <v>46150</v>
          </cell>
          <cell r="N69">
            <v>7</v>
          </cell>
          <cell r="P69">
            <v>46150</v>
          </cell>
          <cell r="U69" t="str">
            <v>000000000013443</v>
          </cell>
        </row>
        <row r="70">
          <cell r="D70">
            <v>46150</v>
          </cell>
          <cell r="E70" t="str">
            <v>26D20C</v>
          </cell>
          <cell r="F70">
            <v>100</v>
          </cell>
          <cell r="P70">
            <v>1300</v>
          </cell>
          <cell r="U70" t="str">
            <v>000000000013443</v>
          </cell>
        </row>
        <row r="71">
          <cell r="C71">
            <v>1300</v>
          </cell>
          <cell r="D71">
            <v>46150</v>
          </cell>
          <cell r="E71" t="str">
            <v>26D20B</v>
          </cell>
          <cell r="P71">
            <v>650</v>
          </cell>
          <cell r="U71" t="str">
            <v>000000000013443</v>
          </cell>
        </row>
        <row r="72">
          <cell r="C72">
            <v>1300</v>
          </cell>
          <cell r="D72">
            <v>46150</v>
          </cell>
          <cell r="E72" t="str">
            <v>26D20B</v>
          </cell>
          <cell r="F72">
            <v>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D73">
            <v>46150</v>
          </cell>
          <cell r="E73" t="str">
            <v>26D20C</v>
          </cell>
          <cell r="F73">
            <v>400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D74">
            <v>46150</v>
          </cell>
          <cell r="E74" t="str">
            <v>26D20B</v>
          </cell>
          <cell r="F74">
            <v>400</v>
          </cell>
          <cell r="M74" t="str">
            <v>合計</v>
          </cell>
          <cell r="N74">
            <v>7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D75">
            <v>46150</v>
          </cell>
          <cell r="E75" t="str">
            <v>26D17B</v>
          </cell>
          <cell r="F75">
            <v>100</v>
          </cell>
          <cell r="M75" t="str">
            <v>入数</v>
          </cell>
          <cell r="N75">
            <v>1300</v>
          </cell>
          <cell r="P75">
            <v>1300</v>
          </cell>
          <cell r="U75" t="str">
            <v>000000000013443</v>
          </cell>
        </row>
        <row r="76">
          <cell r="D76">
            <v>46150</v>
          </cell>
          <cell r="E76" t="str">
            <v>26D17B</v>
          </cell>
          <cell r="M76" t="str">
            <v>作業者</v>
          </cell>
          <cell r="U76" t="str">
            <v>000000000013443</v>
          </cell>
        </row>
        <row r="77">
          <cell r="C77">
            <v>7</v>
          </cell>
          <cell r="M77" t="str">
            <v>I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/>
          <cell r="U79" t="str">
            <v>000000000013443</v>
          </cell>
        </row>
        <row r="80">
          <cell r="C80" t="str">
            <v>001EGAW　508</v>
          </cell>
          <cell r="M80">
            <v>46153</v>
          </cell>
          <cell r="N80">
            <v>7</v>
          </cell>
          <cell r="P80">
            <v>46153</v>
          </cell>
          <cell r="U80" t="str">
            <v>000000000013442</v>
          </cell>
        </row>
        <row r="81">
          <cell r="D81">
            <v>46150</v>
          </cell>
          <cell r="E81" t="str">
            <v>26D17B</v>
          </cell>
          <cell r="P81">
            <v>1300</v>
          </cell>
          <cell r="U81" t="str">
            <v>000000000013442</v>
          </cell>
        </row>
        <row r="82">
          <cell r="C82">
            <v>1300</v>
          </cell>
          <cell r="D82">
            <v>46153</v>
          </cell>
          <cell r="E82" t="str">
            <v>26D17B</v>
          </cell>
          <cell r="F82">
            <v>100</v>
          </cell>
          <cell r="P82">
            <v>650</v>
          </cell>
          <cell r="U82" t="str">
            <v>000000000013442</v>
          </cell>
        </row>
        <row r="83">
          <cell r="C83">
            <v>1300</v>
          </cell>
          <cell r="D83">
            <v>46153</v>
          </cell>
          <cell r="E83" t="str">
            <v>26D22A</v>
          </cell>
          <cell r="F83">
            <v>600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D84">
            <v>46153</v>
          </cell>
          <cell r="E84" t="str">
            <v>26D21C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D85">
            <v>46153</v>
          </cell>
          <cell r="E85" t="str">
            <v>26D21C</v>
          </cell>
          <cell r="M85" t="str">
            <v>合計</v>
          </cell>
          <cell r="N85">
            <v>7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D86">
            <v>46153</v>
          </cell>
          <cell r="E86" t="str">
            <v>26D21C</v>
          </cell>
          <cell r="F86">
            <v>600</v>
          </cell>
          <cell r="M86" t="str">
            <v>入数</v>
          </cell>
          <cell r="N86">
            <v>1300</v>
          </cell>
          <cell r="P86">
            <v>1300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7</v>
          </cell>
          <cell r="M88" t="str">
            <v>I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/>
          <cell r="U90" t="str">
            <v>000000000013442</v>
          </cell>
        </row>
        <row r="91">
          <cell r="C91" t="str">
            <v>001EGAW　415</v>
          </cell>
          <cell r="M91">
            <v>46153</v>
          </cell>
          <cell r="N91">
            <v>6</v>
          </cell>
          <cell r="P91">
            <v>46154</v>
          </cell>
          <cell r="U91" t="str">
            <v>000000000013441</v>
          </cell>
        </row>
        <row r="92">
          <cell r="D92">
            <v>46153</v>
          </cell>
          <cell r="E92" t="str">
            <v>端材</v>
          </cell>
          <cell r="F92">
            <v>650</v>
          </cell>
          <cell r="M92">
            <v>46154</v>
          </cell>
          <cell r="N92">
            <v>2</v>
          </cell>
          <cell r="P92">
            <v>1500</v>
          </cell>
          <cell r="U92" t="str">
            <v>000000000013441</v>
          </cell>
        </row>
        <row r="93">
          <cell r="C93">
            <v>1500</v>
          </cell>
          <cell r="D93">
            <v>46153</v>
          </cell>
          <cell r="E93" t="str">
            <v>26D21C</v>
          </cell>
          <cell r="F93">
            <v>600</v>
          </cell>
          <cell r="P93">
            <v>284</v>
          </cell>
          <cell r="U93" t="str">
            <v>000000000013441</v>
          </cell>
        </row>
        <row r="94">
          <cell r="C94">
            <v>1500</v>
          </cell>
          <cell r="D94">
            <v>46153</v>
          </cell>
          <cell r="E94" t="str">
            <v>26D21B</v>
          </cell>
          <cell r="F94">
            <v>50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D95">
            <v>46153</v>
          </cell>
          <cell r="E95" t="str">
            <v>26D22A</v>
          </cell>
          <cell r="F95">
            <v>100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D96">
            <v>46154</v>
          </cell>
          <cell r="E96" t="str">
            <v>26D17B</v>
          </cell>
          <cell r="F96">
            <v>50</v>
          </cell>
          <cell r="M96" t="str">
            <v>合計</v>
          </cell>
          <cell r="N96">
            <v>8</v>
          </cell>
          <cell r="P96">
            <v>650</v>
          </cell>
          <cell r="U96" t="str">
            <v>000000000013441</v>
          </cell>
        </row>
        <row r="97">
          <cell r="C97" t="str">
            <v>S-20</v>
          </cell>
          <cell r="D97">
            <v>46154</v>
          </cell>
          <cell r="E97" t="str">
            <v>26D21B</v>
          </cell>
          <cell r="F97">
            <v>50</v>
          </cell>
          <cell r="M97" t="str">
            <v>入数</v>
          </cell>
          <cell r="N97">
            <v>1500</v>
          </cell>
          <cell r="P97">
            <v>1500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8</v>
          </cell>
          <cell r="M99" t="str">
            <v>I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/>
          <cell r="U101" t="str">
            <v>000000000013441</v>
          </cell>
        </row>
        <row r="102">
          <cell r="C102" t="str">
            <v>灯具カバーPC IN 2110　L=1815</v>
          </cell>
          <cell r="D102">
            <v>46125</v>
          </cell>
          <cell r="E102" t="str">
            <v>26D01-01</v>
          </cell>
          <cell r="F102">
            <v>8</v>
          </cell>
          <cell r="M102">
            <v>46143</v>
          </cell>
          <cell r="N102">
            <v>1</v>
          </cell>
          <cell r="P102">
            <v>46149</v>
          </cell>
          <cell r="R102">
            <v>13</v>
          </cell>
          <cell r="U102" t="str">
            <v>000000000013718</v>
          </cell>
        </row>
        <row r="103">
          <cell r="D103">
            <v>46143</v>
          </cell>
          <cell r="E103" t="str">
            <v>26D15-01</v>
          </cell>
          <cell r="M103">
            <v>46149</v>
          </cell>
          <cell r="N103">
            <v>10</v>
          </cell>
          <cell r="P103">
            <v>176</v>
          </cell>
          <cell r="R103">
            <v>5</v>
          </cell>
          <cell r="U103" t="str">
            <v>000000000013718</v>
          </cell>
        </row>
        <row r="104">
          <cell r="C104">
            <v>176</v>
          </cell>
          <cell r="D104">
            <v>46149</v>
          </cell>
          <cell r="E104" t="str">
            <v>26D15-01</v>
          </cell>
          <cell r="F104">
            <v>186</v>
          </cell>
          <cell r="P104">
            <v>194</v>
          </cell>
          <cell r="U104" t="str">
            <v>000000000013718</v>
          </cell>
        </row>
        <row r="105">
          <cell r="C105">
            <v>176</v>
          </cell>
          <cell r="P105">
            <v>18</v>
          </cell>
          <cell r="U105" t="str">
            <v>000000000013718</v>
          </cell>
        </row>
        <row r="106">
          <cell r="C106">
            <v>1</v>
          </cell>
          <cell r="P106">
            <v>18</v>
          </cell>
          <cell r="U106" t="str">
            <v>000000000013718</v>
          </cell>
        </row>
        <row r="107">
          <cell r="C107">
            <v>16</v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000000000013718</v>
          </cell>
        </row>
        <row r="108">
          <cell r="C108" t="str">
            <v>灯具-2　L＝1996</v>
          </cell>
          <cell r="M108" t="str">
            <v>入数</v>
          </cell>
          <cell r="N108">
            <v>176</v>
          </cell>
          <cell r="P108">
            <v>194</v>
          </cell>
          <cell r="U108" t="str">
            <v>000000000013718</v>
          </cell>
        </row>
        <row r="109">
          <cell r="M109" t="str">
            <v>作業者</v>
          </cell>
          <cell r="U109" t="str">
            <v>000000000013718</v>
          </cell>
        </row>
        <row r="110">
          <cell r="C110">
            <v>11</v>
          </cell>
          <cell r="U110" t="str">
            <v>000000000013718</v>
          </cell>
        </row>
        <row r="111">
          <cell r="M111" t="str">
            <v>T</v>
          </cell>
          <cell r="R111">
            <v>18</v>
          </cell>
          <cell r="U111" t="str">
            <v>000000000013718</v>
          </cell>
        </row>
        <row r="112">
          <cell r="D112" t="str">
            <v>不良補填</v>
          </cell>
          <cell r="F112" t="str"/>
          <cell r="U112" t="str">
            <v>000000000013718</v>
          </cell>
        </row>
        <row r="113">
          <cell r="C113" t="str">
            <v>灯具カバーPC IN 2100　L=1923</v>
          </cell>
          <cell r="D113">
            <v>46051</v>
          </cell>
          <cell r="E113" t="str">
            <v>26A22-01</v>
          </cell>
          <cell r="F113">
            <v>6</v>
          </cell>
          <cell r="M113">
            <v>46149</v>
          </cell>
          <cell r="N113">
            <v>2</v>
          </cell>
          <cell r="P113">
            <v>46149</v>
          </cell>
          <cell r="R113">
            <v>1</v>
          </cell>
          <cell r="U113" t="str">
            <v>000000000013895</v>
          </cell>
        </row>
        <row r="114">
          <cell r="D114">
            <v>46149</v>
          </cell>
          <cell r="E114" t="str">
            <v>26D16-01</v>
          </cell>
          <cell r="F114">
            <v>27</v>
          </cell>
          <cell r="P114">
            <v>32</v>
          </cell>
          <cell r="U114" t="str">
            <v>000000000013895</v>
          </cell>
        </row>
        <row r="115">
          <cell r="C115">
            <v>32</v>
          </cell>
          <cell r="P115">
            <v>33</v>
          </cell>
          <cell r="U115" t="str">
            <v>000000000013895</v>
          </cell>
        </row>
        <row r="116">
          <cell r="C116">
            <v>32</v>
          </cell>
          <cell r="P116">
            <v>1</v>
          </cell>
          <cell r="U116" t="str">
            <v>000000000013895</v>
          </cell>
        </row>
        <row r="117">
          <cell r="C117">
            <v>1</v>
          </cell>
          <cell r="P117">
            <v>1</v>
          </cell>
          <cell r="U117" t="str">
            <v>000000000013895</v>
          </cell>
        </row>
        <row r="118">
          <cell r="C118">
            <v>16</v>
          </cell>
          <cell r="M118" t="str">
            <v>合計</v>
          </cell>
          <cell r="N118">
            <v>2</v>
          </cell>
          <cell r="P118">
            <v>0</v>
          </cell>
          <cell r="U118" t="str">
            <v>000000000013895</v>
          </cell>
        </row>
        <row r="119">
          <cell r="C119" t="str">
            <v>灯具-2　L＝1996</v>
          </cell>
          <cell r="M119" t="str">
            <v>入数</v>
          </cell>
          <cell r="N119">
            <v>32</v>
          </cell>
          <cell r="P119">
            <v>33</v>
          </cell>
          <cell r="U119" t="str">
            <v>000000000013895</v>
          </cell>
        </row>
        <row r="120">
          <cell r="M120" t="str">
            <v>作業者</v>
          </cell>
          <cell r="U120" t="str">
            <v>000000000013895</v>
          </cell>
        </row>
        <row r="121">
          <cell r="C121">
            <v>11</v>
          </cell>
          <cell r="U121" t="str">
            <v>000000000013895</v>
          </cell>
        </row>
        <row r="122">
          <cell r="M122" t="str">
            <v>T</v>
          </cell>
          <cell r="R122">
            <v>1</v>
          </cell>
          <cell r="U122" t="str">
            <v>000000000013895</v>
          </cell>
        </row>
        <row r="123">
          <cell r="D123" t="str">
            <v>不良補填</v>
          </cell>
          <cell r="F123" t="str"/>
          <cell r="U123" t="str">
            <v>000000000013895</v>
          </cell>
        </row>
        <row r="124">
          <cell r="C124" t="str">
            <v>灯具カバーPC IN 2100　L=1923</v>
          </cell>
          <cell r="M124">
            <v>46150</v>
          </cell>
          <cell r="N124">
            <v>4</v>
          </cell>
          <cell r="P124">
            <v>46150</v>
          </cell>
          <cell r="R124">
            <v>8</v>
          </cell>
          <cell r="U124" t="str">
            <v>000000000013896</v>
          </cell>
        </row>
        <row r="125">
          <cell r="D125">
            <v>46150</v>
          </cell>
          <cell r="E125" t="str">
            <v>26D16-01</v>
          </cell>
          <cell r="F125">
            <v>73</v>
          </cell>
          <cell r="P125">
            <v>64</v>
          </cell>
          <cell r="R125">
            <v>1</v>
          </cell>
          <cell r="U125" t="str">
            <v>000000000013896</v>
          </cell>
        </row>
        <row r="126">
          <cell r="C126">
            <v>64</v>
          </cell>
          <cell r="P126">
            <v>73</v>
          </cell>
          <cell r="U126" t="str">
            <v>000000000013896</v>
          </cell>
        </row>
        <row r="127">
          <cell r="C127">
            <v>64</v>
          </cell>
          <cell r="P127">
            <v>9</v>
          </cell>
          <cell r="U127" t="str">
            <v>000000000013896</v>
          </cell>
        </row>
        <row r="128">
          <cell r="C128">
            <v>1</v>
          </cell>
          <cell r="P128">
            <v>9</v>
          </cell>
          <cell r="U128" t="str">
            <v>000000000013896</v>
          </cell>
        </row>
        <row r="129">
          <cell r="C129">
            <v>16</v>
          </cell>
          <cell r="M129" t="str">
            <v>合計</v>
          </cell>
          <cell r="N129">
            <v>4</v>
          </cell>
          <cell r="P129">
            <v>0</v>
          </cell>
          <cell r="U129" t="str">
            <v>000000000013896</v>
          </cell>
        </row>
        <row r="130">
          <cell r="C130" t="str">
            <v>灯具-2　L＝1996</v>
          </cell>
          <cell r="M130" t="str">
            <v>入数</v>
          </cell>
          <cell r="N130">
            <v>64</v>
          </cell>
          <cell r="P130">
            <v>73</v>
          </cell>
          <cell r="U130" t="str">
            <v>000000000013896</v>
          </cell>
        </row>
        <row r="131">
          <cell r="M131" t="str">
            <v>作業者</v>
          </cell>
          <cell r="U131" t="str">
            <v>000000000013896</v>
          </cell>
        </row>
        <row r="132">
          <cell r="C132">
            <v>2</v>
          </cell>
          <cell r="U132" t="str">
            <v>000000000013896</v>
          </cell>
        </row>
        <row r="133">
          <cell r="M133" t="str">
            <v>T</v>
          </cell>
          <cell r="R133">
            <v>9</v>
          </cell>
          <cell r="U133" t="str">
            <v>000000000013896</v>
          </cell>
        </row>
        <row r="134">
          <cell r="D134" t="str">
            <v>不良補填</v>
          </cell>
          <cell r="F134" t="str"/>
          <cell r="U134" t="str">
            <v>000000000013896</v>
          </cell>
        </row>
        <row r="135">
          <cell r="C135" t="str">
            <v>灯具カバーPC IN 2470　L=1648</v>
          </cell>
          <cell r="D135">
            <v>45947</v>
          </cell>
          <cell r="E135" t="str">
            <v>25I27-01</v>
          </cell>
          <cell r="F135">
            <v>10</v>
          </cell>
          <cell r="M135">
            <v>46150</v>
          </cell>
          <cell r="N135">
            <v>6</v>
          </cell>
          <cell r="P135">
            <v>46150</v>
          </cell>
          <cell r="R135">
            <v>8</v>
          </cell>
          <cell r="U135" t="str">
            <v>000000000013717</v>
          </cell>
        </row>
        <row r="136">
          <cell r="D136">
            <v>46150</v>
          </cell>
          <cell r="E136" t="str">
            <v>26D16-01</v>
          </cell>
          <cell r="F136">
            <v>95</v>
          </cell>
          <cell r="P136">
            <v>96</v>
          </cell>
          <cell r="R136">
            <v>1</v>
          </cell>
          <cell r="U136" t="str">
            <v>000000000013717</v>
          </cell>
        </row>
        <row r="137">
          <cell r="C137">
            <v>96</v>
          </cell>
          <cell r="P137">
            <v>105</v>
          </cell>
          <cell r="U137" t="str">
            <v>000000000013717</v>
          </cell>
        </row>
        <row r="138">
          <cell r="C138">
            <v>96</v>
          </cell>
          <cell r="P138">
            <v>9</v>
          </cell>
          <cell r="U138" t="str">
            <v>000000000013717</v>
          </cell>
        </row>
        <row r="139">
          <cell r="C139">
            <v>1</v>
          </cell>
          <cell r="P139">
            <v>9</v>
          </cell>
          <cell r="U139" t="str">
            <v>000000000013717</v>
          </cell>
        </row>
        <row r="140">
          <cell r="C140">
            <v>16</v>
          </cell>
          <cell r="M140" t="str">
            <v>合計</v>
          </cell>
          <cell r="N140">
            <v>6</v>
          </cell>
          <cell r="P140">
            <v>0</v>
          </cell>
          <cell r="U140" t="str">
            <v>000000000013717</v>
          </cell>
        </row>
        <row r="141">
          <cell r="C141" t="str">
            <v>灯具-2　L＝1996</v>
          </cell>
          <cell r="M141" t="str">
            <v>入数</v>
          </cell>
          <cell r="N141">
            <v>96</v>
          </cell>
          <cell r="P141">
            <v>105</v>
          </cell>
          <cell r="U141" t="str">
            <v>000000000013717</v>
          </cell>
        </row>
        <row r="142">
          <cell r="M142" t="str">
            <v>作業者</v>
          </cell>
          <cell r="U142" t="str">
            <v>000000000013717</v>
          </cell>
        </row>
        <row r="143">
          <cell r="C143">
            <v>4</v>
          </cell>
          <cell r="U143" t="str">
            <v>000000000013717</v>
          </cell>
        </row>
        <row r="144">
          <cell r="M144" t="str">
            <v>T</v>
          </cell>
          <cell r="R144">
            <v>9</v>
          </cell>
          <cell r="U144" t="str">
            <v>000000000013717</v>
          </cell>
        </row>
        <row r="145">
          <cell r="D145" t="str">
            <v>不良補填</v>
          </cell>
          <cell r="F145" t="str"/>
          <cell r="U145" t="str">
            <v>000000000013717</v>
          </cell>
        </row>
        <row r="146">
          <cell r="C146" t="str">
            <v>灯具カバーPC IN 2490　L=1264</v>
          </cell>
          <cell r="D146">
            <v>45922</v>
          </cell>
          <cell r="E146" t="str">
            <v>25I07-01</v>
          </cell>
          <cell r="F146">
            <v>7</v>
          </cell>
          <cell r="M146">
            <v>46153</v>
          </cell>
          <cell r="N146">
            <v>5</v>
          </cell>
          <cell r="P146">
            <v>46153</v>
          </cell>
          <cell r="R146">
            <v>5</v>
          </cell>
          <cell r="U146" t="str">
            <v>000000000013714</v>
          </cell>
        </row>
        <row r="147">
          <cell r="D147">
            <v>46153</v>
          </cell>
          <cell r="E147" t="str">
            <v>26D15-01</v>
          </cell>
          <cell r="F147">
            <v>86</v>
          </cell>
          <cell r="P147">
            <v>80</v>
          </cell>
          <cell r="R147">
            <v>8</v>
          </cell>
          <cell r="U147" t="str">
            <v>000000000013714</v>
          </cell>
        </row>
        <row r="148">
          <cell r="C148">
            <v>80</v>
          </cell>
          <cell r="P148">
            <v>93</v>
          </cell>
          <cell r="U148" t="str">
            <v>000000000013714</v>
          </cell>
        </row>
        <row r="149">
          <cell r="C149">
            <v>80</v>
          </cell>
          <cell r="P149">
            <v>13</v>
          </cell>
          <cell r="U149" t="str">
            <v>000000000013714</v>
          </cell>
        </row>
        <row r="150">
          <cell r="C150">
            <v>1</v>
          </cell>
          <cell r="P150">
            <v>13</v>
          </cell>
          <cell r="U150" t="str">
            <v>000000000013714</v>
          </cell>
        </row>
        <row r="151">
          <cell r="C151">
            <v>16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000000000013714</v>
          </cell>
        </row>
        <row r="152">
          <cell r="C152" t="str">
            <v>灯具-1　L=1370</v>
          </cell>
          <cell r="M152" t="str">
            <v>入数</v>
          </cell>
          <cell r="N152">
            <v>80</v>
          </cell>
          <cell r="P152">
            <v>93</v>
          </cell>
          <cell r="U152" t="str">
            <v>000000000013714</v>
          </cell>
        </row>
        <row r="153">
          <cell r="M153" t="str">
            <v>作業者</v>
          </cell>
          <cell r="U153" t="str">
            <v>000000000013714</v>
          </cell>
        </row>
        <row r="154">
          <cell r="C154">
            <v>5</v>
          </cell>
          <cell r="U154" t="str">
            <v>000000000013714</v>
          </cell>
        </row>
        <row r="155">
          <cell r="M155" t="str">
            <v>I</v>
          </cell>
          <cell r="R155">
            <v>13</v>
          </cell>
          <cell r="U155" t="str">
            <v>000000000013714</v>
          </cell>
        </row>
        <row r="156">
          <cell r="D156" t="str">
            <v>不良補填</v>
          </cell>
          <cell r="F156" t="str"/>
          <cell r="U156" t="str">
            <v>000000000013714</v>
          </cell>
        </row>
        <row r="157">
          <cell r="C157" t="str">
            <v>灯具カバーPC IN 2460　L=1291</v>
          </cell>
          <cell r="M157">
            <v>46153</v>
          </cell>
          <cell r="N157">
            <v>5</v>
          </cell>
          <cell r="P157">
            <v>46153</v>
          </cell>
          <cell r="R157">
            <v>11</v>
          </cell>
          <cell r="U157" t="str">
            <v>000000000013715</v>
          </cell>
        </row>
        <row r="158">
          <cell r="D158">
            <v>46153</v>
          </cell>
          <cell r="E158" t="str">
            <v>26D15-01</v>
          </cell>
          <cell r="F158">
            <v>92</v>
          </cell>
          <cell r="P158">
            <v>80</v>
          </cell>
          <cell r="R158">
            <v>1</v>
          </cell>
          <cell r="U158" t="str">
            <v>000000000013715</v>
          </cell>
        </row>
        <row r="159">
          <cell r="C159">
            <v>80</v>
          </cell>
          <cell r="P159">
            <v>92</v>
          </cell>
          <cell r="U159" t="str">
            <v>000000000013715</v>
          </cell>
        </row>
        <row r="160">
          <cell r="C160">
            <v>80</v>
          </cell>
          <cell r="P160">
            <v>12</v>
          </cell>
          <cell r="U160" t="str">
            <v>000000000013715</v>
          </cell>
        </row>
        <row r="161">
          <cell r="C161">
            <v>1</v>
          </cell>
          <cell r="P161">
            <v>12</v>
          </cell>
          <cell r="U161" t="str">
            <v>000000000013715</v>
          </cell>
        </row>
        <row r="162">
          <cell r="C162">
            <v>16</v>
          </cell>
          <cell r="M162" t="str">
            <v>合計</v>
          </cell>
          <cell r="N162">
            <v>5</v>
          </cell>
          <cell r="P162">
            <v>0</v>
          </cell>
          <cell r="U162" t="str">
            <v>000000000013715</v>
          </cell>
        </row>
        <row r="163">
          <cell r="C163" t="str">
            <v>灯具-1　L=1370</v>
          </cell>
          <cell r="M163" t="str">
            <v>入数</v>
          </cell>
          <cell r="N163">
            <v>80</v>
          </cell>
          <cell r="P163">
            <v>92</v>
          </cell>
          <cell r="U163" t="str">
            <v>000000000013715</v>
          </cell>
        </row>
        <row r="164">
          <cell r="M164" t="str">
            <v>作業者</v>
          </cell>
          <cell r="U164" t="str">
            <v>000000000013715</v>
          </cell>
        </row>
        <row r="165">
          <cell r="C165">
            <v>5</v>
          </cell>
          <cell r="U165" t="str">
            <v>000000000013715</v>
          </cell>
        </row>
        <row r="166">
          <cell r="M166" t="str">
            <v>I</v>
          </cell>
          <cell r="R166">
            <v>12</v>
          </cell>
          <cell r="U166" t="str">
            <v>000000000013715</v>
          </cell>
        </row>
        <row r="167">
          <cell r="D167" t="str">
            <v>不良補填</v>
          </cell>
          <cell r="F167" t="str"/>
          <cell r="U167" t="str">
            <v>000000000013715</v>
          </cell>
        </row>
        <row r="168">
          <cell r="C168" t="str">
            <v>灯具カバーPC IN 2500　L=1238</v>
          </cell>
          <cell r="D168">
            <v>45945</v>
          </cell>
          <cell r="E168" t="str">
            <v>25I27-01</v>
          </cell>
          <cell r="F168">
            <v>11</v>
          </cell>
          <cell r="M168">
            <v>46154</v>
          </cell>
          <cell r="N168">
            <v>5</v>
          </cell>
          <cell r="P168">
            <v>46154</v>
          </cell>
          <cell r="R168">
            <v>22</v>
          </cell>
          <cell r="U168" t="str">
            <v>000000000013712</v>
          </cell>
        </row>
        <row r="169">
          <cell r="D169">
            <v>46154</v>
          </cell>
          <cell r="E169" t="str">
            <v>26D15-01</v>
          </cell>
          <cell r="F169">
            <v>95</v>
          </cell>
          <cell r="P169">
            <v>80</v>
          </cell>
          <cell r="R169">
            <v>4</v>
          </cell>
          <cell r="U169" t="str">
            <v>000000000013712</v>
          </cell>
        </row>
        <row r="170">
          <cell r="C170">
            <v>80</v>
          </cell>
          <cell r="P170">
            <v>106</v>
          </cell>
          <cell r="U170" t="str">
            <v>000000000013712</v>
          </cell>
        </row>
        <row r="171">
          <cell r="C171">
            <v>80</v>
          </cell>
          <cell r="P171">
            <v>26</v>
          </cell>
          <cell r="U171" t="str">
            <v>000000000013712</v>
          </cell>
        </row>
        <row r="172">
          <cell r="C172">
            <v>1</v>
          </cell>
          <cell r="P172">
            <v>26</v>
          </cell>
          <cell r="U172" t="str">
            <v>000000000013712</v>
          </cell>
        </row>
        <row r="173">
          <cell r="C173">
            <v>16</v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000000000013712</v>
          </cell>
        </row>
        <row r="174">
          <cell r="C174" t="str">
            <v>灯具-1　L=1370</v>
          </cell>
          <cell r="M174" t="str">
            <v>入数</v>
          </cell>
          <cell r="N174">
            <v>80</v>
          </cell>
          <cell r="P174">
            <v>106</v>
          </cell>
          <cell r="U174" t="str">
            <v>000000000013712</v>
          </cell>
        </row>
        <row r="175">
          <cell r="M175" t="str">
            <v>作業者</v>
          </cell>
          <cell r="U175" t="str">
            <v>000000000013712</v>
          </cell>
        </row>
        <row r="176">
          <cell r="C176">
            <v>5</v>
          </cell>
          <cell r="U176" t="str">
            <v>000000000013712</v>
          </cell>
        </row>
        <row r="177">
          <cell r="M177" t="str">
            <v>I</v>
          </cell>
          <cell r="R177">
            <v>26</v>
          </cell>
          <cell r="U177" t="str">
            <v>000000000013712</v>
          </cell>
        </row>
        <row r="178">
          <cell r="D178" t="str">
            <v>不良補填</v>
          </cell>
          <cell r="F178" t="str"/>
          <cell r="U178" t="str">
            <v>000000000013712</v>
          </cell>
        </row>
        <row r="179">
          <cell r="C179" t="str">
            <v>灯具カバーPC IN 2060　L=1258.5</v>
          </cell>
          <cell r="D179">
            <v>46128</v>
          </cell>
          <cell r="E179" t="str">
            <v>26C31-01</v>
          </cell>
          <cell r="F179">
            <v>7</v>
          </cell>
          <cell r="M179">
            <v>46154</v>
          </cell>
          <cell r="N179">
            <v>5</v>
          </cell>
          <cell r="P179">
            <v>46154</v>
          </cell>
          <cell r="R179">
            <v>13</v>
          </cell>
          <cell r="U179" t="str">
            <v>000000000013713</v>
          </cell>
        </row>
        <row r="180">
          <cell r="D180">
            <v>46154</v>
          </cell>
          <cell r="E180" t="str">
            <v>26D15-01</v>
          </cell>
          <cell r="F180">
            <v>90</v>
          </cell>
          <cell r="P180">
            <v>80</v>
          </cell>
          <cell r="R180">
            <v>4</v>
          </cell>
          <cell r="U180" t="str">
            <v>000000000013713</v>
          </cell>
        </row>
        <row r="181">
          <cell r="C181">
            <v>80</v>
          </cell>
          <cell r="P181">
            <v>97</v>
          </cell>
          <cell r="U181" t="str">
            <v>000000000013713</v>
          </cell>
        </row>
        <row r="182">
          <cell r="C182">
            <v>80</v>
          </cell>
          <cell r="P182">
            <v>17</v>
          </cell>
          <cell r="U182" t="str">
            <v>000000000013713</v>
          </cell>
        </row>
        <row r="183">
          <cell r="C183">
            <v>1</v>
          </cell>
          <cell r="P183">
            <v>17</v>
          </cell>
          <cell r="U183" t="str">
            <v>000000000013713</v>
          </cell>
        </row>
        <row r="184">
          <cell r="C184">
            <v>16</v>
          </cell>
          <cell r="M184" t="str">
            <v>合計</v>
          </cell>
          <cell r="N184">
            <v>5</v>
          </cell>
          <cell r="P184">
            <v>0</v>
          </cell>
          <cell r="U184" t="str">
            <v>000000000013713</v>
          </cell>
        </row>
        <row r="185">
          <cell r="C185" t="str">
            <v>灯具-1　L=1370</v>
          </cell>
          <cell r="M185" t="str">
            <v>入数</v>
          </cell>
          <cell r="N185">
            <v>210</v>
          </cell>
          <cell r="P185">
            <v>97</v>
          </cell>
          <cell r="U185" t="str">
            <v>000000000013713</v>
          </cell>
        </row>
        <row r="186">
          <cell r="M186" t="str">
            <v>作業者</v>
          </cell>
          <cell r="U186" t="str">
            <v>000000000013713</v>
          </cell>
        </row>
        <row r="187">
          <cell r="C187">
            <v>5</v>
          </cell>
          <cell r="U187" t="str">
            <v>000000000013713</v>
          </cell>
        </row>
        <row r="188">
          <cell r="M188" t="str">
            <v>I</v>
          </cell>
          <cell r="R188">
            <v>17</v>
          </cell>
          <cell r="U188" t="str">
            <v>000000000013713</v>
          </cell>
        </row>
        <row r="189">
          <cell r="D189" t="str">
            <v>不良補填</v>
          </cell>
          <cell r="F189" t="str"/>
          <cell r="U189" t="str">
            <v>000000000013713</v>
          </cell>
        </row>
        <row r="190">
          <cell r="C190" t="str">
            <v>採光ルーバーパネルB　L=1996</v>
          </cell>
          <cell r="D190">
            <v>46107</v>
          </cell>
          <cell r="E190" t="str">
            <v>26C21-03</v>
          </cell>
          <cell r="F190">
            <v>18</v>
          </cell>
          <cell r="M190">
            <v>46156</v>
          </cell>
          <cell r="N190">
            <v>3</v>
          </cell>
          <cell r="P190">
            <v>46156</v>
          </cell>
          <cell r="R190">
            <v>4</v>
          </cell>
          <cell r="U190" t="str">
            <v>000000000014477</v>
          </cell>
        </row>
        <row r="191">
          <cell r="D191">
            <v>46155</v>
          </cell>
          <cell r="E191" t="str">
            <v>26C13-05</v>
          </cell>
          <cell r="P191">
            <v>126</v>
          </cell>
          <cell r="R191">
            <v>53</v>
          </cell>
          <cell r="U191" t="str">
            <v>000000000014477</v>
          </cell>
        </row>
        <row r="192">
          <cell r="C192">
            <v>126</v>
          </cell>
          <cell r="D192">
            <v>46155</v>
          </cell>
          <cell r="E192" t="str">
            <v>26C13-05</v>
          </cell>
          <cell r="P192">
            <v>188</v>
          </cell>
          <cell r="R192">
            <v>5</v>
          </cell>
          <cell r="U192" t="str">
            <v>000000000014477</v>
          </cell>
        </row>
        <row r="193">
          <cell r="C193">
            <v>126</v>
          </cell>
          <cell r="D193">
            <v>46155</v>
          </cell>
          <cell r="E193" t="str">
            <v>26C13-05</v>
          </cell>
          <cell r="F193">
            <v>108</v>
          </cell>
          <cell r="P193">
            <v>62</v>
          </cell>
          <cell r="U193" t="str">
            <v>000000000014477</v>
          </cell>
        </row>
        <row r="194">
          <cell r="C194">
            <v>1</v>
          </cell>
          <cell r="D194">
            <v>46155</v>
          </cell>
          <cell r="E194" t="str">
            <v>26C13-05</v>
          </cell>
          <cell r="F194">
            <v>55</v>
          </cell>
          <cell r="P194">
            <v>62</v>
          </cell>
          <cell r="U194" t="str">
            <v>000000000014477</v>
          </cell>
        </row>
        <row r="195">
          <cell r="C195">
            <v>42</v>
          </cell>
          <cell r="D195">
            <v>46156</v>
          </cell>
          <cell r="E195" t="str">
            <v>26E12-01</v>
          </cell>
          <cell r="F195">
            <v>7</v>
          </cell>
          <cell r="M195" t="str">
            <v>合計</v>
          </cell>
          <cell r="N195">
            <v>3</v>
          </cell>
          <cell r="P195">
            <v>0</v>
          </cell>
          <cell r="U195" t="str">
            <v>000000000014477</v>
          </cell>
        </row>
        <row r="196">
          <cell r="C196" t="str">
            <v>上-1</v>
          </cell>
          <cell r="M196" t="str">
            <v>入数</v>
          </cell>
          <cell r="N196">
            <v>126</v>
          </cell>
          <cell r="P196">
            <v>188</v>
          </cell>
          <cell r="U196" t="str">
            <v>000000000014477</v>
          </cell>
        </row>
        <row r="197">
          <cell r="M197" t="str">
            <v>作業者</v>
          </cell>
          <cell r="U197" t="str">
            <v>000000000014477</v>
          </cell>
        </row>
        <row r="198">
          <cell r="C198">
            <v>3</v>
          </cell>
          <cell r="M198" t="str">
            <v>I</v>
          </cell>
          <cell r="U198" t="str">
            <v>000000000014477</v>
          </cell>
        </row>
        <row r="199">
          <cell r="M199" t="str">
            <v>T</v>
          </cell>
          <cell r="R199">
            <v>62</v>
          </cell>
          <cell r="U199" t="str">
            <v>000000000014477</v>
          </cell>
        </row>
        <row r="200">
          <cell r="D200" t="str">
            <v>不良補填</v>
          </cell>
          <cell r="F200">
            <v>62</v>
          </cell>
          <cell r="U200" t="str">
            <v>000000000014477</v>
          </cell>
        </row>
        <row r="201">
          <cell r="C201" t="str">
            <v>8FL281304 6110　L=1478</v>
          </cell>
          <cell r="D201">
            <v>46135</v>
          </cell>
          <cell r="E201" t="str">
            <v>26D03-04</v>
          </cell>
          <cell r="F201">
            <v>11</v>
          </cell>
          <cell r="M201">
            <v>46153</v>
          </cell>
          <cell r="N201">
            <v>7</v>
          </cell>
          <cell r="P201">
            <v>46153</v>
          </cell>
          <cell r="R201">
            <v>5</v>
          </cell>
          <cell r="U201" t="str">
            <v>000000000013824</v>
          </cell>
        </row>
        <row r="202">
          <cell r="D202">
            <v>46154</v>
          </cell>
          <cell r="E202" t="str">
            <v>26D18-08</v>
          </cell>
          <cell r="P202">
            <v>700</v>
          </cell>
          <cell r="R202">
            <v>1</v>
          </cell>
          <cell r="U202" t="str">
            <v>000000000013824</v>
          </cell>
        </row>
        <row r="203">
          <cell r="C203">
            <v>700</v>
          </cell>
          <cell r="D203">
            <v>46154</v>
          </cell>
          <cell r="E203" t="str">
            <v>26D18-08</v>
          </cell>
          <cell r="P203">
            <v>710</v>
          </cell>
          <cell r="R203">
            <v>1</v>
          </cell>
          <cell r="U203" t="str">
            <v>000000000013824</v>
          </cell>
        </row>
        <row r="204">
          <cell r="C204">
            <v>700</v>
          </cell>
          <cell r="D204">
            <v>46154</v>
          </cell>
          <cell r="E204" t="str">
            <v>26D18-08</v>
          </cell>
          <cell r="F204">
            <v>389</v>
          </cell>
          <cell r="P204">
            <v>10</v>
          </cell>
          <cell r="U204" t="str">
            <v>000000000013824</v>
          </cell>
        </row>
        <row r="205">
          <cell r="C205">
            <v>1</v>
          </cell>
          <cell r="D205">
            <v>46154</v>
          </cell>
          <cell r="E205" t="str">
            <v>26D18-08</v>
          </cell>
          <cell r="F205">
            <v>300</v>
          </cell>
          <cell r="P205">
            <v>10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7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700</v>
          </cell>
          <cell r="P207">
            <v>710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7</v>
          </cell>
          <cell r="M209" t="str">
            <v>I</v>
          </cell>
          <cell r="R209">
            <v>3</v>
          </cell>
          <cell r="U209" t="str">
            <v>000000000013824</v>
          </cell>
        </row>
        <row r="210">
          <cell r="M210" t="str">
            <v>T</v>
          </cell>
          <cell r="R210">
            <v>10</v>
          </cell>
          <cell r="U210" t="str">
            <v>000000000013824</v>
          </cell>
        </row>
        <row r="211">
          <cell r="D211" t="str">
            <v>不良補填</v>
          </cell>
          <cell r="E211" t="str">
            <v>26D18-08</v>
          </cell>
          <cell r="F211">
            <v>10</v>
          </cell>
          <cell r="U211" t="str">
            <v>000000000013824</v>
          </cell>
        </row>
        <row r="212">
          <cell r="C212" t="str">
            <v>8FL281304 6110　L=1478</v>
          </cell>
          <cell r="M212">
            <v>46156</v>
          </cell>
          <cell r="N212">
            <v>2</v>
          </cell>
          <cell r="P212">
            <v>46156</v>
          </cell>
          <cell r="U212" t="str">
            <v>000000000014225</v>
          </cell>
        </row>
        <row r="213">
          <cell r="D213">
            <v>46155</v>
          </cell>
          <cell r="E213" t="str">
            <v>26D18-08</v>
          </cell>
          <cell r="P213">
            <v>200</v>
          </cell>
          <cell r="R213">
            <v>1</v>
          </cell>
          <cell r="U213" t="str">
            <v>000000000014225</v>
          </cell>
        </row>
        <row r="214">
          <cell r="C214">
            <v>200</v>
          </cell>
          <cell r="D214">
            <v>46155</v>
          </cell>
          <cell r="E214" t="str">
            <v>26D18-08</v>
          </cell>
          <cell r="F214">
            <v>24</v>
          </cell>
          <cell r="P214">
            <v>202</v>
          </cell>
          <cell r="R214">
            <v>1</v>
          </cell>
          <cell r="U214" t="str">
            <v>000000000014225</v>
          </cell>
        </row>
        <row r="215">
          <cell r="C215">
            <v>200</v>
          </cell>
          <cell r="D215">
            <v>46155</v>
          </cell>
          <cell r="E215" t="str">
            <v>26D21-09</v>
          </cell>
          <cell r="P215">
            <v>2</v>
          </cell>
          <cell r="U215" t="str">
            <v>000000000014225</v>
          </cell>
        </row>
        <row r="216">
          <cell r="C216">
            <v>1</v>
          </cell>
          <cell r="D216">
            <v>46156</v>
          </cell>
          <cell r="E216" t="str">
            <v>26D21-09</v>
          </cell>
          <cell r="P216">
            <v>2</v>
          </cell>
          <cell r="U216" t="str">
            <v>000000000014225</v>
          </cell>
        </row>
        <row r="217">
          <cell r="C217">
            <v>100</v>
          </cell>
          <cell r="D217">
            <v>46156</v>
          </cell>
          <cell r="E217" t="str">
            <v>26D21-09</v>
          </cell>
          <cell r="F217">
            <v>176</v>
          </cell>
          <cell r="M217" t="str">
            <v>合計</v>
          </cell>
          <cell r="N217">
            <v>2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200</v>
          </cell>
          <cell r="P218">
            <v>202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2</v>
          </cell>
          <cell r="M220" t="str">
            <v>I</v>
          </cell>
          <cell r="U220" t="str">
            <v>000000000014225</v>
          </cell>
        </row>
        <row r="221">
          <cell r="M221" t="str">
            <v>T</v>
          </cell>
          <cell r="R221">
            <v>2</v>
          </cell>
          <cell r="U221" t="str">
            <v>000000000014225</v>
          </cell>
        </row>
        <row r="222">
          <cell r="D222" t="str">
            <v>不良補填</v>
          </cell>
          <cell r="E222" t="str">
            <v>26D18-08</v>
          </cell>
          <cell r="F222">
            <v>2</v>
          </cell>
          <cell r="U222" t="str">
            <v>000000000014225</v>
          </cell>
        </row>
        <row r="223">
          <cell r="C223" t="str">
            <v>8FL281304 6110　L=1478</v>
          </cell>
          <cell r="M223">
            <v>46156</v>
          </cell>
          <cell r="N223">
            <v>2</v>
          </cell>
          <cell r="P223">
            <v>46156</v>
          </cell>
          <cell r="U223" t="str">
            <v>000000000014226</v>
          </cell>
        </row>
        <row r="224">
          <cell r="D224">
            <v>46156</v>
          </cell>
          <cell r="E224" t="str">
            <v>26D21-09</v>
          </cell>
          <cell r="P224">
            <v>200</v>
          </cell>
          <cell r="U224" t="str">
            <v>000000000014226</v>
          </cell>
        </row>
        <row r="225">
          <cell r="C225">
            <v>200</v>
          </cell>
          <cell r="D225">
            <v>46156</v>
          </cell>
          <cell r="E225" t="str">
            <v>26D21-09</v>
          </cell>
          <cell r="F225">
            <v>200</v>
          </cell>
          <cell r="P225">
            <v>200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2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200</v>
          </cell>
          <cell r="P229">
            <v>200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2</v>
          </cell>
          <cell r="M231" t="str">
            <v>I</v>
          </cell>
          <cell r="U231" t="str">
            <v>000000000014226</v>
          </cell>
        </row>
        <row r="232">
          <cell r="M232" t="str">
            <v>T</v>
          </cell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D234">
            <v>46136</v>
          </cell>
          <cell r="E234" t="str">
            <v>26D15-05</v>
          </cell>
          <cell r="F234">
            <v>8</v>
          </cell>
          <cell r="M234">
            <v>46157</v>
          </cell>
          <cell r="N234">
            <v>8</v>
          </cell>
          <cell r="P234">
            <v>46157</v>
          </cell>
          <cell r="R234">
            <v>2</v>
          </cell>
          <cell r="U234" t="str">
            <v>000000000013820</v>
          </cell>
        </row>
        <row r="235">
          <cell r="D235">
            <v>46156</v>
          </cell>
          <cell r="E235" t="str">
            <v>26D21-09</v>
          </cell>
          <cell r="P235">
            <v>800</v>
          </cell>
          <cell r="U235" t="str">
            <v>000000000013820</v>
          </cell>
        </row>
        <row r="236">
          <cell r="C236">
            <v>800</v>
          </cell>
          <cell r="D236">
            <v>46156</v>
          </cell>
          <cell r="E236" t="str">
            <v>26D21-09</v>
          </cell>
          <cell r="F236">
            <v>392</v>
          </cell>
          <cell r="P236">
            <v>401</v>
          </cell>
          <cell r="U236" t="str">
            <v>000000000013820</v>
          </cell>
        </row>
        <row r="237">
          <cell r="C237">
            <v>800</v>
          </cell>
          <cell r="D237">
            <v>46156</v>
          </cell>
          <cell r="E237" t="str">
            <v>26D21-09</v>
          </cell>
          <cell r="F237">
            <v>400</v>
          </cell>
          <cell r="P237">
            <v>2</v>
          </cell>
          <cell r="U237" t="str">
            <v>000000000013820</v>
          </cell>
        </row>
        <row r="238">
          <cell r="C238">
            <v>2</v>
          </cell>
          <cell r="P238">
            <v>1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8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336</v>
          </cell>
          <cell r="P240">
            <v>802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8</v>
          </cell>
          <cell r="M242" t="str">
            <v>I</v>
          </cell>
          <cell r="U242" t="str">
            <v>000000000013820</v>
          </cell>
        </row>
        <row r="243">
          <cell r="M243" t="str">
            <v>T</v>
          </cell>
          <cell r="R243">
            <v>2</v>
          </cell>
          <cell r="U243" t="str">
            <v>000000000013820</v>
          </cell>
        </row>
        <row r="244">
          <cell r="D244" t="str">
            <v>不良補填</v>
          </cell>
          <cell r="E244" t="str">
            <v>26D21-09</v>
          </cell>
          <cell r="F244">
            <v>2</v>
          </cell>
          <cell r="U244" t="str">
            <v>000000000013820</v>
          </cell>
        </row>
        <row r="245">
          <cell r="C245" t="str">
            <v>採光ルーバーパネルB　L=1996</v>
          </cell>
          <cell r="M245">
            <v>46157</v>
          </cell>
          <cell r="N245">
            <v>5</v>
          </cell>
          <cell r="P245">
            <v>46160</v>
          </cell>
          <cell r="R245">
            <v>1</v>
          </cell>
          <cell r="U245" t="str">
            <v>000000000014040</v>
          </cell>
        </row>
        <row r="246">
          <cell r="D246">
            <v>46157</v>
          </cell>
          <cell r="E246" t="str">
            <v>26E12-01</v>
          </cell>
          <cell r="M246">
            <v>46160</v>
          </cell>
          <cell r="N246">
            <v>2</v>
          </cell>
          <cell r="P246">
            <v>294</v>
          </cell>
          <cell r="R246">
            <v>34</v>
          </cell>
          <cell r="U246" t="str">
            <v>000000000014040</v>
          </cell>
        </row>
        <row r="247">
          <cell r="C247">
            <v>294</v>
          </cell>
          <cell r="D247">
            <v>46157</v>
          </cell>
          <cell r="E247" t="str">
            <v>26E12-01</v>
          </cell>
          <cell r="P247">
            <v>340</v>
          </cell>
          <cell r="U247" t="str">
            <v>000000000014040</v>
          </cell>
        </row>
        <row r="248">
          <cell r="C248">
            <v>294</v>
          </cell>
          <cell r="D248">
            <v>46157</v>
          </cell>
          <cell r="E248" t="str">
            <v>26E12-01</v>
          </cell>
          <cell r="P248">
            <v>46</v>
          </cell>
          <cell r="U248" t="str">
            <v>000000000014040</v>
          </cell>
        </row>
        <row r="249">
          <cell r="C249">
            <v>1</v>
          </cell>
          <cell r="D249">
            <v>46157</v>
          </cell>
          <cell r="E249" t="str">
            <v>26E12-01</v>
          </cell>
          <cell r="F249">
            <v>294</v>
          </cell>
          <cell r="P249">
            <v>46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7</v>
          </cell>
          <cell r="P250">
            <v>0</v>
          </cell>
          <cell r="R250">
            <v>9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700</v>
          </cell>
          <cell r="P251">
            <v>340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7</v>
          </cell>
          <cell r="M253" t="str">
            <v>I</v>
          </cell>
          <cell r="U253" t="str">
            <v>000000000014040</v>
          </cell>
        </row>
        <row r="254">
          <cell r="M254" t="str">
            <v>T</v>
          </cell>
          <cell r="N254" t="str">
            <v>U</v>
          </cell>
          <cell r="R254">
            <v>46</v>
          </cell>
          <cell r="U254" t="str">
            <v>000000000014040</v>
          </cell>
        </row>
        <row r="255">
          <cell r="D255" t="str">
            <v>不良補填</v>
          </cell>
          <cell r="E255" t="str">
            <v>26E12-01</v>
          </cell>
          <cell r="F255">
            <v>46</v>
          </cell>
          <cell r="U255" t="str">
            <v>000000000014040</v>
          </cell>
        </row>
        <row r="256">
          <cell r="C256" t="str">
            <v>8FL281304 6110　L=1478</v>
          </cell>
          <cell r="M256">
            <v>46160</v>
          </cell>
          <cell r="N256">
            <v>3</v>
          </cell>
          <cell r="P256">
            <v>46160</v>
          </cell>
          <cell r="R256">
            <v>1</v>
          </cell>
          <cell r="U256" t="str">
            <v>000000000013825</v>
          </cell>
        </row>
        <row r="257">
          <cell r="D257">
            <v>46156</v>
          </cell>
          <cell r="E257" t="str">
            <v>26D21-09</v>
          </cell>
          <cell r="P257">
            <v>300</v>
          </cell>
          <cell r="U257" t="str">
            <v>000000000013825</v>
          </cell>
        </row>
        <row r="258">
          <cell r="C258">
            <v>300</v>
          </cell>
          <cell r="D258">
            <v>46156</v>
          </cell>
          <cell r="E258" t="str">
            <v>26D21-09</v>
          </cell>
          <cell r="F258">
            <v>6</v>
          </cell>
          <cell r="P258">
            <v>303</v>
          </cell>
          <cell r="U258" t="str">
            <v>000000000013825</v>
          </cell>
        </row>
        <row r="259">
          <cell r="C259">
            <v>300</v>
          </cell>
          <cell r="D259">
            <v>46156</v>
          </cell>
          <cell r="E259" t="str">
            <v>26D22-10</v>
          </cell>
          <cell r="P259">
            <v>3</v>
          </cell>
          <cell r="U259" t="str">
            <v>000000000013825</v>
          </cell>
        </row>
        <row r="260">
          <cell r="C260">
            <v>1</v>
          </cell>
          <cell r="D260">
            <v>46156</v>
          </cell>
          <cell r="E260" t="str">
            <v>26D22-10</v>
          </cell>
          <cell r="F260">
            <v>294</v>
          </cell>
          <cell r="P260">
            <v>3</v>
          </cell>
          <cell r="U260" t="str">
            <v>000000000013825</v>
          </cell>
        </row>
        <row r="261">
          <cell r="C261">
            <v>100</v>
          </cell>
          <cell r="M261" t="str">
            <v>合計</v>
          </cell>
          <cell r="N261">
            <v>3</v>
          </cell>
          <cell r="P261">
            <v>0</v>
          </cell>
          <cell r="U261" t="str">
            <v>000000000013825</v>
          </cell>
        </row>
        <row r="262">
          <cell r="C262" t="str">
            <v>LED-A1478</v>
          </cell>
          <cell r="M262" t="str">
            <v>入数</v>
          </cell>
          <cell r="N262">
            <v>300</v>
          </cell>
          <cell r="P262">
            <v>303</v>
          </cell>
          <cell r="U262" t="str">
            <v>000000000013825</v>
          </cell>
        </row>
        <row r="263">
          <cell r="M263" t="str">
            <v>作業者</v>
          </cell>
          <cell r="U263" t="str">
            <v>000000000013825</v>
          </cell>
        </row>
        <row r="264">
          <cell r="C264">
            <v>3</v>
          </cell>
          <cell r="M264" t="str">
            <v>I</v>
          </cell>
          <cell r="R264">
            <v>2</v>
          </cell>
          <cell r="U264" t="str">
            <v>000000000013825</v>
          </cell>
        </row>
        <row r="265">
          <cell r="M265" t="str">
            <v>T</v>
          </cell>
          <cell r="R265">
            <v>3</v>
          </cell>
          <cell r="U265" t="str">
            <v>000000000013825</v>
          </cell>
        </row>
        <row r="266">
          <cell r="D266" t="str">
            <v>不良補填</v>
          </cell>
          <cell r="E266" t="str">
            <v>26D18-08</v>
          </cell>
          <cell r="F266">
            <v>3</v>
          </cell>
          <cell r="U266" t="str">
            <v>000000000013825</v>
          </cell>
        </row>
        <row r="267">
          <cell r="C267" t="str">
            <v>採光ルーバーパネルB　L=1996</v>
          </cell>
          <cell r="D267">
            <v>46157</v>
          </cell>
          <cell r="E267" t="str">
            <v>26E12-01</v>
          </cell>
          <cell r="F267">
            <v>46</v>
          </cell>
          <cell r="M267">
            <v>46160</v>
          </cell>
          <cell r="N267">
            <v>7</v>
          </cell>
          <cell r="P267">
            <v>46161</v>
          </cell>
          <cell r="R267">
            <v>14</v>
          </cell>
          <cell r="U267" t="str">
            <v>000000000014041</v>
          </cell>
        </row>
        <row r="268">
          <cell r="D268">
            <v>46157</v>
          </cell>
          <cell r="E268" t="str">
            <v>26E12-02</v>
          </cell>
          <cell r="M268">
            <v>46161</v>
          </cell>
          <cell r="N268">
            <v>8</v>
          </cell>
          <cell r="P268">
            <v>630</v>
          </cell>
          <cell r="R268">
            <v>197</v>
          </cell>
          <cell r="U268" t="str">
            <v>000000000014041</v>
          </cell>
        </row>
        <row r="269">
          <cell r="C269">
            <v>630</v>
          </cell>
          <cell r="D269">
            <v>46160</v>
          </cell>
          <cell r="E269" t="str">
            <v>26E12-02</v>
          </cell>
          <cell r="P269">
            <v>846</v>
          </cell>
          <cell r="U269" t="str">
            <v>000000000014041</v>
          </cell>
        </row>
        <row r="270">
          <cell r="C270">
            <v>630</v>
          </cell>
          <cell r="D270">
            <v>46160</v>
          </cell>
          <cell r="E270" t="str">
            <v>26E12-02</v>
          </cell>
          <cell r="P270">
            <v>216</v>
          </cell>
          <cell r="U270" t="str">
            <v>000000000014041</v>
          </cell>
        </row>
        <row r="271">
          <cell r="C271">
            <v>1</v>
          </cell>
          <cell r="D271">
            <v>46160</v>
          </cell>
          <cell r="E271" t="str">
            <v>26E12-02</v>
          </cell>
          <cell r="F271">
            <v>354</v>
          </cell>
          <cell r="P271">
            <v>216</v>
          </cell>
          <cell r="U271" t="str">
            <v>000000000014041</v>
          </cell>
        </row>
        <row r="272">
          <cell r="C272">
            <v>42</v>
          </cell>
          <cell r="D272">
            <v>46160</v>
          </cell>
          <cell r="E272" t="str">
            <v>26E12-02</v>
          </cell>
          <cell r="F272">
            <v>46</v>
          </cell>
          <cell r="M272" t="str">
            <v>合計</v>
          </cell>
          <cell r="N272">
            <v>15</v>
          </cell>
          <cell r="P272">
            <v>0</v>
          </cell>
          <cell r="R272">
            <v>5</v>
          </cell>
          <cell r="U272" t="str">
            <v>000000000014041</v>
          </cell>
        </row>
        <row r="273">
          <cell r="C273" t="str">
            <v>上-1</v>
          </cell>
          <cell r="D273">
            <v>46160</v>
          </cell>
          <cell r="E273" t="str">
            <v>26E13-03</v>
          </cell>
          <cell r="M273" t="str">
            <v>入数</v>
          </cell>
          <cell r="N273">
            <v>630</v>
          </cell>
          <cell r="P273">
            <v>846</v>
          </cell>
          <cell r="U273" t="str">
            <v>000000000014041</v>
          </cell>
        </row>
        <row r="274">
          <cell r="D274">
            <v>46161</v>
          </cell>
          <cell r="E274" t="str">
            <v>26E13-03</v>
          </cell>
          <cell r="M274" t="str">
            <v>作業者</v>
          </cell>
          <cell r="U274" t="str">
            <v>000000000014041</v>
          </cell>
        </row>
        <row r="275">
          <cell r="C275">
            <v>15</v>
          </cell>
          <cell r="D275">
            <v>46161</v>
          </cell>
          <cell r="E275" t="str">
            <v>26E13-03</v>
          </cell>
          <cell r="F275">
            <v>400</v>
          </cell>
          <cell r="M275" t="str">
            <v>I</v>
          </cell>
          <cell r="U275" t="str">
            <v>000000000014041</v>
          </cell>
        </row>
        <row r="276">
          <cell r="M276" t="str">
            <v>T</v>
          </cell>
          <cell r="N276" t="str">
            <v>U</v>
          </cell>
          <cell r="R276">
            <v>216</v>
          </cell>
          <cell r="U276" t="str">
            <v>000000000014041</v>
          </cell>
        </row>
        <row r="277">
          <cell r="D277" t="str">
            <v>不良補填</v>
          </cell>
          <cell r="F277" t="str"/>
          <cell r="U277" t="str">
            <v>000000000014041</v>
          </cell>
        </row>
        <row r="278">
          <cell r="C278" t="str">
            <v>8FL281304 5010　L=888</v>
          </cell>
          <cell r="M278">
            <v>46161</v>
          </cell>
          <cell r="N278">
            <v>2</v>
          </cell>
          <cell r="P278">
            <v>46162</v>
          </cell>
          <cell r="R278">
            <v>1</v>
          </cell>
          <cell r="U278" t="str">
            <v>000000000013823</v>
          </cell>
        </row>
        <row r="279">
          <cell r="D279">
            <v>46161</v>
          </cell>
          <cell r="E279" t="str">
            <v>26D22-10</v>
          </cell>
          <cell r="M279">
            <v>46162</v>
          </cell>
          <cell r="N279">
            <v>6</v>
          </cell>
          <cell r="P279">
            <v>800</v>
          </cell>
          <cell r="U279" t="str">
            <v>000000000013823</v>
          </cell>
        </row>
        <row r="280">
          <cell r="C280">
            <v>800</v>
          </cell>
          <cell r="D280">
            <v>46161</v>
          </cell>
          <cell r="E280" t="str">
            <v>26D22-10</v>
          </cell>
          <cell r="F280">
            <v>400</v>
          </cell>
          <cell r="P280">
            <v>402</v>
          </cell>
          <cell r="R280">
            <v>3</v>
          </cell>
          <cell r="U280" t="str">
            <v>000000000013823</v>
          </cell>
        </row>
        <row r="281">
          <cell r="C281">
            <v>800</v>
          </cell>
          <cell r="D281">
            <v>46161</v>
          </cell>
          <cell r="E281" t="str">
            <v>26D22-10</v>
          </cell>
          <cell r="F281">
            <v>400</v>
          </cell>
          <cell r="P281">
            <v>4</v>
          </cell>
          <cell r="U281" t="str">
            <v>000000000013823</v>
          </cell>
        </row>
        <row r="282">
          <cell r="C282">
            <v>2</v>
          </cell>
          <cell r="P282">
            <v>2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8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800</v>
          </cell>
          <cell r="P284">
            <v>804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8</v>
          </cell>
          <cell r="M286" t="str">
            <v>I</v>
          </cell>
          <cell r="U286" t="str">
            <v>000000000013823</v>
          </cell>
        </row>
        <row r="287">
          <cell r="M287" t="str">
            <v>U</v>
          </cell>
          <cell r="N287" t="str">
            <v>T</v>
          </cell>
          <cell r="R287">
            <v>4</v>
          </cell>
          <cell r="U287" t="str">
            <v>000000000013823</v>
          </cell>
        </row>
        <row r="288">
          <cell r="D288" t="str">
            <v>不良補填</v>
          </cell>
          <cell r="E288" t="str">
            <v>26D21-09</v>
          </cell>
          <cell r="F288">
            <v>4</v>
          </cell>
          <cell r="U288" t="str">
            <v>000000000013823</v>
          </cell>
        </row>
        <row r="289">
          <cell r="C289" t="str">
            <v>8FL281304 8310　L=748</v>
          </cell>
          <cell r="M289">
            <v>46162</v>
          </cell>
          <cell r="N289">
            <v>4</v>
          </cell>
          <cell r="P289">
            <v>46162</v>
          </cell>
          <cell r="R289">
            <v>1</v>
          </cell>
          <cell r="U289" t="str">
            <v>000000000013819</v>
          </cell>
        </row>
        <row r="290">
          <cell r="D290">
            <v>46161</v>
          </cell>
          <cell r="E290" t="str">
            <v>26D22-10</v>
          </cell>
          <cell r="P290">
            <v>400</v>
          </cell>
          <cell r="U290" t="str">
            <v>000000000013819</v>
          </cell>
        </row>
        <row r="291">
          <cell r="C291">
            <v>400</v>
          </cell>
          <cell r="D291">
            <v>46161</v>
          </cell>
          <cell r="E291" t="str">
            <v>26D22-10</v>
          </cell>
          <cell r="F291">
            <v>208</v>
          </cell>
          <cell r="P291">
            <v>202</v>
          </cell>
          <cell r="R291">
            <v>3</v>
          </cell>
          <cell r="U291" t="str">
            <v>000000000013819</v>
          </cell>
        </row>
        <row r="292">
          <cell r="C292">
            <v>400</v>
          </cell>
          <cell r="D292">
            <v>46161</v>
          </cell>
          <cell r="E292" t="str">
            <v>26D23-11</v>
          </cell>
          <cell r="P292">
            <v>4</v>
          </cell>
          <cell r="U292" t="str">
            <v>000000000013819</v>
          </cell>
        </row>
        <row r="293">
          <cell r="C293">
            <v>2</v>
          </cell>
          <cell r="D293">
            <v>46162</v>
          </cell>
          <cell r="E293" t="str">
            <v>26D23-11</v>
          </cell>
          <cell r="P293">
            <v>2</v>
          </cell>
          <cell r="U293" t="str">
            <v>000000000013819</v>
          </cell>
        </row>
        <row r="294">
          <cell r="C294">
            <v>100</v>
          </cell>
          <cell r="D294">
            <v>46162</v>
          </cell>
          <cell r="E294" t="str">
            <v>26D23-11</v>
          </cell>
          <cell r="F294">
            <v>192</v>
          </cell>
          <cell r="M294" t="str">
            <v>合計</v>
          </cell>
          <cell r="N294">
            <v>4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400</v>
          </cell>
          <cell r="P295">
            <v>404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4</v>
          </cell>
          <cell r="M297" t="str">
            <v>I</v>
          </cell>
          <cell r="U297" t="str">
            <v>000000000013819</v>
          </cell>
        </row>
        <row r="298">
          <cell r="M298" t="str">
            <v>T</v>
          </cell>
          <cell r="R298">
            <v>4</v>
          </cell>
          <cell r="U298" t="str">
            <v>000000000013819</v>
          </cell>
        </row>
        <row r="299">
          <cell r="D299" t="str">
            <v>不良補填</v>
          </cell>
          <cell r="E299" t="str">
            <v>26B28-05</v>
          </cell>
          <cell r="F299">
            <v>4</v>
          </cell>
          <cell r="U299" t="str">
            <v>000000000013819</v>
          </cell>
        </row>
        <row r="300">
          <cell r="C300" t="str">
            <v>灯具カバーPC IN 2130　L=908</v>
          </cell>
          <cell r="M300">
            <v>46162</v>
          </cell>
          <cell r="N300">
            <v>2</v>
          </cell>
          <cell r="P300">
            <v>46163</v>
          </cell>
          <cell r="R300">
            <v>33</v>
          </cell>
          <cell r="U300" t="str">
            <v>000000000014329</v>
          </cell>
        </row>
        <row r="301">
          <cell r="D301">
            <v>46162</v>
          </cell>
          <cell r="E301" t="str">
            <v>26E18-01</v>
          </cell>
          <cell r="M301">
            <v>46163</v>
          </cell>
          <cell r="N301">
            <v>8</v>
          </cell>
          <cell r="P301">
            <v>160</v>
          </cell>
          <cell r="R301">
            <v>5</v>
          </cell>
          <cell r="U301" t="str">
            <v>000000000014329</v>
          </cell>
        </row>
        <row r="302">
          <cell r="C302">
            <v>160</v>
          </cell>
          <cell r="D302">
            <v>46163</v>
          </cell>
          <cell r="E302" t="str">
            <v>26E18-01</v>
          </cell>
          <cell r="F302">
            <v>199</v>
          </cell>
          <cell r="P302">
            <v>199</v>
          </cell>
          <cell r="R302">
            <v>1</v>
          </cell>
          <cell r="U302" t="str">
            <v>000000000014329</v>
          </cell>
        </row>
        <row r="303">
          <cell r="C303">
            <v>160</v>
          </cell>
          <cell r="P303">
            <v>39</v>
          </cell>
          <cell r="U303" t="str">
            <v>000000000014329</v>
          </cell>
        </row>
        <row r="304">
          <cell r="C304">
            <v>1</v>
          </cell>
          <cell r="P304">
            <v>39</v>
          </cell>
          <cell r="U304" t="str">
            <v>000000000014329</v>
          </cell>
        </row>
        <row r="305">
          <cell r="C305">
            <v>16</v>
          </cell>
          <cell r="M305" t="str">
            <v>合計</v>
          </cell>
          <cell r="N305">
            <v>10</v>
          </cell>
          <cell r="P305">
            <v>0</v>
          </cell>
          <cell r="U305" t="str">
            <v>000000000014329</v>
          </cell>
        </row>
        <row r="306">
          <cell r="C306" t="str">
            <v>灯具-3　L=970</v>
          </cell>
          <cell r="M306" t="str">
            <v>入数</v>
          </cell>
          <cell r="N306">
            <v>160</v>
          </cell>
          <cell r="P306">
            <v>199</v>
          </cell>
          <cell r="U306" t="str">
            <v>000000000014329</v>
          </cell>
        </row>
        <row r="307">
          <cell r="M307" t="str">
            <v>作業者</v>
          </cell>
          <cell r="U307" t="str">
            <v>000000000014329</v>
          </cell>
        </row>
        <row r="308">
          <cell r="C308">
            <v>10</v>
          </cell>
          <cell r="U308" t="str">
            <v>000000000014329</v>
          </cell>
        </row>
        <row r="309">
          <cell r="M309" t="str">
            <v>I</v>
          </cell>
          <cell r="N309" t="str">
            <v>T</v>
          </cell>
          <cell r="R309">
            <v>39</v>
          </cell>
          <cell r="U309" t="str">
            <v>000000000014329</v>
          </cell>
        </row>
        <row r="310">
          <cell r="D310" t="str">
            <v>不良補填</v>
          </cell>
          <cell r="F310" t="str"/>
          <cell r="U310" t="str">
            <v>000000000014329</v>
          </cell>
        </row>
        <row r="311">
          <cell r="C311" t="str">
            <v>灯具カバーPC IN 2090　L=840</v>
          </cell>
          <cell r="D311">
            <v>46127</v>
          </cell>
          <cell r="E311" t="str">
            <v>26C31-01</v>
          </cell>
          <cell r="F311">
            <v>2</v>
          </cell>
          <cell r="M311">
            <v>46163</v>
          </cell>
          <cell r="N311">
            <v>11</v>
          </cell>
          <cell r="P311">
            <v>46163</v>
          </cell>
          <cell r="R311">
            <v>14</v>
          </cell>
          <cell r="U311" t="str">
            <v>000000000014328</v>
          </cell>
        </row>
        <row r="312">
          <cell r="D312">
            <v>46163</v>
          </cell>
          <cell r="E312" t="str">
            <v>26E19-01</v>
          </cell>
          <cell r="F312">
            <v>200</v>
          </cell>
          <cell r="P312">
            <v>176</v>
          </cell>
          <cell r="R312">
            <v>12</v>
          </cell>
          <cell r="U312" t="str">
            <v>000000000014328</v>
          </cell>
        </row>
        <row r="313">
          <cell r="C313">
            <v>176</v>
          </cell>
          <cell r="P313">
            <v>202</v>
          </cell>
          <cell r="U313" t="str">
            <v>000000000014328</v>
          </cell>
        </row>
        <row r="314">
          <cell r="C314">
            <v>176</v>
          </cell>
          <cell r="P314">
            <v>26</v>
          </cell>
          <cell r="U314" t="str">
            <v>000000000014328</v>
          </cell>
        </row>
        <row r="315">
          <cell r="C315">
            <v>1</v>
          </cell>
          <cell r="P315">
            <v>26</v>
          </cell>
          <cell r="U315" t="str">
            <v>000000000014328</v>
          </cell>
        </row>
        <row r="316">
          <cell r="C316">
            <v>16</v>
          </cell>
          <cell r="M316" t="str">
            <v>合計</v>
          </cell>
          <cell r="N316">
            <v>11</v>
          </cell>
          <cell r="P316">
            <v>0</v>
          </cell>
          <cell r="U316" t="str">
            <v>000000000014328</v>
          </cell>
        </row>
        <row r="317">
          <cell r="C317" t="str">
            <v>灯具-3　L=970</v>
          </cell>
          <cell r="M317" t="str">
            <v>入数</v>
          </cell>
          <cell r="N317">
            <v>176</v>
          </cell>
          <cell r="P317">
            <v>202</v>
          </cell>
          <cell r="U317" t="str">
            <v>000000000014328</v>
          </cell>
        </row>
        <row r="318">
          <cell r="M318" t="str">
            <v>作業者</v>
          </cell>
          <cell r="U318" t="str">
            <v>000000000014328</v>
          </cell>
        </row>
        <row r="319">
          <cell r="C319">
            <v>11</v>
          </cell>
          <cell r="M319" t="str">
            <v>T</v>
          </cell>
          <cell r="N319" t="str">
            <v>I</v>
          </cell>
          <cell r="U319" t="str">
            <v>000000000014328</v>
          </cell>
        </row>
        <row r="320">
          <cell r="R320">
            <v>26</v>
          </cell>
          <cell r="U320" t="str">
            <v>000000000014328</v>
          </cell>
        </row>
        <row r="321">
          <cell r="D321" t="str">
            <v>不良補填</v>
          </cell>
          <cell r="F321" t="str"/>
          <cell r="U321" t="str">
            <v>000000000014328</v>
          </cell>
        </row>
        <row r="322">
          <cell r="C322" t="str">
            <v>灯具カバーPC IN 2090　L=840</v>
          </cell>
          <cell r="M322">
            <v>46163</v>
          </cell>
          <cell r="N322">
            <v>2</v>
          </cell>
          <cell r="P322">
            <v>46164</v>
          </cell>
          <cell r="R322">
            <v>15</v>
          </cell>
          <cell r="U322" t="str">
            <v>000000000014638</v>
          </cell>
        </row>
        <row r="323">
          <cell r="D323">
            <v>46163</v>
          </cell>
          <cell r="E323" t="str">
            <v>26E19-02</v>
          </cell>
          <cell r="M323">
            <v>46164</v>
          </cell>
          <cell r="N323">
            <v>8</v>
          </cell>
          <cell r="P323">
            <v>160</v>
          </cell>
          <cell r="R323">
            <v>20</v>
          </cell>
          <cell r="U323" t="str">
            <v>000000000014638</v>
          </cell>
        </row>
        <row r="324">
          <cell r="C324">
            <v>160</v>
          </cell>
          <cell r="D324">
            <v>46164</v>
          </cell>
          <cell r="E324" t="str">
            <v>26E19-02</v>
          </cell>
          <cell r="F324">
            <v>195</v>
          </cell>
          <cell r="P324">
            <v>195</v>
          </cell>
          <cell r="U324" t="str">
            <v>000000000014638</v>
          </cell>
        </row>
        <row r="325">
          <cell r="C325">
            <v>160</v>
          </cell>
          <cell r="P325">
            <v>35</v>
          </cell>
          <cell r="U325" t="str">
            <v>000000000014638</v>
          </cell>
        </row>
        <row r="326">
          <cell r="C326">
            <v>1</v>
          </cell>
          <cell r="P326">
            <v>35</v>
          </cell>
          <cell r="U326" t="str">
            <v>000000000014638</v>
          </cell>
        </row>
        <row r="327">
          <cell r="C327">
            <v>16</v>
          </cell>
          <cell r="M327" t="str">
            <v>合計</v>
          </cell>
          <cell r="N327">
            <v>10</v>
          </cell>
          <cell r="P327">
            <v>0</v>
          </cell>
          <cell r="U327" t="str">
            <v>000000000014638</v>
          </cell>
        </row>
        <row r="328">
          <cell r="C328" t="str">
            <v>灯具-3　L=970</v>
          </cell>
          <cell r="M328" t="str">
            <v>入数</v>
          </cell>
          <cell r="N328">
            <v>160</v>
          </cell>
          <cell r="P328">
            <v>195</v>
          </cell>
          <cell r="U328" t="str">
            <v>000000000014638</v>
          </cell>
        </row>
        <row r="329">
          <cell r="M329" t="str">
            <v>作業者</v>
          </cell>
          <cell r="U329" t="str">
            <v>000000000014638</v>
          </cell>
        </row>
        <row r="330">
          <cell r="C330">
            <v>10</v>
          </cell>
          <cell r="U330" t="str">
            <v>000000000014638</v>
          </cell>
        </row>
        <row r="331">
          <cell r="M331" t="str">
            <v>I</v>
          </cell>
          <cell r="N331" t="str">
            <v>T</v>
          </cell>
          <cell r="R331">
            <v>35</v>
          </cell>
          <cell r="U331" t="str">
            <v>000000000014638</v>
          </cell>
        </row>
        <row r="332">
          <cell r="D332" t="str">
            <v>不良補填</v>
          </cell>
          <cell r="F332" t="str"/>
          <cell r="U332" t="str">
            <v>000000000014638</v>
          </cell>
        </row>
        <row r="333">
          <cell r="C333" t="str">
            <v>灯具カバーPC IN 2050　L=1183.5</v>
          </cell>
          <cell r="D333">
            <v>46129</v>
          </cell>
          <cell r="E333" t="str">
            <v>26D14-01</v>
          </cell>
          <cell r="F333">
            <v>13</v>
          </cell>
          <cell r="M333">
            <v>46164</v>
          </cell>
          <cell r="N333">
            <v>6</v>
          </cell>
          <cell r="P333">
            <v>46167</v>
          </cell>
          <cell r="R333">
            <v>33</v>
          </cell>
          <cell r="U333" t="str">
            <v>000000000014331</v>
          </cell>
        </row>
        <row r="334">
          <cell r="D334">
            <v>46164</v>
          </cell>
          <cell r="E334" t="str">
            <v>26E19-01</v>
          </cell>
          <cell r="M334">
            <v>46167</v>
          </cell>
          <cell r="N334">
            <v>4</v>
          </cell>
          <cell r="P334">
            <v>160</v>
          </cell>
          <cell r="R334">
            <v>17</v>
          </cell>
          <cell r="U334" t="str">
            <v>000000000014331</v>
          </cell>
        </row>
        <row r="335">
          <cell r="C335">
            <v>160</v>
          </cell>
          <cell r="D335">
            <v>46167</v>
          </cell>
          <cell r="E335" t="str">
            <v>26E19-01</v>
          </cell>
          <cell r="F335">
            <v>199</v>
          </cell>
          <cell r="P335">
            <v>212</v>
          </cell>
          <cell r="R335">
            <v>2</v>
          </cell>
          <cell r="U335" t="str">
            <v>000000000014331</v>
          </cell>
        </row>
        <row r="336">
          <cell r="C336">
            <v>160</v>
          </cell>
          <cell r="P336">
            <v>52</v>
          </cell>
          <cell r="U336" t="str">
            <v>000000000014331</v>
          </cell>
        </row>
        <row r="337">
          <cell r="C337">
            <v>1</v>
          </cell>
          <cell r="P337">
            <v>52</v>
          </cell>
          <cell r="U337" t="str">
            <v>000000000014331</v>
          </cell>
        </row>
        <row r="338">
          <cell r="C338">
            <v>16</v>
          </cell>
          <cell r="M338" t="str">
            <v>合計</v>
          </cell>
          <cell r="N338">
            <v>10</v>
          </cell>
          <cell r="P338">
            <v>0</v>
          </cell>
          <cell r="U338" t="str">
            <v>000000000014331</v>
          </cell>
        </row>
        <row r="339">
          <cell r="C339" t="str">
            <v>灯具-1　L=1370</v>
          </cell>
          <cell r="M339" t="str">
            <v>入数</v>
          </cell>
          <cell r="N339">
            <v>160</v>
          </cell>
          <cell r="P339">
            <v>212</v>
          </cell>
          <cell r="U339" t="str">
            <v>000000000014331</v>
          </cell>
        </row>
        <row r="340">
          <cell r="M340" t="str">
            <v>作業者</v>
          </cell>
          <cell r="U340" t="str">
            <v>000000000014331</v>
          </cell>
        </row>
        <row r="341">
          <cell r="C341">
            <v>10</v>
          </cell>
          <cell r="U341" t="str">
            <v>000000000014331</v>
          </cell>
        </row>
        <row r="342">
          <cell r="M342" t="str">
            <v>T</v>
          </cell>
          <cell r="R342">
            <v>52</v>
          </cell>
          <cell r="U342" t="str">
            <v>000000000014331</v>
          </cell>
        </row>
        <row r="343">
          <cell r="D343" t="str">
            <v>不良補填</v>
          </cell>
          <cell r="F343" t="str"/>
          <cell r="U343" t="str">
            <v>000000000014331</v>
          </cell>
        </row>
        <row r="344">
          <cell r="C344" t="str">
            <v>灯具カバーPC IN 2110　L=1815</v>
          </cell>
          <cell r="D344">
            <v>46149</v>
          </cell>
          <cell r="E344" t="str">
            <v>26D15-01</v>
          </cell>
          <cell r="F344">
            <v>14</v>
          </cell>
          <cell r="M344">
            <v>46167</v>
          </cell>
          <cell r="N344">
            <v>10</v>
          </cell>
          <cell r="P344">
            <v>46168</v>
          </cell>
          <cell r="R344">
            <v>15</v>
          </cell>
          <cell r="U344" t="str">
            <v>000000000014334</v>
          </cell>
        </row>
        <row r="345">
          <cell r="D345">
            <v>46167</v>
          </cell>
          <cell r="E345" t="str">
            <v>26E20-01</v>
          </cell>
          <cell r="M345">
            <v>46168</v>
          </cell>
          <cell r="N345">
            <v>1</v>
          </cell>
          <cell r="P345">
            <v>176</v>
          </cell>
          <cell r="R345">
            <v>19</v>
          </cell>
          <cell r="U345" t="str">
            <v>000000000014334</v>
          </cell>
        </row>
        <row r="346">
          <cell r="C346">
            <v>176</v>
          </cell>
          <cell r="D346">
            <v>46168</v>
          </cell>
          <cell r="E346" t="str">
            <v>26E20-01</v>
          </cell>
          <cell r="P346">
            <v>210</v>
          </cell>
          <cell r="U346" t="str">
            <v>000000000014334</v>
          </cell>
        </row>
        <row r="347">
          <cell r="C347">
            <v>176</v>
          </cell>
          <cell r="D347">
            <v>46168</v>
          </cell>
          <cell r="E347" t="str">
            <v>26E20-01</v>
          </cell>
          <cell r="F347">
            <v>196</v>
          </cell>
          <cell r="P347">
            <v>34</v>
          </cell>
          <cell r="U347" t="str">
            <v>000000000014334</v>
          </cell>
        </row>
        <row r="348">
          <cell r="C348">
            <v>1</v>
          </cell>
          <cell r="P348">
            <v>34</v>
          </cell>
          <cell r="U348" t="str">
            <v>000000000014334</v>
          </cell>
        </row>
        <row r="349">
          <cell r="C349">
            <v>16</v>
          </cell>
          <cell r="M349" t="str">
            <v>合計</v>
          </cell>
          <cell r="N349">
            <v>11</v>
          </cell>
          <cell r="P349">
            <v>0</v>
          </cell>
          <cell r="U349" t="str">
            <v>000000000014334</v>
          </cell>
        </row>
        <row r="350">
          <cell r="C350" t="str">
            <v>灯具-2　L＝1996</v>
          </cell>
          <cell r="M350" t="str">
            <v>入数</v>
          </cell>
          <cell r="N350">
            <v>176</v>
          </cell>
          <cell r="P350">
            <v>210</v>
          </cell>
          <cell r="U350" t="str">
            <v>000000000014334</v>
          </cell>
        </row>
        <row r="351">
          <cell r="M351" t="str">
            <v>作業者</v>
          </cell>
          <cell r="U351" t="str">
            <v>000000000014334</v>
          </cell>
        </row>
        <row r="352">
          <cell r="C352">
            <v>11</v>
          </cell>
          <cell r="U352" t="str">
            <v>000000000014334</v>
          </cell>
        </row>
        <row r="353">
          <cell r="M353" t="str">
            <v>T</v>
          </cell>
          <cell r="R353">
            <v>34</v>
          </cell>
          <cell r="U353" t="str">
            <v>000000000014334</v>
          </cell>
        </row>
        <row r="354">
          <cell r="D354" t="str">
            <v>不良補填</v>
          </cell>
          <cell r="F354" t="str"/>
          <cell r="U354" t="str">
            <v>000000000014334</v>
          </cell>
        </row>
        <row r="355">
          <cell r="C355" t="str">
            <v>灯具カバーPC IN 2070　L=1966</v>
          </cell>
          <cell r="D355">
            <v>46126</v>
          </cell>
          <cell r="E355" t="str">
            <v>26D01-01</v>
          </cell>
          <cell r="F355">
            <v>10</v>
          </cell>
          <cell r="M355">
            <v>46168</v>
          </cell>
          <cell r="N355">
            <v>8</v>
          </cell>
          <cell r="P355">
            <v>46169</v>
          </cell>
          <cell r="R355">
            <v>19</v>
          </cell>
          <cell r="U355" t="str">
            <v>000000000014337</v>
          </cell>
        </row>
        <row r="356">
          <cell r="D356">
            <v>46168</v>
          </cell>
          <cell r="E356" t="str">
            <v>26E21-01</v>
          </cell>
          <cell r="M356">
            <v>46169</v>
          </cell>
          <cell r="N356">
            <v>2</v>
          </cell>
          <cell r="P356">
            <v>160</v>
          </cell>
          <cell r="R356">
            <v>30</v>
          </cell>
          <cell r="U356" t="str">
            <v>000000000014337</v>
          </cell>
        </row>
        <row r="357">
          <cell r="C357">
            <v>160</v>
          </cell>
          <cell r="D357">
            <v>46169</v>
          </cell>
          <cell r="E357" t="str">
            <v>26E21-01</v>
          </cell>
          <cell r="F357">
            <v>200</v>
          </cell>
          <cell r="P357">
            <v>210</v>
          </cell>
          <cell r="R357">
            <v>1</v>
          </cell>
          <cell r="U357" t="str">
            <v>000000000014337</v>
          </cell>
        </row>
        <row r="358">
          <cell r="C358">
            <v>160</v>
          </cell>
          <cell r="P358">
            <v>50</v>
          </cell>
          <cell r="U358" t="str">
            <v>000000000014337</v>
          </cell>
        </row>
        <row r="359">
          <cell r="C359">
            <v>1</v>
          </cell>
          <cell r="P359">
            <v>50</v>
          </cell>
          <cell r="U359" t="str">
            <v>000000000014337</v>
          </cell>
        </row>
        <row r="360">
          <cell r="C360">
            <v>16</v>
          </cell>
          <cell r="M360" t="str">
            <v>合計</v>
          </cell>
          <cell r="N360">
            <v>10</v>
          </cell>
          <cell r="P360">
            <v>0</v>
          </cell>
          <cell r="U360" t="str">
            <v>000000000014337</v>
          </cell>
        </row>
        <row r="361">
          <cell r="C361" t="str">
            <v>灯具-2　L＝1996</v>
          </cell>
          <cell r="M361" t="str">
            <v>入数</v>
          </cell>
          <cell r="N361">
            <v>160</v>
          </cell>
          <cell r="P361">
            <v>210</v>
          </cell>
          <cell r="U361" t="str">
            <v>000000000014337</v>
          </cell>
        </row>
        <row r="362">
          <cell r="M362" t="str">
            <v>作業者</v>
          </cell>
          <cell r="U362" t="str">
            <v>000000000014337</v>
          </cell>
        </row>
        <row r="363">
          <cell r="C363">
            <v>10</v>
          </cell>
          <cell r="U363" t="str">
            <v>000000000014337</v>
          </cell>
        </row>
        <row r="364">
          <cell r="M364" t="str">
            <v>T</v>
          </cell>
          <cell r="N364" t="str">
            <v>I</v>
          </cell>
          <cell r="R364">
            <v>50</v>
          </cell>
          <cell r="U364" t="str">
            <v>000000000014337</v>
          </cell>
        </row>
        <row r="365">
          <cell r="D365" t="str">
            <v>不良補填</v>
          </cell>
          <cell r="F365" t="str"/>
          <cell r="U365" t="str">
            <v>000000000014337</v>
          </cell>
        </row>
        <row r="366">
          <cell r="C366" t="str">
            <v>8FL281304 5010　L=888</v>
          </cell>
          <cell r="M366" t="str">
            <v>5/274</v>
          </cell>
          <cell r="N366">
            <v>10</v>
          </cell>
          <cell r="P366">
            <v>46170</v>
          </cell>
          <cell r="R366">
            <v>6</v>
          </cell>
          <cell r="U366" t="str">
            <v>000000000014582</v>
          </cell>
        </row>
        <row r="367">
          <cell r="D367">
            <v>46168</v>
          </cell>
          <cell r="E367" t="str">
            <v>26D23-11</v>
          </cell>
          <cell r="M367">
            <v>46170</v>
          </cell>
          <cell r="N367">
            <v>10</v>
          </cell>
          <cell r="P367">
            <v>2000</v>
          </cell>
          <cell r="R367">
            <v>1</v>
          </cell>
          <cell r="U367" t="str">
            <v>000000000014582</v>
          </cell>
        </row>
        <row r="368">
          <cell r="C368">
            <v>2000</v>
          </cell>
          <cell r="D368">
            <v>46168</v>
          </cell>
          <cell r="E368" t="str">
            <v>26D23-11</v>
          </cell>
          <cell r="F368">
            <v>400</v>
          </cell>
          <cell r="P368">
            <v>1008</v>
          </cell>
          <cell r="R368">
            <v>8</v>
          </cell>
          <cell r="U368" t="str">
            <v>000000000014582</v>
          </cell>
        </row>
        <row r="369">
          <cell r="C369">
            <v>2000</v>
          </cell>
          <cell r="D369">
            <v>46169</v>
          </cell>
          <cell r="E369" t="str">
            <v>26D23-11</v>
          </cell>
          <cell r="F369">
            <v>400</v>
          </cell>
          <cell r="P369">
            <v>16</v>
          </cell>
          <cell r="U369" t="str">
            <v>000000000014582</v>
          </cell>
        </row>
        <row r="370">
          <cell r="C370">
            <v>2</v>
          </cell>
          <cell r="D370">
            <v>46169</v>
          </cell>
          <cell r="E370" t="str">
            <v>26D23-11</v>
          </cell>
          <cell r="F370">
            <v>400</v>
          </cell>
          <cell r="P370">
            <v>8</v>
          </cell>
          <cell r="U370" t="str">
            <v>000000000014582</v>
          </cell>
        </row>
        <row r="371">
          <cell r="C371">
            <v>100</v>
          </cell>
          <cell r="D371">
            <v>46169</v>
          </cell>
          <cell r="E371" t="str">
            <v>26D23-11</v>
          </cell>
          <cell r="F371">
            <v>208</v>
          </cell>
          <cell r="M371" t="str">
            <v>合計</v>
          </cell>
          <cell r="N371">
            <v>20</v>
          </cell>
          <cell r="P371">
            <v>0</v>
          </cell>
          <cell r="U371" t="str">
            <v>000000000014582</v>
          </cell>
        </row>
        <row r="372">
          <cell r="C372" t="str">
            <v>LED-A888</v>
          </cell>
          <cell r="D372">
            <v>46169</v>
          </cell>
          <cell r="E372" t="str">
            <v>26E19-01</v>
          </cell>
          <cell r="M372" t="str">
            <v>入数</v>
          </cell>
          <cell r="N372">
            <v>2000</v>
          </cell>
          <cell r="P372">
            <v>2016</v>
          </cell>
          <cell r="U372" t="str">
            <v>000000000014582</v>
          </cell>
        </row>
        <row r="373">
          <cell r="D373">
            <v>46169</v>
          </cell>
          <cell r="E373" t="str">
            <v>26E19-01</v>
          </cell>
          <cell r="F373">
            <v>192</v>
          </cell>
          <cell r="M373" t="str">
            <v>作業者</v>
          </cell>
          <cell r="U373" t="str">
            <v>000000000014582</v>
          </cell>
        </row>
        <row r="374">
          <cell r="C374">
            <v>20</v>
          </cell>
          <cell r="D374">
            <v>46169</v>
          </cell>
          <cell r="E374" t="str">
            <v>26E19-01</v>
          </cell>
          <cell r="F374">
            <v>400</v>
          </cell>
          <cell r="M374" t="str">
            <v>I</v>
          </cell>
          <cell r="R374">
            <v>1</v>
          </cell>
          <cell r="U374" t="str">
            <v>000000000014582</v>
          </cell>
        </row>
        <row r="375">
          <cell r="M375" t="str">
            <v>T</v>
          </cell>
          <cell r="N375" t="str">
            <v>U</v>
          </cell>
          <cell r="R375">
            <v>16</v>
          </cell>
          <cell r="U375" t="str">
            <v>000000000014582</v>
          </cell>
        </row>
        <row r="376">
          <cell r="D376" t="str">
            <v>不良補填</v>
          </cell>
          <cell r="E376" t="str">
            <v>26D21-09</v>
          </cell>
          <cell r="F376">
            <v>16</v>
          </cell>
          <cell r="U376" t="str">
            <v>000000000014582</v>
          </cell>
        </row>
        <row r="377">
          <cell r="C377" t="str">
            <v>8FL281304 4910　L=592</v>
          </cell>
          <cell r="M377">
            <v>46170</v>
          </cell>
          <cell r="N377">
            <v>3</v>
          </cell>
          <cell r="P377">
            <v>46170</v>
          </cell>
          <cell r="R377">
            <v>2</v>
          </cell>
          <cell r="U377" t="str">
            <v>000000000014577</v>
          </cell>
        </row>
        <row r="378">
          <cell r="D378">
            <v>46170</v>
          </cell>
          <cell r="E378" t="str">
            <v>26E19-01</v>
          </cell>
          <cell r="P378">
            <v>300</v>
          </cell>
          <cell r="U378" t="str">
            <v>000000000014577</v>
          </cell>
        </row>
        <row r="379">
          <cell r="C379">
            <v>300</v>
          </cell>
          <cell r="D379">
            <v>46170</v>
          </cell>
          <cell r="E379" t="str">
            <v>26E19-01</v>
          </cell>
          <cell r="F379">
            <v>300</v>
          </cell>
          <cell r="P379">
            <v>100.66666666666667</v>
          </cell>
          <cell r="U379" t="str">
            <v>000000000014577</v>
          </cell>
        </row>
        <row r="380">
          <cell r="C380">
            <v>300</v>
          </cell>
          <cell r="P380">
            <v>2</v>
          </cell>
          <cell r="U380" t="str">
            <v>000000000014577</v>
          </cell>
        </row>
        <row r="381">
          <cell r="C381">
            <v>3</v>
          </cell>
          <cell r="P381">
            <v>0.66666666666666663</v>
          </cell>
          <cell r="U381" t="str">
            <v>000000000014577</v>
          </cell>
        </row>
        <row r="382">
          <cell r="C382">
            <v>100</v>
          </cell>
          <cell r="M382" t="str">
            <v>合計</v>
          </cell>
          <cell r="N382">
            <v>3</v>
          </cell>
          <cell r="P382">
            <v>0</v>
          </cell>
          <cell r="U382" t="str">
            <v>000000000014577</v>
          </cell>
        </row>
        <row r="383">
          <cell r="C383" t="str">
            <v>LED-A592</v>
          </cell>
          <cell r="M383" t="str">
            <v>入数</v>
          </cell>
          <cell r="N383">
            <v>300</v>
          </cell>
          <cell r="P383">
            <v>302</v>
          </cell>
          <cell r="U383" t="str">
            <v>000000000014577</v>
          </cell>
        </row>
        <row r="384">
          <cell r="M384" t="str">
            <v>作業者</v>
          </cell>
          <cell r="U384" t="str">
            <v>000000000014577</v>
          </cell>
        </row>
        <row r="385">
          <cell r="C385">
            <v>3</v>
          </cell>
          <cell r="M385" t="str">
            <v>I</v>
          </cell>
          <cell r="U385" t="str">
            <v>000000000014577</v>
          </cell>
        </row>
        <row r="386">
          <cell r="M386" t="str">
            <v>U</v>
          </cell>
          <cell r="R386">
            <v>2</v>
          </cell>
          <cell r="U386" t="str">
            <v>000000000014577</v>
          </cell>
        </row>
        <row r="387">
          <cell r="D387" t="str">
            <v>不良補填</v>
          </cell>
          <cell r="E387" t="str">
            <v>26A23-05</v>
          </cell>
          <cell r="F387">
            <v>2</v>
          </cell>
          <cell r="U387" t="str">
            <v>000000000014577</v>
          </cell>
        </row>
        <row r="388">
          <cell r="C388" t="str">
            <v>8FL281304 5010　L=888</v>
          </cell>
          <cell r="P388">
            <v>0</v>
          </cell>
          <cell r="U388" t="str">
            <v>000000000014593</v>
          </cell>
        </row>
        <row r="389">
          <cell r="P389">
            <v>0</v>
          </cell>
          <cell r="U389" t="str">
            <v>000000000014593</v>
          </cell>
        </row>
        <row r="390">
          <cell r="P390">
            <v>0</v>
          </cell>
          <cell r="U390" t="str">
            <v>000000000014593</v>
          </cell>
        </row>
        <row r="391">
          <cell r="C391">
            <v>2000</v>
          </cell>
          <cell r="P391">
            <v>0</v>
          </cell>
          <cell r="U391" t="str">
            <v>000000000014593</v>
          </cell>
        </row>
        <row r="392">
          <cell r="C392">
            <v>2</v>
          </cell>
          <cell r="P392">
            <v>0</v>
          </cell>
          <cell r="U392" t="str">
            <v>000000000014593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000000000014593</v>
          </cell>
        </row>
        <row r="394">
          <cell r="C394" t="str">
            <v>LED-A888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000000000014593</v>
          </cell>
        </row>
        <row r="395">
          <cell r="M395" t="str">
            <v>作業者</v>
          </cell>
          <cell r="U395" t="str">
            <v>000000000014593</v>
          </cell>
        </row>
        <row r="396">
          <cell r="C396">
            <v>0</v>
          </cell>
          <cell r="U396" t="str">
            <v>000000000014593</v>
          </cell>
        </row>
        <row r="397">
          <cell r="R397">
            <v>0</v>
          </cell>
          <cell r="U397" t="str">
            <v>000000000014593</v>
          </cell>
        </row>
        <row r="398">
          <cell r="D398" t="str">
            <v>不良補填</v>
          </cell>
          <cell r="F398">
            <v>0</v>
          </cell>
          <cell r="U398" t="str">
            <v>000000000014593</v>
          </cell>
        </row>
        <row r="399">
          <cell r="C399" t="str">
            <v>採光ルーバーパネルB　L=1996</v>
          </cell>
          <cell r="P399">
            <v>0</v>
          </cell>
          <cell r="U399" t="str">
            <v>000000000014639</v>
          </cell>
        </row>
        <row r="400">
          <cell r="P400">
            <v>0</v>
          </cell>
          <cell r="U400" t="str">
            <v>000000000014639</v>
          </cell>
        </row>
        <row r="401">
          <cell r="P401">
            <v>0</v>
          </cell>
          <cell r="U401" t="str">
            <v>000000000014639</v>
          </cell>
        </row>
        <row r="402">
          <cell r="C402">
            <v>378</v>
          </cell>
          <cell r="P402">
            <v>0</v>
          </cell>
          <cell r="U402" t="str">
            <v>000000000014639</v>
          </cell>
        </row>
        <row r="403">
          <cell r="C403">
            <v>1</v>
          </cell>
          <cell r="P403">
            <v>0</v>
          </cell>
          <cell r="U403" t="str">
            <v>000000000014639</v>
          </cell>
        </row>
        <row r="404">
          <cell r="C404">
            <v>42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000000000014639</v>
          </cell>
        </row>
        <row r="405">
          <cell r="C405" t="str">
            <v>上-1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000000000014639</v>
          </cell>
        </row>
        <row r="406">
          <cell r="M406" t="str">
            <v>作業者</v>
          </cell>
          <cell r="U406" t="str">
            <v>000000000014639</v>
          </cell>
        </row>
        <row r="407">
          <cell r="C407">
            <v>0</v>
          </cell>
          <cell r="U407" t="str">
            <v>000000000014639</v>
          </cell>
        </row>
        <row r="408">
          <cell r="R408">
            <v>0</v>
          </cell>
          <cell r="U408" t="str">
            <v>000000000014639</v>
          </cell>
        </row>
        <row r="409">
          <cell r="D409" t="str">
            <v>不良補填</v>
          </cell>
          <cell r="F409" t="str"/>
          <cell r="U409" t="str">
            <v>000000000014639</v>
          </cell>
        </row>
        <row r="410">
          <cell r="C410" t="str">
            <v>採光ルーバーパネルB　L=1996</v>
          </cell>
          <cell r="P410">
            <v>0</v>
          </cell>
          <cell r="U410" t="str">
            <v>000000000014895</v>
          </cell>
        </row>
        <row r="411">
          <cell r="P411">
            <v>0</v>
          </cell>
          <cell r="U411" t="str">
            <v>000000000014895</v>
          </cell>
        </row>
        <row r="412">
          <cell r="P412">
            <v>0</v>
          </cell>
          <cell r="U412" t="str">
            <v>000000000014895</v>
          </cell>
        </row>
        <row r="413">
          <cell r="C413">
            <v>42</v>
          </cell>
          <cell r="P413">
            <v>0</v>
          </cell>
          <cell r="U413" t="str">
            <v>000000000014895</v>
          </cell>
        </row>
        <row r="414">
          <cell r="C414">
            <v>1</v>
          </cell>
          <cell r="P414">
            <v>0</v>
          </cell>
          <cell r="U414" t="str">
            <v>000000000014895</v>
          </cell>
        </row>
        <row r="415">
          <cell r="C415">
            <v>42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000000000014895</v>
          </cell>
        </row>
        <row r="416">
          <cell r="C416" t="str">
            <v>上-1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000000000014895</v>
          </cell>
        </row>
        <row r="417">
          <cell r="M417" t="str">
            <v>作業者</v>
          </cell>
          <cell r="U417" t="str">
            <v>000000000014895</v>
          </cell>
        </row>
        <row r="418">
          <cell r="C418">
            <v>0</v>
          </cell>
          <cell r="U418" t="str">
            <v>000000000014895</v>
          </cell>
        </row>
        <row r="419">
          <cell r="R419">
            <v>0</v>
          </cell>
          <cell r="U419" t="str">
            <v>000000000014895</v>
          </cell>
        </row>
        <row r="420">
          <cell r="D420" t="str">
            <v>不良補填</v>
          </cell>
          <cell r="F420" t="str"/>
          <cell r="U420" t="str">
            <v>000000000014895</v>
          </cell>
        </row>
        <row r="421">
          <cell r="C421" t="str">
            <v>8FL281304 6110　L=1478</v>
          </cell>
          <cell r="P421">
            <v>0</v>
          </cell>
          <cell r="U421" t="str">
            <v>000000000014602</v>
          </cell>
        </row>
        <row r="422">
          <cell r="P422">
            <v>0</v>
          </cell>
          <cell r="U422" t="str">
            <v>000000000014602</v>
          </cell>
        </row>
        <row r="423">
          <cell r="P423">
            <v>0</v>
          </cell>
          <cell r="U423" t="str">
            <v>000000000014602</v>
          </cell>
        </row>
        <row r="424">
          <cell r="C424">
            <v>300</v>
          </cell>
          <cell r="P424">
            <v>0</v>
          </cell>
          <cell r="U424" t="str">
            <v>000000000014602</v>
          </cell>
        </row>
        <row r="425">
          <cell r="C425">
            <v>1</v>
          </cell>
          <cell r="P425">
            <v>0</v>
          </cell>
          <cell r="U425" t="str">
            <v>000000000014602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000000000014602</v>
          </cell>
        </row>
        <row r="427">
          <cell r="C427" t="str">
            <v>LED-A1478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000000000014602</v>
          </cell>
        </row>
        <row r="428">
          <cell r="M428" t="str">
            <v>作業者</v>
          </cell>
          <cell r="U428" t="str">
            <v>000000000014602</v>
          </cell>
        </row>
        <row r="429">
          <cell r="C429">
            <v>0</v>
          </cell>
          <cell r="U429" t="str">
            <v>000000000014602</v>
          </cell>
        </row>
        <row r="430">
          <cell r="R430">
            <v>0</v>
          </cell>
          <cell r="U430" t="str">
            <v>000000000014602</v>
          </cell>
        </row>
        <row r="431">
          <cell r="D431" t="str">
            <v>不良補填</v>
          </cell>
          <cell r="F431">
            <v>0</v>
          </cell>
          <cell r="U431" t="str">
            <v>000000000014602</v>
          </cell>
        </row>
        <row r="432">
          <cell r="C432" t="str">
            <v>8FL281304 6110　L=1478</v>
          </cell>
          <cell r="P432">
            <v>0</v>
          </cell>
          <cell r="U432" t="str">
            <v>000000000014603</v>
          </cell>
        </row>
        <row r="433">
          <cell r="P433">
            <v>0</v>
          </cell>
          <cell r="U433" t="str">
            <v>000000000014603</v>
          </cell>
        </row>
        <row r="434">
          <cell r="P434">
            <v>0</v>
          </cell>
          <cell r="U434" t="str">
            <v>000000000014603</v>
          </cell>
        </row>
        <row r="435">
          <cell r="C435">
            <v>100</v>
          </cell>
          <cell r="P435">
            <v>0</v>
          </cell>
          <cell r="U435" t="str">
            <v>000000000014603</v>
          </cell>
        </row>
        <row r="436">
          <cell r="C436">
            <v>1</v>
          </cell>
          <cell r="P436">
            <v>0</v>
          </cell>
          <cell r="U436" t="str">
            <v>000000000014603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000000000014603</v>
          </cell>
        </row>
        <row r="438">
          <cell r="C438" t="str">
            <v>LED-A1478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000000000014603</v>
          </cell>
        </row>
        <row r="439">
          <cell r="M439" t="str">
            <v>作業者</v>
          </cell>
          <cell r="U439" t="str">
            <v>000000000014603</v>
          </cell>
        </row>
        <row r="440">
          <cell r="C440">
            <v>0</v>
          </cell>
          <cell r="U440" t="str">
            <v>000000000014603</v>
          </cell>
        </row>
        <row r="441">
          <cell r="R441">
            <v>0</v>
          </cell>
          <cell r="U441" t="str">
            <v>000000000014603</v>
          </cell>
        </row>
        <row r="442">
          <cell r="D442" t="str">
            <v>不良補填</v>
          </cell>
          <cell r="F442">
            <v>0</v>
          </cell>
          <cell r="U442" t="str">
            <v>000000000014603</v>
          </cell>
        </row>
        <row r="443">
          <cell r="C443" t="str">
            <v>8FL281304 6110　L=1478</v>
          </cell>
          <cell r="P443">
            <v>0</v>
          </cell>
          <cell r="U443" t="str">
            <v>000000000014847</v>
          </cell>
        </row>
        <row r="444">
          <cell r="P444">
            <v>0</v>
          </cell>
          <cell r="U444" t="str">
            <v>000000000014847</v>
          </cell>
        </row>
        <row r="445">
          <cell r="P445">
            <v>0</v>
          </cell>
          <cell r="U445" t="str">
            <v>000000000014847</v>
          </cell>
        </row>
        <row r="446">
          <cell r="C446">
            <v>200</v>
          </cell>
          <cell r="P446">
            <v>0</v>
          </cell>
          <cell r="U446" t="str">
            <v>000000000014847</v>
          </cell>
        </row>
        <row r="447">
          <cell r="C447">
            <v>1</v>
          </cell>
          <cell r="P447">
            <v>0</v>
          </cell>
          <cell r="U447" t="str">
            <v>000000000014847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000000000014847</v>
          </cell>
        </row>
        <row r="449">
          <cell r="C449" t="str">
            <v>LED-A1478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000000000014847</v>
          </cell>
        </row>
        <row r="450">
          <cell r="M450" t="str">
            <v>作業者</v>
          </cell>
          <cell r="U450" t="str">
            <v>000000000014847</v>
          </cell>
        </row>
        <row r="451">
          <cell r="C451">
            <v>0</v>
          </cell>
          <cell r="U451" t="str">
            <v>000000000014847</v>
          </cell>
        </row>
        <row r="452">
          <cell r="R452">
            <v>0</v>
          </cell>
          <cell r="U452" t="str">
            <v>000000000014847</v>
          </cell>
        </row>
        <row r="453">
          <cell r="D453" t="str">
            <v>不良補填</v>
          </cell>
          <cell r="F453">
            <v>0</v>
          </cell>
          <cell r="U453" t="str">
            <v>000000000014847</v>
          </cell>
        </row>
        <row r="454">
          <cell r="C454" t="str">
            <v>8FL281304 5010　L=888</v>
          </cell>
          <cell r="P454">
            <v>0</v>
          </cell>
          <cell r="U454" t="str">
            <v>000000000014594</v>
          </cell>
        </row>
        <row r="455">
          <cell r="P455">
            <v>0</v>
          </cell>
          <cell r="U455" t="str">
            <v>000000000014594</v>
          </cell>
        </row>
        <row r="456">
          <cell r="P456">
            <v>0</v>
          </cell>
          <cell r="U456" t="str">
            <v>000000000014594</v>
          </cell>
        </row>
        <row r="457">
          <cell r="C457">
            <v>100</v>
          </cell>
          <cell r="P457">
            <v>0</v>
          </cell>
          <cell r="U457" t="str">
            <v>000000000014594</v>
          </cell>
        </row>
        <row r="458">
          <cell r="C458">
            <v>2</v>
          </cell>
          <cell r="P458">
            <v>0</v>
          </cell>
          <cell r="U458" t="str">
            <v>000000000014594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000000000014594</v>
          </cell>
        </row>
        <row r="460">
          <cell r="C460" t="str">
            <v>LED-A888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000000000014594</v>
          </cell>
        </row>
        <row r="461">
          <cell r="M461" t="str">
            <v>作業者</v>
          </cell>
          <cell r="U461" t="str">
            <v>000000000014594</v>
          </cell>
        </row>
        <row r="462">
          <cell r="C462">
            <v>0</v>
          </cell>
          <cell r="U462" t="str">
            <v>000000000014594</v>
          </cell>
        </row>
        <row r="463">
          <cell r="R463">
            <v>0</v>
          </cell>
          <cell r="U463" t="str">
            <v>000000000014594</v>
          </cell>
        </row>
        <row r="464">
          <cell r="D464" t="str">
            <v>不良補填</v>
          </cell>
          <cell r="F464">
            <v>0</v>
          </cell>
          <cell r="U464" t="str">
            <v>000000000014594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/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/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/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/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/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/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/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/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425"/>
  <sheetViews>
    <sheetView tabSelected="1" topLeftCell="A1366" workbookViewId="0">
      <selection activeCell="A950" sqref="A950:J967"/>
    </sheetView>
  </sheetViews>
  <sheetFormatPr baseColWidth="8" defaultColWidth="1.625" defaultRowHeight="13.5"/>
  <cols>
    <col width="9" customWidth="1" style="108" min="1" max="1"/>
    <col width="19.25" customWidth="1" style="108" min="2" max="2"/>
    <col width="5.875" customWidth="1" style="108" min="3" max="3"/>
    <col width="12.5" customWidth="1" style="108" min="4" max="4"/>
    <col width="9.25" customWidth="1" style="108" min="5" max="5"/>
    <col width="23.75" customWidth="1" style="108" min="6" max="6"/>
    <col width="10.25" customWidth="1" style="108" min="7" max="7"/>
    <col width="10.625" customWidth="1" style="108" min="8" max="10"/>
    <col width="1.625" customWidth="1" style="108" min="11" max="11"/>
    <col width="1.625" customWidth="1" style="108" min="12" max="16384"/>
  </cols>
  <sheetData>
    <row r="1" ht="14.25" customHeight="1" s="156" thickBot="1">
      <c r="A1" s="11" t="n"/>
      <c r="B1" s="125" t="inlineStr">
        <is>
          <t>検査梱包指示書</t>
        </is>
      </c>
      <c r="E1" s="11" t="n"/>
      <c r="F1" s="11" t="n"/>
      <c r="G1" s="11" t="n"/>
      <c r="H1" s="11" t="n"/>
      <c r="I1" s="11" t="n"/>
      <c r="J1" s="11" t="n"/>
    </row>
    <row r="2" ht="14.25" customHeight="1" s="156" thickTop="1">
      <c r="A2" s="12" t="n"/>
      <c r="E2" s="12" t="n"/>
      <c r="F2" s="12" t="n"/>
      <c r="G2" s="12" t="n"/>
      <c r="H2" s="12" t="n"/>
      <c r="I2" s="12" t="n"/>
      <c r="J2" s="12" t="n"/>
    </row>
    <row r="3" ht="14.25" customHeight="1" s="156">
      <c r="A3" s="112" t="inlineStr">
        <is>
          <t>品目番号</t>
        </is>
      </c>
      <c r="B3" s="112" t="inlineStr">
        <is>
          <t>J1JAZZB10802970</t>
        </is>
      </c>
      <c r="C3" s="112" t="inlineStr">
        <is>
          <t>Ｌ寸</t>
        </is>
      </c>
      <c r="D3" s="157" t="n">
        <v>297</v>
      </c>
      <c r="E3" s="112" t="inlineStr">
        <is>
          <t>名称</t>
        </is>
      </c>
      <c r="F3" s="123" t="inlineStr">
        <is>
          <t>8FL2813044810</t>
        </is>
      </c>
      <c r="I3" s="24" t="inlineStr">
        <is>
          <t>上長</t>
        </is>
      </c>
      <c r="J3" s="24" t="inlineStr">
        <is>
          <t>係員</t>
        </is>
      </c>
    </row>
    <row r="4" ht="14.25" customHeight="1" s="156">
      <c r="I4" s="105" t="n"/>
      <c r="J4" s="105" t="n"/>
    </row>
    <row r="5" ht="17.45" customHeight="1" s="156">
      <c r="A5" s="111" t="inlineStr">
        <is>
          <t>製造指図№</t>
        </is>
      </c>
      <c r="B5" s="111" t="inlineStr">
        <is>
          <t>000000000014573</t>
        </is>
      </c>
      <c r="E5" s="111" t="inlineStr">
        <is>
          <t>原料名</t>
        </is>
      </c>
      <c r="F5" s="140" t="inlineStr">
        <is>
          <t>(CASE 297MILK-W4)</t>
        </is>
      </c>
      <c r="I5" s="106" t="n"/>
      <c r="J5" s="106" t="n"/>
    </row>
    <row r="6" ht="17.45" customHeight="1" s="156">
      <c r="I6" s="13" t="n"/>
      <c r="J6" s="13" t="n"/>
    </row>
    <row r="7" ht="17.45" customHeight="1" s="156">
      <c r="A7" s="111" t="inlineStr">
        <is>
          <t>発注明細№</t>
        </is>
      </c>
      <c r="B7" s="111" t="inlineStr">
        <is>
          <t>000000000855909</t>
        </is>
      </c>
      <c r="E7" s="2" t="inlineStr">
        <is>
          <t>色　名</t>
        </is>
      </c>
      <c r="F7" s="140" t="inlineStr">
        <is>
          <t>J6VZ034</t>
        </is>
      </c>
      <c r="H7" s="21" t="n"/>
      <c r="I7" s="13" t="n"/>
      <c r="J7" s="13" t="n"/>
    </row>
    <row r="8" ht="17.45" customHeight="1" s="156">
      <c r="E8" s="2" t="inlineStr">
        <is>
          <t>製品Grp</t>
        </is>
      </c>
      <c r="F8" s="21" t="inlineStr">
        <is>
          <t>J1ZB</t>
        </is>
      </c>
      <c r="G8" s="21" t="n"/>
      <c r="H8" s="21" t="n"/>
      <c r="I8" s="14" t="n"/>
      <c r="J8" s="14" t="n"/>
    </row>
    <row r="9" ht="17.45" customHeight="1" s="156">
      <c r="A9" s="2" t="inlineStr">
        <is>
          <t>開始日</t>
        </is>
      </c>
      <c r="B9" s="158" t="n">
        <v>46184</v>
      </c>
      <c r="E9" s="2" t="inlineStr">
        <is>
          <t>入り数</t>
        </is>
      </c>
      <c r="F9" s="159" t="n">
        <v>100</v>
      </c>
      <c r="H9" s="21" t="n"/>
    </row>
    <row r="10" ht="17.45" customHeight="1" s="156">
      <c r="A10" s="2" t="inlineStr">
        <is>
          <t>終了日</t>
        </is>
      </c>
      <c r="B10" s="158" t="n">
        <v>46184</v>
      </c>
      <c r="E10" s="2" t="inlineStr">
        <is>
          <t>梱包数</t>
        </is>
      </c>
      <c r="F10" s="21" t="n">
        <v>2</v>
      </c>
      <c r="G10" s="143" t="inlineStr">
        <is>
          <t>指示数量</t>
        </is>
      </c>
      <c r="H10" s="160" t="n">
        <v>200</v>
      </c>
      <c r="I10" s="133" t="n"/>
      <c r="J10" s="134" t="n"/>
    </row>
    <row r="11" ht="17.45" customHeight="1" s="156">
      <c r="A11" s="19" t="n"/>
      <c r="B11" s="127" t="n"/>
      <c r="C11" s="127" t="n"/>
      <c r="D11" s="127" t="n"/>
      <c r="E11" s="2" t="inlineStr">
        <is>
          <t>金　型</t>
        </is>
      </c>
      <c r="F11" s="21" t="inlineStr">
        <is>
          <t>4350</t>
        </is>
      </c>
      <c r="G11" s="135" t="n"/>
      <c r="H11" s="135" t="n"/>
      <c r="I11" s="117" t="n"/>
      <c r="J11" s="136" t="n"/>
    </row>
    <row r="12" ht="13.5" customHeight="1" s="156">
      <c r="A12" s="127" t="inlineStr">
        <is>
          <t>*J1JAZZB10802970*</t>
        </is>
      </c>
      <c r="D12" s="127" t="n"/>
      <c r="F12" s="3" t="n"/>
      <c r="G12" s="126" t="inlineStr">
        <is>
          <t>格納先</t>
        </is>
      </c>
      <c r="H12" s="118" t="inlineStr">
        <is>
          <t>V3J03</t>
        </is>
      </c>
      <c r="I12" s="138" t="inlineStr">
        <is>
          <t>樹脂第3倉庫 (在庫)</t>
        </is>
      </c>
      <c r="J12" s="139" t="n"/>
    </row>
    <row r="13" ht="13.5" customHeight="1" s="156">
      <c r="D13" s="127" t="n"/>
      <c r="F13" s="3" t="n"/>
      <c r="G13" s="119" t="n"/>
      <c r="H13" s="119" t="n"/>
      <c r="I13" s="117" t="n"/>
      <c r="J13" s="136" t="n"/>
    </row>
    <row r="14" ht="13.5" customHeight="1" s="156">
      <c r="A14" s="108" t="inlineStr">
        <is>
          <t>指図書備考</t>
        </is>
      </c>
    </row>
    <row r="15" ht="63" customHeight="1" s="156" thickBot="1">
      <c r="A15" s="130" t="n"/>
      <c r="B15" s="131" t="n"/>
      <c r="C15" s="131" t="n"/>
      <c r="D15" s="131" t="n"/>
      <c r="E15" s="131" t="n"/>
      <c r="F15" s="131" t="n"/>
      <c r="G15" s="131" t="n"/>
      <c r="H15" s="131" t="n"/>
      <c r="I15" s="131" t="n"/>
      <c r="J15" s="131" t="n"/>
    </row>
    <row r="16" ht="18.75" customHeight="1" s="156">
      <c r="A16" s="23" t="inlineStr">
        <is>
          <t>工順</t>
        </is>
      </c>
      <c r="B16" s="16" t="inlineStr">
        <is>
          <t>製造場所</t>
        </is>
      </c>
      <c r="C16" s="120" t="inlineStr">
        <is>
          <t>製造場所名</t>
        </is>
      </c>
      <c r="D16" s="121" t="n"/>
      <c r="E16" s="16" t="inlineStr">
        <is>
          <t>工程</t>
        </is>
      </c>
      <c r="F16" s="120" t="inlineStr">
        <is>
          <t>工程名</t>
        </is>
      </c>
      <c r="G16" s="121" t="n"/>
      <c r="H16" s="121" t="n"/>
      <c r="I16" s="124" t="inlineStr">
        <is>
          <t>作業時間</t>
        </is>
      </c>
      <c r="J16" s="121" t="n"/>
    </row>
    <row r="17" ht="14.25" customFormat="1" customHeight="1" s="6">
      <c r="A17" s="141" t="n"/>
      <c r="B17" s="141" t="n"/>
      <c r="C17" s="141" t="n"/>
      <c r="D17" s="141" t="n"/>
      <c r="E17" s="141" t="n"/>
      <c r="F17" s="141" t="n"/>
      <c r="G17" s="141" t="n"/>
      <c r="H17" s="141" t="n"/>
      <c r="I17" s="141" t="n"/>
      <c r="J17" s="141" t="n"/>
    </row>
    <row r="18" ht="16.5" customFormat="1" customHeight="1" s="137">
      <c r="A18" s="22" t="n">
        <v>1</v>
      </c>
      <c r="B18" s="107" t="inlineStr">
        <is>
          <t>V3Z01</t>
        </is>
      </c>
      <c r="C18" s="107" t="inlineStr">
        <is>
          <t>黒部工業</t>
        </is>
      </c>
      <c r="E18" s="107" t="inlineStr">
        <is>
          <t>V3P05</t>
        </is>
      </c>
      <c r="F18" s="107" t="inlineStr">
        <is>
          <t>切断</t>
        </is>
      </c>
      <c r="I18" s="115" t="n"/>
    </row>
    <row r="19" ht="16.5" customFormat="1" customHeight="1" s="137">
      <c r="A19" s="22" t="n">
        <v>1</v>
      </c>
      <c r="B19" s="26" t="inlineStr">
        <is>
          <t>V3Z01</t>
        </is>
      </c>
      <c r="C19" s="107" t="inlineStr">
        <is>
          <t>黒部工業</t>
        </is>
      </c>
      <c r="E19" s="107" t="inlineStr">
        <is>
          <t>V3P16</t>
        </is>
      </c>
      <c r="F19" s="107" t="inlineStr">
        <is>
          <t>検査・梱包</t>
        </is>
      </c>
      <c r="I19" s="115" t="n"/>
    </row>
    <row r="20" ht="16.5" customFormat="1" customHeight="1" s="137">
      <c r="A20" s="22" t="n"/>
      <c r="B20" s="26" t="n"/>
      <c r="C20" s="107" t="n"/>
      <c r="E20" s="107" t="n"/>
      <c r="F20" s="107" t="n"/>
      <c r="I20" s="115" t="n"/>
    </row>
    <row r="21" ht="16.5" customFormat="1" customHeight="1" s="137">
      <c r="A21" s="22" t="n"/>
      <c r="B21" s="26" t="n"/>
      <c r="C21" s="107" t="n"/>
      <c r="E21" s="107" t="n"/>
      <c r="F21" s="107" t="n"/>
      <c r="I21" s="115" t="n"/>
    </row>
    <row r="22" ht="16.5" customFormat="1" customHeight="1" s="137">
      <c r="A22" s="22" t="n"/>
      <c r="B22" s="26" t="n"/>
      <c r="C22" s="107" t="n"/>
      <c r="E22" s="107" t="n"/>
      <c r="F22" s="107" t="n"/>
      <c r="I22" s="115" t="n"/>
    </row>
    <row r="23" ht="16.5" customFormat="1" customHeight="1" s="137">
      <c r="A23" s="22" t="n"/>
      <c r="B23" s="26" t="n"/>
      <c r="C23" s="107" t="n"/>
      <c r="E23" s="107" t="n"/>
      <c r="F23" s="107" t="n"/>
      <c r="I23" s="115" t="n"/>
    </row>
    <row r="24" ht="16.5" customHeight="1" s="156" thickBo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 ht="18.75" customHeight="1" s="156">
      <c r="A25" s="109" t="inlineStr">
        <is>
          <t>品目コード</t>
        </is>
      </c>
      <c r="B25" s="110" t="n"/>
      <c r="C25" s="109" t="inlineStr">
        <is>
          <t>品目名１</t>
        </is>
      </c>
      <c r="D25" s="110" t="n"/>
      <c r="E25" s="110" t="n"/>
      <c r="F25" s="17" t="inlineStr">
        <is>
          <t>在庫場所</t>
        </is>
      </c>
      <c r="G25" s="109" t="inlineStr">
        <is>
          <t>出庫数量</t>
        </is>
      </c>
      <c r="H25" s="110" t="n"/>
      <c r="I25" s="109" t="inlineStr">
        <is>
          <t>バッチ必要数</t>
        </is>
      </c>
      <c r="J25" s="110" t="n"/>
    </row>
    <row r="26" ht="14.25" customHeight="1" s="156">
      <c r="A26" s="8" t="n"/>
      <c r="B26" s="18" t="n"/>
      <c r="C26" s="116" t="inlineStr">
        <is>
          <t>品目名２</t>
        </is>
      </c>
      <c r="D26" s="117" t="n"/>
      <c r="E26" s="18" t="n"/>
      <c r="F26" s="116" t="inlineStr">
        <is>
          <t>指図書備考</t>
        </is>
      </c>
      <c r="G26" s="117" t="n"/>
      <c r="H26" s="117" t="n"/>
      <c r="I26" s="117" t="n"/>
      <c r="J26" s="117" t="n"/>
    </row>
    <row r="27">
      <c r="A27" s="9" t="n"/>
      <c r="C27" s="137" t="n"/>
      <c r="D27" s="137" t="n"/>
      <c r="E27" s="137" t="n"/>
    </row>
    <row r="28" ht="14.25" customFormat="1" customHeight="1" s="141">
      <c r="A28" s="107" t="inlineStr">
        <is>
          <t>J1JAZZA10818200</t>
        </is>
      </c>
      <c r="C28" s="107" t="inlineStr">
        <is>
          <t>@8FL28130 L1820</t>
        </is>
      </c>
      <c r="F28" s="27" t="inlineStr">
        <is>
          <t>V3J04</t>
        </is>
      </c>
      <c r="G28" s="161" t="n">
        <v>33.4</v>
      </c>
      <c r="I28" s="161" t="n">
        <v>0.334</v>
      </c>
    </row>
    <row r="29" ht="24.95" customFormat="1" customHeight="1" s="137">
      <c r="A29" s="122" t="inlineStr">
        <is>
          <t>*J1JAZZA10818200*</t>
        </is>
      </c>
      <c r="C29" s="107" t="n"/>
      <c r="F29" s="107" t="n"/>
    </row>
    <row r="30" ht="14.25" customFormat="1" customHeight="1" s="141">
      <c r="A30" s="107" t="inlineStr">
        <is>
          <t>J6DW0086</t>
        </is>
      </c>
      <c r="C30" s="107" t="inlineStr">
        <is>
          <t>LED-A300（旧LED-A297）307X275X166</t>
        </is>
      </c>
      <c r="F30" s="27" t="inlineStr">
        <is>
          <t>V3W04</t>
        </is>
      </c>
      <c r="G30" s="161" t="n">
        <v>2</v>
      </c>
      <c r="I30" s="161" t="n">
        <v>0.02</v>
      </c>
    </row>
    <row r="31" ht="24.95" customFormat="1" customHeight="1" s="137">
      <c r="A31" s="122" t="inlineStr">
        <is>
          <t>*J6DW0086*</t>
        </is>
      </c>
      <c r="C31" s="107" t="inlineStr">
        <is>
          <t>L300×W275×H166</t>
        </is>
      </c>
      <c r="F31" s="107" t="n"/>
    </row>
    <row r="32" ht="14.25" customFormat="1" customHeight="1" s="141">
      <c r="A32" s="107" t="inlineStr">
        <is>
          <t>J6XX0050</t>
        </is>
      </c>
      <c r="C32" s="107" t="inlineStr">
        <is>
          <t>(管理外)筋入ｸﾗﾌﾄ紙</t>
        </is>
      </c>
      <c r="F32" s="27" t="n"/>
      <c r="G32" s="161" t="n">
        <v>0.2</v>
      </c>
      <c r="I32" s="161" t="n">
        <v>0.002</v>
      </c>
    </row>
    <row r="33" ht="24.95" customFormat="1" customHeight="1" s="137">
      <c r="A33" s="122" t="inlineStr">
        <is>
          <t>*J6XX0050*</t>
        </is>
      </c>
      <c r="C33" s="107" t="inlineStr">
        <is>
          <t>300＊100</t>
        </is>
      </c>
      <c r="F33" s="107" t="n"/>
    </row>
    <row r="34" ht="14.25" customFormat="1" customHeight="1" s="141">
      <c r="A34" s="107" t="inlineStr">
        <is>
          <t>J6XX0051</t>
        </is>
      </c>
      <c r="C34" s="107" t="inlineStr">
        <is>
          <t>(管理外)LLDPE規格ｼｰﾄ0.02×950×100m</t>
        </is>
      </c>
      <c r="F34" s="27" t="n"/>
      <c r="G34" s="161" t="n">
        <v>0.2</v>
      </c>
      <c r="I34" s="161" t="n">
        <v>0.002</v>
      </c>
    </row>
    <row r="35" ht="24.95" customFormat="1" customHeight="1" s="137">
      <c r="A35" s="122" t="inlineStr">
        <is>
          <t>*J6XX0051*</t>
        </is>
      </c>
      <c r="C35" s="107" t="inlineStr">
        <is>
          <t>0.02×950×100m</t>
        </is>
      </c>
      <c r="F35" s="107" t="n"/>
    </row>
    <row r="36" ht="14.25" customFormat="1" customHeight="1" s="141">
      <c r="A36" s="107" t="n"/>
      <c r="C36" s="107" t="n"/>
      <c r="F36" s="27" t="n"/>
      <c r="G36" s="161" t="n"/>
      <c r="I36" s="161" t="n"/>
    </row>
    <row r="37" ht="24.95" customFormat="1" customHeight="1" s="137" thickBot="1">
      <c r="A37" s="122" t="n"/>
      <c r="C37" s="107" t="n"/>
      <c r="F37" s="107" t="n"/>
    </row>
    <row r="38" ht="18" customFormat="1" customHeight="1" s="141">
      <c r="A38" s="28" t="inlineStr">
        <is>
          <t>温度換算</t>
        </is>
      </c>
      <c r="B38" s="29" t="inlineStr">
        <is>
          <t>L寸</t>
        </is>
      </c>
      <c r="C38" s="147" t="inlineStr">
        <is>
          <t>梱包箱</t>
        </is>
      </c>
      <c r="D38" s="162" t="n"/>
      <c r="E38" s="148" t="inlineStr">
        <is>
          <t>使用数</t>
        </is>
      </c>
      <c r="F38" s="31" t="inlineStr">
        <is>
          <t>作業者</t>
        </is>
      </c>
      <c r="G38" s="32" t="inlineStr">
        <is>
          <t>加工Lot</t>
        </is>
      </c>
      <c r="H38" s="129" t="inlineStr">
        <is>
          <t>箱数</t>
        </is>
      </c>
      <c r="I38" s="128" t="inlineStr">
        <is>
          <t>加工明細</t>
        </is>
      </c>
      <c r="J38" s="162" t="n"/>
    </row>
    <row r="39" ht="18" customFormat="1" customHeight="1" s="137">
      <c r="A39" s="34">
        <f>_xlfn.XLOOKUP(B3,[1]VFDB2!$A:$A,[1]VFDB2!$J:$J)</f>
        <v/>
      </c>
      <c r="B39" s="163">
        <f>D3</f>
        <v/>
      </c>
      <c r="C39" s="164">
        <f>_xlfn.XLOOKUP(B3,[1]VFDB2!$A:$A,[1]VFDB2!$Z:$Z)</f>
        <v/>
      </c>
      <c r="D39" s="165" t="n"/>
      <c r="E39" s="166">
        <f t="array" ref="E39">IFERROR(INDEX(_xlfn._xlws.FILTER([2]加工記録２!C:C,[2]加工記録２!U:U=B5),9),"")</f>
        <v/>
      </c>
      <c r="F39" s="167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168">
        <f t="array" ref="G39:H43">IFERROR(IF(_xlfn.TAKE(_xlfn._xlws.FILTER([2]加工記録２!$M:$N,[2]加工記録２!$U:$U=B5),5)=0,"",_xlfn.TAKE(_xlfn._xlws.FILTER([2]加工記録２!$M:$N,[2]加工記録２!$U:$U=B5),5)),"")</f>
        <v/>
      </c>
      <c r="H39" s="169" t="n">
        <v>2</v>
      </c>
      <c r="I39" s="39" t="inlineStr">
        <is>
          <t>入庫日</t>
        </is>
      </c>
      <c r="J39" s="170">
        <f t="array" ref="J39:J44">IFERROR(INDEX(_xlfn._xlws.FILTER([2]加工記録２!P:P, [2]加工記録２!U:U=B5),_xlfn.SEQUENCE(6)),"")</f>
        <v/>
      </c>
    </row>
    <row r="40" ht="18" customFormat="1" customHeight="1" s="141">
      <c r="A40" s="44" t="inlineStr">
        <is>
          <t>+公差</t>
        </is>
      </c>
      <c r="B40" s="45" t="inlineStr">
        <is>
          <t>切断寸法</t>
        </is>
      </c>
      <c r="C40" s="171" t="n"/>
      <c r="D40" s="172" t="n"/>
      <c r="E40" s="119" t="n"/>
      <c r="F40" s="173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168" t="str"/>
      <c r="H40" s="169" t="str"/>
      <c r="I40" s="39" t="inlineStr">
        <is>
          <t>入庫数</t>
        </is>
      </c>
      <c r="J40" s="174" t="n">
        <v>200</v>
      </c>
      <c r="K40" s="47" t="n"/>
    </row>
    <row r="41" ht="18" customFormat="1" customHeight="1" s="137">
      <c r="A41" s="48">
        <f>_xlfn.XLOOKUP(B3,[1]VFDB2!$A:$A,[1]VFDB2!$L:$L)</f>
        <v/>
      </c>
      <c r="B41" s="175">
        <f>_xlfn.XLOOKUP(B3,[1]VFDB2!$A:$A,[1]VFDB2!$AC:$AC)</f>
        <v/>
      </c>
      <c r="C41" s="155" t="inlineStr">
        <is>
          <t>梱包
方法</t>
        </is>
      </c>
      <c r="D41" s="176">
        <f>_xlfn.XLOOKUP(B3,[1]VFDB2!$A:$A,[1]VFDB2!$W:$W)</f>
        <v/>
      </c>
      <c r="E41" s="177" t="n"/>
      <c r="F41" s="178" t="n"/>
      <c r="G41" s="168" t="str"/>
      <c r="H41" s="169" t="str"/>
      <c r="I41" s="39" t="inlineStr">
        <is>
          <t>使用基材数</t>
        </is>
      </c>
      <c r="J41" s="174" t="n">
        <v>1.166666666666667</v>
      </c>
      <c r="K41" s="50" t="n"/>
    </row>
    <row r="42" ht="18" customFormat="1" customHeight="1" s="141">
      <c r="A42" s="51" t="inlineStr">
        <is>
          <t>-公差</t>
        </is>
      </c>
      <c r="B42" s="52" t="inlineStr">
        <is>
          <t>取数</t>
        </is>
      </c>
      <c r="C42" s="179" t="n"/>
      <c r="D42" s="176">
        <f>_xlfn.XLOOKUP(B3,[1]VFDB2!$A:$A,[1]VFDB2!$R:$R)</f>
        <v/>
      </c>
      <c r="E42" s="177" t="n"/>
      <c r="F42" s="178" t="n"/>
      <c r="G42" s="168" t="str"/>
      <c r="H42" s="169" t="str"/>
      <c r="I42" s="39" t="inlineStr">
        <is>
          <t>製品不良</t>
        </is>
      </c>
      <c r="J42" s="174" t="n">
        <v>7</v>
      </c>
      <c r="K42" s="47" t="n"/>
    </row>
    <row r="43" ht="18" customFormat="1" customHeight="1" s="137" thickBot="1">
      <c r="A43" s="53">
        <f>_xlfn.XLOOKUP(B3,[1]VFDB2!$A:$A,[1]VFDB2!$K:$K)</f>
        <v/>
      </c>
      <c r="B43" s="54">
        <f>_xlfn.XLOOKUP(B3,[1]VFDB2!$A:$A,[1]VFDB2!$P:$P)</f>
        <v/>
      </c>
      <c r="C43" s="55" t="inlineStr">
        <is>
          <t>備考</t>
        </is>
      </c>
      <c r="D43" s="180">
        <f>_xlfn.XLOOKUP(B3,[1]VFDB2!$A:$A,[1]VFDB2!$V:$V)</f>
        <v/>
      </c>
      <c r="E43" s="181" t="n"/>
      <c r="F43" s="182" t="n"/>
      <c r="G43" s="183" t="str"/>
      <c r="H43" s="184" t="str"/>
      <c r="I43" s="39" t="inlineStr">
        <is>
          <t>基材不良</t>
        </is>
      </c>
      <c r="J43" s="185" t="n">
        <v>1.166666666666667</v>
      </c>
      <c r="K43" s="50" t="n"/>
    </row>
    <row r="44" ht="18" customFormat="1" customHeight="1" s="141" thickBot="1">
      <c r="A44" s="58" t="inlineStr">
        <is>
          <t>作業日</t>
        </is>
      </c>
      <c r="B44" s="59">
        <f t="array" ref="B44">IF(SUM(--(ISTEXT(B45:B55)*(B45:B55&lt;&gt;"")))=0,"計測Lot","計測Lot・加工数")</f>
        <v/>
      </c>
      <c r="C44" s="60" t="inlineStr">
        <is>
          <t>温度</t>
        </is>
      </c>
      <c r="D44" s="61" t="inlineStr">
        <is>
          <t>換算</t>
        </is>
      </c>
      <c r="E44" s="62" t="inlineStr">
        <is>
          <t>計測値</t>
        </is>
      </c>
      <c r="F44" s="63">
        <f t="array" ref="F44">IF(SUM(--(ISTEXT(B45:B55)*(B45:B55&lt;&gt;"")))=0,"記入不要","使用Lot")</f>
        <v/>
      </c>
      <c r="G44" s="64" t="inlineStr">
        <is>
          <t>加工数</t>
        </is>
      </c>
      <c r="H44" s="65" t="inlineStr">
        <is>
          <t>基材換算</t>
        </is>
      </c>
      <c r="I44" s="66" t="inlineStr">
        <is>
          <t>端材使用</t>
        </is>
      </c>
      <c r="J44" s="186" t="n">
        <v>200</v>
      </c>
      <c r="K44" s="47" t="n"/>
    </row>
    <row r="45" ht="18" customFormat="1" customHeight="1" s="137">
      <c r="A45" s="187">
        <f t="array" ref="A45:A55">IFERROR(INDEX(_xlfn._xlws.FILTER([2]加工記録２!$D:$D,[2]加工記録２!$U:$U=B5),_xlfn.SEQUENCE(11),0),"")</f>
        <v/>
      </c>
      <c r="B45" s="188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 t="n"/>
      <c r="D45" s="189" t="n"/>
      <c r="E45" s="190" t="n"/>
      <c r="F45" s="191" t="n"/>
      <c r="G45" s="192" t="n"/>
      <c r="H45" s="193" t="n"/>
      <c r="I45" s="194" t="inlineStr">
        <is>
          <t>不良内訳</t>
        </is>
      </c>
      <c r="J45" s="195" t="n"/>
      <c r="K45" s="80" t="n"/>
    </row>
    <row r="46" ht="18" customFormat="1" customHeight="1" s="141">
      <c r="A46" s="196" t="n">
        <v>46181</v>
      </c>
      <c r="B46" s="72" t="inlineStr">
        <is>
          <t>端材</t>
        </is>
      </c>
      <c r="C46" s="197" t="n"/>
      <c r="D46" s="198" t="n"/>
      <c r="E46" s="199" t="n"/>
      <c r="F46" s="200" t="n"/>
      <c r="G46" s="197" t="n"/>
      <c r="H46" s="201" t="n"/>
      <c r="I46" s="86" t="inlineStr">
        <is>
          <t>キズ</t>
        </is>
      </c>
      <c r="J46" s="201">
        <f t="array" ref="J46:J55">IFERROR(INDEX(_xlfn._xlws.FILTER([2]加工記録２!R:R, [2]加工記録２!U:U=B5),_xlfn.SEQUENCE(10)),"")</f>
        <v/>
      </c>
      <c r="K46" s="80" t="n"/>
    </row>
    <row r="47" ht="18.95" customFormat="1" customHeight="1" s="91">
      <c r="A47" s="202" t="n">
        <v>46181</v>
      </c>
      <c r="B47" s="72" t="inlineStr">
        <is>
          <t>端材 × 200</t>
        </is>
      </c>
      <c r="C47" s="197" t="n"/>
      <c r="D47" s="198" t="n"/>
      <c r="E47" s="199" t="n"/>
      <c r="F47" s="200" t="n"/>
      <c r="G47" s="197" t="n"/>
      <c r="H47" s="201" t="n"/>
      <c r="I47" s="86" t="inlineStr">
        <is>
          <t>凹み</t>
        </is>
      </c>
      <c r="J47" s="201" t="n">
        <v>0</v>
      </c>
      <c r="K47" s="89" t="n"/>
      <c r="L47" s="90" t="n"/>
      <c r="M47" s="90" t="n"/>
      <c r="N47" s="90" t="n"/>
    </row>
    <row r="48" ht="18.95" customFormat="1" customHeight="1" s="94">
      <c r="A48" s="202" t="n">
        <v>0</v>
      </c>
      <c r="B48" s="72" t="str"/>
      <c r="C48" s="197" t="n"/>
      <c r="D48" s="198" t="n"/>
      <c r="E48" s="199" t="n"/>
      <c r="F48" s="200" t="n"/>
      <c r="G48" s="197" t="n"/>
      <c r="H48" s="201" t="n"/>
      <c r="I48" s="86" t="inlineStr">
        <is>
          <t>異物</t>
        </is>
      </c>
      <c r="J48" s="201" t="n">
        <v>3</v>
      </c>
      <c r="K48" s="92" t="n"/>
      <c r="L48" s="93" t="n"/>
      <c r="M48" s="93" t="n"/>
      <c r="N48" s="93" t="n"/>
    </row>
    <row r="49" ht="18.95" customFormat="1" customHeight="1" s="94">
      <c r="A49" s="202" t="n">
        <v>0</v>
      </c>
      <c r="B49" s="72" t="str"/>
      <c r="C49" s="197" t="n"/>
      <c r="D49" s="198" t="n"/>
      <c r="E49" s="199" t="n"/>
      <c r="F49" s="200" t="n"/>
      <c r="G49" s="197" t="n"/>
      <c r="H49" s="201" t="n"/>
      <c r="I49" s="86" t="inlineStr">
        <is>
          <t>欠け</t>
        </is>
      </c>
      <c r="J49" s="201" t="n">
        <v>0</v>
      </c>
      <c r="K49" s="92" t="n"/>
      <c r="L49" s="93" t="n"/>
      <c r="M49" s="93" t="n"/>
      <c r="N49" s="93" t="n"/>
    </row>
    <row r="50" ht="18.95" customFormat="1" customHeight="1" s="94">
      <c r="A50" s="202" t="n">
        <v>0</v>
      </c>
      <c r="B50" s="72" t="str"/>
      <c r="C50" s="197" t="n"/>
      <c r="D50" s="198" t="n"/>
      <c r="E50" s="199" t="n"/>
      <c r="F50" s="200" t="n"/>
      <c r="G50" s="197" t="n"/>
      <c r="H50" s="201" t="n"/>
      <c r="I50" s="86" t="inlineStr">
        <is>
          <t>メヤニ</t>
        </is>
      </c>
      <c r="J50" s="201" t="n">
        <v>0</v>
      </c>
      <c r="K50" s="92" t="n"/>
      <c r="L50" s="93" t="n"/>
      <c r="M50" s="93" t="n"/>
      <c r="N50" s="93" t="n"/>
    </row>
    <row r="51" ht="18.95" customFormat="1" customHeight="1" s="94">
      <c r="A51" s="202" t="n">
        <v>0</v>
      </c>
      <c r="B51" s="72" t="str"/>
      <c r="C51" s="197" t="n"/>
      <c r="D51" s="198" t="n"/>
      <c r="E51" s="199" t="n"/>
      <c r="F51" s="200" t="n"/>
      <c r="G51" s="197" t="n"/>
      <c r="H51" s="201" t="n"/>
      <c r="I51" s="86" t="inlineStr">
        <is>
          <t>ベコツキ</t>
        </is>
      </c>
      <c r="J51" s="201" t="n">
        <v>0</v>
      </c>
      <c r="K51" s="92" t="n"/>
      <c r="L51" s="93" t="n"/>
      <c r="M51" s="93" t="n"/>
      <c r="N51" s="93" t="n"/>
    </row>
    <row r="52" ht="18.95" customFormat="1" customHeight="1" s="94">
      <c r="A52" s="202" t="n">
        <v>0</v>
      </c>
      <c r="B52" s="72" t="str"/>
      <c r="C52" s="197" t="n"/>
      <c r="D52" s="198" t="n"/>
      <c r="E52" s="199" t="n"/>
      <c r="F52" s="200" t="n"/>
      <c r="G52" s="197" t="n"/>
      <c r="H52" s="201" t="n"/>
      <c r="I52" s="95" t="inlineStr">
        <is>
          <t>汚損</t>
        </is>
      </c>
      <c r="J52" s="201" t="n">
        <v>0</v>
      </c>
      <c r="K52" s="92" t="n"/>
      <c r="L52" s="93" t="n"/>
      <c r="M52" s="93" t="n"/>
      <c r="N52" s="93" t="n"/>
    </row>
    <row r="53" ht="18.95" customFormat="1" customHeight="1" s="94">
      <c r="A53" s="202" t="n">
        <v>0</v>
      </c>
      <c r="B53" s="72" t="str"/>
      <c r="C53" s="197" t="n"/>
      <c r="D53" s="198" t="n"/>
      <c r="E53" s="199" t="n"/>
      <c r="F53" s="200" t="n"/>
      <c r="G53" s="197" t="n"/>
      <c r="H53" s="201" t="n"/>
      <c r="I53" s="95" t="inlineStr">
        <is>
          <t>形状異常</t>
        </is>
      </c>
      <c r="J53" s="201" t="n">
        <v>0</v>
      </c>
      <c r="K53" s="92" t="n"/>
      <c r="L53" s="93" t="n"/>
      <c r="M53" s="93" t="n"/>
      <c r="N53" s="93" t="n"/>
    </row>
    <row r="54" ht="18.95" customFormat="1" customHeight="1" s="94">
      <c r="A54" s="202" t="n">
        <v>0</v>
      </c>
      <c r="B54" s="72" t="str"/>
      <c r="C54" s="197" t="n"/>
      <c r="D54" s="198" t="n"/>
      <c r="E54" s="199" t="n"/>
      <c r="F54" s="200" t="n"/>
      <c r="G54" s="197" t="n"/>
      <c r="H54" s="201" t="n"/>
      <c r="I54" s="86" t="inlineStr">
        <is>
          <t>その他</t>
        </is>
      </c>
      <c r="J54" s="203" t="n">
        <v>0</v>
      </c>
      <c r="K54" s="92" t="n"/>
      <c r="L54" s="93" t="n"/>
      <c r="M54" s="93" t="n"/>
      <c r="N54" s="93" t="n"/>
    </row>
    <row r="55" ht="18.95" customFormat="1" customHeight="1" s="94" thickBot="1">
      <c r="A55" s="204" t="inlineStr">
        <is>
          <t>不良補填</t>
        </is>
      </c>
      <c r="B55" s="73" t="inlineStr">
        <is>
          <t>26B24-01 × 7</t>
        </is>
      </c>
      <c r="C55" s="205" t="n"/>
      <c r="D55" s="206" t="n"/>
      <c r="E55" s="207" t="n"/>
      <c r="F55" s="208" t="n"/>
      <c r="G55" s="209" t="n"/>
      <c r="H55" s="210" t="n"/>
      <c r="I55" s="102" t="inlineStr">
        <is>
          <t>合計</t>
        </is>
      </c>
      <c r="J55" s="211" t="n">
        <v>7</v>
      </c>
      <c r="K55" s="92" t="n"/>
      <c r="L55" s="93" t="n"/>
      <c r="M55" s="93" t="n"/>
      <c r="N55" s="93" t="n"/>
    </row>
    <row r="56" ht="6" customHeight="1" s="156" thickBot="1">
      <c r="A56" s="103" t="n"/>
      <c r="B56" s="104" t="n"/>
      <c r="C56" s="104" t="n"/>
      <c r="D56" s="103" t="n"/>
      <c r="E56" s="104" t="n"/>
      <c r="F56" s="104" t="n"/>
      <c r="G56" s="104" t="n"/>
      <c r="H56" s="104" t="n"/>
    </row>
    <row r="57" ht="6" customHeight="1" s="156" thickTop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 ht="14.25" customHeight="1" s="156">
      <c r="A58" s="11" t="n"/>
      <c r="B58" s="125" t="inlineStr">
        <is>
          <t>検査梱包指示書</t>
        </is>
      </c>
      <c r="E58" s="11" t="n"/>
      <c r="F58" s="11" t="n"/>
      <c r="G58" s="11" t="n"/>
      <c r="H58" s="11" t="n"/>
      <c r="I58" s="11" t="n"/>
      <c r="J58" s="11" t="n"/>
    </row>
    <row r="59" ht="14.25" customHeight="1" s="156">
      <c r="A59" s="12" t="n"/>
      <c r="E59" s="12" t="n"/>
      <c r="F59" s="12" t="n"/>
      <c r="G59" s="12" t="n"/>
      <c r="H59" s="12" t="n"/>
      <c r="I59" s="12" t="n"/>
      <c r="J59" s="12" t="n"/>
    </row>
    <row r="60" ht="14.25" customHeight="1" s="156">
      <c r="A60" s="112" t="inlineStr">
        <is>
          <t>品目番号</t>
        </is>
      </c>
      <c r="B60" s="112" t="inlineStr">
        <is>
          <t>J1JAZZB10802970</t>
        </is>
      </c>
      <c r="C60" s="112" t="inlineStr">
        <is>
          <t>Ｌ寸</t>
        </is>
      </c>
      <c r="D60" s="157" t="n">
        <v>297</v>
      </c>
      <c r="E60" s="112" t="inlineStr">
        <is>
          <t>名称</t>
        </is>
      </c>
      <c r="F60" s="123" t="inlineStr">
        <is>
          <t>8FL2813044810</t>
        </is>
      </c>
      <c r="I60" s="24" t="inlineStr">
        <is>
          <t>上長</t>
        </is>
      </c>
      <c r="J60" s="24" t="inlineStr">
        <is>
          <t>係員</t>
        </is>
      </c>
    </row>
    <row r="61" ht="14.25" customHeight="1" s="156">
      <c r="I61" s="105" t="n"/>
      <c r="J61" s="105" t="n"/>
    </row>
    <row r="62" ht="17.45" customHeight="1" s="156">
      <c r="A62" s="111" t="inlineStr">
        <is>
          <t>製造指図№</t>
        </is>
      </c>
      <c r="B62" s="111" t="inlineStr">
        <is>
          <t>000000000014574</t>
        </is>
      </c>
      <c r="E62" s="111" t="inlineStr">
        <is>
          <t>原料名</t>
        </is>
      </c>
      <c r="F62" s="140" t="inlineStr">
        <is>
          <t>(CASE 297MILK-W4)</t>
        </is>
      </c>
      <c r="I62" s="106" t="n"/>
      <c r="J62" s="106" t="n"/>
    </row>
    <row r="63" ht="17.45" customHeight="1" s="156">
      <c r="I63" s="13" t="n"/>
      <c r="J63" s="13" t="n"/>
    </row>
    <row r="64" ht="17.45" customHeight="1" s="156">
      <c r="A64" s="111" t="inlineStr">
        <is>
          <t>発注明細№</t>
        </is>
      </c>
      <c r="B64" s="111" t="inlineStr">
        <is>
          <t>000000000855910</t>
        </is>
      </c>
      <c r="E64" s="2" t="inlineStr">
        <is>
          <t>色　名</t>
        </is>
      </c>
      <c r="F64" s="140" t="inlineStr">
        <is>
          <t>J6VZ034</t>
        </is>
      </c>
      <c r="H64" s="21" t="n"/>
      <c r="I64" s="13" t="n"/>
      <c r="J64" s="13" t="n"/>
    </row>
    <row r="65" ht="17.45" customHeight="1" s="156">
      <c r="E65" s="2" t="inlineStr">
        <is>
          <t>製品Grp</t>
        </is>
      </c>
      <c r="F65" s="21" t="inlineStr">
        <is>
          <t>J1ZB</t>
        </is>
      </c>
      <c r="G65" s="21" t="n"/>
      <c r="H65" s="21" t="n"/>
      <c r="I65" s="14" t="n"/>
      <c r="J65" s="14" t="n"/>
    </row>
    <row r="66" ht="17.45" customHeight="1" s="156">
      <c r="A66" s="2" t="inlineStr">
        <is>
          <t>開始日</t>
        </is>
      </c>
      <c r="B66" s="158" t="n">
        <v>46184</v>
      </c>
      <c r="E66" s="2" t="inlineStr">
        <is>
          <t>入り数</t>
        </is>
      </c>
      <c r="F66" s="159" t="n">
        <v>100</v>
      </c>
      <c r="H66" s="21" t="n"/>
    </row>
    <row r="67" ht="17.45" customHeight="1" s="156">
      <c r="A67" s="2" t="inlineStr">
        <is>
          <t>終了日</t>
        </is>
      </c>
      <c r="B67" s="158" t="n">
        <v>46184</v>
      </c>
      <c r="E67" s="2" t="inlineStr">
        <is>
          <t>梱包数</t>
        </is>
      </c>
      <c r="F67" s="21" t="n">
        <v>1</v>
      </c>
      <c r="G67" s="143" t="inlineStr">
        <is>
          <t>指示数量</t>
        </is>
      </c>
      <c r="H67" s="160" t="n">
        <v>100</v>
      </c>
      <c r="I67" s="133" t="n"/>
      <c r="J67" s="134" t="n"/>
    </row>
    <row r="68" ht="17.45" customHeight="1" s="156">
      <c r="A68" s="19" t="n"/>
      <c r="B68" s="127" t="n"/>
      <c r="C68" s="127" t="n"/>
      <c r="D68" s="127" t="n"/>
      <c r="E68" s="2" t="inlineStr">
        <is>
          <t>金　型</t>
        </is>
      </c>
      <c r="F68" s="21" t="inlineStr">
        <is>
          <t>4350</t>
        </is>
      </c>
      <c r="G68" s="135" t="n"/>
      <c r="H68" s="135" t="n"/>
      <c r="I68" s="117" t="n"/>
      <c r="J68" s="136" t="n"/>
    </row>
    <row r="69" ht="13.5" customHeight="1" s="156">
      <c r="A69" s="127" t="inlineStr">
        <is>
          <t>*J1JAZZB10802970*</t>
        </is>
      </c>
      <c r="D69" s="127" t="n"/>
      <c r="F69" s="3" t="n"/>
      <c r="G69" s="126" t="inlineStr">
        <is>
          <t>格納先</t>
        </is>
      </c>
      <c r="H69" s="118" t="inlineStr">
        <is>
          <t>V3J03</t>
        </is>
      </c>
      <c r="I69" s="138" t="inlineStr">
        <is>
          <t>樹脂第3倉庫 (在庫)</t>
        </is>
      </c>
      <c r="J69" s="139" t="n"/>
    </row>
    <row r="70" ht="13.5" customHeight="1" s="156">
      <c r="D70" s="127" t="n"/>
      <c r="F70" s="3" t="n"/>
      <c r="G70" s="119" t="n"/>
      <c r="H70" s="119" t="n"/>
      <c r="I70" s="117" t="n"/>
      <c r="J70" s="136" t="n"/>
    </row>
    <row r="71" ht="13.5" customHeight="1" s="156">
      <c r="A71" s="108" t="inlineStr">
        <is>
          <t>指図書備考</t>
        </is>
      </c>
    </row>
    <row r="72" ht="63" customHeight="1" s="156">
      <c r="A72" s="130" t="n"/>
      <c r="B72" s="131" t="n"/>
      <c r="C72" s="131" t="n"/>
      <c r="D72" s="131" t="n"/>
      <c r="E72" s="131" t="n"/>
      <c r="F72" s="131" t="n"/>
      <c r="G72" s="131" t="n"/>
      <c r="H72" s="131" t="n"/>
      <c r="I72" s="131" t="n"/>
      <c r="J72" s="131" t="n"/>
    </row>
    <row r="73" ht="18.75" customHeight="1" s="156">
      <c r="A73" s="23" t="inlineStr">
        <is>
          <t>工順</t>
        </is>
      </c>
      <c r="B73" s="16" t="inlineStr">
        <is>
          <t>製造場所</t>
        </is>
      </c>
      <c r="C73" s="120" t="inlineStr">
        <is>
          <t>製造場所名</t>
        </is>
      </c>
      <c r="D73" s="121" t="n"/>
      <c r="E73" s="16" t="inlineStr">
        <is>
          <t>工程</t>
        </is>
      </c>
      <c r="F73" s="120" t="inlineStr">
        <is>
          <t>工程名</t>
        </is>
      </c>
      <c r="G73" s="121" t="n"/>
      <c r="H73" s="121" t="n"/>
      <c r="I73" s="124" t="inlineStr">
        <is>
          <t>作業時間</t>
        </is>
      </c>
      <c r="J73" s="121" t="n"/>
    </row>
    <row r="74" ht="14.25" customHeight="1" s="156">
      <c r="A74" s="141" t="n"/>
      <c r="B74" s="141" t="n"/>
      <c r="C74" s="141" t="n"/>
      <c r="D74" s="141" t="n"/>
      <c r="E74" s="141" t="n"/>
      <c r="F74" s="141" t="n"/>
      <c r="G74" s="141" t="n"/>
      <c r="H74" s="141" t="n"/>
      <c r="I74" s="141" t="n"/>
      <c r="J74" s="141" t="n"/>
    </row>
    <row r="75" ht="16.5" customHeight="1" s="156">
      <c r="A75" s="22" t="n">
        <v>1</v>
      </c>
      <c r="B75" s="107" t="inlineStr">
        <is>
          <t>V3Z01</t>
        </is>
      </c>
      <c r="C75" s="107" t="inlineStr">
        <is>
          <t>黒部工業</t>
        </is>
      </c>
      <c r="E75" s="107" t="inlineStr">
        <is>
          <t>V3P05</t>
        </is>
      </c>
      <c r="F75" s="107" t="inlineStr">
        <is>
          <t>切断</t>
        </is>
      </c>
      <c r="I75" s="115" t="n"/>
    </row>
    <row r="76" ht="16.5" customHeight="1" s="156">
      <c r="A76" s="22" t="n">
        <v>1</v>
      </c>
      <c r="B76" s="26" t="inlineStr">
        <is>
          <t>V3Z01</t>
        </is>
      </c>
      <c r="C76" s="107" t="inlineStr">
        <is>
          <t>黒部工業</t>
        </is>
      </c>
      <c r="E76" s="107" t="inlineStr">
        <is>
          <t>V3P16</t>
        </is>
      </c>
      <c r="F76" s="107" t="inlineStr">
        <is>
          <t>検査・梱包</t>
        </is>
      </c>
      <c r="I76" s="115" t="n"/>
    </row>
    <row r="77" ht="16.5" customHeight="1" s="156">
      <c r="A77" s="22" t="n"/>
      <c r="B77" s="26" t="n"/>
      <c r="C77" s="107" t="n"/>
      <c r="E77" s="107" t="n"/>
      <c r="F77" s="107" t="n"/>
      <c r="I77" s="115" t="n"/>
    </row>
    <row r="78" ht="16.5" customHeight="1" s="156">
      <c r="A78" s="22" t="n"/>
      <c r="B78" s="26" t="n"/>
      <c r="C78" s="107" t="n"/>
      <c r="E78" s="107" t="n"/>
      <c r="F78" s="107" t="n"/>
      <c r="I78" s="115" t="n"/>
    </row>
    <row r="79" ht="16.5" customHeight="1" s="156">
      <c r="A79" s="22" t="n"/>
      <c r="B79" s="26" t="n"/>
      <c r="C79" s="107" t="n"/>
      <c r="E79" s="107" t="n"/>
      <c r="F79" s="107" t="n"/>
      <c r="I79" s="115" t="n"/>
    </row>
    <row r="80" ht="16.5" customHeight="1" s="156">
      <c r="A80" s="22" t="n"/>
      <c r="B80" s="26" t="n"/>
      <c r="C80" s="107" t="n"/>
      <c r="E80" s="107" t="n"/>
      <c r="F80" s="107" t="n"/>
      <c r="I80" s="115" t="n"/>
    </row>
    <row r="81" ht="16.5" customHeight="1" s="156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 ht="18.75" customHeight="1" s="156">
      <c r="A82" s="109" t="inlineStr">
        <is>
          <t>品目コード</t>
        </is>
      </c>
      <c r="B82" s="110" t="n"/>
      <c r="C82" s="109" t="inlineStr">
        <is>
          <t>品目名１</t>
        </is>
      </c>
      <c r="D82" s="110" t="n"/>
      <c r="E82" s="110" t="n"/>
      <c r="F82" s="17" t="inlineStr">
        <is>
          <t>在庫場所</t>
        </is>
      </c>
      <c r="G82" s="109" t="inlineStr">
        <is>
          <t>出庫数量</t>
        </is>
      </c>
      <c r="H82" s="110" t="n"/>
      <c r="I82" s="109" t="inlineStr">
        <is>
          <t>バッチ必要数</t>
        </is>
      </c>
      <c r="J82" s="110" t="n"/>
    </row>
    <row r="83" ht="14.25" customHeight="1" s="156">
      <c r="A83" s="8" t="n"/>
      <c r="B83" s="18" t="n"/>
      <c r="C83" s="116" t="inlineStr">
        <is>
          <t>品目名２</t>
        </is>
      </c>
      <c r="D83" s="117" t="n"/>
      <c r="E83" s="18" t="n"/>
      <c r="F83" s="116" t="inlineStr">
        <is>
          <t>指図書備考</t>
        </is>
      </c>
      <c r="G83" s="117" t="n"/>
      <c r="H83" s="117" t="n"/>
      <c r="I83" s="117" t="n"/>
      <c r="J83" s="117" t="n"/>
    </row>
    <row r="84">
      <c r="A84" s="9" t="n"/>
      <c r="C84" s="137" t="n"/>
      <c r="D84" s="137" t="n"/>
      <c r="E84" s="137" t="n"/>
    </row>
    <row r="85" ht="14.25" customHeight="1" s="156">
      <c r="A85" s="107" t="inlineStr">
        <is>
          <t>J1JAZZA10818200</t>
        </is>
      </c>
      <c r="C85" s="107" t="inlineStr">
        <is>
          <t>@8FL28130 L1820</t>
        </is>
      </c>
      <c r="F85" s="27" t="inlineStr">
        <is>
          <t>V3J04</t>
        </is>
      </c>
      <c r="G85" s="161" t="n">
        <v>16.7</v>
      </c>
      <c r="I85" s="161" t="n">
        <v>0.167</v>
      </c>
    </row>
    <row r="86" ht="24.95" customHeight="1" s="156">
      <c r="A86" s="122" t="inlineStr">
        <is>
          <t>*J1JAZZA10818200*</t>
        </is>
      </c>
      <c r="C86" s="107" t="n"/>
      <c r="F86" s="107" t="n"/>
    </row>
    <row r="87" ht="14.25" customHeight="1" s="156">
      <c r="A87" s="107" t="inlineStr">
        <is>
          <t>J6DW0086</t>
        </is>
      </c>
      <c r="C87" s="107" t="inlineStr">
        <is>
          <t>LED-A300（旧LED-A297）307X275X166</t>
        </is>
      </c>
      <c r="F87" s="27" t="inlineStr">
        <is>
          <t>V3W04</t>
        </is>
      </c>
      <c r="G87" s="161" t="n">
        <v>1</v>
      </c>
      <c r="I87" s="161" t="n">
        <v>0.01</v>
      </c>
    </row>
    <row r="88" ht="24.95" customHeight="1" s="156">
      <c r="A88" s="122" t="inlineStr">
        <is>
          <t>*J6DW0086*</t>
        </is>
      </c>
      <c r="C88" s="107" t="inlineStr">
        <is>
          <t>L300×W275×H166</t>
        </is>
      </c>
      <c r="F88" s="107" t="n"/>
    </row>
    <row r="89" ht="14.25" customHeight="1" s="156">
      <c r="A89" s="107" t="inlineStr">
        <is>
          <t>J6XX0050</t>
        </is>
      </c>
      <c r="C89" s="107" t="inlineStr">
        <is>
          <t>(管理外)筋入ｸﾗﾌﾄ紙</t>
        </is>
      </c>
      <c r="F89" s="27" t="n"/>
      <c r="G89" s="161" t="n">
        <v>0.1</v>
      </c>
      <c r="I89" s="161" t="n">
        <v>0.001</v>
      </c>
    </row>
    <row r="90" ht="24.95" customHeight="1" s="156">
      <c r="A90" s="122" t="inlineStr">
        <is>
          <t>*J6XX0050*</t>
        </is>
      </c>
      <c r="C90" s="107" t="inlineStr">
        <is>
          <t>300＊100</t>
        </is>
      </c>
      <c r="F90" s="107" t="n"/>
    </row>
    <row r="91" ht="14.25" customHeight="1" s="156">
      <c r="A91" s="107" t="inlineStr">
        <is>
          <t>J6XX0051</t>
        </is>
      </c>
      <c r="C91" s="107" t="inlineStr">
        <is>
          <t>(管理外)LLDPE規格ｼｰﾄ0.02×950×100m</t>
        </is>
      </c>
      <c r="F91" s="27" t="n"/>
      <c r="G91" s="161" t="n">
        <v>0.1</v>
      </c>
      <c r="I91" s="161" t="n">
        <v>0.001</v>
      </c>
    </row>
    <row r="92" ht="24.95" customHeight="1" s="156">
      <c r="A92" s="122" t="inlineStr">
        <is>
          <t>*J6XX0051*</t>
        </is>
      </c>
      <c r="C92" s="107" t="inlineStr">
        <is>
          <t>0.02×950×100m</t>
        </is>
      </c>
      <c r="F92" s="107" t="n"/>
    </row>
    <row r="93" ht="14.25" customHeight="1" s="156">
      <c r="A93" s="107" t="n"/>
      <c r="C93" s="107" t="n"/>
      <c r="F93" s="27" t="n"/>
      <c r="G93" s="161" t="n"/>
      <c r="I93" s="161" t="n"/>
    </row>
    <row r="94" ht="24.95" customHeight="1" s="156" thickBot="1">
      <c r="A94" s="122" t="n"/>
      <c r="C94" s="107" t="n"/>
      <c r="F94" s="107" t="n"/>
    </row>
    <row r="95" ht="18" customFormat="1" customHeight="1" s="141">
      <c r="A95" s="28" t="inlineStr">
        <is>
          <t>温度換算</t>
        </is>
      </c>
      <c r="B95" s="29" t="inlineStr">
        <is>
          <t>L寸</t>
        </is>
      </c>
      <c r="C95" s="147" t="inlineStr">
        <is>
          <t>梱包箱</t>
        </is>
      </c>
      <c r="D95" s="162" t="n"/>
      <c r="E95" s="148" t="inlineStr">
        <is>
          <t>使用数</t>
        </is>
      </c>
      <c r="F95" s="31" t="inlineStr">
        <is>
          <t>作業者</t>
        </is>
      </c>
      <c r="G95" s="32" t="inlineStr">
        <is>
          <t>加工Lot</t>
        </is>
      </c>
      <c r="H95" s="129" t="inlineStr">
        <is>
          <t>箱数</t>
        </is>
      </c>
      <c r="I95" s="128" t="inlineStr">
        <is>
          <t>加工明細</t>
        </is>
      </c>
      <c r="J95" s="162" t="n"/>
    </row>
    <row r="96" ht="18" customFormat="1" customHeight="1" s="137">
      <c r="A96" s="34" t="inlineStr">
        <is>
          <t>〇</t>
        </is>
      </c>
      <c r="B96" s="163" t="n">
        <v>297</v>
      </c>
      <c r="C96" s="164" t="inlineStr">
        <is>
          <t>LED-A300</t>
        </is>
      </c>
      <c r="D96" s="165" t="n"/>
      <c r="E96" s="166" t="n">
        <v>1</v>
      </c>
      <c r="F96" s="167" t="inlineStr">
        <is>
          <t xml:space="preserve">切断加工：I / </t>
        </is>
      </c>
      <c r="G96" s="168" t="n">
        <v>46182</v>
      </c>
      <c r="H96" s="169" t="n">
        <v>1</v>
      </c>
      <c r="I96" s="39" t="inlineStr">
        <is>
          <t>入庫日</t>
        </is>
      </c>
      <c r="J96" s="170" t="n">
        <v>46182</v>
      </c>
    </row>
    <row r="97" ht="18" customFormat="1" customHeight="1" s="141">
      <c r="A97" s="44" t="inlineStr">
        <is>
          <t>+公差</t>
        </is>
      </c>
      <c r="B97" s="45" t="inlineStr">
        <is>
          <t>切断寸法</t>
        </is>
      </c>
      <c r="C97" s="171" t="n"/>
      <c r="D97" s="172" t="n"/>
      <c r="E97" s="119" t="n"/>
      <c r="F97" s="173" t="inlineStr">
        <is>
          <t xml:space="preserve">外観検査：T / </t>
        </is>
      </c>
      <c r="G97" s="168" t="n"/>
      <c r="H97" s="169" t="n"/>
      <c r="I97" s="39" t="inlineStr">
        <is>
          <t>入庫数</t>
        </is>
      </c>
      <c r="J97" s="174" t="n">
        <v>100</v>
      </c>
      <c r="K97" s="47" t="n"/>
    </row>
    <row r="98" ht="18" customFormat="1" customHeight="1" s="137">
      <c r="A98" s="48" t="n">
        <v>0.5</v>
      </c>
      <c r="B98" s="175" t="inlineStr">
        <is>
          <t>換算表確認</t>
        </is>
      </c>
      <c r="C98" s="155" t="inlineStr">
        <is>
          <t>梱包
方法</t>
        </is>
      </c>
      <c r="D98" s="176" t="inlineStr">
        <is>
          <t>クラフト紙：592型　1/2</t>
        </is>
      </c>
      <c r="E98" s="177" t="n"/>
      <c r="F98" s="178" t="n"/>
      <c r="G98" s="168" t="n"/>
      <c r="H98" s="169" t="n"/>
      <c r="I98" s="39" t="inlineStr">
        <is>
          <t>使用基材数</t>
        </is>
      </c>
      <c r="J98" s="174" t="n">
        <v>0.1666666666666667</v>
      </c>
      <c r="K98" s="50" t="n"/>
    </row>
    <row r="99" ht="18" customFormat="1" customHeight="1" s="141">
      <c r="A99" s="51" t="inlineStr">
        <is>
          <t>-公差</t>
        </is>
      </c>
      <c r="B99" s="52" t="inlineStr">
        <is>
          <t>取数</t>
        </is>
      </c>
      <c r="C99" s="179" t="n"/>
      <c r="D99" s="176" t="inlineStr">
        <is>
          <t>ラベル１枚　長手無　鉢巻１回</t>
        </is>
      </c>
      <c r="E99" s="177" t="n"/>
      <c r="F99" s="178" t="n"/>
      <c r="G99" s="168" t="n"/>
      <c r="H99" s="169" t="n"/>
      <c r="I99" s="39" t="inlineStr">
        <is>
          <t>製品不良</t>
        </is>
      </c>
      <c r="J99" s="174" t="n">
        <v>1</v>
      </c>
      <c r="K99" s="47" t="n"/>
    </row>
    <row r="100" ht="18" customFormat="1" customHeight="1" s="137" thickBot="1">
      <c r="A100" s="53" t="n">
        <v>-0.5</v>
      </c>
      <c r="B100" s="54" t="n">
        <v>6</v>
      </c>
      <c r="C100" s="55" t="inlineStr">
        <is>
          <t>備考</t>
        </is>
      </c>
      <c r="D100" s="180" t="inlineStr">
        <is>
          <t>1箱目の梱包数 目視確認　以降、重量測定</t>
        </is>
      </c>
      <c r="E100" s="181" t="n"/>
      <c r="F100" s="182" t="n"/>
      <c r="G100" s="183" t="n"/>
      <c r="H100" s="184" t="n"/>
      <c r="I100" s="39" t="inlineStr">
        <is>
          <t>基材不良</t>
        </is>
      </c>
      <c r="J100" s="185" t="n">
        <v>0.1666666666666667</v>
      </c>
      <c r="K100" s="50" t="n"/>
    </row>
    <row r="101" ht="18" customFormat="1" customHeight="1" s="141" thickBot="1">
      <c r="A101" s="58" t="inlineStr">
        <is>
          <t>作業日</t>
        </is>
      </c>
      <c r="B101" s="59">
        <f t="array" ref="B101">IF(SUM(--(ISTEXT(B102:B112)*(B102:B112&lt;&gt;"")))=0,"計測Lot","計測Lot・加工数")</f>
        <v/>
      </c>
      <c r="C101" s="60" t="inlineStr">
        <is>
          <t>温度</t>
        </is>
      </c>
      <c r="D101" s="61" t="inlineStr">
        <is>
          <t>換算</t>
        </is>
      </c>
      <c r="E101" s="62" t="inlineStr">
        <is>
          <t>計測値</t>
        </is>
      </c>
      <c r="F101" s="63">
        <f t="array" ref="F101">IF(SUM(--(ISTEXT(B102:B112)*(B102:B112&lt;&gt;"")))=0,"記入不要","使用Lot")</f>
        <v/>
      </c>
      <c r="G101" s="64" t="inlineStr">
        <is>
          <t>加工数</t>
        </is>
      </c>
      <c r="H101" s="65" t="inlineStr">
        <is>
          <t>基材換算</t>
        </is>
      </c>
      <c r="I101" s="66" t="inlineStr">
        <is>
          <t>端材使用</t>
        </is>
      </c>
      <c r="J101" s="186" t="n">
        <v>100</v>
      </c>
      <c r="K101" s="47" t="n"/>
    </row>
    <row r="102" ht="18" customFormat="1" customHeight="1" s="137">
      <c r="A102" s="187" t="n"/>
      <c r="B102" s="188" t="n"/>
      <c r="C102" s="74" t="n"/>
      <c r="D102" s="189" t="n"/>
      <c r="E102" s="190" t="n"/>
      <c r="F102" s="191" t="n">
        <v>0</v>
      </c>
      <c r="G102" s="192" t="n">
        <v>0</v>
      </c>
      <c r="H102" s="193" t="n"/>
      <c r="I102" s="194" t="inlineStr">
        <is>
          <t>不良内訳</t>
        </is>
      </c>
      <c r="J102" s="195" t="n"/>
      <c r="K102" s="80" t="n"/>
    </row>
    <row r="103" ht="18" customFormat="1" customHeight="1" s="141">
      <c r="A103" s="196" t="n">
        <v>46181</v>
      </c>
      <c r="B103" s="72" t="inlineStr">
        <is>
          <t>端材</t>
        </is>
      </c>
      <c r="C103" s="197" t="n">
        <v>24</v>
      </c>
      <c r="D103" s="198" t="n">
        <v>297.08</v>
      </c>
      <c r="E103" s="199" t="n">
        <v>297.05</v>
      </c>
      <c r="F103" s="200" t="inlineStr">
        <is>
          <t>端材</t>
        </is>
      </c>
      <c r="G103" s="197" t="n">
        <v>100</v>
      </c>
      <c r="H103" s="201" t="n">
        <v>0</v>
      </c>
      <c r="I103" s="86" t="inlineStr">
        <is>
          <t>キズ</t>
        </is>
      </c>
      <c r="J103" s="201" t="n"/>
      <c r="K103" s="80" t="n"/>
    </row>
    <row r="104" ht="18.95" customFormat="1" customHeight="1" s="91">
      <c r="A104" s="202" t="n">
        <v>46181</v>
      </c>
      <c r="B104" s="72" t="inlineStr">
        <is>
          <t>端材 × 100</t>
        </is>
      </c>
      <c r="C104" s="197" t="n">
        <v>24</v>
      </c>
      <c r="D104" s="198" t="n">
        <v>297.08</v>
      </c>
      <c r="E104" s="199" t="n">
        <v>297.09</v>
      </c>
      <c r="F104" s="200" t="inlineStr">
        <is>
          <t>26B24-01</t>
        </is>
      </c>
      <c r="G104" s="197" t="n">
        <v>1</v>
      </c>
      <c r="H104" s="201" t="n">
        <v>0.1666666666666667</v>
      </c>
      <c r="I104" s="86" t="inlineStr">
        <is>
          <t>凹み</t>
        </is>
      </c>
      <c r="J104" s="201" t="n"/>
      <c r="K104" s="89" t="n"/>
      <c r="L104" s="90" t="n"/>
      <c r="M104" s="90" t="n"/>
      <c r="N104" s="90" t="n"/>
    </row>
    <row r="105" ht="18.95" customFormat="1" customHeight="1" s="94">
      <c r="A105" s="202" t="n"/>
      <c r="B105" s="72" t="inlineStr"/>
      <c r="C105" s="197" t="n"/>
      <c r="D105" s="198" t="n"/>
      <c r="E105" s="199" t="n"/>
      <c r="F105" s="200" t="n"/>
      <c r="G105" s="197" t="n">
        <v>0</v>
      </c>
      <c r="H105" s="201" t="n"/>
      <c r="I105" s="86" t="inlineStr">
        <is>
          <t>異物</t>
        </is>
      </c>
      <c r="J105" s="201" t="n">
        <v>1</v>
      </c>
      <c r="K105" s="92" t="n"/>
      <c r="L105" s="93" t="n"/>
      <c r="M105" s="93" t="n"/>
      <c r="N105" s="93" t="n"/>
    </row>
    <row r="106" ht="18.95" customFormat="1" customHeight="1" s="94">
      <c r="A106" s="202" t="n"/>
      <c r="B106" s="72" t="inlineStr"/>
      <c r="C106" s="197" t="n"/>
      <c r="D106" s="198" t="n"/>
      <c r="E106" s="199" t="n"/>
      <c r="F106" s="200" t="n"/>
      <c r="G106" s="197" t="n">
        <v>0</v>
      </c>
      <c r="H106" s="201" t="n"/>
      <c r="I106" s="86" t="inlineStr">
        <is>
          <t>欠け</t>
        </is>
      </c>
      <c r="J106" s="201" t="n"/>
      <c r="K106" s="92" t="n"/>
      <c r="L106" s="93" t="n"/>
      <c r="M106" s="93" t="n"/>
      <c r="N106" s="93" t="n"/>
    </row>
    <row r="107" ht="18.95" customFormat="1" customHeight="1" s="94">
      <c r="A107" s="202" t="n"/>
      <c r="B107" s="72" t="inlineStr"/>
      <c r="C107" s="197" t="n"/>
      <c r="D107" s="198" t="n"/>
      <c r="E107" s="199" t="n"/>
      <c r="F107" s="200" t="n"/>
      <c r="G107" s="197" t="n">
        <v>0</v>
      </c>
      <c r="H107" s="201" t="n"/>
      <c r="I107" s="86" t="inlineStr">
        <is>
          <t>メヤニ</t>
        </is>
      </c>
      <c r="J107" s="201" t="n"/>
      <c r="K107" s="92" t="n"/>
      <c r="L107" s="93" t="n"/>
      <c r="M107" s="93" t="n"/>
      <c r="N107" s="93" t="n"/>
    </row>
    <row r="108" ht="18.95" customFormat="1" customHeight="1" s="94">
      <c r="A108" s="202" t="n"/>
      <c r="B108" s="72" t="inlineStr"/>
      <c r="C108" s="197" t="n"/>
      <c r="D108" s="198" t="n"/>
      <c r="E108" s="199" t="n"/>
      <c r="F108" s="200" t="n"/>
      <c r="G108" s="197" t="n">
        <v>0</v>
      </c>
      <c r="H108" s="201" t="n"/>
      <c r="I108" s="86" t="inlineStr">
        <is>
          <t>ベコツキ</t>
        </is>
      </c>
      <c r="J108" s="201" t="n"/>
      <c r="K108" s="92" t="n"/>
      <c r="L108" s="93" t="n"/>
      <c r="M108" s="93" t="n"/>
      <c r="N108" s="93" t="n"/>
    </row>
    <row r="109" ht="18.95" customFormat="1" customHeight="1" s="94">
      <c r="A109" s="202" t="n"/>
      <c r="B109" s="72" t="inlineStr"/>
      <c r="C109" s="197" t="n"/>
      <c r="D109" s="198" t="n"/>
      <c r="E109" s="199" t="n"/>
      <c r="F109" s="200" t="n"/>
      <c r="G109" s="197" t="n">
        <v>0</v>
      </c>
      <c r="H109" s="201" t="n"/>
      <c r="I109" s="95" t="inlineStr">
        <is>
          <t>汚損</t>
        </is>
      </c>
      <c r="J109" s="201" t="n"/>
      <c r="K109" s="92" t="n"/>
      <c r="L109" s="93" t="n"/>
      <c r="M109" s="93" t="n"/>
      <c r="N109" s="93" t="n"/>
    </row>
    <row r="110" ht="18.95" customFormat="1" customHeight="1" s="94">
      <c r="A110" s="202" t="n"/>
      <c r="B110" s="72" t="inlineStr"/>
      <c r="C110" s="197" t="n"/>
      <c r="D110" s="198" t="n"/>
      <c r="E110" s="199" t="n"/>
      <c r="F110" s="200" t="n"/>
      <c r="G110" s="197" t="n">
        <v>0</v>
      </c>
      <c r="H110" s="201" t="n"/>
      <c r="I110" s="95" t="inlineStr">
        <is>
          <t>形状異常</t>
        </is>
      </c>
      <c r="J110" s="201" t="n"/>
      <c r="K110" s="92" t="n"/>
      <c r="L110" s="93" t="n"/>
      <c r="M110" s="93" t="n"/>
      <c r="N110" s="93" t="n"/>
    </row>
    <row r="111" ht="18.95" customFormat="1" customHeight="1" s="94">
      <c r="A111" s="202" t="n"/>
      <c r="B111" s="72" t="inlineStr"/>
      <c r="C111" s="197" t="n"/>
      <c r="D111" s="198" t="n"/>
      <c r="E111" s="199" t="n"/>
      <c r="F111" s="200" t="n"/>
      <c r="G111" s="197" t="n">
        <v>0</v>
      </c>
      <c r="H111" s="201" t="n"/>
      <c r="I111" s="86" t="inlineStr">
        <is>
          <t>その他</t>
        </is>
      </c>
      <c r="J111" s="203" t="n"/>
      <c r="K111" s="92" t="n"/>
      <c r="L111" s="93" t="n"/>
      <c r="M111" s="93" t="n"/>
      <c r="N111" s="93" t="n"/>
    </row>
    <row r="112" ht="18.95" customFormat="1" customHeight="1" s="94" thickBot="1">
      <c r="A112" s="204" t="inlineStr">
        <is>
          <t>不良補填</t>
        </is>
      </c>
      <c r="B112" s="73" t="inlineStr">
        <is>
          <t>26B24-01 × 1</t>
        </is>
      </c>
      <c r="C112" s="205" t="n"/>
      <c r="D112" s="206" t="n"/>
      <c r="E112" s="207" t="n"/>
      <c r="F112" s="208" t="n"/>
      <c r="G112" s="209" t="n"/>
      <c r="H112" s="210" t="n"/>
      <c r="I112" s="102" t="inlineStr">
        <is>
          <t>合計</t>
        </is>
      </c>
      <c r="J112" s="211" t="n">
        <v>1</v>
      </c>
      <c r="K112" s="92" t="n"/>
      <c r="L112" s="93" t="n"/>
      <c r="M112" s="93" t="n"/>
      <c r="N112" s="93" t="n"/>
    </row>
    <row r="113" ht="6" customHeight="1" s="156" thickBot="1">
      <c r="A113" s="103" t="n"/>
      <c r="B113" s="104" t="n"/>
      <c r="C113" s="104" t="n"/>
      <c r="D113" s="103" t="n"/>
      <c r="E113" s="104" t="n"/>
      <c r="F113" s="104" t="n"/>
      <c r="G113" s="104" t="n"/>
      <c r="H113" s="104" t="n"/>
    </row>
    <row r="114" ht="6" customHeight="1" s="156" thickTop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 ht="14.25" customHeight="1" s="156">
      <c r="A115" s="11" t="n"/>
      <c r="B115" s="125" t="inlineStr">
        <is>
          <t>検査梱包指示書</t>
        </is>
      </c>
      <c r="E115" s="11" t="n"/>
      <c r="F115" s="11" t="n"/>
      <c r="G115" s="11" t="n"/>
      <c r="H115" s="11" t="n"/>
      <c r="I115" s="11" t="n"/>
      <c r="J115" s="11" t="n"/>
    </row>
    <row r="116" ht="14.25" customHeight="1" s="156">
      <c r="A116" s="12" t="n"/>
      <c r="E116" s="12" t="n"/>
      <c r="F116" s="12" t="n"/>
      <c r="G116" s="12" t="n"/>
      <c r="H116" s="12" t="n"/>
      <c r="I116" s="12" t="n"/>
      <c r="J116" s="12" t="n"/>
    </row>
    <row r="117" ht="14.25" customHeight="1" s="156">
      <c r="A117" s="112" t="inlineStr">
        <is>
          <t>品目番号</t>
        </is>
      </c>
      <c r="B117" s="112" t="inlineStr">
        <is>
          <t>J1JAZZB10802970</t>
        </is>
      </c>
      <c r="C117" s="112" t="inlineStr">
        <is>
          <t>Ｌ寸</t>
        </is>
      </c>
      <c r="D117" s="157" t="n">
        <v>297</v>
      </c>
      <c r="E117" s="112" t="inlineStr">
        <is>
          <t>名称</t>
        </is>
      </c>
      <c r="F117" s="123" t="inlineStr">
        <is>
          <t>8FL2813044810</t>
        </is>
      </c>
      <c r="I117" s="24" t="inlineStr">
        <is>
          <t>上長</t>
        </is>
      </c>
      <c r="J117" s="24" t="inlineStr">
        <is>
          <t>係員</t>
        </is>
      </c>
    </row>
    <row r="118" ht="14.25" customHeight="1" s="156">
      <c r="I118" s="105" t="n"/>
      <c r="J118" s="105" t="n"/>
    </row>
    <row r="119" ht="17.45" customHeight="1" s="156">
      <c r="A119" s="111" t="inlineStr">
        <is>
          <t>製造指図№</t>
        </is>
      </c>
      <c r="B119" s="111" t="inlineStr">
        <is>
          <t>000000000014575</t>
        </is>
      </c>
      <c r="E119" s="111" t="inlineStr">
        <is>
          <t>原料名</t>
        </is>
      </c>
      <c r="F119" s="140" t="inlineStr">
        <is>
          <t>(CASE 297MILK-W4)</t>
        </is>
      </c>
      <c r="I119" s="106" t="n"/>
      <c r="J119" s="106" t="n"/>
    </row>
    <row r="120" ht="17.45" customHeight="1" s="156">
      <c r="I120" s="13" t="n"/>
      <c r="J120" s="13" t="n"/>
    </row>
    <row r="121" ht="17.45" customHeight="1" s="156">
      <c r="A121" s="111" t="inlineStr">
        <is>
          <t>発注明細№</t>
        </is>
      </c>
      <c r="B121" s="111" t="inlineStr">
        <is>
          <t>000000000855911</t>
        </is>
      </c>
      <c r="E121" s="2" t="inlineStr">
        <is>
          <t>色　名</t>
        </is>
      </c>
      <c r="F121" s="140" t="inlineStr">
        <is>
          <t>J6VZ034</t>
        </is>
      </c>
      <c r="H121" s="21" t="n"/>
      <c r="I121" s="13" t="n"/>
      <c r="J121" s="13" t="n"/>
    </row>
    <row r="122" ht="17.45" customHeight="1" s="156">
      <c r="E122" s="2" t="inlineStr">
        <is>
          <t>製品Grp</t>
        </is>
      </c>
      <c r="F122" s="21" t="inlineStr">
        <is>
          <t>J1ZB</t>
        </is>
      </c>
      <c r="G122" s="21" t="n"/>
      <c r="H122" s="21" t="n"/>
      <c r="I122" s="14" t="n"/>
      <c r="J122" s="14" t="n"/>
    </row>
    <row r="123" ht="17.45" customHeight="1" s="156">
      <c r="A123" s="2" t="inlineStr">
        <is>
          <t>開始日</t>
        </is>
      </c>
      <c r="B123" s="158" t="n">
        <v>46184</v>
      </c>
      <c r="E123" s="2" t="inlineStr">
        <is>
          <t>入り数</t>
        </is>
      </c>
      <c r="F123" s="159" t="n">
        <v>100</v>
      </c>
      <c r="H123" s="21" t="n"/>
    </row>
    <row r="124" ht="17.45" customHeight="1" s="156">
      <c r="A124" s="2" t="inlineStr">
        <is>
          <t>終了日</t>
        </is>
      </c>
      <c r="B124" s="158" t="n">
        <v>46184</v>
      </c>
      <c r="E124" s="2" t="inlineStr">
        <is>
          <t>梱包数</t>
        </is>
      </c>
      <c r="F124" s="21" t="n">
        <v>3</v>
      </c>
      <c r="G124" s="143" t="inlineStr">
        <is>
          <t>指示数量</t>
        </is>
      </c>
      <c r="H124" s="160" t="n">
        <v>300</v>
      </c>
      <c r="I124" s="133" t="n"/>
      <c r="J124" s="134" t="n"/>
    </row>
    <row r="125" ht="17.45" customHeight="1" s="156">
      <c r="A125" s="19" t="n"/>
      <c r="B125" s="127" t="n"/>
      <c r="C125" s="127" t="n"/>
      <c r="D125" s="127" t="n"/>
      <c r="E125" s="2" t="inlineStr">
        <is>
          <t>金　型</t>
        </is>
      </c>
      <c r="F125" s="21" t="inlineStr">
        <is>
          <t>4350</t>
        </is>
      </c>
      <c r="G125" s="135" t="n"/>
      <c r="H125" s="135" t="n"/>
      <c r="I125" s="117" t="n"/>
      <c r="J125" s="136" t="n"/>
    </row>
    <row r="126" ht="13.5" customHeight="1" s="156">
      <c r="A126" s="127" t="inlineStr">
        <is>
          <t>*J1JAZZB10802970*</t>
        </is>
      </c>
      <c r="D126" s="127" t="n"/>
      <c r="F126" s="3" t="n"/>
      <c r="G126" s="126" t="inlineStr">
        <is>
          <t>格納先</t>
        </is>
      </c>
      <c r="H126" s="118" t="inlineStr">
        <is>
          <t>V3J03</t>
        </is>
      </c>
      <c r="I126" s="138" t="inlineStr">
        <is>
          <t>樹脂第3倉庫 (在庫)</t>
        </is>
      </c>
      <c r="J126" s="139" t="n"/>
    </row>
    <row r="127" ht="13.5" customHeight="1" s="156">
      <c r="D127" s="127" t="n"/>
      <c r="F127" s="3" t="n"/>
      <c r="G127" s="119" t="n"/>
      <c r="H127" s="119" t="n"/>
      <c r="I127" s="117" t="n"/>
      <c r="J127" s="136" t="n"/>
    </row>
    <row r="128" ht="13.5" customHeight="1" s="156">
      <c r="A128" s="108" t="inlineStr">
        <is>
          <t>指図書備考</t>
        </is>
      </c>
    </row>
    <row r="129" ht="63" customHeight="1" s="156">
      <c r="A129" s="130" t="n"/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131" t="n"/>
    </row>
    <row r="130" ht="18.75" customHeight="1" s="156">
      <c r="A130" s="23" t="inlineStr">
        <is>
          <t>工順</t>
        </is>
      </c>
      <c r="B130" s="16" t="inlineStr">
        <is>
          <t>製造場所</t>
        </is>
      </c>
      <c r="C130" s="120" t="inlineStr">
        <is>
          <t>製造場所名</t>
        </is>
      </c>
      <c r="D130" s="121" t="n"/>
      <c r="E130" s="16" t="inlineStr">
        <is>
          <t>工程</t>
        </is>
      </c>
      <c r="F130" s="120" t="inlineStr">
        <is>
          <t>工程名</t>
        </is>
      </c>
      <c r="G130" s="121" t="n"/>
      <c r="H130" s="121" t="n"/>
      <c r="I130" s="124" t="inlineStr">
        <is>
          <t>作業時間</t>
        </is>
      </c>
      <c r="J130" s="121" t="n"/>
    </row>
    <row r="131" ht="14.25" customHeight="1" s="156">
      <c r="A131" s="141" t="n"/>
      <c r="B131" s="141" t="n"/>
      <c r="C131" s="141" t="n"/>
      <c r="D131" s="141" t="n"/>
      <c r="E131" s="141" t="n"/>
      <c r="F131" s="141" t="n"/>
      <c r="G131" s="141" t="n"/>
      <c r="H131" s="141" t="n"/>
      <c r="I131" s="141" t="n"/>
      <c r="J131" s="141" t="n"/>
    </row>
    <row r="132" ht="16.5" customHeight="1" s="156">
      <c r="A132" s="22" t="n">
        <v>1</v>
      </c>
      <c r="B132" s="107" t="inlineStr">
        <is>
          <t>V3Z01</t>
        </is>
      </c>
      <c r="C132" s="107" t="inlineStr">
        <is>
          <t>黒部工業</t>
        </is>
      </c>
      <c r="E132" s="107" t="inlineStr">
        <is>
          <t>V3P05</t>
        </is>
      </c>
      <c r="F132" s="107" t="inlineStr">
        <is>
          <t>切断</t>
        </is>
      </c>
      <c r="I132" s="115" t="n"/>
    </row>
    <row r="133" ht="16.5" customHeight="1" s="156">
      <c r="A133" s="22" t="n">
        <v>1</v>
      </c>
      <c r="B133" s="26" t="inlineStr">
        <is>
          <t>V3Z01</t>
        </is>
      </c>
      <c r="C133" s="107" t="inlineStr">
        <is>
          <t>黒部工業</t>
        </is>
      </c>
      <c r="E133" s="107" t="inlineStr">
        <is>
          <t>V3P16</t>
        </is>
      </c>
      <c r="F133" s="107" t="inlineStr">
        <is>
          <t>検査・梱包</t>
        </is>
      </c>
      <c r="I133" s="115" t="n"/>
    </row>
    <row r="134" ht="16.5" customHeight="1" s="156">
      <c r="A134" s="22" t="n"/>
      <c r="B134" s="26" t="n"/>
      <c r="C134" s="107" t="n"/>
      <c r="E134" s="107" t="n"/>
      <c r="F134" s="107" t="n"/>
      <c r="I134" s="115" t="n"/>
    </row>
    <row r="135" ht="16.5" customHeight="1" s="156">
      <c r="A135" s="22" t="n"/>
      <c r="B135" s="26" t="n"/>
      <c r="C135" s="107" t="n"/>
      <c r="E135" s="107" t="n"/>
      <c r="F135" s="107" t="n"/>
      <c r="I135" s="115" t="n"/>
    </row>
    <row r="136" ht="16.5" customHeight="1" s="156">
      <c r="A136" s="22" t="n"/>
      <c r="B136" s="26" t="n"/>
      <c r="C136" s="107" t="n"/>
      <c r="E136" s="107" t="n"/>
      <c r="F136" s="107" t="n"/>
      <c r="I136" s="115" t="n"/>
    </row>
    <row r="137" ht="16.5" customHeight="1" s="156">
      <c r="A137" s="22" t="n"/>
      <c r="B137" s="26" t="n"/>
      <c r="C137" s="107" t="n"/>
      <c r="E137" s="107" t="n"/>
      <c r="F137" s="107" t="n"/>
      <c r="I137" s="115" t="n"/>
    </row>
    <row r="138" ht="16.5" customHeight="1" s="156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</row>
    <row r="139" ht="18.75" customHeight="1" s="156">
      <c r="A139" s="109" t="inlineStr">
        <is>
          <t>品目コード</t>
        </is>
      </c>
      <c r="B139" s="110" t="n"/>
      <c r="C139" s="109" t="inlineStr">
        <is>
          <t>品目名１</t>
        </is>
      </c>
      <c r="D139" s="110" t="n"/>
      <c r="E139" s="110" t="n"/>
      <c r="F139" s="17" t="inlineStr">
        <is>
          <t>在庫場所</t>
        </is>
      </c>
      <c r="G139" s="109" t="inlineStr">
        <is>
          <t>出庫数量</t>
        </is>
      </c>
      <c r="H139" s="110" t="n"/>
      <c r="I139" s="109" t="inlineStr">
        <is>
          <t>バッチ必要数</t>
        </is>
      </c>
      <c r="J139" s="110" t="n"/>
    </row>
    <row r="140" ht="14.25" customHeight="1" s="156">
      <c r="A140" s="8" t="n"/>
      <c r="B140" s="18" t="n"/>
      <c r="C140" s="116" t="inlineStr">
        <is>
          <t>品目名２</t>
        </is>
      </c>
      <c r="D140" s="117" t="n"/>
      <c r="E140" s="18" t="n"/>
      <c r="F140" s="116" t="inlineStr">
        <is>
          <t>指図書備考</t>
        </is>
      </c>
      <c r="G140" s="117" t="n"/>
      <c r="H140" s="117" t="n"/>
      <c r="I140" s="117" t="n"/>
      <c r="J140" s="117" t="n"/>
    </row>
    <row r="141">
      <c r="A141" s="9" t="n"/>
      <c r="C141" s="137" t="n"/>
      <c r="D141" s="137" t="n"/>
      <c r="E141" s="137" t="n"/>
    </row>
    <row r="142" ht="14.25" customHeight="1" s="156">
      <c r="A142" s="107" t="inlineStr">
        <is>
          <t>J1JAZZA10818200</t>
        </is>
      </c>
      <c r="C142" s="107" t="inlineStr">
        <is>
          <t>@8FL28130 L1820</t>
        </is>
      </c>
      <c r="F142" s="27" t="inlineStr">
        <is>
          <t>V3J04</t>
        </is>
      </c>
      <c r="G142" s="161" t="n">
        <v>50.1</v>
      </c>
      <c r="I142" s="161" t="n">
        <v>0.501</v>
      </c>
    </row>
    <row r="143" ht="24.95" customHeight="1" s="156">
      <c r="A143" s="122" t="inlineStr">
        <is>
          <t>*J1JAZZA10818200*</t>
        </is>
      </c>
      <c r="C143" s="107" t="n"/>
      <c r="F143" s="107" t="n"/>
    </row>
    <row r="144" ht="14.25" customHeight="1" s="156">
      <c r="A144" s="107" t="inlineStr">
        <is>
          <t>J6DW0086</t>
        </is>
      </c>
      <c r="C144" s="107" t="inlineStr">
        <is>
          <t>LED-A300（旧LED-A297）307X275X166</t>
        </is>
      </c>
      <c r="F144" s="27" t="inlineStr">
        <is>
          <t>V3W04</t>
        </is>
      </c>
      <c r="G144" s="161" t="n">
        <v>3</v>
      </c>
      <c r="I144" s="161" t="n">
        <v>0.03</v>
      </c>
    </row>
    <row r="145" ht="24.95" customHeight="1" s="156">
      <c r="A145" s="122" t="inlineStr">
        <is>
          <t>*J6DW0086*</t>
        </is>
      </c>
      <c r="C145" s="107" t="inlineStr">
        <is>
          <t>L300×W275×H166</t>
        </is>
      </c>
      <c r="F145" s="107" t="n"/>
    </row>
    <row r="146" ht="14.25" customHeight="1" s="156">
      <c r="A146" s="107" t="inlineStr">
        <is>
          <t>J6XX0050</t>
        </is>
      </c>
      <c r="C146" s="107" t="inlineStr">
        <is>
          <t>(管理外)筋入ｸﾗﾌﾄ紙</t>
        </is>
      </c>
      <c r="F146" s="27" t="n"/>
      <c r="G146" s="161" t="n">
        <v>0.3</v>
      </c>
      <c r="I146" s="161" t="n">
        <v>0.003</v>
      </c>
    </row>
    <row r="147" ht="24.95" customHeight="1" s="156">
      <c r="A147" s="122" t="inlineStr">
        <is>
          <t>*J6XX0050*</t>
        </is>
      </c>
      <c r="C147" s="107" t="inlineStr">
        <is>
          <t>300＊100</t>
        </is>
      </c>
      <c r="F147" s="107" t="n"/>
    </row>
    <row r="148" ht="14.25" customHeight="1" s="156">
      <c r="A148" s="107" t="inlineStr">
        <is>
          <t>J6XX0051</t>
        </is>
      </c>
      <c r="C148" s="107" t="inlineStr">
        <is>
          <t>(管理外)LLDPE規格ｼｰﾄ0.02×950×100m</t>
        </is>
      </c>
      <c r="F148" s="27" t="n"/>
      <c r="G148" s="161" t="n">
        <v>0.3</v>
      </c>
      <c r="I148" s="161" t="n">
        <v>0.003</v>
      </c>
    </row>
    <row r="149" ht="24.95" customHeight="1" s="156">
      <c r="A149" s="122" t="inlineStr">
        <is>
          <t>*J6XX0051*</t>
        </is>
      </c>
      <c r="C149" s="107" t="inlineStr">
        <is>
          <t>0.02×950×100m</t>
        </is>
      </c>
      <c r="F149" s="107" t="n"/>
    </row>
    <row r="150" ht="14.25" customHeight="1" s="156">
      <c r="A150" s="107" t="n"/>
      <c r="C150" s="107" t="n"/>
      <c r="F150" s="27" t="n"/>
      <c r="G150" s="161" t="n"/>
      <c r="I150" s="161" t="n"/>
    </row>
    <row r="151" ht="24.95" customHeight="1" s="156" thickBot="1">
      <c r="A151" s="122" t="n"/>
      <c r="C151" s="107" t="n"/>
      <c r="F151" s="107" t="n"/>
    </row>
    <row r="152" ht="18" customFormat="1" customHeight="1" s="141">
      <c r="A152" s="28" t="inlineStr">
        <is>
          <t>温度換算</t>
        </is>
      </c>
      <c r="B152" s="29" t="inlineStr">
        <is>
          <t>L寸</t>
        </is>
      </c>
      <c r="C152" s="147" t="inlineStr">
        <is>
          <t>梱包箱</t>
        </is>
      </c>
      <c r="D152" s="162" t="n"/>
      <c r="E152" s="148" t="inlineStr">
        <is>
          <t>使用数</t>
        </is>
      </c>
      <c r="F152" s="31" t="inlineStr">
        <is>
          <t>作業者</t>
        </is>
      </c>
      <c r="G152" s="32" t="inlineStr">
        <is>
          <t>加工Lot</t>
        </is>
      </c>
      <c r="H152" s="129" t="inlineStr">
        <is>
          <t>箱数</t>
        </is>
      </c>
      <c r="I152" s="128" t="inlineStr">
        <is>
          <t>加工明細</t>
        </is>
      </c>
      <c r="J152" s="162" t="n"/>
    </row>
    <row r="153" ht="18" customFormat="1" customHeight="1" s="137">
      <c r="A153" s="34" t="inlineStr">
        <is>
          <t>〇</t>
        </is>
      </c>
      <c r="B153" s="163" t="n">
        <v>297</v>
      </c>
      <c r="C153" s="164" t="inlineStr">
        <is>
          <t>LED-A300</t>
        </is>
      </c>
      <c r="D153" s="165" t="n"/>
      <c r="E153" s="166" t="n">
        <v>3</v>
      </c>
      <c r="F153" s="167" t="inlineStr">
        <is>
          <t xml:space="preserve">切断加工：I / </t>
        </is>
      </c>
      <c r="G153" s="168" t="n">
        <v>46182</v>
      </c>
      <c r="H153" s="169" t="n">
        <v>3</v>
      </c>
      <c r="I153" s="39" t="inlineStr">
        <is>
          <t>入庫日</t>
        </is>
      </c>
      <c r="J153" s="170" t="n">
        <v>46182</v>
      </c>
    </row>
    <row r="154" ht="18" customFormat="1" customHeight="1" s="141">
      <c r="A154" s="44" t="inlineStr">
        <is>
          <t>+公差</t>
        </is>
      </c>
      <c r="B154" s="45" t="inlineStr">
        <is>
          <t>切断寸法</t>
        </is>
      </c>
      <c r="C154" s="171" t="n"/>
      <c r="D154" s="172" t="n"/>
      <c r="E154" s="119" t="n"/>
      <c r="F154" s="173" t="inlineStr">
        <is>
          <t xml:space="preserve">外観検査：T / </t>
        </is>
      </c>
      <c r="G154" s="168" t="n"/>
      <c r="H154" s="169" t="n"/>
      <c r="I154" s="39" t="inlineStr">
        <is>
          <t>入庫数</t>
        </is>
      </c>
      <c r="J154" s="174" t="n">
        <v>300</v>
      </c>
      <c r="K154" s="47" t="n"/>
    </row>
    <row r="155" ht="18" customFormat="1" customHeight="1" s="137">
      <c r="A155" s="48" t="n">
        <v>0.5</v>
      </c>
      <c r="B155" s="175" t="inlineStr">
        <is>
          <t>換算表確認</t>
        </is>
      </c>
      <c r="C155" s="155" t="inlineStr">
        <is>
          <t>梱包
方法</t>
        </is>
      </c>
      <c r="D155" s="176" t="inlineStr">
        <is>
          <t>クラフト紙：592型　1/2</t>
        </is>
      </c>
      <c r="E155" s="177" t="n"/>
      <c r="F155" s="178" t="n"/>
      <c r="G155" s="168" t="n"/>
      <c r="H155" s="169" t="n"/>
      <c r="I155" s="39" t="inlineStr">
        <is>
          <t>使用基材数</t>
        </is>
      </c>
      <c r="J155" s="174" t="n">
        <v>44.83333333333334</v>
      </c>
      <c r="K155" s="50" t="n"/>
    </row>
    <row r="156" ht="18" customFormat="1" customHeight="1" s="141">
      <c r="A156" s="51" t="inlineStr">
        <is>
          <t>-公差</t>
        </is>
      </c>
      <c r="B156" s="52" t="inlineStr">
        <is>
          <t>取数</t>
        </is>
      </c>
      <c r="C156" s="179" t="n"/>
      <c r="D156" s="176" t="inlineStr">
        <is>
          <t>ラベル１枚　長手無　鉢巻１回</t>
        </is>
      </c>
      <c r="E156" s="177" t="n"/>
      <c r="F156" s="178" t="n"/>
      <c r="G156" s="168" t="n"/>
      <c r="H156" s="169" t="n"/>
      <c r="I156" s="39" t="inlineStr">
        <is>
          <t>製品不良</t>
        </is>
      </c>
      <c r="J156" s="174" t="n">
        <v>1</v>
      </c>
      <c r="K156" s="47" t="n"/>
    </row>
    <row r="157" ht="18" customFormat="1" customHeight="1" s="137" thickBot="1">
      <c r="A157" s="53" t="n">
        <v>-0.5</v>
      </c>
      <c r="B157" s="54" t="n">
        <v>6</v>
      </c>
      <c r="C157" s="55" t="inlineStr">
        <is>
          <t>備考</t>
        </is>
      </c>
      <c r="D157" s="180" t="inlineStr">
        <is>
          <t>1箱目の梱包数 目視確認　以降、重量測定</t>
        </is>
      </c>
      <c r="E157" s="181" t="n"/>
      <c r="F157" s="182" t="n"/>
      <c r="G157" s="183" t="n"/>
      <c r="H157" s="184" t="n"/>
      <c r="I157" s="39" t="inlineStr">
        <is>
          <t>基材不良</t>
        </is>
      </c>
      <c r="J157" s="185" t="n">
        <v>0.1666666666666667</v>
      </c>
      <c r="K157" s="50" t="n"/>
    </row>
    <row r="158" ht="18" customFormat="1" customHeight="1" s="141" thickBot="1">
      <c r="A158" s="58" t="inlineStr">
        <is>
          <t>作業日</t>
        </is>
      </c>
      <c r="B158" s="59">
        <f t="array" ref="B158">IF(SUM(--(ISTEXT(B159:B169)*(B159:B169&lt;&gt;"")))=0,"計測Lot","計測Lot・加工数")</f>
        <v/>
      </c>
      <c r="C158" s="60" t="inlineStr">
        <is>
          <t>温度</t>
        </is>
      </c>
      <c r="D158" s="61" t="inlineStr">
        <is>
          <t>換算</t>
        </is>
      </c>
      <c r="E158" s="62" t="inlineStr">
        <is>
          <t>計測値</t>
        </is>
      </c>
      <c r="F158" s="63">
        <f t="array" ref="F158">IF(SUM(--(ISTEXT(B159:B169)*(B159:B169&lt;&gt;"")))=0,"記入不要","使用Lot")</f>
        <v/>
      </c>
      <c r="G158" s="64" t="inlineStr">
        <is>
          <t>加工数</t>
        </is>
      </c>
      <c r="H158" s="65" t="inlineStr">
        <is>
          <t>基材換算</t>
        </is>
      </c>
      <c r="I158" s="66" t="inlineStr">
        <is>
          <t>端材使用</t>
        </is>
      </c>
      <c r="J158" s="186" t="n">
        <v>32</v>
      </c>
      <c r="K158" s="47" t="n"/>
    </row>
    <row r="159" ht="18" customFormat="1" customHeight="1" s="137">
      <c r="A159" s="187" t="n"/>
      <c r="B159" s="188" t="n"/>
      <c r="C159" s="74" t="n"/>
      <c r="D159" s="189" t="n"/>
      <c r="E159" s="190" t="n"/>
      <c r="F159" s="191" t="n">
        <v>0</v>
      </c>
      <c r="G159" s="192" t="n">
        <v>0</v>
      </c>
      <c r="H159" s="193" t="n"/>
      <c r="I159" s="194" t="inlineStr">
        <is>
          <t>不良内訳</t>
        </is>
      </c>
      <c r="J159" s="195" t="n"/>
      <c r="K159" s="80" t="n"/>
    </row>
    <row r="160" ht="18" customFormat="1" customHeight="1" s="141">
      <c r="A160" s="196" t="n">
        <v>46181</v>
      </c>
      <c r="B160" s="72" t="inlineStr">
        <is>
          <t>端材</t>
        </is>
      </c>
      <c r="C160" s="197" t="n">
        <v>24</v>
      </c>
      <c r="D160" s="198" t="n">
        <v>297.08</v>
      </c>
      <c r="E160" s="199" t="n">
        <v>297.08</v>
      </c>
      <c r="F160" s="200" t="inlineStr">
        <is>
          <t>端材</t>
        </is>
      </c>
      <c r="G160" s="197" t="n">
        <v>32</v>
      </c>
      <c r="H160" s="201" t="n">
        <v>0</v>
      </c>
      <c r="I160" s="86" t="inlineStr">
        <is>
          <t>キズ</t>
        </is>
      </c>
      <c r="J160" s="201" t="n">
        <v>1</v>
      </c>
      <c r="K160" s="80" t="n"/>
    </row>
    <row r="161" ht="18.95" customFormat="1" customHeight="1" s="91">
      <c r="A161" s="202" t="n">
        <v>46181</v>
      </c>
      <c r="B161" s="72" t="inlineStr">
        <is>
          <t>端材 × 32</t>
        </is>
      </c>
      <c r="C161" s="197" t="n">
        <v>24</v>
      </c>
      <c r="D161" s="198" t="n">
        <v>297.08</v>
      </c>
      <c r="E161" s="199" t="n">
        <v>297.1</v>
      </c>
      <c r="F161" s="200" t="inlineStr">
        <is>
          <t>26E22-04</t>
        </is>
      </c>
      <c r="G161" s="197" t="n">
        <v>12</v>
      </c>
      <c r="H161" s="201" t="n">
        <v>2</v>
      </c>
      <c r="I161" s="86" t="inlineStr">
        <is>
          <t>凹み</t>
        </is>
      </c>
      <c r="J161" s="201" t="n"/>
      <c r="K161" s="89" t="n"/>
      <c r="L161" s="90" t="n"/>
      <c r="M161" s="90" t="n"/>
      <c r="N161" s="90" t="n"/>
    </row>
    <row r="162" ht="18.95" customFormat="1" customHeight="1" s="94">
      <c r="A162" s="202" t="n">
        <v>46181</v>
      </c>
      <c r="B162" s="72" t="inlineStr">
        <is>
          <t>26E22-04</t>
        </is>
      </c>
      <c r="C162" s="197" t="n">
        <v>24</v>
      </c>
      <c r="D162" s="198" t="n">
        <v>297.08</v>
      </c>
      <c r="E162" s="199" t="n">
        <v>297.08</v>
      </c>
      <c r="F162" s="200" t="inlineStr">
        <is>
          <t>26E23-05</t>
        </is>
      </c>
      <c r="G162" s="197" t="n">
        <v>256</v>
      </c>
      <c r="H162" s="201" t="n">
        <v>42.66666666666666</v>
      </c>
      <c r="I162" s="86" t="inlineStr">
        <is>
          <t>異物</t>
        </is>
      </c>
      <c r="J162" s="201" t="n"/>
      <c r="K162" s="92" t="n"/>
      <c r="L162" s="93" t="n"/>
      <c r="M162" s="93" t="n"/>
      <c r="N162" s="93" t="n"/>
    </row>
    <row r="163" ht="18.95" customFormat="1" customHeight="1" s="94">
      <c r="A163" s="202" t="n">
        <v>46181</v>
      </c>
      <c r="B163" s="72" t="inlineStr">
        <is>
          <t>26E22-04 × 12</t>
        </is>
      </c>
      <c r="C163" s="197" t="n">
        <v>24</v>
      </c>
      <c r="D163" s="198" t="n">
        <v>297.08</v>
      </c>
      <c r="E163" s="199" t="n">
        <v>297.08</v>
      </c>
      <c r="F163" s="200" t="inlineStr">
        <is>
          <t>26B24-01</t>
        </is>
      </c>
      <c r="G163" s="197" t="n">
        <v>1</v>
      </c>
      <c r="H163" s="201" t="n">
        <v>0.1666666666666667</v>
      </c>
      <c r="I163" s="86" t="inlineStr">
        <is>
          <t>欠け</t>
        </is>
      </c>
      <c r="J163" s="201" t="n"/>
      <c r="K163" s="92" t="n"/>
      <c r="L163" s="93" t="n"/>
      <c r="M163" s="93" t="n"/>
      <c r="N163" s="93" t="n"/>
    </row>
    <row r="164" ht="18.95" customFormat="1" customHeight="1" s="94">
      <c r="A164" s="202" t="n">
        <v>46182</v>
      </c>
      <c r="B164" s="72" t="inlineStr">
        <is>
          <t>26E23-05</t>
        </is>
      </c>
      <c r="C164" s="197" t="n">
        <v>20</v>
      </c>
      <c r="D164" s="198" t="n">
        <v>297</v>
      </c>
      <c r="E164" s="199" t="n">
        <v>297.01</v>
      </c>
      <c r="F164" s="200" t="n"/>
      <c r="G164" s="197" t="n">
        <v>0</v>
      </c>
      <c r="H164" s="201" t="n"/>
      <c r="I164" s="86" t="inlineStr">
        <is>
          <t>メヤニ</t>
        </is>
      </c>
      <c r="J164" s="201" t="n"/>
      <c r="K164" s="92" t="n"/>
      <c r="L164" s="93" t="n"/>
      <c r="M164" s="93" t="n"/>
      <c r="N164" s="93" t="n"/>
    </row>
    <row r="165" ht="18.95" customFormat="1" customHeight="1" s="94">
      <c r="A165" s="202" t="n">
        <v>46182</v>
      </c>
      <c r="B165" s="72" t="inlineStr">
        <is>
          <t>26E23-05 × 256</t>
        </is>
      </c>
      <c r="C165" s="197" t="n">
        <v>22</v>
      </c>
      <c r="D165" s="198" t="n">
        <v>297.04</v>
      </c>
      <c r="E165" s="199" t="n">
        <v>297.05</v>
      </c>
      <c r="F165" s="200" t="n"/>
      <c r="G165" s="197" t="n">
        <v>0</v>
      </c>
      <c r="H165" s="201" t="n"/>
      <c r="I165" s="86" t="inlineStr">
        <is>
          <t>ベコツキ</t>
        </is>
      </c>
      <c r="J165" s="201" t="n"/>
      <c r="K165" s="92" t="n"/>
      <c r="L165" s="93" t="n"/>
      <c r="M165" s="93" t="n"/>
      <c r="N165" s="93" t="n"/>
    </row>
    <row r="166" ht="18.95" customFormat="1" customHeight="1" s="94">
      <c r="A166" s="202" t="n"/>
      <c r="B166" s="72" t="inlineStr"/>
      <c r="C166" s="197" t="n"/>
      <c r="D166" s="198" t="n"/>
      <c r="E166" s="199" t="n"/>
      <c r="F166" s="200" t="n"/>
      <c r="G166" s="197" t="n">
        <v>0</v>
      </c>
      <c r="H166" s="201" t="n"/>
      <c r="I166" s="95" t="inlineStr">
        <is>
          <t>汚損</t>
        </is>
      </c>
      <c r="J166" s="201" t="n"/>
      <c r="K166" s="92" t="n"/>
      <c r="L166" s="93" t="n"/>
      <c r="M166" s="93" t="n"/>
      <c r="N166" s="93" t="n"/>
    </row>
    <row r="167" ht="18.95" customFormat="1" customHeight="1" s="94">
      <c r="A167" s="202" t="n"/>
      <c r="B167" s="72" t="inlineStr"/>
      <c r="C167" s="197" t="n"/>
      <c r="D167" s="198" t="n"/>
      <c r="E167" s="199" t="n"/>
      <c r="F167" s="200" t="n"/>
      <c r="G167" s="197" t="n">
        <v>0</v>
      </c>
      <c r="H167" s="201" t="n"/>
      <c r="I167" s="95" t="inlineStr">
        <is>
          <t>形状異常</t>
        </is>
      </c>
      <c r="J167" s="201" t="n"/>
      <c r="K167" s="92" t="n"/>
      <c r="L167" s="93" t="n"/>
      <c r="M167" s="93" t="n"/>
      <c r="N167" s="93" t="n"/>
    </row>
    <row r="168" ht="18.95" customFormat="1" customHeight="1" s="94">
      <c r="A168" s="202" t="n"/>
      <c r="B168" s="72" t="inlineStr"/>
      <c r="C168" s="197" t="n"/>
      <c r="D168" s="198" t="n"/>
      <c r="E168" s="199" t="n"/>
      <c r="F168" s="200" t="n"/>
      <c r="G168" s="197" t="n">
        <v>0</v>
      </c>
      <c r="H168" s="201" t="n"/>
      <c r="I168" s="86" t="inlineStr">
        <is>
          <t>その他</t>
        </is>
      </c>
      <c r="J168" s="203" t="n"/>
      <c r="K168" s="92" t="n"/>
      <c r="L168" s="93" t="n"/>
      <c r="M168" s="93" t="n"/>
      <c r="N168" s="93" t="n"/>
    </row>
    <row r="169" ht="18.95" customFormat="1" customHeight="1" s="94" thickBot="1">
      <c r="A169" s="204" t="inlineStr">
        <is>
          <t>不良補填</t>
        </is>
      </c>
      <c r="B169" s="73" t="inlineStr">
        <is>
          <t>26B24-01 × 1</t>
        </is>
      </c>
      <c r="C169" s="205" t="n"/>
      <c r="D169" s="206" t="n"/>
      <c r="E169" s="207" t="n"/>
      <c r="F169" s="208" t="n"/>
      <c r="G169" s="209" t="n"/>
      <c r="H169" s="210" t="n"/>
      <c r="I169" s="102" t="inlineStr">
        <is>
          <t>合計</t>
        </is>
      </c>
      <c r="J169" s="211" t="n">
        <v>1</v>
      </c>
      <c r="K169" s="92" t="n"/>
      <c r="L169" s="93" t="n"/>
      <c r="M169" s="93" t="n"/>
      <c r="N169" s="93" t="n"/>
    </row>
    <row r="170" ht="6" customHeight="1" s="156" thickBot="1">
      <c r="A170" s="103" t="n"/>
      <c r="B170" s="104" t="n"/>
      <c r="C170" s="104" t="n"/>
      <c r="D170" s="103" t="n"/>
      <c r="E170" s="104" t="n"/>
      <c r="F170" s="104" t="n"/>
      <c r="G170" s="104" t="n"/>
      <c r="H170" s="104" t="n"/>
    </row>
    <row r="171" ht="6" customHeight="1" s="156" thickTop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 ht="14.25" customHeight="1" s="156">
      <c r="A172" s="11" t="n"/>
      <c r="B172" s="125" t="inlineStr">
        <is>
          <t>検査梱包指示書</t>
        </is>
      </c>
      <c r="E172" s="11" t="n"/>
      <c r="F172" s="11" t="n"/>
      <c r="G172" s="11" t="n"/>
      <c r="H172" s="11" t="n"/>
      <c r="I172" s="11" t="n"/>
      <c r="J172" s="11" t="n"/>
    </row>
    <row r="173" ht="14.25" customHeight="1" s="156">
      <c r="A173" s="12" t="n"/>
      <c r="E173" s="12" t="n"/>
      <c r="F173" s="12" t="n"/>
      <c r="G173" s="12" t="n"/>
      <c r="H173" s="12" t="n"/>
      <c r="I173" s="12" t="n"/>
      <c r="J173" s="12" t="n"/>
    </row>
    <row r="174" ht="14.25" customHeight="1" s="156">
      <c r="A174" s="112" t="inlineStr">
        <is>
          <t>品目番号</t>
        </is>
      </c>
      <c r="B174" s="112" t="inlineStr">
        <is>
          <t>J1JAZZB10802970</t>
        </is>
      </c>
      <c r="C174" s="112" t="inlineStr">
        <is>
          <t>Ｌ寸</t>
        </is>
      </c>
      <c r="D174" s="157" t="n">
        <v>297</v>
      </c>
      <c r="E174" s="112" t="inlineStr">
        <is>
          <t>名称</t>
        </is>
      </c>
      <c r="F174" s="123" t="inlineStr">
        <is>
          <t>8FL2813044810</t>
        </is>
      </c>
      <c r="I174" s="24" t="inlineStr">
        <is>
          <t>上長</t>
        </is>
      </c>
      <c r="J174" s="24" t="inlineStr">
        <is>
          <t>係員</t>
        </is>
      </c>
    </row>
    <row r="175" ht="14.25" customHeight="1" s="156">
      <c r="I175" s="105" t="n"/>
      <c r="J175" s="105" t="n"/>
    </row>
    <row r="176" ht="17.45" customHeight="1" s="156">
      <c r="A176" s="111" t="inlineStr">
        <is>
          <t>製造指図№</t>
        </is>
      </c>
      <c r="B176" s="111" t="inlineStr">
        <is>
          <t>000000000014576</t>
        </is>
      </c>
      <c r="E176" s="111" t="inlineStr">
        <is>
          <t>原料名</t>
        </is>
      </c>
      <c r="F176" s="140" t="inlineStr">
        <is>
          <t>(CASE 297MILK-W4)</t>
        </is>
      </c>
      <c r="I176" s="106" t="n"/>
      <c r="J176" s="106" t="n"/>
    </row>
    <row r="177" ht="17.45" customHeight="1" s="156">
      <c r="I177" s="13" t="n"/>
      <c r="J177" s="13" t="n"/>
    </row>
    <row r="178" ht="17.45" customHeight="1" s="156">
      <c r="A178" s="111" t="inlineStr">
        <is>
          <t>発注明細№</t>
        </is>
      </c>
      <c r="B178" s="111" t="inlineStr">
        <is>
          <t>000000000855912</t>
        </is>
      </c>
      <c r="E178" s="2" t="inlineStr">
        <is>
          <t>色　名</t>
        </is>
      </c>
      <c r="F178" s="140" t="inlineStr">
        <is>
          <t>J6VZ034</t>
        </is>
      </c>
      <c r="H178" s="21" t="n"/>
      <c r="I178" s="13" t="n"/>
      <c r="J178" s="13" t="n"/>
    </row>
    <row r="179" ht="17.45" customHeight="1" s="156">
      <c r="E179" s="2" t="inlineStr">
        <is>
          <t>製品Grp</t>
        </is>
      </c>
      <c r="F179" s="21" t="inlineStr">
        <is>
          <t>J1ZB</t>
        </is>
      </c>
      <c r="G179" s="21" t="n"/>
      <c r="H179" s="21" t="n"/>
      <c r="I179" s="14" t="n"/>
      <c r="J179" s="14" t="n"/>
    </row>
    <row r="180" ht="17.45" customHeight="1" s="156">
      <c r="A180" s="2" t="inlineStr">
        <is>
          <t>開始日</t>
        </is>
      </c>
      <c r="B180" s="158" t="n">
        <v>46190</v>
      </c>
      <c r="E180" s="2" t="inlineStr">
        <is>
          <t>入り数</t>
        </is>
      </c>
      <c r="F180" s="159" t="n">
        <v>100</v>
      </c>
      <c r="H180" s="21" t="n"/>
    </row>
    <row r="181" ht="17.45" customHeight="1" s="156">
      <c r="A181" s="2" t="inlineStr">
        <is>
          <t>終了日</t>
        </is>
      </c>
      <c r="B181" s="158" t="n">
        <v>46190</v>
      </c>
      <c r="E181" s="2" t="inlineStr">
        <is>
          <t>梱包数</t>
        </is>
      </c>
      <c r="F181" s="21" t="n">
        <v>3</v>
      </c>
      <c r="G181" s="143" t="inlineStr">
        <is>
          <t>指示数量</t>
        </is>
      </c>
      <c r="H181" s="160" t="n">
        <v>300</v>
      </c>
      <c r="I181" s="133" t="n"/>
      <c r="J181" s="134" t="n"/>
    </row>
    <row r="182" ht="17.45" customHeight="1" s="156">
      <c r="A182" s="19" t="n"/>
      <c r="B182" s="127" t="n"/>
      <c r="C182" s="127" t="n"/>
      <c r="D182" s="127" t="n"/>
      <c r="E182" s="2" t="inlineStr">
        <is>
          <t>金　型</t>
        </is>
      </c>
      <c r="F182" s="21" t="inlineStr">
        <is>
          <t>4350</t>
        </is>
      </c>
      <c r="G182" s="135" t="n"/>
      <c r="H182" s="135" t="n"/>
      <c r="I182" s="117" t="n"/>
      <c r="J182" s="136" t="n"/>
    </row>
    <row r="183" ht="13.5" customHeight="1" s="156">
      <c r="A183" s="127" t="inlineStr">
        <is>
          <t>*J1JAZZB10802970*</t>
        </is>
      </c>
      <c r="D183" s="127" t="n"/>
      <c r="F183" s="3" t="n"/>
      <c r="G183" s="126" t="inlineStr">
        <is>
          <t>格納先</t>
        </is>
      </c>
      <c r="H183" s="118" t="inlineStr">
        <is>
          <t>V3J03</t>
        </is>
      </c>
      <c r="I183" s="138" t="inlineStr">
        <is>
          <t>樹脂第3倉庫 (在庫)</t>
        </is>
      </c>
      <c r="J183" s="139" t="n"/>
    </row>
    <row r="184" ht="13.5" customHeight="1" s="156">
      <c r="D184" s="127" t="n"/>
      <c r="F184" s="3" t="n"/>
      <c r="G184" s="119" t="n"/>
      <c r="H184" s="119" t="n"/>
      <c r="I184" s="117" t="n"/>
      <c r="J184" s="136" t="n"/>
    </row>
    <row r="185" ht="13.5" customHeight="1" s="156">
      <c r="A185" s="108" t="inlineStr">
        <is>
          <t>指図書備考</t>
        </is>
      </c>
    </row>
    <row r="186" ht="63" customHeight="1" s="156">
      <c r="A186" s="130" t="n"/>
      <c r="B186" s="131" t="n"/>
      <c r="C186" s="131" t="n"/>
      <c r="D186" s="131" t="n"/>
      <c r="E186" s="131" t="n"/>
      <c r="F186" s="131" t="n"/>
      <c r="G186" s="131" t="n"/>
      <c r="H186" s="131" t="n"/>
      <c r="I186" s="131" t="n"/>
      <c r="J186" s="131" t="n"/>
    </row>
    <row r="187" ht="18.75" customHeight="1" s="156">
      <c r="A187" s="23" t="inlineStr">
        <is>
          <t>工順</t>
        </is>
      </c>
      <c r="B187" s="16" t="inlineStr">
        <is>
          <t>製造場所</t>
        </is>
      </c>
      <c r="C187" s="120" t="inlineStr">
        <is>
          <t>製造場所名</t>
        </is>
      </c>
      <c r="D187" s="121" t="n"/>
      <c r="E187" s="16" t="inlineStr">
        <is>
          <t>工程</t>
        </is>
      </c>
      <c r="F187" s="120" t="inlineStr">
        <is>
          <t>工程名</t>
        </is>
      </c>
      <c r="G187" s="121" t="n"/>
      <c r="H187" s="121" t="n"/>
      <c r="I187" s="124" t="inlineStr">
        <is>
          <t>作業時間</t>
        </is>
      </c>
      <c r="J187" s="121" t="n"/>
    </row>
    <row r="188" ht="14.25" customHeight="1" s="156">
      <c r="A188" s="141" t="n"/>
      <c r="B188" s="141" t="n"/>
      <c r="C188" s="141" t="n"/>
      <c r="D188" s="141" t="n"/>
      <c r="E188" s="141" t="n"/>
      <c r="F188" s="141" t="n"/>
      <c r="G188" s="141" t="n"/>
      <c r="H188" s="141" t="n"/>
      <c r="I188" s="141" t="n"/>
      <c r="J188" s="141" t="n"/>
    </row>
    <row r="189" ht="16.5" customHeight="1" s="156">
      <c r="A189" s="22" t="n">
        <v>1</v>
      </c>
      <c r="B189" s="107" t="inlineStr">
        <is>
          <t>V3Z01</t>
        </is>
      </c>
      <c r="C189" s="107" t="inlineStr">
        <is>
          <t>黒部工業</t>
        </is>
      </c>
      <c r="E189" s="107" t="inlineStr">
        <is>
          <t>V3P05</t>
        </is>
      </c>
      <c r="F189" s="107" t="inlineStr">
        <is>
          <t>切断</t>
        </is>
      </c>
      <c r="I189" s="115" t="n"/>
    </row>
    <row r="190" ht="16.5" customHeight="1" s="156">
      <c r="A190" s="22" t="n">
        <v>1</v>
      </c>
      <c r="B190" s="26" t="inlineStr">
        <is>
          <t>V3Z01</t>
        </is>
      </c>
      <c r="C190" s="107" t="inlineStr">
        <is>
          <t>黒部工業</t>
        </is>
      </c>
      <c r="E190" s="107" t="inlineStr">
        <is>
          <t>V3P16</t>
        </is>
      </c>
      <c r="F190" s="107" t="inlineStr">
        <is>
          <t>検査・梱包</t>
        </is>
      </c>
      <c r="I190" s="115" t="n"/>
    </row>
    <row r="191" ht="16.5" customHeight="1" s="156">
      <c r="A191" s="22" t="n"/>
      <c r="B191" s="26" t="n"/>
      <c r="C191" s="107" t="n"/>
      <c r="E191" s="107" t="n"/>
      <c r="F191" s="107" t="n"/>
      <c r="I191" s="115" t="n"/>
    </row>
    <row r="192" ht="16.5" customHeight="1" s="156">
      <c r="A192" s="22" t="n"/>
      <c r="B192" s="26" t="n"/>
      <c r="C192" s="107" t="n"/>
      <c r="E192" s="107" t="n"/>
      <c r="F192" s="107" t="n"/>
      <c r="I192" s="115" t="n"/>
    </row>
    <row r="193" ht="16.5" customHeight="1" s="156">
      <c r="A193" s="22" t="n"/>
      <c r="B193" s="26" t="n"/>
      <c r="C193" s="107" t="n"/>
      <c r="E193" s="107" t="n"/>
      <c r="F193" s="107" t="n"/>
      <c r="I193" s="115" t="n"/>
    </row>
    <row r="194" ht="16.5" customHeight="1" s="156">
      <c r="A194" s="22" t="n"/>
      <c r="B194" s="26" t="n"/>
      <c r="C194" s="107" t="n"/>
      <c r="E194" s="107" t="n"/>
      <c r="F194" s="107" t="n"/>
      <c r="I194" s="115" t="n"/>
    </row>
    <row r="195" ht="16.5" customHeight="1" s="156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</row>
    <row r="196" ht="18.75" customHeight="1" s="156">
      <c r="A196" s="109" t="inlineStr">
        <is>
          <t>品目コード</t>
        </is>
      </c>
      <c r="B196" s="110" t="n"/>
      <c r="C196" s="109" t="inlineStr">
        <is>
          <t>品目名１</t>
        </is>
      </c>
      <c r="D196" s="110" t="n"/>
      <c r="E196" s="110" t="n"/>
      <c r="F196" s="17" t="inlineStr">
        <is>
          <t>在庫場所</t>
        </is>
      </c>
      <c r="G196" s="109" t="inlineStr">
        <is>
          <t>出庫数量</t>
        </is>
      </c>
      <c r="H196" s="110" t="n"/>
      <c r="I196" s="109" t="inlineStr">
        <is>
          <t>バッチ必要数</t>
        </is>
      </c>
      <c r="J196" s="110" t="n"/>
    </row>
    <row r="197" ht="14.25" customHeight="1" s="156">
      <c r="A197" s="8" t="n"/>
      <c r="B197" s="18" t="n"/>
      <c r="C197" s="116" t="inlineStr">
        <is>
          <t>品目名２</t>
        </is>
      </c>
      <c r="D197" s="117" t="n"/>
      <c r="E197" s="18" t="n"/>
      <c r="F197" s="116" t="inlineStr">
        <is>
          <t>指図書備考</t>
        </is>
      </c>
      <c r="G197" s="117" t="n"/>
      <c r="H197" s="117" t="n"/>
      <c r="I197" s="117" t="n"/>
      <c r="J197" s="117" t="n"/>
    </row>
    <row r="198">
      <c r="A198" s="9" t="n"/>
      <c r="C198" s="137" t="n"/>
      <c r="D198" s="137" t="n"/>
      <c r="E198" s="137" t="n"/>
    </row>
    <row r="199" ht="14.25" customHeight="1" s="156">
      <c r="A199" s="107" t="inlineStr">
        <is>
          <t>J1JAZZA10818200</t>
        </is>
      </c>
      <c r="C199" s="107" t="inlineStr">
        <is>
          <t>@8FL28130 L1820</t>
        </is>
      </c>
      <c r="F199" s="27" t="inlineStr">
        <is>
          <t>V3J04</t>
        </is>
      </c>
      <c r="G199" s="161" t="n">
        <v>50.1</v>
      </c>
      <c r="I199" s="161" t="n">
        <v>0.501</v>
      </c>
    </row>
    <row r="200" ht="24.95" customHeight="1" s="156">
      <c r="A200" s="122" t="inlineStr">
        <is>
          <t>*J1JAZZA10818200*</t>
        </is>
      </c>
      <c r="C200" s="107" t="n"/>
      <c r="F200" s="107" t="n"/>
    </row>
    <row r="201" ht="14.25" customHeight="1" s="156">
      <c r="A201" s="107" t="inlineStr">
        <is>
          <t>J6DW0086</t>
        </is>
      </c>
      <c r="C201" s="107" t="inlineStr">
        <is>
          <t>LED-A300（旧LED-A297）307X275X166</t>
        </is>
      </c>
      <c r="F201" s="27" t="inlineStr">
        <is>
          <t>V3W04</t>
        </is>
      </c>
      <c r="G201" s="161" t="n">
        <v>3</v>
      </c>
      <c r="I201" s="161" t="n">
        <v>0.03</v>
      </c>
    </row>
    <row r="202" ht="24.95" customHeight="1" s="156">
      <c r="A202" s="122" t="inlineStr">
        <is>
          <t>*J6DW0086*</t>
        </is>
      </c>
      <c r="C202" s="107" t="inlineStr">
        <is>
          <t>L300×W275×H166</t>
        </is>
      </c>
      <c r="F202" s="107" t="n"/>
    </row>
    <row r="203" ht="14.25" customHeight="1" s="156">
      <c r="A203" s="107" t="inlineStr">
        <is>
          <t>J6XX0050</t>
        </is>
      </c>
      <c r="C203" s="107" t="inlineStr">
        <is>
          <t>(管理外)筋入ｸﾗﾌﾄ紙</t>
        </is>
      </c>
      <c r="F203" s="27" t="n"/>
      <c r="G203" s="161" t="n">
        <v>0.3</v>
      </c>
      <c r="I203" s="161" t="n">
        <v>0.003</v>
      </c>
    </row>
    <row r="204" ht="24.95" customHeight="1" s="156">
      <c r="A204" s="122" t="inlineStr">
        <is>
          <t>*J6XX0050*</t>
        </is>
      </c>
      <c r="C204" s="107" t="inlineStr">
        <is>
          <t>300＊100</t>
        </is>
      </c>
      <c r="F204" s="107" t="n"/>
    </row>
    <row r="205" ht="14.25" customHeight="1" s="156">
      <c r="A205" s="107" t="inlineStr">
        <is>
          <t>J6XX0051</t>
        </is>
      </c>
      <c r="C205" s="107" t="inlineStr">
        <is>
          <t>(管理外)LLDPE規格ｼｰﾄ0.02×950×100m</t>
        </is>
      </c>
      <c r="F205" s="27" t="n"/>
      <c r="G205" s="161" t="n">
        <v>0.3</v>
      </c>
      <c r="I205" s="161" t="n">
        <v>0.003</v>
      </c>
    </row>
    <row r="206" ht="24.95" customHeight="1" s="156">
      <c r="A206" s="122" t="inlineStr">
        <is>
          <t>*J6XX0051*</t>
        </is>
      </c>
      <c r="C206" s="107" t="inlineStr">
        <is>
          <t>0.02×950×100m</t>
        </is>
      </c>
      <c r="F206" s="107" t="n"/>
    </row>
    <row r="207" ht="14.25" customHeight="1" s="156">
      <c r="A207" s="107" t="n"/>
      <c r="C207" s="107" t="n"/>
      <c r="F207" s="27" t="n"/>
      <c r="G207" s="161" t="n"/>
      <c r="I207" s="161" t="n"/>
    </row>
    <row r="208" ht="24.95" customHeight="1" s="156" thickBot="1">
      <c r="A208" s="122" t="n"/>
      <c r="C208" s="107" t="n"/>
      <c r="F208" s="107" t="n"/>
    </row>
    <row r="209" ht="18" customFormat="1" customHeight="1" s="141">
      <c r="A209" s="28" t="inlineStr">
        <is>
          <t>温度換算</t>
        </is>
      </c>
      <c r="B209" s="29" t="inlineStr">
        <is>
          <t>L寸</t>
        </is>
      </c>
      <c r="C209" s="147" t="inlineStr">
        <is>
          <t>梱包箱</t>
        </is>
      </c>
      <c r="D209" s="162" t="n"/>
      <c r="E209" s="148" t="inlineStr">
        <is>
          <t>使用数</t>
        </is>
      </c>
      <c r="F209" s="31" t="inlineStr">
        <is>
          <t>作業者</t>
        </is>
      </c>
      <c r="G209" s="32" t="inlineStr">
        <is>
          <t>加工Lot</t>
        </is>
      </c>
      <c r="H209" s="129" t="inlineStr">
        <is>
          <t>箱数</t>
        </is>
      </c>
      <c r="I209" s="128" t="inlineStr">
        <is>
          <t>加工明細</t>
        </is>
      </c>
      <c r="J209" s="162" t="n"/>
    </row>
    <row r="210" ht="18" customFormat="1" customHeight="1" s="137">
      <c r="A210" s="34">
        <f>_xlfn.XLOOKUP(B174,[3]VFDB2!$A:$A,[3]VFDB2!$J:$J)</f>
        <v/>
      </c>
      <c r="B210" s="163">
        <f>D174</f>
        <v/>
      </c>
      <c r="C210" s="164">
        <f>_xlfn.XLOOKUP(B174,[3]VFDB2!$A:$A,[3]VFDB2!$Z:$Z)</f>
        <v/>
      </c>
      <c r="D210" s="165" t="n"/>
      <c r="E210" s="166">
        <f t="array" ref="E210">IFERROR(INDEX(_xlfn._xlws.FILTER([4]加工記録２!C:C,[4]加工記録２!U:U=B176),9),"")</f>
        <v/>
      </c>
      <c r="F210" s="167">
        <f t="array" ref="F210">IFERROR("切断加工：" &amp;_xlfn.TEXTJOIN(" / ",TRUE,INDEX(_xlfn._xlws.FILTER([4]加工記録２!M:M,[4]加工記録２!U:U=B176),9),INDEX(_xlfn._xlws.FILTER([4]加工記録２!N:N,[4]加工記録２!U:U=B176),9)),"")</f>
        <v/>
      </c>
      <c r="G210" s="168">
        <f t="array" ref="G210:H214">IFERROR(IF(_xlfn.TAKE(_xlfn._xlws.FILTER([4]加工記録２!$M:$N,[4]加工記録２!$U:$U=B176),5)=0,"",_xlfn.TAKE(_xlfn._xlws.FILTER([4]加工記録２!$M:$N,[4]加工記録２!$U:$U=B176),5)),"")</f>
        <v/>
      </c>
      <c r="H210" s="169" t="str"/>
      <c r="I210" s="39" t="inlineStr">
        <is>
          <t>入庫日</t>
        </is>
      </c>
      <c r="J210" s="170">
        <f t="array" ref="J210:J215">IFERROR(INDEX(_xlfn._xlws.FILTER([4]加工記録２!P:P, [4]加工記録２!U:U=B176),_xlfn.SEQUENCE(6)),"")</f>
        <v/>
      </c>
    </row>
    <row r="211" ht="18" customFormat="1" customHeight="1" s="141">
      <c r="A211" s="44" t="inlineStr">
        <is>
          <t>+公差</t>
        </is>
      </c>
      <c r="B211" s="45" t="inlineStr">
        <is>
          <t>切断寸法</t>
        </is>
      </c>
      <c r="C211" s="171" t="n"/>
      <c r="D211" s="172" t="n"/>
      <c r="E211" s="119" t="n"/>
      <c r="F211" s="173">
        <f t="array" ref="F211">IFERROR("外観検査：" &amp;_xlfn.TEXTJOIN(" / ",TRUE,INDEX(_xlfn._xlws.FILTER([4]加工記録２!M:M,[4]加工記録２!U:U=B176),10),INDEX(_xlfn._xlws.FILTER([4]加工記録２!N:N,[4]加工記録２!U:U=B176),10)),"")</f>
        <v/>
      </c>
      <c r="G211" s="168" t="str"/>
      <c r="H211" s="169" t="str"/>
      <c r="I211" s="39" t="inlineStr">
        <is>
          <t>入庫数</t>
        </is>
      </c>
      <c r="J211" s="174" t="n">
        <v>0</v>
      </c>
      <c r="K211" s="47" t="n"/>
    </row>
    <row r="212" ht="18" customFormat="1" customHeight="1" s="137">
      <c r="A212" s="48">
        <f>_xlfn.XLOOKUP(B174,[3]VFDB2!$A:$A,[3]VFDB2!$L:$L)</f>
        <v/>
      </c>
      <c r="B212" s="175">
        <f>_xlfn.XLOOKUP(B174,[3]VFDB2!$A:$A,[3]VFDB2!$AC:$AC)</f>
        <v/>
      </c>
      <c r="C212" s="155" t="inlineStr">
        <is>
          <t>梱包
方法</t>
        </is>
      </c>
      <c r="D212" s="176">
        <f>_xlfn.XLOOKUP(B174,[3]VFDB2!$A:$A,[3]VFDB2!$W:$W)</f>
        <v/>
      </c>
      <c r="E212" s="177" t="n"/>
      <c r="F212" s="178" t="n"/>
      <c r="G212" s="168" t="str"/>
      <c r="H212" s="169" t="str"/>
      <c r="I212" s="39" t="inlineStr">
        <is>
          <t>使用基材数</t>
        </is>
      </c>
      <c r="J212" s="174" t="n">
        <v>0</v>
      </c>
      <c r="K212" s="50" t="n"/>
    </row>
    <row r="213" ht="18" customFormat="1" customHeight="1" s="141">
      <c r="A213" s="51" t="inlineStr">
        <is>
          <t>-公差</t>
        </is>
      </c>
      <c r="B213" s="52" t="inlineStr">
        <is>
          <t>取数</t>
        </is>
      </c>
      <c r="C213" s="179" t="n"/>
      <c r="D213" s="176">
        <f>_xlfn.XLOOKUP(B174,[3]VFDB2!$A:$A,[3]VFDB2!$R:$R)</f>
        <v/>
      </c>
      <c r="E213" s="177" t="n"/>
      <c r="F213" s="178" t="n"/>
      <c r="G213" s="168" t="str"/>
      <c r="H213" s="169" t="str"/>
      <c r="I213" s="39" t="inlineStr">
        <is>
          <t>製品不良</t>
        </is>
      </c>
      <c r="J213" s="174" t="n">
        <v>0</v>
      </c>
      <c r="K213" s="47" t="n"/>
    </row>
    <row r="214" ht="18" customFormat="1" customHeight="1" s="137" thickBot="1">
      <c r="A214" s="53">
        <f>_xlfn.XLOOKUP(B174,[3]VFDB2!$A:$A,[3]VFDB2!$K:$K)</f>
        <v/>
      </c>
      <c r="B214" s="54">
        <f>_xlfn.XLOOKUP(B174,[3]VFDB2!$A:$A,[3]VFDB2!$P:$P)</f>
        <v/>
      </c>
      <c r="C214" s="55" t="inlineStr">
        <is>
          <t>備考</t>
        </is>
      </c>
      <c r="D214" s="180">
        <f>_xlfn.XLOOKUP(B174,[3]VFDB2!$A:$A,[3]VFDB2!$V:$V)</f>
        <v/>
      </c>
      <c r="E214" s="181" t="n"/>
      <c r="F214" s="182" t="n"/>
      <c r="G214" s="183" t="str"/>
      <c r="H214" s="184" t="str"/>
      <c r="I214" s="39" t="inlineStr">
        <is>
          <t>基材不良</t>
        </is>
      </c>
      <c r="J214" s="185" t="n">
        <v>0</v>
      </c>
      <c r="K214" s="50" t="n"/>
    </row>
    <row r="215" ht="18" customFormat="1" customHeight="1" s="141" thickBot="1">
      <c r="A215" s="58" t="inlineStr">
        <is>
          <t>作業日</t>
        </is>
      </c>
      <c r="B215" s="59">
        <f t="array" ref="B215">IF(SUM(--(ISTEXT(B216:B226)*(B216:B226&lt;&gt;"")))=0,"計測Lot","計測Lot・加工数")</f>
        <v/>
      </c>
      <c r="C215" s="60" t="inlineStr">
        <is>
          <t>温度</t>
        </is>
      </c>
      <c r="D215" s="61" t="inlineStr">
        <is>
          <t>換算</t>
        </is>
      </c>
      <c r="E215" s="62" t="inlineStr">
        <is>
          <t>計測値</t>
        </is>
      </c>
      <c r="F215" s="63">
        <f t="array" ref="F215">IF(SUM(--(ISTEXT(B216:B226)*(B216:B226&lt;&gt;"")))=0,"記入不要","使用Lot")</f>
        <v/>
      </c>
      <c r="G215" s="64" t="inlineStr">
        <is>
          <t>加工数</t>
        </is>
      </c>
      <c r="H215" s="65" t="inlineStr">
        <is>
          <t>基材換算</t>
        </is>
      </c>
      <c r="I215" s="66" t="inlineStr">
        <is>
          <t>端材使用</t>
        </is>
      </c>
      <c r="J215" s="186" t="n">
        <v>0</v>
      </c>
      <c r="K215" s="47" t="n"/>
    </row>
    <row r="216" ht="18" customFormat="1" customHeight="1" s="137">
      <c r="A216" s="187">
        <f t="array" ref="A216:A226">IFERROR(INDEX(_xlfn._xlws.FILTER([4]加工記録２!$D:$D,[4]加工記録２!$U:$U=B176),_xlfn.SEQUENCE(11),0),"")</f>
        <v/>
      </c>
      <c r="B216" s="188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4" t="n"/>
      <c r="D216" s="189" t="n"/>
      <c r="E216" s="190" t="n"/>
      <c r="F216" s="191" t="n"/>
      <c r="G216" s="192" t="n"/>
      <c r="H216" s="193" t="n"/>
      <c r="I216" s="194" t="inlineStr">
        <is>
          <t>不良内訳</t>
        </is>
      </c>
      <c r="J216" s="195" t="n"/>
      <c r="K216" s="80" t="n"/>
    </row>
    <row r="217" ht="18" customFormat="1" customHeight="1" s="141">
      <c r="A217" s="196" t="n">
        <v>0</v>
      </c>
      <c r="B217" s="72" t="str"/>
      <c r="C217" s="197" t="n"/>
      <c r="D217" s="198" t="n"/>
      <c r="E217" s="199" t="n"/>
      <c r="F217" s="200" t="n"/>
      <c r="G217" s="197" t="n"/>
      <c r="H217" s="201" t="n"/>
      <c r="I217" s="86" t="inlineStr">
        <is>
          <t>キズ</t>
        </is>
      </c>
      <c r="J217" s="201">
        <f t="array" ref="J217:J226">IFERROR(INDEX(_xlfn._xlws.FILTER([4]加工記録２!R:R, [4]加工記録２!U:U=B176),_xlfn.SEQUENCE(10)),"")</f>
        <v/>
      </c>
      <c r="K217" s="80" t="n"/>
    </row>
    <row r="218" ht="18.95" customFormat="1" customHeight="1" s="91">
      <c r="A218" s="202" t="n">
        <v>0</v>
      </c>
      <c r="B218" s="72" t="str"/>
      <c r="C218" s="197" t="n"/>
      <c r="D218" s="198" t="n"/>
      <c r="E218" s="199" t="n"/>
      <c r="F218" s="200" t="n"/>
      <c r="G218" s="197" t="n"/>
      <c r="H218" s="201" t="n"/>
      <c r="I218" s="86" t="inlineStr">
        <is>
          <t>凹み</t>
        </is>
      </c>
      <c r="J218" s="201" t="n">
        <v>0</v>
      </c>
      <c r="K218" s="89" t="n"/>
      <c r="L218" s="90" t="n"/>
      <c r="M218" s="90" t="n"/>
      <c r="N218" s="90" t="n"/>
    </row>
    <row r="219" ht="18.95" customFormat="1" customHeight="1" s="94">
      <c r="A219" s="202" t="n">
        <v>0</v>
      </c>
      <c r="B219" s="72" t="str"/>
      <c r="C219" s="197" t="n"/>
      <c r="D219" s="198" t="n"/>
      <c r="E219" s="199" t="n"/>
      <c r="F219" s="200" t="n"/>
      <c r="G219" s="197" t="n"/>
      <c r="H219" s="201" t="n"/>
      <c r="I219" s="86" t="inlineStr">
        <is>
          <t>異物</t>
        </is>
      </c>
      <c r="J219" s="201" t="n">
        <v>0</v>
      </c>
      <c r="K219" s="92" t="n"/>
      <c r="L219" s="93" t="n"/>
      <c r="M219" s="93" t="n"/>
      <c r="N219" s="93" t="n"/>
    </row>
    <row r="220" ht="18.95" customFormat="1" customHeight="1" s="94">
      <c r="A220" s="202" t="n">
        <v>0</v>
      </c>
      <c r="B220" s="72" t="str"/>
      <c r="C220" s="197" t="n"/>
      <c r="D220" s="198" t="n"/>
      <c r="E220" s="199" t="n"/>
      <c r="F220" s="200" t="n"/>
      <c r="G220" s="197" t="n"/>
      <c r="H220" s="201" t="n"/>
      <c r="I220" s="86" t="inlineStr">
        <is>
          <t>欠け</t>
        </is>
      </c>
      <c r="J220" s="201" t="n">
        <v>0</v>
      </c>
      <c r="K220" s="92" t="n"/>
      <c r="L220" s="93" t="n"/>
      <c r="M220" s="93" t="n"/>
      <c r="N220" s="93" t="n"/>
    </row>
    <row r="221" ht="18.95" customFormat="1" customHeight="1" s="94">
      <c r="A221" s="202" t="n">
        <v>0</v>
      </c>
      <c r="B221" s="72" t="str"/>
      <c r="C221" s="197" t="n"/>
      <c r="D221" s="198" t="n"/>
      <c r="E221" s="199" t="n"/>
      <c r="F221" s="200" t="n"/>
      <c r="G221" s="197" t="n"/>
      <c r="H221" s="201" t="n"/>
      <c r="I221" s="86" t="inlineStr">
        <is>
          <t>メヤニ</t>
        </is>
      </c>
      <c r="J221" s="201" t="n">
        <v>0</v>
      </c>
      <c r="K221" s="92" t="n"/>
      <c r="L221" s="93" t="n"/>
      <c r="M221" s="93" t="n"/>
      <c r="N221" s="93" t="n"/>
    </row>
    <row r="222" ht="18.95" customFormat="1" customHeight="1" s="94">
      <c r="A222" s="202" t="n">
        <v>0</v>
      </c>
      <c r="B222" s="72" t="str"/>
      <c r="C222" s="197" t="n"/>
      <c r="D222" s="198" t="n"/>
      <c r="E222" s="199" t="n"/>
      <c r="F222" s="200" t="n"/>
      <c r="G222" s="197" t="n"/>
      <c r="H222" s="201" t="n"/>
      <c r="I222" s="86" t="inlineStr">
        <is>
          <t>ベコツキ</t>
        </is>
      </c>
      <c r="J222" s="201" t="n">
        <v>0</v>
      </c>
      <c r="K222" s="92" t="n"/>
      <c r="L222" s="93" t="n"/>
      <c r="M222" s="93" t="n"/>
      <c r="N222" s="93" t="n"/>
    </row>
    <row r="223" ht="18.95" customFormat="1" customHeight="1" s="94">
      <c r="A223" s="202" t="n">
        <v>0</v>
      </c>
      <c r="B223" s="72" t="str"/>
      <c r="C223" s="197" t="n"/>
      <c r="D223" s="198" t="n"/>
      <c r="E223" s="199" t="n"/>
      <c r="F223" s="200" t="n"/>
      <c r="G223" s="197" t="n"/>
      <c r="H223" s="201" t="n"/>
      <c r="I223" s="95" t="inlineStr">
        <is>
          <t>汚損</t>
        </is>
      </c>
      <c r="J223" s="201" t="n">
        <v>0</v>
      </c>
      <c r="K223" s="92" t="n"/>
      <c r="L223" s="93" t="n"/>
      <c r="M223" s="93" t="n"/>
      <c r="N223" s="93" t="n"/>
    </row>
    <row r="224" ht="18.95" customFormat="1" customHeight="1" s="94">
      <c r="A224" s="202" t="n">
        <v>0</v>
      </c>
      <c r="B224" s="72" t="str"/>
      <c r="C224" s="197" t="n"/>
      <c r="D224" s="198" t="n"/>
      <c r="E224" s="199" t="n"/>
      <c r="F224" s="200" t="n"/>
      <c r="G224" s="197" t="n"/>
      <c r="H224" s="201" t="n"/>
      <c r="I224" s="95" t="inlineStr">
        <is>
          <t>形状異常</t>
        </is>
      </c>
      <c r="J224" s="201" t="n">
        <v>0</v>
      </c>
      <c r="K224" s="92" t="n"/>
      <c r="L224" s="93" t="n"/>
      <c r="M224" s="93" t="n"/>
      <c r="N224" s="93" t="n"/>
    </row>
    <row r="225" ht="18.95" customFormat="1" customHeight="1" s="94">
      <c r="A225" s="202" t="n">
        <v>0</v>
      </c>
      <c r="B225" s="72" t="str"/>
      <c r="C225" s="197" t="n"/>
      <c r="D225" s="198" t="n"/>
      <c r="E225" s="199" t="n"/>
      <c r="F225" s="200" t="n"/>
      <c r="G225" s="197" t="n"/>
      <c r="H225" s="201" t="n"/>
      <c r="I225" s="86" t="inlineStr">
        <is>
          <t>その他</t>
        </is>
      </c>
      <c r="J225" s="203" t="n">
        <v>0</v>
      </c>
      <c r="K225" s="92" t="n"/>
      <c r="L225" s="93" t="n"/>
      <c r="M225" s="93" t="n"/>
      <c r="N225" s="93" t="n"/>
    </row>
    <row r="226" ht="18.95" customFormat="1" customHeight="1" s="94" thickBot="1">
      <c r="A226" s="204" t="n">
        <v>0</v>
      </c>
      <c r="B226" s="73" t="str"/>
      <c r="C226" s="205" t="n"/>
      <c r="D226" s="206" t="n"/>
      <c r="E226" s="207" t="n"/>
      <c r="F226" s="208" t="n"/>
      <c r="G226" s="209" t="n"/>
      <c r="H226" s="210" t="n"/>
      <c r="I226" s="102" t="inlineStr">
        <is>
          <t>合計</t>
        </is>
      </c>
      <c r="J226" s="211" t="n">
        <v>0</v>
      </c>
      <c r="K226" s="92" t="n"/>
      <c r="L226" s="93" t="n"/>
      <c r="M226" s="93" t="n"/>
      <c r="N226" s="93" t="n"/>
    </row>
    <row r="227" ht="6" customHeight="1" s="156" thickBot="1">
      <c r="A227" s="103" t="n"/>
      <c r="B227" s="104" t="n"/>
      <c r="C227" s="104" t="n"/>
      <c r="D227" s="103" t="n"/>
      <c r="E227" s="104" t="n"/>
      <c r="F227" s="104" t="n"/>
      <c r="G227" s="104" t="n"/>
      <c r="H227" s="104" t="n"/>
    </row>
    <row r="228" ht="6" customHeight="1" s="156" thickTop="1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</row>
    <row r="229" ht="14.25" customHeight="1" s="156">
      <c r="A229" s="11" t="n"/>
      <c r="B229" s="125" t="inlineStr">
        <is>
          <t>検査梱包指示書</t>
        </is>
      </c>
      <c r="E229" s="11" t="n"/>
      <c r="F229" s="11" t="n"/>
      <c r="G229" s="11" t="n"/>
      <c r="H229" s="11" t="n"/>
      <c r="I229" s="11" t="n"/>
      <c r="J229" s="11" t="n"/>
    </row>
    <row r="230" ht="14.25" customHeight="1" s="156">
      <c r="A230" s="12" t="n"/>
      <c r="E230" s="12" t="n"/>
      <c r="F230" s="12" t="n"/>
      <c r="G230" s="12" t="n"/>
      <c r="H230" s="12" t="n"/>
      <c r="I230" s="12" t="n"/>
      <c r="J230" s="12" t="n"/>
    </row>
    <row r="231" ht="14.25" customHeight="1" s="156">
      <c r="A231" s="112" t="inlineStr">
        <is>
          <t>品目番号</t>
        </is>
      </c>
      <c r="B231" s="112" t="inlineStr">
        <is>
          <t>J1JAZZB10805920</t>
        </is>
      </c>
      <c r="C231" s="112" t="inlineStr">
        <is>
          <t>Ｌ寸</t>
        </is>
      </c>
      <c r="D231" s="157" t="n">
        <v>592</v>
      </c>
      <c r="E231" s="112" t="inlineStr">
        <is>
          <t>名称</t>
        </is>
      </c>
      <c r="F231" s="123" t="inlineStr">
        <is>
          <t>8FL2813044910</t>
        </is>
      </c>
      <c r="I231" s="24" t="inlineStr">
        <is>
          <t>上長</t>
        </is>
      </c>
      <c r="J231" s="24" t="inlineStr">
        <is>
          <t>係員</t>
        </is>
      </c>
    </row>
    <row r="232" ht="14.25" customHeight="1" s="156">
      <c r="I232" s="105" t="n"/>
      <c r="J232" s="105" t="n"/>
    </row>
    <row r="233" ht="17.45" customHeight="1" s="156">
      <c r="A233" s="111" t="inlineStr">
        <is>
          <t>製造指図№</t>
        </is>
      </c>
      <c r="B233" s="111" t="inlineStr">
        <is>
          <t>000000000014577</t>
        </is>
      </c>
      <c r="E233" s="111" t="inlineStr">
        <is>
          <t>原料名</t>
        </is>
      </c>
      <c r="F233" s="140" t="inlineStr">
        <is>
          <t>(CASE 592MILK-W4)</t>
        </is>
      </c>
      <c r="I233" s="106" t="n"/>
      <c r="J233" s="106" t="n"/>
    </row>
    <row r="234" ht="17.45" customHeight="1" s="156">
      <c r="I234" s="13" t="n"/>
      <c r="J234" s="13" t="n"/>
    </row>
    <row r="235" ht="17.45" customHeight="1" s="156">
      <c r="A235" s="111" t="inlineStr">
        <is>
          <t>発注明細№</t>
        </is>
      </c>
      <c r="B235" s="111" t="inlineStr">
        <is>
          <t>000000000855913</t>
        </is>
      </c>
      <c r="E235" s="2" t="inlineStr">
        <is>
          <t>色　名</t>
        </is>
      </c>
      <c r="F235" s="140" t="inlineStr">
        <is>
          <t>J6VZ034</t>
        </is>
      </c>
      <c r="H235" s="21" t="n"/>
      <c r="I235" s="13" t="n"/>
      <c r="J235" s="13" t="n"/>
    </row>
    <row r="236" ht="17.45" customHeight="1" s="156">
      <c r="E236" s="2" t="inlineStr">
        <is>
          <t>製品Grp</t>
        </is>
      </c>
      <c r="F236" s="21" t="inlineStr">
        <is>
          <t>J1ZB</t>
        </is>
      </c>
      <c r="G236" s="21" t="n"/>
      <c r="H236" s="21" t="n"/>
      <c r="I236" s="14" t="n"/>
      <c r="J236" s="14" t="n"/>
    </row>
    <row r="237" ht="17.45" customHeight="1" s="156">
      <c r="A237" s="2" t="inlineStr">
        <is>
          <t>開始日</t>
        </is>
      </c>
      <c r="B237" s="158" t="n">
        <v>46171</v>
      </c>
      <c r="E237" s="2" t="inlineStr">
        <is>
          <t>入り数</t>
        </is>
      </c>
      <c r="F237" s="159" t="n">
        <v>100</v>
      </c>
      <c r="H237" s="21" t="n"/>
    </row>
    <row r="238" ht="17.45" customHeight="1" s="156">
      <c r="A238" s="2" t="inlineStr">
        <is>
          <t>終了日</t>
        </is>
      </c>
      <c r="B238" s="158" t="n">
        <v>46171</v>
      </c>
      <c r="E238" s="2" t="inlineStr">
        <is>
          <t>梱包数</t>
        </is>
      </c>
      <c r="F238" s="21" t="n">
        <v>3</v>
      </c>
      <c r="G238" s="143" t="inlineStr">
        <is>
          <t>指示数量</t>
        </is>
      </c>
      <c r="H238" s="160" t="n">
        <v>300</v>
      </c>
      <c r="I238" s="133" t="n"/>
      <c r="J238" s="134" t="n"/>
    </row>
    <row r="239" ht="17.45" customHeight="1" s="156">
      <c r="A239" s="19" t="n"/>
      <c r="B239" s="127" t="n"/>
      <c r="C239" s="127" t="n"/>
      <c r="D239" s="127" t="n"/>
      <c r="E239" s="2" t="inlineStr">
        <is>
          <t>金　型</t>
        </is>
      </c>
      <c r="F239" s="21" t="inlineStr">
        <is>
          <t>4350</t>
        </is>
      </c>
      <c r="G239" s="135" t="n"/>
      <c r="H239" s="135" t="n"/>
      <c r="I239" s="117" t="n"/>
      <c r="J239" s="136" t="n"/>
    </row>
    <row r="240" ht="13.5" customHeight="1" s="156">
      <c r="A240" s="127" t="inlineStr">
        <is>
          <t>*J1JAZZB10805920*</t>
        </is>
      </c>
      <c r="D240" s="127" t="n"/>
      <c r="F240" s="3" t="n"/>
      <c r="G240" s="126" t="inlineStr">
        <is>
          <t>格納先</t>
        </is>
      </c>
      <c r="H240" s="118" t="inlineStr">
        <is>
          <t>V3J03</t>
        </is>
      </c>
      <c r="I240" s="138" t="inlineStr">
        <is>
          <t>樹脂第3倉庫 (在庫)</t>
        </is>
      </c>
      <c r="J240" s="139" t="n"/>
    </row>
    <row r="241" ht="13.5" customHeight="1" s="156">
      <c r="D241" s="127" t="n"/>
      <c r="F241" s="3" t="n"/>
      <c r="G241" s="119" t="n"/>
      <c r="H241" s="119" t="n"/>
      <c r="I241" s="117" t="n"/>
      <c r="J241" s="136" t="n"/>
    </row>
    <row r="242" ht="13.5" customHeight="1" s="156">
      <c r="A242" s="108" t="inlineStr">
        <is>
          <t>指図書備考</t>
        </is>
      </c>
    </row>
    <row r="243" ht="63" customHeight="1" s="156">
      <c r="A243" s="130" t="n"/>
      <c r="B243" s="131" t="n"/>
      <c r="C243" s="131" t="n"/>
      <c r="D243" s="131" t="n"/>
      <c r="E243" s="131" t="n"/>
      <c r="F243" s="131" t="n"/>
      <c r="G243" s="131" t="n"/>
      <c r="H243" s="131" t="n"/>
      <c r="I243" s="131" t="n"/>
      <c r="J243" s="131" t="n"/>
    </row>
    <row r="244" ht="18.75" customHeight="1" s="156">
      <c r="A244" s="23" t="inlineStr">
        <is>
          <t>工順</t>
        </is>
      </c>
      <c r="B244" s="16" t="inlineStr">
        <is>
          <t>製造場所</t>
        </is>
      </c>
      <c r="C244" s="120" t="inlineStr">
        <is>
          <t>製造場所名</t>
        </is>
      </c>
      <c r="D244" s="121" t="n"/>
      <c r="E244" s="16" t="inlineStr">
        <is>
          <t>工程</t>
        </is>
      </c>
      <c r="F244" s="120" t="inlineStr">
        <is>
          <t>工程名</t>
        </is>
      </c>
      <c r="G244" s="121" t="n"/>
      <c r="H244" s="121" t="n"/>
      <c r="I244" s="124" t="inlineStr">
        <is>
          <t>作業時間</t>
        </is>
      </c>
      <c r="J244" s="121" t="n"/>
    </row>
    <row r="245" ht="14.25" customHeight="1" s="156">
      <c r="A245" s="141" t="n"/>
      <c r="B245" s="141" t="n"/>
      <c r="C245" s="141" t="n"/>
      <c r="D245" s="141" t="n"/>
      <c r="E245" s="141" t="n"/>
      <c r="F245" s="141" t="n"/>
      <c r="G245" s="141" t="n"/>
      <c r="H245" s="141" t="n"/>
      <c r="I245" s="141" t="n"/>
      <c r="J245" s="141" t="n"/>
    </row>
    <row r="246" ht="16.5" customHeight="1" s="156">
      <c r="A246" s="22" t="n">
        <v>1</v>
      </c>
      <c r="B246" s="107" t="inlineStr">
        <is>
          <t>V3Z01</t>
        </is>
      </c>
      <c r="C246" s="107" t="inlineStr">
        <is>
          <t>黒部工業</t>
        </is>
      </c>
      <c r="E246" s="107" t="inlineStr">
        <is>
          <t>V3P05</t>
        </is>
      </c>
      <c r="F246" s="107" t="inlineStr">
        <is>
          <t>切断</t>
        </is>
      </c>
      <c r="I246" s="115" t="n"/>
    </row>
    <row r="247" ht="16.5" customHeight="1" s="156">
      <c r="A247" s="22" t="n">
        <v>1</v>
      </c>
      <c r="B247" s="26" t="inlineStr">
        <is>
          <t>V3Z01</t>
        </is>
      </c>
      <c r="C247" s="107" t="inlineStr">
        <is>
          <t>黒部工業</t>
        </is>
      </c>
      <c r="E247" s="107" t="inlineStr">
        <is>
          <t>V3P16</t>
        </is>
      </c>
      <c r="F247" s="107" t="inlineStr">
        <is>
          <t>検査・梱包</t>
        </is>
      </c>
      <c r="I247" s="115" t="n"/>
    </row>
    <row r="248" ht="16.5" customHeight="1" s="156">
      <c r="A248" s="22" t="n"/>
      <c r="B248" s="26" t="n"/>
      <c r="C248" s="107" t="n"/>
      <c r="E248" s="107" t="n"/>
      <c r="F248" s="107" t="n"/>
      <c r="I248" s="115" t="n"/>
    </row>
    <row r="249" ht="16.5" customHeight="1" s="156">
      <c r="A249" s="22" t="n"/>
      <c r="B249" s="26" t="n"/>
      <c r="C249" s="107" t="n"/>
      <c r="E249" s="107" t="n"/>
      <c r="F249" s="107" t="n"/>
      <c r="I249" s="115" t="n"/>
    </row>
    <row r="250" ht="16.5" customHeight="1" s="156">
      <c r="A250" s="22" t="n"/>
      <c r="B250" s="26" t="n"/>
      <c r="C250" s="107" t="n"/>
      <c r="E250" s="107" t="n"/>
      <c r="F250" s="107" t="n"/>
      <c r="I250" s="115" t="n"/>
    </row>
    <row r="251" ht="16.5" customHeight="1" s="156">
      <c r="A251" s="22" t="n"/>
      <c r="B251" s="26" t="n"/>
      <c r="C251" s="107" t="n"/>
      <c r="E251" s="107" t="n"/>
      <c r="F251" s="107" t="n"/>
      <c r="I251" s="115" t="n"/>
    </row>
    <row r="252" ht="16.5" customHeight="1" s="156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</row>
    <row r="253" ht="18.75" customHeight="1" s="156">
      <c r="A253" s="109" t="inlineStr">
        <is>
          <t>品目コード</t>
        </is>
      </c>
      <c r="B253" s="110" t="n"/>
      <c r="C253" s="109" t="inlineStr">
        <is>
          <t>品目名１</t>
        </is>
      </c>
      <c r="D253" s="110" t="n"/>
      <c r="E253" s="110" t="n"/>
      <c r="F253" s="17" t="inlineStr">
        <is>
          <t>在庫場所</t>
        </is>
      </c>
      <c r="G253" s="109" t="inlineStr">
        <is>
          <t>出庫数量</t>
        </is>
      </c>
      <c r="H253" s="110" t="n"/>
      <c r="I253" s="109" t="inlineStr">
        <is>
          <t>バッチ必要数</t>
        </is>
      </c>
      <c r="J253" s="110" t="n"/>
    </row>
    <row r="254" ht="14.25" customHeight="1" s="156">
      <c r="A254" s="8" t="n"/>
      <c r="B254" s="18" t="n"/>
      <c r="C254" s="116" t="inlineStr">
        <is>
          <t>品目名２</t>
        </is>
      </c>
      <c r="D254" s="117" t="n"/>
      <c r="E254" s="18" t="n"/>
      <c r="F254" s="116" t="inlineStr">
        <is>
          <t>指図書備考</t>
        </is>
      </c>
      <c r="G254" s="117" t="n"/>
      <c r="H254" s="117" t="n"/>
      <c r="I254" s="117" t="n"/>
      <c r="J254" s="117" t="n"/>
    </row>
    <row r="255">
      <c r="A255" s="9" t="n"/>
      <c r="C255" s="137" t="n"/>
      <c r="D255" s="137" t="n"/>
      <c r="E255" s="137" t="n"/>
    </row>
    <row r="256" ht="14.25" customHeight="1" s="156">
      <c r="A256" s="107" t="inlineStr">
        <is>
          <t>J1JAZZA10818200</t>
        </is>
      </c>
      <c r="C256" s="107" t="inlineStr">
        <is>
          <t>@8FL28130 L1820</t>
        </is>
      </c>
      <c r="F256" s="27" t="inlineStr">
        <is>
          <t>V3J04</t>
        </is>
      </c>
      <c r="G256" s="161" t="n">
        <v>99.90000000000001</v>
      </c>
      <c r="I256" s="161" t="n">
        <v>0.999</v>
      </c>
    </row>
    <row r="257" ht="24.95" customHeight="1" s="156">
      <c r="A257" s="122" t="inlineStr">
        <is>
          <t>*J1JAZZA10818200*</t>
        </is>
      </c>
      <c r="C257" s="107" t="n"/>
      <c r="F257" s="107" t="n"/>
    </row>
    <row r="258" ht="14.25" customHeight="1" s="156">
      <c r="A258" s="107" t="inlineStr">
        <is>
          <t>J6DW0088</t>
        </is>
      </c>
      <c r="C258" s="107" t="inlineStr">
        <is>
          <t>LED-A592　602X275X166</t>
        </is>
      </c>
      <c r="F258" s="27" t="inlineStr">
        <is>
          <t>V3W04</t>
        </is>
      </c>
      <c r="G258" s="161" t="n">
        <v>3</v>
      </c>
      <c r="I258" s="161" t="n">
        <v>0.03</v>
      </c>
    </row>
    <row r="259" ht="24.95" customHeight="1" s="156">
      <c r="A259" s="122" t="inlineStr">
        <is>
          <t>*J6DW0088*</t>
        </is>
      </c>
      <c r="C259" s="107" t="inlineStr">
        <is>
          <t>L592×W275×H166</t>
        </is>
      </c>
      <c r="F259" s="107" t="n"/>
    </row>
    <row r="260" ht="14.25" customHeight="1" s="156">
      <c r="A260" s="107" t="inlineStr">
        <is>
          <t>J6XX0050</t>
        </is>
      </c>
      <c r="C260" s="107" t="inlineStr">
        <is>
          <t>(管理外)筋入ｸﾗﾌﾄ紙</t>
        </is>
      </c>
      <c r="F260" s="27" t="n"/>
      <c r="G260" s="161" t="n">
        <v>0.3</v>
      </c>
      <c r="I260" s="161" t="n">
        <v>0.003</v>
      </c>
    </row>
    <row r="261" ht="24.95" customHeight="1" s="156">
      <c r="A261" s="122" t="inlineStr">
        <is>
          <t>*J6XX0050*</t>
        </is>
      </c>
      <c r="C261" s="107" t="inlineStr">
        <is>
          <t>300＊100</t>
        </is>
      </c>
      <c r="F261" s="107" t="n"/>
    </row>
    <row r="262" ht="14.25" customHeight="1" s="156">
      <c r="A262" s="107" t="inlineStr">
        <is>
          <t>J6XX0051</t>
        </is>
      </c>
      <c r="C262" s="107" t="inlineStr">
        <is>
          <t>(管理外)LLDPE規格ｼｰﾄ0.02×950×100m</t>
        </is>
      </c>
      <c r="F262" s="27" t="n"/>
      <c r="G262" s="161" t="n">
        <v>0.3</v>
      </c>
      <c r="I262" s="161" t="n">
        <v>0.003</v>
      </c>
    </row>
    <row r="263" ht="24.95" customHeight="1" s="156">
      <c r="A263" s="122" t="inlineStr">
        <is>
          <t>*J6XX0051*</t>
        </is>
      </c>
      <c r="C263" s="107" t="inlineStr">
        <is>
          <t>0.02×950×100m</t>
        </is>
      </c>
      <c r="F263" s="107" t="n"/>
    </row>
    <row r="264" ht="14.25" customHeight="1" s="156">
      <c r="A264" s="107" t="n"/>
      <c r="C264" s="107" t="n"/>
      <c r="F264" s="27" t="n"/>
      <c r="G264" s="161" t="n"/>
      <c r="I264" s="161" t="n"/>
    </row>
    <row r="265" ht="24.95" customHeight="1" s="156" thickBot="1">
      <c r="A265" s="122" t="n"/>
      <c r="C265" s="107" t="n"/>
      <c r="F265" s="107" t="n"/>
    </row>
    <row r="266" ht="18" customFormat="1" customHeight="1" s="141">
      <c r="A266" s="28" t="inlineStr">
        <is>
          <t>温度換算</t>
        </is>
      </c>
      <c r="B266" s="29" t="inlineStr">
        <is>
          <t>L寸</t>
        </is>
      </c>
      <c r="C266" s="147" t="inlineStr">
        <is>
          <t>梱包箱</t>
        </is>
      </c>
      <c r="D266" s="162" t="n"/>
      <c r="E266" s="148" t="inlineStr">
        <is>
          <t>使用数</t>
        </is>
      </c>
      <c r="F266" s="31" t="inlineStr">
        <is>
          <t>作業者</t>
        </is>
      </c>
      <c r="G266" s="32" t="inlineStr">
        <is>
          <t>加工Lot</t>
        </is>
      </c>
      <c r="H266" s="129" t="inlineStr">
        <is>
          <t>箱数</t>
        </is>
      </c>
      <c r="I266" s="128" t="inlineStr">
        <is>
          <t>加工明細</t>
        </is>
      </c>
      <c r="J266" s="162" t="n"/>
    </row>
    <row r="267" ht="18" customFormat="1" customHeight="1" s="137">
      <c r="A267" s="34">
        <f>_xlfn.XLOOKUP(B231,[1]VFDB2!$A:$A,[1]VFDB2!$J:$J)</f>
        <v/>
      </c>
      <c r="B267" s="163">
        <f>D231</f>
        <v/>
      </c>
      <c r="C267" s="164">
        <f>_xlfn.XLOOKUP(B231,[1]VFDB2!$A:$A,[1]VFDB2!$Z:$Z)</f>
        <v/>
      </c>
      <c r="D267" s="165" t="n"/>
      <c r="E267" s="166">
        <f t="array" ref="E267">IFERROR(INDEX(_xlfn._xlws.FILTER([2]加工記録２!C:C,[2]加工記録２!U:U=B233),9),"")</f>
        <v/>
      </c>
      <c r="F267" s="167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168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169" t="n"/>
      <c r="I267" s="39" t="inlineStr">
        <is>
          <t>入庫日</t>
        </is>
      </c>
      <c r="J267" s="170">
        <f t="array" ref="J267:J272">IFERROR(INDEX(_xlfn._xlws.FILTER([2]加工記録２!P:P, [2]加工記録２!U:U=B233),_xlfn.SEQUENCE(6)),"")</f>
        <v/>
      </c>
    </row>
    <row r="268" ht="18" customFormat="1" customHeight="1" s="141">
      <c r="A268" s="44" t="inlineStr">
        <is>
          <t>+公差</t>
        </is>
      </c>
      <c r="B268" s="45" t="inlineStr">
        <is>
          <t>切断寸法</t>
        </is>
      </c>
      <c r="C268" s="171" t="n"/>
      <c r="D268" s="172" t="n"/>
      <c r="E268" s="119" t="n"/>
      <c r="F268" s="173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168" t="n"/>
      <c r="H268" s="169" t="n"/>
      <c r="I268" s="39" t="inlineStr">
        <is>
          <t>入庫数</t>
        </is>
      </c>
      <c r="J268" s="174" t="str"/>
      <c r="K268" s="47" t="n"/>
    </row>
    <row r="269" ht="18" customFormat="1" customHeight="1" s="137">
      <c r="A269" s="48">
        <f>_xlfn.XLOOKUP(B231,[1]VFDB2!$A:$A,[1]VFDB2!$L:$L)</f>
        <v/>
      </c>
      <c r="B269" s="175">
        <f>_xlfn.XLOOKUP(B231,[1]VFDB2!$A:$A,[1]VFDB2!$AC:$AC)</f>
        <v/>
      </c>
      <c r="C269" s="155" t="inlineStr">
        <is>
          <t>梱包
方法</t>
        </is>
      </c>
      <c r="D269" s="176">
        <f>_xlfn.XLOOKUP(B231,[1]VFDB2!$A:$A,[1]VFDB2!$W:$W)</f>
        <v/>
      </c>
      <c r="E269" s="177" t="n"/>
      <c r="F269" s="178" t="n"/>
      <c r="G269" s="168" t="n"/>
      <c r="H269" s="169" t="n"/>
      <c r="I269" s="39" t="inlineStr">
        <is>
          <t>使用基材数</t>
        </is>
      </c>
      <c r="J269" s="174" t="str"/>
      <c r="K269" s="50" t="n"/>
    </row>
    <row r="270" ht="18" customFormat="1" customHeight="1" s="141">
      <c r="A270" s="51" t="inlineStr">
        <is>
          <t>-公差</t>
        </is>
      </c>
      <c r="B270" s="52" t="inlineStr">
        <is>
          <t>取数</t>
        </is>
      </c>
      <c r="C270" s="179" t="n"/>
      <c r="D270" s="176">
        <f>_xlfn.XLOOKUP(B231,[1]VFDB2!$A:$A,[1]VFDB2!$R:$R)</f>
        <v/>
      </c>
      <c r="E270" s="177" t="n"/>
      <c r="F270" s="178" t="n"/>
      <c r="G270" s="168" t="n"/>
      <c r="H270" s="169" t="n"/>
      <c r="I270" s="39" t="inlineStr">
        <is>
          <t>製品不良</t>
        </is>
      </c>
      <c r="J270" s="174" t="str"/>
      <c r="K270" s="47" t="n"/>
    </row>
    <row r="271" ht="18" customFormat="1" customHeight="1" s="137" thickBot="1">
      <c r="A271" s="53">
        <f>_xlfn.XLOOKUP(B231,[1]VFDB2!$A:$A,[1]VFDB2!$K:$K)</f>
        <v/>
      </c>
      <c r="B271" s="54">
        <f>_xlfn.XLOOKUP(B231,[1]VFDB2!$A:$A,[1]VFDB2!$P:$P)</f>
        <v/>
      </c>
      <c r="C271" s="55" t="inlineStr">
        <is>
          <t>備考</t>
        </is>
      </c>
      <c r="D271" s="180">
        <f>_xlfn.XLOOKUP(B231,[1]VFDB2!$A:$A,[1]VFDB2!$V:$V)</f>
        <v/>
      </c>
      <c r="E271" s="181" t="n"/>
      <c r="F271" s="182" t="n"/>
      <c r="G271" s="183" t="n"/>
      <c r="H271" s="184" t="n"/>
      <c r="I271" s="39" t="inlineStr">
        <is>
          <t>基材不良</t>
        </is>
      </c>
      <c r="J271" s="185" t="str"/>
      <c r="K271" s="50" t="n"/>
    </row>
    <row r="272" ht="18" customFormat="1" customHeight="1" s="141" thickBot="1">
      <c r="A272" s="58" t="inlineStr">
        <is>
          <t>作業日</t>
        </is>
      </c>
      <c r="B272" s="59">
        <f t="array" ref="B272">IF(SUM(--(ISTEXT(B273:B283)*(B273:B283&lt;&gt;"")))=0,"計測Lot","計測Lot・加工数")</f>
        <v/>
      </c>
      <c r="C272" s="60" t="inlineStr">
        <is>
          <t>温度</t>
        </is>
      </c>
      <c r="D272" s="61" t="inlineStr">
        <is>
          <t>換算</t>
        </is>
      </c>
      <c r="E272" s="62" t="inlineStr">
        <is>
          <t>計測値</t>
        </is>
      </c>
      <c r="F272" s="63">
        <f t="array" ref="F272">IF(SUM(--(ISTEXT(B273:B283)*(B273:B283&lt;&gt;"")))=0,"記入不要","使用Lot")</f>
        <v/>
      </c>
      <c r="G272" s="64" t="inlineStr">
        <is>
          <t>加工数</t>
        </is>
      </c>
      <c r="H272" s="65" t="inlineStr">
        <is>
          <t>基材換算</t>
        </is>
      </c>
      <c r="I272" s="66" t="inlineStr">
        <is>
          <t>端材使用</t>
        </is>
      </c>
      <c r="J272" s="186" t="str"/>
      <c r="K272" s="47" t="n"/>
    </row>
    <row r="273" ht="18" customFormat="1" customHeight="1" s="137">
      <c r="A273" s="187">
        <f t="array" ref="A273:A283">IFERROR(INDEX(_xlfn._xlws.FILTER([2]加工記録２!$D:$D,[2]加工記録２!$U:$U=B233),_xlfn.SEQUENCE(11),0),"")</f>
        <v/>
      </c>
      <c r="B273" s="188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4" t="n"/>
      <c r="D273" s="189" t="n"/>
      <c r="E273" s="190" t="n"/>
      <c r="F273" s="191" t="n"/>
      <c r="G273" s="192" t="n"/>
      <c r="H273" s="193" t="n"/>
      <c r="I273" s="194" t="inlineStr">
        <is>
          <t>不良内訳</t>
        </is>
      </c>
      <c r="J273" s="195" t="n"/>
      <c r="K273" s="80" t="n"/>
    </row>
    <row r="274" ht="18" customFormat="1" customHeight="1" s="141">
      <c r="A274" s="196" t="str"/>
      <c r="B274" s="72" t="str"/>
      <c r="C274" s="197" t="n"/>
      <c r="D274" s="198" t="n"/>
      <c r="E274" s="199" t="n"/>
      <c r="F274" s="200" t="n"/>
      <c r="G274" s="197" t="n"/>
      <c r="H274" s="201" t="n"/>
      <c r="I274" s="86" t="inlineStr">
        <is>
          <t>キズ</t>
        </is>
      </c>
      <c r="J274" s="201">
        <f t="array" ref="J274:J283">IFERROR(INDEX(_xlfn._xlws.FILTER([2]加工記録２!R:R, [2]加工記録２!U:U=B233),_xlfn.SEQUENCE(10)),"")</f>
        <v/>
      </c>
      <c r="K274" s="80" t="n"/>
    </row>
    <row r="275" ht="18.95" customFormat="1" customHeight="1" s="91">
      <c r="A275" s="202" t="str"/>
      <c r="B275" s="72" t="str"/>
      <c r="C275" s="197" t="n"/>
      <c r="D275" s="198" t="n"/>
      <c r="E275" s="199" t="n"/>
      <c r="F275" s="200" t="n"/>
      <c r="G275" s="197" t="n"/>
      <c r="H275" s="201" t="n"/>
      <c r="I275" s="86" t="inlineStr">
        <is>
          <t>凹み</t>
        </is>
      </c>
      <c r="J275" s="201" t="str"/>
      <c r="K275" s="89" t="n"/>
      <c r="L275" s="90" t="n"/>
      <c r="M275" s="90" t="n"/>
      <c r="N275" s="90" t="n"/>
    </row>
    <row r="276" ht="18.95" customFormat="1" customHeight="1" s="94">
      <c r="A276" s="202" t="str"/>
      <c r="B276" s="72" t="str"/>
      <c r="C276" s="197" t="n"/>
      <c r="D276" s="198" t="n"/>
      <c r="E276" s="199" t="n"/>
      <c r="F276" s="200" t="n"/>
      <c r="G276" s="197" t="n"/>
      <c r="H276" s="201" t="n"/>
      <c r="I276" s="86" t="inlineStr">
        <is>
          <t>異物</t>
        </is>
      </c>
      <c r="J276" s="201" t="str"/>
      <c r="K276" s="92" t="n"/>
      <c r="L276" s="93" t="n"/>
      <c r="M276" s="93" t="n"/>
      <c r="N276" s="93" t="n"/>
    </row>
    <row r="277" ht="18.95" customFormat="1" customHeight="1" s="94">
      <c r="A277" s="202" t="str"/>
      <c r="B277" s="72" t="str"/>
      <c r="C277" s="197" t="n"/>
      <c r="D277" s="198" t="n"/>
      <c r="E277" s="199" t="n"/>
      <c r="F277" s="200" t="n"/>
      <c r="G277" s="197" t="n"/>
      <c r="H277" s="201" t="n"/>
      <c r="I277" s="86" t="inlineStr">
        <is>
          <t>欠け</t>
        </is>
      </c>
      <c r="J277" s="201" t="str"/>
      <c r="K277" s="92" t="n"/>
      <c r="L277" s="93" t="n"/>
      <c r="M277" s="93" t="n"/>
      <c r="N277" s="93" t="n"/>
    </row>
    <row r="278" ht="18.95" customFormat="1" customHeight="1" s="94">
      <c r="A278" s="202" t="str"/>
      <c r="B278" s="72" t="str"/>
      <c r="C278" s="197" t="n"/>
      <c r="D278" s="198" t="n"/>
      <c r="E278" s="199" t="n"/>
      <c r="F278" s="200" t="n"/>
      <c r="G278" s="197" t="n"/>
      <c r="H278" s="201" t="n"/>
      <c r="I278" s="86" t="inlineStr">
        <is>
          <t>メヤニ</t>
        </is>
      </c>
      <c r="J278" s="201" t="str"/>
      <c r="K278" s="92" t="n"/>
      <c r="L278" s="93" t="n"/>
      <c r="M278" s="93" t="n"/>
      <c r="N278" s="93" t="n"/>
    </row>
    <row r="279" ht="18.95" customFormat="1" customHeight="1" s="94">
      <c r="A279" s="202" t="str"/>
      <c r="B279" s="72" t="str"/>
      <c r="C279" s="197" t="n"/>
      <c r="D279" s="198" t="n"/>
      <c r="E279" s="199" t="n"/>
      <c r="F279" s="200" t="n"/>
      <c r="G279" s="197" t="n"/>
      <c r="H279" s="201" t="n"/>
      <c r="I279" s="86" t="inlineStr">
        <is>
          <t>ベコツキ</t>
        </is>
      </c>
      <c r="J279" s="201" t="str"/>
      <c r="K279" s="92" t="n"/>
      <c r="L279" s="93" t="n"/>
      <c r="M279" s="93" t="n"/>
      <c r="N279" s="93" t="n"/>
    </row>
    <row r="280" ht="18.95" customFormat="1" customHeight="1" s="94">
      <c r="A280" s="202" t="str"/>
      <c r="B280" s="72" t="str"/>
      <c r="C280" s="197" t="n"/>
      <c r="D280" s="198" t="n"/>
      <c r="E280" s="199" t="n"/>
      <c r="F280" s="200" t="n"/>
      <c r="G280" s="197" t="n"/>
      <c r="H280" s="201" t="n"/>
      <c r="I280" s="95" t="inlineStr">
        <is>
          <t>汚損</t>
        </is>
      </c>
      <c r="J280" s="201" t="str"/>
      <c r="K280" s="92" t="n"/>
      <c r="L280" s="93" t="n"/>
      <c r="M280" s="93" t="n"/>
      <c r="N280" s="93" t="n"/>
    </row>
    <row r="281" ht="18.95" customFormat="1" customHeight="1" s="94">
      <c r="A281" s="202" t="str"/>
      <c r="B281" s="72" t="str"/>
      <c r="C281" s="197" t="n"/>
      <c r="D281" s="198" t="n"/>
      <c r="E281" s="199" t="n"/>
      <c r="F281" s="200" t="n"/>
      <c r="G281" s="197" t="n"/>
      <c r="H281" s="201" t="n"/>
      <c r="I281" s="95" t="inlineStr">
        <is>
          <t>形状異常</t>
        </is>
      </c>
      <c r="J281" s="201" t="str"/>
      <c r="K281" s="92" t="n"/>
      <c r="L281" s="93" t="n"/>
      <c r="M281" s="93" t="n"/>
      <c r="N281" s="93" t="n"/>
    </row>
    <row r="282" ht="18.95" customFormat="1" customHeight="1" s="94">
      <c r="A282" s="202" t="str"/>
      <c r="B282" s="72" t="str"/>
      <c r="C282" s="197" t="n"/>
      <c r="D282" s="198" t="n"/>
      <c r="E282" s="199" t="n"/>
      <c r="F282" s="200" t="n"/>
      <c r="G282" s="197" t="n"/>
      <c r="H282" s="201" t="n"/>
      <c r="I282" s="86" t="inlineStr">
        <is>
          <t>その他</t>
        </is>
      </c>
      <c r="J282" s="203" t="str"/>
      <c r="K282" s="92" t="n"/>
      <c r="L282" s="93" t="n"/>
      <c r="M282" s="93" t="n"/>
      <c r="N282" s="93" t="n"/>
    </row>
    <row r="283" ht="18.95" customFormat="1" customHeight="1" s="94" thickBot="1">
      <c r="A283" s="204" t="str"/>
      <c r="B283" s="73" t="str"/>
      <c r="C283" s="205" t="n"/>
      <c r="D283" s="206" t="n"/>
      <c r="E283" s="207" t="n"/>
      <c r="F283" s="208" t="n"/>
      <c r="G283" s="209" t="n"/>
      <c r="H283" s="210" t="n"/>
      <c r="I283" s="102" t="inlineStr">
        <is>
          <t>合計</t>
        </is>
      </c>
      <c r="J283" s="211" t="str"/>
      <c r="K283" s="92" t="n"/>
      <c r="L283" s="93" t="n"/>
      <c r="M283" s="93" t="n"/>
      <c r="N283" s="93" t="n"/>
    </row>
    <row r="284" ht="6" customHeight="1" s="156" thickBot="1">
      <c r="A284" s="103" t="n"/>
      <c r="B284" s="104" t="n"/>
      <c r="C284" s="104" t="n"/>
      <c r="D284" s="103" t="n"/>
      <c r="E284" s="104" t="n"/>
      <c r="F284" s="104" t="n"/>
      <c r="G284" s="104" t="n"/>
      <c r="H284" s="104" t="n"/>
    </row>
    <row r="285" ht="6" customHeight="1" s="156" thickTop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</row>
    <row r="286" ht="14.25" customHeight="1" s="156">
      <c r="A286" s="11" t="n"/>
      <c r="B286" s="125" t="inlineStr">
        <is>
          <t>検査梱包指示書</t>
        </is>
      </c>
      <c r="E286" s="11" t="n"/>
      <c r="F286" s="11" t="n"/>
      <c r="G286" s="11" t="n"/>
      <c r="H286" s="11" t="n"/>
      <c r="I286" s="11" t="n"/>
      <c r="J286" s="11" t="n"/>
    </row>
    <row r="287" ht="14.25" customHeight="1" s="156">
      <c r="A287" s="12" t="n"/>
      <c r="E287" s="12" t="n"/>
      <c r="F287" s="12" t="n"/>
      <c r="G287" s="12" t="n"/>
      <c r="H287" s="12" t="n"/>
      <c r="I287" s="12" t="n"/>
      <c r="J287" s="12" t="n"/>
    </row>
    <row r="288" ht="14.25" customHeight="1" s="156">
      <c r="A288" s="112" t="inlineStr">
        <is>
          <t>品目番号</t>
        </is>
      </c>
      <c r="B288" s="112" t="inlineStr">
        <is>
          <t>J1JAZZB10805920</t>
        </is>
      </c>
      <c r="C288" s="112" t="inlineStr">
        <is>
          <t>Ｌ寸</t>
        </is>
      </c>
      <c r="D288" s="157" t="n">
        <v>592</v>
      </c>
      <c r="E288" s="112" t="inlineStr">
        <is>
          <t>名称</t>
        </is>
      </c>
      <c r="F288" s="123" t="inlineStr">
        <is>
          <t>8FL2813044910</t>
        </is>
      </c>
      <c r="I288" s="24" t="inlineStr">
        <is>
          <t>上長</t>
        </is>
      </c>
      <c r="J288" s="24" t="inlineStr">
        <is>
          <t>係員</t>
        </is>
      </c>
    </row>
    <row r="289" ht="14.25" customHeight="1" s="156">
      <c r="I289" s="105" t="n"/>
      <c r="J289" s="105" t="n"/>
    </row>
    <row r="290" ht="17.45" customHeight="1" s="156">
      <c r="A290" s="111" t="inlineStr">
        <is>
          <t>製造指図№</t>
        </is>
      </c>
      <c r="B290" s="111" t="inlineStr">
        <is>
          <t>000000000014578</t>
        </is>
      </c>
      <c r="E290" s="111" t="inlineStr">
        <is>
          <t>原料名</t>
        </is>
      </c>
      <c r="F290" s="140" t="inlineStr">
        <is>
          <t>(CASE 592MILK-W4)</t>
        </is>
      </c>
      <c r="I290" s="106" t="n"/>
      <c r="J290" s="106" t="n"/>
    </row>
    <row r="291" ht="17.45" customHeight="1" s="156">
      <c r="I291" s="13" t="n"/>
      <c r="J291" s="13" t="n"/>
    </row>
    <row r="292" ht="17.45" customHeight="1" s="156">
      <c r="A292" s="111" t="inlineStr">
        <is>
          <t>発注明細№</t>
        </is>
      </c>
      <c r="B292" s="111" t="inlineStr">
        <is>
          <t>000000000855914</t>
        </is>
      </c>
      <c r="E292" s="2" t="inlineStr">
        <is>
          <t>色　名</t>
        </is>
      </c>
      <c r="F292" s="140" t="inlineStr">
        <is>
          <t>J6VZ034</t>
        </is>
      </c>
      <c r="H292" s="21" t="n"/>
      <c r="I292" s="13" t="n"/>
      <c r="J292" s="13" t="n"/>
    </row>
    <row r="293" ht="17.45" customHeight="1" s="156">
      <c r="E293" s="2" t="inlineStr">
        <is>
          <t>製品Grp</t>
        </is>
      </c>
      <c r="F293" s="21" t="inlineStr">
        <is>
          <t>J1ZB</t>
        </is>
      </c>
      <c r="G293" s="21" t="n"/>
      <c r="H293" s="21" t="n"/>
      <c r="I293" s="14" t="n"/>
      <c r="J293" s="14" t="n"/>
    </row>
    <row r="294" ht="17.45" customHeight="1" s="156">
      <c r="A294" s="2" t="inlineStr">
        <is>
          <t>開始日</t>
        </is>
      </c>
      <c r="B294" s="158" t="n">
        <v>46184</v>
      </c>
      <c r="E294" s="2" t="inlineStr">
        <is>
          <t>入り数</t>
        </is>
      </c>
      <c r="F294" s="159" t="n">
        <v>100</v>
      </c>
      <c r="H294" s="21" t="n"/>
    </row>
    <row r="295" ht="17.45" customHeight="1" s="156">
      <c r="A295" s="2" t="inlineStr">
        <is>
          <t>終了日</t>
        </is>
      </c>
      <c r="B295" s="158" t="n">
        <v>46184</v>
      </c>
      <c r="E295" s="2" t="inlineStr">
        <is>
          <t>梱包数</t>
        </is>
      </c>
      <c r="F295" s="21" t="n">
        <v>3</v>
      </c>
      <c r="G295" s="143" t="inlineStr">
        <is>
          <t>指示数量</t>
        </is>
      </c>
      <c r="H295" s="160" t="n">
        <v>300</v>
      </c>
      <c r="I295" s="133" t="n"/>
      <c r="J295" s="134" t="n"/>
    </row>
    <row r="296" ht="17.45" customHeight="1" s="156">
      <c r="A296" s="19" t="n"/>
      <c r="B296" s="127" t="n"/>
      <c r="C296" s="127" t="n"/>
      <c r="D296" s="127" t="n"/>
      <c r="E296" s="2" t="inlineStr">
        <is>
          <t>金　型</t>
        </is>
      </c>
      <c r="F296" s="21" t="inlineStr">
        <is>
          <t>4350</t>
        </is>
      </c>
      <c r="G296" s="135" t="n"/>
      <c r="H296" s="135" t="n"/>
      <c r="I296" s="117" t="n"/>
      <c r="J296" s="136" t="n"/>
    </row>
    <row r="297" ht="13.5" customHeight="1" s="156">
      <c r="A297" s="127" t="inlineStr">
        <is>
          <t>*J1JAZZB10805920*</t>
        </is>
      </c>
      <c r="D297" s="127" t="n"/>
      <c r="F297" s="3" t="n"/>
      <c r="G297" s="126" t="inlineStr">
        <is>
          <t>格納先</t>
        </is>
      </c>
      <c r="H297" s="118" t="inlineStr">
        <is>
          <t>V3J03</t>
        </is>
      </c>
      <c r="I297" s="138" t="inlineStr">
        <is>
          <t>樹脂第3倉庫 (在庫)</t>
        </is>
      </c>
      <c r="J297" s="139" t="n"/>
    </row>
    <row r="298" ht="13.5" customHeight="1" s="156">
      <c r="D298" s="127" t="n"/>
      <c r="F298" s="3" t="n"/>
      <c r="G298" s="119" t="n"/>
      <c r="H298" s="119" t="n"/>
      <c r="I298" s="117" t="n"/>
      <c r="J298" s="136" t="n"/>
    </row>
    <row r="299" ht="13.5" customHeight="1" s="156">
      <c r="A299" s="108" t="inlineStr">
        <is>
          <t>指図書備考</t>
        </is>
      </c>
    </row>
    <row r="300" ht="63" customHeight="1" s="156">
      <c r="A300" s="130" t="n"/>
      <c r="B300" s="131" t="n"/>
      <c r="C300" s="131" t="n"/>
      <c r="D300" s="131" t="n"/>
      <c r="E300" s="131" t="n"/>
      <c r="F300" s="131" t="n"/>
      <c r="G300" s="131" t="n"/>
      <c r="H300" s="131" t="n"/>
      <c r="I300" s="131" t="n"/>
      <c r="J300" s="131" t="n"/>
    </row>
    <row r="301" ht="18.75" customHeight="1" s="156">
      <c r="A301" s="23" t="inlineStr">
        <is>
          <t>工順</t>
        </is>
      </c>
      <c r="B301" s="16" t="inlineStr">
        <is>
          <t>製造場所</t>
        </is>
      </c>
      <c r="C301" s="120" t="inlineStr">
        <is>
          <t>製造場所名</t>
        </is>
      </c>
      <c r="D301" s="121" t="n"/>
      <c r="E301" s="16" t="inlineStr">
        <is>
          <t>工程</t>
        </is>
      </c>
      <c r="F301" s="120" t="inlineStr">
        <is>
          <t>工程名</t>
        </is>
      </c>
      <c r="G301" s="121" t="n"/>
      <c r="H301" s="121" t="n"/>
      <c r="I301" s="124" t="inlineStr">
        <is>
          <t>作業時間</t>
        </is>
      </c>
      <c r="J301" s="121" t="n"/>
    </row>
    <row r="302" ht="14.25" customHeight="1" s="156">
      <c r="A302" s="141" t="n"/>
      <c r="B302" s="141" t="n"/>
      <c r="C302" s="141" t="n"/>
      <c r="D302" s="141" t="n"/>
      <c r="E302" s="141" t="n"/>
      <c r="F302" s="141" t="n"/>
      <c r="G302" s="141" t="n"/>
      <c r="H302" s="141" t="n"/>
      <c r="I302" s="141" t="n"/>
      <c r="J302" s="141" t="n"/>
    </row>
    <row r="303" ht="16.5" customHeight="1" s="156">
      <c r="A303" s="22" t="n">
        <v>1</v>
      </c>
      <c r="B303" s="107" t="inlineStr">
        <is>
          <t>V3Z01</t>
        </is>
      </c>
      <c r="C303" s="107" t="inlineStr">
        <is>
          <t>黒部工業</t>
        </is>
      </c>
      <c r="E303" s="107" t="inlineStr">
        <is>
          <t>V3P05</t>
        </is>
      </c>
      <c r="F303" s="107" t="inlineStr">
        <is>
          <t>切断</t>
        </is>
      </c>
      <c r="I303" s="115" t="n"/>
    </row>
    <row r="304" ht="16.5" customHeight="1" s="156">
      <c r="A304" s="22" t="n">
        <v>1</v>
      </c>
      <c r="B304" s="26" t="inlineStr">
        <is>
          <t>V3Z01</t>
        </is>
      </c>
      <c r="C304" s="107" t="inlineStr">
        <is>
          <t>黒部工業</t>
        </is>
      </c>
      <c r="E304" s="107" t="inlineStr">
        <is>
          <t>V3P16</t>
        </is>
      </c>
      <c r="F304" s="107" t="inlineStr">
        <is>
          <t>検査・梱包</t>
        </is>
      </c>
      <c r="I304" s="115" t="n"/>
    </row>
    <row r="305" ht="16.5" customHeight="1" s="156">
      <c r="A305" s="22" t="n"/>
      <c r="B305" s="26" t="n"/>
      <c r="C305" s="107" t="n"/>
      <c r="E305" s="107" t="n"/>
      <c r="F305" s="107" t="n"/>
      <c r="I305" s="115" t="n"/>
    </row>
    <row r="306" ht="16.5" customHeight="1" s="156">
      <c r="A306" s="22" t="n"/>
      <c r="B306" s="26" t="n"/>
      <c r="C306" s="107" t="n"/>
      <c r="E306" s="107" t="n"/>
      <c r="F306" s="107" t="n"/>
      <c r="I306" s="115" t="n"/>
    </row>
    <row r="307" ht="16.5" customHeight="1" s="156">
      <c r="A307" s="22" t="n"/>
      <c r="B307" s="26" t="n"/>
      <c r="C307" s="107" t="n"/>
      <c r="E307" s="107" t="n"/>
      <c r="F307" s="107" t="n"/>
      <c r="I307" s="115" t="n"/>
    </row>
    <row r="308" ht="16.5" customHeight="1" s="156">
      <c r="A308" s="22" t="n"/>
      <c r="B308" s="26" t="n"/>
      <c r="C308" s="107" t="n"/>
      <c r="E308" s="107" t="n"/>
      <c r="F308" s="107" t="n"/>
      <c r="I308" s="115" t="n"/>
    </row>
    <row r="309" ht="16.5" customHeight="1" s="156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</row>
    <row r="310" ht="18.75" customHeight="1" s="156">
      <c r="A310" s="109" t="inlineStr">
        <is>
          <t>品目コード</t>
        </is>
      </c>
      <c r="B310" s="110" t="n"/>
      <c r="C310" s="109" t="inlineStr">
        <is>
          <t>品目名１</t>
        </is>
      </c>
      <c r="D310" s="110" t="n"/>
      <c r="E310" s="110" t="n"/>
      <c r="F310" s="17" t="inlineStr">
        <is>
          <t>在庫場所</t>
        </is>
      </c>
      <c r="G310" s="109" t="inlineStr">
        <is>
          <t>出庫数量</t>
        </is>
      </c>
      <c r="H310" s="110" t="n"/>
      <c r="I310" s="109" t="inlineStr">
        <is>
          <t>バッチ必要数</t>
        </is>
      </c>
      <c r="J310" s="110" t="n"/>
    </row>
    <row r="311" ht="14.25" customHeight="1" s="156">
      <c r="A311" s="8" t="n"/>
      <c r="B311" s="18" t="n"/>
      <c r="C311" s="116" t="inlineStr">
        <is>
          <t>品目名２</t>
        </is>
      </c>
      <c r="D311" s="117" t="n"/>
      <c r="E311" s="18" t="n"/>
      <c r="F311" s="116" t="inlineStr">
        <is>
          <t>指図書備考</t>
        </is>
      </c>
      <c r="G311" s="117" t="n"/>
      <c r="H311" s="117" t="n"/>
      <c r="I311" s="117" t="n"/>
      <c r="J311" s="117" t="n"/>
    </row>
    <row r="312">
      <c r="A312" s="9" t="n"/>
      <c r="C312" s="137" t="n"/>
      <c r="D312" s="137" t="n"/>
      <c r="E312" s="137" t="n"/>
    </row>
    <row r="313" ht="14.25" customHeight="1" s="156">
      <c r="A313" s="107" t="inlineStr">
        <is>
          <t>J1JAZZA10818200</t>
        </is>
      </c>
      <c r="C313" s="107" t="inlineStr">
        <is>
          <t>@8FL28130 L1820</t>
        </is>
      </c>
      <c r="F313" s="27" t="inlineStr">
        <is>
          <t>V3J04</t>
        </is>
      </c>
      <c r="G313" s="161" t="n">
        <v>99.90000000000001</v>
      </c>
      <c r="I313" s="161" t="n">
        <v>0.999</v>
      </c>
    </row>
    <row r="314" ht="24.95" customHeight="1" s="156">
      <c r="A314" s="122" t="inlineStr">
        <is>
          <t>*J1JAZZA10818200*</t>
        </is>
      </c>
      <c r="C314" s="107" t="n"/>
      <c r="F314" s="107" t="n"/>
    </row>
    <row r="315" ht="14.25" customHeight="1" s="156">
      <c r="A315" s="107" t="inlineStr">
        <is>
          <t>J6DW0088</t>
        </is>
      </c>
      <c r="C315" s="107" t="inlineStr">
        <is>
          <t>LED-A592　602X275X166</t>
        </is>
      </c>
      <c r="F315" s="27" t="inlineStr">
        <is>
          <t>V3W04</t>
        </is>
      </c>
      <c r="G315" s="161" t="n">
        <v>3</v>
      </c>
      <c r="I315" s="161" t="n">
        <v>0.03</v>
      </c>
    </row>
    <row r="316" ht="24.95" customHeight="1" s="156">
      <c r="A316" s="122" t="inlineStr">
        <is>
          <t>*J6DW0088*</t>
        </is>
      </c>
      <c r="C316" s="107" t="inlineStr">
        <is>
          <t>L592×W275×H166</t>
        </is>
      </c>
      <c r="F316" s="107" t="n"/>
    </row>
    <row r="317" ht="14.25" customHeight="1" s="156">
      <c r="A317" s="107" t="inlineStr">
        <is>
          <t>J6XX0050</t>
        </is>
      </c>
      <c r="C317" s="107" t="inlineStr">
        <is>
          <t>(管理外)筋入ｸﾗﾌﾄ紙</t>
        </is>
      </c>
      <c r="F317" s="27" t="n"/>
      <c r="G317" s="161" t="n">
        <v>0.3</v>
      </c>
      <c r="I317" s="161" t="n">
        <v>0.003</v>
      </c>
    </row>
    <row r="318" ht="24.95" customHeight="1" s="156">
      <c r="A318" s="122" t="inlineStr">
        <is>
          <t>*J6XX0050*</t>
        </is>
      </c>
      <c r="C318" s="107" t="inlineStr">
        <is>
          <t>300＊100</t>
        </is>
      </c>
      <c r="F318" s="107" t="n"/>
    </row>
    <row r="319" ht="14.25" customHeight="1" s="156">
      <c r="A319" s="107" t="inlineStr">
        <is>
          <t>J6XX0051</t>
        </is>
      </c>
      <c r="C319" s="107" t="inlineStr">
        <is>
          <t>(管理外)LLDPE規格ｼｰﾄ0.02×950×100m</t>
        </is>
      </c>
      <c r="F319" s="27" t="n"/>
      <c r="G319" s="161" t="n">
        <v>0.3</v>
      </c>
      <c r="I319" s="161" t="n">
        <v>0.003</v>
      </c>
    </row>
    <row r="320" ht="24.95" customHeight="1" s="156">
      <c r="A320" s="122" t="inlineStr">
        <is>
          <t>*J6XX0051*</t>
        </is>
      </c>
      <c r="C320" s="107" t="inlineStr">
        <is>
          <t>0.02×950×100m</t>
        </is>
      </c>
      <c r="F320" s="107" t="n"/>
    </row>
    <row r="321" ht="14.25" customHeight="1" s="156">
      <c r="A321" s="107" t="n"/>
      <c r="C321" s="107" t="n"/>
      <c r="F321" s="27" t="n"/>
      <c r="G321" s="161" t="n"/>
      <c r="I321" s="161" t="n"/>
    </row>
    <row r="322" ht="24.95" customHeight="1" s="156" thickBot="1">
      <c r="A322" s="122" t="n"/>
      <c r="C322" s="107" t="n"/>
      <c r="F322" s="107" t="n"/>
    </row>
    <row r="323" ht="18" customFormat="1" customHeight="1" s="141">
      <c r="A323" s="28" t="inlineStr">
        <is>
          <t>温度換算</t>
        </is>
      </c>
      <c r="B323" s="29" t="inlineStr">
        <is>
          <t>L寸</t>
        </is>
      </c>
      <c r="C323" s="147" t="inlineStr">
        <is>
          <t>梱包箱</t>
        </is>
      </c>
      <c r="D323" s="162" t="n"/>
      <c r="E323" s="148" t="inlineStr">
        <is>
          <t>使用数</t>
        </is>
      </c>
      <c r="F323" s="31" t="inlineStr">
        <is>
          <t>作業者</t>
        </is>
      </c>
      <c r="G323" s="32" t="inlineStr">
        <is>
          <t>加工Lot</t>
        </is>
      </c>
      <c r="H323" s="129" t="inlineStr">
        <is>
          <t>箱数</t>
        </is>
      </c>
      <c r="I323" s="128" t="inlineStr">
        <is>
          <t>加工明細</t>
        </is>
      </c>
      <c r="J323" s="162" t="n"/>
    </row>
    <row r="324" ht="18" customFormat="1" customHeight="1" s="137">
      <c r="A324" s="34" t="inlineStr">
        <is>
          <t>〇</t>
        </is>
      </c>
      <c r="B324" s="163" t="n">
        <v>592</v>
      </c>
      <c r="C324" s="164" t="inlineStr">
        <is>
          <t>LED-A592</t>
        </is>
      </c>
      <c r="D324" s="165" t="n"/>
      <c r="E324" s="166" t="n">
        <v>3</v>
      </c>
      <c r="F324" s="167" t="inlineStr">
        <is>
          <t xml:space="preserve">切断加工：I / </t>
        </is>
      </c>
      <c r="G324" s="168" t="n">
        <v>46181</v>
      </c>
      <c r="H324" s="169" t="n">
        <v>1</v>
      </c>
      <c r="I324" s="39" t="inlineStr">
        <is>
          <t>入庫日</t>
        </is>
      </c>
      <c r="J324" s="170" t="n">
        <v>46182</v>
      </c>
    </row>
    <row r="325" ht="18" customFormat="1" customHeight="1" s="141">
      <c r="A325" s="44" t="inlineStr">
        <is>
          <t>+公差</t>
        </is>
      </c>
      <c r="B325" s="45" t="inlineStr">
        <is>
          <t>切断寸法</t>
        </is>
      </c>
      <c r="C325" s="171" t="n"/>
      <c r="D325" s="172" t="n"/>
      <c r="E325" s="119" t="n"/>
      <c r="F325" s="173" t="inlineStr">
        <is>
          <t>外観検査：U / T</t>
        </is>
      </c>
      <c r="G325" s="168" t="n">
        <v>46182</v>
      </c>
      <c r="H325" s="169" t="n">
        <v>2</v>
      </c>
      <c r="I325" s="39" t="inlineStr">
        <is>
          <t>入庫数</t>
        </is>
      </c>
      <c r="J325" s="174" t="n">
        <v>300</v>
      </c>
      <c r="K325" s="47" t="n"/>
    </row>
    <row r="326" ht="18" customFormat="1" customHeight="1" s="137">
      <c r="A326" s="48" t="n">
        <v>0.5</v>
      </c>
      <c r="B326" s="175" t="inlineStr">
        <is>
          <t>換算表確認</t>
        </is>
      </c>
      <c r="C326" s="155" t="inlineStr">
        <is>
          <t>梱包
方法</t>
        </is>
      </c>
      <c r="D326" s="176" t="inlineStr">
        <is>
          <t>クラフト紙：592型</t>
        </is>
      </c>
      <c r="E326" s="177" t="n"/>
      <c r="F326" s="178" t="n"/>
      <c r="G326" s="168" t="n"/>
      <c r="H326" s="169" t="n"/>
      <c r="I326" s="39" t="inlineStr">
        <is>
          <t>使用基材数</t>
        </is>
      </c>
      <c r="J326" s="174" t="n">
        <v>100.3333333333333</v>
      </c>
      <c r="K326" s="50" t="n"/>
    </row>
    <row r="327" ht="18" customFormat="1" customHeight="1" s="141">
      <c r="A327" s="51" t="inlineStr">
        <is>
          <t>-公差</t>
        </is>
      </c>
      <c r="B327" s="52" t="inlineStr">
        <is>
          <t>取数</t>
        </is>
      </c>
      <c r="C327" s="179" t="n"/>
      <c r="D327" s="176" t="inlineStr">
        <is>
          <t>ラベル１枚　長手無　鉢巻１回</t>
        </is>
      </c>
      <c r="E327" s="177" t="n"/>
      <c r="F327" s="178" t="n"/>
      <c r="G327" s="168" t="n"/>
      <c r="H327" s="169" t="n"/>
      <c r="I327" s="39" t="inlineStr">
        <is>
          <t>製品不良</t>
        </is>
      </c>
      <c r="J327" s="174" t="n">
        <v>1</v>
      </c>
      <c r="K327" s="47" t="n"/>
    </row>
    <row r="328" ht="18" customFormat="1" customHeight="1" s="137" thickBot="1">
      <c r="A328" s="53" t="n">
        <v>-0.5</v>
      </c>
      <c r="B328" s="54" t="n">
        <v>3</v>
      </c>
      <c r="C328" s="55" t="inlineStr">
        <is>
          <t>備考</t>
        </is>
      </c>
      <c r="D328" s="180" t="inlineStr">
        <is>
          <t>1箱目の梱包数 目視確認　以降、重量測定</t>
        </is>
      </c>
      <c r="E328" s="181" t="n"/>
      <c r="F328" s="182" t="n"/>
      <c r="G328" s="183" t="n"/>
      <c r="H328" s="184" t="n"/>
      <c r="I328" s="39" t="inlineStr">
        <is>
          <t>基材不良</t>
        </is>
      </c>
      <c r="J328" s="185" t="n">
        <v>0.3333333333333333</v>
      </c>
      <c r="K328" s="50" t="n"/>
    </row>
    <row r="329" ht="18" customFormat="1" customHeight="1" s="141" thickBot="1">
      <c r="A329" s="58" t="inlineStr">
        <is>
          <t>作業日</t>
        </is>
      </c>
      <c r="B329" s="59">
        <f t="array" ref="B329">IF(SUM(--(ISTEXT(B330:B340)*(B330:B340&lt;&gt;"")))=0,"計測Lot","計測Lot・加工数")</f>
        <v/>
      </c>
      <c r="C329" s="60" t="inlineStr">
        <is>
          <t>温度</t>
        </is>
      </c>
      <c r="D329" s="61" t="inlineStr">
        <is>
          <t>換算</t>
        </is>
      </c>
      <c r="E329" s="62" t="inlineStr">
        <is>
          <t>計測値</t>
        </is>
      </c>
      <c r="F329" s="63">
        <f t="array" ref="F329">IF(SUM(--(ISTEXT(B330:B340)*(B330:B340&lt;&gt;"")))=0,"記入不要","使用Lot")</f>
        <v/>
      </c>
      <c r="G329" s="64" t="inlineStr">
        <is>
          <t>加工数</t>
        </is>
      </c>
      <c r="H329" s="65" t="inlineStr">
        <is>
          <t>基材換算</t>
        </is>
      </c>
      <c r="I329" s="66" t="inlineStr">
        <is>
          <t>端材使用</t>
        </is>
      </c>
      <c r="J329" s="186" t="n">
        <v>0</v>
      </c>
      <c r="K329" s="47" t="n"/>
    </row>
    <row r="330" ht="18" customFormat="1" customHeight="1" s="137">
      <c r="A330" s="187" t="n">
        <v>46065</v>
      </c>
      <c r="B330" s="188" t="inlineStr">
        <is>
          <t>26A23-05 × 8</t>
        </is>
      </c>
      <c r="C330" s="74" t="n"/>
      <c r="D330" s="189" t="n"/>
      <c r="E330" s="190" t="n"/>
      <c r="F330" s="191" t="inlineStr">
        <is>
          <t>26A23-05</t>
        </is>
      </c>
      <c r="G330" s="192" t="n">
        <v>8</v>
      </c>
      <c r="H330" s="193" t="n">
        <v>2</v>
      </c>
      <c r="I330" s="194" t="inlineStr">
        <is>
          <t>不良内訳</t>
        </is>
      </c>
      <c r="J330" s="195" t="n"/>
      <c r="K330" s="80" t="n"/>
    </row>
    <row r="331" ht="18" customFormat="1" customHeight="1" s="141">
      <c r="A331" s="196" t="n">
        <v>46181</v>
      </c>
      <c r="B331" s="72" t="inlineStr">
        <is>
          <t>26E21-03</t>
        </is>
      </c>
      <c r="C331" s="197" t="n">
        <v>22</v>
      </c>
      <c r="D331" s="198" t="n">
        <v>591.58</v>
      </c>
      <c r="E331" s="199" t="n">
        <v>591.52</v>
      </c>
      <c r="F331" s="200" t="inlineStr">
        <is>
          <t>26E21-03</t>
        </is>
      </c>
      <c r="G331" s="197" t="n">
        <v>101</v>
      </c>
      <c r="H331" s="201" t="n">
        <v>33.66666666666666</v>
      </c>
      <c r="I331" s="86" t="inlineStr">
        <is>
          <t>キズ</t>
        </is>
      </c>
      <c r="J331" s="201" t="n">
        <v>1</v>
      </c>
      <c r="K331" s="80" t="n"/>
    </row>
    <row r="332" ht="18.95" customFormat="1" customHeight="1" s="91">
      <c r="A332" s="202" t="n">
        <v>46181</v>
      </c>
      <c r="B332" s="72" t="inlineStr">
        <is>
          <t>26E21-03 × 100</t>
        </is>
      </c>
      <c r="C332" s="197" t="n">
        <v>24</v>
      </c>
      <c r="D332" s="198" t="n">
        <v>591.65</v>
      </c>
      <c r="E332" s="199" t="n">
        <v>591.62</v>
      </c>
      <c r="F332" s="200" t="inlineStr">
        <is>
          <t>26E22-04</t>
        </is>
      </c>
      <c r="G332" s="197" t="n">
        <v>192</v>
      </c>
      <c r="H332" s="201" t="n">
        <v>64</v>
      </c>
      <c r="I332" s="86" t="inlineStr">
        <is>
          <t>凹み</t>
        </is>
      </c>
      <c r="J332" s="201" t="n"/>
      <c r="K332" s="89" t="n"/>
      <c r="L332" s="90" t="n"/>
      <c r="M332" s="90" t="n"/>
      <c r="N332" s="90" t="n"/>
    </row>
    <row r="333" ht="18.95" customFormat="1" customHeight="1" s="94">
      <c r="A333" s="202" t="n">
        <v>46181</v>
      </c>
      <c r="B333" s="72" t="inlineStr">
        <is>
          <t>26E22-04</t>
        </is>
      </c>
      <c r="C333" s="197" t="n">
        <v>24</v>
      </c>
      <c r="D333" s="198" t="n">
        <v>591.65</v>
      </c>
      <c r="E333" s="199" t="n">
        <v>591.65</v>
      </c>
      <c r="F333" s="200" t="n"/>
      <c r="G333" s="197" t="n">
        <v>0</v>
      </c>
      <c r="H333" s="201" t="n"/>
      <c r="I333" s="86" t="inlineStr">
        <is>
          <t>異物</t>
        </is>
      </c>
      <c r="J333" s="201" t="n"/>
      <c r="K333" s="92" t="n"/>
      <c r="L333" s="93" t="n"/>
      <c r="M333" s="93" t="n"/>
      <c r="N333" s="93" t="n"/>
    </row>
    <row r="334" ht="18.95" customFormat="1" customHeight="1" s="94">
      <c r="A334" s="202" t="n">
        <v>46181</v>
      </c>
      <c r="B334" s="72" t="inlineStr">
        <is>
          <t>26E22-04 × 192</t>
        </is>
      </c>
      <c r="C334" s="197" t="n">
        <v>24</v>
      </c>
      <c r="D334" s="198" t="n">
        <v>591.65</v>
      </c>
      <c r="E334" s="199" t="n">
        <v>591.6799999999999</v>
      </c>
      <c r="F334" s="200" t="n"/>
      <c r="G334" s="197" t="n">
        <v>0</v>
      </c>
      <c r="H334" s="201" t="n"/>
      <c r="I334" s="86" t="inlineStr">
        <is>
          <t>欠け</t>
        </is>
      </c>
      <c r="J334" s="201" t="n"/>
      <c r="K334" s="92" t="n"/>
      <c r="L334" s="93" t="n"/>
      <c r="M334" s="93" t="n"/>
      <c r="N334" s="93" t="n"/>
    </row>
    <row r="335" ht="18.95" customFormat="1" customHeight="1" s="94">
      <c r="A335" s="202" t="n"/>
      <c r="B335" s="72" t="inlineStr"/>
      <c r="C335" s="197" t="n"/>
      <c r="D335" s="198" t="n"/>
      <c r="E335" s="199" t="n"/>
      <c r="F335" s="200" t="n"/>
      <c r="G335" s="197" t="n">
        <v>0</v>
      </c>
      <c r="H335" s="201" t="n"/>
      <c r="I335" s="86" t="inlineStr">
        <is>
          <t>メヤニ</t>
        </is>
      </c>
      <c r="J335" s="201" t="n"/>
      <c r="K335" s="92" t="n"/>
      <c r="L335" s="93" t="n"/>
      <c r="M335" s="93" t="n"/>
      <c r="N335" s="93" t="n"/>
    </row>
    <row r="336" ht="18.95" customFormat="1" customHeight="1" s="94">
      <c r="A336" s="202" t="n"/>
      <c r="B336" s="72" t="inlineStr"/>
      <c r="C336" s="197" t="n"/>
      <c r="D336" s="198" t="n"/>
      <c r="E336" s="199" t="n"/>
      <c r="F336" s="200" t="n"/>
      <c r="G336" s="197" t="n">
        <v>0</v>
      </c>
      <c r="H336" s="201" t="n"/>
      <c r="I336" s="86" t="inlineStr">
        <is>
          <t>ベコツキ</t>
        </is>
      </c>
      <c r="J336" s="201" t="n"/>
      <c r="K336" s="92" t="n"/>
      <c r="L336" s="93" t="n"/>
      <c r="M336" s="93" t="n"/>
      <c r="N336" s="93" t="n"/>
    </row>
    <row r="337" ht="18.95" customFormat="1" customHeight="1" s="94">
      <c r="A337" s="202" t="n"/>
      <c r="B337" s="72" t="inlineStr"/>
      <c r="C337" s="197" t="n"/>
      <c r="D337" s="198" t="n"/>
      <c r="E337" s="199" t="n"/>
      <c r="F337" s="200" t="n"/>
      <c r="G337" s="197" t="n">
        <v>0</v>
      </c>
      <c r="H337" s="201" t="n"/>
      <c r="I337" s="95" t="inlineStr">
        <is>
          <t>汚損</t>
        </is>
      </c>
      <c r="J337" s="201" t="n"/>
      <c r="K337" s="92" t="n"/>
      <c r="L337" s="93" t="n"/>
      <c r="M337" s="93" t="n"/>
      <c r="N337" s="93" t="n"/>
    </row>
    <row r="338" ht="18.95" customFormat="1" customHeight="1" s="94">
      <c r="A338" s="202" t="n"/>
      <c r="B338" s="72" t="inlineStr"/>
      <c r="C338" s="197" t="n"/>
      <c r="D338" s="198" t="n"/>
      <c r="E338" s="199" t="n"/>
      <c r="F338" s="200" t="n"/>
      <c r="G338" s="197" t="n">
        <v>0</v>
      </c>
      <c r="H338" s="201" t="n"/>
      <c r="I338" s="95" t="inlineStr">
        <is>
          <t>形状異常</t>
        </is>
      </c>
      <c r="J338" s="201" t="n"/>
      <c r="K338" s="92" t="n"/>
      <c r="L338" s="93" t="n"/>
      <c r="M338" s="93" t="n"/>
      <c r="N338" s="93" t="n"/>
    </row>
    <row r="339" ht="18.95" customFormat="1" customHeight="1" s="94">
      <c r="A339" s="202" t="n"/>
      <c r="B339" s="72" t="inlineStr"/>
      <c r="C339" s="197" t="n"/>
      <c r="D339" s="198" t="n"/>
      <c r="E339" s="199" t="n"/>
      <c r="F339" s="200" t="n"/>
      <c r="G339" s="197" t="n">
        <v>0</v>
      </c>
      <c r="H339" s="201" t="n"/>
      <c r="I339" s="86" t="inlineStr">
        <is>
          <t>その他</t>
        </is>
      </c>
      <c r="J339" s="203" t="n"/>
      <c r="K339" s="92" t="n"/>
      <c r="L339" s="93" t="n"/>
      <c r="M339" s="93" t="n"/>
      <c r="N339" s="93" t="n"/>
    </row>
    <row r="340" ht="18.95" customFormat="1" customHeight="1" s="94" thickBot="1">
      <c r="A340" s="204" t="inlineStr">
        <is>
          <t>不良補填</t>
        </is>
      </c>
      <c r="B340" s="73" t="inlineStr">
        <is>
          <t>26E21-03 × 1</t>
        </is>
      </c>
      <c r="C340" s="205" t="n"/>
      <c r="D340" s="206" t="n"/>
      <c r="E340" s="207" t="n"/>
      <c r="F340" s="208" t="n"/>
      <c r="G340" s="209" t="n"/>
      <c r="H340" s="210" t="n"/>
      <c r="I340" s="102" t="inlineStr">
        <is>
          <t>合計</t>
        </is>
      </c>
      <c r="J340" s="211" t="n">
        <v>1</v>
      </c>
      <c r="K340" s="92" t="n"/>
      <c r="L340" s="93" t="n"/>
      <c r="M340" s="93" t="n"/>
      <c r="N340" s="93" t="n"/>
    </row>
    <row r="341" ht="6" customHeight="1" s="156" thickBot="1">
      <c r="A341" s="103" t="n"/>
      <c r="B341" s="104" t="n"/>
      <c r="C341" s="104" t="n"/>
      <c r="D341" s="103" t="n"/>
      <c r="E341" s="104" t="n"/>
      <c r="F341" s="104" t="n"/>
      <c r="G341" s="104" t="n"/>
      <c r="H341" s="104" t="n"/>
    </row>
    <row r="342" ht="6" customHeight="1" s="156" thickTop="1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</row>
    <row r="343" ht="14.25" customHeight="1" s="156">
      <c r="A343" s="11" t="n"/>
      <c r="B343" s="125" t="inlineStr">
        <is>
          <t>検査梱包指示書</t>
        </is>
      </c>
      <c r="E343" s="11" t="n"/>
      <c r="F343" s="11" t="n"/>
      <c r="G343" s="11" t="n"/>
      <c r="H343" s="11" t="n"/>
      <c r="I343" s="11" t="n"/>
      <c r="J343" s="11" t="n"/>
    </row>
    <row r="344" ht="14.25" customHeight="1" s="156">
      <c r="A344" s="12" t="n"/>
      <c r="E344" s="12" t="n"/>
      <c r="F344" s="12" t="n"/>
      <c r="G344" s="12" t="n"/>
      <c r="H344" s="12" t="n"/>
      <c r="I344" s="12" t="n"/>
      <c r="J344" s="12" t="n"/>
    </row>
    <row r="345" ht="14.25" customHeight="1" s="156">
      <c r="A345" s="112" t="inlineStr">
        <is>
          <t>品目番号</t>
        </is>
      </c>
      <c r="B345" s="112" t="inlineStr">
        <is>
          <t>J1JAZZB10805920</t>
        </is>
      </c>
      <c r="C345" s="112" t="inlineStr">
        <is>
          <t>Ｌ寸</t>
        </is>
      </c>
      <c r="D345" s="157" t="n">
        <v>592</v>
      </c>
      <c r="E345" s="112" t="inlineStr">
        <is>
          <t>名称</t>
        </is>
      </c>
      <c r="F345" s="123" t="inlineStr">
        <is>
          <t>8FL2813044910</t>
        </is>
      </c>
      <c r="I345" s="24" t="inlineStr">
        <is>
          <t>上長</t>
        </is>
      </c>
      <c r="J345" s="24" t="inlineStr">
        <is>
          <t>係員</t>
        </is>
      </c>
    </row>
    <row r="346" ht="14.25" customHeight="1" s="156">
      <c r="I346" s="105" t="n"/>
      <c r="J346" s="105" t="n"/>
    </row>
    <row r="347" ht="17.45" customHeight="1" s="156">
      <c r="A347" s="111" t="inlineStr">
        <is>
          <t>製造指図№</t>
        </is>
      </c>
      <c r="B347" s="111" t="inlineStr">
        <is>
          <t>000000000014579</t>
        </is>
      </c>
      <c r="E347" s="111" t="inlineStr">
        <is>
          <t>原料名</t>
        </is>
      </c>
      <c r="F347" s="140" t="inlineStr">
        <is>
          <t>(CASE 592MILK-W4)</t>
        </is>
      </c>
      <c r="I347" s="106" t="n"/>
      <c r="J347" s="106" t="n"/>
    </row>
    <row r="348" ht="17.45" customHeight="1" s="156">
      <c r="I348" s="13" t="n"/>
      <c r="J348" s="13" t="n"/>
    </row>
    <row r="349" ht="17.45" customHeight="1" s="156">
      <c r="A349" s="111" t="inlineStr">
        <is>
          <t>発注明細№</t>
        </is>
      </c>
      <c r="B349" s="111" t="inlineStr">
        <is>
          <t>000000000855915</t>
        </is>
      </c>
      <c r="E349" s="2" t="inlineStr">
        <is>
          <t>色　名</t>
        </is>
      </c>
      <c r="F349" s="140" t="inlineStr">
        <is>
          <t>J6VZ034</t>
        </is>
      </c>
      <c r="H349" s="21" t="n"/>
      <c r="I349" s="13" t="n"/>
      <c r="J349" s="13" t="n"/>
    </row>
    <row r="350" ht="17.45" customHeight="1" s="156">
      <c r="E350" s="2" t="inlineStr">
        <is>
          <t>製品Grp</t>
        </is>
      </c>
      <c r="F350" s="21" t="inlineStr">
        <is>
          <t>J1ZB</t>
        </is>
      </c>
      <c r="G350" s="21" t="n"/>
      <c r="H350" s="21" t="n"/>
      <c r="I350" s="14" t="n"/>
      <c r="J350" s="14" t="n"/>
    </row>
    <row r="351" ht="17.45" customHeight="1" s="156">
      <c r="A351" s="2" t="inlineStr">
        <is>
          <t>開始日</t>
        </is>
      </c>
      <c r="B351" s="158" t="n">
        <v>46184</v>
      </c>
      <c r="E351" s="2" t="inlineStr">
        <is>
          <t>入り数</t>
        </is>
      </c>
      <c r="F351" s="159" t="n">
        <v>100</v>
      </c>
      <c r="H351" s="21" t="n"/>
    </row>
    <row r="352" ht="17.45" customHeight="1" s="156">
      <c r="A352" s="2" t="inlineStr">
        <is>
          <t>終了日</t>
        </is>
      </c>
      <c r="B352" s="158" t="n">
        <v>46184</v>
      </c>
      <c r="E352" s="2" t="inlineStr">
        <is>
          <t>梱包数</t>
        </is>
      </c>
      <c r="F352" s="21" t="n">
        <v>1</v>
      </c>
      <c r="G352" s="143" t="inlineStr">
        <is>
          <t>指示数量</t>
        </is>
      </c>
      <c r="H352" s="160" t="n">
        <v>100</v>
      </c>
      <c r="I352" s="133" t="n"/>
      <c r="J352" s="134" t="n"/>
    </row>
    <row r="353" ht="17.45" customHeight="1" s="156">
      <c r="A353" s="19" t="n"/>
      <c r="B353" s="127" t="n"/>
      <c r="C353" s="127" t="n"/>
      <c r="D353" s="127" t="n"/>
      <c r="E353" s="2" t="inlineStr">
        <is>
          <t>金　型</t>
        </is>
      </c>
      <c r="F353" s="21" t="inlineStr">
        <is>
          <t>4350</t>
        </is>
      </c>
      <c r="G353" s="135" t="n"/>
      <c r="H353" s="135" t="n"/>
      <c r="I353" s="117" t="n"/>
      <c r="J353" s="136" t="n"/>
    </row>
    <row r="354" ht="13.5" customHeight="1" s="156">
      <c r="A354" s="127" t="inlineStr">
        <is>
          <t>*J1JAZZB10805920*</t>
        </is>
      </c>
      <c r="D354" s="127" t="n"/>
      <c r="F354" s="3" t="n"/>
      <c r="G354" s="126" t="inlineStr">
        <is>
          <t>格納先</t>
        </is>
      </c>
      <c r="H354" s="118" t="inlineStr">
        <is>
          <t>V3J03</t>
        </is>
      </c>
      <c r="I354" s="138" t="inlineStr">
        <is>
          <t>樹脂第3倉庫 (在庫)</t>
        </is>
      </c>
      <c r="J354" s="139" t="n"/>
    </row>
    <row r="355" ht="13.5" customHeight="1" s="156">
      <c r="D355" s="127" t="n"/>
      <c r="F355" s="3" t="n"/>
      <c r="G355" s="119" t="n"/>
      <c r="H355" s="119" t="n"/>
      <c r="I355" s="117" t="n"/>
      <c r="J355" s="136" t="n"/>
    </row>
    <row r="356" ht="13.5" customHeight="1" s="156">
      <c r="A356" s="108" t="inlineStr">
        <is>
          <t>指図書備考</t>
        </is>
      </c>
    </row>
    <row r="357" ht="63" customHeight="1" s="156">
      <c r="A357" s="130" t="n"/>
      <c r="B357" s="131" t="n"/>
      <c r="C357" s="131" t="n"/>
      <c r="D357" s="131" t="n"/>
      <c r="E357" s="131" t="n"/>
      <c r="F357" s="131" t="n"/>
      <c r="G357" s="131" t="n"/>
      <c r="H357" s="131" t="n"/>
      <c r="I357" s="131" t="n"/>
      <c r="J357" s="131" t="n"/>
    </row>
    <row r="358" ht="18.75" customHeight="1" s="156">
      <c r="A358" s="23" t="inlineStr">
        <is>
          <t>工順</t>
        </is>
      </c>
      <c r="B358" s="16" t="inlineStr">
        <is>
          <t>製造場所</t>
        </is>
      </c>
      <c r="C358" s="120" t="inlineStr">
        <is>
          <t>製造場所名</t>
        </is>
      </c>
      <c r="D358" s="121" t="n"/>
      <c r="E358" s="16" t="inlineStr">
        <is>
          <t>工程</t>
        </is>
      </c>
      <c r="F358" s="120" t="inlineStr">
        <is>
          <t>工程名</t>
        </is>
      </c>
      <c r="G358" s="121" t="n"/>
      <c r="H358" s="121" t="n"/>
      <c r="I358" s="124" t="inlineStr">
        <is>
          <t>作業時間</t>
        </is>
      </c>
      <c r="J358" s="121" t="n"/>
    </row>
    <row r="359" ht="14.25" customHeight="1" s="156">
      <c r="A359" s="141" t="n"/>
      <c r="B359" s="141" t="n"/>
      <c r="C359" s="141" t="n"/>
      <c r="D359" s="141" t="n"/>
      <c r="E359" s="141" t="n"/>
      <c r="F359" s="141" t="n"/>
      <c r="G359" s="141" t="n"/>
      <c r="H359" s="141" t="n"/>
      <c r="I359" s="141" t="n"/>
      <c r="J359" s="141" t="n"/>
    </row>
    <row r="360" ht="16.5" customHeight="1" s="156">
      <c r="A360" s="22" t="n">
        <v>1</v>
      </c>
      <c r="B360" s="107" t="inlineStr">
        <is>
          <t>V3Z01</t>
        </is>
      </c>
      <c r="C360" s="107" t="inlineStr">
        <is>
          <t>黒部工業</t>
        </is>
      </c>
      <c r="E360" s="107" t="inlineStr">
        <is>
          <t>V3P05</t>
        </is>
      </c>
      <c r="F360" s="107" t="inlineStr">
        <is>
          <t>切断</t>
        </is>
      </c>
      <c r="I360" s="115" t="n"/>
    </row>
    <row r="361" ht="16.5" customHeight="1" s="156">
      <c r="A361" s="22" t="n">
        <v>1</v>
      </c>
      <c r="B361" s="26" t="inlineStr">
        <is>
          <t>V3Z01</t>
        </is>
      </c>
      <c r="C361" s="107" t="inlineStr">
        <is>
          <t>黒部工業</t>
        </is>
      </c>
      <c r="E361" s="107" t="inlineStr">
        <is>
          <t>V3P16</t>
        </is>
      </c>
      <c r="F361" s="107" t="inlineStr">
        <is>
          <t>検査・梱包</t>
        </is>
      </c>
      <c r="I361" s="115" t="n"/>
    </row>
    <row r="362" ht="16.5" customHeight="1" s="156">
      <c r="A362" s="22" t="n"/>
      <c r="B362" s="26" t="n"/>
      <c r="C362" s="107" t="n"/>
      <c r="E362" s="107" t="n"/>
      <c r="F362" s="107" t="n"/>
      <c r="I362" s="115" t="n"/>
    </row>
    <row r="363" ht="16.5" customHeight="1" s="156">
      <c r="A363" s="22" t="n"/>
      <c r="B363" s="26" t="n"/>
      <c r="C363" s="107" t="n"/>
      <c r="E363" s="107" t="n"/>
      <c r="F363" s="107" t="n"/>
      <c r="I363" s="115" t="n"/>
    </row>
    <row r="364" ht="16.5" customHeight="1" s="156">
      <c r="A364" s="22" t="n"/>
      <c r="B364" s="26" t="n"/>
      <c r="C364" s="107" t="n"/>
      <c r="E364" s="107" t="n"/>
      <c r="F364" s="107" t="n"/>
      <c r="I364" s="115" t="n"/>
    </row>
    <row r="365" ht="16.5" customHeight="1" s="156">
      <c r="A365" s="22" t="n"/>
      <c r="B365" s="26" t="n"/>
      <c r="C365" s="107" t="n"/>
      <c r="E365" s="107" t="n"/>
      <c r="F365" s="107" t="n"/>
      <c r="I365" s="115" t="n"/>
    </row>
    <row r="366" ht="16.5" customHeight="1" s="15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</row>
    <row r="367" ht="18.75" customHeight="1" s="156">
      <c r="A367" s="109" t="inlineStr">
        <is>
          <t>品目コード</t>
        </is>
      </c>
      <c r="B367" s="110" t="n"/>
      <c r="C367" s="109" t="inlineStr">
        <is>
          <t>品目名１</t>
        </is>
      </c>
      <c r="D367" s="110" t="n"/>
      <c r="E367" s="110" t="n"/>
      <c r="F367" s="17" t="inlineStr">
        <is>
          <t>在庫場所</t>
        </is>
      </c>
      <c r="G367" s="109" t="inlineStr">
        <is>
          <t>出庫数量</t>
        </is>
      </c>
      <c r="H367" s="110" t="n"/>
      <c r="I367" s="109" t="inlineStr">
        <is>
          <t>バッチ必要数</t>
        </is>
      </c>
      <c r="J367" s="110" t="n"/>
    </row>
    <row r="368" ht="14.25" customHeight="1" s="156">
      <c r="A368" s="8" t="n"/>
      <c r="B368" s="18" t="n"/>
      <c r="C368" s="116" t="inlineStr">
        <is>
          <t>品目名２</t>
        </is>
      </c>
      <c r="D368" s="117" t="n"/>
      <c r="E368" s="18" t="n"/>
      <c r="F368" s="116" t="inlineStr">
        <is>
          <t>指図書備考</t>
        </is>
      </c>
      <c r="G368" s="117" t="n"/>
      <c r="H368" s="117" t="n"/>
      <c r="I368" s="117" t="n"/>
      <c r="J368" s="117" t="n"/>
    </row>
    <row r="369">
      <c r="A369" s="9" t="n"/>
      <c r="C369" s="137" t="n"/>
      <c r="D369" s="137" t="n"/>
      <c r="E369" s="137" t="n"/>
    </row>
    <row r="370" ht="14.25" customHeight="1" s="156">
      <c r="A370" s="107" t="inlineStr">
        <is>
          <t>J1JAZZA10818200</t>
        </is>
      </c>
      <c r="C370" s="107" t="inlineStr">
        <is>
          <t>@8FL28130 L1820</t>
        </is>
      </c>
      <c r="F370" s="27" t="inlineStr">
        <is>
          <t>V3J04</t>
        </is>
      </c>
      <c r="G370" s="161" t="n">
        <v>33.3</v>
      </c>
      <c r="I370" s="161" t="n">
        <v>0.333</v>
      </c>
    </row>
    <row r="371" ht="24.95" customHeight="1" s="156">
      <c r="A371" s="122" t="inlineStr">
        <is>
          <t>*J1JAZZA10818200*</t>
        </is>
      </c>
      <c r="C371" s="107" t="n"/>
      <c r="F371" s="107" t="n"/>
    </row>
    <row r="372" ht="14.25" customHeight="1" s="156">
      <c r="A372" s="107" t="inlineStr">
        <is>
          <t>J6DW0088</t>
        </is>
      </c>
      <c r="C372" s="107" t="inlineStr">
        <is>
          <t>LED-A592　602X275X166</t>
        </is>
      </c>
      <c r="F372" s="27" t="inlineStr">
        <is>
          <t>V3W04</t>
        </is>
      </c>
      <c r="G372" s="161" t="n">
        <v>1</v>
      </c>
      <c r="I372" s="161" t="n">
        <v>0.01</v>
      </c>
    </row>
    <row r="373" ht="24.95" customHeight="1" s="156">
      <c r="A373" s="122" t="inlineStr">
        <is>
          <t>*J6DW0088*</t>
        </is>
      </c>
      <c r="C373" s="107" t="inlineStr">
        <is>
          <t>L592×W275×H166</t>
        </is>
      </c>
      <c r="F373" s="107" t="n"/>
    </row>
    <row r="374" ht="14.25" customHeight="1" s="156">
      <c r="A374" s="107" t="inlineStr">
        <is>
          <t>J6XX0050</t>
        </is>
      </c>
      <c r="C374" s="107" t="inlineStr">
        <is>
          <t>(管理外)筋入ｸﾗﾌﾄ紙</t>
        </is>
      </c>
      <c r="F374" s="27" t="n"/>
      <c r="G374" s="161" t="n">
        <v>0.1</v>
      </c>
      <c r="I374" s="161" t="n">
        <v>0.001</v>
      </c>
    </row>
    <row r="375" ht="24.95" customHeight="1" s="156">
      <c r="A375" s="122" t="inlineStr">
        <is>
          <t>*J6XX0050*</t>
        </is>
      </c>
      <c r="C375" s="107" t="inlineStr">
        <is>
          <t>300＊100</t>
        </is>
      </c>
      <c r="F375" s="107" t="n"/>
    </row>
    <row r="376" ht="14.25" customHeight="1" s="156">
      <c r="A376" s="107" t="inlineStr">
        <is>
          <t>J6XX0051</t>
        </is>
      </c>
      <c r="C376" s="107" t="inlineStr">
        <is>
          <t>(管理外)LLDPE規格ｼｰﾄ0.02×950×100m</t>
        </is>
      </c>
      <c r="F376" s="27" t="n"/>
      <c r="G376" s="161" t="n">
        <v>0.1</v>
      </c>
      <c r="I376" s="161" t="n">
        <v>0.001</v>
      </c>
    </row>
    <row r="377" ht="24.95" customHeight="1" s="156">
      <c r="A377" s="122" t="inlineStr">
        <is>
          <t>*J6XX0051*</t>
        </is>
      </c>
      <c r="C377" s="107" t="inlineStr">
        <is>
          <t>0.02×950×100m</t>
        </is>
      </c>
      <c r="F377" s="107" t="n"/>
    </row>
    <row r="378" ht="14.25" customHeight="1" s="156">
      <c r="A378" s="107" t="n"/>
      <c r="C378" s="107" t="n"/>
      <c r="F378" s="27" t="n"/>
      <c r="G378" s="161" t="n"/>
      <c r="I378" s="161" t="n"/>
    </row>
    <row r="379" ht="24.95" customHeight="1" s="156" thickBot="1">
      <c r="A379" s="122" t="n"/>
      <c r="C379" s="107" t="n"/>
      <c r="F379" s="107" t="n"/>
    </row>
    <row r="380" ht="18" customFormat="1" customHeight="1" s="141">
      <c r="A380" s="28" t="inlineStr">
        <is>
          <t>温度換算</t>
        </is>
      </c>
      <c r="B380" s="29" t="inlineStr">
        <is>
          <t>L寸</t>
        </is>
      </c>
      <c r="C380" s="147" t="inlineStr">
        <is>
          <t>梱包箱</t>
        </is>
      </c>
      <c r="D380" s="162" t="n"/>
      <c r="E380" s="148" t="inlineStr">
        <is>
          <t>使用数</t>
        </is>
      </c>
      <c r="F380" s="31" t="inlineStr">
        <is>
          <t>作業者</t>
        </is>
      </c>
      <c r="G380" s="32" t="inlineStr">
        <is>
          <t>加工Lot</t>
        </is>
      </c>
      <c r="H380" s="129" t="inlineStr">
        <is>
          <t>箱数</t>
        </is>
      </c>
      <c r="I380" s="128" t="inlineStr">
        <is>
          <t>加工明細</t>
        </is>
      </c>
      <c r="J380" s="162" t="n"/>
    </row>
    <row r="381" ht="18" customFormat="1" customHeight="1" s="137">
      <c r="A381" s="34" t="inlineStr">
        <is>
          <t>〇</t>
        </is>
      </c>
      <c r="B381" s="163" t="n">
        <v>592</v>
      </c>
      <c r="C381" s="164" t="inlineStr">
        <is>
          <t>LED-A592</t>
        </is>
      </c>
      <c r="D381" s="165" t="n"/>
      <c r="E381" s="166" t="n">
        <v>1</v>
      </c>
      <c r="F381" s="167" t="inlineStr">
        <is>
          <t xml:space="preserve">切断加工：I / </t>
        </is>
      </c>
      <c r="G381" s="168" t="n">
        <v>46182</v>
      </c>
      <c r="H381" s="169" t="n">
        <v>1</v>
      </c>
      <c r="I381" s="39" t="inlineStr">
        <is>
          <t>入庫日</t>
        </is>
      </c>
      <c r="J381" s="170" t="n">
        <v>46182</v>
      </c>
    </row>
    <row r="382" ht="18" customFormat="1" customHeight="1" s="141">
      <c r="A382" s="44" t="inlineStr">
        <is>
          <t>+公差</t>
        </is>
      </c>
      <c r="B382" s="45" t="inlineStr">
        <is>
          <t>切断寸法</t>
        </is>
      </c>
      <c r="C382" s="171" t="n"/>
      <c r="D382" s="172" t="n"/>
      <c r="E382" s="119" t="n"/>
      <c r="F382" s="173" t="inlineStr">
        <is>
          <t xml:space="preserve">外観検査：T / </t>
        </is>
      </c>
      <c r="G382" s="168" t="n"/>
      <c r="H382" s="169" t="n"/>
      <c r="I382" s="39" t="inlineStr">
        <is>
          <t>入庫数</t>
        </is>
      </c>
      <c r="J382" s="174" t="n">
        <v>100</v>
      </c>
      <c r="K382" s="47" t="n"/>
    </row>
    <row r="383" ht="18" customFormat="1" customHeight="1" s="137">
      <c r="A383" s="48" t="n">
        <v>0.5</v>
      </c>
      <c r="B383" s="175" t="inlineStr">
        <is>
          <t>換算表確認</t>
        </is>
      </c>
      <c r="C383" s="155" t="inlineStr">
        <is>
          <t>梱包
方法</t>
        </is>
      </c>
      <c r="D383" s="176" t="inlineStr">
        <is>
          <t>クラフト紙：592型</t>
        </is>
      </c>
      <c r="E383" s="177" t="n"/>
      <c r="F383" s="178" t="n"/>
      <c r="G383" s="168" t="n"/>
      <c r="H383" s="169" t="n"/>
      <c r="I383" s="39" t="inlineStr">
        <is>
          <t>使用基材数</t>
        </is>
      </c>
      <c r="J383" s="174" t="n">
        <v>33.33333333333334</v>
      </c>
      <c r="K383" s="50" t="n"/>
    </row>
    <row r="384" ht="18" customFormat="1" customHeight="1" s="141">
      <c r="A384" s="51" t="inlineStr">
        <is>
          <t>-公差</t>
        </is>
      </c>
      <c r="B384" s="52" t="inlineStr">
        <is>
          <t>取数</t>
        </is>
      </c>
      <c r="C384" s="179" t="n"/>
      <c r="D384" s="176" t="inlineStr">
        <is>
          <t>ラベル１枚　長手無　鉢巻１回</t>
        </is>
      </c>
      <c r="E384" s="177" t="n"/>
      <c r="F384" s="178" t="n"/>
      <c r="G384" s="168" t="n"/>
      <c r="H384" s="169" t="n"/>
      <c r="I384" s="39" t="inlineStr">
        <is>
          <t>製品不良</t>
        </is>
      </c>
      <c r="J384" s="174" t="n">
        <v>0</v>
      </c>
      <c r="K384" s="47" t="n"/>
    </row>
    <row r="385" ht="18" customFormat="1" customHeight="1" s="137" thickBot="1">
      <c r="A385" s="53" t="n">
        <v>-0.5</v>
      </c>
      <c r="B385" s="54" t="n">
        <v>3</v>
      </c>
      <c r="C385" s="55" t="inlineStr">
        <is>
          <t>備考</t>
        </is>
      </c>
      <c r="D385" s="180" t="inlineStr">
        <is>
          <t>1箱目の梱包数 目視確認　以降、重量測定</t>
        </is>
      </c>
      <c r="E385" s="181" t="n"/>
      <c r="F385" s="182" t="n"/>
      <c r="G385" s="183" t="n"/>
      <c r="H385" s="184" t="n"/>
      <c r="I385" s="39" t="inlineStr">
        <is>
          <t>基材不良</t>
        </is>
      </c>
      <c r="J385" s="185" t="n">
        <v>0</v>
      </c>
      <c r="K385" s="50" t="n"/>
    </row>
    <row r="386" ht="18" customFormat="1" customHeight="1" s="141" thickBot="1">
      <c r="A386" s="58" t="inlineStr">
        <is>
          <t>作業日</t>
        </is>
      </c>
      <c r="B386" s="59">
        <f t="array" ref="B386">IF(SUM(--(ISTEXT(B387:B397)*(B387:B397&lt;&gt;"")))=0,"計測Lot","計測Lot・加工数")</f>
        <v/>
      </c>
      <c r="C386" s="60" t="inlineStr">
        <is>
          <t>温度</t>
        </is>
      </c>
      <c r="D386" s="61" t="inlineStr">
        <is>
          <t>換算</t>
        </is>
      </c>
      <c r="E386" s="62" t="inlineStr">
        <is>
          <t>計測値</t>
        </is>
      </c>
      <c r="F386" s="63">
        <f t="array" ref="F386">IF(SUM(--(ISTEXT(B387:B397)*(B387:B397&lt;&gt;"")))=0,"記入不要","使用Lot")</f>
        <v/>
      </c>
      <c r="G386" s="64" t="inlineStr">
        <is>
          <t>加工数</t>
        </is>
      </c>
      <c r="H386" s="65" t="inlineStr">
        <is>
          <t>基材換算</t>
        </is>
      </c>
      <c r="I386" s="66" t="inlineStr">
        <is>
          <t>端材使用</t>
        </is>
      </c>
      <c r="J386" s="186" t="n">
        <v>0</v>
      </c>
      <c r="K386" s="47" t="n"/>
    </row>
    <row r="387" ht="18" customFormat="1" customHeight="1" s="137">
      <c r="A387" s="187" t="n"/>
      <c r="B387" s="188" t="n"/>
      <c r="C387" s="74" t="n"/>
      <c r="D387" s="189" t="n"/>
      <c r="E387" s="190" t="n"/>
      <c r="F387" s="191" t="n">
        <v>0</v>
      </c>
      <c r="G387" s="192" t="n">
        <v>0</v>
      </c>
      <c r="H387" s="193" t="n"/>
      <c r="I387" s="194" t="inlineStr">
        <is>
          <t>不良内訳</t>
        </is>
      </c>
      <c r="J387" s="195" t="n"/>
      <c r="K387" s="80" t="n"/>
    </row>
    <row r="388" ht="18" customFormat="1" customHeight="1" s="141">
      <c r="A388" s="196" t="n">
        <v>46181</v>
      </c>
      <c r="B388" s="72" t="inlineStr">
        <is>
          <t>26E22-04</t>
        </is>
      </c>
      <c r="C388" s="197" t="n">
        <v>24</v>
      </c>
      <c r="D388" s="198" t="n">
        <v>591.65</v>
      </c>
      <c r="E388" s="199" t="n">
        <v>591.66</v>
      </c>
      <c r="F388" s="200" t="inlineStr">
        <is>
          <t>26E22-04</t>
        </is>
      </c>
      <c r="G388" s="197" t="n">
        <v>100</v>
      </c>
      <c r="H388" s="201" t="n">
        <v>33.33333333333334</v>
      </c>
      <c r="I388" s="86" t="inlineStr">
        <is>
          <t>キズ</t>
        </is>
      </c>
      <c r="J388" s="201" t="n"/>
      <c r="K388" s="80" t="n"/>
    </row>
    <row r="389" ht="18.95" customFormat="1" customHeight="1" s="91">
      <c r="A389" s="202" t="n">
        <v>46181</v>
      </c>
      <c r="B389" s="72" t="inlineStr">
        <is>
          <t>26E22-04 × 100</t>
        </is>
      </c>
      <c r="C389" s="197" t="n">
        <v>24</v>
      </c>
      <c r="D389" s="198" t="n">
        <v>591.65</v>
      </c>
      <c r="E389" s="199" t="n">
        <v>591.65</v>
      </c>
      <c r="F389" s="200" t="n"/>
      <c r="G389" s="197" t="n">
        <v>0</v>
      </c>
      <c r="H389" s="201" t="n"/>
      <c r="I389" s="86" t="inlineStr">
        <is>
          <t>凹み</t>
        </is>
      </c>
      <c r="J389" s="201" t="n"/>
      <c r="K389" s="89" t="n"/>
      <c r="L389" s="90" t="n"/>
      <c r="M389" s="90" t="n"/>
      <c r="N389" s="90" t="n"/>
    </row>
    <row r="390" ht="18.95" customFormat="1" customHeight="1" s="94">
      <c r="A390" s="202" t="n"/>
      <c r="B390" s="72" t="inlineStr"/>
      <c r="C390" s="197" t="n"/>
      <c r="D390" s="198" t="n"/>
      <c r="E390" s="199" t="n"/>
      <c r="F390" s="200" t="n"/>
      <c r="G390" s="197" t="n">
        <v>0</v>
      </c>
      <c r="H390" s="201" t="n"/>
      <c r="I390" s="86" t="inlineStr">
        <is>
          <t>異物</t>
        </is>
      </c>
      <c r="J390" s="201" t="n"/>
      <c r="K390" s="92" t="n"/>
      <c r="L390" s="93" t="n"/>
      <c r="M390" s="93" t="n"/>
      <c r="N390" s="93" t="n"/>
    </row>
    <row r="391" ht="18.95" customFormat="1" customHeight="1" s="94">
      <c r="A391" s="202" t="n"/>
      <c r="B391" s="72" t="inlineStr"/>
      <c r="C391" s="197" t="n"/>
      <c r="D391" s="198" t="n"/>
      <c r="E391" s="199" t="n"/>
      <c r="F391" s="200" t="n"/>
      <c r="G391" s="197" t="n">
        <v>0</v>
      </c>
      <c r="H391" s="201" t="n"/>
      <c r="I391" s="86" t="inlineStr">
        <is>
          <t>欠け</t>
        </is>
      </c>
      <c r="J391" s="201" t="n"/>
      <c r="K391" s="92" t="n"/>
      <c r="L391" s="93" t="n"/>
      <c r="M391" s="93" t="n"/>
      <c r="N391" s="93" t="n"/>
    </row>
    <row r="392" ht="18.95" customFormat="1" customHeight="1" s="94">
      <c r="A392" s="202" t="n"/>
      <c r="B392" s="72" t="inlineStr"/>
      <c r="C392" s="197" t="n"/>
      <c r="D392" s="198" t="n"/>
      <c r="E392" s="199" t="n"/>
      <c r="F392" s="200" t="n"/>
      <c r="G392" s="197" t="n">
        <v>0</v>
      </c>
      <c r="H392" s="201" t="n"/>
      <c r="I392" s="86" t="inlineStr">
        <is>
          <t>メヤニ</t>
        </is>
      </c>
      <c r="J392" s="201" t="n"/>
      <c r="K392" s="92" t="n"/>
      <c r="L392" s="93" t="n"/>
      <c r="M392" s="93" t="n"/>
      <c r="N392" s="93" t="n"/>
    </row>
    <row r="393" ht="18.95" customFormat="1" customHeight="1" s="94">
      <c r="A393" s="202" t="n"/>
      <c r="B393" s="72" t="inlineStr"/>
      <c r="C393" s="197" t="n"/>
      <c r="D393" s="198" t="n"/>
      <c r="E393" s="199" t="n"/>
      <c r="F393" s="200" t="n"/>
      <c r="G393" s="197" t="n">
        <v>0</v>
      </c>
      <c r="H393" s="201" t="n"/>
      <c r="I393" s="86" t="inlineStr">
        <is>
          <t>ベコツキ</t>
        </is>
      </c>
      <c r="J393" s="201" t="n"/>
      <c r="K393" s="92" t="n"/>
      <c r="L393" s="93" t="n"/>
      <c r="M393" s="93" t="n"/>
      <c r="N393" s="93" t="n"/>
    </row>
    <row r="394" ht="18.95" customFormat="1" customHeight="1" s="94">
      <c r="A394" s="202" t="n"/>
      <c r="B394" s="72" t="inlineStr"/>
      <c r="C394" s="197" t="n"/>
      <c r="D394" s="198" t="n"/>
      <c r="E394" s="199" t="n"/>
      <c r="F394" s="200" t="n"/>
      <c r="G394" s="197" t="n">
        <v>0</v>
      </c>
      <c r="H394" s="201" t="n"/>
      <c r="I394" s="95" t="inlineStr">
        <is>
          <t>汚損</t>
        </is>
      </c>
      <c r="J394" s="201" t="n"/>
      <c r="K394" s="92" t="n"/>
      <c r="L394" s="93" t="n"/>
      <c r="M394" s="93" t="n"/>
      <c r="N394" s="93" t="n"/>
    </row>
    <row r="395" ht="18.95" customFormat="1" customHeight="1" s="94">
      <c r="A395" s="202" t="n"/>
      <c r="B395" s="72" t="inlineStr"/>
      <c r="C395" s="197" t="n"/>
      <c r="D395" s="198" t="n"/>
      <c r="E395" s="199" t="n"/>
      <c r="F395" s="200" t="n"/>
      <c r="G395" s="197" t="n">
        <v>0</v>
      </c>
      <c r="H395" s="201" t="n"/>
      <c r="I395" s="95" t="inlineStr">
        <is>
          <t>形状異常</t>
        </is>
      </c>
      <c r="J395" s="201" t="n"/>
      <c r="K395" s="92" t="n"/>
      <c r="L395" s="93" t="n"/>
      <c r="M395" s="93" t="n"/>
      <c r="N395" s="93" t="n"/>
    </row>
    <row r="396" ht="18.95" customFormat="1" customHeight="1" s="94">
      <c r="A396" s="202" t="n"/>
      <c r="B396" s="72" t="inlineStr"/>
      <c r="C396" s="197" t="n"/>
      <c r="D396" s="198" t="n"/>
      <c r="E396" s="199" t="n"/>
      <c r="F396" s="200" t="n"/>
      <c r="G396" s="197" t="n">
        <v>0</v>
      </c>
      <c r="H396" s="201" t="n"/>
      <c r="I396" s="86" t="inlineStr">
        <is>
          <t>その他</t>
        </is>
      </c>
      <c r="J396" s="203" t="n"/>
      <c r="K396" s="92" t="n"/>
      <c r="L396" s="93" t="n"/>
      <c r="M396" s="93" t="n"/>
      <c r="N396" s="93" t="n"/>
    </row>
    <row r="397" ht="18.95" customFormat="1" customHeight="1" s="94" thickBot="1">
      <c r="A397" s="204" t="inlineStr">
        <is>
          <t>不良補填</t>
        </is>
      </c>
      <c r="B397" s="73" t="n">
        <v>0</v>
      </c>
      <c r="C397" s="205" t="n"/>
      <c r="D397" s="206" t="n"/>
      <c r="E397" s="207" t="n"/>
      <c r="F397" s="208" t="n"/>
      <c r="G397" s="209" t="n"/>
      <c r="H397" s="210" t="n"/>
      <c r="I397" s="102" t="inlineStr">
        <is>
          <t>合計</t>
        </is>
      </c>
      <c r="J397" s="211" t="n">
        <v>0</v>
      </c>
      <c r="K397" s="92" t="n"/>
      <c r="L397" s="93" t="n"/>
      <c r="M397" s="93" t="n"/>
      <c r="N397" s="93" t="n"/>
    </row>
    <row r="398" ht="6" customHeight="1" s="156" thickBot="1">
      <c r="A398" s="103" t="n"/>
      <c r="B398" s="104" t="n"/>
      <c r="C398" s="104" t="n"/>
      <c r="D398" s="103" t="n"/>
      <c r="E398" s="104" t="n"/>
      <c r="F398" s="104" t="n"/>
      <c r="G398" s="104" t="n"/>
      <c r="H398" s="104" t="n"/>
    </row>
    <row r="399" ht="6" customHeight="1" s="156" thickTop="1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</row>
    <row r="400" ht="14.25" customHeight="1" s="156">
      <c r="A400" s="11" t="n"/>
      <c r="B400" s="125" t="inlineStr">
        <is>
          <t>検査梱包指示書</t>
        </is>
      </c>
      <c r="E400" s="11" t="n"/>
      <c r="F400" s="11" t="n"/>
      <c r="G400" s="11" t="n"/>
      <c r="H400" s="11" t="n"/>
      <c r="I400" s="11" t="n"/>
      <c r="J400" s="11" t="n"/>
    </row>
    <row r="401" ht="14.25" customHeight="1" s="156">
      <c r="A401" s="12" t="n"/>
      <c r="E401" s="12" t="n"/>
      <c r="F401" s="12" t="n"/>
      <c r="G401" s="12" t="n"/>
      <c r="H401" s="12" t="n"/>
      <c r="I401" s="12" t="n"/>
      <c r="J401" s="12" t="n"/>
    </row>
    <row r="402" ht="14.25" customHeight="1" s="156">
      <c r="A402" s="112" t="inlineStr">
        <is>
          <t>品目番号</t>
        </is>
      </c>
      <c r="B402" s="112" t="inlineStr">
        <is>
          <t>J1JAZZB10807480</t>
        </is>
      </c>
      <c r="C402" s="112" t="inlineStr">
        <is>
          <t>Ｌ寸</t>
        </is>
      </c>
      <c r="D402" s="157" t="n">
        <v>748</v>
      </c>
      <c r="E402" s="112" t="inlineStr">
        <is>
          <t>名称</t>
        </is>
      </c>
      <c r="F402" s="123" t="inlineStr">
        <is>
          <t>8FL2813048310</t>
        </is>
      </c>
      <c r="I402" s="24" t="inlineStr">
        <is>
          <t>上長</t>
        </is>
      </c>
      <c r="J402" s="24" t="inlineStr">
        <is>
          <t>係員</t>
        </is>
      </c>
    </row>
    <row r="403" ht="14.25" customHeight="1" s="156">
      <c r="I403" s="105" t="n"/>
      <c r="J403" s="105" t="n"/>
    </row>
    <row r="404" ht="17.45" customHeight="1" s="156">
      <c r="A404" s="111" t="inlineStr">
        <is>
          <t>製造指図№</t>
        </is>
      </c>
      <c r="B404" s="111" t="inlineStr">
        <is>
          <t>000000000014580</t>
        </is>
      </c>
      <c r="E404" s="111" t="inlineStr">
        <is>
          <t>原料名</t>
        </is>
      </c>
      <c r="F404" s="140" t="inlineStr">
        <is>
          <t>(CASE 748MILK-W4)</t>
        </is>
      </c>
      <c r="I404" s="106" t="n"/>
      <c r="J404" s="106" t="n"/>
    </row>
    <row r="405" ht="17.45" customHeight="1" s="156">
      <c r="I405" s="13" t="n"/>
      <c r="J405" s="13" t="n"/>
    </row>
    <row r="406" ht="17.45" customHeight="1" s="156">
      <c r="A406" s="111" t="inlineStr">
        <is>
          <t>発注明細№</t>
        </is>
      </c>
      <c r="B406" s="111" t="inlineStr">
        <is>
          <t>000000000855916</t>
        </is>
      </c>
      <c r="E406" s="2" t="inlineStr">
        <is>
          <t>色　名</t>
        </is>
      </c>
      <c r="F406" s="140" t="inlineStr">
        <is>
          <t>J6VZ034</t>
        </is>
      </c>
      <c r="H406" s="21" t="n"/>
      <c r="I406" s="13" t="n"/>
      <c r="J406" s="13" t="n"/>
    </row>
    <row r="407" ht="17.45" customHeight="1" s="156">
      <c r="E407" s="2" t="inlineStr">
        <is>
          <t>製品Grp</t>
        </is>
      </c>
      <c r="F407" s="21" t="inlineStr">
        <is>
          <t>J1ZB</t>
        </is>
      </c>
      <c r="G407" s="21" t="n"/>
      <c r="H407" s="21" t="n"/>
      <c r="I407" s="14" t="n"/>
      <c r="J407" s="14" t="n"/>
    </row>
    <row r="408" ht="17.45" customHeight="1" s="156">
      <c r="A408" s="2" t="inlineStr">
        <is>
          <t>開始日</t>
        </is>
      </c>
      <c r="B408" s="158" t="n">
        <v>46181</v>
      </c>
      <c r="E408" s="2" t="inlineStr">
        <is>
          <t>入り数</t>
        </is>
      </c>
      <c r="F408" s="159" t="n">
        <v>100</v>
      </c>
      <c r="H408" s="21" t="n"/>
    </row>
    <row r="409" ht="17.45" customHeight="1" s="156">
      <c r="A409" s="2" t="inlineStr">
        <is>
          <t>終了日</t>
        </is>
      </c>
      <c r="B409" s="158" t="n">
        <v>46181</v>
      </c>
      <c r="E409" s="2" t="inlineStr">
        <is>
          <t>梱包数</t>
        </is>
      </c>
      <c r="F409" s="21" t="n">
        <v>4</v>
      </c>
      <c r="G409" s="143" t="inlineStr">
        <is>
          <t>指示数量</t>
        </is>
      </c>
      <c r="H409" s="160" t="n">
        <v>400</v>
      </c>
      <c r="I409" s="133" t="n"/>
      <c r="J409" s="134" t="n"/>
    </row>
    <row r="410" ht="17.45" customHeight="1" s="156">
      <c r="A410" s="19" t="n"/>
      <c r="B410" s="127" t="n"/>
      <c r="C410" s="127" t="n"/>
      <c r="D410" s="127" t="n"/>
      <c r="E410" s="2" t="inlineStr">
        <is>
          <t>金　型</t>
        </is>
      </c>
      <c r="F410" s="21" t="inlineStr">
        <is>
          <t>4350</t>
        </is>
      </c>
      <c r="G410" s="135" t="n"/>
      <c r="H410" s="135" t="n"/>
      <c r="I410" s="117" t="n"/>
      <c r="J410" s="136" t="n"/>
    </row>
    <row r="411" ht="13.5" customHeight="1" s="156">
      <c r="A411" s="127" t="inlineStr">
        <is>
          <t>*J1JAZZB10807480*</t>
        </is>
      </c>
      <c r="D411" s="127" t="n"/>
      <c r="F411" s="3" t="n"/>
      <c r="G411" s="126" t="inlineStr">
        <is>
          <t>格納先</t>
        </is>
      </c>
      <c r="H411" s="118" t="inlineStr">
        <is>
          <t>V3J03</t>
        </is>
      </c>
      <c r="I411" s="138" t="inlineStr">
        <is>
          <t>樹脂第3倉庫 (在庫)</t>
        </is>
      </c>
      <c r="J411" s="139" t="n"/>
    </row>
    <row r="412" ht="13.5" customHeight="1" s="156">
      <c r="D412" s="127" t="n"/>
      <c r="F412" s="3" t="n"/>
      <c r="G412" s="119" t="n"/>
      <c r="H412" s="119" t="n"/>
      <c r="I412" s="117" t="n"/>
      <c r="J412" s="136" t="n"/>
    </row>
    <row r="413" ht="13.5" customHeight="1" s="156">
      <c r="A413" s="108" t="inlineStr">
        <is>
          <t>指図書備考</t>
        </is>
      </c>
    </row>
    <row r="414" ht="63" customHeight="1" s="156">
      <c r="A414" s="130" t="n"/>
      <c r="B414" s="131" t="n"/>
      <c r="C414" s="131" t="n"/>
      <c r="D414" s="131" t="n"/>
      <c r="E414" s="131" t="n"/>
      <c r="F414" s="131" t="n"/>
      <c r="G414" s="131" t="n"/>
      <c r="H414" s="131" t="n"/>
      <c r="I414" s="131" t="n"/>
      <c r="J414" s="131" t="n"/>
    </row>
    <row r="415" ht="18.75" customHeight="1" s="156">
      <c r="A415" s="23" t="inlineStr">
        <is>
          <t>工順</t>
        </is>
      </c>
      <c r="B415" s="16" t="inlineStr">
        <is>
          <t>製造場所</t>
        </is>
      </c>
      <c r="C415" s="120" t="inlineStr">
        <is>
          <t>製造場所名</t>
        </is>
      </c>
      <c r="D415" s="121" t="n"/>
      <c r="E415" s="16" t="inlineStr">
        <is>
          <t>工程</t>
        </is>
      </c>
      <c r="F415" s="120" t="inlineStr">
        <is>
          <t>工程名</t>
        </is>
      </c>
      <c r="G415" s="121" t="n"/>
      <c r="H415" s="121" t="n"/>
      <c r="I415" s="124" t="inlineStr">
        <is>
          <t>作業時間</t>
        </is>
      </c>
      <c r="J415" s="121" t="n"/>
    </row>
    <row r="416" ht="14.25" customHeight="1" s="156">
      <c r="A416" s="141" t="n"/>
      <c r="B416" s="141" t="n"/>
      <c r="C416" s="141" t="n"/>
      <c r="D416" s="141" t="n"/>
      <c r="E416" s="141" t="n"/>
      <c r="F416" s="141" t="n"/>
      <c r="G416" s="141" t="n"/>
      <c r="H416" s="141" t="n"/>
      <c r="I416" s="141" t="n"/>
      <c r="J416" s="141" t="n"/>
    </row>
    <row r="417" ht="16.5" customHeight="1" s="156">
      <c r="A417" s="22" t="n">
        <v>1</v>
      </c>
      <c r="B417" s="107" t="inlineStr">
        <is>
          <t>V3Z01</t>
        </is>
      </c>
      <c r="C417" s="107" t="inlineStr">
        <is>
          <t>黒部工業</t>
        </is>
      </c>
      <c r="E417" s="107" t="inlineStr">
        <is>
          <t>V3P05</t>
        </is>
      </c>
      <c r="F417" s="107" t="inlineStr">
        <is>
          <t>切断</t>
        </is>
      </c>
      <c r="I417" s="115" t="n"/>
    </row>
    <row r="418" ht="16.5" customHeight="1" s="156">
      <c r="A418" s="22" t="n">
        <v>1</v>
      </c>
      <c r="B418" s="26" t="inlineStr">
        <is>
          <t>V3Z01</t>
        </is>
      </c>
      <c r="C418" s="107" t="inlineStr">
        <is>
          <t>黒部工業</t>
        </is>
      </c>
      <c r="E418" s="107" t="inlineStr">
        <is>
          <t>V3P16</t>
        </is>
      </c>
      <c r="F418" s="107" t="inlineStr">
        <is>
          <t>検査・梱包</t>
        </is>
      </c>
      <c r="I418" s="115" t="n"/>
    </row>
    <row r="419" ht="16.5" customHeight="1" s="156">
      <c r="A419" s="22" t="n"/>
      <c r="B419" s="26" t="n"/>
      <c r="C419" s="107" t="n"/>
      <c r="E419" s="107" t="n"/>
      <c r="F419" s="107" t="n"/>
      <c r="I419" s="115" t="n"/>
    </row>
    <row r="420" ht="16.5" customHeight="1" s="156">
      <c r="A420" s="22" t="n"/>
      <c r="B420" s="26" t="n"/>
      <c r="C420" s="107" t="n"/>
      <c r="E420" s="107" t="n"/>
      <c r="F420" s="107" t="n"/>
      <c r="I420" s="115" t="n"/>
    </row>
    <row r="421" ht="16.5" customHeight="1" s="156">
      <c r="A421" s="22" t="n"/>
      <c r="B421" s="26" t="n"/>
      <c r="C421" s="107" t="n"/>
      <c r="E421" s="107" t="n"/>
      <c r="F421" s="107" t="n"/>
      <c r="I421" s="115" t="n"/>
    </row>
    <row r="422" ht="16.5" customHeight="1" s="156">
      <c r="A422" s="22" t="n"/>
      <c r="B422" s="26" t="n"/>
      <c r="C422" s="107" t="n"/>
      <c r="E422" s="107" t="n"/>
      <c r="F422" s="107" t="n"/>
      <c r="I422" s="115" t="n"/>
    </row>
    <row r="423" ht="16.5" customHeight="1" s="156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</row>
    <row r="424" ht="18.75" customHeight="1" s="156">
      <c r="A424" s="109" t="inlineStr">
        <is>
          <t>品目コード</t>
        </is>
      </c>
      <c r="B424" s="110" t="n"/>
      <c r="C424" s="109" t="inlineStr">
        <is>
          <t>品目名１</t>
        </is>
      </c>
      <c r="D424" s="110" t="n"/>
      <c r="E424" s="110" t="n"/>
      <c r="F424" s="17" t="inlineStr">
        <is>
          <t>在庫場所</t>
        </is>
      </c>
      <c r="G424" s="109" t="inlineStr">
        <is>
          <t>出庫数量</t>
        </is>
      </c>
      <c r="H424" s="110" t="n"/>
      <c r="I424" s="109" t="inlineStr">
        <is>
          <t>バッチ必要数</t>
        </is>
      </c>
      <c r="J424" s="110" t="n"/>
    </row>
    <row r="425" ht="14.25" customHeight="1" s="156">
      <c r="A425" s="8" t="n"/>
      <c r="B425" s="18" t="n"/>
      <c r="C425" s="116" t="inlineStr">
        <is>
          <t>品目名２</t>
        </is>
      </c>
      <c r="D425" s="117" t="n"/>
      <c r="E425" s="18" t="n"/>
      <c r="F425" s="116" t="inlineStr">
        <is>
          <t>指図書備考</t>
        </is>
      </c>
      <c r="G425" s="117" t="n"/>
      <c r="H425" s="117" t="n"/>
      <c r="I425" s="117" t="n"/>
      <c r="J425" s="117" t="n"/>
    </row>
    <row r="426">
      <c r="A426" s="9" t="n"/>
      <c r="C426" s="137" t="n"/>
      <c r="D426" s="137" t="n"/>
      <c r="E426" s="137" t="n"/>
    </row>
    <row r="427" ht="14.25" customHeight="1" s="156">
      <c r="A427" s="107" t="inlineStr">
        <is>
          <t>J1JAZZA10818200</t>
        </is>
      </c>
      <c r="C427" s="107" t="inlineStr">
        <is>
          <t>@8FL28130 L1820</t>
        </is>
      </c>
      <c r="F427" s="27" t="inlineStr">
        <is>
          <t>V3J04</t>
        </is>
      </c>
      <c r="G427" s="161" t="n">
        <v>200</v>
      </c>
      <c r="I427" s="161" t="n">
        <v>2</v>
      </c>
    </row>
    <row r="428" ht="24.95" customHeight="1" s="156">
      <c r="A428" s="122" t="inlineStr">
        <is>
          <t>*J1JAZZA10818200*</t>
        </is>
      </c>
      <c r="C428" s="107" t="n"/>
      <c r="F428" s="107" t="n"/>
    </row>
    <row r="429" ht="14.25" customHeight="1" s="156">
      <c r="A429" s="107" t="inlineStr">
        <is>
          <t>J6DW0089</t>
        </is>
      </c>
      <c r="C429" s="107" t="inlineStr">
        <is>
          <t>LED-A888　898X275X166</t>
        </is>
      </c>
      <c r="F429" s="27" t="inlineStr">
        <is>
          <t>V3Z01</t>
        </is>
      </c>
      <c r="G429" s="161" t="n">
        <v>4</v>
      </c>
      <c r="I429" s="161" t="n">
        <v>0.04</v>
      </c>
    </row>
    <row r="430" ht="24.95" customHeight="1" s="156">
      <c r="A430" s="122" t="inlineStr">
        <is>
          <t>*J6DW0089*</t>
        </is>
      </c>
      <c r="C430" s="107" t="inlineStr">
        <is>
          <t>L888×W275×H166</t>
        </is>
      </c>
      <c r="F430" s="107" t="n"/>
    </row>
    <row r="431" ht="14.25" customHeight="1" s="156">
      <c r="A431" s="107" t="inlineStr">
        <is>
          <t>J6XX0050</t>
        </is>
      </c>
      <c r="C431" s="107" t="inlineStr">
        <is>
          <t>(管理外)筋入ｸﾗﾌﾄ紙</t>
        </is>
      </c>
      <c r="F431" s="27" t="n"/>
      <c r="G431" s="161" t="n">
        <v>0.4</v>
      </c>
      <c r="I431" s="161" t="n">
        <v>0.004</v>
      </c>
    </row>
    <row r="432" ht="24.95" customHeight="1" s="156">
      <c r="A432" s="122" t="inlineStr">
        <is>
          <t>*J6XX0050*</t>
        </is>
      </c>
      <c r="C432" s="107" t="inlineStr">
        <is>
          <t>300＊100</t>
        </is>
      </c>
      <c r="F432" s="107" t="n"/>
    </row>
    <row r="433" ht="14.25" customHeight="1" s="156">
      <c r="A433" s="107" t="inlineStr">
        <is>
          <t>J6XX0051</t>
        </is>
      </c>
      <c r="C433" s="107" t="inlineStr">
        <is>
          <t>(管理外)LLDPE規格ｼｰﾄ0.02×950×100m</t>
        </is>
      </c>
      <c r="F433" s="27" t="n"/>
      <c r="G433" s="161" t="n">
        <v>0.4</v>
      </c>
      <c r="I433" s="161" t="n">
        <v>0.004</v>
      </c>
    </row>
    <row r="434" ht="24.95" customHeight="1" s="156">
      <c r="A434" s="122" t="inlineStr">
        <is>
          <t>*J6XX0051*</t>
        </is>
      </c>
      <c r="C434" s="107" t="inlineStr">
        <is>
          <t>0.02×950×100m</t>
        </is>
      </c>
      <c r="F434" s="107" t="n"/>
    </row>
    <row r="435" ht="14.25" customHeight="1" s="156">
      <c r="A435" s="107" t="n"/>
      <c r="C435" s="107" t="n"/>
      <c r="F435" s="27" t="n"/>
      <c r="G435" s="161" t="n"/>
      <c r="I435" s="161" t="n"/>
    </row>
    <row r="436" ht="24.95" customHeight="1" s="156" thickBot="1">
      <c r="A436" s="122" t="n"/>
      <c r="C436" s="107" t="n"/>
      <c r="F436" s="107" t="n"/>
    </row>
    <row r="437" ht="18" customFormat="1" customHeight="1" s="141">
      <c r="A437" s="28" t="inlineStr">
        <is>
          <t>温度換算</t>
        </is>
      </c>
      <c r="B437" s="29" t="inlineStr">
        <is>
          <t>L寸</t>
        </is>
      </c>
      <c r="C437" s="147" t="inlineStr">
        <is>
          <t>梱包箱</t>
        </is>
      </c>
      <c r="D437" s="162" t="n"/>
      <c r="E437" s="148" t="inlineStr">
        <is>
          <t>使用数</t>
        </is>
      </c>
      <c r="F437" s="31" t="inlineStr">
        <is>
          <t>作業者</t>
        </is>
      </c>
      <c r="G437" s="32" t="inlineStr">
        <is>
          <t>加工Lot</t>
        </is>
      </c>
      <c r="H437" s="129" t="inlineStr">
        <is>
          <t>箱数</t>
        </is>
      </c>
      <c r="I437" s="128" t="inlineStr">
        <is>
          <t>加工明細</t>
        </is>
      </c>
      <c r="J437" s="162" t="n"/>
    </row>
    <row r="438" ht="18" customFormat="1" customHeight="1" s="137">
      <c r="A438" s="34" t="inlineStr">
        <is>
          <t>〇</t>
        </is>
      </c>
      <c r="B438" s="163" t="n">
        <v>748</v>
      </c>
      <c r="C438" s="164" t="inlineStr">
        <is>
          <t>LED-A888</t>
        </is>
      </c>
      <c r="D438" s="165" t="n"/>
      <c r="E438" s="166" t="n">
        <v>4</v>
      </c>
      <c r="F438" s="167" t="inlineStr">
        <is>
          <t xml:space="preserve">切断加工：I / </t>
        </is>
      </c>
      <c r="G438" s="168" t="n">
        <v>46176</v>
      </c>
      <c r="H438" s="169" t="n">
        <v>4</v>
      </c>
      <c r="I438" s="39" t="inlineStr">
        <is>
          <t>入庫日</t>
        </is>
      </c>
      <c r="J438" s="170" t="n">
        <v>46176</v>
      </c>
    </row>
    <row r="439" ht="18" customFormat="1" customHeight="1" s="141">
      <c r="A439" s="44" t="inlineStr">
        <is>
          <t>+公差</t>
        </is>
      </c>
      <c r="B439" s="45" t="inlineStr">
        <is>
          <t>切断寸法</t>
        </is>
      </c>
      <c r="C439" s="171" t="n"/>
      <c r="D439" s="172" t="n"/>
      <c r="E439" s="119" t="n"/>
      <c r="F439" s="173" t="inlineStr">
        <is>
          <t xml:space="preserve">外観検査：T / </t>
        </is>
      </c>
      <c r="G439" s="168" t="n"/>
      <c r="H439" s="169" t="n"/>
      <c r="I439" s="39" t="inlineStr">
        <is>
          <t>入庫数</t>
        </is>
      </c>
      <c r="J439" s="174" t="n">
        <v>400</v>
      </c>
      <c r="K439" s="47" t="n"/>
    </row>
    <row r="440" ht="18" customFormat="1" customHeight="1" s="137">
      <c r="A440" s="48" t="n">
        <v>0.5</v>
      </c>
      <c r="B440" s="175" t="inlineStr">
        <is>
          <t>換算表確認</t>
        </is>
      </c>
      <c r="C440" s="155" t="inlineStr">
        <is>
          <t>梱包
方法</t>
        </is>
      </c>
      <c r="D440" s="176" t="inlineStr">
        <is>
          <t>L=888用　クラフト紙</t>
        </is>
      </c>
      <c r="E440" s="177" t="n"/>
      <c r="F440" s="178" t="n"/>
      <c r="G440" s="168" t="n"/>
      <c r="H440" s="169" t="n"/>
      <c r="I440" s="39" t="inlineStr">
        <is>
          <t>使用基材数</t>
        </is>
      </c>
      <c r="J440" s="174" t="n">
        <v>200</v>
      </c>
      <c r="K440" s="50" t="n"/>
    </row>
    <row r="441" ht="18" customFormat="1" customHeight="1" s="141">
      <c r="A441" s="51" t="inlineStr">
        <is>
          <t>-公差</t>
        </is>
      </c>
      <c r="B441" s="52" t="inlineStr">
        <is>
          <t>取数</t>
        </is>
      </c>
      <c r="C441" s="179" t="n"/>
      <c r="D441" s="176" t="inlineStr">
        <is>
          <t>ラベル１枚　長手無　鉢巻１回</t>
        </is>
      </c>
      <c r="E441" s="177" t="n"/>
      <c r="F441" s="178" t="n"/>
      <c r="G441" s="168" t="n"/>
      <c r="H441" s="169" t="n"/>
      <c r="I441" s="39" t="inlineStr">
        <is>
          <t>製品不良</t>
        </is>
      </c>
      <c r="J441" s="174" t="n">
        <v>0</v>
      </c>
      <c r="K441" s="47" t="n"/>
    </row>
    <row r="442" ht="18" customFormat="1" customHeight="1" s="137" thickBot="1">
      <c r="A442" s="53" t="n">
        <v>-0.5</v>
      </c>
      <c r="B442" s="54" t="n">
        <v>2</v>
      </c>
      <c r="C442" s="55" t="inlineStr">
        <is>
          <t>備考</t>
        </is>
      </c>
      <c r="D442" s="180" t="inlineStr">
        <is>
          <t>1箱目の梱包数 目視確認　以降、重量測定</t>
        </is>
      </c>
      <c r="E442" s="181" t="n"/>
      <c r="F442" s="182" t="n"/>
      <c r="G442" s="183" t="n"/>
      <c r="H442" s="184" t="n"/>
      <c r="I442" s="39" t="inlineStr">
        <is>
          <t>基材不良</t>
        </is>
      </c>
      <c r="J442" s="185" t="n">
        <v>0</v>
      </c>
      <c r="K442" s="50" t="n"/>
    </row>
    <row r="443" ht="18" customFormat="1" customHeight="1" s="141" thickBot="1">
      <c r="A443" s="58" t="inlineStr">
        <is>
          <t>作業日</t>
        </is>
      </c>
      <c r="B443" s="59">
        <f t="array" ref="B443">IF(SUM(--(ISTEXT(B444:B454)*(B444:B454&lt;&gt;"")))=0,"計測Lot","計測Lot・加工数")</f>
        <v/>
      </c>
      <c r="C443" s="60" t="inlineStr">
        <is>
          <t>温度</t>
        </is>
      </c>
      <c r="D443" s="61" t="inlineStr">
        <is>
          <t>換算</t>
        </is>
      </c>
      <c r="E443" s="62" t="inlineStr">
        <is>
          <t>計測値</t>
        </is>
      </c>
      <c r="F443" s="63">
        <f t="array" ref="F443">IF(SUM(--(ISTEXT(B444:B454)*(B444:B454&lt;&gt;"")))=0,"記入不要","使用Lot")</f>
        <v/>
      </c>
      <c r="G443" s="64" t="inlineStr">
        <is>
          <t>加工数</t>
        </is>
      </c>
      <c r="H443" s="65" t="inlineStr">
        <is>
          <t>基材換算</t>
        </is>
      </c>
      <c r="I443" s="66" t="inlineStr">
        <is>
          <t>端材使用</t>
        </is>
      </c>
      <c r="J443" s="186" t="n">
        <v>0</v>
      </c>
      <c r="K443" s="47" t="n"/>
    </row>
    <row r="444" ht="18" customFormat="1" customHeight="1" s="137">
      <c r="A444" s="187" t="n">
        <v>46100</v>
      </c>
      <c r="B444" s="188" t="inlineStr">
        <is>
          <t>26B28-05 × 5</t>
        </is>
      </c>
      <c r="C444" s="74" t="n"/>
      <c r="D444" s="189" t="n"/>
      <c r="E444" s="190" t="n"/>
      <c r="F444" s="191" t="inlineStr">
        <is>
          <t>26B28-05</t>
        </is>
      </c>
      <c r="G444" s="192" t="n">
        <v>5</v>
      </c>
      <c r="H444" s="193" t="n">
        <v>2</v>
      </c>
      <c r="I444" s="194" t="inlineStr">
        <is>
          <t>不良内訳</t>
        </is>
      </c>
      <c r="J444" s="195" t="n"/>
      <c r="K444" s="80" t="n"/>
    </row>
    <row r="445" ht="18" customFormat="1" customHeight="1" s="141">
      <c r="A445" s="196" t="n">
        <v>46175</v>
      </c>
      <c r="B445" s="72" t="inlineStr">
        <is>
          <t>26E21-03</t>
        </is>
      </c>
      <c r="C445" s="197" t="n">
        <v>26</v>
      </c>
      <c r="D445" s="198" t="n">
        <v>748.29</v>
      </c>
      <c r="E445" s="199" t="n">
        <v>748.28</v>
      </c>
      <c r="F445" s="200" t="inlineStr">
        <is>
          <t>26E21-03</t>
        </is>
      </c>
      <c r="G445" s="197" t="n">
        <v>395</v>
      </c>
      <c r="H445" s="201" t="n">
        <v>197.5</v>
      </c>
      <c r="I445" s="86" t="inlineStr">
        <is>
          <t>キズ</t>
        </is>
      </c>
      <c r="J445" s="201" t="n"/>
      <c r="K445" s="80" t="n"/>
    </row>
    <row r="446" ht="18.95" customFormat="1" customHeight="1" s="91">
      <c r="A446" s="202" t="n">
        <v>46176</v>
      </c>
      <c r="B446" s="72" t="inlineStr">
        <is>
          <t>26E21-03</t>
        </is>
      </c>
      <c r="C446" s="197" t="n">
        <v>22</v>
      </c>
      <c r="D446" s="198" t="n">
        <v>748.1</v>
      </c>
      <c r="E446" s="199" t="n">
        <v>748.08</v>
      </c>
      <c r="F446" s="200" t="n"/>
      <c r="G446" s="197" t="n">
        <v>0</v>
      </c>
      <c r="H446" s="201" t="n"/>
      <c r="I446" s="86" t="inlineStr">
        <is>
          <t>凹み</t>
        </is>
      </c>
      <c r="J446" s="201" t="n"/>
      <c r="K446" s="89" t="n"/>
      <c r="L446" s="90" t="n"/>
      <c r="M446" s="90" t="n"/>
      <c r="N446" s="90" t="n"/>
    </row>
    <row r="447" ht="18.95" customFormat="1" customHeight="1" s="94">
      <c r="A447" s="202" t="n">
        <v>46176</v>
      </c>
      <c r="B447" s="72" t="inlineStr">
        <is>
          <t>26E21-03 × 395</t>
        </is>
      </c>
      <c r="C447" s="197" t="n">
        <v>26</v>
      </c>
      <c r="D447" s="198" t="n">
        <v>748.29</v>
      </c>
      <c r="E447" s="199" t="n">
        <v>748.29</v>
      </c>
      <c r="F447" s="200" t="n"/>
      <c r="G447" s="197" t="n">
        <v>0</v>
      </c>
      <c r="H447" s="201" t="n"/>
      <c r="I447" s="86" t="inlineStr">
        <is>
          <t>異物</t>
        </is>
      </c>
      <c r="J447" s="201" t="n"/>
      <c r="K447" s="92" t="n"/>
      <c r="L447" s="93" t="n"/>
      <c r="M447" s="93" t="n"/>
      <c r="N447" s="93" t="n"/>
    </row>
    <row r="448" ht="18.95" customFormat="1" customHeight="1" s="94">
      <c r="A448" s="202" t="n"/>
      <c r="B448" s="72" t="inlineStr"/>
      <c r="C448" s="197" t="n"/>
      <c r="D448" s="198" t="n"/>
      <c r="E448" s="199" t="n"/>
      <c r="F448" s="200" t="n"/>
      <c r="G448" s="197" t="n">
        <v>0</v>
      </c>
      <c r="H448" s="201" t="n"/>
      <c r="I448" s="86" t="inlineStr">
        <is>
          <t>欠け</t>
        </is>
      </c>
      <c r="J448" s="201" t="n"/>
      <c r="K448" s="92" t="n"/>
      <c r="L448" s="93" t="n"/>
      <c r="M448" s="93" t="n"/>
      <c r="N448" s="93" t="n"/>
    </row>
    <row r="449" ht="18.95" customFormat="1" customHeight="1" s="94">
      <c r="A449" s="202" t="n"/>
      <c r="B449" s="72" t="inlineStr"/>
      <c r="C449" s="197" t="n"/>
      <c r="D449" s="198" t="n"/>
      <c r="E449" s="199" t="n"/>
      <c r="F449" s="200" t="n"/>
      <c r="G449" s="197" t="n">
        <v>0</v>
      </c>
      <c r="H449" s="201" t="n"/>
      <c r="I449" s="86" t="inlineStr">
        <is>
          <t>メヤニ</t>
        </is>
      </c>
      <c r="J449" s="201" t="n"/>
      <c r="K449" s="92" t="n"/>
      <c r="L449" s="93" t="n"/>
      <c r="M449" s="93" t="n"/>
      <c r="N449" s="93" t="n"/>
    </row>
    <row r="450" ht="18.95" customFormat="1" customHeight="1" s="94">
      <c r="A450" s="202" t="n"/>
      <c r="B450" s="72" t="inlineStr"/>
      <c r="C450" s="197" t="n"/>
      <c r="D450" s="198" t="n"/>
      <c r="E450" s="199" t="n"/>
      <c r="F450" s="200" t="n"/>
      <c r="G450" s="197" t="n">
        <v>0</v>
      </c>
      <c r="H450" s="201" t="n"/>
      <c r="I450" s="86" t="inlineStr">
        <is>
          <t>ベコツキ</t>
        </is>
      </c>
      <c r="J450" s="201" t="n"/>
      <c r="K450" s="92" t="n"/>
      <c r="L450" s="93" t="n"/>
      <c r="M450" s="93" t="n"/>
      <c r="N450" s="93" t="n"/>
    </row>
    <row r="451" ht="18.95" customFormat="1" customHeight="1" s="94">
      <c r="A451" s="202" t="n"/>
      <c r="B451" s="72" t="inlineStr"/>
      <c r="C451" s="197" t="n"/>
      <c r="D451" s="198" t="n"/>
      <c r="E451" s="199" t="n"/>
      <c r="F451" s="200" t="n"/>
      <c r="G451" s="197" t="n">
        <v>0</v>
      </c>
      <c r="H451" s="201" t="n"/>
      <c r="I451" s="95" t="inlineStr">
        <is>
          <t>汚損</t>
        </is>
      </c>
      <c r="J451" s="201" t="n"/>
      <c r="K451" s="92" t="n"/>
      <c r="L451" s="93" t="n"/>
      <c r="M451" s="93" t="n"/>
      <c r="N451" s="93" t="n"/>
    </row>
    <row r="452" ht="18.95" customFormat="1" customHeight="1" s="94">
      <c r="A452" s="202" t="n"/>
      <c r="B452" s="72" t="inlineStr"/>
      <c r="C452" s="197" t="n"/>
      <c r="D452" s="198" t="n"/>
      <c r="E452" s="199" t="n"/>
      <c r="F452" s="200" t="n"/>
      <c r="G452" s="197" t="n">
        <v>0</v>
      </c>
      <c r="H452" s="201" t="n"/>
      <c r="I452" s="95" t="inlineStr">
        <is>
          <t>形状異常</t>
        </is>
      </c>
      <c r="J452" s="201" t="n"/>
      <c r="K452" s="92" t="n"/>
      <c r="L452" s="93" t="n"/>
      <c r="M452" s="93" t="n"/>
      <c r="N452" s="93" t="n"/>
    </row>
    <row r="453" ht="18.95" customFormat="1" customHeight="1" s="94">
      <c r="A453" s="202" t="n"/>
      <c r="B453" s="72" t="inlineStr"/>
      <c r="C453" s="197" t="n"/>
      <c r="D453" s="198" t="n"/>
      <c r="E453" s="199" t="n"/>
      <c r="F453" s="200" t="n"/>
      <c r="G453" s="197" t="n">
        <v>0</v>
      </c>
      <c r="H453" s="201" t="n"/>
      <c r="I453" s="86" t="inlineStr">
        <is>
          <t>その他</t>
        </is>
      </c>
      <c r="J453" s="203" t="n"/>
      <c r="K453" s="92" t="n"/>
      <c r="L453" s="93" t="n"/>
      <c r="M453" s="93" t="n"/>
      <c r="N453" s="93" t="n"/>
    </row>
    <row r="454" ht="18.95" customFormat="1" customHeight="1" s="94" thickBot="1">
      <c r="A454" s="204" t="inlineStr">
        <is>
          <t>不良補填</t>
        </is>
      </c>
      <c r="B454" s="73" t="n">
        <v>0</v>
      </c>
      <c r="C454" s="205" t="n"/>
      <c r="D454" s="206" t="n"/>
      <c r="E454" s="207" t="n"/>
      <c r="F454" s="208" t="n"/>
      <c r="G454" s="209" t="n"/>
      <c r="H454" s="210" t="n"/>
      <c r="I454" s="102" t="inlineStr">
        <is>
          <t>合計</t>
        </is>
      </c>
      <c r="J454" s="211" t="n">
        <v>0</v>
      </c>
      <c r="K454" s="92" t="n"/>
      <c r="L454" s="93" t="n"/>
      <c r="M454" s="93" t="n"/>
      <c r="N454" s="93" t="n"/>
    </row>
    <row r="455" ht="6" customHeight="1" s="156" thickBot="1">
      <c r="A455" s="103" t="n"/>
      <c r="B455" s="104" t="n"/>
      <c r="C455" s="104" t="n"/>
      <c r="D455" s="103" t="n"/>
      <c r="E455" s="104" t="n"/>
      <c r="F455" s="104" t="n"/>
      <c r="G455" s="104" t="n"/>
      <c r="H455" s="104" t="n"/>
    </row>
    <row r="456" ht="6" customHeight="1" s="156" thickTop="1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</row>
    <row r="457" ht="14.25" customHeight="1" s="156">
      <c r="A457" s="11" t="n"/>
      <c r="B457" s="125" t="inlineStr">
        <is>
          <t>検査梱包指示書</t>
        </is>
      </c>
      <c r="E457" s="11" t="n"/>
      <c r="F457" s="11" t="n"/>
      <c r="G457" s="11" t="n"/>
      <c r="H457" s="11" t="n"/>
      <c r="I457" s="11" t="n"/>
      <c r="J457" s="11" t="n"/>
    </row>
    <row r="458" ht="14.25" customHeight="1" s="156">
      <c r="A458" s="12" t="n"/>
      <c r="E458" s="12" t="n"/>
      <c r="F458" s="12" t="n"/>
      <c r="G458" s="12" t="n"/>
      <c r="H458" s="12" t="n"/>
      <c r="I458" s="12" t="n"/>
      <c r="J458" s="12" t="n"/>
    </row>
    <row r="459" ht="14.25" customHeight="1" s="156">
      <c r="A459" s="112" t="inlineStr">
        <is>
          <t>品目番号</t>
        </is>
      </c>
      <c r="B459" s="112" t="inlineStr">
        <is>
          <t>J1JAZZB10807480</t>
        </is>
      </c>
      <c r="C459" s="112" t="inlineStr">
        <is>
          <t>Ｌ寸</t>
        </is>
      </c>
      <c r="D459" s="157" t="n">
        <v>748</v>
      </c>
      <c r="E459" s="112" t="inlineStr">
        <is>
          <t>名称</t>
        </is>
      </c>
      <c r="F459" s="123" t="inlineStr">
        <is>
          <t>8FL2813048310</t>
        </is>
      </c>
      <c r="I459" s="24" t="inlineStr">
        <is>
          <t>上長</t>
        </is>
      </c>
      <c r="J459" s="24" t="inlineStr">
        <is>
          <t>係員</t>
        </is>
      </c>
    </row>
    <row r="460" ht="14.25" customHeight="1" s="156">
      <c r="I460" s="105" t="n"/>
      <c r="J460" s="105" t="n"/>
    </row>
    <row r="461" ht="17.45" customHeight="1" s="156">
      <c r="A461" s="111" t="inlineStr">
        <is>
          <t>製造指図№</t>
        </is>
      </c>
      <c r="B461" s="111" t="inlineStr">
        <is>
          <t>000000000014581</t>
        </is>
      </c>
      <c r="E461" s="111" t="inlineStr">
        <is>
          <t>原料名</t>
        </is>
      </c>
      <c r="F461" s="140" t="inlineStr">
        <is>
          <t>(CASE 748MILK-W4)</t>
        </is>
      </c>
      <c r="I461" s="106" t="n"/>
      <c r="J461" s="106" t="n"/>
    </row>
    <row r="462" ht="17.45" customHeight="1" s="156">
      <c r="I462" s="13" t="n"/>
      <c r="J462" s="13" t="n"/>
    </row>
    <row r="463" ht="17.45" customHeight="1" s="156">
      <c r="A463" s="111" t="inlineStr">
        <is>
          <t>発注明細№</t>
        </is>
      </c>
      <c r="B463" s="111" t="inlineStr">
        <is>
          <t>000000000855917</t>
        </is>
      </c>
      <c r="E463" s="2" t="inlineStr">
        <is>
          <t>色　名</t>
        </is>
      </c>
      <c r="F463" s="140" t="inlineStr">
        <is>
          <t>J6VZ034</t>
        </is>
      </c>
      <c r="H463" s="21" t="n"/>
      <c r="I463" s="13" t="n"/>
      <c r="J463" s="13" t="n"/>
    </row>
    <row r="464" ht="17.45" customHeight="1" s="156">
      <c r="E464" s="2" t="inlineStr">
        <is>
          <t>製品Grp</t>
        </is>
      </c>
      <c r="F464" s="21" t="inlineStr">
        <is>
          <t>J1ZB</t>
        </is>
      </c>
      <c r="G464" s="21" t="n"/>
      <c r="H464" s="21" t="n"/>
      <c r="I464" s="14" t="n"/>
      <c r="J464" s="14" t="n"/>
    </row>
    <row r="465" ht="17.45" customHeight="1" s="156">
      <c r="A465" s="2" t="inlineStr">
        <is>
          <t>開始日</t>
        </is>
      </c>
      <c r="B465" s="158" t="n">
        <v>46196</v>
      </c>
      <c r="E465" s="2" t="inlineStr">
        <is>
          <t>入り数</t>
        </is>
      </c>
      <c r="F465" s="159" t="n">
        <v>100</v>
      </c>
      <c r="H465" s="21" t="n"/>
    </row>
    <row r="466" ht="17.45" customHeight="1" s="156">
      <c r="A466" s="2" t="inlineStr">
        <is>
          <t>終了日</t>
        </is>
      </c>
      <c r="B466" s="158" t="n">
        <v>46196</v>
      </c>
      <c r="E466" s="2" t="inlineStr">
        <is>
          <t>梱包数</t>
        </is>
      </c>
      <c r="F466" s="21" t="n">
        <v>4</v>
      </c>
      <c r="G466" s="143" t="inlineStr">
        <is>
          <t>指示数量</t>
        </is>
      </c>
      <c r="H466" s="160" t="n">
        <v>400</v>
      </c>
      <c r="I466" s="133" t="n"/>
      <c r="J466" s="134" t="n"/>
    </row>
    <row r="467" ht="17.45" customHeight="1" s="156">
      <c r="A467" s="19" t="n"/>
      <c r="B467" s="127" t="n"/>
      <c r="C467" s="127" t="n"/>
      <c r="D467" s="127" t="n"/>
      <c r="E467" s="2" t="inlineStr">
        <is>
          <t>金　型</t>
        </is>
      </c>
      <c r="F467" s="21" t="inlineStr">
        <is>
          <t>4350</t>
        </is>
      </c>
      <c r="G467" s="135" t="n"/>
      <c r="H467" s="135" t="n"/>
      <c r="I467" s="117" t="n"/>
      <c r="J467" s="136" t="n"/>
    </row>
    <row r="468" ht="13.5" customHeight="1" s="156">
      <c r="A468" s="127" t="inlineStr">
        <is>
          <t>*J1JAZZB10807480*</t>
        </is>
      </c>
      <c r="D468" s="127" t="n"/>
      <c r="F468" s="3" t="n"/>
      <c r="G468" s="126" t="inlineStr">
        <is>
          <t>格納先</t>
        </is>
      </c>
      <c r="H468" s="118" t="inlineStr">
        <is>
          <t>V3J03</t>
        </is>
      </c>
      <c r="I468" s="138" t="inlineStr">
        <is>
          <t>樹脂第3倉庫 (在庫)</t>
        </is>
      </c>
      <c r="J468" s="139" t="n"/>
    </row>
    <row r="469" ht="13.5" customHeight="1" s="156">
      <c r="D469" s="127" t="n"/>
      <c r="F469" s="3" t="n"/>
      <c r="G469" s="119" t="n"/>
      <c r="H469" s="119" t="n"/>
      <c r="I469" s="117" t="n"/>
      <c r="J469" s="136" t="n"/>
    </row>
    <row r="470" ht="13.5" customHeight="1" s="156">
      <c r="A470" s="108" t="inlineStr">
        <is>
          <t>指図書備考</t>
        </is>
      </c>
    </row>
    <row r="471" ht="63" customHeight="1" s="156">
      <c r="A471" s="130" t="n"/>
      <c r="B471" s="131" t="n"/>
      <c r="C471" s="131" t="n"/>
      <c r="D471" s="131" t="n"/>
      <c r="E471" s="131" t="n"/>
      <c r="F471" s="131" t="n"/>
      <c r="G471" s="131" t="n"/>
      <c r="H471" s="131" t="n"/>
      <c r="I471" s="131" t="n"/>
      <c r="J471" s="131" t="n"/>
    </row>
    <row r="472" ht="18.75" customHeight="1" s="156">
      <c r="A472" s="23" t="inlineStr">
        <is>
          <t>工順</t>
        </is>
      </c>
      <c r="B472" s="16" t="inlineStr">
        <is>
          <t>製造場所</t>
        </is>
      </c>
      <c r="C472" s="120" t="inlineStr">
        <is>
          <t>製造場所名</t>
        </is>
      </c>
      <c r="D472" s="121" t="n"/>
      <c r="E472" s="16" t="inlineStr">
        <is>
          <t>工程</t>
        </is>
      </c>
      <c r="F472" s="120" t="inlineStr">
        <is>
          <t>工程名</t>
        </is>
      </c>
      <c r="G472" s="121" t="n"/>
      <c r="H472" s="121" t="n"/>
      <c r="I472" s="124" t="inlineStr">
        <is>
          <t>作業時間</t>
        </is>
      </c>
      <c r="J472" s="121" t="n"/>
    </row>
    <row r="473" ht="14.25" customHeight="1" s="156">
      <c r="A473" s="141" t="n"/>
      <c r="B473" s="141" t="n"/>
      <c r="C473" s="141" t="n"/>
      <c r="D473" s="141" t="n"/>
      <c r="E473" s="141" t="n"/>
      <c r="F473" s="141" t="n"/>
      <c r="G473" s="141" t="n"/>
      <c r="H473" s="141" t="n"/>
      <c r="I473" s="141" t="n"/>
      <c r="J473" s="141" t="n"/>
    </row>
    <row r="474" ht="16.5" customHeight="1" s="156">
      <c r="A474" s="22" t="n">
        <v>1</v>
      </c>
      <c r="B474" s="107" t="inlineStr">
        <is>
          <t>V3Z01</t>
        </is>
      </c>
      <c r="C474" s="107" t="inlineStr">
        <is>
          <t>黒部工業</t>
        </is>
      </c>
      <c r="E474" s="107" t="inlineStr">
        <is>
          <t>V3P05</t>
        </is>
      </c>
      <c r="F474" s="107" t="inlineStr">
        <is>
          <t>切断</t>
        </is>
      </c>
      <c r="I474" s="115" t="n"/>
    </row>
    <row r="475" ht="16.5" customHeight="1" s="156">
      <c r="A475" s="22" t="n">
        <v>1</v>
      </c>
      <c r="B475" s="26" t="inlineStr">
        <is>
          <t>V3Z01</t>
        </is>
      </c>
      <c r="C475" s="107" t="inlineStr">
        <is>
          <t>黒部工業</t>
        </is>
      </c>
      <c r="E475" s="107" t="inlineStr">
        <is>
          <t>V3P16</t>
        </is>
      </c>
      <c r="F475" s="107" t="inlineStr">
        <is>
          <t>検査・梱包</t>
        </is>
      </c>
      <c r="I475" s="115" t="n"/>
    </row>
    <row r="476" ht="16.5" customHeight="1" s="156">
      <c r="A476" s="22" t="n"/>
      <c r="B476" s="26" t="n"/>
      <c r="C476" s="107" t="n"/>
      <c r="E476" s="107" t="n"/>
      <c r="F476" s="107" t="n"/>
      <c r="I476" s="115" t="n"/>
    </row>
    <row r="477" ht="16.5" customHeight="1" s="156">
      <c r="A477" s="22" t="n"/>
      <c r="B477" s="26" t="n"/>
      <c r="C477" s="107" t="n"/>
      <c r="E477" s="107" t="n"/>
      <c r="F477" s="107" t="n"/>
      <c r="I477" s="115" t="n"/>
    </row>
    <row r="478" ht="16.5" customHeight="1" s="156">
      <c r="A478" s="22" t="n"/>
      <c r="B478" s="26" t="n"/>
      <c r="C478" s="107" t="n"/>
      <c r="E478" s="107" t="n"/>
      <c r="F478" s="107" t="n"/>
      <c r="I478" s="115" t="n"/>
    </row>
    <row r="479" ht="16.5" customHeight="1" s="156">
      <c r="A479" s="22" t="n"/>
      <c r="B479" s="26" t="n"/>
      <c r="C479" s="107" t="n"/>
      <c r="E479" s="107" t="n"/>
      <c r="F479" s="107" t="n"/>
      <c r="I479" s="115" t="n"/>
    </row>
    <row r="480" ht="16.5" customHeight="1" s="156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</row>
    <row r="481" ht="18.75" customHeight="1" s="156">
      <c r="A481" s="109" t="inlineStr">
        <is>
          <t>品目コード</t>
        </is>
      </c>
      <c r="B481" s="110" t="n"/>
      <c r="C481" s="109" t="inlineStr">
        <is>
          <t>品目名１</t>
        </is>
      </c>
      <c r="D481" s="110" t="n"/>
      <c r="E481" s="110" t="n"/>
      <c r="F481" s="17" t="inlineStr">
        <is>
          <t>在庫場所</t>
        </is>
      </c>
      <c r="G481" s="109" t="inlineStr">
        <is>
          <t>出庫数量</t>
        </is>
      </c>
      <c r="H481" s="110" t="n"/>
      <c r="I481" s="109" t="inlineStr">
        <is>
          <t>バッチ必要数</t>
        </is>
      </c>
      <c r="J481" s="110" t="n"/>
    </row>
    <row r="482" ht="14.25" customHeight="1" s="156">
      <c r="A482" s="8" t="n"/>
      <c r="B482" s="18" t="n"/>
      <c r="C482" s="116" t="inlineStr">
        <is>
          <t>品目名２</t>
        </is>
      </c>
      <c r="D482" s="117" t="n"/>
      <c r="E482" s="18" t="n"/>
      <c r="F482" s="116" t="inlineStr">
        <is>
          <t>指図書備考</t>
        </is>
      </c>
      <c r="G482" s="117" t="n"/>
      <c r="H482" s="117" t="n"/>
      <c r="I482" s="117" t="n"/>
      <c r="J482" s="117" t="n"/>
    </row>
    <row r="483">
      <c r="A483" s="9" t="n"/>
      <c r="C483" s="137" t="n"/>
      <c r="D483" s="137" t="n"/>
      <c r="E483" s="137" t="n"/>
    </row>
    <row r="484" ht="14.25" customHeight="1" s="156">
      <c r="A484" s="107" t="inlineStr">
        <is>
          <t>J1JAZZA10818200</t>
        </is>
      </c>
      <c r="C484" s="107" t="inlineStr">
        <is>
          <t>@8FL28130 L1820</t>
        </is>
      </c>
      <c r="F484" s="27" t="inlineStr">
        <is>
          <t>V3J04</t>
        </is>
      </c>
      <c r="G484" s="161" t="n">
        <v>200</v>
      </c>
      <c r="I484" s="161" t="n">
        <v>2</v>
      </c>
    </row>
    <row r="485" ht="24.95" customHeight="1" s="156">
      <c r="A485" s="122" t="inlineStr">
        <is>
          <t>*J1JAZZA10818200*</t>
        </is>
      </c>
      <c r="C485" s="107" t="n"/>
      <c r="F485" s="107" t="n"/>
    </row>
    <row r="486" ht="14.25" customHeight="1" s="156">
      <c r="A486" s="107" t="inlineStr">
        <is>
          <t>J6DW0089</t>
        </is>
      </c>
      <c r="C486" s="107" t="inlineStr">
        <is>
          <t>LED-A888　898X275X166</t>
        </is>
      </c>
      <c r="F486" s="27" t="inlineStr">
        <is>
          <t>V3Z01</t>
        </is>
      </c>
      <c r="G486" s="161" t="n">
        <v>4</v>
      </c>
      <c r="I486" s="161" t="n">
        <v>0.04</v>
      </c>
    </row>
    <row r="487" ht="24.95" customHeight="1" s="156">
      <c r="A487" s="122" t="inlineStr">
        <is>
          <t>*J6DW0089*</t>
        </is>
      </c>
      <c r="C487" s="107" t="inlineStr">
        <is>
          <t>L888×W275×H166</t>
        </is>
      </c>
      <c r="F487" s="107" t="n"/>
    </row>
    <row r="488" ht="14.25" customHeight="1" s="156">
      <c r="A488" s="107" t="inlineStr">
        <is>
          <t>J6XX0050</t>
        </is>
      </c>
      <c r="C488" s="107" t="inlineStr">
        <is>
          <t>(管理外)筋入ｸﾗﾌﾄ紙</t>
        </is>
      </c>
      <c r="F488" s="27" t="n"/>
      <c r="G488" s="161" t="n">
        <v>0.4</v>
      </c>
      <c r="I488" s="161" t="n">
        <v>0.004</v>
      </c>
    </row>
    <row r="489" ht="24.95" customHeight="1" s="156">
      <c r="A489" s="122" t="inlineStr">
        <is>
          <t>*J6XX0050*</t>
        </is>
      </c>
      <c r="C489" s="107" t="inlineStr">
        <is>
          <t>300＊100</t>
        </is>
      </c>
      <c r="F489" s="107" t="n"/>
    </row>
    <row r="490" ht="14.25" customHeight="1" s="156">
      <c r="A490" s="107" t="inlineStr">
        <is>
          <t>J6XX0051</t>
        </is>
      </c>
      <c r="C490" s="107" t="inlineStr">
        <is>
          <t>(管理外)LLDPE規格ｼｰﾄ0.02×950×100m</t>
        </is>
      </c>
      <c r="F490" s="27" t="n"/>
      <c r="G490" s="161" t="n">
        <v>0.4</v>
      </c>
      <c r="I490" s="161" t="n">
        <v>0.004</v>
      </c>
    </row>
    <row r="491" ht="24.95" customHeight="1" s="156">
      <c r="A491" s="122" t="inlineStr">
        <is>
          <t>*J6XX0051*</t>
        </is>
      </c>
      <c r="C491" s="107" t="inlineStr">
        <is>
          <t>0.02×950×100m</t>
        </is>
      </c>
      <c r="F491" s="107" t="n"/>
    </row>
    <row r="492" ht="14.25" customHeight="1" s="156">
      <c r="A492" s="107" t="n"/>
      <c r="C492" s="107" t="n"/>
      <c r="F492" s="27" t="n"/>
      <c r="G492" s="161" t="n"/>
      <c r="I492" s="161" t="n"/>
    </row>
    <row r="493" ht="24.95" customHeight="1" s="156" thickBot="1">
      <c r="A493" s="122" t="n"/>
      <c r="C493" s="107" t="n"/>
      <c r="F493" s="107" t="n"/>
    </row>
    <row r="494" ht="18" customFormat="1" customHeight="1" s="141">
      <c r="A494" s="28" t="inlineStr">
        <is>
          <t>温度換算</t>
        </is>
      </c>
      <c r="B494" s="29" t="inlineStr">
        <is>
          <t>L寸</t>
        </is>
      </c>
      <c r="C494" s="147" t="inlineStr">
        <is>
          <t>梱包箱</t>
        </is>
      </c>
      <c r="D494" s="162" t="n"/>
      <c r="E494" s="148" t="inlineStr">
        <is>
          <t>使用数</t>
        </is>
      </c>
      <c r="F494" s="31" t="inlineStr">
        <is>
          <t>作業者</t>
        </is>
      </c>
      <c r="G494" s="32" t="inlineStr">
        <is>
          <t>加工Lot</t>
        </is>
      </c>
      <c r="H494" s="129" t="inlineStr">
        <is>
          <t>箱数</t>
        </is>
      </c>
      <c r="I494" s="128" t="inlineStr">
        <is>
          <t>加工明細</t>
        </is>
      </c>
      <c r="J494" s="162" t="n"/>
    </row>
    <row r="495" ht="18" customFormat="1" customHeight="1" s="137">
      <c r="A495" s="34">
        <f>_xlfn.XLOOKUP(B459,[3]VFDB2!$A:$A,[3]VFDB2!$J:$J)</f>
        <v/>
      </c>
      <c r="B495" s="163">
        <f>D459</f>
        <v/>
      </c>
      <c r="C495" s="164">
        <f>_xlfn.XLOOKUP(B459,[3]VFDB2!$A:$A,[3]VFDB2!$Z:$Z)</f>
        <v/>
      </c>
      <c r="D495" s="165" t="n"/>
      <c r="E495" s="166">
        <f t="array" ref="E495">IFERROR(INDEX(_xlfn._xlws.FILTER([4]加工記録２!C:C,[4]加工記録２!U:U=B461),9),"")</f>
        <v/>
      </c>
      <c r="F495" s="167">
        <f t="array" ref="F495">IFERROR("切断加工：" &amp;_xlfn.TEXTJOIN(" / ",TRUE,INDEX(_xlfn._xlws.FILTER([4]加工記録２!M:M,[4]加工記録２!U:U=B461),9),INDEX(_xlfn._xlws.FILTER([4]加工記録２!N:N,[4]加工記録２!U:U=B461),9)),"")</f>
        <v/>
      </c>
      <c r="G495" s="168">
        <f t="array" ref="G495:H499">IFERROR(IF(_xlfn.TAKE(_xlfn._xlws.FILTER([4]加工記録２!$M:$N,[4]加工記録２!$U:$U=B461),5)=0,"",_xlfn.TAKE(_xlfn._xlws.FILTER([4]加工記録２!$M:$N,[4]加工記録２!$U:$U=B461),5)),"")</f>
        <v/>
      </c>
      <c r="H495" s="169" t="str"/>
      <c r="I495" s="39" t="inlineStr">
        <is>
          <t>入庫日</t>
        </is>
      </c>
      <c r="J495" s="170">
        <f t="array" ref="J495:J500">IFERROR(INDEX(_xlfn._xlws.FILTER([4]加工記録２!P:P, [4]加工記録２!U:U=B461),_xlfn.SEQUENCE(6)),"")</f>
        <v/>
      </c>
    </row>
    <row r="496" ht="18" customFormat="1" customHeight="1" s="141">
      <c r="A496" s="44" t="inlineStr">
        <is>
          <t>+公差</t>
        </is>
      </c>
      <c r="B496" s="45" t="inlineStr">
        <is>
          <t>切断寸法</t>
        </is>
      </c>
      <c r="C496" s="171" t="n"/>
      <c r="D496" s="172" t="n"/>
      <c r="E496" s="119" t="n"/>
      <c r="F496" s="173">
        <f t="array" ref="F496">IFERROR("外観検査：" &amp;_xlfn.TEXTJOIN(" / ",TRUE,INDEX(_xlfn._xlws.FILTER([4]加工記録２!M:M,[4]加工記録２!U:U=B461),10),INDEX(_xlfn._xlws.FILTER([4]加工記録２!N:N,[4]加工記録２!U:U=B461),10)),"")</f>
        <v/>
      </c>
      <c r="G496" s="168" t="str"/>
      <c r="H496" s="169" t="str"/>
      <c r="I496" s="39" t="inlineStr">
        <is>
          <t>入庫数</t>
        </is>
      </c>
      <c r="J496" s="174" t="n">
        <v>0</v>
      </c>
      <c r="K496" s="47" t="n"/>
    </row>
    <row r="497" ht="18" customFormat="1" customHeight="1" s="137">
      <c r="A497" s="48">
        <f>_xlfn.XLOOKUP(B459,[3]VFDB2!$A:$A,[3]VFDB2!$L:$L)</f>
        <v/>
      </c>
      <c r="B497" s="175">
        <f>_xlfn.XLOOKUP(B459,[3]VFDB2!$A:$A,[3]VFDB2!$AC:$AC)</f>
        <v/>
      </c>
      <c r="C497" s="155" t="inlineStr">
        <is>
          <t>梱包
方法</t>
        </is>
      </c>
      <c r="D497" s="176">
        <f>_xlfn.XLOOKUP(B459,[3]VFDB2!$A:$A,[3]VFDB2!$W:$W)</f>
        <v/>
      </c>
      <c r="E497" s="177" t="n"/>
      <c r="F497" s="178" t="n"/>
      <c r="G497" s="168" t="str"/>
      <c r="H497" s="169" t="str"/>
      <c r="I497" s="39" t="inlineStr">
        <is>
          <t>使用基材数</t>
        </is>
      </c>
      <c r="J497" s="174" t="n">
        <v>0</v>
      </c>
      <c r="K497" s="50" t="n"/>
    </row>
    <row r="498" ht="18" customFormat="1" customHeight="1" s="141">
      <c r="A498" s="51" t="inlineStr">
        <is>
          <t>-公差</t>
        </is>
      </c>
      <c r="B498" s="52" t="inlineStr">
        <is>
          <t>取数</t>
        </is>
      </c>
      <c r="C498" s="179" t="n"/>
      <c r="D498" s="176">
        <f>_xlfn.XLOOKUP(B459,[3]VFDB2!$A:$A,[3]VFDB2!$R:$R)</f>
        <v/>
      </c>
      <c r="E498" s="177" t="n"/>
      <c r="F498" s="178" t="n"/>
      <c r="G498" s="168" t="str"/>
      <c r="H498" s="169" t="str"/>
      <c r="I498" s="39" t="inlineStr">
        <is>
          <t>製品不良</t>
        </is>
      </c>
      <c r="J498" s="174" t="n">
        <v>0</v>
      </c>
      <c r="K498" s="47" t="n"/>
    </row>
    <row r="499" ht="18" customFormat="1" customHeight="1" s="137" thickBot="1">
      <c r="A499" s="53">
        <f>_xlfn.XLOOKUP(B459,[3]VFDB2!$A:$A,[3]VFDB2!$K:$K)</f>
        <v/>
      </c>
      <c r="B499" s="54">
        <f>_xlfn.XLOOKUP(B459,[3]VFDB2!$A:$A,[3]VFDB2!$P:$P)</f>
        <v/>
      </c>
      <c r="C499" s="55" t="inlineStr">
        <is>
          <t>備考</t>
        </is>
      </c>
      <c r="D499" s="180">
        <f>_xlfn.XLOOKUP(B459,[3]VFDB2!$A:$A,[3]VFDB2!$V:$V)</f>
        <v/>
      </c>
      <c r="E499" s="181" t="n"/>
      <c r="F499" s="182" t="n"/>
      <c r="G499" s="183" t="str"/>
      <c r="H499" s="184" t="str"/>
      <c r="I499" s="39" t="inlineStr">
        <is>
          <t>基材不良</t>
        </is>
      </c>
      <c r="J499" s="185" t="n">
        <v>0</v>
      </c>
      <c r="K499" s="50" t="n"/>
    </row>
    <row r="500" ht="18" customFormat="1" customHeight="1" s="141" thickBot="1">
      <c r="A500" s="58" t="inlineStr">
        <is>
          <t>作業日</t>
        </is>
      </c>
      <c r="B500" s="59">
        <f t="array" ref="B500">IF(SUM(--(ISTEXT(B501:B511)*(B501:B511&lt;&gt;"")))=0,"計測Lot","計測Lot・加工数")</f>
        <v/>
      </c>
      <c r="C500" s="60" t="inlineStr">
        <is>
          <t>温度</t>
        </is>
      </c>
      <c r="D500" s="61" t="inlineStr">
        <is>
          <t>換算</t>
        </is>
      </c>
      <c r="E500" s="62" t="inlineStr">
        <is>
          <t>計測値</t>
        </is>
      </c>
      <c r="F500" s="63">
        <f t="array" ref="F500">IF(SUM(--(ISTEXT(B501:B511)*(B501:B511&lt;&gt;"")))=0,"記入不要","使用Lot")</f>
        <v/>
      </c>
      <c r="G500" s="64" t="inlineStr">
        <is>
          <t>加工数</t>
        </is>
      </c>
      <c r="H500" s="65" t="inlineStr">
        <is>
          <t>基材換算</t>
        </is>
      </c>
      <c r="I500" s="66" t="inlineStr">
        <is>
          <t>端材使用</t>
        </is>
      </c>
      <c r="J500" s="186" t="n">
        <v>0</v>
      </c>
      <c r="K500" s="47" t="n"/>
    </row>
    <row r="501" ht="18" customFormat="1" customHeight="1" s="137">
      <c r="A501" s="187">
        <f t="array" ref="A501:A511">IFERROR(INDEX(_xlfn._xlws.FILTER([4]加工記録２!$D:$D,[4]加工記録２!$U:$U=B461),_xlfn.SEQUENCE(11),0),"")</f>
        <v/>
      </c>
      <c r="B501" s="188">
        <f t="array" ref="B501:B511">IFERROR(IF(INDEX(_xlfn._xlws.FILTER([4]加工記録２!$E:$E,[4]加工記録２!$U:$U=B461),_xlfn.SEQUENCE(11))="","",INDEX(_xlfn._xlws.FILTER([4]加工記録２!$E:$E,[4]加工記録２!$U:$U=B461),_xlfn.SEQUENCE(11)) &amp; IF(INDEX(_xlfn._xlws.FILTER([4]加工記録２!$F:$F,[4]加工記録２!$U:$U=B461),_xlfn.SEQUENCE(11))="","", " × " &amp; INDEX(_xlfn._xlws.FILTER([4]加工記録２!$F:$F,[4]加工記録２!$U:$U=B461),_xlfn.SEQUENCE(11)))),"")</f>
        <v/>
      </c>
      <c r="C501" s="74" t="n"/>
      <c r="D501" s="189" t="n"/>
      <c r="E501" s="190" t="n"/>
      <c r="F501" s="191" t="n"/>
      <c r="G501" s="192" t="n"/>
      <c r="H501" s="193" t="n"/>
      <c r="I501" s="194" t="inlineStr">
        <is>
          <t>不良内訳</t>
        </is>
      </c>
      <c r="J501" s="195" t="n"/>
      <c r="K501" s="80" t="n"/>
    </row>
    <row r="502" ht="18" customFormat="1" customHeight="1" s="141">
      <c r="A502" s="196" t="n">
        <v>0</v>
      </c>
      <c r="B502" s="72" t="str"/>
      <c r="C502" s="197" t="n"/>
      <c r="D502" s="198" t="n"/>
      <c r="E502" s="199" t="n"/>
      <c r="F502" s="200" t="n"/>
      <c r="G502" s="197" t="n"/>
      <c r="H502" s="201" t="n"/>
      <c r="I502" s="86" t="inlineStr">
        <is>
          <t>キズ</t>
        </is>
      </c>
      <c r="J502" s="201">
        <f t="array" ref="J502:J511">IFERROR(INDEX(_xlfn._xlws.FILTER([4]加工記録２!R:R, [4]加工記録２!U:U=B461),_xlfn.SEQUENCE(10)),"")</f>
        <v/>
      </c>
      <c r="K502" s="80" t="n"/>
    </row>
    <row r="503" ht="18.95" customFormat="1" customHeight="1" s="91">
      <c r="A503" s="202" t="n">
        <v>0</v>
      </c>
      <c r="B503" s="72" t="str"/>
      <c r="C503" s="197" t="n"/>
      <c r="D503" s="198" t="n"/>
      <c r="E503" s="199" t="n"/>
      <c r="F503" s="200" t="n"/>
      <c r="G503" s="197" t="n"/>
      <c r="H503" s="201" t="n"/>
      <c r="I503" s="86" t="inlineStr">
        <is>
          <t>凹み</t>
        </is>
      </c>
      <c r="J503" s="201" t="n">
        <v>0</v>
      </c>
      <c r="K503" s="89" t="n"/>
      <c r="L503" s="90" t="n"/>
      <c r="M503" s="90" t="n"/>
      <c r="N503" s="90" t="n"/>
    </row>
    <row r="504" ht="18.95" customFormat="1" customHeight="1" s="94">
      <c r="A504" s="202" t="n">
        <v>0</v>
      </c>
      <c r="B504" s="72" t="str"/>
      <c r="C504" s="197" t="n"/>
      <c r="D504" s="198" t="n"/>
      <c r="E504" s="199" t="n"/>
      <c r="F504" s="200" t="n"/>
      <c r="G504" s="197" t="n"/>
      <c r="H504" s="201" t="n"/>
      <c r="I504" s="86" t="inlineStr">
        <is>
          <t>異物</t>
        </is>
      </c>
      <c r="J504" s="201" t="n">
        <v>0</v>
      </c>
      <c r="K504" s="92" t="n"/>
      <c r="L504" s="93" t="n"/>
      <c r="M504" s="93" t="n"/>
      <c r="N504" s="93" t="n"/>
    </row>
    <row r="505" ht="18.95" customFormat="1" customHeight="1" s="94">
      <c r="A505" s="202" t="n">
        <v>0</v>
      </c>
      <c r="B505" s="72" t="str"/>
      <c r="C505" s="197" t="n"/>
      <c r="D505" s="198" t="n"/>
      <c r="E505" s="199" t="n"/>
      <c r="F505" s="200" t="n"/>
      <c r="G505" s="197" t="n"/>
      <c r="H505" s="201" t="n"/>
      <c r="I505" s="86" t="inlineStr">
        <is>
          <t>欠け</t>
        </is>
      </c>
      <c r="J505" s="201" t="n">
        <v>0</v>
      </c>
      <c r="K505" s="92" t="n"/>
      <c r="L505" s="93" t="n"/>
      <c r="M505" s="93" t="n"/>
      <c r="N505" s="93" t="n"/>
    </row>
    <row r="506" ht="18.95" customFormat="1" customHeight="1" s="94">
      <c r="A506" s="202" t="n">
        <v>0</v>
      </c>
      <c r="B506" s="72" t="str"/>
      <c r="C506" s="197" t="n"/>
      <c r="D506" s="198" t="n"/>
      <c r="E506" s="199" t="n"/>
      <c r="F506" s="200" t="n"/>
      <c r="G506" s="197" t="n"/>
      <c r="H506" s="201" t="n"/>
      <c r="I506" s="86" t="inlineStr">
        <is>
          <t>メヤニ</t>
        </is>
      </c>
      <c r="J506" s="201" t="n">
        <v>0</v>
      </c>
      <c r="K506" s="92" t="n"/>
      <c r="L506" s="93" t="n"/>
      <c r="M506" s="93" t="n"/>
      <c r="N506" s="93" t="n"/>
    </row>
    <row r="507" ht="18.95" customFormat="1" customHeight="1" s="94">
      <c r="A507" s="202" t="n">
        <v>0</v>
      </c>
      <c r="B507" s="72" t="str"/>
      <c r="C507" s="197" t="n"/>
      <c r="D507" s="198" t="n"/>
      <c r="E507" s="199" t="n"/>
      <c r="F507" s="200" t="n"/>
      <c r="G507" s="197" t="n"/>
      <c r="H507" s="201" t="n"/>
      <c r="I507" s="86" t="inlineStr">
        <is>
          <t>ベコツキ</t>
        </is>
      </c>
      <c r="J507" s="201" t="n">
        <v>0</v>
      </c>
      <c r="K507" s="92" t="n"/>
      <c r="L507" s="93" t="n"/>
      <c r="M507" s="93" t="n"/>
      <c r="N507" s="93" t="n"/>
    </row>
    <row r="508" ht="18.95" customFormat="1" customHeight="1" s="94">
      <c r="A508" s="202" t="n">
        <v>0</v>
      </c>
      <c r="B508" s="72" t="str"/>
      <c r="C508" s="197" t="n"/>
      <c r="D508" s="198" t="n"/>
      <c r="E508" s="199" t="n"/>
      <c r="F508" s="200" t="n"/>
      <c r="G508" s="197" t="n"/>
      <c r="H508" s="201" t="n"/>
      <c r="I508" s="95" t="inlineStr">
        <is>
          <t>汚損</t>
        </is>
      </c>
      <c r="J508" s="201" t="n">
        <v>0</v>
      </c>
      <c r="K508" s="92" t="n"/>
      <c r="L508" s="93" t="n"/>
      <c r="M508" s="93" t="n"/>
      <c r="N508" s="93" t="n"/>
    </row>
    <row r="509" ht="18.95" customFormat="1" customHeight="1" s="94">
      <c r="A509" s="202" t="n">
        <v>0</v>
      </c>
      <c r="B509" s="72" t="str"/>
      <c r="C509" s="197" t="n"/>
      <c r="D509" s="198" t="n"/>
      <c r="E509" s="199" t="n"/>
      <c r="F509" s="200" t="n"/>
      <c r="G509" s="197" t="n"/>
      <c r="H509" s="201" t="n"/>
      <c r="I509" s="95" t="inlineStr">
        <is>
          <t>形状異常</t>
        </is>
      </c>
      <c r="J509" s="201" t="n">
        <v>0</v>
      </c>
      <c r="K509" s="92" t="n"/>
      <c r="L509" s="93" t="n"/>
      <c r="M509" s="93" t="n"/>
      <c r="N509" s="93" t="n"/>
    </row>
    <row r="510" ht="18.95" customFormat="1" customHeight="1" s="94">
      <c r="A510" s="202" t="n">
        <v>0</v>
      </c>
      <c r="B510" s="72" t="str"/>
      <c r="C510" s="197" t="n"/>
      <c r="D510" s="198" t="n"/>
      <c r="E510" s="199" t="n"/>
      <c r="F510" s="200" t="n"/>
      <c r="G510" s="197" t="n"/>
      <c r="H510" s="201" t="n"/>
      <c r="I510" s="86" t="inlineStr">
        <is>
          <t>その他</t>
        </is>
      </c>
      <c r="J510" s="203" t="n">
        <v>0</v>
      </c>
      <c r="K510" s="92" t="n"/>
      <c r="L510" s="93" t="n"/>
      <c r="M510" s="93" t="n"/>
      <c r="N510" s="93" t="n"/>
    </row>
    <row r="511" ht="18.95" customFormat="1" customHeight="1" s="94" thickBot="1">
      <c r="A511" s="204" t="n">
        <v>0</v>
      </c>
      <c r="B511" s="73" t="str"/>
      <c r="C511" s="205" t="n"/>
      <c r="D511" s="206" t="n"/>
      <c r="E511" s="207" t="n"/>
      <c r="F511" s="208" t="n"/>
      <c r="G511" s="209" t="n"/>
      <c r="H511" s="210" t="n"/>
      <c r="I511" s="102" t="inlineStr">
        <is>
          <t>合計</t>
        </is>
      </c>
      <c r="J511" s="211" t="n">
        <v>0</v>
      </c>
      <c r="K511" s="92" t="n"/>
      <c r="L511" s="93" t="n"/>
      <c r="M511" s="93" t="n"/>
      <c r="N511" s="93" t="n"/>
    </row>
    <row r="512" ht="6" customHeight="1" s="156" thickBot="1">
      <c r="A512" s="103" t="n"/>
      <c r="B512" s="104" t="n"/>
      <c r="C512" s="104" t="n"/>
      <c r="D512" s="103" t="n"/>
      <c r="E512" s="104" t="n"/>
      <c r="F512" s="104" t="n"/>
      <c r="G512" s="104" t="n"/>
      <c r="H512" s="104" t="n"/>
    </row>
    <row r="513" ht="6" customHeight="1" s="156" thickTop="1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</row>
    <row r="514" ht="14.25" customHeight="1" s="156">
      <c r="A514" s="11" t="n"/>
      <c r="B514" s="125" t="inlineStr">
        <is>
          <t>検査梱包指示書</t>
        </is>
      </c>
      <c r="E514" s="11" t="n"/>
      <c r="F514" s="11" t="n"/>
      <c r="G514" s="11" t="n"/>
      <c r="H514" s="11" t="n"/>
      <c r="I514" s="11" t="n"/>
      <c r="J514" s="11" t="n"/>
    </row>
    <row r="515" ht="14.25" customHeight="1" s="156">
      <c r="A515" s="12" t="n"/>
      <c r="E515" s="12" t="n"/>
      <c r="F515" s="12" t="n"/>
      <c r="G515" s="12" t="n"/>
      <c r="H515" s="12" t="n"/>
      <c r="I515" s="12" t="n"/>
      <c r="J515" s="12" t="n"/>
    </row>
    <row r="516" ht="14.25" customHeight="1" s="156">
      <c r="A516" s="112" t="inlineStr">
        <is>
          <t>品目番号</t>
        </is>
      </c>
      <c r="B516" s="112" t="inlineStr">
        <is>
          <t>J1JAZZB10808880</t>
        </is>
      </c>
      <c r="C516" s="112" t="inlineStr">
        <is>
          <t>Ｌ寸</t>
        </is>
      </c>
      <c r="D516" s="157" t="n">
        <v>888</v>
      </c>
      <c r="E516" s="112" t="inlineStr">
        <is>
          <t>名称</t>
        </is>
      </c>
      <c r="F516" s="123" t="inlineStr">
        <is>
          <t>8FL2813045010</t>
        </is>
      </c>
      <c r="I516" s="24" t="inlineStr">
        <is>
          <t>上長</t>
        </is>
      </c>
      <c r="J516" s="24" t="inlineStr">
        <is>
          <t>係員</t>
        </is>
      </c>
    </row>
    <row r="517" ht="14.25" customHeight="1" s="156">
      <c r="I517" s="105" t="n"/>
      <c r="J517" s="105" t="n"/>
    </row>
    <row r="518" ht="17.45" customHeight="1" s="156">
      <c r="A518" s="111" t="inlineStr">
        <is>
          <t>製造指図№</t>
        </is>
      </c>
      <c r="B518" s="111" t="inlineStr">
        <is>
          <t>000000000014582</t>
        </is>
      </c>
      <c r="E518" s="111" t="inlineStr">
        <is>
          <t>原料名</t>
        </is>
      </c>
      <c r="F518" s="140" t="inlineStr">
        <is>
          <t>(CASE 888MILK-W4)</t>
        </is>
      </c>
      <c r="I518" s="106" t="n"/>
      <c r="J518" s="106" t="n"/>
    </row>
    <row r="519" ht="17.45" customHeight="1" s="156">
      <c r="I519" s="13" t="n"/>
      <c r="J519" s="13" t="n"/>
    </row>
    <row r="520" ht="17.45" customHeight="1" s="156">
      <c r="A520" s="111" t="inlineStr">
        <is>
          <t>発注明細№</t>
        </is>
      </c>
      <c r="B520" s="111" t="inlineStr">
        <is>
          <t>000000000855918</t>
        </is>
      </c>
      <c r="E520" s="2" t="inlineStr">
        <is>
          <t>色　名</t>
        </is>
      </c>
      <c r="F520" s="140" t="inlineStr">
        <is>
          <t>J6VZ034</t>
        </is>
      </c>
      <c r="H520" s="21" t="n"/>
      <c r="I520" s="13" t="n"/>
      <c r="J520" s="13" t="n"/>
    </row>
    <row r="521" ht="17.45" customHeight="1" s="156">
      <c r="E521" s="2" t="inlineStr">
        <is>
          <t>製品Grp</t>
        </is>
      </c>
      <c r="F521" s="21" t="inlineStr">
        <is>
          <t>J1ZB</t>
        </is>
      </c>
      <c r="G521" s="21" t="n"/>
      <c r="H521" s="21" t="n"/>
      <c r="I521" s="14" t="n"/>
      <c r="J521" s="14" t="n"/>
    </row>
    <row r="522" ht="17.45" customHeight="1" s="156">
      <c r="A522" s="2" t="inlineStr">
        <is>
          <t>開始日</t>
        </is>
      </c>
      <c r="B522" s="158" t="n">
        <v>46170</v>
      </c>
      <c r="E522" s="2" t="inlineStr">
        <is>
          <t>入り数</t>
        </is>
      </c>
      <c r="F522" s="159" t="n">
        <v>100</v>
      </c>
      <c r="H522" s="21" t="n"/>
    </row>
    <row r="523" ht="17.45" customHeight="1" s="156">
      <c r="A523" s="2" t="inlineStr">
        <is>
          <t>終了日</t>
        </is>
      </c>
      <c r="B523" s="158" t="n">
        <v>46170</v>
      </c>
      <c r="E523" s="2" t="inlineStr">
        <is>
          <t>梱包数</t>
        </is>
      </c>
      <c r="F523" s="21" t="n">
        <v>20</v>
      </c>
      <c r="G523" s="143" t="inlineStr">
        <is>
          <t>指示数量</t>
        </is>
      </c>
      <c r="H523" s="160" t="n">
        <v>2000</v>
      </c>
      <c r="I523" s="133" t="n"/>
      <c r="J523" s="134" t="n"/>
    </row>
    <row r="524" ht="17.45" customHeight="1" s="156">
      <c r="A524" s="19" t="n"/>
      <c r="B524" s="127" t="n"/>
      <c r="C524" s="127" t="n"/>
      <c r="D524" s="127" t="n"/>
      <c r="E524" s="2" t="inlineStr">
        <is>
          <t>金　型</t>
        </is>
      </c>
      <c r="F524" s="21" t="inlineStr">
        <is>
          <t>4350</t>
        </is>
      </c>
      <c r="G524" s="135" t="n"/>
      <c r="H524" s="135" t="n"/>
      <c r="I524" s="117" t="n"/>
      <c r="J524" s="136" t="n"/>
    </row>
    <row r="525" ht="13.5" customHeight="1" s="156">
      <c r="A525" s="127" t="inlineStr">
        <is>
          <t>*J1JAZZB10808880*</t>
        </is>
      </c>
      <c r="D525" s="127" t="n"/>
      <c r="F525" s="3" t="n"/>
      <c r="G525" s="126" t="inlineStr">
        <is>
          <t>格納先</t>
        </is>
      </c>
      <c r="H525" s="118" t="inlineStr">
        <is>
          <t>V3J03</t>
        </is>
      </c>
      <c r="I525" s="138" t="inlineStr">
        <is>
          <t>樹脂第3倉庫 (在庫)</t>
        </is>
      </c>
      <c r="J525" s="139" t="n"/>
    </row>
    <row r="526" ht="13.5" customHeight="1" s="156">
      <c r="D526" s="127" t="n"/>
      <c r="F526" s="3" t="n"/>
      <c r="G526" s="119" t="n"/>
      <c r="H526" s="119" t="n"/>
      <c r="I526" s="117" t="n"/>
      <c r="J526" s="136" t="n"/>
    </row>
    <row r="527" ht="13.5" customHeight="1" s="156">
      <c r="A527" s="108" t="inlineStr">
        <is>
          <t>指図書備考</t>
        </is>
      </c>
    </row>
    <row r="528" ht="63" customHeight="1" s="156">
      <c r="A528" s="130" t="n"/>
      <c r="B528" s="131" t="n"/>
      <c r="C528" s="131" t="n"/>
      <c r="D528" s="131" t="n"/>
      <c r="E528" s="131" t="n"/>
      <c r="F528" s="131" t="n"/>
      <c r="G528" s="131" t="n"/>
      <c r="H528" s="131" t="n"/>
      <c r="I528" s="131" t="n"/>
      <c r="J528" s="131" t="n"/>
    </row>
    <row r="529" ht="18.75" customHeight="1" s="156">
      <c r="A529" s="23" t="inlineStr">
        <is>
          <t>工順</t>
        </is>
      </c>
      <c r="B529" s="16" t="inlineStr">
        <is>
          <t>製造場所</t>
        </is>
      </c>
      <c r="C529" s="120" t="inlineStr">
        <is>
          <t>製造場所名</t>
        </is>
      </c>
      <c r="D529" s="121" t="n"/>
      <c r="E529" s="16" t="inlineStr">
        <is>
          <t>工程</t>
        </is>
      </c>
      <c r="F529" s="120" t="inlineStr">
        <is>
          <t>工程名</t>
        </is>
      </c>
      <c r="G529" s="121" t="n"/>
      <c r="H529" s="121" t="n"/>
      <c r="I529" s="124" t="inlineStr">
        <is>
          <t>作業時間</t>
        </is>
      </c>
      <c r="J529" s="121" t="n"/>
    </row>
    <row r="530" ht="14.25" customHeight="1" s="156">
      <c r="A530" s="141" t="n"/>
      <c r="B530" s="141" t="n"/>
      <c r="C530" s="141" t="n"/>
      <c r="D530" s="141" t="n"/>
      <c r="E530" s="141" t="n"/>
      <c r="F530" s="141" t="n"/>
      <c r="G530" s="141" t="n"/>
      <c r="H530" s="141" t="n"/>
      <c r="I530" s="141" t="n"/>
      <c r="J530" s="141" t="n"/>
    </row>
    <row r="531" ht="16.5" customHeight="1" s="156">
      <c r="A531" s="22" t="n">
        <v>1</v>
      </c>
      <c r="B531" s="107" t="inlineStr">
        <is>
          <t>V3Z01</t>
        </is>
      </c>
      <c r="C531" s="107" t="inlineStr">
        <is>
          <t>黒部工業</t>
        </is>
      </c>
      <c r="E531" s="107" t="inlineStr">
        <is>
          <t>V3P05</t>
        </is>
      </c>
      <c r="F531" s="107" t="inlineStr">
        <is>
          <t>切断</t>
        </is>
      </c>
      <c r="I531" s="115" t="n"/>
    </row>
    <row r="532" ht="16.5" customHeight="1" s="156">
      <c r="A532" s="22" t="n">
        <v>1</v>
      </c>
      <c r="B532" s="26" t="inlineStr">
        <is>
          <t>V3Z01</t>
        </is>
      </c>
      <c r="C532" s="107" t="inlineStr">
        <is>
          <t>黒部工業</t>
        </is>
      </c>
      <c r="E532" s="107" t="inlineStr">
        <is>
          <t>V3P16</t>
        </is>
      </c>
      <c r="F532" s="107" t="inlineStr">
        <is>
          <t>検査・梱包</t>
        </is>
      </c>
      <c r="I532" s="115" t="n"/>
    </row>
    <row r="533" ht="16.5" customHeight="1" s="156">
      <c r="A533" s="22" t="n"/>
      <c r="B533" s="26" t="n"/>
      <c r="C533" s="107" t="n"/>
      <c r="E533" s="107" t="n"/>
      <c r="F533" s="107" t="n"/>
      <c r="I533" s="115" t="n"/>
    </row>
    <row r="534" ht="16.5" customHeight="1" s="156">
      <c r="A534" s="22" t="n"/>
      <c r="B534" s="26" t="n"/>
      <c r="C534" s="107" t="n"/>
      <c r="E534" s="107" t="n"/>
      <c r="F534" s="107" t="n"/>
      <c r="I534" s="115" t="n"/>
    </row>
    <row r="535" ht="16.5" customHeight="1" s="156">
      <c r="A535" s="22" t="n"/>
      <c r="B535" s="26" t="n"/>
      <c r="C535" s="107" t="n"/>
      <c r="E535" s="107" t="n"/>
      <c r="F535" s="107" t="n"/>
      <c r="I535" s="115" t="n"/>
    </row>
    <row r="536" ht="16.5" customHeight="1" s="156">
      <c r="A536" s="22" t="n"/>
      <c r="B536" s="26" t="n"/>
      <c r="C536" s="107" t="n"/>
      <c r="E536" s="107" t="n"/>
      <c r="F536" s="107" t="n"/>
      <c r="I536" s="115" t="n"/>
    </row>
    <row r="537" ht="16.5" customHeight="1" s="156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</row>
    <row r="538" ht="18.75" customHeight="1" s="156">
      <c r="A538" s="109" t="inlineStr">
        <is>
          <t>品目コード</t>
        </is>
      </c>
      <c r="B538" s="110" t="n"/>
      <c r="C538" s="109" t="inlineStr">
        <is>
          <t>品目名１</t>
        </is>
      </c>
      <c r="D538" s="110" t="n"/>
      <c r="E538" s="110" t="n"/>
      <c r="F538" s="17" t="inlineStr">
        <is>
          <t>在庫場所</t>
        </is>
      </c>
      <c r="G538" s="109" t="inlineStr">
        <is>
          <t>出庫数量</t>
        </is>
      </c>
      <c r="H538" s="110" t="n"/>
      <c r="I538" s="109" t="inlineStr">
        <is>
          <t>バッチ必要数</t>
        </is>
      </c>
      <c r="J538" s="110" t="n"/>
    </row>
    <row r="539" ht="14.25" customHeight="1" s="156">
      <c r="A539" s="8" t="n"/>
      <c r="B539" s="18" t="n"/>
      <c r="C539" s="116" t="inlineStr">
        <is>
          <t>品目名２</t>
        </is>
      </c>
      <c r="D539" s="117" t="n"/>
      <c r="E539" s="18" t="n"/>
      <c r="F539" s="116" t="inlineStr">
        <is>
          <t>指図書備考</t>
        </is>
      </c>
      <c r="G539" s="117" t="n"/>
      <c r="H539" s="117" t="n"/>
      <c r="I539" s="117" t="n"/>
      <c r="J539" s="117" t="n"/>
    </row>
    <row r="540">
      <c r="A540" s="9" t="n"/>
      <c r="C540" s="137" t="n"/>
      <c r="D540" s="137" t="n"/>
      <c r="E540" s="137" t="n"/>
    </row>
    <row r="541" ht="14.25" customHeight="1" s="156">
      <c r="A541" s="107" t="inlineStr">
        <is>
          <t>J1JAZZA10818200</t>
        </is>
      </c>
      <c r="C541" s="107" t="inlineStr">
        <is>
          <t>@8FL28130 L1820</t>
        </is>
      </c>
      <c r="F541" s="27" t="inlineStr">
        <is>
          <t>V3J04</t>
        </is>
      </c>
      <c r="G541" s="161" t="n">
        <v>1000</v>
      </c>
      <c r="I541" s="161" t="n">
        <v>10</v>
      </c>
    </row>
    <row r="542" ht="24.95" customHeight="1" s="156">
      <c r="A542" s="122" t="inlineStr">
        <is>
          <t>*J1JAZZA10818200*</t>
        </is>
      </c>
      <c r="C542" s="107" t="n"/>
      <c r="F542" s="107" t="n"/>
    </row>
    <row r="543" ht="14.25" customHeight="1" s="156">
      <c r="A543" s="107" t="inlineStr">
        <is>
          <t>J6DW0089</t>
        </is>
      </c>
      <c r="C543" s="107" t="inlineStr">
        <is>
          <t>LED-A888　898X275X166</t>
        </is>
      </c>
      <c r="F543" s="27" t="inlineStr">
        <is>
          <t>V3Z01</t>
        </is>
      </c>
      <c r="G543" s="161" t="n">
        <v>20</v>
      </c>
      <c r="I543" s="161" t="n">
        <v>0.2</v>
      </c>
    </row>
    <row r="544" ht="24.95" customHeight="1" s="156">
      <c r="A544" s="122" t="inlineStr">
        <is>
          <t>*J6DW0089*</t>
        </is>
      </c>
      <c r="C544" s="107" t="inlineStr">
        <is>
          <t>L888×W275×H166</t>
        </is>
      </c>
      <c r="F544" s="107" t="n"/>
    </row>
    <row r="545" ht="14.25" customHeight="1" s="156">
      <c r="A545" s="107" t="inlineStr">
        <is>
          <t>J6XX0044</t>
        </is>
      </c>
      <c r="C545" s="107" t="inlineStr">
        <is>
          <t>(管理外)筋入ｸﾗﾌﾄ紙</t>
        </is>
      </c>
      <c r="F545" s="27" t="n"/>
      <c r="G545" s="161" t="n">
        <v>220</v>
      </c>
      <c r="I545" s="161" t="n">
        <v>2.2</v>
      </c>
    </row>
    <row r="546" ht="24.95" customHeight="1" s="156">
      <c r="A546" s="122" t="inlineStr">
        <is>
          <t>*J6XX0044*</t>
        </is>
      </c>
      <c r="C546" s="107" t="inlineStr">
        <is>
          <t>400＊900</t>
        </is>
      </c>
      <c r="F546" s="107" t="n"/>
    </row>
    <row r="547" ht="14.25" customHeight="1" s="156">
      <c r="A547" s="107" t="inlineStr">
        <is>
          <t>J6XX0051</t>
        </is>
      </c>
      <c r="C547" s="107" t="inlineStr">
        <is>
          <t>(管理外)LLDPE規格ｼｰﾄ0.02×950×100m</t>
        </is>
      </c>
      <c r="F547" s="27" t="n"/>
      <c r="G547" s="161" t="n">
        <v>2</v>
      </c>
      <c r="I547" s="161" t="n">
        <v>0.02</v>
      </c>
    </row>
    <row r="548" ht="24.95" customHeight="1" s="156">
      <c r="A548" s="122" t="inlineStr">
        <is>
          <t>*J6XX0051*</t>
        </is>
      </c>
      <c r="C548" s="107" t="inlineStr">
        <is>
          <t>0.02×950×100m</t>
        </is>
      </c>
      <c r="F548" s="107" t="n"/>
    </row>
    <row r="549" ht="14.25" customHeight="1" s="156">
      <c r="A549" s="107" t="n"/>
      <c r="C549" s="107" t="n"/>
      <c r="F549" s="27" t="n"/>
      <c r="G549" s="161" t="n"/>
      <c r="I549" s="161" t="n"/>
    </row>
    <row r="550" ht="24.95" customHeight="1" s="156" thickBot="1">
      <c r="A550" s="122" t="n"/>
      <c r="C550" s="107" t="n"/>
      <c r="F550" s="107" t="n"/>
    </row>
    <row r="551" ht="18" customFormat="1" customHeight="1" s="141">
      <c r="A551" s="28" t="inlineStr">
        <is>
          <t>温度換算</t>
        </is>
      </c>
      <c r="B551" s="29" t="inlineStr">
        <is>
          <t>L寸</t>
        </is>
      </c>
      <c r="C551" s="147" t="inlineStr">
        <is>
          <t>梱包箱</t>
        </is>
      </c>
      <c r="D551" s="162" t="n"/>
      <c r="E551" s="148" t="inlineStr">
        <is>
          <t>使用数</t>
        </is>
      </c>
      <c r="F551" s="31" t="inlineStr">
        <is>
          <t>作業者</t>
        </is>
      </c>
      <c r="G551" s="32" t="inlineStr">
        <is>
          <t>加工Lot</t>
        </is>
      </c>
      <c r="H551" s="129" t="inlineStr">
        <is>
          <t>箱数</t>
        </is>
      </c>
      <c r="I551" s="128" t="inlineStr">
        <is>
          <t>加工明細</t>
        </is>
      </c>
      <c r="J551" s="162" t="n"/>
    </row>
    <row r="552" ht="18" customFormat="1" customHeight="1" s="137">
      <c r="A552" s="34" t="inlineStr">
        <is>
          <t>〇</t>
        </is>
      </c>
      <c r="B552" s="163" t="n">
        <v>888</v>
      </c>
      <c r="C552" s="164" t="inlineStr">
        <is>
          <t>LED-A888</t>
        </is>
      </c>
      <c r="D552" s="165" t="n"/>
      <c r="E552" s="166" t="n">
        <v>20</v>
      </c>
      <c r="F552" s="167" t="inlineStr">
        <is>
          <t xml:space="preserve">切断加工：I / </t>
        </is>
      </c>
      <c r="G552" s="168" t="inlineStr">
        <is>
          <t>5/274</t>
        </is>
      </c>
      <c r="H552" s="169" t="n">
        <v>10</v>
      </c>
      <c r="I552" s="39" t="inlineStr">
        <is>
          <t>入庫日</t>
        </is>
      </c>
      <c r="J552" s="170" t="n">
        <v>46170</v>
      </c>
    </row>
    <row r="553" ht="18" customFormat="1" customHeight="1" s="141">
      <c r="A553" s="44" t="inlineStr">
        <is>
          <t>+公差</t>
        </is>
      </c>
      <c r="B553" s="45" t="inlineStr">
        <is>
          <t>切断寸法</t>
        </is>
      </c>
      <c r="C553" s="171" t="n"/>
      <c r="D553" s="172" t="n"/>
      <c r="E553" s="119" t="n"/>
      <c r="F553" s="173" t="inlineStr">
        <is>
          <t>外観検査：T / U</t>
        </is>
      </c>
      <c r="G553" s="168" t="n">
        <v>46170</v>
      </c>
      <c r="H553" s="169" t="n">
        <v>10</v>
      </c>
      <c r="I553" s="39" t="inlineStr">
        <is>
          <t>入庫数</t>
        </is>
      </c>
      <c r="J553" s="174" t="n">
        <v>2000</v>
      </c>
      <c r="K553" s="47" t="n"/>
    </row>
    <row r="554" ht="18" customFormat="1" customHeight="1" s="137">
      <c r="A554" s="48" t="n">
        <v>0.5</v>
      </c>
      <c r="B554" s="175" t="inlineStr">
        <is>
          <t>換算表確認</t>
        </is>
      </c>
      <c r="C554" s="155" t="inlineStr">
        <is>
          <t>梱包
方法</t>
        </is>
      </c>
      <c r="D554" s="176" t="inlineStr">
        <is>
          <t>L=888用　クラフト紙</t>
        </is>
      </c>
      <c r="E554" s="177" t="n"/>
      <c r="F554" s="178" t="n"/>
      <c r="G554" s="168" t="n"/>
      <c r="H554" s="169" t="n"/>
      <c r="I554" s="39" t="inlineStr">
        <is>
          <t>使用基材数</t>
        </is>
      </c>
      <c r="J554" s="174" t="n">
        <v>1008</v>
      </c>
      <c r="K554" s="50" t="n"/>
    </row>
    <row r="555" ht="18" customFormat="1" customHeight="1" s="141">
      <c r="A555" s="51" t="inlineStr">
        <is>
          <t>-公差</t>
        </is>
      </c>
      <c r="B555" s="52" t="inlineStr">
        <is>
          <t>取数</t>
        </is>
      </c>
      <c r="C555" s="179" t="n"/>
      <c r="D555" s="176" t="inlineStr">
        <is>
          <t>ラベル１枚　長手無　鉢巻１回</t>
        </is>
      </c>
      <c r="E555" s="177" t="n"/>
      <c r="F555" s="178" t="n"/>
      <c r="G555" s="168" t="n"/>
      <c r="H555" s="169" t="n"/>
      <c r="I555" s="39" t="inlineStr">
        <is>
          <t>製品不良</t>
        </is>
      </c>
      <c r="J555" s="174" t="n">
        <v>16</v>
      </c>
      <c r="K555" s="47" t="n"/>
    </row>
    <row r="556" ht="18" customFormat="1" customHeight="1" s="137" thickBot="1">
      <c r="A556" s="53" t="n">
        <v>-0.5</v>
      </c>
      <c r="B556" s="54" t="n">
        <v>2</v>
      </c>
      <c r="C556" s="55" t="inlineStr">
        <is>
          <t>備考</t>
        </is>
      </c>
      <c r="D556" s="180" t="inlineStr">
        <is>
          <t>1箱目の梱包数 目視確認　以降、重量測定</t>
        </is>
      </c>
      <c r="E556" s="181" t="n"/>
      <c r="F556" s="182" t="n"/>
      <c r="G556" s="183" t="n"/>
      <c r="H556" s="184" t="n"/>
      <c r="I556" s="39" t="inlineStr">
        <is>
          <t>基材不良</t>
        </is>
      </c>
      <c r="J556" s="185" t="n">
        <v>8</v>
      </c>
      <c r="K556" s="50" t="n"/>
    </row>
    <row r="557" ht="18" customFormat="1" customHeight="1" s="141" thickBot="1">
      <c r="A557" s="58" t="inlineStr">
        <is>
          <t>作業日</t>
        </is>
      </c>
      <c r="B557" s="59">
        <f t="array" ref="B557">IF(SUM(--(ISTEXT(B558:B568)*(B558:B568&lt;&gt;"")))=0,"計測Lot","計測Lot・加工数")</f>
        <v/>
      </c>
      <c r="C557" s="60" t="inlineStr">
        <is>
          <t>温度</t>
        </is>
      </c>
      <c r="D557" s="61" t="inlineStr">
        <is>
          <t>換算</t>
        </is>
      </c>
      <c r="E557" s="62" t="inlineStr">
        <is>
          <t>計測値</t>
        </is>
      </c>
      <c r="F557" s="63">
        <f t="array" ref="F557">IF(SUM(--(ISTEXT(B558:B568)*(B558:B568&lt;&gt;"")))=0,"記入不要","使用Lot")</f>
        <v/>
      </c>
      <c r="G557" s="64" t="inlineStr">
        <is>
          <t>加工数</t>
        </is>
      </c>
      <c r="H557" s="65" t="inlineStr">
        <is>
          <t>基材換算</t>
        </is>
      </c>
      <c r="I557" s="66" t="inlineStr">
        <is>
          <t>端材使用</t>
        </is>
      </c>
      <c r="J557" s="186" t="n">
        <v>0</v>
      </c>
      <c r="K557" s="47" t="n"/>
    </row>
    <row r="558" ht="18" customFormat="1" customHeight="1" s="137">
      <c r="A558" s="187" t="n"/>
      <c r="B558" s="188" t="n"/>
      <c r="C558" s="74" t="n"/>
      <c r="D558" s="189" t="n"/>
      <c r="E558" s="190" t="n"/>
      <c r="F558" s="191" t="n">
        <v>0</v>
      </c>
      <c r="G558" s="192" t="n">
        <v>0</v>
      </c>
      <c r="H558" s="193" t="n"/>
      <c r="I558" s="194" t="inlineStr">
        <is>
          <t>不良内訳</t>
        </is>
      </c>
      <c r="J558" s="195" t="n"/>
      <c r="K558" s="80" t="n"/>
    </row>
    <row r="559" ht="18" customFormat="1" customHeight="1" s="141">
      <c r="A559" s="196" t="n">
        <v>46168</v>
      </c>
      <c r="B559" s="72" t="inlineStr">
        <is>
          <t>26D23-11</t>
        </is>
      </c>
      <c r="C559" s="197" t="n">
        <v>26</v>
      </c>
      <c r="D559" s="198" t="n">
        <v>888.35</v>
      </c>
      <c r="E559" s="199" t="n">
        <v>888.38</v>
      </c>
      <c r="F559" s="200" t="inlineStr">
        <is>
          <t>26D23-11</t>
        </is>
      </c>
      <c r="G559" s="197" t="n">
        <v>1408</v>
      </c>
      <c r="H559" s="201" t="n">
        <v>469.3333333333333</v>
      </c>
      <c r="I559" s="86" t="inlineStr">
        <is>
          <t>キズ</t>
        </is>
      </c>
      <c r="J559" s="201" t="n">
        <v>6</v>
      </c>
      <c r="K559" s="80" t="n"/>
    </row>
    <row r="560" ht="18.95" customFormat="1" customHeight="1" s="91">
      <c r="A560" s="202" t="n">
        <v>46168</v>
      </c>
      <c r="B560" s="72" t="inlineStr">
        <is>
          <t>26D23-11 × 400</t>
        </is>
      </c>
      <c r="C560" s="197" t="n">
        <v>26</v>
      </c>
      <c r="D560" s="198" t="n">
        <v>888.35</v>
      </c>
      <c r="E560" s="199" t="n">
        <v>888.38</v>
      </c>
      <c r="F560" s="200" t="inlineStr">
        <is>
          <t>26E19-01</t>
        </is>
      </c>
      <c r="G560" s="197" t="n">
        <v>592</v>
      </c>
      <c r="H560" s="201" t="n">
        <v>197.3333333333333</v>
      </c>
      <c r="I560" s="86" t="inlineStr">
        <is>
          <t>凹み</t>
        </is>
      </c>
      <c r="J560" s="201" t="n">
        <v>1</v>
      </c>
      <c r="K560" s="89" t="n"/>
      <c r="L560" s="90" t="n"/>
      <c r="M560" s="90" t="n"/>
      <c r="N560" s="90" t="n"/>
    </row>
    <row r="561" ht="18.95" customFormat="1" customHeight="1" s="94">
      <c r="A561" s="202" t="n">
        <v>46169</v>
      </c>
      <c r="B561" s="72" t="inlineStr">
        <is>
          <t>26D23-11 × 400</t>
        </is>
      </c>
      <c r="C561" s="197" t="n">
        <v>26</v>
      </c>
      <c r="D561" s="198" t="n">
        <v>888.35</v>
      </c>
      <c r="E561" s="199" t="n">
        <v>888.39</v>
      </c>
      <c r="F561" s="200" t="inlineStr">
        <is>
          <t>26D21-09</t>
        </is>
      </c>
      <c r="G561" s="197" t="n">
        <v>16</v>
      </c>
      <c r="H561" s="201" t="n">
        <v>5.333333333333333</v>
      </c>
      <c r="I561" s="86" t="inlineStr">
        <is>
          <t>異物</t>
        </is>
      </c>
      <c r="J561" s="201" t="n">
        <v>8</v>
      </c>
      <c r="K561" s="92" t="n"/>
      <c r="L561" s="93" t="n"/>
      <c r="M561" s="93" t="n"/>
      <c r="N561" s="93" t="n"/>
    </row>
    <row r="562" ht="18.95" customFormat="1" customHeight="1" s="94">
      <c r="A562" s="202" t="n">
        <v>46169</v>
      </c>
      <c r="B562" s="72" t="inlineStr">
        <is>
          <t>26D23-11 × 400</t>
        </is>
      </c>
      <c r="C562" s="197" t="n">
        <v>26</v>
      </c>
      <c r="D562" s="198" t="n">
        <v>888.35</v>
      </c>
      <c r="E562" s="199" t="n">
        <v>888.41</v>
      </c>
      <c r="F562" s="200" t="n"/>
      <c r="G562" s="197" t="n">
        <v>0</v>
      </c>
      <c r="H562" s="201" t="n"/>
      <c r="I562" s="86" t="inlineStr">
        <is>
          <t>欠け</t>
        </is>
      </c>
      <c r="J562" s="201" t="n"/>
      <c r="K562" s="92" t="n"/>
      <c r="L562" s="93" t="n"/>
      <c r="M562" s="93" t="n"/>
      <c r="N562" s="93" t="n"/>
    </row>
    <row r="563" ht="18.95" customFormat="1" customHeight="1" s="94">
      <c r="A563" s="202" t="n">
        <v>46169</v>
      </c>
      <c r="B563" s="72" t="inlineStr">
        <is>
          <t>26D23-11 × 208</t>
        </is>
      </c>
      <c r="C563" s="197" t="n">
        <v>26</v>
      </c>
      <c r="D563" s="198" t="n">
        <v>888.35</v>
      </c>
      <c r="E563" s="199" t="n">
        <v>888.36</v>
      </c>
      <c r="F563" s="200" t="n"/>
      <c r="G563" s="197" t="n">
        <v>0</v>
      </c>
      <c r="H563" s="201" t="n"/>
      <c r="I563" s="86" t="inlineStr">
        <is>
          <t>メヤニ</t>
        </is>
      </c>
      <c r="J563" s="201" t="n"/>
      <c r="K563" s="92" t="n"/>
      <c r="L563" s="93" t="n"/>
      <c r="M563" s="93" t="n"/>
      <c r="N563" s="93" t="n"/>
    </row>
    <row r="564" ht="18.95" customFormat="1" customHeight="1" s="94">
      <c r="A564" s="202" t="n">
        <v>46169</v>
      </c>
      <c r="B564" s="72" t="inlineStr">
        <is>
          <t>26E19-01</t>
        </is>
      </c>
      <c r="C564" s="197" t="n">
        <v>26</v>
      </c>
      <c r="D564" s="198" t="n">
        <v>888.35</v>
      </c>
      <c r="E564" s="199" t="n">
        <v>888.35</v>
      </c>
      <c r="F564" s="200" t="n"/>
      <c r="G564" s="197" t="n">
        <v>0</v>
      </c>
      <c r="H564" s="201" t="n"/>
      <c r="I564" s="86" t="inlineStr">
        <is>
          <t>ベコツキ</t>
        </is>
      </c>
      <c r="J564" s="201" t="n"/>
      <c r="K564" s="92" t="n"/>
      <c r="L564" s="93" t="n"/>
      <c r="M564" s="93" t="n"/>
      <c r="N564" s="93" t="n"/>
    </row>
    <row r="565" ht="18.95" customFormat="1" customHeight="1" s="94">
      <c r="A565" s="202" t="n">
        <v>46169</v>
      </c>
      <c r="B565" s="72" t="inlineStr">
        <is>
          <t>26E19-01 × 192</t>
        </is>
      </c>
      <c r="C565" s="197" t="n">
        <v>26</v>
      </c>
      <c r="D565" s="198" t="n">
        <v>888.35</v>
      </c>
      <c r="E565" s="199" t="n">
        <v>888.37</v>
      </c>
      <c r="F565" s="200" t="n"/>
      <c r="G565" s="197" t="n">
        <v>0</v>
      </c>
      <c r="H565" s="201" t="n"/>
      <c r="I565" s="95" t="inlineStr">
        <is>
          <t>汚損</t>
        </is>
      </c>
      <c r="J565" s="201" t="n"/>
      <c r="K565" s="92" t="n"/>
      <c r="L565" s="93" t="n"/>
      <c r="M565" s="93" t="n"/>
      <c r="N565" s="93" t="n"/>
    </row>
    <row r="566" ht="18.95" customFormat="1" customHeight="1" s="94">
      <c r="A566" s="202" t="n">
        <v>46169</v>
      </c>
      <c r="B566" s="72" t="inlineStr">
        <is>
          <t>26E19-01 × 400</t>
        </is>
      </c>
      <c r="C566" s="197" t="n">
        <v>26</v>
      </c>
      <c r="D566" s="198" t="n">
        <v>888.35</v>
      </c>
      <c r="E566" s="199" t="n">
        <v>888.35</v>
      </c>
      <c r="F566" s="200" t="n"/>
      <c r="G566" s="197" t="n">
        <v>0</v>
      </c>
      <c r="H566" s="201" t="n"/>
      <c r="I566" s="95" t="inlineStr">
        <is>
          <t>形状異常</t>
        </is>
      </c>
      <c r="J566" s="201" t="n"/>
      <c r="K566" s="92" t="n"/>
      <c r="L566" s="93" t="n"/>
      <c r="M566" s="93" t="n"/>
      <c r="N566" s="93" t="n"/>
    </row>
    <row r="567" ht="18.95" customFormat="1" customHeight="1" s="94">
      <c r="A567" s="202" t="n"/>
      <c r="B567" s="72" t="inlineStr"/>
      <c r="C567" s="197" t="n"/>
      <c r="D567" s="198" t="n"/>
      <c r="E567" s="199" t="n"/>
      <c r="F567" s="200" t="n"/>
      <c r="G567" s="197" t="n">
        <v>0</v>
      </c>
      <c r="H567" s="201" t="n"/>
      <c r="I567" s="86" t="inlineStr">
        <is>
          <t>その他</t>
        </is>
      </c>
      <c r="J567" s="203" t="n">
        <v>1</v>
      </c>
      <c r="K567" s="92" t="n"/>
      <c r="L567" s="93" t="n"/>
      <c r="M567" s="93" t="n"/>
      <c r="N567" s="93" t="n"/>
    </row>
    <row r="568" ht="18.95" customFormat="1" customHeight="1" s="94" thickBot="1">
      <c r="A568" s="204" t="inlineStr">
        <is>
          <t>不良補填</t>
        </is>
      </c>
      <c r="B568" s="73" t="inlineStr">
        <is>
          <t>26D21-09 × 16</t>
        </is>
      </c>
      <c r="C568" s="205" t="n"/>
      <c r="D568" s="206" t="n"/>
      <c r="E568" s="207" t="n"/>
      <c r="F568" s="208" t="n"/>
      <c r="G568" s="209" t="n"/>
      <c r="H568" s="210" t="n"/>
      <c r="I568" s="102" t="inlineStr">
        <is>
          <t>合計</t>
        </is>
      </c>
      <c r="J568" s="211" t="n">
        <v>16</v>
      </c>
      <c r="K568" s="92" t="n"/>
      <c r="L568" s="93" t="n"/>
      <c r="M568" s="93" t="n"/>
      <c r="N568" s="93" t="n"/>
    </row>
    <row r="569" ht="6" customHeight="1" s="156" thickBot="1">
      <c r="A569" s="103" t="n"/>
      <c r="B569" s="104" t="n"/>
      <c r="C569" s="104" t="n"/>
      <c r="D569" s="103" t="n"/>
      <c r="E569" s="104" t="n"/>
      <c r="F569" s="104" t="n"/>
      <c r="G569" s="104" t="n"/>
      <c r="H569" s="104" t="n"/>
    </row>
    <row r="570" ht="6" customHeight="1" s="156" thickTop="1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</row>
    <row r="571" ht="14.25" customHeight="1" s="156">
      <c r="A571" s="11" t="n"/>
      <c r="B571" s="125" t="inlineStr">
        <is>
          <t>検査梱包指示書</t>
        </is>
      </c>
      <c r="E571" s="11" t="n"/>
      <c r="F571" s="11" t="n"/>
      <c r="G571" s="11" t="n"/>
      <c r="H571" s="11" t="n"/>
      <c r="I571" s="11" t="n"/>
      <c r="J571" s="11" t="n"/>
    </row>
    <row r="572" ht="14.25" customHeight="1" s="156">
      <c r="A572" s="12" t="n"/>
      <c r="E572" s="12" t="n"/>
      <c r="F572" s="12" t="n"/>
      <c r="G572" s="12" t="n"/>
      <c r="H572" s="12" t="n"/>
      <c r="I572" s="12" t="n"/>
      <c r="J572" s="12" t="n"/>
    </row>
    <row r="573" ht="14.25" customHeight="1" s="156">
      <c r="A573" s="112" t="inlineStr">
        <is>
          <t>品目番号</t>
        </is>
      </c>
      <c r="B573" s="112" t="inlineStr">
        <is>
          <t>J1JAZZB10808880</t>
        </is>
      </c>
      <c r="C573" s="112" t="inlineStr">
        <is>
          <t>Ｌ寸</t>
        </is>
      </c>
      <c r="D573" s="157" t="n">
        <v>888</v>
      </c>
      <c r="E573" s="112" t="inlineStr">
        <is>
          <t>名称</t>
        </is>
      </c>
      <c r="F573" s="123" t="inlineStr">
        <is>
          <t>8FL2813045010</t>
        </is>
      </c>
      <c r="I573" s="24" t="inlineStr">
        <is>
          <t>上長</t>
        </is>
      </c>
      <c r="J573" s="24" t="inlineStr">
        <is>
          <t>係員</t>
        </is>
      </c>
    </row>
    <row r="574" ht="14.25" customHeight="1" s="156">
      <c r="I574" s="105" t="n"/>
      <c r="J574" s="105" t="n"/>
    </row>
    <row r="575" ht="17.45" customHeight="1" s="156">
      <c r="A575" s="111" t="inlineStr">
        <is>
          <t>製造指図№</t>
        </is>
      </c>
      <c r="B575" s="111" t="inlineStr">
        <is>
          <t>000000000014593</t>
        </is>
      </c>
      <c r="E575" s="111" t="inlineStr">
        <is>
          <t>原料名</t>
        </is>
      </c>
      <c r="F575" s="140" t="inlineStr">
        <is>
          <t>(CASE 888MILK-W4)</t>
        </is>
      </c>
      <c r="I575" s="106" t="n"/>
      <c r="J575" s="106" t="n"/>
    </row>
    <row r="576" ht="17.45" customHeight="1" s="156">
      <c r="I576" s="13" t="n"/>
      <c r="J576" s="13" t="n"/>
    </row>
    <row r="577" ht="17.45" customHeight="1" s="156">
      <c r="A577" s="111" t="inlineStr">
        <is>
          <t>発注明細№</t>
        </is>
      </c>
      <c r="B577" s="111" t="inlineStr">
        <is>
          <t>000000000855930</t>
        </is>
      </c>
      <c r="E577" s="2" t="inlineStr">
        <is>
          <t>色　名</t>
        </is>
      </c>
      <c r="F577" s="140" t="inlineStr">
        <is>
          <t>J6VZ034</t>
        </is>
      </c>
      <c r="H577" s="21" t="n"/>
      <c r="I577" s="13" t="n"/>
      <c r="J577" s="13" t="n"/>
    </row>
    <row r="578" ht="17.45" customHeight="1" s="156">
      <c r="E578" s="2" t="inlineStr">
        <is>
          <t>製品Grp</t>
        </is>
      </c>
      <c r="F578" s="21" t="inlineStr">
        <is>
          <t>J1ZB</t>
        </is>
      </c>
      <c r="G578" s="21" t="n"/>
      <c r="H578" s="21" t="n"/>
      <c r="I578" s="14" t="n"/>
      <c r="J578" s="14" t="n"/>
    </row>
    <row r="579" ht="17.45" customHeight="1" s="156">
      <c r="A579" s="2" t="inlineStr">
        <is>
          <t>開始日</t>
        </is>
      </c>
      <c r="B579" s="158" t="n">
        <v>46177</v>
      </c>
      <c r="E579" s="2" t="inlineStr">
        <is>
          <t>入り数</t>
        </is>
      </c>
      <c r="F579" s="159" t="n">
        <v>100</v>
      </c>
      <c r="H579" s="21" t="n"/>
    </row>
    <row r="580" ht="17.45" customHeight="1" s="156">
      <c r="A580" s="2" t="inlineStr">
        <is>
          <t>終了日</t>
        </is>
      </c>
      <c r="B580" s="158" t="n">
        <v>46177</v>
      </c>
      <c r="E580" s="2" t="inlineStr">
        <is>
          <t>梱包数</t>
        </is>
      </c>
      <c r="F580" s="21" t="n">
        <v>20</v>
      </c>
      <c r="G580" s="143" t="inlineStr">
        <is>
          <t>指示数量</t>
        </is>
      </c>
      <c r="H580" s="160" t="n">
        <v>2000</v>
      </c>
      <c r="I580" s="133" t="n"/>
      <c r="J580" s="134" t="n"/>
    </row>
    <row r="581" ht="17.45" customHeight="1" s="156">
      <c r="A581" s="19" t="n"/>
      <c r="B581" s="127" t="n"/>
      <c r="C581" s="127" t="n"/>
      <c r="D581" s="127" t="n"/>
      <c r="E581" s="2" t="inlineStr">
        <is>
          <t>金　型</t>
        </is>
      </c>
      <c r="F581" s="21" t="inlineStr">
        <is>
          <t>4350</t>
        </is>
      </c>
      <c r="G581" s="135" t="n"/>
      <c r="H581" s="135" t="n"/>
      <c r="I581" s="117" t="n"/>
      <c r="J581" s="136" t="n"/>
    </row>
    <row r="582" ht="13.5" customHeight="1" s="156">
      <c r="A582" s="127" t="inlineStr">
        <is>
          <t>*J1JAZZB10808880*</t>
        </is>
      </c>
      <c r="D582" s="127" t="n"/>
      <c r="F582" s="3" t="n"/>
      <c r="G582" s="126" t="inlineStr">
        <is>
          <t>格納先</t>
        </is>
      </c>
      <c r="H582" s="118" t="inlineStr">
        <is>
          <t>V3J03</t>
        </is>
      </c>
      <c r="I582" s="138" t="inlineStr">
        <is>
          <t>樹脂第3倉庫 (在庫)</t>
        </is>
      </c>
      <c r="J582" s="139" t="n"/>
    </row>
    <row r="583" ht="13.5" customHeight="1" s="156">
      <c r="D583" s="127" t="n"/>
      <c r="F583" s="3" t="n"/>
      <c r="G583" s="119" t="n"/>
      <c r="H583" s="119" t="n"/>
      <c r="I583" s="117" t="n"/>
      <c r="J583" s="136" t="n"/>
    </row>
    <row r="584" ht="13.5" customHeight="1" s="156">
      <c r="A584" s="108" t="inlineStr">
        <is>
          <t>指図書備考</t>
        </is>
      </c>
    </row>
    <row r="585" ht="63" customHeight="1" s="156">
      <c r="A585" s="130" t="n"/>
      <c r="B585" s="131" t="n"/>
      <c r="C585" s="131" t="n"/>
      <c r="D585" s="131" t="n"/>
      <c r="E585" s="131" t="n"/>
      <c r="F585" s="131" t="n"/>
      <c r="G585" s="131" t="n"/>
      <c r="H585" s="131" t="n"/>
      <c r="I585" s="131" t="n"/>
      <c r="J585" s="131" t="n"/>
    </row>
    <row r="586" ht="18.75" customHeight="1" s="156">
      <c r="A586" s="23" t="inlineStr">
        <is>
          <t>工順</t>
        </is>
      </c>
      <c r="B586" s="16" t="inlineStr">
        <is>
          <t>製造場所</t>
        </is>
      </c>
      <c r="C586" s="120" t="inlineStr">
        <is>
          <t>製造場所名</t>
        </is>
      </c>
      <c r="D586" s="121" t="n"/>
      <c r="E586" s="16" t="inlineStr">
        <is>
          <t>工程</t>
        </is>
      </c>
      <c r="F586" s="120" t="inlineStr">
        <is>
          <t>工程名</t>
        </is>
      </c>
      <c r="G586" s="121" t="n"/>
      <c r="H586" s="121" t="n"/>
      <c r="I586" s="124" t="inlineStr">
        <is>
          <t>作業時間</t>
        </is>
      </c>
      <c r="J586" s="121" t="n"/>
    </row>
    <row r="587" ht="14.25" customHeight="1" s="156">
      <c r="A587" s="141" t="n"/>
      <c r="B587" s="141" t="n"/>
      <c r="C587" s="141" t="n"/>
      <c r="D587" s="141" t="n"/>
      <c r="E587" s="141" t="n"/>
      <c r="F587" s="141" t="n"/>
      <c r="G587" s="141" t="n"/>
      <c r="H587" s="141" t="n"/>
      <c r="I587" s="141" t="n"/>
      <c r="J587" s="141" t="n"/>
    </row>
    <row r="588" ht="16.5" customHeight="1" s="156">
      <c r="A588" s="22" t="n">
        <v>1</v>
      </c>
      <c r="B588" s="107" t="inlineStr">
        <is>
          <t>V3Z01</t>
        </is>
      </c>
      <c r="C588" s="107" t="inlineStr">
        <is>
          <t>黒部工業</t>
        </is>
      </c>
      <c r="E588" s="107" t="inlineStr">
        <is>
          <t>V3P05</t>
        </is>
      </c>
      <c r="F588" s="107" t="inlineStr">
        <is>
          <t>切断</t>
        </is>
      </c>
      <c r="I588" s="115" t="n"/>
    </row>
    <row r="589" ht="16.5" customHeight="1" s="156">
      <c r="A589" s="22" t="n">
        <v>1</v>
      </c>
      <c r="B589" s="26" t="inlineStr">
        <is>
          <t>V3Z01</t>
        </is>
      </c>
      <c r="C589" s="107" t="inlineStr">
        <is>
          <t>黒部工業</t>
        </is>
      </c>
      <c r="E589" s="107" t="inlineStr">
        <is>
          <t>V3P16</t>
        </is>
      </c>
      <c r="F589" s="107" t="inlineStr">
        <is>
          <t>検査・梱包</t>
        </is>
      </c>
      <c r="I589" s="115" t="n"/>
    </row>
    <row r="590" ht="16.5" customHeight="1" s="156">
      <c r="A590" s="22" t="n"/>
      <c r="B590" s="26" t="n"/>
      <c r="C590" s="107" t="n"/>
      <c r="E590" s="107" t="n"/>
      <c r="F590" s="107" t="n"/>
      <c r="I590" s="115" t="n"/>
    </row>
    <row r="591" ht="16.5" customHeight="1" s="156">
      <c r="A591" s="22" t="n"/>
      <c r="B591" s="26" t="n"/>
      <c r="C591" s="107" t="n"/>
      <c r="E591" s="107" t="n"/>
      <c r="F591" s="107" t="n"/>
      <c r="I591" s="115" t="n"/>
    </row>
    <row r="592" ht="16.5" customHeight="1" s="156">
      <c r="A592" s="22" t="n"/>
      <c r="B592" s="26" t="n"/>
      <c r="C592" s="107" t="n"/>
      <c r="E592" s="107" t="n"/>
      <c r="F592" s="107" t="n"/>
      <c r="I592" s="115" t="n"/>
    </row>
    <row r="593" ht="16.5" customHeight="1" s="156">
      <c r="A593" s="22" t="n"/>
      <c r="B593" s="26" t="n"/>
      <c r="C593" s="107" t="n"/>
      <c r="E593" s="107" t="n"/>
      <c r="F593" s="107" t="n"/>
      <c r="I593" s="115" t="n"/>
    </row>
    <row r="594" ht="16.5" customHeight="1" s="156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</row>
    <row r="595" ht="18.75" customHeight="1" s="156">
      <c r="A595" s="109" t="inlineStr">
        <is>
          <t>品目コード</t>
        </is>
      </c>
      <c r="B595" s="110" t="n"/>
      <c r="C595" s="109" t="inlineStr">
        <is>
          <t>品目名１</t>
        </is>
      </c>
      <c r="D595" s="110" t="n"/>
      <c r="E595" s="110" t="n"/>
      <c r="F595" s="17" t="inlineStr">
        <is>
          <t>在庫場所</t>
        </is>
      </c>
      <c r="G595" s="109" t="inlineStr">
        <is>
          <t>出庫数量</t>
        </is>
      </c>
      <c r="H595" s="110" t="n"/>
      <c r="I595" s="109" t="inlineStr">
        <is>
          <t>バッチ必要数</t>
        </is>
      </c>
      <c r="J595" s="110" t="n"/>
    </row>
    <row r="596" ht="14.25" customHeight="1" s="156">
      <c r="A596" s="8" t="n"/>
      <c r="B596" s="18" t="n"/>
      <c r="C596" s="116" t="inlineStr">
        <is>
          <t>品目名２</t>
        </is>
      </c>
      <c r="D596" s="117" t="n"/>
      <c r="E596" s="18" t="n"/>
      <c r="F596" s="116" t="inlineStr">
        <is>
          <t>指図書備考</t>
        </is>
      </c>
      <c r="G596" s="117" t="n"/>
      <c r="H596" s="117" t="n"/>
      <c r="I596" s="117" t="n"/>
      <c r="J596" s="117" t="n"/>
    </row>
    <row r="597">
      <c r="A597" s="9" t="n"/>
      <c r="C597" s="137" t="n"/>
      <c r="D597" s="137" t="n"/>
      <c r="E597" s="137" t="n"/>
    </row>
    <row r="598" ht="14.25" customHeight="1" s="156">
      <c r="A598" s="107" t="inlineStr">
        <is>
          <t>J1JAZZA10818200</t>
        </is>
      </c>
      <c r="C598" s="107" t="inlineStr">
        <is>
          <t>@8FL28130 L1820</t>
        </is>
      </c>
      <c r="F598" s="27" t="inlineStr">
        <is>
          <t>V3J04</t>
        </is>
      </c>
      <c r="G598" s="161" t="n">
        <v>1000</v>
      </c>
      <c r="I598" s="161" t="n">
        <v>10</v>
      </c>
    </row>
    <row r="599" ht="24.95" customHeight="1" s="156">
      <c r="A599" s="122" t="inlineStr">
        <is>
          <t>*J1JAZZA10818200*</t>
        </is>
      </c>
      <c r="C599" s="107" t="n"/>
      <c r="F599" s="107" t="n"/>
    </row>
    <row r="600" ht="14.25" customHeight="1" s="156">
      <c r="A600" s="107" t="inlineStr">
        <is>
          <t>J6DW0089</t>
        </is>
      </c>
      <c r="C600" s="107" t="inlineStr">
        <is>
          <t>LED-A888　898X275X166</t>
        </is>
      </c>
      <c r="F600" s="27" t="inlineStr">
        <is>
          <t>V3Z01</t>
        </is>
      </c>
      <c r="G600" s="161" t="n">
        <v>20</v>
      </c>
      <c r="I600" s="161" t="n">
        <v>0.2</v>
      </c>
    </row>
    <row r="601" ht="24.95" customHeight="1" s="156">
      <c r="A601" s="122" t="inlineStr">
        <is>
          <t>*J6DW0089*</t>
        </is>
      </c>
      <c r="C601" s="107" t="inlineStr">
        <is>
          <t>L888×W275×H166</t>
        </is>
      </c>
      <c r="F601" s="107" t="n"/>
    </row>
    <row r="602" ht="14.25" customHeight="1" s="156">
      <c r="A602" s="107" t="inlineStr">
        <is>
          <t>J6XX0044</t>
        </is>
      </c>
      <c r="C602" s="107" t="inlineStr">
        <is>
          <t>(管理外)筋入ｸﾗﾌﾄ紙</t>
        </is>
      </c>
      <c r="F602" s="27" t="n"/>
      <c r="G602" s="161" t="n">
        <v>220</v>
      </c>
      <c r="I602" s="161" t="n">
        <v>2.2</v>
      </c>
    </row>
    <row r="603" ht="24.95" customHeight="1" s="156">
      <c r="A603" s="122" t="inlineStr">
        <is>
          <t>*J6XX0044*</t>
        </is>
      </c>
      <c r="C603" s="107" t="inlineStr">
        <is>
          <t>400＊900</t>
        </is>
      </c>
      <c r="F603" s="107" t="n"/>
    </row>
    <row r="604" ht="14.25" customHeight="1" s="156">
      <c r="A604" s="107" t="inlineStr">
        <is>
          <t>J6XX0051</t>
        </is>
      </c>
      <c r="C604" s="107" t="inlineStr">
        <is>
          <t>(管理外)LLDPE規格ｼｰﾄ0.02×950×100m</t>
        </is>
      </c>
      <c r="F604" s="27" t="n"/>
      <c r="G604" s="161" t="n">
        <v>2</v>
      </c>
      <c r="I604" s="161" t="n">
        <v>0.02</v>
      </c>
    </row>
    <row r="605" ht="24.95" customHeight="1" s="156">
      <c r="A605" s="122" t="inlineStr">
        <is>
          <t>*J6XX0051*</t>
        </is>
      </c>
      <c r="C605" s="107" t="inlineStr">
        <is>
          <t>0.02×950×100m</t>
        </is>
      </c>
      <c r="F605" s="107" t="n"/>
    </row>
    <row r="606" ht="14.25" customHeight="1" s="156">
      <c r="A606" s="107" t="n"/>
      <c r="C606" s="107" t="n"/>
      <c r="F606" s="27" t="n"/>
      <c r="G606" s="161" t="n"/>
      <c r="I606" s="161" t="n"/>
    </row>
    <row r="607" ht="24.95" customHeight="1" s="156" thickBot="1">
      <c r="A607" s="122" t="n"/>
      <c r="C607" s="107" t="n"/>
      <c r="F607" s="107" t="n"/>
    </row>
    <row r="608" ht="18" customFormat="1" customHeight="1" s="141">
      <c r="A608" s="28" t="inlineStr">
        <is>
          <t>温度換算</t>
        </is>
      </c>
      <c r="B608" s="29" t="inlineStr">
        <is>
          <t>L寸</t>
        </is>
      </c>
      <c r="C608" s="147" t="inlineStr">
        <is>
          <t>梱包箱</t>
        </is>
      </c>
      <c r="D608" s="162" t="n"/>
      <c r="E608" s="148" t="inlineStr">
        <is>
          <t>使用数</t>
        </is>
      </c>
      <c r="F608" s="31" t="inlineStr">
        <is>
          <t>作業者</t>
        </is>
      </c>
      <c r="G608" s="32" t="inlineStr">
        <is>
          <t>加工Lot</t>
        </is>
      </c>
      <c r="H608" s="129" t="inlineStr">
        <is>
          <t>箱数</t>
        </is>
      </c>
      <c r="I608" s="128" t="inlineStr">
        <is>
          <t>加工明細</t>
        </is>
      </c>
      <c r="J608" s="162" t="n"/>
    </row>
    <row r="609" ht="18" customFormat="1" customHeight="1" s="137">
      <c r="A609" s="34" t="inlineStr">
        <is>
          <t>〇</t>
        </is>
      </c>
      <c r="B609" s="163" t="n">
        <v>888</v>
      </c>
      <c r="C609" s="164" t="inlineStr">
        <is>
          <t>LED-A888</t>
        </is>
      </c>
      <c r="D609" s="165" t="n"/>
      <c r="E609" s="166" t="n">
        <v>20</v>
      </c>
      <c r="F609" s="167" t="inlineStr">
        <is>
          <t xml:space="preserve">切断加工：I / </t>
        </is>
      </c>
      <c r="G609" s="168" t="n">
        <v>46171</v>
      </c>
      <c r="H609" s="169" t="n">
        <v>12</v>
      </c>
      <c r="I609" s="39" t="inlineStr">
        <is>
          <t>入庫日</t>
        </is>
      </c>
      <c r="J609" s="170" t="n">
        <v>46174</v>
      </c>
    </row>
    <row r="610" ht="18" customFormat="1" customHeight="1" s="141">
      <c r="A610" s="44" t="inlineStr">
        <is>
          <t>+公差</t>
        </is>
      </c>
      <c r="B610" s="45" t="inlineStr">
        <is>
          <t>切断寸法</t>
        </is>
      </c>
      <c r="C610" s="171" t="n"/>
      <c r="D610" s="172" t="n"/>
      <c r="E610" s="119" t="n"/>
      <c r="F610" s="173" t="inlineStr">
        <is>
          <t>外観検査：U / T</t>
        </is>
      </c>
      <c r="G610" s="168" t="n">
        <v>46174</v>
      </c>
      <c r="H610" s="169" t="n">
        <v>8</v>
      </c>
      <c r="I610" s="39" t="inlineStr">
        <is>
          <t>入庫数</t>
        </is>
      </c>
      <c r="J610" s="174" t="n">
        <v>2000</v>
      </c>
      <c r="K610" s="47" t="n"/>
    </row>
    <row r="611" ht="18" customFormat="1" customHeight="1" s="137">
      <c r="A611" s="48" t="n">
        <v>0.5</v>
      </c>
      <c r="B611" s="175" t="inlineStr">
        <is>
          <t>換算表確認</t>
        </is>
      </c>
      <c r="C611" s="155" t="inlineStr">
        <is>
          <t>梱包
方法</t>
        </is>
      </c>
      <c r="D611" s="176" t="inlineStr">
        <is>
          <t>L=888用　クラフト紙</t>
        </is>
      </c>
      <c r="E611" s="177" t="n"/>
      <c r="F611" s="178" t="n"/>
      <c r="G611" s="168" t="n"/>
      <c r="H611" s="169" t="n"/>
      <c r="I611" s="39" t="inlineStr">
        <is>
          <t>使用基材数</t>
        </is>
      </c>
      <c r="J611" s="174" t="n">
        <v>1006.5</v>
      </c>
      <c r="K611" s="50" t="n"/>
    </row>
    <row r="612" ht="18" customFormat="1" customHeight="1" s="141">
      <c r="A612" s="51" t="inlineStr">
        <is>
          <t>-公差</t>
        </is>
      </c>
      <c r="B612" s="52" t="inlineStr">
        <is>
          <t>取数</t>
        </is>
      </c>
      <c r="C612" s="179" t="n"/>
      <c r="D612" s="176" t="inlineStr">
        <is>
          <t>ラベル１枚　長手無　鉢巻１回</t>
        </is>
      </c>
      <c r="E612" s="177" t="n"/>
      <c r="F612" s="178" t="n"/>
      <c r="G612" s="168" t="n"/>
      <c r="H612" s="169" t="n"/>
      <c r="I612" s="39" t="inlineStr">
        <is>
          <t>製品不良</t>
        </is>
      </c>
      <c r="J612" s="174" t="n">
        <v>13</v>
      </c>
      <c r="K612" s="47" t="n"/>
    </row>
    <row r="613" ht="18" customFormat="1" customHeight="1" s="137" thickBot="1">
      <c r="A613" s="53" t="n">
        <v>-0.5</v>
      </c>
      <c r="B613" s="54" t="n">
        <v>2</v>
      </c>
      <c r="C613" s="55" t="inlineStr">
        <is>
          <t>備考</t>
        </is>
      </c>
      <c r="D613" s="180" t="inlineStr">
        <is>
          <t>1箱目の梱包数 目視確認　以降、重量測定</t>
        </is>
      </c>
      <c r="E613" s="181" t="n"/>
      <c r="F613" s="182" t="n"/>
      <c r="G613" s="183" t="n"/>
      <c r="H613" s="184" t="n"/>
      <c r="I613" s="39" t="inlineStr">
        <is>
          <t>基材不良</t>
        </is>
      </c>
      <c r="J613" s="185" t="n">
        <v>6.5</v>
      </c>
      <c r="K613" s="50" t="n"/>
    </row>
    <row r="614" ht="18" customFormat="1" customHeight="1" s="141" thickBot="1">
      <c r="A614" s="58" t="inlineStr">
        <is>
          <t>作業日</t>
        </is>
      </c>
      <c r="B614" s="59">
        <f t="array" ref="B614">IF(SUM(--(ISTEXT(B615:B625)*(B615:B625&lt;&gt;"")))=0,"計測Lot","計測Lot・加工数")</f>
        <v/>
      </c>
      <c r="C614" s="60" t="inlineStr">
        <is>
          <t>温度</t>
        </is>
      </c>
      <c r="D614" s="61" t="inlineStr">
        <is>
          <t>換算</t>
        </is>
      </c>
      <c r="E614" s="62" t="inlineStr">
        <is>
          <t>計測値</t>
        </is>
      </c>
      <c r="F614" s="63">
        <f t="array" ref="F614">IF(SUM(--(ISTEXT(B615:B625)*(B615:B625&lt;&gt;"")))=0,"記入不要","使用Lot")</f>
        <v/>
      </c>
      <c r="G614" s="64" t="inlineStr">
        <is>
          <t>加工数</t>
        </is>
      </c>
      <c r="H614" s="65" t="inlineStr">
        <is>
          <t>基材換算</t>
        </is>
      </c>
      <c r="I614" s="66" t="inlineStr">
        <is>
          <t>端材使用</t>
        </is>
      </c>
      <c r="J614" s="186" t="n">
        <v>0</v>
      </c>
      <c r="K614" s="47" t="n"/>
    </row>
    <row r="615" ht="18" customFormat="1" customHeight="1" s="137">
      <c r="A615" s="187" t="n"/>
      <c r="B615" s="188" t="n"/>
      <c r="C615" s="74" t="n"/>
      <c r="D615" s="189" t="n"/>
      <c r="E615" s="190" t="n"/>
      <c r="F615" s="191" t="n">
        <v>0</v>
      </c>
      <c r="G615" s="192" t="n">
        <v>0</v>
      </c>
      <c r="H615" s="193" t="n"/>
      <c r="I615" s="194" t="inlineStr">
        <is>
          <t>不良内訳</t>
        </is>
      </c>
      <c r="J615" s="195" t="n"/>
      <c r="K615" s="80" t="n"/>
    </row>
    <row r="616" ht="18" customFormat="1" customHeight="1" s="141">
      <c r="A616" s="196" t="n">
        <v>46170</v>
      </c>
      <c r="B616" s="72" t="inlineStr">
        <is>
          <t>26E19-01</t>
        </is>
      </c>
      <c r="C616" s="197" t="n">
        <v>26</v>
      </c>
      <c r="D616" s="198" t="n">
        <v>888.35</v>
      </c>
      <c r="E616" s="199" t="n">
        <v>888.39</v>
      </c>
      <c r="F616" s="200" t="inlineStr">
        <is>
          <t>26E19-01</t>
        </is>
      </c>
      <c r="G616" s="197" t="n">
        <v>802</v>
      </c>
      <c r="H616" s="201" t="n">
        <v>401</v>
      </c>
      <c r="I616" s="86" t="inlineStr">
        <is>
          <t>キズ</t>
        </is>
      </c>
      <c r="J616" s="201" t="n">
        <v>7</v>
      </c>
      <c r="K616" s="80" t="n"/>
    </row>
    <row r="617" ht="18.95" customFormat="1" customHeight="1" s="91">
      <c r="A617" s="202" t="n">
        <v>46170</v>
      </c>
      <c r="B617" s="72" t="inlineStr">
        <is>
          <t>26E19-01 × 400</t>
        </is>
      </c>
      <c r="C617" s="197" t="n">
        <v>26</v>
      </c>
      <c r="D617" s="198" t="n">
        <v>888.35</v>
      </c>
      <c r="E617" s="199" t="n">
        <v>888.41</v>
      </c>
      <c r="F617" s="200" t="inlineStr">
        <is>
          <t>26E20-02</t>
        </is>
      </c>
      <c r="G617" s="197" t="n">
        <v>1198</v>
      </c>
      <c r="H617" s="201" t="n">
        <v>599</v>
      </c>
      <c r="I617" s="86" t="inlineStr">
        <is>
          <t>凹み</t>
        </is>
      </c>
      <c r="J617" s="201" t="n"/>
      <c r="K617" s="89" t="n"/>
      <c r="L617" s="90" t="n"/>
      <c r="M617" s="90" t="n"/>
      <c r="N617" s="90" t="n"/>
    </row>
    <row r="618" ht="18.95" customFormat="1" customHeight="1" s="94">
      <c r="A618" s="202" t="n">
        <v>46170</v>
      </c>
      <c r="B618" s="72" t="inlineStr">
        <is>
          <t>26E19-01 × 400</t>
        </is>
      </c>
      <c r="C618" s="197" t="n">
        <v>26</v>
      </c>
      <c r="D618" s="198" t="n">
        <v>888.35</v>
      </c>
      <c r="E618" s="199" t="n">
        <v>888.47</v>
      </c>
      <c r="F618" s="200" t="inlineStr">
        <is>
          <t>26D21-09</t>
        </is>
      </c>
      <c r="G618" s="197" t="n">
        <v>13</v>
      </c>
      <c r="H618" s="201" t="n">
        <v>6.5</v>
      </c>
      <c r="I618" s="86" t="inlineStr">
        <is>
          <t>異物</t>
        </is>
      </c>
      <c r="J618" s="201" t="n">
        <v>6</v>
      </c>
      <c r="K618" s="92" t="n"/>
      <c r="L618" s="93" t="n"/>
      <c r="M618" s="93" t="n"/>
      <c r="N618" s="93" t="n"/>
    </row>
    <row r="619" ht="18.95" customFormat="1" customHeight="1" s="94">
      <c r="A619" s="202" t="n">
        <v>46170</v>
      </c>
      <c r="B619" s="72" t="inlineStr">
        <is>
          <t>26E19-01 × 2</t>
        </is>
      </c>
      <c r="C619" s="197" t="n">
        <v>26</v>
      </c>
      <c r="D619" s="198" t="n">
        <v>888.35</v>
      </c>
      <c r="E619" s="199" t="n">
        <v>888.45</v>
      </c>
      <c r="F619" s="200" t="n"/>
      <c r="G619" s="197" t="n">
        <v>0</v>
      </c>
      <c r="H619" s="201" t="n"/>
      <c r="I619" s="86" t="inlineStr">
        <is>
          <t>欠け</t>
        </is>
      </c>
      <c r="J619" s="201" t="n"/>
      <c r="K619" s="92" t="n"/>
      <c r="L619" s="93" t="n"/>
      <c r="M619" s="93" t="n"/>
      <c r="N619" s="93" t="n"/>
    </row>
    <row r="620" ht="18.95" customFormat="1" customHeight="1" s="94">
      <c r="A620" s="202" t="n">
        <v>46170</v>
      </c>
      <c r="B620" s="72" t="inlineStr">
        <is>
          <t>26E20-02</t>
        </is>
      </c>
      <c r="C620" s="197" t="n">
        <v>26</v>
      </c>
      <c r="D620" s="198" t="n">
        <v>888.35</v>
      </c>
      <c r="E620" s="199" t="n">
        <v>888.3200000000001</v>
      </c>
      <c r="F620" s="200" t="n"/>
      <c r="G620" s="197" t="n">
        <v>0</v>
      </c>
      <c r="H620" s="201" t="n"/>
      <c r="I620" s="86" t="inlineStr">
        <is>
          <t>メヤニ</t>
        </is>
      </c>
      <c r="J620" s="201" t="n"/>
      <c r="K620" s="92" t="n"/>
      <c r="L620" s="93" t="n"/>
      <c r="M620" s="93" t="n"/>
      <c r="N620" s="93" t="n"/>
    </row>
    <row r="621" ht="18.95" customFormat="1" customHeight="1" s="94">
      <c r="A621" s="202" t="n">
        <v>46171</v>
      </c>
      <c r="B621" s="72" t="inlineStr">
        <is>
          <t>26E20-02 × 398</t>
        </is>
      </c>
      <c r="C621" s="197" t="n">
        <v>22</v>
      </c>
      <c r="D621" s="198" t="n">
        <v>888.12</v>
      </c>
      <c r="E621" s="199" t="n">
        <v>888.17</v>
      </c>
      <c r="F621" s="200" t="n"/>
      <c r="G621" s="197" t="n">
        <v>0</v>
      </c>
      <c r="H621" s="201" t="n"/>
      <c r="I621" s="86" t="inlineStr">
        <is>
          <t>ベコツキ</t>
        </is>
      </c>
      <c r="J621" s="201" t="n"/>
      <c r="K621" s="92" t="n"/>
      <c r="L621" s="93" t="n"/>
      <c r="M621" s="93" t="n"/>
      <c r="N621" s="93" t="n"/>
    </row>
    <row r="622" ht="18.95" customFormat="1" customHeight="1" s="94">
      <c r="A622" s="202" t="n">
        <v>46171</v>
      </c>
      <c r="B622" s="72" t="inlineStr">
        <is>
          <t>26E20-02 × 400</t>
        </is>
      </c>
      <c r="C622" s="197" t="n">
        <v>26</v>
      </c>
      <c r="D622" s="198" t="n">
        <v>888.35</v>
      </c>
      <c r="E622" s="199" t="n">
        <v>888.26</v>
      </c>
      <c r="F622" s="200" t="n"/>
      <c r="G622" s="197" t="n">
        <v>0</v>
      </c>
      <c r="H622" s="201" t="n"/>
      <c r="I622" s="95" t="inlineStr">
        <is>
          <t>汚損</t>
        </is>
      </c>
      <c r="J622" s="201" t="n"/>
      <c r="K622" s="92" t="n"/>
      <c r="L622" s="93" t="n"/>
      <c r="M622" s="93" t="n"/>
      <c r="N622" s="93" t="n"/>
    </row>
    <row r="623" ht="18.95" customFormat="1" customHeight="1" s="94">
      <c r="A623" s="202" t="n">
        <v>46171</v>
      </c>
      <c r="B623" s="72" t="inlineStr">
        <is>
          <t>26E20-02 × 400</t>
        </is>
      </c>
      <c r="C623" s="197" t="n">
        <v>26</v>
      </c>
      <c r="D623" s="198" t="n">
        <v>888.35</v>
      </c>
      <c r="E623" s="199" t="n">
        <v>888.4</v>
      </c>
      <c r="F623" s="200" t="n"/>
      <c r="G623" s="197" t="n">
        <v>0</v>
      </c>
      <c r="H623" s="201" t="n"/>
      <c r="I623" s="95" t="inlineStr">
        <is>
          <t>形状異常</t>
        </is>
      </c>
      <c r="J623" s="201" t="n"/>
      <c r="K623" s="92" t="n"/>
      <c r="L623" s="93" t="n"/>
      <c r="M623" s="93" t="n"/>
      <c r="N623" s="93" t="n"/>
    </row>
    <row r="624" ht="18.95" customFormat="1" customHeight="1" s="94">
      <c r="A624" s="202" t="n"/>
      <c r="B624" s="72" t="inlineStr"/>
      <c r="C624" s="197" t="n"/>
      <c r="D624" s="198" t="n"/>
      <c r="E624" s="199" t="n"/>
      <c r="F624" s="200" t="n"/>
      <c r="G624" s="197" t="n">
        <v>0</v>
      </c>
      <c r="H624" s="201" t="n"/>
      <c r="I624" s="86" t="inlineStr">
        <is>
          <t>その他</t>
        </is>
      </c>
      <c r="J624" s="203" t="n"/>
      <c r="K624" s="92" t="n"/>
      <c r="L624" s="93" t="n"/>
      <c r="M624" s="93" t="n"/>
      <c r="N624" s="93" t="n"/>
    </row>
    <row r="625" ht="18.95" customFormat="1" customHeight="1" s="94" thickBot="1">
      <c r="A625" s="204" t="inlineStr">
        <is>
          <t>不良補填</t>
        </is>
      </c>
      <c r="B625" s="73" t="inlineStr">
        <is>
          <t>26D21-09 × 13</t>
        </is>
      </c>
      <c r="C625" s="205" t="n"/>
      <c r="D625" s="206" t="n"/>
      <c r="E625" s="207" t="n"/>
      <c r="F625" s="208" t="n"/>
      <c r="G625" s="209" t="n"/>
      <c r="H625" s="210" t="n"/>
      <c r="I625" s="102" t="inlineStr">
        <is>
          <t>合計</t>
        </is>
      </c>
      <c r="J625" s="211" t="n">
        <v>13</v>
      </c>
      <c r="K625" s="92" t="n"/>
      <c r="L625" s="93" t="n"/>
      <c r="M625" s="93" t="n"/>
      <c r="N625" s="93" t="n"/>
    </row>
    <row r="626" ht="6" customHeight="1" s="156" thickBot="1">
      <c r="A626" s="103" t="n"/>
      <c r="B626" s="104" t="n"/>
      <c r="C626" s="104" t="n"/>
      <c r="D626" s="103" t="n"/>
      <c r="E626" s="104" t="n"/>
      <c r="F626" s="104" t="n"/>
      <c r="G626" s="104" t="n"/>
      <c r="H626" s="104" t="n"/>
    </row>
    <row r="627" ht="6" customHeight="1" s="156" thickTop="1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</row>
    <row r="628" ht="14.25" customHeight="1" s="156">
      <c r="A628" s="11" t="n"/>
      <c r="B628" s="125" t="inlineStr">
        <is>
          <t>検査梱包指示書</t>
        </is>
      </c>
      <c r="E628" s="11" t="n"/>
      <c r="F628" s="11" t="n"/>
      <c r="G628" s="11" t="n"/>
      <c r="H628" s="11" t="n"/>
      <c r="I628" s="11" t="n"/>
      <c r="J628" s="11" t="n"/>
    </row>
    <row r="629" ht="14.25" customHeight="1" s="156">
      <c r="A629" s="12" t="n"/>
      <c r="E629" s="12" t="n"/>
      <c r="F629" s="12" t="n"/>
      <c r="G629" s="12" t="n"/>
      <c r="H629" s="12" t="n"/>
      <c r="I629" s="12" t="n"/>
      <c r="J629" s="12" t="n"/>
    </row>
    <row r="630" ht="14.25" customHeight="1" s="156">
      <c r="A630" s="112" t="inlineStr">
        <is>
          <t>品目番号</t>
        </is>
      </c>
      <c r="B630" s="112" t="inlineStr">
        <is>
          <t>J1JAZZB10808880</t>
        </is>
      </c>
      <c r="C630" s="112" t="inlineStr">
        <is>
          <t>Ｌ寸</t>
        </is>
      </c>
      <c r="D630" s="157" t="n">
        <v>888</v>
      </c>
      <c r="E630" s="112" t="inlineStr">
        <is>
          <t>名称</t>
        </is>
      </c>
      <c r="F630" s="123" t="inlineStr">
        <is>
          <t>8FL2813045010</t>
        </is>
      </c>
      <c r="I630" s="24" t="inlineStr">
        <is>
          <t>上長</t>
        </is>
      </c>
      <c r="J630" s="24" t="inlineStr">
        <is>
          <t>係員</t>
        </is>
      </c>
    </row>
    <row r="631" ht="14.25" customHeight="1" s="156">
      <c r="I631" s="105" t="n"/>
      <c r="J631" s="105" t="n"/>
    </row>
    <row r="632" ht="17.45" customHeight="1" s="156">
      <c r="A632" s="111" t="inlineStr">
        <is>
          <t>製造指図№</t>
        </is>
      </c>
      <c r="B632" s="111" t="inlineStr">
        <is>
          <t>000000000014594</t>
        </is>
      </c>
      <c r="E632" s="111" t="inlineStr">
        <is>
          <t>原料名</t>
        </is>
      </c>
      <c r="F632" s="140" t="inlineStr">
        <is>
          <t>(CASE 888MILK-W4)</t>
        </is>
      </c>
      <c r="I632" s="106" t="n"/>
      <c r="J632" s="106" t="n"/>
    </row>
    <row r="633" ht="17.45" customHeight="1" s="156">
      <c r="I633" s="13" t="n"/>
      <c r="J633" s="13" t="n"/>
    </row>
    <row r="634" ht="17.45" customHeight="1" s="156">
      <c r="A634" s="111" t="inlineStr">
        <is>
          <t>発注明細№</t>
        </is>
      </c>
      <c r="B634" s="111" t="inlineStr">
        <is>
          <t>000000000855931</t>
        </is>
      </c>
      <c r="E634" s="2" t="inlineStr">
        <is>
          <t>色　名</t>
        </is>
      </c>
      <c r="F634" s="140" t="inlineStr">
        <is>
          <t>J6VZ034</t>
        </is>
      </c>
      <c r="H634" s="21" t="n"/>
      <c r="I634" s="13" t="n"/>
      <c r="J634" s="13" t="n"/>
    </row>
    <row r="635" ht="17.45" customHeight="1" s="156">
      <c r="E635" s="2" t="inlineStr">
        <is>
          <t>製品Grp</t>
        </is>
      </c>
      <c r="F635" s="21" t="inlineStr">
        <is>
          <t>J1ZB</t>
        </is>
      </c>
      <c r="G635" s="21" t="n"/>
      <c r="H635" s="21" t="n"/>
      <c r="I635" s="14" t="n"/>
      <c r="J635" s="14" t="n"/>
    </row>
    <row r="636" ht="17.45" customHeight="1" s="156">
      <c r="A636" s="2" t="inlineStr">
        <is>
          <t>開始日</t>
        </is>
      </c>
      <c r="B636" s="158" t="n">
        <v>46181</v>
      </c>
      <c r="E636" s="2" t="inlineStr">
        <is>
          <t>入り数</t>
        </is>
      </c>
      <c r="F636" s="159" t="n">
        <v>100</v>
      </c>
      <c r="H636" s="21" t="n"/>
    </row>
    <row r="637" ht="17.45" customHeight="1" s="156">
      <c r="A637" s="2" t="inlineStr">
        <is>
          <t>終了日</t>
        </is>
      </c>
      <c r="B637" s="158" t="n">
        <v>46181</v>
      </c>
      <c r="E637" s="2" t="inlineStr">
        <is>
          <t>梱包数</t>
        </is>
      </c>
      <c r="F637" s="21" t="n">
        <v>1</v>
      </c>
      <c r="G637" s="143" t="inlineStr">
        <is>
          <t>指示数量</t>
        </is>
      </c>
      <c r="H637" s="160" t="n">
        <v>100</v>
      </c>
      <c r="I637" s="133" t="n"/>
      <c r="J637" s="134" t="n"/>
    </row>
    <row r="638" ht="17.45" customHeight="1" s="156">
      <c r="A638" s="19" t="n"/>
      <c r="B638" s="127" t="n"/>
      <c r="C638" s="127" t="n"/>
      <c r="D638" s="127" t="n"/>
      <c r="E638" s="2" t="inlineStr">
        <is>
          <t>金　型</t>
        </is>
      </c>
      <c r="F638" s="21" t="inlineStr">
        <is>
          <t>4350</t>
        </is>
      </c>
      <c r="G638" s="135" t="n"/>
      <c r="H638" s="135" t="n"/>
      <c r="I638" s="117" t="n"/>
      <c r="J638" s="136" t="n"/>
    </row>
    <row r="639" ht="13.5" customHeight="1" s="156">
      <c r="A639" s="127" t="inlineStr">
        <is>
          <t>*J1JAZZB10808880*</t>
        </is>
      </c>
      <c r="D639" s="127" t="n"/>
      <c r="F639" s="3" t="n"/>
      <c r="G639" s="126" t="inlineStr">
        <is>
          <t>格納先</t>
        </is>
      </c>
      <c r="H639" s="118" t="inlineStr">
        <is>
          <t>V3J03</t>
        </is>
      </c>
      <c r="I639" s="138" t="inlineStr">
        <is>
          <t>樹脂第3倉庫 (在庫)</t>
        </is>
      </c>
      <c r="J639" s="139" t="n"/>
    </row>
    <row r="640" ht="13.5" customHeight="1" s="156">
      <c r="D640" s="127" t="n"/>
      <c r="F640" s="3" t="n"/>
      <c r="G640" s="119" t="n"/>
      <c r="H640" s="119" t="n"/>
      <c r="I640" s="117" t="n"/>
      <c r="J640" s="136" t="n"/>
    </row>
    <row r="641" ht="13.5" customHeight="1" s="156">
      <c r="A641" s="108" t="inlineStr">
        <is>
          <t>指図書備考</t>
        </is>
      </c>
    </row>
    <row r="642" ht="63" customHeight="1" s="156">
      <c r="A642" s="130" t="n"/>
      <c r="B642" s="131" t="n"/>
      <c r="C642" s="131" t="n"/>
      <c r="D642" s="131" t="n"/>
      <c r="E642" s="131" t="n"/>
      <c r="F642" s="131" t="n"/>
      <c r="G642" s="131" t="n"/>
      <c r="H642" s="131" t="n"/>
      <c r="I642" s="131" t="n"/>
      <c r="J642" s="131" t="n"/>
    </row>
    <row r="643" ht="18.75" customHeight="1" s="156">
      <c r="A643" s="23" t="inlineStr">
        <is>
          <t>工順</t>
        </is>
      </c>
      <c r="B643" s="16" t="inlineStr">
        <is>
          <t>製造場所</t>
        </is>
      </c>
      <c r="C643" s="120" t="inlineStr">
        <is>
          <t>製造場所名</t>
        </is>
      </c>
      <c r="D643" s="121" t="n"/>
      <c r="E643" s="16" t="inlineStr">
        <is>
          <t>工程</t>
        </is>
      </c>
      <c r="F643" s="120" t="inlineStr">
        <is>
          <t>工程名</t>
        </is>
      </c>
      <c r="G643" s="121" t="n"/>
      <c r="H643" s="121" t="n"/>
      <c r="I643" s="124" t="inlineStr">
        <is>
          <t>作業時間</t>
        </is>
      </c>
      <c r="J643" s="121" t="n"/>
    </row>
    <row r="644" ht="14.25" customHeight="1" s="156">
      <c r="A644" s="141" t="n"/>
      <c r="B644" s="141" t="n"/>
      <c r="C644" s="141" t="n"/>
      <c r="D644" s="141" t="n"/>
      <c r="E644" s="141" t="n"/>
      <c r="F644" s="141" t="n"/>
      <c r="G644" s="141" t="n"/>
      <c r="H644" s="141" t="n"/>
      <c r="I644" s="141" t="n"/>
      <c r="J644" s="141" t="n"/>
    </row>
    <row r="645" ht="16.5" customHeight="1" s="156">
      <c r="A645" s="22" t="n">
        <v>1</v>
      </c>
      <c r="B645" s="107" t="inlineStr">
        <is>
          <t>V3Z01</t>
        </is>
      </c>
      <c r="C645" s="107" t="inlineStr">
        <is>
          <t>黒部工業</t>
        </is>
      </c>
      <c r="E645" s="107" t="inlineStr">
        <is>
          <t>V3P05</t>
        </is>
      </c>
      <c r="F645" s="107" t="inlineStr">
        <is>
          <t>切断</t>
        </is>
      </c>
      <c r="I645" s="115" t="n"/>
    </row>
    <row r="646" ht="16.5" customHeight="1" s="156">
      <c r="A646" s="22" t="n">
        <v>1</v>
      </c>
      <c r="B646" s="26" t="inlineStr">
        <is>
          <t>V3Z01</t>
        </is>
      </c>
      <c r="C646" s="107" t="inlineStr">
        <is>
          <t>黒部工業</t>
        </is>
      </c>
      <c r="E646" s="107" t="inlineStr">
        <is>
          <t>V3P16</t>
        </is>
      </c>
      <c r="F646" s="107" t="inlineStr">
        <is>
          <t>検査・梱包</t>
        </is>
      </c>
      <c r="I646" s="115" t="n"/>
    </row>
    <row r="647" ht="16.5" customHeight="1" s="156">
      <c r="A647" s="22" t="n"/>
      <c r="B647" s="26" t="n"/>
      <c r="C647" s="107" t="n"/>
      <c r="E647" s="107" t="n"/>
      <c r="F647" s="107" t="n"/>
      <c r="I647" s="115" t="n"/>
    </row>
    <row r="648" ht="16.5" customHeight="1" s="156">
      <c r="A648" s="22" t="n"/>
      <c r="B648" s="26" t="n"/>
      <c r="C648" s="107" t="n"/>
      <c r="E648" s="107" t="n"/>
      <c r="F648" s="107" t="n"/>
      <c r="I648" s="115" t="n"/>
    </row>
    <row r="649" ht="16.5" customHeight="1" s="156">
      <c r="A649" s="22" t="n"/>
      <c r="B649" s="26" t="n"/>
      <c r="C649" s="107" t="n"/>
      <c r="E649" s="107" t="n"/>
      <c r="F649" s="107" t="n"/>
      <c r="I649" s="115" t="n"/>
    </row>
    <row r="650" ht="16.5" customHeight="1" s="156">
      <c r="A650" s="22" t="n"/>
      <c r="B650" s="26" t="n"/>
      <c r="C650" s="107" t="n"/>
      <c r="E650" s="107" t="n"/>
      <c r="F650" s="107" t="n"/>
      <c r="I650" s="115" t="n"/>
    </row>
    <row r="651" ht="16.5" customHeight="1" s="156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</row>
    <row r="652" ht="18.75" customHeight="1" s="156">
      <c r="A652" s="109" t="inlineStr">
        <is>
          <t>品目コード</t>
        </is>
      </c>
      <c r="B652" s="110" t="n"/>
      <c r="C652" s="109" t="inlineStr">
        <is>
          <t>品目名１</t>
        </is>
      </c>
      <c r="D652" s="110" t="n"/>
      <c r="E652" s="110" t="n"/>
      <c r="F652" s="17" t="inlineStr">
        <is>
          <t>在庫場所</t>
        </is>
      </c>
      <c r="G652" s="109" t="inlineStr">
        <is>
          <t>出庫数量</t>
        </is>
      </c>
      <c r="H652" s="110" t="n"/>
      <c r="I652" s="109" t="inlineStr">
        <is>
          <t>バッチ必要数</t>
        </is>
      </c>
      <c r="J652" s="110" t="n"/>
    </row>
    <row r="653" ht="14.25" customHeight="1" s="156">
      <c r="A653" s="8" t="n"/>
      <c r="B653" s="18" t="n"/>
      <c r="C653" s="116" t="inlineStr">
        <is>
          <t>品目名２</t>
        </is>
      </c>
      <c r="D653" s="117" t="n"/>
      <c r="E653" s="18" t="n"/>
      <c r="F653" s="116" t="inlineStr">
        <is>
          <t>指図書備考</t>
        </is>
      </c>
      <c r="G653" s="117" t="n"/>
      <c r="H653" s="117" t="n"/>
      <c r="I653" s="117" t="n"/>
      <c r="J653" s="117" t="n"/>
    </row>
    <row r="654">
      <c r="A654" s="9" t="n"/>
      <c r="C654" s="137" t="n"/>
      <c r="D654" s="137" t="n"/>
      <c r="E654" s="137" t="n"/>
    </row>
    <row r="655" ht="14.25" customHeight="1" s="156">
      <c r="A655" s="107" t="inlineStr">
        <is>
          <t>J1JAZZA10818200</t>
        </is>
      </c>
      <c r="C655" s="107" t="inlineStr">
        <is>
          <t>@8FL28130 L1820</t>
        </is>
      </c>
      <c r="F655" s="27" t="inlineStr">
        <is>
          <t>V3J04</t>
        </is>
      </c>
      <c r="G655" s="161" t="n">
        <v>50</v>
      </c>
      <c r="I655" s="161" t="n">
        <v>0.5</v>
      </c>
    </row>
    <row r="656" ht="24.95" customHeight="1" s="156">
      <c r="A656" s="122" t="inlineStr">
        <is>
          <t>*J1JAZZA10818200*</t>
        </is>
      </c>
      <c r="C656" s="107" t="n"/>
      <c r="F656" s="107" t="n"/>
    </row>
    <row r="657" ht="14.25" customHeight="1" s="156">
      <c r="A657" s="107" t="inlineStr">
        <is>
          <t>J6DW0089</t>
        </is>
      </c>
      <c r="C657" s="107" t="inlineStr">
        <is>
          <t>LED-A888　898X275X166</t>
        </is>
      </c>
      <c r="F657" s="27" t="inlineStr">
        <is>
          <t>V3Z01</t>
        </is>
      </c>
      <c r="G657" s="161" t="n">
        <v>1</v>
      </c>
      <c r="I657" s="161" t="n">
        <v>0.01</v>
      </c>
    </row>
    <row r="658" ht="24.95" customHeight="1" s="156">
      <c r="A658" s="122" t="inlineStr">
        <is>
          <t>*J6DW0089*</t>
        </is>
      </c>
      <c r="C658" s="107" t="inlineStr">
        <is>
          <t>L888×W275×H166</t>
        </is>
      </c>
      <c r="F658" s="107" t="n"/>
    </row>
    <row r="659" ht="14.25" customHeight="1" s="156">
      <c r="A659" s="107" t="inlineStr">
        <is>
          <t>J6XX0044</t>
        </is>
      </c>
      <c r="C659" s="107" t="inlineStr">
        <is>
          <t>(管理外)筋入ｸﾗﾌﾄ紙</t>
        </is>
      </c>
      <c r="F659" s="27" t="n"/>
      <c r="G659" s="161" t="n">
        <v>11</v>
      </c>
      <c r="I659" s="161" t="n">
        <v>0.11</v>
      </c>
    </row>
    <row r="660" ht="24.95" customHeight="1" s="156">
      <c r="A660" s="122" t="inlineStr">
        <is>
          <t>*J6XX0044*</t>
        </is>
      </c>
      <c r="C660" s="107" t="inlineStr">
        <is>
          <t>400＊900</t>
        </is>
      </c>
      <c r="F660" s="107" t="n"/>
    </row>
    <row r="661" ht="14.25" customHeight="1" s="156">
      <c r="A661" s="107" t="inlineStr">
        <is>
          <t>J6XX0051</t>
        </is>
      </c>
      <c r="C661" s="107" t="inlineStr">
        <is>
          <t>(管理外)LLDPE規格ｼｰﾄ0.02×950×100m</t>
        </is>
      </c>
      <c r="F661" s="27" t="n"/>
      <c r="G661" s="161" t="n">
        <v>0.1</v>
      </c>
      <c r="I661" s="161" t="n">
        <v>0.001</v>
      </c>
    </row>
    <row r="662" ht="24.95" customHeight="1" s="156">
      <c r="A662" s="122" t="inlineStr">
        <is>
          <t>*J6XX0051*</t>
        </is>
      </c>
      <c r="C662" s="107" t="inlineStr">
        <is>
          <t>0.02×950×100m</t>
        </is>
      </c>
      <c r="F662" s="107" t="n"/>
    </row>
    <row r="663" ht="14.25" customHeight="1" s="156">
      <c r="A663" s="107" t="n"/>
      <c r="C663" s="107" t="n"/>
      <c r="F663" s="27" t="n"/>
      <c r="G663" s="161" t="n"/>
      <c r="I663" s="161" t="n"/>
    </row>
    <row r="664" ht="24.95" customHeight="1" s="156" thickBot="1">
      <c r="A664" s="122" t="n"/>
      <c r="C664" s="107" t="n"/>
      <c r="F664" s="107" t="n"/>
    </row>
    <row r="665" ht="18" customFormat="1" customHeight="1" s="141">
      <c r="A665" s="28" t="inlineStr">
        <is>
          <t>温度換算</t>
        </is>
      </c>
      <c r="B665" s="29" t="inlineStr">
        <is>
          <t>L寸</t>
        </is>
      </c>
      <c r="C665" s="147" t="inlineStr">
        <is>
          <t>梱包箱</t>
        </is>
      </c>
      <c r="D665" s="162" t="n"/>
      <c r="E665" s="148" t="inlineStr">
        <is>
          <t>使用数</t>
        </is>
      </c>
      <c r="F665" s="31" t="inlineStr">
        <is>
          <t>作業者</t>
        </is>
      </c>
      <c r="G665" s="32" t="inlineStr">
        <is>
          <t>加工Lot</t>
        </is>
      </c>
      <c r="H665" s="129" t="inlineStr">
        <is>
          <t>箱数</t>
        </is>
      </c>
      <c r="I665" s="128" t="inlineStr">
        <is>
          <t>加工明細</t>
        </is>
      </c>
      <c r="J665" s="162" t="n"/>
    </row>
    <row r="666" ht="18" customFormat="1" customHeight="1" s="137">
      <c r="A666" s="34" t="inlineStr">
        <is>
          <t>〇</t>
        </is>
      </c>
      <c r="B666" s="163" t="n">
        <v>888</v>
      </c>
      <c r="C666" s="164" t="inlineStr">
        <is>
          <t>LED-A888</t>
        </is>
      </c>
      <c r="D666" s="165" t="n"/>
      <c r="E666" s="166" t="n">
        <v>1</v>
      </c>
      <c r="F666" s="167" t="inlineStr">
        <is>
          <t xml:space="preserve">切断加工：I / </t>
        </is>
      </c>
      <c r="G666" s="168" t="n">
        <v>46176</v>
      </c>
      <c r="H666" s="169" t="n">
        <v>1</v>
      </c>
      <c r="I666" s="39" t="inlineStr">
        <is>
          <t>入庫日</t>
        </is>
      </c>
      <c r="J666" s="170" t="n">
        <v>46176</v>
      </c>
    </row>
    <row r="667" ht="18" customFormat="1" customHeight="1" s="141">
      <c r="A667" s="44" t="inlineStr">
        <is>
          <t>+公差</t>
        </is>
      </c>
      <c r="B667" s="45" t="inlineStr">
        <is>
          <t>切断寸法</t>
        </is>
      </c>
      <c r="C667" s="171" t="n"/>
      <c r="D667" s="172" t="n"/>
      <c r="E667" s="119" t="n"/>
      <c r="F667" s="173" t="inlineStr">
        <is>
          <t xml:space="preserve">外観検査：T / </t>
        </is>
      </c>
      <c r="G667" s="168" t="n"/>
      <c r="H667" s="169" t="n"/>
      <c r="I667" s="39" t="inlineStr">
        <is>
          <t>入庫数</t>
        </is>
      </c>
      <c r="J667" s="174" t="n">
        <v>100</v>
      </c>
      <c r="K667" s="47" t="n"/>
    </row>
    <row r="668" ht="18" customFormat="1" customHeight="1" s="137">
      <c r="A668" s="48" t="n">
        <v>0.5</v>
      </c>
      <c r="B668" s="175" t="inlineStr">
        <is>
          <t>換算表確認</t>
        </is>
      </c>
      <c r="C668" s="155" t="inlineStr">
        <is>
          <t>梱包
方法</t>
        </is>
      </c>
      <c r="D668" s="176" t="inlineStr">
        <is>
          <t>L=888用　クラフト紙</t>
        </is>
      </c>
      <c r="E668" s="177" t="n"/>
      <c r="F668" s="178" t="n"/>
      <c r="G668" s="168" t="n"/>
      <c r="H668" s="169" t="n"/>
      <c r="I668" s="39" t="inlineStr">
        <is>
          <t>使用基材数</t>
        </is>
      </c>
      <c r="J668" s="174" t="n">
        <v>50.5</v>
      </c>
      <c r="K668" s="50" t="n"/>
    </row>
    <row r="669" ht="18" customFormat="1" customHeight="1" s="141">
      <c r="A669" s="51" t="inlineStr">
        <is>
          <t>-公差</t>
        </is>
      </c>
      <c r="B669" s="52" t="inlineStr">
        <is>
          <t>取数</t>
        </is>
      </c>
      <c r="C669" s="179" t="n"/>
      <c r="D669" s="176" t="inlineStr">
        <is>
          <t>ラベル１枚　長手無　鉢巻１回</t>
        </is>
      </c>
      <c r="E669" s="177" t="n"/>
      <c r="F669" s="178" t="n"/>
      <c r="G669" s="168" t="n"/>
      <c r="H669" s="169" t="n"/>
      <c r="I669" s="39" t="inlineStr">
        <is>
          <t>製品不良</t>
        </is>
      </c>
      <c r="J669" s="174" t="n">
        <v>1</v>
      </c>
      <c r="K669" s="47" t="n"/>
    </row>
    <row r="670" ht="18" customFormat="1" customHeight="1" s="137" thickBot="1">
      <c r="A670" s="53" t="n">
        <v>-0.5</v>
      </c>
      <c r="B670" s="54" t="n">
        <v>2</v>
      </c>
      <c r="C670" s="55" t="inlineStr">
        <is>
          <t>備考</t>
        </is>
      </c>
      <c r="D670" s="180" t="inlineStr">
        <is>
          <t>1箱目の梱包数 目視確認　以降、重量測定</t>
        </is>
      </c>
      <c r="E670" s="181" t="n"/>
      <c r="F670" s="182" t="n"/>
      <c r="G670" s="183" t="n"/>
      <c r="H670" s="184" t="n"/>
      <c r="I670" s="39" t="inlineStr">
        <is>
          <t>基材不良</t>
        </is>
      </c>
      <c r="J670" s="185" t="n">
        <v>0.5</v>
      </c>
      <c r="K670" s="50" t="n"/>
    </row>
    <row r="671" ht="18" customFormat="1" customHeight="1" s="141" thickBot="1">
      <c r="A671" s="58" t="inlineStr">
        <is>
          <t>作業日</t>
        </is>
      </c>
      <c r="B671" s="59">
        <f t="array" ref="B671">IF(SUM(--(ISTEXT(B672:B682)*(B672:B682&lt;&gt;"")))=0,"計測Lot","計測Lot・加工数")</f>
        <v/>
      </c>
      <c r="C671" s="60" t="inlineStr">
        <is>
          <t>温度</t>
        </is>
      </c>
      <c r="D671" s="61" t="inlineStr">
        <is>
          <t>換算</t>
        </is>
      </c>
      <c r="E671" s="62" t="inlineStr">
        <is>
          <t>計測値</t>
        </is>
      </c>
      <c r="F671" s="63">
        <f t="array" ref="F671">IF(SUM(--(ISTEXT(B672:B682)*(B672:B682&lt;&gt;"")))=0,"記入不要","使用Lot")</f>
        <v/>
      </c>
      <c r="G671" s="64" t="inlineStr">
        <is>
          <t>加工数</t>
        </is>
      </c>
      <c r="H671" s="65" t="inlineStr">
        <is>
          <t>基材換算</t>
        </is>
      </c>
      <c r="I671" s="66" t="inlineStr">
        <is>
          <t>端材使用</t>
        </is>
      </c>
      <c r="J671" s="186" t="n">
        <v>0</v>
      </c>
      <c r="K671" s="47" t="n"/>
    </row>
    <row r="672" ht="18" customFormat="1" customHeight="1" s="137">
      <c r="A672" s="187" t="n">
        <v>46156</v>
      </c>
      <c r="B672" s="188" t="inlineStr">
        <is>
          <t>26D21-09 × 5</t>
        </is>
      </c>
      <c r="C672" s="74" t="n"/>
      <c r="D672" s="189" t="n"/>
      <c r="E672" s="190" t="n"/>
      <c r="F672" s="191" t="inlineStr">
        <is>
          <t>26D21-09</t>
        </is>
      </c>
      <c r="G672" s="192" t="n">
        <v>5</v>
      </c>
      <c r="H672" s="193" t="n">
        <v>2</v>
      </c>
      <c r="I672" s="194" t="inlineStr">
        <is>
          <t>不良内訳</t>
        </is>
      </c>
      <c r="J672" s="195" t="n"/>
      <c r="K672" s="80" t="n"/>
    </row>
    <row r="673" ht="18" customFormat="1" customHeight="1" s="141">
      <c r="A673" s="196" t="n">
        <v>46175</v>
      </c>
      <c r="B673" s="72" t="inlineStr">
        <is>
          <t>26E21-03</t>
        </is>
      </c>
      <c r="C673" s="197" t="n">
        <v>26</v>
      </c>
      <c r="D673" s="198" t="n">
        <v>888.35</v>
      </c>
      <c r="E673" s="199" t="n">
        <v>888.36</v>
      </c>
      <c r="F673" s="200" t="inlineStr">
        <is>
          <t>26E21-03</t>
        </is>
      </c>
      <c r="G673" s="197" t="n">
        <v>96</v>
      </c>
      <c r="H673" s="201" t="n">
        <v>48</v>
      </c>
      <c r="I673" s="86" t="inlineStr">
        <is>
          <t>キズ</t>
        </is>
      </c>
      <c r="J673" s="201" t="n">
        <v>1</v>
      </c>
      <c r="K673" s="80" t="n"/>
    </row>
    <row r="674" ht="18.95" customFormat="1" customHeight="1" s="91">
      <c r="A674" s="202" t="n">
        <v>46175</v>
      </c>
      <c r="B674" s="72" t="inlineStr">
        <is>
          <t>26E21-03 × 95</t>
        </is>
      </c>
      <c r="C674" s="197" t="n">
        <v>26</v>
      </c>
      <c r="D674" s="198" t="n">
        <v>888.35</v>
      </c>
      <c r="E674" s="199" t="n">
        <v>888.46</v>
      </c>
      <c r="F674" s="200" t="n"/>
      <c r="G674" s="197" t="n">
        <v>0</v>
      </c>
      <c r="H674" s="201" t="n"/>
      <c r="I674" s="86" t="inlineStr">
        <is>
          <t>凹み</t>
        </is>
      </c>
      <c r="J674" s="201" t="n"/>
      <c r="K674" s="89" t="n"/>
      <c r="L674" s="90" t="n"/>
      <c r="M674" s="90" t="n"/>
      <c r="N674" s="90" t="n"/>
    </row>
    <row r="675" ht="18.95" customFormat="1" customHeight="1" s="94">
      <c r="A675" s="202" t="n"/>
      <c r="B675" s="72" t="inlineStr"/>
      <c r="C675" s="197" t="n"/>
      <c r="D675" s="198" t="n"/>
      <c r="E675" s="199" t="n"/>
      <c r="F675" s="200" t="n"/>
      <c r="G675" s="197" t="n">
        <v>0</v>
      </c>
      <c r="H675" s="201" t="n"/>
      <c r="I675" s="86" t="inlineStr">
        <is>
          <t>異物</t>
        </is>
      </c>
      <c r="J675" s="201" t="n"/>
      <c r="K675" s="92" t="n"/>
      <c r="L675" s="93" t="n"/>
      <c r="M675" s="93" t="n"/>
      <c r="N675" s="93" t="n"/>
    </row>
    <row r="676" ht="18.95" customFormat="1" customHeight="1" s="94">
      <c r="A676" s="202" t="n"/>
      <c r="B676" s="72" t="inlineStr"/>
      <c r="C676" s="197" t="n"/>
      <c r="D676" s="198" t="n"/>
      <c r="E676" s="199" t="n"/>
      <c r="F676" s="200" t="n"/>
      <c r="G676" s="197" t="n">
        <v>0</v>
      </c>
      <c r="H676" s="201" t="n"/>
      <c r="I676" s="86" t="inlineStr">
        <is>
          <t>欠け</t>
        </is>
      </c>
      <c r="J676" s="201" t="n"/>
      <c r="K676" s="92" t="n"/>
      <c r="L676" s="93" t="n"/>
      <c r="M676" s="93" t="n"/>
      <c r="N676" s="93" t="n"/>
    </row>
    <row r="677" ht="18.95" customFormat="1" customHeight="1" s="94">
      <c r="A677" s="202" t="n"/>
      <c r="B677" s="72" t="inlineStr"/>
      <c r="C677" s="197" t="n"/>
      <c r="D677" s="198" t="n"/>
      <c r="E677" s="199" t="n"/>
      <c r="F677" s="200" t="n"/>
      <c r="G677" s="197" t="n">
        <v>0</v>
      </c>
      <c r="H677" s="201" t="n"/>
      <c r="I677" s="86" t="inlineStr">
        <is>
          <t>メヤニ</t>
        </is>
      </c>
      <c r="J677" s="201" t="n"/>
      <c r="K677" s="92" t="n"/>
      <c r="L677" s="93" t="n"/>
      <c r="M677" s="93" t="n"/>
      <c r="N677" s="93" t="n"/>
    </row>
    <row r="678" ht="18.95" customFormat="1" customHeight="1" s="94">
      <c r="A678" s="202" t="n"/>
      <c r="B678" s="72" t="inlineStr"/>
      <c r="C678" s="197" t="n"/>
      <c r="D678" s="198" t="n"/>
      <c r="E678" s="199" t="n"/>
      <c r="F678" s="200" t="n"/>
      <c r="G678" s="197" t="n">
        <v>0</v>
      </c>
      <c r="H678" s="201" t="n"/>
      <c r="I678" s="86" t="inlineStr">
        <is>
          <t>ベコツキ</t>
        </is>
      </c>
      <c r="J678" s="201" t="n"/>
      <c r="K678" s="92" t="n"/>
      <c r="L678" s="93" t="n"/>
      <c r="M678" s="93" t="n"/>
      <c r="N678" s="93" t="n"/>
    </row>
    <row r="679" ht="18.95" customFormat="1" customHeight="1" s="94">
      <c r="A679" s="202" t="n"/>
      <c r="B679" s="72" t="inlineStr"/>
      <c r="C679" s="197" t="n"/>
      <c r="D679" s="198" t="n"/>
      <c r="E679" s="199" t="n"/>
      <c r="F679" s="200" t="n"/>
      <c r="G679" s="197" t="n">
        <v>0</v>
      </c>
      <c r="H679" s="201" t="n"/>
      <c r="I679" s="95" t="inlineStr">
        <is>
          <t>汚損</t>
        </is>
      </c>
      <c r="J679" s="201" t="n"/>
      <c r="K679" s="92" t="n"/>
      <c r="L679" s="93" t="n"/>
      <c r="M679" s="93" t="n"/>
      <c r="N679" s="93" t="n"/>
    </row>
    <row r="680" ht="18.95" customFormat="1" customHeight="1" s="94">
      <c r="A680" s="202" t="n"/>
      <c r="B680" s="72" t="inlineStr"/>
      <c r="C680" s="197" t="n"/>
      <c r="D680" s="198" t="n"/>
      <c r="E680" s="199" t="n"/>
      <c r="F680" s="200" t="n"/>
      <c r="G680" s="197" t="n">
        <v>0</v>
      </c>
      <c r="H680" s="201" t="n"/>
      <c r="I680" s="95" t="inlineStr">
        <is>
          <t>形状異常</t>
        </is>
      </c>
      <c r="J680" s="201" t="n"/>
      <c r="K680" s="92" t="n"/>
      <c r="L680" s="93" t="n"/>
      <c r="M680" s="93" t="n"/>
      <c r="N680" s="93" t="n"/>
    </row>
    <row r="681" ht="18.95" customFormat="1" customHeight="1" s="94">
      <c r="A681" s="202" t="n"/>
      <c r="B681" s="72" t="inlineStr"/>
      <c r="C681" s="197" t="n"/>
      <c r="D681" s="198" t="n"/>
      <c r="E681" s="199" t="n"/>
      <c r="F681" s="200" t="n"/>
      <c r="G681" s="197" t="n">
        <v>0</v>
      </c>
      <c r="H681" s="201" t="n"/>
      <c r="I681" s="86" t="inlineStr">
        <is>
          <t>その他</t>
        </is>
      </c>
      <c r="J681" s="203" t="n"/>
      <c r="K681" s="92" t="n"/>
      <c r="L681" s="93" t="n"/>
      <c r="M681" s="93" t="n"/>
      <c r="N681" s="93" t="n"/>
    </row>
    <row r="682" ht="18.95" customFormat="1" customHeight="1" s="94" thickBot="1">
      <c r="A682" s="204" t="inlineStr">
        <is>
          <t>不良補填</t>
        </is>
      </c>
      <c r="B682" s="73" t="inlineStr">
        <is>
          <t>26E21-03 × 1</t>
        </is>
      </c>
      <c r="C682" s="205" t="n"/>
      <c r="D682" s="206" t="n"/>
      <c r="E682" s="207" t="n"/>
      <c r="F682" s="208" t="n"/>
      <c r="G682" s="209" t="n"/>
      <c r="H682" s="210" t="n"/>
      <c r="I682" s="102" t="inlineStr">
        <is>
          <t>合計</t>
        </is>
      </c>
      <c r="J682" s="211" t="n">
        <v>1</v>
      </c>
      <c r="K682" s="92" t="n"/>
      <c r="L682" s="93" t="n"/>
      <c r="M682" s="93" t="n"/>
      <c r="N682" s="93" t="n"/>
    </row>
    <row r="683" ht="6" customHeight="1" s="156" thickBot="1">
      <c r="A683" s="103" t="n"/>
      <c r="B683" s="104" t="n"/>
      <c r="C683" s="104" t="n"/>
      <c r="D683" s="103" t="n"/>
      <c r="E683" s="104" t="n"/>
      <c r="F683" s="104" t="n"/>
      <c r="G683" s="104" t="n"/>
      <c r="H683" s="104" t="n"/>
    </row>
    <row r="684" ht="6" customHeight="1" s="156" thickTop="1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</row>
    <row r="685" ht="14.25" customHeight="1" s="156">
      <c r="A685" s="11" t="n"/>
      <c r="B685" s="125" t="inlineStr">
        <is>
          <t>検査梱包指示書</t>
        </is>
      </c>
      <c r="E685" s="11" t="n"/>
      <c r="F685" s="11" t="n"/>
      <c r="G685" s="11" t="n"/>
      <c r="H685" s="11" t="n"/>
      <c r="I685" s="11" t="n"/>
      <c r="J685" s="11" t="n"/>
    </row>
    <row r="686" ht="14.25" customHeight="1" s="156">
      <c r="A686" s="12" t="n"/>
      <c r="E686" s="12" t="n"/>
      <c r="F686" s="12" t="n"/>
      <c r="G686" s="12" t="n"/>
      <c r="H686" s="12" t="n"/>
      <c r="I686" s="12" t="n"/>
      <c r="J686" s="12" t="n"/>
    </row>
    <row r="687" ht="14.25" customHeight="1" s="156">
      <c r="A687" s="112" t="inlineStr">
        <is>
          <t>品目番号</t>
        </is>
      </c>
      <c r="B687" s="112" t="inlineStr">
        <is>
          <t>J1JAZZB10808880</t>
        </is>
      </c>
      <c r="C687" s="112" t="inlineStr">
        <is>
          <t>Ｌ寸</t>
        </is>
      </c>
      <c r="D687" s="157" t="n">
        <v>888</v>
      </c>
      <c r="E687" s="112" t="inlineStr">
        <is>
          <t>名称</t>
        </is>
      </c>
      <c r="F687" s="123" t="inlineStr">
        <is>
          <t>8FL2813045010</t>
        </is>
      </c>
      <c r="I687" s="24" t="inlineStr">
        <is>
          <t>上長</t>
        </is>
      </c>
      <c r="J687" s="24" t="inlineStr">
        <is>
          <t>係員</t>
        </is>
      </c>
    </row>
    <row r="688" ht="14.25" customHeight="1" s="156">
      <c r="I688" s="105" t="n"/>
      <c r="J688" s="105" t="n"/>
    </row>
    <row r="689" ht="17.45" customHeight="1" s="156">
      <c r="A689" s="111" t="inlineStr">
        <is>
          <t>製造指図№</t>
        </is>
      </c>
      <c r="B689" s="111" t="inlineStr">
        <is>
          <t>000000000014595</t>
        </is>
      </c>
      <c r="E689" s="111" t="inlineStr">
        <is>
          <t>原料名</t>
        </is>
      </c>
      <c r="F689" s="140" t="inlineStr">
        <is>
          <t>(CASE 888MILK-W4)</t>
        </is>
      </c>
      <c r="I689" s="106" t="n"/>
      <c r="J689" s="106" t="n"/>
    </row>
    <row r="690" ht="17.45" customHeight="1" s="156">
      <c r="I690" s="13" t="n"/>
      <c r="J690" s="13" t="n"/>
    </row>
    <row r="691" ht="17.45" customHeight="1" s="156">
      <c r="A691" s="111" t="inlineStr">
        <is>
          <t>発注明細№</t>
        </is>
      </c>
      <c r="B691" s="111" t="inlineStr">
        <is>
          <t>000000000855932</t>
        </is>
      </c>
      <c r="E691" s="2" t="inlineStr">
        <is>
          <t>色　名</t>
        </is>
      </c>
      <c r="F691" s="140" t="inlineStr">
        <is>
          <t>J6VZ034</t>
        </is>
      </c>
      <c r="H691" s="21" t="n"/>
      <c r="I691" s="13" t="n"/>
      <c r="J691" s="13" t="n"/>
    </row>
    <row r="692" ht="17.45" customHeight="1" s="156">
      <c r="E692" s="2" t="inlineStr">
        <is>
          <t>製品Grp</t>
        </is>
      </c>
      <c r="F692" s="21" t="inlineStr">
        <is>
          <t>J1ZB</t>
        </is>
      </c>
      <c r="G692" s="21" t="n"/>
      <c r="H692" s="21" t="n"/>
      <c r="I692" s="14" t="n"/>
      <c r="J692" s="14" t="n"/>
    </row>
    <row r="693" ht="17.45" customHeight="1" s="156">
      <c r="A693" s="2" t="inlineStr">
        <is>
          <t>開始日</t>
        </is>
      </c>
      <c r="B693" s="158" t="n">
        <v>46184</v>
      </c>
      <c r="E693" s="2" t="inlineStr">
        <is>
          <t>入り数</t>
        </is>
      </c>
      <c r="F693" s="159" t="n">
        <v>100</v>
      </c>
      <c r="H693" s="21" t="n"/>
    </row>
    <row r="694" ht="17.45" customHeight="1" s="156">
      <c r="A694" s="2" t="inlineStr">
        <is>
          <t>終了日</t>
        </is>
      </c>
      <c r="B694" s="158" t="n">
        <v>46184</v>
      </c>
      <c r="E694" s="2" t="inlineStr">
        <is>
          <t>梱包数</t>
        </is>
      </c>
      <c r="F694" s="21" t="n">
        <v>6</v>
      </c>
      <c r="G694" s="143" t="inlineStr">
        <is>
          <t>指示数量</t>
        </is>
      </c>
      <c r="H694" s="160" t="n">
        <v>600</v>
      </c>
      <c r="I694" s="133" t="n"/>
      <c r="J694" s="134" t="n"/>
    </row>
    <row r="695" ht="17.45" customHeight="1" s="156">
      <c r="A695" s="19" t="n"/>
      <c r="B695" s="127" t="n"/>
      <c r="C695" s="127" t="n"/>
      <c r="D695" s="127" t="n"/>
      <c r="E695" s="2" t="inlineStr">
        <is>
          <t>金　型</t>
        </is>
      </c>
      <c r="F695" s="21" t="inlineStr">
        <is>
          <t>4350</t>
        </is>
      </c>
      <c r="G695" s="135" t="n"/>
      <c r="H695" s="135" t="n"/>
      <c r="I695" s="117" t="n"/>
      <c r="J695" s="136" t="n"/>
    </row>
    <row r="696" ht="13.5" customHeight="1" s="156">
      <c r="A696" s="127" t="inlineStr">
        <is>
          <t>*J1JAZZB10808880*</t>
        </is>
      </c>
      <c r="D696" s="127" t="n"/>
      <c r="F696" s="3" t="n"/>
      <c r="G696" s="126" t="inlineStr">
        <is>
          <t>格納先</t>
        </is>
      </c>
      <c r="H696" s="118" t="inlineStr">
        <is>
          <t>V3J03</t>
        </is>
      </c>
      <c r="I696" s="138" t="inlineStr">
        <is>
          <t>樹脂第3倉庫 (在庫)</t>
        </is>
      </c>
      <c r="J696" s="139" t="n"/>
    </row>
    <row r="697" ht="13.5" customHeight="1" s="156">
      <c r="D697" s="127" t="n"/>
      <c r="F697" s="3" t="n"/>
      <c r="G697" s="119" t="n"/>
      <c r="H697" s="119" t="n"/>
      <c r="I697" s="117" t="n"/>
      <c r="J697" s="136" t="n"/>
    </row>
    <row r="698" ht="13.5" customHeight="1" s="156">
      <c r="A698" s="108" t="inlineStr">
        <is>
          <t>指図書備考</t>
        </is>
      </c>
    </row>
    <row r="699" ht="63" customHeight="1" s="156">
      <c r="A699" s="130" t="n"/>
      <c r="B699" s="131" t="n"/>
      <c r="C699" s="131" t="n"/>
      <c r="D699" s="131" t="n"/>
      <c r="E699" s="131" t="n"/>
      <c r="F699" s="131" t="n"/>
      <c r="G699" s="131" t="n"/>
      <c r="H699" s="131" t="n"/>
      <c r="I699" s="131" t="n"/>
      <c r="J699" s="131" t="n"/>
    </row>
    <row r="700" ht="18.75" customHeight="1" s="156">
      <c r="A700" s="23" t="inlineStr">
        <is>
          <t>工順</t>
        </is>
      </c>
      <c r="B700" s="16" t="inlineStr">
        <is>
          <t>製造場所</t>
        </is>
      </c>
      <c r="C700" s="120" t="inlineStr">
        <is>
          <t>製造場所名</t>
        </is>
      </c>
      <c r="D700" s="121" t="n"/>
      <c r="E700" s="16" t="inlineStr">
        <is>
          <t>工程</t>
        </is>
      </c>
      <c r="F700" s="120" t="inlineStr">
        <is>
          <t>工程名</t>
        </is>
      </c>
      <c r="G700" s="121" t="n"/>
      <c r="H700" s="121" t="n"/>
      <c r="I700" s="124" t="inlineStr">
        <is>
          <t>作業時間</t>
        </is>
      </c>
      <c r="J700" s="121" t="n"/>
    </row>
    <row r="701" ht="14.25" customHeight="1" s="156">
      <c r="A701" s="141" t="n"/>
      <c r="B701" s="141" t="n"/>
      <c r="C701" s="141" t="n"/>
      <c r="D701" s="141" t="n"/>
      <c r="E701" s="141" t="n"/>
      <c r="F701" s="141" t="n"/>
      <c r="G701" s="141" t="n"/>
      <c r="H701" s="141" t="n"/>
      <c r="I701" s="141" t="n"/>
      <c r="J701" s="141" t="n"/>
    </row>
    <row r="702" ht="16.5" customHeight="1" s="156">
      <c r="A702" s="22" t="n">
        <v>1</v>
      </c>
      <c r="B702" s="107" t="inlineStr">
        <is>
          <t>V3Z01</t>
        </is>
      </c>
      <c r="C702" s="107" t="inlineStr">
        <is>
          <t>黒部工業</t>
        </is>
      </c>
      <c r="E702" s="107" t="inlineStr">
        <is>
          <t>V3P05</t>
        </is>
      </c>
      <c r="F702" s="107" t="inlineStr">
        <is>
          <t>切断</t>
        </is>
      </c>
      <c r="I702" s="115" t="n"/>
    </row>
    <row r="703" ht="16.5" customHeight="1" s="156">
      <c r="A703" s="22" t="n">
        <v>1</v>
      </c>
      <c r="B703" s="26" t="inlineStr">
        <is>
          <t>V3Z01</t>
        </is>
      </c>
      <c r="C703" s="107" t="inlineStr">
        <is>
          <t>黒部工業</t>
        </is>
      </c>
      <c r="E703" s="107" t="inlineStr">
        <is>
          <t>V3P16</t>
        </is>
      </c>
      <c r="F703" s="107" t="inlineStr">
        <is>
          <t>検査・梱包</t>
        </is>
      </c>
      <c r="I703" s="115" t="n"/>
    </row>
    <row r="704" ht="16.5" customHeight="1" s="156">
      <c r="A704" s="22" t="n"/>
      <c r="B704" s="26" t="n"/>
      <c r="C704" s="107" t="n"/>
      <c r="E704" s="107" t="n"/>
      <c r="F704" s="107" t="n"/>
      <c r="I704" s="115" t="n"/>
    </row>
    <row r="705" ht="16.5" customHeight="1" s="156">
      <c r="A705" s="22" t="n"/>
      <c r="B705" s="26" t="n"/>
      <c r="C705" s="107" t="n"/>
      <c r="E705" s="107" t="n"/>
      <c r="F705" s="107" t="n"/>
      <c r="I705" s="115" t="n"/>
    </row>
    <row r="706" ht="16.5" customHeight="1" s="156">
      <c r="A706" s="22" t="n"/>
      <c r="B706" s="26" t="n"/>
      <c r="C706" s="107" t="n"/>
      <c r="E706" s="107" t="n"/>
      <c r="F706" s="107" t="n"/>
      <c r="I706" s="115" t="n"/>
    </row>
    <row r="707" ht="16.5" customHeight="1" s="156">
      <c r="A707" s="22" t="n"/>
      <c r="B707" s="26" t="n"/>
      <c r="C707" s="107" t="n"/>
      <c r="E707" s="107" t="n"/>
      <c r="F707" s="107" t="n"/>
      <c r="I707" s="115" t="n"/>
    </row>
    <row r="708" ht="16.5" customHeight="1" s="156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</row>
    <row r="709" ht="18.75" customHeight="1" s="156">
      <c r="A709" s="109" t="inlineStr">
        <is>
          <t>品目コード</t>
        </is>
      </c>
      <c r="B709" s="110" t="n"/>
      <c r="C709" s="109" t="inlineStr">
        <is>
          <t>品目名１</t>
        </is>
      </c>
      <c r="D709" s="110" t="n"/>
      <c r="E709" s="110" t="n"/>
      <c r="F709" s="17" t="inlineStr">
        <is>
          <t>在庫場所</t>
        </is>
      </c>
      <c r="G709" s="109" t="inlineStr">
        <is>
          <t>出庫数量</t>
        </is>
      </c>
      <c r="H709" s="110" t="n"/>
      <c r="I709" s="109" t="inlineStr">
        <is>
          <t>バッチ必要数</t>
        </is>
      </c>
      <c r="J709" s="110" t="n"/>
    </row>
    <row r="710" ht="14.25" customHeight="1" s="156">
      <c r="A710" s="8" t="n"/>
      <c r="B710" s="18" t="n"/>
      <c r="C710" s="116" t="inlineStr">
        <is>
          <t>品目名２</t>
        </is>
      </c>
      <c r="D710" s="117" t="n"/>
      <c r="E710" s="18" t="n"/>
      <c r="F710" s="116" t="inlineStr">
        <is>
          <t>指図書備考</t>
        </is>
      </c>
      <c r="G710" s="117" t="n"/>
      <c r="H710" s="117" t="n"/>
      <c r="I710" s="117" t="n"/>
      <c r="J710" s="117" t="n"/>
    </row>
    <row r="711">
      <c r="A711" s="9" t="n"/>
      <c r="C711" s="137" t="n"/>
      <c r="D711" s="137" t="n"/>
      <c r="E711" s="137" t="n"/>
    </row>
    <row r="712" ht="14.25" customHeight="1" s="156">
      <c r="A712" s="107" t="inlineStr">
        <is>
          <t>J1JAZZA10818200</t>
        </is>
      </c>
      <c r="C712" s="107" t="inlineStr">
        <is>
          <t>@8FL28130 L1820</t>
        </is>
      </c>
      <c r="F712" s="27" t="inlineStr">
        <is>
          <t>V3J04</t>
        </is>
      </c>
      <c r="G712" s="161" t="n">
        <v>300</v>
      </c>
      <c r="I712" s="161" t="n">
        <v>3</v>
      </c>
    </row>
    <row r="713" ht="24.95" customHeight="1" s="156">
      <c r="A713" s="122" t="inlineStr">
        <is>
          <t>*J1JAZZA10818200*</t>
        </is>
      </c>
      <c r="C713" s="107" t="n"/>
      <c r="F713" s="107" t="n"/>
    </row>
    <row r="714" ht="14.25" customHeight="1" s="156">
      <c r="A714" s="107" t="inlineStr">
        <is>
          <t>J6DW0089</t>
        </is>
      </c>
      <c r="C714" s="107" t="inlineStr">
        <is>
          <t>LED-A888　898X275X166</t>
        </is>
      </c>
      <c r="F714" s="27" t="inlineStr">
        <is>
          <t>V3Z01</t>
        </is>
      </c>
      <c r="G714" s="161" t="n">
        <v>6</v>
      </c>
      <c r="I714" s="161" t="n">
        <v>0.06</v>
      </c>
    </row>
    <row r="715" ht="24.95" customHeight="1" s="156">
      <c r="A715" s="122" t="inlineStr">
        <is>
          <t>*J6DW0089*</t>
        </is>
      </c>
      <c r="C715" s="107" t="inlineStr">
        <is>
          <t>L888×W275×H166</t>
        </is>
      </c>
      <c r="F715" s="107" t="n"/>
    </row>
    <row r="716" ht="14.25" customHeight="1" s="156">
      <c r="A716" s="107" t="inlineStr">
        <is>
          <t>J6XX0044</t>
        </is>
      </c>
      <c r="C716" s="107" t="inlineStr">
        <is>
          <t>(管理外)筋入ｸﾗﾌﾄ紙</t>
        </is>
      </c>
      <c r="F716" s="27" t="n"/>
      <c r="G716" s="161" t="n">
        <v>66</v>
      </c>
      <c r="I716" s="161" t="n">
        <v>0.66</v>
      </c>
    </row>
    <row r="717" ht="24.95" customHeight="1" s="156">
      <c r="A717" s="122" t="inlineStr">
        <is>
          <t>*J6XX0044*</t>
        </is>
      </c>
      <c r="C717" s="107" t="inlineStr">
        <is>
          <t>400＊900</t>
        </is>
      </c>
      <c r="F717" s="107" t="n"/>
    </row>
    <row r="718" ht="14.25" customHeight="1" s="156">
      <c r="A718" s="107" t="inlineStr">
        <is>
          <t>J6XX0051</t>
        </is>
      </c>
      <c r="C718" s="107" t="inlineStr">
        <is>
          <t>(管理外)LLDPE規格ｼｰﾄ0.02×950×100m</t>
        </is>
      </c>
      <c r="F718" s="27" t="n"/>
      <c r="G718" s="161" t="n">
        <v>0.6</v>
      </c>
      <c r="I718" s="161" t="n">
        <v>0.006</v>
      </c>
    </row>
    <row r="719" ht="24.95" customHeight="1" s="156">
      <c r="A719" s="122" t="inlineStr">
        <is>
          <t>*J6XX0051*</t>
        </is>
      </c>
      <c r="C719" s="107" t="inlineStr">
        <is>
          <t>0.02×950×100m</t>
        </is>
      </c>
      <c r="F719" s="107" t="n"/>
    </row>
    <row r="720" ht="14.25" customHeight="1" s="156">
      <c r="A720" s="107" t="n"/>
      <c r="C720" s="107" t="n"/>
      <c r="F720" s="27" t="n"/>
      <c r="G720" s="161" t="n"/>
      <c r="I720" s="161" t="n"/>
    </row>
    <row r="721" ht="24.95" customHeight="1" s="156" thickBot="1">
      <c r="A721" s="122" t="n"/>
      <c r="C721" s="107" t="n"/>
      <c r="F721" s="107" t="n"/>
    </row>
    <row r="722" ht="18" customFormat="1" customHeight="1" s="141">
      <c r="A722" s="28" t="inlineStr">
        <is>
          <t>温度換算</t>
        </is>
      </c>
      <c r="B722" s="29" t="inlineStr">
        <is>
          <t>L寸</t>
        </is>
      </c>
      <c r="C722" s="147" t="inlineStr">
        <is>
          <t>梱包箱</t>
        </is>
      </c>
      <c r="D722" s="162" t="n"/>
      <c r="E722" s="148" t="inlineStr">
        <is>
          <t>使用数</t>
        </is>
      </c>
      <c r="F722" s="31" t="inlineStr">
        <is>
          <t>作業者</t>
        </is>
      </c>
      <c r="G722" s="32" t="inlineStr">
        <is>
          <t>加工Lot</t>
        </is>
      </c>
      <c r="H722" s="129" t="inlineStr">
        <is>
          <t>箱数</t>
        </is>
      </c>
      <c r="I722" s="128" t="inlineStr">
        <is>
          <t>加工明細</t>
        </is>
      </c>
      <c r="J722" s="162" t="n"/>
    </row>
    <row r="723" ht="18" customFormat="1" customHeight="1" s="137">
      <c r="A723" s="34" t="inlineStr">
        <is>
          <t>〇</t>
        </is>
      </c>
      <c r="B723" s="163" t="n">
        <v>888</v>
      </c>
      <c r="C723" s="164" t="inlineStr">
        <is>
          <t>LED-A888</t>
        </is>
      </c>
      <c r="D723" s="165" t="n"/>
      <c r="E723" s="166" t="n">
        <v>6</v>
      </c>
      <c r="F723" s="167" t="inlineStr">
        <is>
          <t xml:space="preserve">切断加工：I / </t>
        </is>
      </c>
      <c r="G723" s="168" t="n">
        <v>46182</v>
      </c>
      <c r="H723" s="169" t="n">
        <v>5</v>
      </c>
      <c r="I723" s="39" t="inlineStr">
        <is>
          <t>入庫日</t>
        </is>
      </c>
      <c r="J723" s="170" t="n">
        <v>46183</v>
      </c>
    </row>
    <row r="724" ht="18" customFormat="1" customHeight="1" s="141">
      <c r="A724" s="44" t="inlineStr">
        <is>
          <t>+公差</t>
        </is>
      </c>
      <c r="B724" s="45" t="inlineStr">
        <is>
          <t>切断寸法</t>
        </is>
      </c>
      <c r="C724" s="171" t="n"/>
      <c r="D724" s="172" t="n"/>
      <c r="E724" s="119" t="n"/>
      <c r="F724" s="173" t="inlineStr">
        <is>
          <t>外観検査：U / T</t>
        </is>
      </c>
      <c r="G724" s="168" t="n">
        <v>46183</v>
      </c>
      <c r="H724" s="169" t="n">
        <v>1</v>
      </c>
      <c r="I724" s="39" t="inlineStr">
        <is>
          <t>入庫数</t>
        </is>
      </c>
      <c r="J724" s="174" t="n">
        <v>600</v>
      </c>
      <c r="K724" s="47" t="n"/>
    </row>
    <row r="725" ht="18" customFormat="1" customHeight="1" s="137">
      <c r="A725" s="48" t="n">
        <v>0.5</v>
      </c>
      <c r="B725" s="175" t="inlineStr">
        <is>
          <t>換算表確認</t>
        </is>
      </c>
      <c r="C725" s="155" t="inlineStr">
        <is>
          <t>梱包
方法</t>
        </is>
      </c>
      <c r="D725" s="176" t="inlineStr">
        <is>
          <t>L=888用　クラフト紙</t>
        </is>
      </c>
      <c r="E725" s="177" t="n"/>
      <c r="F725" s="178" t="n"/>
      <c r="G725" s="168" t="n"/>
      <c r="H725" s="169" t="n"/>
      <c r="I725" s="39" t="inlineStr">
        <is>
          <t>使用基材数</t>
        </is>
      </c>
      <c r="J725" s="174" t="n">
        <v>300.5</v>
      </c>
      <c r="K725" s="50" t="n"/>
    </row>
    <row r="726" ht="18" customFormat="1" customHeight="1" s="141">
      <c r="A726" s="51" t="inlineStr">
        <is>
          <t>-公差</t>
        </is>
      </c>
      <c r="B726" s="52" t="inlineStr">
        <is>
          <t>取数</t>
        </is>
      </c>
      <c r="C726" s="179" t="n"/>
      <c r="D726" s="176" t="inlineStr">
        <is>
          <t>ラベル１枚　長手無　鉢巻１回</t>
        </is>
      </c>
      <c r="E726" s="177" t="n"/>
      <c r="F726" s="178" t="n"/>
      <c r="G726" s="168" t="n"/>
      <c r="H726" s="169" t="n"/>
      <c r="I726" s="39" t="inlineStr">
        <is>
          <t>製品不良</t>
        </is>
      </c>
      <c r="J726" s="174" t="n">
        <v>1</v>
      </c>
      <c r="K726" s="47" t="n"/>
    </row>
    <row r="727" ht="18" customFormat="1" customHeight="1" s="137" thickBot="1">
      <c r="A727" s="53" t="n">
        <v>-0.5</v>
      </c>
      <c r="B727" s="54" t="n">
        <v>2</v>
      </c>
      <c r="C727" s="55" t="inlineStr">
        <is>
          <t>備考</t>
        </is>
      </c>
      <c r="D727" s="180" t="inlineStr">
        <is>
          <t>1箱目の梱包数 目視確認　以降、重量測定</t>
        </is>
      </c>
      <c r="E727" s="181" t="n"/>
      <c r="F727" s="182" t="n"/>
      <c r="G727" s="183" t="n"/>
      <c r="H727" s="184" t="n"/>
      <c r="I727" s="39" t="inlineStr">
        <is>
          <t>基材不良</t>
        </is>
      </c>
      <c r="J727" s="185" t="n">
        <v>0.5</v>
      </c>
      <c r="K727" s="50" t="n"/>
    </row>
    <row r="728" ht="18" customFormat="1" customHeight="1" s="141" thickBot="1">
      <c r="A728" s="58" t="inlineStr">
        <is>
          <t>作業日</t>
        </is>
      </c>
      <c r="B728" s="59">
        <f t="array" ref="B728">IF(SUM(--(ISTEXT(B729:B739)*(B729:B739&lt;&gt;"")))=0,"計測Lot","計測Lot・加工数")</f>
        <v/>
      </c>
      <c r="C728" s="60" t="inlineStr">
        <is>
          <t>温度</t>
        </is>
      </c>
      <c r="D728" s="61" t="inlineStr">
        <is>
          <t>換算</t>
        </is>
      </c>
      <c r="E728" s="62" t="inlineStr">
        <is>
          <t>計測値</t>
        </is>
      </c>
      <c r="F728" s="63">
        <f t="array" ref="F728">IF(SUM(--(ISTEXT(B729:B739)*(B729:B739&lt;&gt;"")))=0,"記入不要","使用Lot")</f>
        <v/>
      </c>
      <c r="G728" s="64" t="inlineStr">
        <is>
          <t>加工数</t>
        </is>
      </c>
      <c r="H728" s="65" t="inlineStr">
        <is>
          <t>基材換算</t>
        </is>
      </c>
      <c r="I728" s="66" t="inlineStr">
        <is>
          <t>端材使用</t>
        </is>
      </c>
      <c r="J728" s="186" t="n">
        <v>0</v>
      </c>
      <c r="K728" s="47" t="n"/>
    </row>
    <row r="729" ht="18" customFormat="1" customHeight="1" s="137">
      <c r="A729" s="187" t="n"/>
      <c r="B729" s="188" t="n"/>
      <c r="C729" s="74" t="n"/>
      <c r="D729" s="189" t="n"/>
      <c r="E729" s="190" t="n"/>
      <c r="F729" s="191" t="n">
        <v>0</v>
      </c>
      <c r="G729" s="192" t="n">
        <v>0</v>
      </c>
      <c r="H729" s="193" t="n"/>
      <c r="I729" s="194" t="inlineStr">
        <is>
          <t>不良内訳</t>
        </is>
      </c>
      <c r="J729" s="195" t="n"/>
      <c r="K729" s="80" t="n"/>
    </row>
    <row r="730" ht="18" customFormat="1" customHeight="1" s="141">
      <c r="A730" s="196" t="n">
        <v>46182</v>
      </c>
      <c r="B730" s="72" t="inlineStr">
        <is>
          <t>26E23-05</t>
        </is>
      </c>
      <c r="C730" s="197" t="n">
        <v>22</v>
      </c>
      <c r="D730" s="198" t="n">
        <v>888.12</v>
      </c>
      <c r="E730" s="199" t="n">
        <v>888.11</v>
      </c>
      <c r="F730" s="200" t="inlineStr">
        <is>
          <t>26E23-05</t>
        </is>
      </c>
      <c r="G730" s="197" t="n">
        <v>601</v>
      </c>
      <c r="H730" s="201" t="n">
        <v>300.5</v>
      </c>
      <c r="I730" s="86" t="inlineStr">
        <is>
          <t>キズ</t>
        </is>
      </c>
      <c r="J730" s="201" t="n">
        <v>1</v>
      </c>
      <c r="K730" s="80" t="n"/>
    </row>
    <row r="731" ht="18.95" customFormat="1" customHeight="1" s="91">
      <c r="A731" s="202" t="n">
        <v>46182</v>
      </c>
      <c r="B731" s="72" t="inlineStr">
        <is>
          <t>26E23-05 × 400</t>
        </is>
      </c>
      <c r="C731" s="197" t="n">
        <v>24</v>
      </c>
      <c r="D731" s="198" t="n">
        <v>888.23</v>
      </c>
      <c r="E731" s="199" t="n">
        <v>888.1900000000001</v>
      </c>
      <c r="F731" s="200" t="n"/>
      <c r="G731" s="197" t="n">
        <v>0</v>
      </c>
      <c r="H731" s="201" t="n"/>
      <c r="I731" s="86" t="inlineStr">
        <is>
          <t>凹み</t>
        </is>
      </c>
      <c r="J731" s="201" t="n"/>
      <c r="K731" s="89" t="n"/>
      <c r="L731" s="90" t="n"/>
      <c r="M731" s="90" t="n"/>
      <c r="N731" s="90" t="n"/>
    </row>
    <row r="732" ht="18.95" customFormat="1" customHeight="1" s="94">
      <c r="A732" s="202" t="n">
        <v>46182</v>
      </c>
      <c r="B732" s="72" t="inlineStr">
        <is>
          <t>26E23-05 × 200</t>
        </is>
      </c>
      <c r="C732" s="197" t="n">
        <v>24</v>
      </c>
      <c r="D732" s="198" t="n">
        <v>888.23</v>
      </c>
      <c r="E732" s="199" t="n">
        <v>888.17</v>
      </c>
      <c r="F732" s="200" t="n"/>
      <c r="G732" s="197" t="n">
        <v>0</v>
      </c>
      <c r="H732" s="201" t="n"/>
      <c r="I732" s="86" t="inlineStr">
        <is>
          <t>異物</t>
        </is>
      </c>
      <c r="J732" s="201" t="n"/>
      <c r="K732" s="92" t="n"/>
      <c r="L732" s="93" t="n"/>
      <c r="M732" s="93" t="n"/>
      <c r="N732" s="93" t="n"/>
    </row>
    <row r="733" ht="18.95" customFormat="1" customHeight="1" s="94">
      <c r="A733" s="202" t="n"/>
      <c r="B733" s="72" t="inlineStr"/>
      <c r="C733" s="197" t="n"/>
      <c r="D733" s="198" t="n"/>
      <c r="E733" s="199" t="n"/>
      <c r="F733" s="200" t="n"/>
      <c r="G733" s="197" t="n">
        <v>0</v>
      </c>
      <c r="H733" s="201" t="n"/>
      <c r="I733" s="86" t="inlineStr">
        <is>
          <t>欠け</t>
        </is>
      </c>
      <c r="J733" s="201" t="n"/>
      <c r="K733" s="92" t="n"/>
      <c r="L733" s="93" t="n"/>
      <c r="M733" s="93" t="n"/>
      <c r="N733" s="93" t="n"/>
    </row>
    <row r="734" ht="18.95" customFormat="1" customHeight="1" s="94">
      <c r="A734" s="202" t="n"/>
      <c r="B734" s="72" t="inlineStr"/>
      <c r="C734" s="197" t="n"/>
      <c r="D734" s="198" t="n"/>
      <c r="E734" s="199" t="n"/>
      <c r="F734" s="200" t="n"/>
      <c r="G734" s="197" t="n">
        <v>0</v>
      </c>
      <c r="H734" s="201" t="n"/>
      <c r="I734" s="86" t="inlineStr">
        <is>
          <t>メヤニ</t>
        </is>
      </c>
      <c r="J734" s="201" t="n"/>
      <c r="K734" s="92" t="n"/>
      <c r="L734" s="93" t="n"/>
      <c r="M734" s="93" t="n"/>
      <c r="N734" s="93" t="n"/>
    </row>
    <row r="735" ht="18.95" customFormat="1" customHeight="1" s="94">
      <c r="A735" s="202" t="n"/>
      <c r="B735" s="72" t="inlineStr"/>
      <c r="C735" s="197" t="n"/>
      <c r="D735" s="198" t="n"/>
      <c r="E735" s="199" t="n"/>
      <c r="F735" s="200" t="n"/>
      <c r="G735" s="197" t="n">
        <v>0</v>
      </c>
      <c r="H735" s="201" t="n"/>
      <c r="I735" s="86" t="inlineStr">
        <is>
          <t>ベコツキ</t>
        </is>
      </c>
      <c r="J735" s="201" t="n"/>
      <c r="K735" s="92" t="n"/>
      <c r="L735" s="93" t="n"/>
      <c r="M735" s="93" t="n"/>
      <c r="N735" s="93" t="n"/>
    </row>
    <row r="736" ht="18.95" customFormat="1" customHeight="1" s="94">
      <c r="A736" s="202" t="n"/>
      <c r="B736" s="72" t="inlineStr"/>
      <c r="C736" s="197" t="n"/>
      <c r="D736" s="198" t="n"/>
      <c r="E736" s="199" t="n"/>
      <c r="F736" s="200" t="n"/>
      <c r="G736" s="197" t="n">
        <v>0</v>
      </c>
      <c r="H736" s="201" t="n"/>
      <c r="I736" s="95" t="inlineStr">
        <is>
          <t>汚損</t>
        </is>
      </c>
      <c r="J736" s="201" t="n"/>
      <c r="K736" s="92" t="n"/>
      <c r="L736" s="93" t="n"/>
      <c r="M736" s="93" t="n"/>
      <c r="N736" s="93" t="n"/>
    </row>
    <row r="737" ht="18.95" customFormat="1" customHeight="1" s="94">
      <c r="A737" s="202" t="n"/>
      <c r="B737" s="72" t="inlineStr"/>
      <c r="C737" s="197" t="n"/>
      <c r="D737" s="198" t="n"/>
      <c r="E737" s="199" t="n"/>
      <c r="F737" s="200" t="n"/>
      <c r="G737" s="197" t="n">
        <v>0</v>
      </c>
      <c r="H737" s="201" t="n"/>
      <c r="I737" s="95" t="inlineStr">
        <is>
          <t>形状異常</t>
        </is>
      </c>
      <c r="J737" s="201" t="n"/>
      <c r="K737" s="92" t="n"/>
      <c r="L737" s="93" t="n"/>
      <c r="M737" s="93" t="n"/>
      <c r="N737" s="93" t="n"/>
    </row>
    <row r="738" ht="18.95" customFormat="1" customHeight="1" s="94">
      <c r="A738" s="202" t="n"/>
      <c r="B738" s="72" t="inlineStr"/>
      <c r="C738" s="197" t="n"/>
      <c r="D738" s="198" t="n"/>
      <c r="E738" s="199" t="n"/>
      <c r="F738" s="200" t="n"/>
      <c r="G738" s="197" t="n">
        <v>0</v>
      </c>
      <c r="H738" s="201" t="n"/>
      <c r="I738" s="86" t="inlineStr">
        <is>
          <t>その他</t>
        </is>
      </c>
      <c r="J738" s="203" t="n"/>
      <c r="K738" s="92" t="n"/>
      <c r="L738" s="93" t="n"/>
      <c r="M738" s="93" t="n"/>
      <c r="N738" s="93" t="n"/>
    </row>
    <row r="739" ht="18.95" customFormat="1" customHeight="1" s="94" thickBot="1">
      <c r="A739" s="204" t="inlineStr">
        <is>
          <t>不良補填</t>
        </is>
      </c>
      <c r="B739" s="73" t="inlineStr">
        <is>
          <t>26E23-05 × 1</t>
        </is>
      </c>
      <c r="C739" s="205" t="n"/>
      <c r="D739" s="206" t="n"/>
      <c r="E739" s="207" t="n"/>
      <c r="F739" s="208" t="n"/>
      <c r="G739" s="209" t="n"/>
      <c r="H739" s="210" t="n"/>
      <c r="I739" s="102" t="inlineStr">
        <is>
          <t>合計</t>
        </is>
      </c>
      <c r="J739" s="211" t="n">
        <v>1</v>
      </c>
      <c r="K739" s="92" t="n"/>
      <c r="L739" s="93" t="n"/>
      <c r="M739" s="93" t="n"/>
      <c r="N739" s="93" t="n"/>
    </row>
    <row r="740" ht="6" customHeight="1" s="156" thickBot="1">
      <c r="A740" s="103" t="n"/>
      <c r="B740" s="104" t="n"/>
      <c r="C740" s="104" t="n"/>
      <c r="D740" s="103" t="n"/>
      <c r="E740" s="104" t="n"/>
      <c r="F740" s="104" t="n"/>
      <c r="G740" s="104" t="n"/>
      <c r="H740" s="104" t="n"/>
    </row>
    <row r="741" ht="6" customHeight="1" s="156" thickTop="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</row>
    <row r="742" ht="14.25" customHeight="1" s="156">
      <c r="A742" s="11" t="n"/>
      <c r="B742" s="125" t="inlineStr">
        <is>
          <t>検査梱包指示書</t>
        </is>
      </c>
      <c r="E742" s="11" t="n"/>
      <c r="F742" s="11" t="n"/>
      <c r="G742" s="11" t="n"/>
      <c r="H742" s="11" t="n"/>
      <c r="I742" s="11" t="n"/>
      <c r="J742" s="11" t="n"/>
    </row>
    <row r="743" ht="14.25" customHeight="1" s="156">
      <c r="A743" s="12" t="n"/>
      <c r="E743" s="12" t="n"/>
      <c r="F743" s="12" t="n"/>
      <c r="G743" s="12" t="n"/>
      <c r="H743" s="12" t="n"/>
      <c r="I743" s="12" t="n"/>
      <c r="J743" s="12" t="n"/>
    </row>
    <row r="744" ht="14.25" customHeight="1" s="156">
      <c r="A744" s="112" t="inlineStr">
        <is>
          <t>品目番号</t>
        </is>
      </c>
      <c r="B744" s="112" t="inlineStr">
        <is>
          <t>J1JAZZB10808880</t>
        </is>
      </c>
      <c r="C744" s="112" t="inlineStr">
        <is>
          <t>Ｌ寸</t>
        </is>
      </c>
      <c r="D744" s="157" t="n">
        <v>888</v>
      </c>
      <c r="E744" s="112" t="inlineStr">
        <is>
          <t>名称</t>
        </is>
      </c>
      <c r="F744" s="123" t="inlineStr">
        <is>
          <t>8FL2813045010</t>
        </is>
      </c>
      <c r="I744" s="24" t="inlineStr">
        <is>
          <t>上長</t>
        </is>
      </c>
      <c r="J744" s="24" t="inlineStr">
        <is>
          <t>係員</t>
        </is>
      </c>
    </row>
    <row r="745" ht="14.25" customHeight="1" s="156">
      <c r="I745" s="105" t="n"/>
      <c r="J745" s="105" t="n"/>
    </row>
    <row r="746" ht="17.45" customHeight="1" s="156">
      <c r="A746" s="111" t="inlineStr">
        <is>
          <t>製造指図№</t>
        </is>
      </c>
      <c r="B746" s="111" t="inlineStr">
        <is>
          <t>000000000014596</t>
        </is>
      </c>
      <c r="E746" s="111" t="inlineStr">
        <is>
          <t>原料名</t>
        </is>
      </c>
      <c r="F746" s="140" t="inlineStr">
        <is>
          <t>(CASE 888MILK-W4)</t>
        </is>
      </c>
      <c r="I746" s="106" t="n"/>
      <c r="J746" s="106" t="n"/>
    </row>
    <row r="747" ht="17.45" customHeight="1" s="156">
      <c r="I747" s="13" t="n"/>
      <c r="J747" s="13" t="n"/>
    </row>
    <row r="748" ht="17.45" customHeight="1" s="156">
      <c r="A748" s="111" t="inlineStr">
        <is>
          <t>発注明細№</t>
        </is>
      </c>
      <c r="B748" s="111" t="inlineStr">
        <is>
          <t>000000000855933</t>
        </is>
      </c>
      <c r="E748" s="2" t="inlineStr">
        <is>
          <t>色　名</t>
        </is>
      </c>
      <c r="F748" s="140" t="inlineStr">
        <is>
          <t>J6VZ034</t>
        </is>
      </c>
      <c r="H748" s="21" t="n"/>
      <c r="I748" s="13" t="n"/>
      <c r="J748" s="13" t="n"/>
    </row>
    <row r="749" ht="17.45" customHeight="1" s="156">
      <c r="E749" s="2" t="inlineStr">
        <is>
          <t>製品Grp</t>
        </is>
      </c>
      <c r="F749" s="21" t="inlineStr">
        <is>
          <t>J1ZB</t>
        </is>
      </c>
      <c r="G749" s="21" t="n"/>
      <c r="H749" s="21" t="n"/>
      <c r="I749" s="14" t="n"/>
      <c r="J749" s="14" t="n"/>
    </row>
    <row r="750" ht="17.45" customHeight="1" s="156">
      <c r="A750" s="2" t="inlineStr">
        <is>
          <t>開始日</t>
        </is>
      </c>
      <c r="B750" s="158" t="n">
        <v>46184</v>
      </c>
      <c r="E750" s="2" t="inlineStr">
        <is>
          <t>入り数</t>
        </is>
      </c>
      <c r="F750" s="159" t="n">
        <v>100</v>
      </c>
      <c r="H750" s="21" t="n"/>
    </row>
    <row r="751" ht="17.45" customHeight="1" s="156">
      <c r="A751" s="2" t="inlineStr">
        <is>
          <t>終了日</t>
        </is>
      </c>
      <c r="B751" s="158" t="n">
        <v>46184</v>
      </c>
      <c r="E751" s="2" t="inlineStr">
        <is>
          <t>梱包数</t>
        </is>
      </c>
      <c r="F751" s="21" t="n">
        <v>4</v>
      </c>
      <c r="G751" s="143" t="inlineStr">
        <is>
          <t>指示数量</t>
        </is>
      </c>
      <c r="H751" s="160" t="n">
        <v>400</v>
      </c>
      <c r="I751" s="133" t="n"/>
      <c r="J751" s="134" t="n"/>
    </row>
    <row r="752" ht="17.45" customHeight="1" s="156">
      <c r="A752" s="19" t="n"/>
      <c r="B752" s="127" t="n"/>
      <c r="C752" s="127" t="n"/>
      <c r="D752" s="127" t="n"/>
      <c r="E752" s="2" t="inlineStr">
        <is>
          <t>金　型</t>
        </is>
      </c>
      <c r="F752" s="21" t="inlineStr">
        <is>
          <t>4350</t>
        </is>
      </c>
      <c r="G752" s="135" t="n"/>
      <c r="H752" s="135" t="n"/>
      <c r="I752" s="117" t="n"/>
      <c r="J752" s="136" t="n"/>
    </row>
    <row r="753" ht="13.5" customHeight="1" s="156">
      <c r="A753" s="127" t="inlineStr">
        <is>
          <t>*J1JAZZB10808880*</t>
        </is>
      </c>
      <c r="D753" s="127" t="n"/>
      <c r="F753" s="3" t="n"/>
      <c r="G753" s="126" t="inlineStr">
        <is>
          <t>格納先</t>
        </is>
      </c>
      <c r="H753" s="118" t="inlineStr">
        <is>
          <t>V3J03</t>
        </is>
      </c>
      <c r="I753" s="138" t="inlineStr">
        <is>
          <t>樹脂第3倉庫 (在庫)</t>
        </is>
      </c>
      <c r="J753" s="139" t="n"/>
    </row>
    <row r="754" ht="13.5" customHeight="1" s="156">
      <c r="D754" s="127" t="n"/>
      <c r="F754" s="3" t="n"/>
      <c r="G754" s="119" t="n"/>
      <c r="H754" s="119" t="n"/>
      <c r="I754" s="117" t="n"/>
      <c r="J754" s="136" t="n"/>
    </row>
    <row r="755" ht="13.5" customHeight="1" s="156">
      <c r="A755" s="108" t="inlineStr">
        <is>
          <t>指図書備考</t>
        </is>
      </c>
    </row>
    <row r="756" ht="63" customHeight="1" s="156">
      <c r="A756" s="130" t="n"/>
      <c r="B756" s="131" t="n"/>
      <c r="C756" s="131" t="n"/>
      <c r="D756" s="131" t="n"/>
      <c r="E756" s="131" t="n"/>
      <c r="F756" s="131" t="n"/>
      <c r="G756" s="131" t="n"/>
      <c r="H756" s="131" t="n"/>
      <c r="I756" s="131" t="n"/>
      <c r="J756" s="131" t="n"/>
    </row>
    <row r="757" ht="18.75" customHeight="1" s="156">
      <c r="A757" s="23" t="inlineStr">
        <is>
          <t>工順</t>
        </is>
      </c>
      <c r="B757" s="16" t="inlineStr">
        <is>
          <t>製造場所</t>
        </is>
      </c>
      <c r="C757" s="120" t="inlineStr">
        <is>
          <t>製造場所名</t>
        </is>
      </c>
      <c r="D757" s="121" t="n"/>
      <c r="E757" s="16" t="inlineStr">
        <is>
          <t>工程</t>
        </is>
      </c>
      <c r="F757" s="120" t="inlineStr">
        <is>
          <t>工程名</t>
        </is>
      </c>
      <c r="G757" s="121" t="n"/>
      <c r="H757" s="121" t="n"/>
      <c r="I757" s="124" t="inlineStr">
        <is>
          <t>作業時間</t>
        </is>
      </c>
      <c r="J757" s="121" t="n"/>
    </row>
    <row r="758" ht="14.25" customHeight="1" s="156">
      <c r="A758" s="141" t="n"/>
      <c r="B758" s="141" t="n"/>
      <c r="C758" s="141" t="n"/>
      <c r="D758" s="141" t="n"/>
      <c r="E758" s="141" t="n"/>
      <c r="F758" s="141" t="n"/>
      <c r="G758" s="141" t="n"/>
      <c r="H758" s="141" t="n"/>
      <c r="I758" s="141" t="n"/>
      <c r="J758" s="141" t="n"/>
    </row>
    <row r="759" ht="16.5" customHeight="1" s="156">
      <c r="A759" s="22" t="n">
        <v>1</v>
      </c>
      <c r="B759" s="107" t="inlineStr">
        <is>
          <t>V3Z01</t>
        </is>
      </c>
      <c r="C759" s="107" t="inlineStr">
        <is>
          <t>黒部工業</t>
        </is>
      </c>
      <c r="E759" s="107" t="inlineStr">
        <is>
          <t>V3P05</t>
        </is>
      </c>
      <c r="F759" s="107" t="inlineStr">
        <is>
          <t>切断</t>
        </is>
      </c>
      <c r="I759" s="115" t="n"/>
    </row>
    <row r="760" ht="16.5" customHeight="1" s="156">
      <c r="A760" s="22" t="n">
        <v>1</v>
      </c>
      <c r="B760" s="26" t="inlineStr">
        <is>
          <t>V3Z01</t>
        </is>
      </c>
      <c r="C760" s="107" t="inlineStr">
        <is>
          <t>黒部工業</t>
        </is>
      </c>
      <c r="E760" s="107" t="inlineStr">
        <is>
          <t>V3P16</t>
        </is>
      </c>
      <c r="F760" s="107" t="inlineStr">
        <is>
          <t>検査・梱包</t>
        </is>
      </c>
      <c r="I760" s="115" t="n"/>
    </row>
    <row r="761" ht="16.5" customHeight="1" s="156">
      <c r="A761" s="22" t="n"/>
      <c r="B761" s="26" t="n"/>
      <c r="C761" s="107" t="n"/>
      <c r="E761" s="107" t="n"/>
      <c r="F761" s="107" t="n"/>
      <c r="I761" s="115" t="n"/>
    </row>
    <row r="762" ht="16.5" customHeight="1" s="156">
      <c r="A762" s="22" t="n"/>
      <c r="B762" s="26" t="n"/>
      <c r="C762" s="107" t="n"/>
      <c r="E762" s="107" t="n"/>
      <c r="F762" s="107" t="n"/>
      <c r="I762" s="115" t="n"/>
    </row>
    <row r="763" ht="16.5" customHeight="1" s="156">
      <c r="A763" s="22" t="n"/>
      <c r="B763" s="26" t="n"/>
      <c r="C763" s="107" t="n"/>
      <c r="E763" s="107" t="n"/>
      <c r="F763" s="107" t="n"/>
      <c r="I763" s="115" t="n"/>
    </row>
    <row r="764" ht="16.5" customHeight="1" s="156">
      <c r="A764" s="22" t="n"/>
      <c r="B764" s="26" t="n"/>
      <c r="C764" s="107" t="n"/>
      <c r="E764" s="107" t="n"/>
      <c r="F764" s="107" t="n"/>
      <c r="I764" s="115" t="n"/>
    </row>
    <row r="765" ht="16.5" customHeight="1" s="156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</row>
    <row r="766" ht="18.75" customHeight="1" s="156">
      <c r="A766" s="109" t="inlineStr">
        <is>
          <t>品目コード</t>
        </is>
      </c>
      <c r="B766" s="110" t="n"/>
      <c r="C766" s="109" t="inlineStr">
        <is>
          <t>品目名１</t>
        </is>
      </c>
      <c r="D766" s="110" t="n"/>
      <c r="E766" s="110" t="n"/>
      <c r="F766" s="17" t="inlineStr">
        <is>
          <t>在庫場所</t>
        </is>
      </c>
      <c r="G766" s="109" t="inlineStr">
        <is>
          <t>出庫数量</t>
        </is>
      </c>
      <c r="H766" s="110" t="n"/>
      <c r="I766" s="109" t="inlineStr">
        <is>
          <t>バッチ必要数</t>
        </is>
      </c>
      <c r="J766" s="110" t="n"/>
    </row>
    <row r="767" ht="14.25" customHeight="1" s="156">
      <c r="A767" s="8" t="n"/>
      <c r="B767" s="18" t="n"/>
      <c r="C767" s="116" t="inlineStr">
        <is>
          <t>品目名２</t>
        </is>
      </c>
      <c r="D767" s="117" t="n"/>
      <c r="E767" s="18" t="n"/>
      <c r="F767" s="116" t="inlineStr">
        <is>
          <t>指図書備考</t>
        </is>
      </c>
      <c r="G767" s="117" t="n"/>
      <c r="H767" s="117" t="n"/>
      <c r="I767" s="117" t="n"/>
      <c r="J767" s="117" t="n"/>
    </row>
    <row r="768">
      <c r="A768" s="9" t="n"/>
      <c r="C768" s="137" t="n"/>
      <c r="D768" s="137" t="n"/>
      <c r="E768" s="137" t="n"/>
    </row>
    <row r="769" ht="14.25" customHeight="1" s="156">
      <c r="A769" s="107" t="inlineStr">
        <is>
          <t>J1JAZZA10818200</t>
        </is>
      </c>
      <c r="C769" s="107" t="inlineStr">
        <is>
          <t>@8FL28130 L1820</t>
        </is>
      </c>
      <c r="F769" s="27" t="inlineStr">
        <is>
          <t>V3J04</t>
        </is>
      </c>
      <c r="G769" s="161" t="n">
        <v>200</v>
      </c>
      <c r="I769" s="161" t="n">
        <v>2</v>
      </c>
    </row>
    <row r="770" ht="24.95" customHeight="1" s="156">
      <c r="A770" s="122" t="inlineStr">
        <is>
          <t>*J1JAZZA10818200*</t>
        </is>
      </c>
      <c r="C770" s="107" t="n"/>
      <c r="F770" s="107" t="n"/>
    </row>
    <row r="771" ht="14.25" customHeight="1" s="156">
      <c r="A771" s="107" t="inlineStr">
        <is>
          <t>J6DW0089</t>
        </is>
      </c>
      <c r="C771" s="107" t="inlineStr">
        <is>
          <t>LED-A888　898X275X166</t>
        </is>
      </c>
      <c r="F771" s="27" t="inlineStr">
        <is>
          <t>V3Z01</t>
        </is>
      </c>
      <c r="G771" s="161" t="n">
        <v>4</v>
      </c>
      <c r="I771" s="161" t="n">
        <v>0.04</v>
      </c>
    </row>
    <row r="772" ht="24.95" customHeight="1" s="156">
      <c r="A772" s="122" t="inlineStr">
        <is>
          <t>*J6DW0089*</t>
        </is>
      </c>
      <c r="C772" s="107" t="inlineStr">
        <is>
          <t>L888×W275×H166</t>
        </is>
      </c>
      <c r="F772" s="107" t="n"/>
    </row>
    <row r="773" ht="14.25" customHeight="1" s="156">
      <c r="A773" s="107" t="inlineStr">
        <is>
          <t>J6XX0044</t>
        </is>
      </c>
      <c r="C773" s="107" t="inlineStr">
        <is>
          <t>(管理外)筋入ｸﾗﾌﾄ紙</t>
        </is>
      </c>
      <c r="F773" s="27" t="n"/>
      <c r="G773" s="161" t="n">
        <v>44</v>
      </c>
      <c r="I773" s="161" t="n">
        <v>0.44</v>
      </c>
    </row>
    <row r="774" ht="24.95" customHeight="1" s="156">
      <c r="A774" s="122" t="inlineStr">
        <is>
          <t>*J6XX0044*</t>
        </is>
      </c>
      <c r="C774" s="107" t="inlineStr">
        <is>
          <t>400＊900</t>
        </is>
      </c>
      <c r="F774" s="107" t="n"/>
    </row>
    <row r="775" ht="14.25" customHeight="1" s="156">
      <c r="A775" s="107" t="inlineStr">
        <is>
          <t>J6XX0051</t>
        </is>
      </c>
      <c r="C775" s="107" t="inlineStr">
        <is>
          <t>(管理外)LLDPE規格ｼｰﾄ0.02×950×100m</t>
        </is>
      </c>
      <c r="F775" s="27" t="n"/>
      <c r="G775" s="161" t="n">
        <v>0.4</v>
      </c>
      <c r="I775" s="161" t="n">
        <v>0.004</v>
      </c>
    </row>
    <row r="776" ht="24.95" customHeight="1" s="156">
      <c r="A776" s="122" t="inlineStr">
        <is>
          <t>*J6XX0051*</t>
        </is>
      </c>
      <c r="C776" s="107" t="inlineStr">
        <is>
          <t>0.02×950×100m</t>
        </is>
      </c>
      <c r="F776" s="107" t="n"/>
    </row>
    <row r="777" ht="14.25" customHeight="1" s="156">
      <c r="A777" s="107" t="n"/>
      <c r="C777" s="107" t="n"/>
      <c r="F777" s="27" t="n"/>
      <c r="G777" s="161" t="n"/>
      <c r="I777" s="161" t="n"/>
    </row>
    <row r="778" ht="24.95" customHeight="1" s="156" thickBot="1">
      <c r="A778" s="122" t="n"/>
      <c r="C778" s="107" t="n"/>
      <c r="F778" s="107" t="n"/>
    </row>
    <row r="779" ht="18" customFormat="1" customHeight="1" s="141">
      <c r="A779" s="28" t="inlineStr">
        <is>
          <t>温度換算</t>
        </is>
      </c>
      <c r="B779" s="29" t="inlineStr">
        <is>
          <t>L寸</t>
        </is>
      </c>
      <c r="C779" s="147" t="inlineStr">
        <is>
          <t>梱包箱</t>
        </is>
      </c>
      <c r="D779" s="162" t="n"/>
      <c r="E779" s="148" t="inlineStr">
        <is>
          <t>使用数</t>
        </is>
      </c>
      <c r="F779" s="31" t="inlineStr">
        <is>
          <t>作業者</t>
        </is>
      </c>
      <c r="G779" s="32" t="inlineStr">
        <is>
          <t>加工Lot</t>
        </is>
      </c>
      <c r="H779" s="129" t="inlineStr">
        <is>
          <t>箱数</t>
        </is>
      </c>
      <c r="I779" s="128" t="inlineStr">
        <is>
          <t>加工明細</t>
        </is>
      </c>
      <c r="J779" s="162" t="n"/>
    </row>
    <row r="780" ht="18" customFormat="1" customHeight="1" s="137">
      <c r="A780" s="34" t="inlineStr">
        <is>
          <t>〇</t>
        </is>
      </c>
      <c r="B780" s="163" t="n">
        <v>888</v>
      </c>
      <c r="C780" s="164" t="inlineStr">
        <is>
          <t>LED-A888</t>
        </is>
      </c>
      <c r="D780" s="165" t="n"/>
      <c r="E780" s="166" t="n">
        <v>4</v>
      </c>
      <c r="F780" s="167" t="inlineStr">
        <is>
          <t xml:space="preserve">切断加工：I / </t>
        </is>
      </c>
      <c r="G780" s="168" t="n">
        <v>46183</v>
      </c>
      <c r="H780" s="169" t="n">
        <v>4</v>
      </c>
      <c r="I780" s="39" t="inlineStr">
        <is>
          <t>入庫日</t>
        </is>
      </c>
      <c r="J780" s="170" t="n">
        <v>46183</v>
      </c>
    </row>
    <row r="781" ht="18" customFormat="1" customHeight="1" s="141">
      <c r="A781" s="44" t="inlineStr">
        <is>
          <t>+公差</t>
        </is>
      </c>
      <c r="B781" s="45" t="inlineStr">
        <is>
          <t>切断寸法</t>
        </is>
      </c>
      <c r="C781" s="171" t="n"/>
      <c r="D781" s="172" t="n"/>
      <c r="E781" s="119" t="n"/>
      <c r="F781" s="173" t="inlineStr">
        <is>
          <t xml:space="preserve">外観検査：T / </t>
        </is>
      </c>
      <c r="G781" s="168" t="n"/>
      <c r="H781" s="169" t="n"/>
      <c r="I781" s="39" t="inlineStr">
        <is>
          <t>入庫数</t>
        </is>
      </c>
      <c r="J781" s="174" t="n">
        <v>400</v>
      </c>
      <c r="K781" s="47" t="n"/>
    </row>
    <row r="782" ht="18" customFormat="1" customHeight="1" s="137">
      <c r="A782" s="48" t="n">
        <v>0.5</v>
      </c>
      <c r="B782" s="175" t="inlineStr">
        <is>
          <t>換算表確認</t>
        </is>
      </c>
      <c r="C782" s="155" t="inlineStr">
        <is>
          <t>梱包
方法</t>
        </is>
      </c>
      <c r="D782" s="176" t="inlineStr">
        <is>
          <t>L=888用　クラフト紙</t>
        </is>
      </c>
      <c r="E782" s="177" t="n"/>
      <c r="F782" s="178" t="n"/>
      <c r="G782" s="168" t="n"/>
      <c r="H782" s="169" t="n"/>
      <c r="I782" s="39" t="inlineStr">
        <is>
          <t>使用基材数</t>
        </is>
      </c>
      <c r="J782" s="174" t="n">
        <v>200</v>
      </c>
      <c r="K782" s="50" t="n"/>
    </row>
    <row r="783" ht="18" customFormat="1" customHeight="1" s="141">
      <c r="A783" s="51" t="inlineStr">
        <is>
          <t>-公差</t>
        </is>
      </c>
      <c r="B783" s="52" t="inlineStr">
        <is>
          <t>取数</t>
        </is>
      </c>
      <c r="C783" s="179" t="n"/>
      <c r="D783" s="176" t="inlineStr">
        <is>
          <t>ラベル１枚　長手無　鉢巻１回</t>
        </is>
      </c>
      <c r="E783" s="177" t="n"/>
      <c r="F783" s="178" t="n"/>
      <c r="G783" s="168" t="n"/>
      <c r="H783" s="169" t="n"/>
      <c r="I783" s="39" t="inlineStr">
        <is>
          <t>製品不良</t>
        </is>
      </c>
      <c r="J783" s="174" t="n">
        <v>0</v>
      </c>
      <c r="K783" s="47" t="n"/>
    </row>
    <row r="784" ht="18" customFormat="1" customHeight="1" s="137" thickBot="1">
      <c r="A784" s="53" t="n">
        <v>-0.5</v>
      </c>
      <c r="B784" s="54" t="n">
        <v>2</v>
      </c>
      <c r="C784" s="55" t="inlineStr">
        <is>
          <t>備考</t>
        </is>
      </c>
      <c r="D784" s="180" t="inlineStr">
        <is>
          <t>1箱目の梱包数 目視確認　以降、重量測定</t>
        </is>
      </c>
      <c r="E784" s="181" t="n"/>
      <c r="F784" s="182" t="n"/>
      <c r="G784" s="183" t="n"/>
      <c r="H784" s="184" t="n"/>
      <c r="I784" s="39" t="inlineStr">
        <is>
          <t>基材不良</t>
        </is>
      </c>
      <c r="J784" s="185" t="n">
        <v>0</v>
      </c>
      <c r="K784" s="50" t="n"/>
    </row>
    <row r="785" ht="18" customFormat="1" customHeight="1" s="141" thickBot="1">
      <c r="A785" s="58" t="inlineStr">
        <is>
          <t>作業日</t>
        </is>
      </c>
      <c r="B785" s="59">
        <f t="array" ref="B785">IF(SUM(--(ISTEXT(B786:B796)*(B786:B796&lt;&gt;"")))=0,"計測Lot","計測Lot・加工数")</f>
        <v/>
      </c>
      <c r="C785" s="60" t="inlineStr">
        <is>
          <t>温度</t>
        </is>
      </c>
      <c r="D785" s="61" t="inlineStr">
        <is>
          <t>換算</t>
        </is>
      </c>
      <c r="E785" s="62" t="inlineStr">
        <is>
          <t>計測値</t>
        </is>
      </c>
      <c r="F785" s="63">
        <f t="array" ref="F785">IF(SUM(--(ISTEXT(B786:B796)*(B786:B796&lt;&gt;"")))=0,"記入不要","使用Lot")</f>
        <v/>
      </c>
      <c r="G785" s="64" t="inlineStr">
        <is>
          <t>加工数</t>
        </is>
      </c>
      <c r="H785" s="65" t="inlineStr">
        <is>
          <t>基材換算</t>
        </is>
      </c>
      <c r="I785" s="66" t="inlineStr">
        <is>
          <t>端材使用</t>
        </is>
      </c>
      <c r="J785" s="186" t="n">
        <v>0</v>
      </c>
      <c r="K785" s="47" t="n"/>
    </row>
    <row r="786" ht="18" customFormat="1" customHeight="1" s="137">
      <c r="A786" s="187" t="n"/>
      <c r="B786" s="188" t="n"/>
      <c r="C786" s="74" t="n"/>
      <c r="D786" s="189" t="n"/>
      <c r="E786" s="190" t="n"/>
      <c r="F786" s="191" t="n">
        <v>0</v>
      </c>
      <c r="G786" s="192" t="n">
        <v>0</v>
      </c>
      <c r="H786" s="193" t="n"/>
      <c r="I786" s="194" t="inlineStr">
        <is>
          <t>不良内訳</t>
        </is>
      </c>
      <c r="J786" s="195" t="n"/>
      <c r="K786" s="80" t="n"/>
    </row>
    <row r="787" ht="18" customFormat="1" customHeight="1" s="141">
      <c r="A787" s="196" t="n">
        <v>46182</v>
      </c>
      <c r="B787" s="72" t="inlineStr">
        <is>
          <t>26E23-05</t>
        </is>
      </c>
      <c r="C787" s="197" t="n">
        <v>24</v>
      </c>
      <c r="D787" s="198" t="n">
        <v>888.23</v>
      </c>
      <c r="E787" s="199" t="n">
        <v>888.17</v>
      </c>
      <c r="F787" s="200" t="inlineStr">
        <is>
          <t>26E23-05</t>
        </is>
      </c>
      <c r="G787" s="197" t="n">
        <v>400</v>
      </c>
      <c r="H787" s="201" t="n">
        <v>200</v>
      </c>
      <c r="I787" s="86" t="inlineStr">
        <is>
          <t>キズ</t>
        </is>
      </c>
      <c r="J787" s="201" t="n"/>
      <c r="K787" s="80" t="n"/>
    </row>
    <row r="788" ht="18.95" customFormat="1" customHeight="1" s="91">
      <c r="A788" s="202" t="n">
        <v>46182</v>
      </c>
      <c r="B788" s="72" t="inlineStr">
        <is>
          <t>26E23-05 × 400</t>
        </is>
      </c>
      <c r="C788" s="197" t="n">
        <v>24</v>
      </c>
      <c r="D788" s="198" t="n">
        <v>888.23</v>
      </c>
      <c r="E788" s="199" t="n">
        <v>888.27</v>
      </c>
      <c r="F788" s="200" t="n"/>
      <c r="G788" s="197" t="n">
        <v>0</v>
      </c>
      <c r="H788" s="201" t="n"/>
      <c r="I788" s="86" t="inlineStr">
        <is>
          <t>凹み</t>
        </is>
      </c>
      <c r="J788" s="201" t="n"/>
      <c r="K788" s="89" t="n"/>
      <c r="L788" s="90" t="n"/>
      <c r="M788" s="90" t="n"/>
      <c r="N788" s="90" t="n"/>
    </row>
    <row r="789" ht="18.95" customFormat="1" customHeight="1" s="94">
      <c r="A789" s="202" t="n"/>
      <c r="B789" s="72" t="inlineStr"/>
      <c r="C789" s="197" t="n"/>
      <c r="D789" s="198" t="n"/>
      <c r="E789" s="199" t="n"/>
      <c r="F789" s="200" t="n"/>
      <c r="G789" s="197" t="n">
        <v>0</v>
      </c>
      <c r="H789" s="201" t="n"/>
      <c r="I789" s="86" t="inlineStr">
        <is>
          <t>異物</t>
        </is>
      </c>
      <c r="J789" s="201" t="n"/>
      <c r="K789" s="92" t="n"/>
      <c r="L789" s="93" t="n"/>
      <c r="M789" s="93" t="n"/>
      <c r="N789" s="93" t="n"/>
    </row>
    <row r="790" ht="18.95" customFormat="1" customHeight="1" s="94">
      <c r="A790" s="202" t="n"/>
      <c r="B790" s="72" t="inlineStr"/>
      <c r="C790" s="197" t="n"/>
      <c r="D790" s="198" t="n"/>
      <c r="E790" s="199" t="n"/>
      <c r="F790" s="200" t="n"/>
      <c r="G790" s="197" t="n">
        <v>0</v>
      </c>
      <c r="H790" s="201" t="n"/>
      <c r="I790" s="86" t="inlineStr">
        <is>
          <t>欠け</t>
        </is>
      </c>
      <c r="J790" s="201" t="n"/>
      <c r="K790" s="92" t="n"/>
      <c r="L790" s="93" t="n"/>
      <c r="M790" s="93" t="n"/>
      <c r="N790" s="93" t="n"/>
    </row>
    <row r="791" ht="18.95" customFormat="1" customHeight="1" s="94">
      <c r="A791" s="202" t="n"/>
      <c r="B791" s="72" t="inlineStr"/>
      <c r="C791" s="197" t="n"/>
      <c r="D791" s="198" t="n"/>
      <c r="E791" s="199" t="n"/>
      <c r="F791" s="200" t="n"/>
      <c r="G791" s="197" t="n">
        <v>0</v>
      </c>
      <c r="H791" s="201" t="n"/>
      <c r="I791" s="86" t="inlineStr">
        <is>
          <t>メヤニ</t>
        </is>
      </c>
      <c r="J791" s="201" t="n"/>
      <c r="K791" s="92" t="n"/>
      <c r="L791" s="93" t="n"/>
      <c r="M791" s="93" t="n"/>
      <c r="N791" s="93" t="n"/>
    </row>
    <row r="792" ht="18.95" customFormat="1" customHeight="1" s="94">
      <c r="A792" s="202" t="n"/>
      <c r="B792" s="72" t="inlineStr"/>
      <c r="C792" s="197" t="n"/>
      <c r="D792" s="198" t="n"/>
      <c r="E792" s="199" t="n"/>
      <c r="F792" s="200" t="n"/>
      <c r="G792" s="197" t="n">
        <v>0</v>
      </c>
      <c r="H792" s="201" t="n"/>
      <c r="I792" s="86" t="inlineStr">
        <is>
          <t>ベコツキ</t>
        </is>
      </c>
      <c r="J792" s="201" t="n"/>
      <c r="K792" s="92" t="n"/>
      <c r="L792" s="93" t="n"/>
      <c r="M792" s="93" t="n"/>
      <c r="N792" s="93" t="n"/>
    </row>
    <row r="793" ht="18.95" customFormat="1" customHeight="1" s="94">
      <c r="A793" s="202" t="n"/>
      <c r="B793" s="72" t="inlineStr"/>
      <c r="C793" s="197" t="n"/>
      <c r="D793" s="198" t="n"/>
      <c r="E793" s="199" t="n"/>
      <c r="F793" s="200" t="n"/>
      <c r="G793" s="197" t="n">
        <v>0</v>
      </c>
      <c r="H793" s="201" t="n"/>
      <c r="I793" s="95" t="inlineStr">
        <is>
          <t>汚損</t>
        </is>
      </c>
      <c r="J793" s="201" t="n"/>
      <c r="K793" s="92" t="n"/>
      <c r="L793" s="93" t="n"/>
      <c r="M793" s="93" t="n"/>
      <c r="N793" s="93" t="n"/>
    </row>
    <row r="794" ht="18.95" customFormat="1" customHeight="1" s="94">
      <c r="A794" s="202" t="n"/>
      <c r="B794" s="72" t="inlineStr"/>
      <c r="C794" s="197" t="n"/>
      <c r="D794" s="198" t="n"/>
      <c r="E794" s="199" t="n"/>
      <c r="F794" s="200" t="n"/>
      <c r="G794" s="197" t="n">
        <v>0</v>
      </c>
      <c r="H794" s="201" t="n"/>
      <c r="I794" s="95" t="inlineStr">
        <is>
          <t>形状異常</t>
        </is>
      </c>
      <c r="J794" s="201" t="n"/>
      <c r="K794" s="92" t="n"/>
      <c r="L794" s="93" t="n"/>
      <c r="M794" s="93" t="n"/>
      <c r="N794" s="93" t="n"/>
    </row>
    <row r="795" ht="18.95" customFormat="1" customHeight="1" s="94">
      <c r="A795" s="202" t="n"/>
      <c r="B795" s="72" t="inlineStr"/>
      <c r="C795" s="197" t="n"/>
      <c r="D795" s="198" t="n"/>
      <c r="E795" s="199" t="n"/>
      <c r="F795" s="200" t="n"/>
      <c r="G795" s="197" t="n">
        <v>0</v>
      </c>
      <c r="H795" s="201" t="n"/>
      <c r="I795" s="86" t="inlineStr">
        <is>
          <t>その他</t>
        </is>
      </c>
      <c r="J795" s="203" t="n"/>
      <c r="K795" s="92" t="n"/>
      <c r="L795" s="93" t="n"/>
      <c r="M795" s="93" t="n"/>
      <c r="N795" s="93" t="n"/>
    </row>
    <row r="796" ht="18.95" customFormat="1" customHeight="1" s="94" thickBot="1">
      <c r="A796" s="204" t="inlineStr">
        <is>
          <t>不良補填</t>
        </is>
      </c>
      <c r="B796" s="73" t="n">
        <v>0</v>
      </c>
      <c r="C796" s="205" t="n"/>
      <c r="D796" s="206" t="n"/>
      <c r="E796" s="207" t="n"/>
      <c r="F796" s="208" t="n"/>
      <c r="G796" s="209" t="n"/>
      <c r="H796" s="210" t="n"/>
      <c r="I796" s="102" t="inlineStr">
        <is>
          <t>合計</t>
        </is>
      </c>
      <c r="J796" s="211" t="n">
        <v>0</v>
      </c>
      <c r="K796" s="92" t="n"/>
      <c r="L796" s="93" t="n"/>
      <c r="M796" s="93" t="n"/>
      <c r="N796" s="93" t="n"/>
    </row>
    <row r="797" ht="6" customHeight="1" s="156" thickBot="1">
      <c r="A797" s="103" t="n"/>
      <c r="B797" s="104" t="n"/>
      <c r="C797" s="104" t="n"/>
      <c r="D797" s="103" t="n"/>
      <c r="E797" s="104" t="n"/>
      <c r="F797" s="104" t="n"/>
      <c r="G797" s="104" t="n"/>
      <c r="H797" s="104" t="n"/>
    </row>
    <row r="798" ht="6" customHeight="1" s="156" thickTop="1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</row>
    <row r="799" ht="14.25" customHeight="1" s="156">
      <c r="A799" s="11" t="n"/>
      <c r="B799" s="125" t="inlineStr">
        <is>
          <t>検査梱包指示書</t>
        </is>
      </c>
      <c r="E799" s="11" t="n"/>
      <c r="F799" s="11" t="n"/>
      <c r="G799" s="11" t="n"/>
      <c r="H799" s="11" t="n"/>
      <c r="I799" s="11" t="n"/>
      <c r="J799" s="11" t="n"/>
    </row>
    <row r="800" ht="14.25" customHeight="1" s="156">
      <c r="A800" s="12" t="n"/>
      <c r="E800" s="12" t="n"/>
      <c r="F800" s="12" t="n"/>
      <c r="G800" s="12" t="n"/>
      <c r="H800" s="12" t="n"/>
      <c r="I800" s="12" t="n"/>
      <c r="J800" s="12" t="n"/>
    </row>
    <row r="801" ht="14.25" customHeight="1" s="156">
      <c r="A801" s="112" t="inlineStr">
        <is>
          <t>品目番号</t>
        </is>
      </c>
      <c r="B801" s="112" t="inlineStr">
        <is>
          <t>J1JAZZB10808880</t>
        </is>
      </c>
      <c r="C801" s="112" t="inlineStr">
        <is>
          <t>Ｌ寸</t>
        </is>
      </c>
      <c r="D801" s="157" t="n">
        <v>888</v>
      </c>
      <c r="E801" s="112" t="inlineStr">
        <is>
          <t>名称</t>
        </is>
      </c>
      <c r="F801" s="123" t="inlineStr">
        <is>
          <t>8FL2813045010</t>
        </is>
      </c>
      <c r="I801" s="24" t="inlineStr">
        <is>
          <t>上長</t>
        </is>
      </c>
      <c r="J801" s="24" t="inlineStr">
        <is>
          <t>係員</t>
        </is>
      </c>
    </row>
    <row r="802" ht="14.25" customHeight="1" s="156">
      <c r="I802" s="105" t="n"/>
      <c r="J802" s="105" t="n"/>
    </row>
    <row r="803" ht="17.45" customHeight="1" s="156">
      <c r="A803" s="111" t="inlineStr">
        <is>
          <t>製造指図№</t>
        </is>
      </c>
      <c r="B803" s="111" t="inlineStr">
        <is>
          <t>000000000014597</t>
        </is>
      </c>
      <c r="E803" s="111" t="inlineStr">
        <is>
          <t>原料名</t>
        </is>
      </c>
      <c r="F803" s="140" t="inlineStr">
        <is>
          <t>(CASE 888MILK-W4)</t>
        </is>
      </c>
      <c r="I803" s="106" t="n"/>
      <c r="J803" s="106" t="n"/>
    </row>
    <row r="804" ht="17.45" customHeight="1" s="156">
      <c r="I804" s="13" t="n"/>
      <c r="J804" s="13" t="n"/>
    </row>
    <row r="805" ht="17.45" customHeight="1" s="156">
      <c r="A805" s="111" t="inlineStr">
        <is>
          <t>発注明細№</t>
        </is>
      </c>
      <c r="B805" s="111" t="inlineStr">
        <is>
          <t>000000000855934</t>
        </is>
      </c>
      <c r="E805" s="2" t="inlineStr">
        <is>
          <t>色　名</t>
        </is>
      </c>
      <c r="F805" s="140" t="inlineStr">
        <is>
          <t>J6VZ034</t>
        </is>
      </c>
      <c r="H805" s="21" t="n"/>
      <c r="I805" s="13" t="n"/>
      <c r="J805" s="13" t="n"/>
    </row>
    <row r="806" ht="17.45" customHeight="1" s="156">
      <c r="E806" s="2" t="inlineStr">
        <is>
          <t>製品Grp</t>
        </is>
      </c>
      <c r="F806" s="21" t="inlineStr">
        <is>
          <t>J1ZB</t>
        </is>
      </c>
      <c r="G806" s="21" t="n"/>
      <c r="H806" s="21" t="n"/>
      <c r="I806" s="14" t="n"/>
      <c r="J806" s="14" t="n"/>
    </row>
    <row r="807" ht="17.45" customHeight="1" s="156">
      <c r="A807" s="2" t="inlineStr">
        <is>
          <t>開始日</t>
        </is>
      </c>
      <c r="B807" s="158" t="n">
        <v>46184</v>
      </c>
      <c r="E807" s="2" t="inlineStr">
        <is>
          <t>入り数</t>
        </is>
      </c>
      <c r="F807" s="159" t="n">
        <v>100</v>
      </c>
      <c r="H807" s="21" t="n"/>
    </row>
    <row r="808" ht="17.45" customHeight="1" s="156">
      <c r="A808" s="2" t="inlineStr">
        <is>
          <t>終了日</t>
        </is>
      </c>
      <c r="B808" s="158" t="n">
        <v>46184</v>
      </c>
      <c r="E808" s="2" t="inlineStr">
        <is>
          <t>梱包数</t>
        </is>
      </c>
      <c r="F808" s="21" t="n">
        <v>1</v>
      </c>
      <c r="G808" s="143" t="inlineStr">
        <is>
          <t>指示数量</t>
        </is>
      </c>
      <c r="H808" s="160" t="n">
        <v>100</v>
      </c>
      <c r="I808" s="133" t="n"/>
      <c r="J808" s="134" t="n"/>
    </row>
    <row r="809" ht="17.45" customHeight="1" s="156">
      <c r="A809" s="19" t="n"/>
      <c r="B809" s="127" t="n"/>
      <c r="C809" s="127" t="n"/>
      <c r="D809" s="127" t="n"/>
      <c r="E809" s="2" t="inlineStr">
        <is>
          <t>金　型</t>
        </is>
      </c>
      <c r="F809" s="21" t="inlineStr">
        <is>
          <t>4350</t>
        </is>
      </c>
      <c r="G809" s="135" t="n"/>
      <c r="H809" s="135" t="n"/>
      <c r="I809" s="117" t="n"/>
      <c r="J809" s="136" t="n"/>
    </row>
    <row r="810" ht="13.5" customHeight="1" s="156">
      <c r="A810" s="127" t="inlineStr">
        <is>
          <t>*J1JAZZB10808880*</t>
        </is>
      </c>
      <c r="D810" s="127" t="n"/>
      <c r="F810" s="3" t="n"/>
      <c r="G810" s="126" t="inlineStr">
        <is>
          <t>格納先</t>
        </is>
      </c>
      <c r="H810" s="118" t="inlineStr">
        <is>
          <t>V3J03</t>
        </is>
      </c>
      <c r="I810" s="138" t="inlineStr">
        <is>
          <t>樹脂第3倉庫 (在庫)</t>
        </is>
      </c>
      <c r="J810" s="139" t="n"/>
    </row>
    <row r="811" ht="13.5" customHeight="1" s="156">
      <c r="D811" s="127" t="n"/>
      <c r="F811" s="3" t="n"/>
      <c r="G811" s="119" t="n"/>
      <c r="H811" s="119" t="n"/>
      <c r="I811" s="117" t="n"/>
      <c r="J811" s="136" t="n"/>
    </row>
    <row r="812" ht="13.5" customHeight="1" s="156">
      <c r="A812" s="108" t="inlineStr">
        <is>
          <t>指図書備考</t>
        </is>
      </c>
    </row>
    <row r="813" ht="63" customHeight="1" s="156">
      <c r="A813" s="130" t="n"/>
      <c r="B813" s="131" t="n"/>
      <c r="C813" s="131" t="n"/>
      <c r="D813" s="131" t="n"/>
      <c r="E813" s="131" t="n"/>
      <c r="F813" s="131" t="n"/>
      <c r="G813" s="131" t="n"/>
      <c r="H813" s="131" t="n"/>
      <c r="I813" s="131" t="n"/>
      <c r="J813" s="131" t="n"/>
    </row>
    <row r="814" ht="18.75" customHeight="1" s="156">
      <c r="A814" s="23" t="inlineStr">
        <is>
          <t>工順</t>
        </is>
      </c>
      <c r="B814" s="16" t="inlineStr">
        <is>
          <t>製造場所</t>
        </is>
      </c>
      <c r="C814" s="120" t="inlineStr">
        <is>
          <t>製造場所名</t>
        </is>
      </c>
      <c r="D814" s="121" t="n"/>
      <c r="E814" s="16" t="inlineStr">
        <is>
          <t>工程</t>
        </is>
      </c>
      <c r="F814" s="120" t="inlineStr">
        <is>
          <t>工程名</t>
        </is>
      </c>
      <c r="G814" s="121" t="n"/>
      <c r="H814" s="121" t="n"/>
      <c r="I814" s="124" t="inlineStr">
        <is>
          <t>作業時間</t>
        </is>
      </c>
      <c r="J814" s="121" t="n"/>
    </row>
    <row r="815" ht="14.25" customHeight="1" s="156">
      <c r="A815" s="141" t="n"/>
      <c r="B815" s="141" t="n"/>
      <c r="C815" s="141" t="n"/>
      <c r="D815" s="141" t="n"/>
      <c r="E815" s="141" t="n"/>
      <c r="F815" s="141" t="n"/>
      <c r="G815" s="141" t="n"/>
      <c r="H815" s="141" t="n"/>
      <c r="I815" s="141" t="n"/>
      <c r="J815" s="141" t="n"/>
    </row>
    <row r="816" ht="16.5" customHeight="1" s="156">
      <c r="A816" s="22" t="n">
        <v>1</v>
      </c>
      <c r="B816" s="107" t="inlineStr">
        <is>
          <t>V3Z01</t>
        </is>
      </c>
      <c r="C816" s="107" t="inlineStr">
        <is>
          <t>黒部工業</t>
        </is>
      </c>
      <c r="E816" s="107" t="inlineStr">
        <is>
          <t>V3P05</t>
        </is>
      </c>
      <c r="F816" s="107" t="inlineStr">
        <is>
          <t>切断</t>
        </is>
      </c>
      <c r="I816" s="115" t="n"/>
    </row>
    <row r="817" ht="16.5" customHeight="1" s="156">
      <c r="A817" s="22" t="n">
        <v>1</v>
      </c>
      <c r="B817" s="26" t="inlineStr">
        <is>
          <t>V3Z01</t>
        </is>
      </c>
      <c r="C817" s="107" t="inlineStr">
        <is>
          <t>黒部工業</t>
        </is>
      </c>
      <c r="E817" s="107" t="inlineStr">
        <is>
          <t>V3P16</t>
        </is>
      </c>
      <c r="F817" s="107" t="inlineStr">
        <is>
          <t>検査・梱包</t>
        </is>
      </c>
      <c r="I817" s="115" t="n"/>
    </row>
    <row r="818" ht="16.5" customHeight="1" s="156">
      <c r="A818" s="22" t="n"/>
      <c r="B818" s="26" t="n"/>
      <c r="C818" s="107" t="n"/>
      <c r="E818" s="107" t="n"/>
      <c r="F818" s="107" t="n"/>
      <c r="I818" s="115" t="n"/>
    </row>
    <row r="819" ht="16.5" customHeight="1" s="156">
      <c r="A819" s="22" t="n"/>
      <c r="B819" s="26" t="n"/>
      <c r="C819" s="107" t="n"/>
      <c r="E819" s="107" t="n"/>
      <c r="F819" s="107" t="n"/>
      <c r="I819" s="115" t="n"/>
    </row>
    <row r="820" ht="16.5" customHeight="1" s="156">
      <c r="A820" s="22" t="n"/>
      <c r="B820" s="26" t="n"/>
      <c r="C820" s="107" t="n"/>
      <c r="E820" s="107" t="n"/>
      <c r="F820" s="107" t="n"/>
      <c r="I820" s="115" t="n"/>
    </row>
    <row r="821" ht="16.5" customHeight="1" s="156">
      <c r="A821" s="22" t="n"/>
      <c r="B821" s="26" t="n"/>
      <c r="C821" s="107" t="n"/>
      <c r="E821" s="107" t="n"/>
      <c r="F821" s="107" t="n"/>
      <c r="I821" s="115" t="n"/>
    </row>
    <row r="822" ht="16.5" customHeight="1" s="156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</row>
    <row r="823" ht="18.75" customHeight="1" s="156">
      <c r="A823" s="109" t="inlineStr">
        <is>
          <t>品目コード</t>
        </is>
      </c>
      <c r="B823" s="110" t="n"/>
      <c r="C823" s="109" t="inlineStr">
        <is>
          <t>品目名１</t>
        </is>
      </c>
      <c r="D823" s="110" t="n"/>
      <c r="E823" s="110" t="n"/>
      <c r="F823" s="17" t="inlineStr">
        <is>
          <t>在庫場所</t>
        </is>
      </c>
      <c r="G823" s="109" t="inlineStr">
        <is>
          <t>出庫数量</t>
        </is>
      </c>
      <c r="H823" s="110" t="n"/>
      <c r="I823" s="109" t="inlineStr">
        <is>
          <t>バッチ必要数</t>
        </is>
      </c>
      <c r="J823" s="110" t="n"/>
    </row>
    <row r="824" ht="14.25" customHeight="1" s="156">
      <c r="A824" s="8" t="n"/>
      <c r="B824" s="18" t="n"/>
      <c r="C824" s="116" t="inlineStr">
        <is>
          <t>品目名２</t>
        </is>
      </c>
      <c r="D824" s="117" t="n"/>
      <c r="E824" s="18" t="n"/>
      <c r="F824" s="116" t="inlineStr">
        <is>
          <t>指図書備考</t>
        </is>
      </c>
      <c r="G824" s="117" t="n"/>
      <c r="H824" s="117" t="n"/>
      <c r="I824" s="117" t="n"/>
      <c r="J824" s="117" t="n"/>
    </row>
    <row r="825">
      <c r="A825" s="9" t="n"/>
      <c r="C825" s="137" t="n"/>
      <c r="D825" s="137" t="n"/>
      <c r="E825" s="137" t="n"/>
    </row>
    <row r="826" ht="14.25" customHeight="1" s="156">
      <c r="A826" s="107" t="inlineStr">
        <is>
          <t>J1JAZZA10818200</t>
        </is>
      </c>
      <c r="C826" s="107" t="inlineStr">
        <is>
          <t>@8FL28130 L1820</t>
        </is>
      </c>
      <c r="F826" s="27" t="inlineStr">
        <is>
          <t>V3J04</t>
        </is>
      </c>
      <c r="G826" s="161" t="n">
        <v>50</v>
      </c>
      <c r="I826" s="161" t="n">
        <v>0.5</v>
      </c>
    </row>
    <row r="827" ht="24.95" customHeight="1" s="156">
      <c r="A827" s="122" t="inlineStr">
        <is>
          <t>*J1JAZZA10818200*</t>
        </is>
      </c>
      <c r="C827" s="107" t="n"/>
      <c r="F827" s="107" t="n"/>
    </row>
    <row r="828" ht="14.25" customHeight="1" s="156">
      <c r="A828" s="107" t="inlineStr">
        <is>
          <t>J6DW0089</t>
        </is>
      </c>
      <c r="C828" s="107" t="inlineStr">
        <is>
          <t>LED-A888　898X275X166</t>
        </is>
      </c>
      <c r="F828" s="27" t="inlineStr">
        <is>
          <t>V3Z01</t>
        </is>
      </c>
      <c r="G828" s="161" t="n">
        <v>1</v>
      </c>
      <c r="I828" s="161" t="n">
        <v>0.01</v>
      </c>
    </row>
    <row r="829" ht="24.95" customHeight="1" s="156">
      <c r="A829" s="122" t="inlineStr">
        <is>
          <t>*J6DW0089*</t>
        </is>
      </c>
      <c r="C829" s="107" t="inlineStr">
        <is>
          <t>L888×W275×H166</t>
        </is>
      </c>
      <c r="F829" s="107" t="n"/>
    </row>
    <row r="830" ht="14.25" customHeight="1" s="156">
      <c r="A830" s="107" t="inlineStr">
        <is>
          <t>J6XX0044</t>
        </is>
      </c>
      <c r="C830" s="107" t="inlineStr">
        <is>
          <t>(管理外)筋入ｸﾗﾌﾄ紙</t>
        </is>
      </c>
      <c r="F830" s="27" t="n"/>
      <c r="G830" s="161" t="n">
        <v>11</v>
      </c>
      <c r="I830" s="161" t="n">
        <v>0.11</v>
      </c>
    </row>
    <row r="831" ht="24.95" customHeight="1" s="156">
      <c r="A831" s="122" t="inlineStr">
        <is>
          <t>*J6XX0044*</t>
        </is>
      </c>
      <c r="C831" s="107" t="inlineStr">
        <is>
          <t>400＊900</t>
        </is>
      </c>
      <c r="F831" s="107" t="n"/>
    </row>
    <row r="832" ht="14.25" customHeight="1" s="156">
      <c r="A832" s="107" t="inlineStr">
        <is>
          <t>J6XX0051</t>
        </is>
      </c>
      <c r="C832" s="107" t="inlineStr">
        <is>
          <t>(管理外)LLDPE規格ｼｰﾄ0.02×950×100m</t>
        </is>
      </c>
      <c r="F832" s="27" t="n"/>
      <c r="G832" s="161" t="n">
        <v>0.1</v>
      </c>
      <c r="I832" s="161" t="n">
        <v>0.001</v>
      </c>
    </row>
    <row r="833" ht="24.95" customHeight="1" s="156">
      <c r="A833" s="122" t="inlineStr">
        <is>
          <t>*J6XX0051*</t>
        </is>
      </c>
      <c r="C833" s="107" t="inlineStr">
        <is>
          <t>0.02×950×100m</t>
        </is>
      </c>
      <c r="F833" s="107" t="n"/>
    </row>
    <row r="834" ht="14.25" customHeight="1" s="156">
      <c r="A834" s="107" t="n"/>
      <c r="C834" s="107" t="n"/>
      <c r="F834" s="27" t="n"/>
      <c r="G834" s="161" t="n"/>
      <c r="I834" s="161" t="n"/>
    </row>
    <row r="835" ht="24.95" customHeight="1" s="156" thickBot="1">
      <c r="A835" s="122" t="n"/>
      <c r="C835" s="107" t="n"/>
      <c r="F835" s="107" t="n"/>
    </row>
    <row r="836" ht="18" customFormat="1" customHeight="1" s="141">
      <c r="A836" s="28" t="inlineStr">
        <is>
          <t>温度換算</t>
        </is>
      </c>
      <c r="B836" s="29" t="inlineStr">
        <is>
          <t>L寸</t>
        </is>
      </c>
      <c r="C836" s="147" t="inlineStr">
        <is>
          <t>梱包箱</t>
        </is>
      </c>
      <c r="D836" s="162" t="n"/>
      <c r="E836" s="148" t="inlineStr">
        <is>
          <t>使用数</t>
        </is>
      </c>
      <c r="F836" s="31" t="inlineStr">
        <is>
          <t>作業者</t>
        </is>
      </c>
      <c r="G836" s="32" t="inlineStr">
        <is>
          <t>加工Lot</t>
        </is>
      </c>
      <c r="H836" s="129" t="inlineStr">
        <is>
          <t>箱数</t>
        </is>
      </c>
      <c r="I836" s="128" t="inlineStr">
        <is>
          <t>加工明細</t>
        </is>
      </c>
      <c r="J836" s="162" t="n"/>
    </row>
    <row r="837" ht="18" customFormat="1" customHeight="1" s="137">
      <c r="A837" s="34" t="inlineStr">
        <is>
          <t>〇</t>
        </is>
      </c>
      <c r="B837" s="163" t="n">
        <v>888</v>
      </c>
      <c r="C837" s="164" t="inlineStr">
        <is>
          <t>LED-A888</t>
        </is>
      </c>
      <c r="D837" s="165" t="n"/>
      <c r="E837" s="166" t="n">
        <v>1</v>
      </c>
      <c r="F837" s="167" t="inlineStr">
        <is>
          <t xml:space="preserve">切断加工：I / </t>
        </is>
      </c>
      <c r="G837" s="168" t="n">
        <v>46183</v>
      </c>
      <c r="H837" s="169" t="n">
        <v>1</v>
      </c>
      <c r="I837" s="39" t="inlineStr">
        <is>
          <t>入庫日</t>
        </is>
      </c>
      <c r="J837" s="170" t="n">
        <v>46183</v>
      </c>
    </row>
    <row r="838" ht="18" customFormat="1" customHeight="1" s="141">
      <c r="A838" s="44" t="inlineStr">
        <is>
          <t>+公差</t>
        </is>
      </c>
      <c r="B838" s="45" t="inlineStr">
        <is>
          <t>切断寸法</t>
        </is>
      </c>
      <c r="C838" s="171" t="n"/>
      <c r="D838" s="172" t="n"/>
      <c r="E838" s="119" t="n"/>
      <c r="F838" s="173" t="inlineStr">
        <is>
          <t xml:space="preserve">外観検査：T / </t>
        </is>
      </c>
      <c r="G838" s="168" t="n"/>
      <c r="H838" s="169" t="n"/>
      <c r="I838" s="39" t="inlineStr">
        <is>
          <t>入庫数</t>
        </is>
      </c>
      <c r="J838" s="174" t="n">
        <v>100</v>
      </c>
      <c r="K838" s="47" t="n"/>
    </row>
    <row r="839" ht="18" customFormat="1" customHeight="1" s="137">
      <c r="A839" s="48" t="n">
        <v>0.5</v>
      </c>
      <c r="B839" s="175" t="inlineStr">
        <is>
          <t>換算表確認</t>
        </is>
      </c>
      <c r="C839" s="155" t="inlineStr">
        <is>
          <t>梱包
方法</t>
        </is>
      </c>
      <c r="D839" s="176" t="inlineStr">
        <is>
          <t>L=888用　クラフト紙</t>
        </is>
      </c>
      <c r="E839" s="177" t="n"/>
      <c r="F839" s="178" t="n"/>
      <c r="G839" s="168" t="n"/>
      <c r="H839" s="169" t="n"/>
      <c r="I839" s="39" t="inlineStr">
        <is>
          <t>使用基材数</t>
        </is>
      </c>
      <c r="J839" s="174" t="n">
        <v>50</v>
      </c>
      <c r="K839" s="50" t="n"/>
    </row>
    <row r="840" ht="18" customFormat="1" customHeight="1" s="141">
      <c r="A840" s="51" t="inlineStr">
        <is>
          <t>-公差</t>
        </is>
      </c>
      <c r="B840" s="52" t="inlineStr">
        <is>
          <t>取数</t>
        </is>
      </c>
      <c r="C840" s="179" t="n"/>
      <c r="D840" s="176" t="inlineStr">
        <is>
          <t>ラベル１枚　長手無　鉢巻１回</t>
        </is>
      </c>
      <c r="E840" s="177" t="n"/>
      <c r="F840" s="178" t="n"/>
      <c r="G840" s="168" t="n"/>
      <c r="H840" s="169" t="n"/>
      <c r="I840" s="39" t="inlineStr">
        <is>
          <t>製品不良</t>
        </is>
      </c>
      <c r="J840" s="174" t="n">
        <v>0</v>
      </c>
      <c r="K840" s="47" t="n"/>
    </row>
    <row r="841" ht="18" customFormat="1" customHeight="1" s="137" thickBot="1">
      <c r="A841" s="53" t="n">
        <v>-0.5</v>
      </c>
      <c r="B841" s="54" t="n">
        <v>2</v>
      </c>
      <c r="C841" s="55" t="inlineStr">
        <is>
          <t>備考</t>
        </is>
      </c>
      <c r="D841" s="180" t="inlineStr">
        <is>
          <t>1箱目の梱包数 目視確認　以降、重量測定</t>
        </is>
      </c>
      <c r="E841" s="181" t="n"/>
      <c r="F841" s="182" t="n"/>
      <c r="G841" s="183" t="n"/>
      <c r="H841" s="184" t="n"/>
      <c r="I841" s="39" t="inlineStr">
        <is>
          <t>基材不良</t>
        </is>
      </c>
      <c r="J841" s="185" t="n">
        <v>0</v>
      </c>
      <c r="K841" s="50" t="n"/>
    </row>
    <row r="842" ht="18" customFormat="1" customHeight="1" s="141" thickBot="1">
      <c r="A842" s="58" t="inlineStr">
        <is>
          <t>作業日</t>
        </is>
      </c>
      <c r="B842" s="59">
        <f t="array" ref="B842">IF(SUM(--(ISTEXT(B843:B853)*(B843:B853&lt;&gt;"")))=0,"計測Lot","計測Lot・加工数")</f>
        <v/>
      </c>
      <c r="C842" s="60" t="inlineStr">
        <is>
          <t>温度</t>
        </is>
      </c>
      <c r="D842" s="61" t="inlineStr">
        <is>
          <t>換算</t>
        </is>
      </c>
      <c r="E842" s="62" t="inlineStr">
        <is>
          <t>計測値</t>
        </is>
      </c>
      <c r="F842" s="63">
        <f t="array" ref="F842">IF(SUM(--(ISTEXT(B843:B853)*(B843:B853&lt;&gt;"")))=0,"記入不要","使用Lot")</f>
        <v/>
      </c>
      <c r="G842" s="64" t="inlineStr">
        <is>
          <t>加工数</t>
        </is>
      </c>
      <c r="H842" s="65" t="inlineStr">
        <is>
          <t>基材換算</t>
        </is>
      </c>
      <c r="I842" s="66" t="inlineStr">
        <is>
          <t>端材使用</t>
        </is>
      </c>
      <c r="J842" s="186" t="n">
        <v>0</v>
      </c>
      <c r="K842" s="47" t="n"/>
    </row>
    <row r="843" ht="18" customFormat="1" customHeight="1" s="137">
      <c r="A843" s="187" t="n"/>
      <c r="B843" s="188" t="n"/>
      <c r="C843" s="74" t="n"/>
      <c r="D843" s="189" t="n"/>
      <c r="E843" s="190" t="n"/>
      <c r="F843" s="191" t="n">
        <v>0</v>
      </c>
      <c r="G843" s="192" t="n">
        <v>0</v>
      </c>
      <c r="H843" s="193" t="n"/>
      <c r="I843" s="194" t="inlineStr">
        <is>
          <t>不良内訳</t>
        </is>
      </c>
      <c r="J843" s="195" t="n"/>
      <c r="K843" s="80" t="n"/>
    </row>
    <row r="844" ht="18" customFormat="1" customHeight="1" s="141">
      <c r="A844" s="196" t="n">
        <v>46182</v>
      </c>
      <c r="B844" s="72" t="inlineStr">
        <is>
          <t>26E23-05</t>
        </is>
      </c>
      <c r="C844" s="197" t="n">
        <v>24</v>
      </c>
      <c r="D844" s="198" t="n">
        <v>888.23</v>
      </c>
      <c r="E844" s="199" t="n">
        <v>888.23</v>
      </c>
      <c r="F844" s="200" t="inlineStr">
        <is>
          <t>26E23-05</t>
        </is>
      </c>
      <c r="G844" s="197" t="n">
        <v>100</v>
      </c>
      <c r="H844" s="201" t="n">
        <v>50</v>
      </c>
      <c r="I844" s="86" t="inlineStr">
        <is>
          <t>キズ</t>
        </is>
      </c>
      <c r="J844" s="201" t="n"/>
      <c r="K844" s="80" t="n"/>
    </row>
    <row r="845" ht="18.95" customFormat="1" customHeight="1" s="91">
      <c r="A845" s="202" t="n">
        <v>46182</v>
      </c>
      <c r="B845" s="72" t="inlineStr">
        <is>
          <t>26E23-05 × 100</t>
        </is>
      </c>
      <c r="C845" s="197" t="n">
        <v>24</v>
      </c>
      <c r="D845" s="198" t="n">
        <v>888.23</v>
      </c>
      <c r="E845" s="199" t="n">
        <v>888.22</v>
      </c>
      <c r="F845" s="200" t="n"/>
      <c r="G845" s="197" t="n">
        <v>0</v>
      </c>
      <c r="H845" s="201" t="n"/>
      <c r="I845" s="86" t="inlineStr">
        <is>
          <t>凹み</t>
        </is>
      </c>
      <c r="J845" s="201" t="n"/>
      <c r="K845" s="89" t="n"/>
      <c r="L845" s="90" t="n"/>
      <c r="M845" s="90" t="n"/>
      <c r="N845" s="90" t="n"/>
    </row>
    <row r="846" ht="18.95" customFormat="1" customHeight="1" s="94">
      <c r="A846" s="202" t="n"/>
      <c r="B846" s="72" t="inlineStr"/>
      <c r="C846" s="197" t="n"/>
      <c r="D846" s="198" t="n"/>
      <c r="E846" s="199" t="n"/>
      <c r="F846" s="200" t="n"/>
      <c r="G846" s="197" t="n">
        <v>0</v>
      </c>
      <c r="H846" s="201" t="n"/>
      <c r="I846" s="86" t="inlineStr">
        <is>
          <t>異物</t>
        </is>
      </c>
      <c r="J846" s="201" t="n"/>
      <c r="K846" s="92" t="n"/>
      <c r="L846" s="93" t="n"/>
      <c r="M846" s="93" t="n"/>
      <c r="N846" s="93" t="n"/>
    </row>
    <row r="847" ht="18.95" customFormat="1" customHeight="1" s="94">
      <c r="A847" s="202" t="n"/>
      <c r="B847" s="72" t="inlineStr"/>
      <c r="C847" s="197" t="n"/>
      <c r="D847" s="198" t="n"/>
      <c r="E847" s="199" t="n"/>
      <c r="F847" s="200" t="n"/>
      <c r="G847" s="197" t="n">
        <v>0</v>
      </c>
      <c r="H847" s="201" t="n"/>
      <c r="I847" s="86" t="inlineStr">
        <is>
          <t>欠け</t>
        </is>
      </c>
      <c r="J847" s="201" t="n"/>
      <c r="K847" s="92" t="n"/>
      <c r="L847" s="93" t="n"/>
      <c r="M847" s="93" t="n"/>
      <c r="N847" s="93" t="n"/>
    </row>
    <row r="848" ht="18.95" customFormat="1" customHeight="1" s="94">
      <c r="A848" s="202" t="n"/>
      <c r="B848" s="72" t="inlineStr"/>
      <c r="C848" s="197" t="n"/>
      <c r="D848" s="198" t="n"/>
      <c r="E848" s="199" t="n"/>
      <c r="F848" s="200" t="n"/>
      <c r="G848" s="197" t="n">
        <v>0</v>
      </c>
      <c r="H848" s="201" t="n"/>
      <c r="I848" s="86" t="inlineStr">
        <is>
          <t>メヤニ</t>
        </is>
      </c>
      <c r="J848" s="201" t="n"/>
      <c r="K848" s="92" t="n"/>
      <c r="L848" s="93" t="n"/>
      <c r="M848" s="93" t="n"/>
      <c r="N848" s="93" t="n"/>
    </row>
    <row r="849" ht="18.95" customFormat="1" customHeight="1" s="94">
      <c r="A849" s="202" t="n"/>
      <c r="B849" s="72" t="inlineStr"/>
      <c r="C849" s="197" t="n"/>
      <c r="D849" s="198" t="n"/>
      <c r="E849" s="199" t="n"/>
      <c r="F849" s="200" t="n"/>
      <c r="G849" s="197" t="n">
        <v>0</v>
      </c>
      <c r="H849" s="201" t="n"/>
      <c r="I849" s="86" t="inlineStr">
        <is>
          <t>ベコツキ</t>
        </is>
      </c>
      <c r="J849" s="201" t="n"/>
      <c r="K849" s="92" t="n"/>
      <c r="L849" s="93" t="n"/>
      <c r="M849" s="93" t="n"/>
      <c r="N849" s="93" t="n"/>
    </row>
    <row r="850" ht="18.95" customFormat="1" customHeight="1" s="94">
      <c r="A850" s="202" t="n"/>
      <c r="B850" s="72" t="inlineStr"/>
      <c r="C850" s="197" t="n"/>
      <c r="D850" s="198" t="n"/>
      <c r="E850" s="199" t="n"/>
      <c r="F850" s="200" t="n"/>
      <c r="G850" s="197" t="n">
        <v>0</v>
      </c>
      <c r="H850" s="201" t="n"/>
      <c r="I850" s="95" t="inlineStr">
        <is>
          <t>汚損</t>
        </is>
      </c>
      <c r="J850" s="201" t="n"/>
      <c r="K850" s="92" t="n"/>
      <c r="L850" s="93" t="n"/>
      <c r="M850" s="93" t="n"/>
      <c r="N850" s="93" t="n"/>
    </row>
    <row r="851" ht="18.95" customFormat="1" customHeight="1" s="94">
      <c r="A851" s="202" t="n"/>
      <c r="B851" s="72" t="inlineStr"/>
      <c r="C851" s="197" t="n"/>
      <c r="D851" s="198" t="n"/>
      <c r="E851" s="199" t="n"/>
      <c r="F851" s="200" t="n"/>
      <c r="G851" s="197" t="n">
        <v>0</v>
      </c>
      <c r="H851" s="201" t="n"/>
      <c r="I851" s="95" t="inlineStr">
        <is>
          <t>形状異常</t>
        </is>
      </c>
      <c r="J851" s="201" t="n"/>
      <c r="K851" s="92" t="n"/>
      <c r="L851" s="93" t="n"/>
      <c r="M851" s="93" t="n"/>
      <c r="N851" s="93" t="n"/>
    </row>
    <row r="852" ht="18.95" customFormat="1" customHeight="1" s="94">
      <c r="A852" s="202" t="n"/>
      <c r="B852" s="72" t="inlineStr"/>
      <c r="C852" s="197" t="n"/>
      <c r="D852" s="198" t="n"/>
      <c r="E852" s="199" t="n"/>
      <c r="F852" s="200" t="n"/>
      <c r="G852" s="197" t="n">
        <v>0</v>
      </c>
      <c r="H852" s="201" t="n"/>
      <c r="I852" s="86" t="inlineStr">
        <is>
          <t>その他</t>
        </is>
      </c>
      <c r="J852" s="203" t="n"/>
      <c r="K852" s="92" t="n"/>
      <c r="L852" s="93" t="n"/>
      <c r="M852" s="93" t="n"/>
      <c r="N852" s="93" t="n"/>
    </row>
    <row r="853" ht="18.95" customFormat="1" customHeight="1" s="94" thickBot="1">
      <c r="A853" s="204" t="inlineStr">
        <is>
          <t>不良補填</t>
        </is>
      </c>
      <c r="B853" s="73" t="n">
        <v>0</v>
      </c>
      <c r="C853" s="205" t="n"/>
      <c r="D853" s="206" t="n"/>
      <c r="E853" s="207" t="n"/>
      <c r="F853" s="208" t="n"/>
      <c r="G853" s="209" t="n"/>
      <c r="H853" s="210" t="n"/>
      <c r="I853" s="102" t="inlineStr">
        <is>
          <t>合計</t>
        </is>
      </c>
      <c r="J853" s="211" t="n">
        <v>0</v>
      </c>
      <c r="K853" s="92" t="n"/>
      <c r="L853" s="93" t="n"/>
      <c r="M853" s="93" t="n"/>
      <c r="N853" s="93" t="n"/>
    </row>
    <row r="854" ht="6" customHeight="1" s="156" thickBot="1">
      <c r="A854" s="103" t="n"/>
      <c r="B854" s="104" t="n"/>
      <c r="C854" s="104" t="n"/>
      <c r="D854" s="103" t="n"/>
      <c r="E854" s="104" t="n"/>
      <c r="F854" s="104" t="n"/>
      <c r="G854" s="104" t="n"/>
      <c r="H854" s="104" t="n"/>
    </row>
    <row r="855" ht="6" customHeight="1" s="156" thickTop="1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</row>
    <row r="856" ht="14.25" customHeight="1" s="156">
      <c r="A856" s="11" t="n"/>
      <c r="B856" s="125" t="inlineStr">
        <is>
          <t>検査梱包指示書</t>
        </is>
      </c>
      <c r="E856" s="11" t="n"/>
      <c r="F856" s="11" t="n"/>
      <c r="G856" s="11" t="n"/>
      <c r="H856" s="11" t="n"/>
      <c r="I856" s="11" t="n"/>
      <c r="J856" s="11" t="n"/>
    </row>
    <row r="857" ht="14.25" customHeight="1" s="156">
      <c r="A857" s="12" t="n"/>
      <c r="E857" s="12" t="n"/>
      <c r="F857" s="12" t="n"/>
      <c r="G857" s="12" t="n"/>
      <c r="H857" s="12" t="n"/>
      <c r="I857" s="12" t="n"/>
      <c r="J857" s="12" t="n"/>
    </row>
    <row r="858" ht="14.25" customHeight="1" s="156">
      <c r="A858" s="112" t="inlineStr">
        <is>
          <t>品目番号</t>
        </is>
      </c>
      <c r="B858" s="112" t="inlineStr">
        <is>
          <t>J1JAZZB10808880</t>
        </is>
      </c>
      <c r="C858" s="112" t="inlineStr">
        <is>
          <t>Ｌ寸</t>
        </is>
      </c>
      <c r="D858" s="157" t="n">
        <v>888</v>
      </c>
      <c r="E858" s="112" t="inlineStr">
        <is>
          <t>名称</t>
        </is>
      </c>
      <c r="F858" s="123" t="inlineStr">
        <is>
          <t>8FL2813045010</t>
        </is>
      </c>
      <c r="I858" s="24" t="inlineStr">
        <is>
          <t>上長</t>
        </is>
      </c>
      <c r="J858" s="24" t="inlineStr">
        <is>
          <t>係員</t>
        </is>
      </c>
    </row>
    <row r="859" ht="14.25" customHeight="1" s="156">
      <c r="I859" s="105" t="n"/>
      <c r="J859" s="105" t="n"/>
    </row>
    <row r="860" ht="17.45" customHeight="1" s="156">
      <c r="A860" s="111" t="inlineStr">
        <is>
          <t>製造指図№</t>
        </is>
      </c>
      <c r="B860" s="111" t="inlineStr">
        <is>
          <t>000000000014598</t>
        </is>
      </c>
      <c r="E860" s="111" t="inlineStr">
        <is>
          <t>原料名</t>
        </is>
      </c>
      <c r="F860" s="140" t="inlineStr">
        <is>
          <t>(CASE 888MILK-W4)</t>
        </is>
      </c>
      <c r="I860" s="106" t="n"/>
      <c r="J860" s="106" t="n"/>
    </row>
    <row r="861" ht="17.45" customHeight="1" s="156">
      <c r="I861" s="13" t="n"/>
      <c r="J861" s="13" t="n"/>
    </row>
    <row r="862" ht="17.45" customHeight="1" s="156">
      <c r="A862" s="111" t="inlineStr">
        <is>
          <t>発注明細№</t>
        </is>
      </c>
      <c r="B862" s="111" t="inlineStr">
        <is>
          <t>000000000855936</t>
        </is>
      </c>
      <c r="E862" s="2" t="inlineStr">
        <is>
          <t>色　名</t>
        </is>
      </c>
      <c r="F862" s="140" t="inlineStr">
        <is>
          <t>J6VZ034</t>
        </is>
      </c>
      <c r="H862" s="21" t="n"/>
      <c r="I862" s="13" t="n"/>
      <c r="J862" s="13" t="n"/>
    </row>
    <row r="863" ht="17.45" customHeight="1" s="156">
      <c r="E863" s="2" t="inlineStr">
        <is>
          <t>製品Grp</t>
        </is>
      </c>
      <c r="F863" s="21" t="inlineStr">
        <is>
          <t>J1ZB</t>
        </is>
      </c>
      <c r="G863" s="21" t="n"/>
      <c r="H863" s="21" t="n"/>
      <c r="I863" s="14" t="n"/>
      <c r="J863" s="14" t="n"/>
    </row>
    <row r="864" ht="17.45" customHeight="1" s="156">
      <c r="A864" s="2" t="inlineStr">
        <is>
          <t>開始日</t>
        </is>
      </c>
      <c r="B864" s="158" t="n">
        <v>46185</v>
      </c>
      <c r="E864" s="2" t="inlineStr">
        <is>
          <t>入り数</t>
        </is>
      </c>
      <c r="F864" s="159" t="n">
        <v>100</v>
      </c>
      <c r="H864" s="21" t="n"/>
    </row>
    <row r="865" ht="17.45" customHeight="1" s="156">
      <c r="A865" s="2" t="inlineStr">
        <is>
          <t>終了日</t>
        </is>
      </c>
      <c r="B865" s="158" t="n">
        <v>46185</v>
      </c>
      <c r="E865" s="2" t="inlineStr">
        <is>
          <t>梱包数</t>
        </is>
      </c>
      <c r="F865" s="21" t="n">
        <v>20</v>
      </c>
      <c r="G865" s="143" t="inlineStr">
        <is>
          <t>指示数量</t>
        </is>
      </c>
      <c r="H865" s="160" t="n">
        <v>2000</v>
      </c>
      <c r="I865" s="133" t="n"/>
      <c r="J865" s="134" t="n"/>
    </row>
    <row r="866" ht="17.45" customHeight="1" s="156">
      <c r="A866" s="19" t="n"/>
      <c r="B866" s="127" t="n"/>
      <c r="C866" s="127" t="n"/>
      <c r="D866" s="127" t="n"/>
      <c r="E866" s="2" t="inlineStr">
        <is>
          <t>金　型</t>
        </is>
      </c>
      <c r="F866" s="21" t="inlineStr">
        <is>
          <t>4350</t>
        </is>
      </c>
      <c r="G866" s="135" t="n"/>
      <c r="H866" s="135" t="n"/>
      <c r="I866" s="117" t="n"/>
      <c r="J866" s="136" t="n"/>
    </row>
    <row r="867" ht="13.5" customHeight="1" s="156">
      <c r="A867" s="127" t="inlineStr">
        <is>
          <t>*J1JAZZB10808880*</t>
        </is>
      </c>
      <c r="D867" s="127" t="n"/>
      <c r="F867" s="3" t="n"/>
      <c r="G867" s="126" t="inlineStr">
        <is>
          <t>格納先</t>
        </is>
      </c>
      <c r="H867" s="118" t="inlineStr">
        <is>
          <t>V3J03</t>
        </is>
      </c>
      <c r="I867" s="138" t="inlineStr">
        <is>
          <t>樹脂第3倉庫 (在庫)</t>
        </is>
      </c>
      <c r="J867" s="139" t="n"/>
    </row>
    <row r="868" ht="13.5" customHeight="1" s="156">
      <c r="D868" s="127" t="n"/>
      <c r="F868" s="3" t="n"/>
      <c r="G868" s="119" t="n"/>
      <c r="H868" s="119" t="n"/>
      <c r="I868" s="117" t="n"/>
      <c r="J868" s="136" t="n"/>
    </row>
    <row r="869" ht="13.5" customHeight="1" s="156">
      <c r="A869" s="108" t="inlineStr">
        <is>
          <t>指図書備考</t>
        </is>
      </c>
    </row>
    <row r="870" ht="63" customHeight="1" s="156">
      <c r="A870" s="130" t="n"/>
      <c r="B870" s="131" t="n"/>
      <c r="C870" s="131" t="n"/>
      <c r="D870" s="131" t="n"/>
      <c r="E870" s="131" t="n"/>
      <c r="F870" s="131" t="n"/>
      <c r="G870" s="131" t="n"/>
      <c r="H870" s="131" t="n"/>
      <c r="I870" s="131" t="n"/>
      <c r="J870" s="131" t="n"/>
    </row>
    <row r="871" ht="18.75" customHeight="1" s="156">
      <c r="A871" s="23" t="inlineStr">
        <is>
          <t>工順</t>
        </is>
      </c>
      <c r="B871" s="16" t="inlineStr">
        <is>
          <t>製造場所</t>
        </is>
      </c>
      <c r="C871" s="120" t="inlineStr">
        <is>
          <t>製造場所名</t>
        </is>
      </c>
      <c r="D871" s="121" t="n"/>
      <c r="E871" s="16" t="inlineStr">
        <is>
          <t>工程</t>
        </is>
      </c>
      <c r="F871" s="120" t="inlineStr">
        <is>
          <t>工程名</t>
        </is>
      </c>
      <c r="G871" s="121" t="n"/>
      <c r="H871" s="121" t="n"/>
      <c r="I871" s="124" t="inlineStr">
        <is>
          <t>作業時間</t>
        </is>
      </c>
      <c r="J871" s="121" t="n"/>
    </row>
    <row r="872" ht="14.25" customHeight="1" s="156">
      <c r="A872" s="141" t="n"/>
      <c r="B872" s="141" t="n"/>
      <c r="C872" s="141" t="n"/>
      <c r="D872" s="141" t="n"/>
      <c r="E872" s="141" t="n"/>
      <c r="F872" s="141" t="n"/>
      <c r="G872" s="141" t="n"/>
      <c r="H872" s="141" t="n"/>
      <c r="I872" s="141" t="n"/>
      <c r="J872" s="141" t="n"/>
    </row>
    <row r="873" ht="16.5" customHeight="1" s="156">
      <c r="A873" s="22" t="n">
        <v>1</v>
      </c>
      <c r="B873" s="107" t="inlineStr">
        <is>
          <t>V3Z01</t>
        </is>
      </c>
      <c r="C873" s="107" t="inlineStr">
        <is>
          <t>黒部工業</t>
        </is>
      </c>
      <c r="E873" s="107" t="inlineStr">
        <is>
          <t>V3P05</t>
        </is>
      </c>
      <c r="F873" s="107" t="inlineStr">
        <is>
          <t>切断</t>
        </is>
      </c>
      <c r="I873" s="115" t="n"/>
    </row>
    <row r="874" ht="16.5" customHeight="1" s="156">
      <c r="A874" s="22" t="n">
        <v>1</v>
      </c>
      <c r="B874" s="26" t="inlineStr">
        <is>
          <t>V3Z01</t>
        </is>
      </c>
      <c r="C874" s="107" t="inlineStr">
        <is>
          <t>黒部工業</t>
        </is>
      </c>
      <c r="E874" s="107" t="inlineStr">
        <is>
          <t>V3P16</t>
        </is>
      </c>
      <c r="F874" s="107" t="inlineStr">
        <is>
          <t>検査・梱包</t>
        </is>
      </c>
      <c r="I874" s="115" t="n"/>
    </row>
    <row r="875" ht="16.5" customHeight="1" s="156">
      <c r="A875" s="22" t="n"/>
      <c r="B875" s="26" t="n"/>
      <c r="C875" s="107" t="n"/>
      <c r="E875" s="107" t="n"/>
      <c r="F875" s="107" t="n"/>
      <c r="I875" s="115" t="n"/>
    </row>
    <row r="876" ht="16.5" customHeight="1" s="156">
      <c r="A876" s="22" t="n"/>
      <c r="B876" s="26" t="n"/>
      <c r="C876" s="107" t="n"/>
      <c r="E876" s="107" t="n"/>
      <c r="F876" s="107" t="n"/>
      <c r="I876" s="115" t="n"/>
    </row>
    <row r="877" ht="16.5" customHeight="1" s="156">
      <c r="A877" s="22" t="n"/>
      <c r="B877" s="26" t="n"/>
      <c r="C877" s="107" t="n"/>
      <c r="E877" s="107" t="n"/>
      <c r="F877" s="107" t="n"/>
      <c r="I877" s="115" t="n"/>
    </row>
    <row r="878" ht="16.5" customHeight="1" s="156">
      <c r="A878" s="22" t="n"/>
      <c r="B878" s="26" t="n"/>
      <c r="C878" s="107" t="n"/>
      <c r="E878" s="107" t="n"/>
      <c r="F878" s="107" t="n"/>
      <c r="I878" s="115" t="n"/>
    </row>
    <row r="879" ht="16.5" customHeight="1" s="156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</row>
    <row r="880" ht="18.75" customHeight="1" s="156">
      <c r="A880" s="109" t="inlineStr">
        <is>
          <t>品目コード</t>
        </is>
      </c>
      <c r="B880" s="110" t="n"/>
      <c r="C880" s="109" t="inlineStr">
        <is>
          <t>品目名１</t>
        </is>
      </c>
      <c r="D880" s="110" t="n"/>
      <c r="E880" s="110" t="n"/>
      <c r="F880" s="17" t="inlineStr">
        <is>
          <t>在庫場所</t>
        </is>
      </c>
      <c r="G880" s="109" t="inlineStr">
        <is>
          <t>出庫数量</t>
        </is>
      </c>
      <c r="H880" s="110" t="n"/>
      <c r="I880" s="109" t="inlineStr">
        <is>
          <t>バッチ必要数</t>
        </is>
      </c>
      <c r="J880" s="110" t="n"/>
    </row>
    <row r="881" ht="14.25" customHeight="1" s="156">
      <c r="A881" s="8" t="n"/>
      <c r="B881" s="18" t="n"/>
      <c r="C881" s="116" t="inlineStr">
        <is>
          <t>品目名２</t>
        </is>
      </c>
      <c r="D881" s="117" t="n"/>
      <c r="E881" s="18" t="n"/>
      <c r="F881" s="116" t="inlineStr">
        <is>
          <t>指図書備考</t>
        </is>
      </c>
      <c r="G881" s="117" t="n"/>
      <c r="H881" s="117" t="n"/>
      <c r="I881" s="117" t="n"/>
      <c r="J881" s="117" t="n"/>
    </row>
    <row r="882">
      <c r="A882" s="9" t="n"/>
      <c r="C882" s="137" t="n"/>
      <c r="D882" s="137" t="n"/>
      <c r="E882" s="137" t="n"/>
    </row>
    <row r="883" ht="14.25" customHeight="1" s="156">
      <c r="A883" s="107" t="inlineStr">
        <is>
          <t>J1JAZZA10818200</t>
        </is>
      </c>
      <c r="C883" s="107" t="inlineStr">
        <is>
          <t>@8FL28130 L1820</t>
        </is>
      </c>
      <c r="F883" s="27" t="inlineStr">
        <is>
          <t>V3J04</t>
        </is>
      </c>
      <c r="G883" s="161" t="n">
        <v>1000</v>
      </c>
      <c r="I883" s="161" t="n">
        <v>10</v>
      </c>
    </row>
    <row r="884" ht="24.95" customHeight="1" s="156">
      <c r="A884" s="122" t="inlineStr">
        <is>
          <t>*J1JAZZA10818200*</t>
        </is>
      </c>
      <c r="C884" s="107" t="n"/>
      <c r="F884" s="107" t="n"/>
    </row>
    <row r="885" ht="14.25" customHeight="1" s="156">
      <c r="A885" s="107" t="inlineStr">
        <is>
          <t>J6DW0089</t>
        </is>
      </c>
      <c r="C885" s="107" t="inlineStr">
        <is>
          <t>LED-A888　898X275X166</t>
        </is>
      </c>
      <c r="F885" s="27" t="inlineStr">
        <is>
          <t>V3Z01</t>
        </is>
      </c>
      <c r="G885" s="161" t="n">
        <v>20</v>
      </c>
      <c r="I885" s="161" t="n">
        <v>0.2</v>
      </c>
    </row>
    <row r="886" ht="24.95" customHeight="1" s="156">
      <c r="A886" s="122" t="inlineStr">
        <is>
          <t>*J6DW0089*</t>
        </is>
      </c>
      <c r="C886" s="107" t="inlineStr">
        <is>
          <t>L888×W275×H166</t>
        </is>
      </c>
      <c r="F886" s="107" t="n"/>
    </row>
    <row r="887" ht="14.25" customHeight="1" s="156">
      <c r="A887" s="107" t="inlineStr">
        <is>
          <t>J6XX0044</t>
        </is>
      </c>
      <c r="C887" s="107" t="inlineStr">
        <is>
          <t>(管理外)筋入ｸﾗﾌﾄ紙</t>
        </is>
      </c>
      <c r="F887" s="27" t="n"/>
      <c r="G887" s="161" t="n">
        <v>220</v>
      </c>
      <c r="I887" s="161" t="n">
        <v>2.2</v>
      </c>
    </row>
    <row r="888" ht="24.95" customHeight="1" s="156">
      <c r="A888" s="122" t="inlineStr">
        <is>
          <t>*J6XX0044*</t>
        </is>
      </c>
      <c r="C888" s="107" t="inlineStr">
        <is>
          <t>400＊900</t>
        </is>
      </c>
      <c r="F888" s="107" t="n"/>
    </row>
    <row r="889" ht="14.25" customHeight="1" s="156">
      <c r="A889" s="107" t="inlineStr">
        <is>
          <t>J6XX0051</t>
        </is>
      </c>
      <c r="C889" s="107" t="inlineStr">
        <is>
          <t>(管理外)LLDPE規格ｼｰﾄ0.02×950×100m</t>
        </is>
      </c>
      <c r="F889" s="27" t="n"/>
      <c r="G889" s="161" t="n">
        <v>2</v>
      </c>
      <c r="I889" s="161" t="n">
        <v>0.02</v>
      </c>
    </row>
    <row r="890" ht="24.95" customHeight="1" s="156">
      <c r="A890" s="122" t="inlineStr">
        <is>
          <t>*J6XX0051*</t>
        </is>
      </c>
      <c r="C890" s="107" t="inlineStr">
        <is>
          <t>0.02×950×100m</t>
        </is>
      </c>
      <c r="F890" s="107" t="n"/>
    </row>
    <row r="891" ht="14.25" customHeight="1" s="156">
      <c r="A891" s="107" t="n"/>
      <c r="C891" s="107" t="n"/>
      <c r="F891" s="27" t="n"/>
      <c r="G891" s="161" t="n"/>
      <c r="I891" s="161" t="n"/>
    </row>
    <row r="892" ht="24.95" customHeight="1" s="156" thickBot="1">
      <c r="A892" s="122" t="n"/>
      <c r="C892" s="107" t="n"/>
      <c r="F892" s="107" t="n"/>
    </row>
    <row r="893" ht="18" customFormat="1" customHeight="1" s="141">
      <c r="A893" s="28" t="inlineStr">
        <is>
          <t>温度換算</t>
        </is>
      </c>
      <c r="B893" s="29" t="inlineStr">
        <is>
          <t>L寸</t>
        </is>
      </c>
      <c r="C893" s="147" t="inlineStr">
        <is>
          <t>梱包箱</t>
        </is>
      </c>
      <c r="D893" s="162" t="n"/>
      <c r="E893" s="148" t="inlineStr">
        <is>
          <t>使用数</t>
        </is>
      </c>
      <c r="F893" s="31" t="inlineStr">
        <is>
          <t>作業者</t>
        </is>
      </c>
      <c r="G893" s="32" t="inlineStr">
        <is>
          <t>加工Lot</t>
        </is>
      </c>
      <c r="H893" s="129" t="inlineStr">
        <is>
          <t>箱数</t>
        </is>
      </c>
      <c r="I893" s="128" t="inlineStr">
        <is>
          <t>加工明細</t>
        </is>
      </c>
      <c r="J893" s="162" t="n"/>
    </row>
    <row r="894" ht="18" customFormat="1" customHeight="1" s="137">
      <c r="A894" s="34" t="inlineStr">
        <is>
          <t>〇</t>
        </is>
      </c>
      <c r="B894" s="163" t="n">
        <v>2000</v>
      </c>
      <c r="C894" s="164" t="inlineStr">
        <is>
          <t>LED-A888</t>
        </is>
      </c>
      <c r="D894" s="165" t="n"/>
      <c r="E894" s="166" t="n">
        <v>20</v>
      </c>
      <c r="F894" s="167" t="inlineStr">
        <is>
          <t xml:space="preserve">切断加工：I / </t>
        </is>
      </c>
      <c r="G894" s="168" t="inlineStr">
        <is>
          <t>26.06.11</t>
        </is>
      </c>
      <c r="H894" s="169" t="n">
        <v>13</v>
      </c>
      <c r="I894" s="39" t="inlineStr">
        <is>
          <t>入庫日</t>
        </is>
      </c>
      <c r="J894" s="170" t="inlineStr">
        <is>
          <t>06/12</t>
        </is>
      </c>
    </row>
    <row r="895" ht="18" customFormat="1" customHeight="1" s="141">
      <c r="A895" s="44" t="inlineStr">
        <is>
          <t>+公差</t>
        </is>
      </c>
      <c r="B895" s="45" t="inlineStr">
        <is>
          <t>切断寸法</t>
        </is>
      </c>
      <c r="C895" s="171" t="n"/>
      <c r="D895" s="172" t="n"/>
      <c r="E895" s="119" t="n"/>
      <c r="F895" s="173" t="inlineStr">
        <is>
          <t>外観検査：T / U</t>
        </is>
      </c>
      <c r="G895" s="168" t="n">
        <v>46185</v>
      </c>
      <c r="H895" s="169" t="n">
        <v>7</v>
      </c>
      <c r="I895" s="39" t="inlineStr">
        <is>
          <t>入庫数</t>
        </is>
      </c>
      <c r="J895" s="174" t="n">
        <v>2000</v>
      </c>
      <c r="K895" s="47" t="n"/>
    </row>
    <row r="896" ht="18" customFormat="1" customHeight="1" s="137">
      <c r="A896" s="48" t="n">
        <v>0.5</v>
      </c>
      <c r="B896" s="175" t="inlineStr">
        <is>
          <t>換算表確認</t>
        </is>
      </c>
      <c r="C896" s="155" t="inlineStr">
        <is>
          <t>梱包
方法</t>
        </is>
      </c>
      <c r="D896" s="176" t="inlineStr">
        <is>
          <t>ラベル１枚　長手無　鉢巻１回</t>
        </is>
      </c>
      <c r="E896" s="177" t="n"/>
      <c r="F896" s="178" t="n"/>
      <c r="G896" s="168" t="n"/>
      <c r="H896" s="169" t="n"/>
      <c r="I896" s="39" t="inlineStr">
        <is>
          <t>使用基材数</t>
        </is>
      </c>
      <c r="J896" s="174" t="n">
        <v>1006</v>
      </c>
      <c r="K896" s="50" t="n"/>
    </row>
    <row r="897" ht="18" customFormat="1" customHeight="1" s="141">
      <c r="A897" s="51" t="inlineStr">
        <is>
          <t>-公差</t>
        </is>
      </c>
      <c r="B897" s="52" t="inlineStr">
        <is>
          <t>取数</t>
        </is>
      </c>
      <c r="C897" s="179" t="n"/>
      <c r="D897" s="176" t="inlineStr">
        <is>
          <t>ラベル１枚　長手無　鉢巻１回</t>
        </is>
      </c>
      <c r="E897" s="177" t="n"/>
      <c r="F897" s="178" t="n"/>
      <c r="G897" s="168" t="n"/>
      <c r="H897" s="169" t="n"/>
      <c r="I897" s="39" t="inlineStr">
        <is>
          <t>製品不良</t>
        </is>
      </c>
      <c r="J897" s="174" t="n">
        <v>12</v>
      </c>
      <c r="K897" s="47" t="n"/>
    </row>
    <row r="898" ht="18" customFormat="1" customHeight="1" s="137" thickBot="1">
      <c r="A898" s="53" t="n">
        <v>-0.5</v>
      </c>
      <c r="B898" s="54" t="n">
        <v>2</v>
      </c>
      <c r="C898" s="55" t="inlineStr">
        <is>
          <t>備考</t>
        </is>
      </c>
      <c r="D898" s="180" t="inlineStr">
        <is>
          <t>1箱目の梱包数 目視確認　以降、重量測定</t>
        </is>
      </c>
      <c r="E898" s="181" t="n"/>
      <c r="F898" s="182" t="n"/>
      <c r="G898" s="183" t="n"/>
      <c r="H898" s="184" t="n"/>
      <c r="I898" s="39" t="inlineStr">
        <is>
          <t>基材不良</t>
        </is>
      </c>
      <c r="J898" s="185" t="n">
        <v>6</v>
      </c>
      <c r="K898" s="50" t="n"/>
    </row>
    <row r="899" ht="18" customFormat="1" customHeight="1" s="141" thickBot="1">
      <c r="A899" s="58" t="inlineStr">
        <is>
          <t>作業日</t>
        </is>
      </c>
      <c r="B899" s="59" t="inlineStr">
        <is>
          <t>I / C / T / U</t>
        </is>
      </c>
      <c r="C899" s="60" t="inlineStr">
        <is>
          <t>温度</t>
        </is>
      </c>
      <c r="D899" s="61" t="inlineStr">
        <is>
          <t>換算</t>
        </is>
      </c>
      <c r="E899" s="62" t="inlineStr">
        <is>
          <t>計測値</t>
        </is>
      </c>
      <c r="F899" s="63">
        <f t="array" ref="F899">IF(SUM(--(ISTEXT(B900:B910)*(B900:B910&lt;&gt;"")))=0,"記入不要","使用Lot")</f>
        <v/>
      </c>
      <c r="G899" s="64" t="inlineStr">
        <is>
          <t>加工数</t>
        </is>
      </c>
      <c r="H899" s="65" t="inlineStr">
        <is>
          <t>基材換算</t>
        </is>
      </c>
      <c r="I899" s="66" t="inlineStr">
        <is>
          <t>端材使用</t>
        </is>
      </c>
      <c r="J899" s="186" t="n">
        <v>0</v>
      </c>
      <c r="K899" s="47" t="n"/>
    </row>
    <row r="900" ht="18" customFormat="1" customHeight="1" s="137">
      <c r="A900" s="187" t="n"/>
      <c r="B900" s="188" t="n"/>
      <c r="C900" s="74" t="n"/>
      <c r="D900" s="189" t="n"/>
      <c r="E900" s="190" t="n"/>
      <c r="F900" s="191" t="n">
        <v>0</v>
      </c>
      <c r="G900" s="192" t="n">
        <v>0</v>
      </c>
      <c r="H900" s="193" t="n"/>
      <c r="I900" s="194" t="inlineStr">
        <is>
          <t>不良内訳</t>
        </is>
      </c>
      <c r="J900" s="195" t="n"/>
      <c r="K900" s="80" t="n"/>
    </row>
    <row r="901" ht="18" customFormat="1" customHeight="1" s="141">
      <c r="A901" s="196" t="inlineStr">
        <is>
          <t>06/10</t>
        </is>
      </c>
      <c r="B901" s="72" t="inlineStr">
        <is>
          <t>26 E 26-07</t>
        </is>
      </c>
      <c r="C901" s="197" t="n">
        <v>26</v>
      </c>
      <c r="D901" s="198" t="n">
        <v>888.35</v>
      </c>
      <c r="E901" s="199" t="n">
        <v>888.35</v>
      </c>
      <c r="F901" s="200" t="inlineStr">
        <is>
          <t>26E26-07</t>
        </is>
      </c>
      <c r="G901" s="197" t="n">
        <v>614</v>
      </c>
      <c r="H901" s="201" t="n">
        <v>307</v>
      </c>
      <c r="I901" s="86" t="inlineStr">
        <is>
          <t>キズ</t>
        </is>
      </c>
      <c r="J901" s="201" t="n">
        <v>5</v>
      </c>
      <c r="K901" s="80" t="n"/>
    </row>
    <row r="902" ht="18.95" customFormat="1" customHeight="1" s="91">
      <c r="A902" s="202" t="inlineStr">
        <is>
          <t>06/10</t>
        </is>
      </c>
      <c r="B902" s="72" t="inlineStr">
        <is>
          <t>26 E 26-07</t>
        </is>
      </c>
      <c r="C902" s="197" t="n">
        <v>26</v>
      </c>
      <c r="D902" s="198" t="n">
        <v>888.35</v>
      </c>
      <c r="E902" s="199" t="n">
        <v>888.39</v>
      </c>
      <c r="F902" s="200" t="inlineStr">
        <is>
          <t>26E23-06</t>
        </is>
      </c>
      <c r="G902" s="197" t="n">
        <v>400</v>
      </c>
      <c r="H902" s="201" t="n">
        <v>200</v>
      </c>
      <c r="I902" s="86" t="inlineStr">
        <is>
          <t>凹み</t>
        </is>
      </c>
      <c r="J902" s="201" t="n"/>
      <c r="K902" s="89" t="n"/>
      <c r="L902" s="90" t="n"/>
      <c r="M902" s="90" t="n"/>
      <c r="N902" s="90" t="n"/>
    </row>
    <row r="903" ht="18.95" customFormat="1" customHeight="1" s="94">
      <c r="A903" s="202" t="inlineStr">
        <is>
          <t>06/10</t>
        </is>
      </c>
      <c r="B903" s="72" t="inlineStr">
        <is>
          <t>26 E 26-07</t>
        </is>
      </c>
      <c r="C903" s="197" t="n">
        <v>26</v>
      </c>
      <c r="D903" s="198" t="n">
        <v>888.35</v>
      </c>
      <c r="E903" s="199" t="n">
        <v>888.35</v>
      </c>
      <c r="F903" s="200" t="inlineStr">
        <is>
          <t>26E27-08</t>
        </is>
      </c>
      <c r="G903" s="197" t="n">
        <v>214</v>
      </c>
      <c r="H903" s="201" t="n">
        <v>107</v>
      </c>
      <c r="I903" s="86" t="inlineStr">
        <is>
          <t>異物</t>
        </is>
      </c>
      <c r="J903" s="201" t="n">
        <v>2</v>
      </c>
      <c r="K903" s="92" t="n"/>
      <c r="L903" s="93" t="n"/>
      <c r="M903" s="93" t="n"/>
      <c r="N903" s="93" t="n"/>
    </row>
    <row r="904" ht="18.95" customFormat="1" customHeight="1" s="94">
      <c r="A904" s="202" t="inlineStr">
        <is>
          <t>06/10</t>
        </is>
      </c>
      <c r="B904" s="72" t="inlineStr">
        <is>
          <t>26 E 23-06</t>
        </is>
      </c>
      <c r="C904" s="197" t="n">
        <v>26</v>
      </c>
      <c r="D904" s="198" t="n">
        <v>888.35</v>
      </c>
      <c r="E904" s="199" t="n">
        <v>888.39</v>
      </c>
      <c r="F904" s="200" t="n"/>
      <c r="G904" s="197" t="n">
        <v>186</v>
      </c>
      <c r="H904" s="201" t="n">
        <v>93</v>
      </c>
      <c r="I904" s="86" t="inlineStr">
        <is>
          <t>欠け</t>
        </is>
      </c>
      <c r="J904" s="201" t="n"/>
      <c r="K904" s="92" t="n"/>
      <c r="L904" s="93" t="n"/>
      <c r="M904" s="93" t="n"/>
      <c r="N904" s="93" t="n"/>
    </row>
    <row r="905" ht="18.95" customFormat="1" customHeight="1" s="94">
      <c r="A905" s="202" t="inlineStr">
        <is>
          <t>06/11</t>
        </is>
      </c>
      <c r="B905" s="72" t="inlineStr">
        <is>
          <t>26 E 23-06</t>
        </is>
      </c>
      <c r="C905" s="197" t="n">
        <v>26</v>
      </c>
      <c r="D905" s="198" t="n">
        <v>888.35</v>
      </c>
      <c r="E905" s="199" t="n">
        <v>888.3</v>
      </c>
      <c r="F905" s="200" t="n"/>
      <c r="G905" s="197" t="n">
        <v>214</v>
      </c>
      <c r="H905" s="201" t="n">
        <v>107</v>
      </c>
      <c r="I905" s="86" t="inlineStr">
        <is>
          <t>メヤニ</t>
        </is>
      </c>
      <c r="J905" s="201" t="n"/>
      <c r="K905" s="92" t="n"/>
      <c r="L905" s="93" t="n"/>
      <c r="M905" s="93" t="n"/>
      <c r="N905" s="93" t="n"/>
    </row>
    <row r="906" ht="18.95" customFormat="1" customHeight="1" s="94">
      <c r="A906" s="202" t="inlineStr">
        <is>
          <t>06/11</t>
        </is>
      </c>
      <c r="B906" s="72" t="inlineStr">
        <is>
          <t>26 E 27-08</t>
        </is>
      </c>
      <c r="C906" s="197" t="n">
        <v>26</v>
      </c>
      <c r="D906" s="198" t="n">
        <v>888.35</v>
      </c>
      <c r="E906" s="199" t="n">
        <v>888.3099999999999</v>
      </c>
      <c r="F906" s="200" t="n"/>
      <c r="G906" s="197" t="n">
        <v>186</v>
      </c>
      <c r="H906" s="201" t="n">
        <v>93</v>
      </c>
      <c r="I906" s="86" t="inlineStr">
        <is>
          <t>ベコツキ</t>
        </is>
      </c>
      <c r="J906" s="201" t="n"/>
      <c r="K906" s="92" t="n"/>
      <c r="L906" s="93" t="n"/>
      <c r="M906" s="93" t="n"/>
      <c r="N906" s="93" t="n"/>
    </row>
    <row r="907" ht="18.95" customFormat="1" customHeight="1" s="94">
      <c r="A907" s="202" t="inlineStr">
        <is>
          <t>06/11</t>
        </is>
      </c>
      <c r="B907" s="72" t="inlineStr">
        <is>
          <t>26 E 27-08</t>
        </is>
      </c>
      <c r="C907" s="197" t="n">
        <v>26</v>
      </c>
      <c r="D907" s="198" t="n">
        <v>888.46</v>
      </c>
      <c r="E907" s="199" t="n">
        <v>888.4400000000001</v>
      </c>
      <c r="F907" s="200" t="n"/>
      <c r="G907" s="197" t="n">
        <v>400</v>
      </c>
      <c r="H907" s="201" t="n">
        <v>200</v>
      </c>
      <c r="I907" s="95" t="inlineStr">
        <is>
          <t>汚損</t>
        </is>
      </c>
      <c r="J907" s="201" t="n">
        <v>1</v>
      </c>
      <c r="K907" s="92" t="n"/>
      <c r="L907" s="93" t="n"/>
      <c r="M907" s="93" t="n"/>
      <c r="N907" s="93" t="n"/>
    </row>
    <row r="908" ht="18.95" customFormat="1" customHeight="1" s="94">
      <c r="A908" s="202" t="inlineStr">
        <is>
          <t>06/11</t>
        </is>
      </c>
      <c r="B908" s="72" t="inlineStr">
        <is>
          <t>26 E 27-08</t>
        </is>
      </c>
      <c r="C908" s="197" t="n">
        <v>26</v>
      </c>
      <c r="D908" s="198" t="n">
        <v>888.46</v>
      </c>
      <c r="E908" s="199" t="n">
        <v>888.4400000000001</v>
      </c>
      <c r="F908" s="200" t="n"/>
      <c r="G908" s="197" t="n">
        <v>400</v>
      </c>
      <c r="H908" s="201" t="n">
        <v>200</v>
      </c>
      <c r="I908" s="95" t="inlineStr">
        <is>
          <t>形状異常</t>
        </is>
      </c>
      <c r="J908" s="201" t="n"/>
      <c r="K908" s="92" t="n"/>
      <c r="L908" s="93" t="n"/>
      <c r="M908" s="93" t="n"/>
      <c r="N908" s="93" t="n"/>
    </row>
    <row r="909" ht="18.95" customFormat="1" customHeight="1" s="94">
      <c r="A909" s="202" t="n"/>
      <c r="B909" s="72" t="inlineStr"/>
      <c r="C909" s="197" t="n"/>
      <c r="D909" s="198" t="n"/>
      <c r="E909" s="199" t="n"/>
      <c r="F909" s="200" t="n"/>
      <c r="G909" s="197" t="n">
        <v>0</v>
      </c>
      <c r="H909" s="201" t="n"/>
      <c r="I909" s="86" t="inlineStr">
        <is>
          <t>その他</t>
        </is>
      </c>
      <c r="J909" s="203" t="n">
        <v>4</v>
      </c>
      <c r="K909" s="92" t="n"/>
      <c r="L909" s="93" t="n"/>
      <c r="M909" s="93" t="n"/>
      <c r="N909" s="93" t="n"/>
    </row>
    <row r="910" ht="18.95" customFormat="1" customHeight="1" s="94" thickBot="1">
      <c r="A910" s="204" t="inlineStr">
        <is>
          <t>不良補填</t>
        </is>
      </c>
      <c r="B910" s="73" t="inlineStr">
        <is>
          <t>26E27-08 × 12</t>
        </is>
      </c>
      <c r="C910" s="205" t="n"/>
      <c r="D910" s="206" t="n"/>
      <c r="E910" s="207" t="n"/>
      <c r="F910" s="208" t="n"/>
      <c r="G910" s="209" t="n"/>
      <c r="H910" s="210" t="n"/>
      <c r="I910" s="102" t="inlineStr">
        <is>
          <t>合計</t>
        </is>
      </c>
      <c r="J910" s="211" t="n">
        <v>12</v>
      </c>
      <c r="K910" s="92" t="n"/>
      <c r="L910" s="93" t="n"/>
      <c r="M910" s="93" t="n"/>
      <c r="N910" s="93" t="n"/>
    </row>
    <row r="911" ht="6" customHeight="1" s="156" thickBot="1">
      <c r="A911" s="103" t="n"/>
      <c r="B911" s="104" t="n"/>
      <c r="C911" s="104" t="n"/>
      <c r="D911" s="103" t="n"/>
      <c r="E911" s="104" t="n"/>
      <c r="F911" s="104" t="n"/>
      <c r="G911" s="104" t="n"/>
      <c r="H911" s="104" t="n"/>
    </row>
    <row r="912" ht="6" customHeight="1" s="156" thickTop="1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</row>
    <row r="913" ht="14.25" customHeight="1" s="156">
      <c r="A913" s="11" t="n"/>
      <c r="B913" s="125" t="inlineStr">
        <is>
          <t>検査梱包指示書</t>
        </is>
      </c>
      <c r="E913" s="11" t="n"/>
      <c r="F913" s="11" t="n"/>
      <c r="G913" s="11" t="n"/>
      <c r="H913" s="11" t="n"/>
      <c r="I913" s="11" t="n"/>
      <c r="J913" s="11" t="n"/>
    </row>
    <row r="914" ht="14.25" customHeight="1" s="156">
      <c r="A914" s="12" t="n"/>
      <c r="E914" s="12" t="n"/>
      <c r="F914" s="12" t="n"/>
      <c r="G914" s="12" t="n"/>
      <c r="H914" s="12" t="n"/>
      <c r="I914" s="12" t="n"/>
      <c r="J914" s="12" t="n"/>
    </row>
    <row r="915" ht="14.25" customHeight="1" s="156">
      <c r="A915" s="112" t="inlineStr">
        <is>
          <t>品目番号</t>
        </is>
      </c>
      <c r="B915" s="112" t="inlineStr">
        <is>
          <t>J1JAZZB10808880</t>
        </is>
      </c>
      <c r="C915" s="112" t="inlineStr">
        <is>
          <t>Ｌ寸</t>
        </is>
      </c>
      <c r="D915" s="157" t="n">
        <v>888</v>
      </c>
      <c r="E915" s="112" t="inlineStr">
        <is>
          <t>名称</t>
        </is>
      </c>
      <c r="F915" s="123" t="inlineStr">
        <is>
          <t>8FL2813045010</t>
        </is>
      </c>
      <c r="I915" s="24" t="inlineStr">
        <is>
          <t>上長</t>
        </is>
      </c>
      <c r="J915" s="24" t="inlineStr">
        <is>
          <t>係員</t>
        </is>
      </c>
    </row>
    <row r="916" ht="14.25" customHeight="1" s="156">
      <c r="I916" s="105" t="n"/>
      <c r="J916" s="105" t="n"/>
    </row>
    <row r="917" ht="17.45" customHeight="1" s="156">
      <c r="A917" s="111" t="inlineStr">
        <is>
          <t>製造指図№</t>
        </is>
      </c>
      <c r="B917" s="111" t="inlineStr">
        <is>
          <t>000000000014599</t>
        </is>
      </c>
      <c r="E917" s="111" t="inlineStr">
        <is>
          <t>原料名</t>
        </is>
      </c>
      <c r="F917" s="140" t="inlineStr">
        <is>
          <t>(CASE 888MILK-W4)</t>
        </is>
      </c>
      <c r="I917" s="106" t="n"/>
      <c r="J917" s="106" t="n"/>
    </row>
    <row r="918" ht="17.45" customHeight="1" s="156">
      <c r="I918" s="13" t="n"/>
      <c r="J918" s="13" t="n"/>
    </row>
    <row r="919" ht="17.45" customHeight="1" s="156">
      <c r="A919" s="111" t="inlineStr">
        <is>
          <t>発注明細№</t>
        </is>
      </c>
      <c r="B919" s="111" t="inlineStr">
        <is>
          <t>000000000855937</t>
        </is>
      </c>
      <c r="E919" s="2" t="inlineStr">
        <is>
          <t>色　名</t>
        </is>
      </c>
      <c r="F919" s="140" t="inlineStr">
        <is>
          <t>J6VZ034</t>
        </is>
      </c>
      <c r="H919" s="21" t="n"/>
      <c r="I919" s="13" t="n"/>
      <c r="J919" s="13" t="n"/>
    </row>
    <row r="920" ht="17.45" customHeight="1" s="156">
      <c r="E920" s="2" t="inlineStr">
        <is>
          <t>製品Grp</t>
        </is>
      </c>
      <c r="F920" s="21" t="inlineStr">
        <is>
          <t>J1ZB</t>
        </is>
      </c>
      <c r="G920" s="21" t="n"/>
      <c r="H920" s="21" t="n"/>
      <c r="I920" s="14" t="n"/>
      <c r="J920" s="14" t="n"/>
    </row>
    <row r="921" ht="17.45" customHeight="1" s="156">
      <c r="A921" s="2" t="inlineStr">
        <is>
          <t>開始日</t>
        </is>
      </c>
      <c r="B921" s="158" t="n">
        <v>46185</v>
      </c>
      <c r="E921" s="2" t="inlineStr">
        <is>
          <t>入り数</t>
        </is>
      </c>
      <c r="F921" s="159" t="n">
        <v>100</v>
      </c>
      <c r="H921" s="21" t="n"/>
    </row>
    <row r="922" ht="17.45" customHeight="1" s="156">
      <c r="A922" s="2" t="inlineStr">
        <is>
          <t>終了日</t>
        </is>
      </c>
      <c r="B922" s="158" t="n">
        <v>46185</v>
      </c>
      <c r="E922" s="2" t="inlineStr">
        <is>
          <t>梱包数</t>
        </is>
      </c>
      <c r="F922" s="21" t="n">
        <v>10</v>
      </c>
      <c r="G922" s="143" t="inlineStr">
        <is>
          <t>指示数量</t>
        </is>
      </c>
      <c r="H922" s="160" t="n">
        <v>1000</v>
      </c>
      <c r="I922" s="133" t="n"/>
      <c r="J922" s="134" t="n"/>
    </row>
    <row r="923" ht="17.45" customHeight="1" s="156">
      <c r="A923" s="19" t="n"/>
      <c r="B923" s="127" t="n"/>
      <c r="C923" s="127" t="n"/>
      <c r="D923" s="127" t="n"/>
      <c r="E923" s="2" t="inlineStr">
        <is>
          <t>金　型</t>
        </is>
      </c>
      <c r="F923" s="21" t="inlineStr">
        <is>
          <t>4350</t>
        </is>
      </c>
      <c r="G923" s="135" t="n"/>
      <c r="H923" s="135" t="n"/>
      <c r="I923" s="117" t="n"/>
      <c r="J923" s="136" t="n"/>
    </row>
    <row r="924" ht="13.5" customHeight="1" s="156">
      <c r="A924" s="127" t="inlineStr">
        <is>
          <t>*J1JAZZB10808880*</t>
        </is>
      </c>
      <c r="D924" s="127" t="n"/>
      <c r="F924" s="3" t="n"/>
      <c r="G924" s="126" t="inlineStr">
        <is>
          <t>格納先</t>
        </is>
      </c>
      <c r="H924" s="118" t="inlineStr">
        <is>
          <t>V3J03</t>
        </is>
      </c>
      <c r="I924" s="138" t="inlineStr">
        <is>
          <t>樹脂第3倉庫 (在庫)</t>
        </is>
      </c>
      <c r="J924" s="139" t="n"/>
    </row>
    <row r="925" ht="13.5" customHeight="1" s="156">
      <c r="D925" s="127" t="n"/>
      <c r="F925" s="3" t="n"/>
      <c r="G925" s="119" t="n"/>
      <c r="H925" s="119" t="n"/>
      <c r="I925" s="117" t="n"/>
      <c r="J925" s="136" t="n"/>
    </row>
    <row r="926" ht="13.5" customHeight="1" s="156">
      <c r="A926" s="108" t="inlineStr">
        <is>
          <t>指図書備考</t>
        </is>
      </c>
    </row>
    <row r="927" ht="63" customHeight="1" s="156">
      <c r="A927" s="130" t="n"/>
      <c r="B927" s="131" t="n"/>
      <c r="C927" s="131" t="n"/>
      <c r="D927" s="131" t="n"/>
      <c r="E927" s="131" t="n"/>
      <c r="F927" s="131" t="n"/>
      <c r="G927" s="131" t="n"/>
      <c r="H927" s="131" t="n"/>
      <c r="I927" s="131" t="n"/>
      <c r="J927" s="131" t="n"/>
    </row>
    <row r="928" ht="18.75" customHeight="1" s="156">
      <c r="A928" s="23" t="inlineStr">
        <is>
          <t>工順</t>
        </is>
      </c>
      <c r="B928" s="16" t="inlineStr">
        <is>
          <t>製造場所</t>
        </is>
      </c>
      <c r="C928" s="120" t="inlineStr">
        <is>
          <t>製造場所名</t>
        </is>
      </c>
      <c r="D928" s="121" t="n"/>
      <c r="E928" s="16" t="inlineStr">
        <is>
          <t>工程</t>
        </is>
      </c>
      <c r="F928" s="120" t="inlineStr">
        <is>
          <t>工程名</t>
        </is>
      </c>
      <c r="G928" s="121" t="n"/>
      <c r="H928" s="121" t="n"/>
      <c r="I928" s="124" t="inlineStr">
        <is>
          <t>作業時間</t>
        </is>
      </c>
      <c r="J928" s="121" t="n"/>
    </row>
    <row r="929" ht="14.25" customHeight="1" s="156">
      <c r="A929" s="141" t="n"/>
      <c r="B929" s="141" t="n"/>
      <c r="C929" s="141" t="n"/>
      <c r="D929" s="141" t="n"/>
      <c r="E929" s="141" t="n"/>
      <c r="F929" s="141" t="n"/>
      <c r="G929" s="141" t="n"/>
      <c r="H929" s="141" t="n"/>
      <c r="I929" s="141" t="n"/>
      <c r="J929" s="141" t="n"/>
    </row>
    <row r="930" ht="16.5" customHeight="1" s="156">
      <c r="A930" s="22" t="n">
        <v>1</v>
      </c>
      <c r="B930" s="107" t="inlineStr">
        <is>
          <t>V3Z01</t>
        </is>
      </c>
      <c r="C930" s="107" t="inlineStr">
        <is>
          <t>黒部工業</t>
        </is>
      </c>
      <c r="E930" s="107" t="inlineStr">
        <is>
          <t>V3P05</t>
        </is>
      </c>
      <c r="F930" s="107" t="inlineStr">
        <is>
          <t>切断</t>
        </is>
      </c>
      <c r="I930" s="115" t="n"/>
    </row>
    <row r="931" ht="16.5" customHeight="1" s="156">
      <c r="A931" s="22" t="n">
        <v>1</v>
      </c>
      <c r="B931" s="26" t="inlineStr">
        <is>
          <t>V3Z01</t>
        </is>
      </c>
      <c r="C931" s="107" t="inlineStr">
        <is>
          <t>黒部工業</t>
        </is>
      </c>
      <c r="E931" s="107" t="inlineStr">
        <is>
          <t>V3P16</t>
        </is>
      </c>
      <c r="F931" s="107" t="inlineStr">
        <is>
          <t>検査・梱包</t>
        </is>
      </c>
      <c r="I931" s="115" t="n"/>
    </row>
    <row r="932" ht="16.5" customHeight="1" s="156">
      <c r="A932" s="22" t="n"/>
      <c r="B932" s="26" t="n"/>
      <c r="C932" s="107" t="n"/>
      <c r="E932" s="107" t="n"/>
      <c r="F932" s="107" t="n"/>
      <c r="I932" s="115" t="n"/>
    </row>
    <row r="933" ht="16.5" customHeight="1" s="156">
      <c r="A933" s="22" t="n"/>
      <c r="B933" s="26" t="n"/>
      <c r="C933" s="107" t="n"/>
      <c r="E933" s="107" t="n"/>
      <c r="F933" s="107" t="n"/>
      <c r="I933" s="115" t="n"/>
    </row>
    <row r="934" ht="16.5" customHeight="1" s="156">
      <c r="A934" s="22" t="n"/>
      <c r="B934" s="26" t="n"/>
      <c r="C934" s="107" t="n"/>
      <c r="E934" s="107" t="n"/>
      <c r="F934" s="107" t="n"/>
      <c r="I934" s="115" t="n"/>
    </row>
    <row r="935" ht="16.5" customHeight="1" s="156">
      <c r="A935" s="22" t="n"/>
      <c r="B935" s="26" t="n"/>
      <c r="C935" s="107" t="n"/>
      <c r="E935" s="107" t="n"/>
      <c r="F935" s="107" t="n"/>
      <c r="I935" s="115" t="n"/>
    </row>
    <row r="936" ht="16.5" customHeight="1" s="15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</row>
    <row r="937" ht="18.75" customHeight="1" s="156">
      <c r="A937" s="109" t="inlineStr">
        <is>
          <t>品目コード</t>
        </is>
      </c>
      <c r="B937" s="110" t="n"/>
      <c r="C937" s="109" t="inlineStr">
        <is>
          <t>品目名１</t>
        </is>
      </c>
      <c r="D937" s="110" t="n"/>
      <c r="E937" s="110" t="n"/>
      <c r="F937" s="17" t="inlineStr">
        <is>
          <t>在庫場所</t>
        </is>
      </c>
      <c r="G937" s="109" t="inlineStr">
        <is>
          <t>出庫数量</t>
        </is>
      </c>
      <c r="H937" s="110" t="n"/>
      <c r="I937" s="109" t="inlineStr">
        <is>
          <t>バッチ必要数</t>
        </is>
      </c>
      <c r="J937" s="110" t="n"/>
    </row>
    <row r="938" ht="14.25" customHeight="1" s="156">
      <c r="A938" s="8" t="n"/>
      <c r="B938" s="18" t="n"/>
      <c r="C938" s="116" t="inlineStr">
        <is>
          <t>品目名２</t>
        </is>
      </c>
      <c r="D938" s="117" t="n"/>
      <c r="E938" s="18" t="n"/>
      <c r="F938" s="116" t="inlineStr">
        <is>
          <t>指図書備考</t>
        </is>
      </c>
      <c r="G938" s="117" t="n"/>
      <c r="H938" s="117" t="n"/>
      <c r="I938" s="117" t="n"/>
      <c r="J938" s="117" t="n"/>
    </row>
    <row r="939">
      <c r="A939" s="9" t="n"/>
      <c r="C939" s="137" t="n"/>
      <c r="D939" s="137" t="n"/>
      <c r="E939" s="137" t="n"/>
    </row>
    <row r="940" ht="14.25" customHeight="1" s="156">
      <c r="A940" s="107" t="inlineStr">
        <is>
          <t>J1JAZZA10818200</t>
        </is>
      </c>
      <c r="C940" s="107" t="inlineStr">
        <is>
          <t>@8FL28130 L1820</t>
        </is>
      </c>
      <c r="F940" s="27" t="inlineStr">
        <is>
          <t>V3J04</t>
        </is>
      </c>
      <c r="G940" s="161" t="n">
        <v>500</v>
      </c>
      <c r="I940" s="161" t="n">
        <v>5</v>
      </c>
    </row>
    <row r="941" ht="24.95" customHeight="1" s="156">
      <c r="A941" s="122" t="inlineStr">
        <is>
          <t>*J1JAZZA10818200*</t>
        </is>
      </c>
      <c r="C941" s="107" t="n"/>
      <c r="F941" s="107" t="n"/>
    </row>
    <row r="942" ht="14.25" customHeight="1" s="156">
      <c r="A942" s="107" t="inlineStr">
        <is>
          <t>J6DW0089</t>
        </is>
      </c>
      <c r="C942" s="107" t="inlineStr">
        <is>
          <t>LED-A888　898X275X166</t>
        </is>
      </c>
      <c r="F942" s="27" t="inlineStr">
        <is>
          <t>V3Z01</t>
        </is>
      </c>
      <c r="G942" s="161" t="n">
        <v>10</v>
      </c>
      <c r="I942" s="161" t="n">
        <v>0.1</v>
      </c>
    </row>
    <row r="943" ht="24.95" customHeight="1" s="156">
      <c r="A943" s="122" t="inlineStr">
        <is>
          <t>*J6DW0089*</t>
        </is>
      </c>
      <c r="C943" s="107" t="inlineStr">
        <is>
          <t>L888×W275×H166</t>
        </is>
      </c>
      <c r="F943" s="107" t="n"/>
    </row>
    <row r="944" ht="14.25" customHeight="1" s="156">
      <c r="A944" s="107" t="inlineStr">
        <is>
          <t>J6XX0044</t>
        </is>
      </c>
      <c r="C944" s="107" t="inlineStr">
        <is>
          <t>(管理外)筋入ｸﾗﾌﾄ紙</t>
        </is>
      </c>
      <c r="F944" s="27" t="n"/>
      <c r="G944" s="161" t="n">
        <v>110</v>
      </c>
      <c r="I944" s="161" t="n">
        <v>1.1</v>
      </c>
    </row>
    <row r="945" ht="24.95" customHeight="1" s="156">
      <c r="A945" s="122" t="inlineStr">
        <is>
          <t>*J6XX0044*</t>
        </is>
      </c>
      <c r="C945" s="107" t="inlineStr">
        <is>
          <t>400＊900</t>
        </is>
      </c>
      <c r="F945" s="107" t="n"/>
    </row>
    <row r="946" ht="14.25" customHeight="1" s="156">
      <c r="A946" s="107" t="inlineStr">
        <is>
          <t>J6XX0051</t>
        </is>
      </c>
      <c r="C946" s="107" t="inlineStr">
        <is>
          <t>(管理外)LLDPE規格ｼｰﾄ0.02×950×100m</t>
        </is>
      </c>
      <c r="F946" s="27" t="n"/>
      <c r="G946" s="161" t="n">
        <v>1</v>
      </c>
      <c r="I946" s="161" t="n">
        <v>0.01</v>
      </c>
    </row>
    <row r="947" ht="24.95" customHeight="1" s="156">
      <c r="A947" s="122" t="inlineStr">
        <is>
          <t>*J6XX0051*</t>
        </is>
      </c>
      <c r="C947" s="107" t="inlineStr">
        <is>
          <t>0.02×950×100m</t>
        </is>
      </c>
      <c r="F947" s="107" t="n"/>
    </row>
    <row r="948" ht="14.25" customHeight="1" s="156">
      <c r="A948" s="107" t="n"/>
      <c r="C948" s="107" t="n"/>
      <c r="F948" s="27" t="n"/>
      <c r="G948" s="161" t="n"/>
      <c r="I948" s="161" t="n"/>
    </row>
    <row r="949" ht="24.95" customHeight="1" s="156" thickBot="1">
      <c r="A949" s="122" t="n"/>
      <c r="C949" s="107" t="n"/>
      <c r="F949" s="107" t="n"/>
    </row>
    <row r="950" ht="18" customFormat="1" customHeight="1" s="141">
      <c r="A950" s="28" t="inlineStr">
        <is>
          <t>温度換算</t>
        </is>
      </c>
      <c r="B950" s="29" t="inlineStr">
        <is>
          <t>L寸</t>
        </is>
      </c>
      <c r="C950" s="147" t="inlineStr">
        <is>
          <t>梱包箱</t>
        </is>
      </c>
      <c r="D950" s="162" t="n"/>
      <c r="E950" s="148" t="inlineStr">
        <is>
          <t>使用数</t>
        </is>
      </c>
      <c r="F950" s="31" t="inlineStr">
        <is>
          <t>作業者</t>
        </is>
      </c>
      <c r="G950" s="32" t="inlineStr">
        <is>
          <t>加工Lot</t>
        </is>
      </c>
      <c r="H950" s="129" t="inlineStr">
        <is>
          <t>箱数</t>
        </is>
      </c>
      <c r="I950" s="128" t="inlineStr">
        <is>
          <t>加工明細</t>
        </is>
      </c>
      <c r="J950" s="162" t="n"/>
    </row>
    <row r="951" ht="18" customFormat="1" customHeight="1" s="137">
      <c r="A951" s="34" t="inlineStr">
        <is>
          <t>〇</t>
        </is>
      </c>
      <c r="B951" s="163" t="n">
        <v>1000</v>
      </c>
      <c r="C951" s="164" t="inlineStr">
        <is>
          <t>LED-A888</t>
        </is>
      </c>
      <c r="D951" s="165" t="n"/>
      <c r="E951" s="166" t="n">
        <v>10</v>
      </c>
      <c r="F951" s="167" t="inlineStr">
        <is>
          <t xml:space="preserve">切断加工：I / </t>
        </is>
      </c>
      <c r="G951" s="168" t="inlineStr">
        <is>
          <t>26.06.11</t>
        </is>
      </c>
      <c r="H951" s="169" t="n">
        <v>10</v>
      </c>
      <c r="I951" s="39" t="inlineStr">
        <is>
          <t>入庫日</t>
        </is>
      </c>
      <c r="J951" s="170" t="inlineStr">
        <is>
          <t>06/11</t>
        </is>
      </c>
    </row>
    <row r="952" ht="18" customFormat="1" customHeight="1" s="141">
      <c r="A952" s="44" t="inlineStr">
        <is>
          <t>+公差</t>
        </is>
      </c>
      <c r="B952" s="45" t="inlineStr">
        <is>
          <t>切断寸法</t>
        </is>
      </c>
      <c r="C952" s="171" t="n"/>
      <c r="D952" s="172" t="n"/>
      <c r="E952" s="119" t="n"/>
      <c r="F952" s="173" t="inlineStr">
        <is>
          <t>外観検査：T / U</t>
        </is>
      </c>
      <c r="G952" s="168" t="n">
        <v>46184</v>
      </c>
      <c r="H952" s="169" t="n">
        <v>1</v>
      </c>
      <c r="I952" s="39" t="inlineStr">
        <is>
          <t>入庫数</t>
        </is>
      </c>
      <c r="J952" s="174" t="n">
        <v>1000</v>
      </c>
      <c r="K952" s="47" t="n"/>
    </row>
    <row r="953" ht="18" customFormat="1" customHeight="1" s="137">
      <c r="A953" s="48" t="n">
        <v>0.5</v>
      </c>
      <c r="B953" s="175" t="inlineStr">
        <is>
          <t>換算表確認</t>
        </is>
      </c>
      <c r="C953" s="155" t="inlineStr">
        <is>
          <t>梱包
方法</t>
        </is>
      </c>
      <c r="D953" s="176" t="inlineStr">
        <is>
          <t>ラベル１枚　長手無　鉢巻１回</t>
        </is>
      </c>
      <c r="E953" s="177" t="n"/>
      <c r="F953" s="178" t="n"/>
      <c r="G953" s="168" t="n"/>
      <c r="H953" s="169" t="n"/>
      <c r="I953" s="39" t="inlineStr">
        <is>
          <t>使用基材数</t>
        </is>
      </c>
      <c r="J953" s="174" t="n">
        <v>506</v>
      </c>
      <c r="K953" s="50" t="n"/>
    </row>
    <row r="954" ht="18" customFormat="1" customHeight="1" s="141">
      <c r="A954" s="51" t="inlineStr">
        <is>
          <t>-公差</t>
        </is>
      </c>
      <c r="B954" s="52" t="inlineStr">
        <is>
          <t>取数</t>
        </is>
      </c>
      <c r="C954" s="179" t="n"/>
      <c r="D954" s="176" t="inlineStr">
        <is>
          <t>ラベル１枚　長手無　鉢巻１回</t>
        </is>
      </c>
      <c r="E954" s="177" t="n"/>
      <c r="F954" s="178" t="n"/>
      <c r="G954" s="168" t="n"/>
      <c r="H954" s="169" t="n"/>
      <c r="I954" s="39" t="inlineStr">
        <is>
          <t>製品不良</t>
        </is>
      </c>
      <c r="J954" s="174" t="n">
        <v>12</v>
      </c>
      <c r="K954" s="47" t="n"/>
    </row>
    <row r="955" ht="18" customFormat="1" customHeight="1" s="137" thickBot="1">
      <c r="A955" s="53" t="n">
        <v>-0.5</v>
      </c>
      <c r="B955" s="54" t="n">
        <v>2</v>
      </c>
      <c r="C955" s="55" t="inlineStr">
        <is>
          <t>備考</t>
        </is>
      </c>
      <c r="D955" s="180" t="inlineStr">
        <is>
          <t>1箱目の梱包数 目視確認　以降、重量測定</t>
        </is>
      </c>
      <c r="E955" s="181" t="n"/>
      <c r="F955" s="182" t="n"/>
      <c r="G955" s="183" t="n"/>
      <c r="H955" s="184" t="n"/>
      <c r="I955" s="39" t="inlineStr">
        <is>
          <t>基材不良</t>
        </is>
      </c>
      <c r="J955" s="185" t="n">
        <v>6</v>
      </c>
      <c r="K955" s="50" t="n"/>
    </row>
    <row r="956" ht="18" customFormat="1" customHeight="1" s="141" thickBot="1">
      <c r="A956" s="58" t="inlineStr">
        <is>
          <t>作業日</t>
        </is>
      </c>
      <c r="B956" s="59" t="inlineStr">
        <is>
          <t>I / T / U</t>
        </is>
      </c>
      <c r="C956" s="60" t="inlineStr">
        <is>
          <t>温度</t>
        </is>
      </c>
      <c r="D956" s="61" t="inlineStr">
        <is>
          <t>換算</t>
        </is>
      </c>
      <c r="E956" s="62" t="inlineStr">
        <is>
          <t>計測値</t>
        </is>
      </c>
      <c r="F956" s="63">
        <f t="array" ref="F956">IF(SUM(--(ISTEXT(B957:B967)*(B957:B967&lt;&gt;"")))=0,"記入不要","使用Lot")</f>
        <v/>
      </c>
      <c r="G956" s="64" t="inlineStr">
        <is>
          <t>加工数</t>
        </is>
      </c>
      <c r="H956" s="65" t="inlineStr">
        <is>
          <t>基材換算</t>
        </is>
      </c>
      <c r="I956" s="66" t="inlineStr">
        <is>
          <t>端材使用</t>
        </is>
      </c>
      <c r="J956" s="186" t="n">
        <v>0</v>
      </c>
      <c r="K956" s="47" t="n"/>
    </row>
    <row r="957" ht="18" customFormat="1" customHeight="1" s="137">
      <c r="A957" s="187" t="n"/>
      <c r="B957" s="188" t="n"/>
      <c r="C957" s="74" t="n"/>
      <c r="D957" s="189" t="n"/>
      <c r="E957" s="190" t="n"/>
      <c r="F957" s="191" t="n">
        <v>0</v>
      </c>
      <c r="G957" s="192" t="n">
        <v>0</v>
      </c>
      <c r="H957" s="193" t="n"/>
      <c r="I957" s="194" t="inlineStr">
        <is>
          <t>不良内訳</t>
        </is>
      </c>
      <c r="J957" s="195" t="n"/>
      <c r="K957" s="80" t="n"/>
    </row>
    <row r="958" ht="18" customFormat="1" customHeight="1" s="141">
      <c r="A958" s="196" t="inlineStr">
        <is>
          <t>06/09</t>
        </is>
      </c>
      <c r="B958" s="72" t="inlineStr">
        <is>
          <t>26 E 23-05</t>
        </is>
      </c>
      <c r="C958" s="197" t="n"/>
      <c r="D958" s="198" t="n"/>
      <c r="E958" s="199" t="n"/>
      <c r="F958" s="200" t="inlineStr">
        <is>
          <t>26E23-05</t>
        </is>
      </c>
      <c r="G958" s="197" t="n">
        <v>414</v>
      </c>
      <c r="H958" s="201" t="n">
        <v>207</v>
      </c>
      <c r="I958" s="86" t="inlineStr">
        <is>
          <t>キズ</t>
        </is>
      </c>
      <c r="J958" s="201" t="n">
        <v>5</v>
      </c>
      <c r="K958" s="80" t="n"/>
    </row>
    <row r="959" ht="18.95" customFormat="1" customHeight="1" s="91">
      <c r="A959" s="202" t="inlineStr">
        <is>
          <t>06/09</t>
        </is>
      </c>
      <c r="B959" s="72" t="inlineStr">
        <is>
          <t>26 E 23-05</t>
        </is>
      </c>
      <c r="C959" s="197" t="n">
        <v>24</v>
      </c>
      <c r="D959" s="198" t="n">
        <v>888.23</v>
      </c>
      <c r="E959" s="199" t="n">
        <v>888.23</v>
      </c>
      <c r="F959" s="200" t="inlineStr">
        <is>
          <t>26E26-07</t>
        </is>
      </c>
      <c r="G959" s="197" t="n">
        <v>400</v>
      </c>
      <c r="H959" s="201" t="n">
        <v>200</v>
      </c>
      <c r="I959" s="86" t="inlineStr">
        <is>
          <t>凹み</t>
        </is>
      </c>
      <c r="J959" s="201" t="n"/>
      <c r="K959" s="89" t="n"/>
      <c r="L959" s="90" t="n"/>
      <c r="M959" s="90" t="n"/>
      <c r="N959" s="90" t="n"/>
    </row>
    <row r="960" ht="18.95" customFormat="1" customHeight="1" s="94">
      <c r="A960" s="202" t="inlineStr">
        <is>
          <t>06/09</t>
        </is>
      </c>
      <c r="B960" s="72" t="inlineStr">
        <is>
          <t>26 E 23-05</t>
        </is>
      </c>
      <c r="C960" s="197" t="n">
        <v>24</v>
      </c>
      <c r="D960" s="198" t="n">
        <v>888.23</v>
      </c>
      <c r="E960" s="199" t="n">
        <v>888.22</v>
      </c>
      <c r="F960" s="200" t="inlineStr">
        <is>
          <t>26E21-03</t>
        </is>
      </c>
      <c r="G960" s="197" t="n">
        <v>14</v>
      </c>
      <c r="H960" s="201" t="n">
        <v>7</v>
      </c>
      <c r="I960" s="86" t="inlineStr">
        <is>
          <t>異物</t>
        </is>
      </c>
      <c r="J960" s="201" t="n">
        <v>1</v>
      </c>
      <c r="K960" s="92" t="n"/>
      <c r="L960" s="93" t="n"/>
      <c r="M960" s="93" t="n"/>
      <c r="N960" s="93" t="n"/>
    </row>
    <row r="961" ht="18.95" customFormat="1" customHeight="1" s="94">
      <c r="A961" s="202" t="inlineStr">
        <is>
          <t>06/09</t>
        </is>
      </c>
      <c r="B961" s="72" t="inlineStr">
        <is>
          <t>26 E 26-07</t>
        </is>
      </c>
      <c r="C961" s="197" t="n">
        <v>26</v>
      </c>
      <c r="D961" s="198" t="n">
        <v>888.23</v>
      </c>
      <c r="E961" s="199" t="n">
        <v>888.34</v>
      </c>
      <c r="F961" s="200" t="n"/>
      <c r="G961" s="197" t="n">
        <v>386</v>
      </c>
      <c r="H961" s="201" t="n">
        <v>193</v>
      </c>
      <c r="I961" s="86" t="inlineStr">
        <is>
          <t>欠け</t>
        </is>
      </c>
      <c r="J961" s="201" t="n"/>
      <c r="K961" s="92" t="n"/>
      <c r="L961" s="93" t="n"/>
      <c r="M961" s="93" t="n"/>
      <c r="N961" s="93" t="n"/>
    </row>
    <row r="962" ht="18.95" customFormat="1" customHeight="1" s="94">
      <c r="A962" s="202" t="inlineStr">
        <is>
          <t>06/09</t>
        </is>
      </c>
      <c r="B962" s="72" t="inlineStr">
        <is>
          <t>26 E 26-07</t>
        </is>
      </c>
      <c r="C962" s="197" t="n">
        <v>26</v>
      </c>
      <c r="D962" s="198" t="n">
        <v>888.35</v>
      </c>
      <c r="E962" s="199" t="n">
        <v>888.4</v>
      </c>
      <c r="F962" s="200" t="n"/>
      <c r="G962" s="197" t="n">
        <v>200</v>
      </c>
      <c r="H962" s="201" t="n">
        <v>100</v>
      </c>
      <c r="I962" s="86" t="inlineStr">
        <is>
          <t>メヤニ</t>
        </is>
      </c>
      <c r="J962" s="201" t="n"/>
      <c r="K962" s="92" t="n"/>
      <c r="L962" s="93" t="n"/>
      <c r="M962" s="93" t="n"/>
      <c r="N962" s="93" t="n"/>
    </row>
    <row r="963" ht="18.95" customFormat="1" customHeight="1" s="94">
      <c r="A963" s="202" t="n">
        <v>46183</v>
      </c>
      <c r="B963" s="72" t="inlineStr">
        <is>
          <t>26E26-07 × 200</t>
        </is>
      </c>
      <c r="C963" s="197" t="n">
        <v>26</v>
      </c>
      <c r="D963" s="198" t="n">
        <v>888.35</v>
      </c>
      <c r="E963" s="199" t="n">
        <v>888.4</v>
      </c>
      <c r="F963" s="200" t="n"/>
      <c r="G963" s="197" t="n">
        <v>0</v>
      </c>
      <c r="H963" s="201" t="n"/>
      <c r="I963" s="86" t="inlineStr">
        <is>
          <t>ベコツキ</t>
        </is>
      </c>
      <c r="J963" s="201" t="n"/>
      <c r="K963" s="92" t="n"/>
      <c r="L963" s="93" t="n"/>
      <c r="M963" s="93" t="n"/>
      <c r="N963" s="93" t="n"/>
    </row>
    <row r="964" ht="18.95" customFormat="1" customHeight="1" s="94">
      <c r="A964" s="202" t="n"/>
      <c r="B964" s="72" t="inlineStr"/>
      <c r="C964" s="197" t="n">
        <v>26</v>
      </c>
      <c r="D964" s="198" t="n">
        <v>888.35</v>
      </c>
      <c r="E964" s="199" t="n">
        <v>888.38</v>
      </c>
      <c r="F964" s="200" t="n"/>
      <c r="G964" s="197" t="n">
        <v>0</v>
      </c>
      <c r="H964" s="201" t="n"/>
      <c r="I964" s="95" t="inlineStr">
        <is>
          <t>汚損</t>
        </is>
      </c>
      <c r="J964" s="201" t="n"/>
      <c r="K964" s="92" t="n"/>
      <c r="L964" s="93" t="n"/>
      <c r="M964" s="93" t="n"/>
      <c r="N964" s="93" t="n"/>
    </row>
    <row r="965" ht="18.95" customFormat="1" customHeight="1" s="94">
      <c r="A965" s="202" t="n"/>
      <c r="B965" s="72" t="inlineStr"/>
      <c r="C965" s="197" t="n"/>
      <c r="D965" s="198" t="n"/>
      <c r="E965" s="199" t="n"/>
      <c r="F965" s="200" t="n"/>
      <c r="G965" s="197" t="n">
        <v>0</v>
      </c>
      <c r="H965" s="201" t="n"/>
      <c r="I965" s="95" t="inlineStr">
        <is>
          <t>形状異常</t>
        </is>
      </c>
      <c r="J965" s="201" t="n"/>
      <c r="K965" s="92" t="n"/>
      <c r="L965" s="93" t="n"/>
      <c r="M965" s="93" t="n"/>
      <c r="N965" s="93" t="n"/>
    </row>
    <row r="966" ht="18.95" customFormat="1" customHeight="1" s="94">
      <c r="A966" s="202" t="n"/>
      <c r="B966" s="72" t="inlineStr"/>
      <c r="C966" s="197" t="n"/>
      <c r="D966" s="198" t="n"/>
      <c r="E966" s="199" t="n"/>
      <c r="F966" s="200" t="n"/>
      <c r="G966" s="197" t="n">
        <v>0</v>
      </c>
      <c r="H966" s="201" t="n"/>
      <c r="I966" s="86" t="inlineStr">
        <is>
          <t>その他</t>
        </is>
      </c>
      <c r="J966" s="203" t="n">
        <v>6</v>
      </c>
      <c r="K966" s="92" t="n"/>
      <c r="L966" s="93" t="n"/>
      <c r="M966" s="93" t="n"/>
      <c r="N966" s="93" t="n"/>
    </row>
    <row r="967" ht="18.95" customFormat="1" customHeight="1" s="94" thickBot="1">
      <c r="A967" s="204" t="inlineStr">
        <is>
          <t>不良補填</t>
        </is>
      </c>
      <c r="B967" s="73" t="inlineStr">
        <is>
          <t>26E21-03 × 6</t>
        </is>
      </c>
      <c r="C967" s="205" t="n"/>
      <c r="D967" s="206" t="n"/>
      <c r="E967" s="207" t="n"/>
      <c r="F967" s="208" t="n"/>
      <c r="G967" s="209" t="n"/>
      <c r="H967" s="210" t="n"/>
      <c r="I967" s="102" t="inlineStr">
        <is>
          <t>合計</t>
        </is>
      </c>
      <c r="J967" s="211" t="n">
        <v>12</v>
      </c>
      <c r="K967" s="92" t="n"/>
      <c r="L967" s="93" t="n"/>
      <c r="M967" s="93" t="n"/>
      <c r="N967" s="93" t="n"/>
    </row>
    <row r="968" ht="6" customHeight="1" s="156" thickBot="1">
      <c r="A968" s="103" t="n"/>
      <c r="B968" s="104" t="n"/>
      <c r="C968" s="104" t="n"/>
      <c r="D968" s="103" t="n"/>
      <c r="E968" s="104" t="n"/>
      <c r="F968" s="104" t="n"/>
      <c r="G968" s="104" t="n"/>
      <c r="H968" s="104" t="n"/>
    </row>
    <row r="969" ht="6" customHeight="1" s="156" thickTop="1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</row>
    <row r="970" ht="14.25" customHeight="1" s="156">
      <c r="A970" s="11" t="n"/>
      <c r="B970" s="125" t="inlineStr">
        <is>
          <t>検査梱包指示書</t>
        </is>
      </c>
      <c r="E970" s="11" t="n"/>
      <c r="F970" s="11" t="n"/>
      <c r="G970" s="11" t="n"/>
      <c r="H970" s="11" t="n"/>
      <c r="I970" s="11" t="n"/>
      <c r="J970" s="11" t="n"/>
    </row>
    <row r="971" ht="14.25" customHeight="1" s="156">
      <c r="A971" s="12" t="n"/>
      <c r="E971" s="12" t="n"/>
      <c r="F971" s="12" t="n"/>
      <c r="G971" s="12" t="n"/>
      <c r="H971" s="12" t="n"/>
      <c r="I971" s="12" t="n"/>
      <c r="J971" s="12" t="n"/>
    </row>
    <row r="972" ht="14.25" customHeight="1" s="156">
      <c r="A972" s="112" t="inlineStr">
        <is>
          <t>品目番号</t>
        </is>
      </c>
      <c r="B972" s="112" t="inlineStr">
        <is>
          <t>J1JAZZB10808880</t>
        </is>
      </c>
      <c r="C972" s="112" t="inlineStr">
        <is>
          <t>Ｌ寸</t>
        </is>
      </c>
      <c r="D972" s="157" t="n">
        <v>888</v>
      </c>
      <c r="E972" s="112" t="inlineStr">
        <is>
          <t>名称</t>
        </is>
      </c>
      <c r="F972" s="123" t="inlineStr">
        <is>
          <t>8FL2813045010</t>
        </is>
      </c>
      <c r="I972" s="24" t="inlineStr">
        <is>
          <t>上長</t>
        </is>
      </c>
      <c r="J972" s="24" t="inlineStr">
        <is>
          <t>係員</t>
        </is>
      </c>
    </row>
    <row r="973" ht="14.25" customHeight="1" s="156">
      <c r="I973" s="105" t="n"/>
      <c r="J973" s="105" t="n"/>
    </row>
    <row r="974" ht="17.45" customHeight="1" s="156">
      <c r="A974" s="111" t="inlineStr">
        <is>
          <t>製造指図№</t>
        </is>
      </c>
      <c r="B974" s="111" t="inlineStr">
        <is>
          <t>000000000014600</t>
        </is>
      </c>
      <c r="E974" s="111" t="inlineStr">
        <is>
          <t>原料名</t>
        </is>
      </c>
      <c r="F974" s="140" t="inlineStr">
        <is>
          <t>(CASE 888MILK-W4)</t>
        </is>
      </c>
      <c r="I974" s="106" t="n"/>
      <c r="J974" s="106" t="n"/>
    </row>
    <row r="975" ht="17.45" customHeight="1" s="156">
      <c r="I975" s="13" t="n"/>
      <c r="J975" s="13" t="n"/>
    </row>
    <row r="976" ht="17.45" customHeight="1" s="156">
      <c r="A976" s="111" t="inlineStr">
        <is>
          <t>発注明細№</t>
        </is>
      </c>
      <c r="B976" s="111" t="inlineStr">
        <is>
          <t>000000000855938</t>
        </is>
      </c>
      <c r="E976" s="2" t="inlineStr">
        <is>
          <t>色　名</t>
        </is>
      </c>
      <c r="F976" s="140" t="inlineStr">
        <is>
          <t>J6VZ034</t>
        </is>
      </c>
      <c r="H976" s="21" t="n"/>
      <c r="I976" s="13" t="n"/>
      <c r="J976" s="13" t="n"/>
    </row>
    <row r="977" ht="17.45" customHeight="1" s="156">
      <c r="E977" s="2" t="inlineStr">
        <is>
          <t>製品Grp</t>
        </is>
      </c>
      <c r="F977" s="21" t="inlineStr">
        <is>
          <t>J1ZB</t>
        </is>
      </c>
      <c r="G977" s="21" t="n"/>
      <c r="H977" s="21" t="n"/>
      <c r="I977" s="14" t="n"/>
      <c r="J977" s="14" t="n"/>
    </row>
    <row r="978" ht="17.45" customHeight="1" s="156">
      <c r="A978" s="2" t="inlineStr">
        <is>
          <t>開始日</t>
        </is>
      </c>
      <c r="B978" s="158" t="n">
        <v>46196</v>
      </c>
      <c r="E978" s="2" t="inlineStr">
        <is>
          <t>入り数</t>
        </is>
      </c>
      <c r="F978" s="159" t="n">
        <v>100</v>
      </c>
      <c r="H978" s="21" t="n"/>
    </row>
    <row r="979" ht="17.45" customHeight="1" s="156">
      <c r="A979" s="2" t="inlineStr">
        <is>
          <t>終了日</t>
        </is>
      </c>
      <c r="B979" s="158" t="n">
        <v>46196</v>
      </c>
      <c r="E979" s="2" t="inlineStr">
        <is>
          <t>梱包数</t>
        </is>
      </c>
      <c r="F979" s="21" t="n">
        <v>9</v>
      </c>
      <c r="G979" s="143" t="inlineStr">
        <is>
          <t>指示数量</t>
        </is>
      </c>
      <c r="H979" s="160" t="n">
        <v>900</v>
      </c>
      <c r="I979" s="133" t="n"/>
      <c r="J979" s="134" t="n"/>
    </row>
    <row r="980" ht="17.45" customHeight="1" s="156">
      <c r="A980" s="19" t="n"/>
      <c r="B980" s="127" t="n"/>
      <c r="C980" s="127" t="n"/>
      <c r="D980" s="127" t="n"/>
      <c r="E980" s="2" t="inlineStr">
        <is>
          <t>金　型</t>
        </is>
      </c>
      <c r="F980" s="21" t="inlineStr">
        <is>
          <t>4350</t>
        </is>
      </c>
      <c r="G980" s="135" t="n"/>
      <c r="H980" s="135" t="n"/>
      <c r="I980" s="117" t="n"/>
      <c r="J980" s="136" t="n"/>
    </row>
    <row r="981" ht="13.5" customHeight="1" s="156">
      <c r="A981" s="127" t="inlineStr">
        <is>
          <t>*J1JAZZB10808880*</t>
        </is>
      </c>
      <c r="D981" s="127" t="n"/>
      <c r="F981" s="3" t="n"/>
      <c r="G981" s="126" t="inlineStr">
        <is>
          <t>格納先</t>
        </is>
      </c>
      <c r="H981" s="118" t="inlineStr">
        <is>
          <t>V3J03</t>
        </is>
      </c>
      <c r="I981" s="138" t="inlineStr">
        <is>
          <t>樹脂第3倉庫 (在庫)</t>
        </is>
      </c>
      <c r="J981" s="139" t="n"/>
    </row>
    <row r="982" ht="13.5" customHeight="1" s="156">
      <c r="D982" s="127" t="n"/>
      <c r="F982" s="3" t="n"/>
      <c r="G982" s="119" t="n"/>
      <c r="H982" s="119" t="n"/>
      <c r="I982" s="117" t="n"/>
      <c r="J982" s="136" t="n"/>
    </row>
    <row r="983" ht="13.5" customHeight="1" s="156">
      <c r="A983" s="108" t="inlineStr">
        <is>
          <t>指図書備考</t>
        </is>
      </c>
    </row>
    <row r="984" ht="63" customHeight="1" s="156">
      <c r="A984" s="130" t="n"/>
      <c r="B984" s="131" t="n"/>
      <c r="C984" s="131" t="n"/>
      <c r="D984" s="131" t="n"/>
      <c r="E984" s="131" t="n"/>
      <c r="F984" s="131" t="n"/>
      <c r="G984" s="131" t="n"/>
      <c r="H984" s="131" t="n"/>
      <c r="I984" s="131" t="n"/>
      <c r="J984" s="131" t="n"/>
    </row>
    <row r="985" ht="18.75" customHeight="1" s="156">
      <c r="A985" s="23" t="inlineStr">
        <is>
          <t>工順</t>
        </is>
      </c>
      <c r="B985" s="16" t="inlineStr">
        <is>
          <t>製造場所</t>
        </is>
      </c>
      <c r="C985" s="120" t="inlineStr">
        <is>
          <t>製造場所名</t>
        </is>
      </c>
      <c r="D985" s="121" t="n"/>
      <c r="E985" s="16" t="inlineStr">
        <is>
          <t>工程</t>
        </is>
      </c>
      <c r="F985" s="120" t="inlineStr">
        <is>
          <t>工程名</t>
        </is>
      </c>
      <c r="G985" s="121" t="n"/>
      <c r="H985" s="121" t="n"/>
      <c r="I985" s="124" t="inlineStr">
        <is>
          <t>作業時間</t>
        </is>
      </c>
      <c r="J985" s="121" t="n"/>
    </row>
    <row r="986" ht="14.25" customHeight="1" s="156">
      <c r="A986" s="141" t="n"/>
      <c r="B986" s="141" t="n"/>
      <c r="C986" s="141" t="n"/>
      <c r="D986" s="141" t="n"/>
      <c r="E986" s="141" t="n"/>
      <c r="F986" s="141" t="n"/>
      <c r="G986" s="141" t="n"/>
      <c r="H986" s="141" t="n"/>
      <c r="I986" s="141" t="n"/>
      <c r="J986" s="141" t="n"/>
    </row>
    <row r="987" ht="16.5" customHeight="1" s="156">
      <c r="A987" s="22" t="n">
        <v>1</v>
      </c>
      <c r="B987" s="107" t="inlineStr">
        <is>
          <t>V3Z01</t>
        </is>
      </c>
      <c r="C987" s="107" t="inlineStr">
        <is>
          <t>黒部工業</t>
        </is>
      </c>
      <c r="E987" s="107" t="inlineStr">
        <is>
          <t>V3P05</t>
        </is>
      </c>
      <c r="F987" s="107" t="inlineStr">
        <is>
          <t>切断</t>
        </is>
      </c>
      <c r="I987" s="115" t="n"/>
    </row>
    <row r="988" ht="16.5" customHeight="1" s="156">
      <c r="A988" s="22" t="n">
        <v>1</v>
      </c>
      <c r="B988" s="26" t="inlineStr">
        <is>
          <t>V3Z01</t>
        </is>
      </c>
      <c r="C988" s="107" t="inlineStr">
        <is>
          <t>黒部工業</t>
        </is>
      </c>
      <c r="E988" s="107" t="inlineStr">
        <is>
          <t>V3P16</t>
        </is>
      </c>
      <c r="F988" s="107" t="inlineStr">
        <is>
          <t>検査・梱包</t>
        </is>
      </c>
      <c r="I988" s="115" t="n"/>
    </row>
    <row r="989" ht="16.5" customHeight="1" s="156">
      <c r="A989" s="22" t="n"/>
      <c r="B989" s="26" t="n"/>
      <c r="C989" s="107" t="n"/>
      <c r="E989" s="107" t="n"/>
      <c r="F989" s="107" t="n"/>
      <c r="I989" s="115" t="n"/>
    </row>
    <row r="990" ht="16.5" customHeight="1" s="156">
      <c r="A990" s="22" t="n"/>
      <c r="B990" s="26" t="n"/>
      <c r="C990" s="107" t="n"/>
      <c r="E990" s="107" t="n"/>
      <c r="F990" s="107" t="n"/>
      <c r="I990" s="115" t="n"/>
    </row>
    <row r="991" ht="16.5" customHeight="1" s="156">
      <c r="A991" s="22" t="n"/>
      <c r="B991" s="26" t="n"/>
      <c r="C991" s="107" t="n"/>
      <c r="E991" s="107" t="n"/>
      <c r="F991" s="107" t="n"/>
      <c r="I991" s="115" t="n"/>
    </row>
    <row r="992" ht="16.5" customHeight="1" s="156">
      <c r="A992" s="22" t="n"/>
      <c r="B992" s="26" t="n"/>
      <c r="C992" s="107" t="n"/>
      <c r="E992" s="107" t="n"/>
      <c r="F992" s="107" t="n"/>
      <c r="I992" s="115" t="n"/>
    </row>
    <row r="993" ht="16.5" customHeight="1" s="156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</row>
    <row r="994" ht="18.75" customHeight="1" s="156">
      <c r="A994" s="109" t="inlineStr">
        <is>
          <t>品目コード</t>
        </is>
      </c>
      <c r="B994" s="110" t="n"/>
      <c r="C994" s="109" t="inlineStr">
        <is>
          <t>品目名１</t>
        </is>
      </c>
      <c r="D994" s="110" t="n"/>
      <c r="E994" s="110" t="n"/>
      <c r="F994" s="17" t="inlineStr">
        <is>
          <t>在庫場所</t>
        </is>
      </c>
      <c r="G994" s="109" t="inlineStr">
        <is>
          <t>出庫数量</t>
        </is>
      </c>
      <c r="H994" s="110" t="n"/>
      <c r="I994" s="109" t="inlineStr">
        <is>
          <t>バッチ必要数</t>
        </is>
      </c>
      <c r="J994" s="110" t="n"/>
    </row>
    <row r="995" ht="14.25" customHeight="1" s="156">
      <c r="A995" s="8" t="n"/>
      <c r="B995" s="18" t="n"/>
      <c r="C995" s="116" t="inlineStr">
        <is>
          <t>品目名２</t>
        </is>
      </c>
      <c r="D995" s="117" t="n"/>
      <c r="E995" s="18" t="n"/>
      <c r="F995" s="116" t="inlineStr">
        <is>
          <t>指図書備考</t>
        </is>
      </c>
      <c r="G995" s="117" t="n"/>
      <c r="H995" s="117" t="n"/>
      <c r="I995" s="117" t="n"/>
      <c r="J995" s="117" t="n"/>
    </row>
    <row r="996">
      <c r="A996" s="9" t="n"/>
      <c r="C996" s="137" t="n"/>
      <c r="D996" s="137" t="n"/>
      <c r="E996" s="137" t="n"/>
    </row>
    <row r="997" ht="14.25" customHeight="1" s="156">
      <c r="A997" s="107" t="inlineStr">
        <is>
          <t>J1JAZZA10818200</t>
        </is>
      </c>
      <c r="C997" s="107" t="inlineStr">
        <is>
          <t>@8FL28130 L1820</t>
        </is>
      </c>
      <c r="F997" s="27" t="inlineStr">
        <is>
          <t>V3J04</t>
        </is>
      </c>
      <c r="G997" s="161" t="n">
        <v>450</v>
      </c>
      <c r="I997" s="161" t="n">
        <v>4.5</v>
      </c>
    </row>
    <row r="998" ht="24.95" customHeight="1" s="156">
      <c r="A998" s="122" t="inlineStr">
        <is>
          <t>*J1JAZZA10818200*</t>
        </is>
      </c>
      <c r="C998" s="107" t="n"/>
      <c r="F998" s="107" t="n"/>
    </row>
    <row r="999" ht="14.25" customHeight="1" s="156">
      <c r="A999" s="107" t="inlineStr">
        <is>
          <t>J6DW0089</t>
        </is>
      </c>
      <c r="C999" s="107" t="inlineStr">
        <is>
          <t>LED-A888　898X275X166</t>
        </is>
      </c>
      <c r="F999" s="27" t="inlineStr">
        <is>
          <t>V3Z01</t>
        </is>
      </c>
      <c r="G999" s="161" t="n">
        <v>9</v>
      </c>
      <c r="I999" s="161" t="n">
        <v>0.09</v>
      </c>
    </row>
    <row r="1000" ht="24.95" customHeight="1" s="156">
      <c r="A1000" s="122" t="inlineStr">
        <is>
          <t>*J6DW0089*</t>
        </is>
      </c>
      <c r="C1000" s="107" t="inlineStr">
        <is>
          <t>L888×W275×H166</t>
        </is>
      </c>
      <c r="F1000" s="107" t="n"/>
    </row>
    <row r="1001" ht="14.25" customHeight="1" s="156">
      <c r="A1001" s="107" t="inlineStr">
        <is>
          <t>J6XX0044</t>
        </is>
      </c>
      <c r="C1001" s="107" t="inlineStr">
        <is>
          <t>(管理外)筋入ｸﾗﾌﾄ紙</t>
        </is>
      </c>
      <c r="F1001" s="27" t="n"/>
      <c r="G1001" s="161" t="n">
        <v>99</v>
      </c>
      <c r="I1001" s="161" t="n">
        <v>0.99</v>
      </c>
    </row>
    <row r="1002" ht="24.95" customHeight="1" s="156">
      <c r="A1002" s="122" t="inlineStr">
        <is>
          <t>*J6XX0044*</t>
        </is>
      </c>
      <c r="C1002" s="107" t="inlineStr">
        <is>
          <t>400＊900</t>
        </is>
      </c>
      <c r="F1002" s="107" t="n"/>
    </row>
    <row r="1003" ht="14.25" customHeight="1" s="156">
      <c r="A1003" s="107" t="inlineStr">
        <is>
          <t>J6XX0051</t>
        </is>
      </c>
      <c r="C1003" s="107" t="inlineStr">
        <is>
          <t>(管理外)LLDPE規格ｼｰﾄ0.02×950×100m</t>
        </is>
      </c>
      <c r="F1003" s="27" t="n"/>
      <c r="G1003" s="161" t="n">
        <v>0.9</v>
      </c>
      <c r="I1003" s="161" t="n">
        <v>0.008999999999999999</v>
      </c>
    </row>
    <row r="1004" ht="24.95" customHeight="1" s="156">
      <c r="A1004" s="122" t="inlineStr">
        <is>
          <t>*J6XX0051*</t>
        </is>
      </c>
      <c r="C1004" s="107" t="inlineStr">
        <is>
          <t>0.02×950×100m</t>
        </is>
      </c>
      <c r="F1004" s="107" t="n"/>
    </row>
    <row r="1005" ht="14.25" customHeight="1" s="156">
      <c r="A1005" s="107" t="n"/>
      <c r="C1005" s="107" t="n"/>
      <c r="F1005" s="27" t="n"/>
      <c r="G1005" s="161" t="n"/>
      <c r="I1005" s="161" t="n"/>
    </row>
    <row r="1006" ht="24.95" customHeight="1" s="156" thickBot="1">
      <c r="A1006" s="122" t="n"/>
      <c r="C1006" s="107" t="n"/>
      <c r="F1006" s="107" t="n"/>
    </row>
    <row r="1007" ht="18" customFormat="1" customHeight="1" s="141">
      <c r="A1007" s="28" t="inlineStr">
        <is>
          <t>温度換算</t>
        </is>
      </c>
      <c r="B1007" s="29" t="inlineStr">
        <is>
          <t>L寸</t>
        </is>
      </c>
      <c r="C1007" s="147" t="inlineStr">
        <is>
          <t>梱包箱</t>
        </is>
      </c>
      <c r="D1007" s="162" t="n"/>
      <c r="E1007" s="148" t="inlineStr">
        <is>
          <t>使用数</t>
        </is>
      </c>
      <c r="F1007" s="31" t="inlineStr">
        <is>
          <t>作業者</t>
        </is>
      </c>
      <c r="G1007" s="32" t="inlineStr">
        <is>
          <t>加工Lot</t>
        </is>
      </c>
      <c r="H1007" s="129" t="inlineStr">
        <is>
          <t>箱数</t>
        </is>
      </c>
      <c r="I1007" s="128" t="inlineStr">
        <is>
          <t>加工明細</t>
        </is>
      </c>
      <c r="J1007" s="162" t="n"/>
    </row>
    <row r="1008" ht="18" customFormat="1" customHeight="1" s="137">
      <c r="A1008" s="34">
        <f>_xlfn.XLOOKUP(B972,[3]VFDB2!$A:$A,[3]VFDB2!$J:$J)</f>
        <v/>
      </c>
      <c r="B1008" s="163">
        <f>D972</f>
        <v/>
      </c>
      <c r="C1008" s="164">
        <f>_xlfn.XLOOKUP(B972,[3]VFDB2!$A:$A,[3]VFDB2!$Z:$Z)</f>
        <v/>
      </c>
      <c r="D1008" s="165" t="n"/>
      <c r="E1008" s="166">
        <f t="array" ref="E1008">IFERROR(INDEX(_xlfn._xlws.FILTER([4]加工記録２!C:C,[4]加工記録２!U:U=B974),9),"")</f>
        <v/>
      </c>
      <c r="F1008" s="167">
        <f t="array" ref="F1008">IFERROR("切断加工：" &amp;_xlfn.TEXTJOIN(" / ",TRUE,INDEX(_xlfn._xlws.FILTER([4]加工記録２!M:M,[4]加工記録２!U:U=B974),9),INDEX(_xlfn._xlws.FILTER([4]加工記録２!N:N,[4]加工記録２!U:U=B974),9)),"")</f>
        <v/>
      </c>
      <c r="G1008" s="168">
        <f t="array" ref="G1008:H1012">IFERROR(IF(_xlfn.TAKE(_xlfn._xlws.FILTER([4]加工記録２!$M:$N,[4]加工記録２!$U:$U=B974),5)=0,"",_xlfn.TAKE(_xlfn._xlws.FILTER([4]加工記録２!$M:$N,[4]加工記録２!$U:$U=B974),5)),"")</f>
        <v/>
      </c>
      <c r="H1008" s="169" t="str"/>
      <c r="I1008" s="39" t="inlineStr">
        <is>
          <t>入庫日</t>
        </is>
      </c>
      <c r="J1008" s="170">
        <f t="array" ref="J1008:J1013">IFERROR(INDEX(_xlfn._xlws.FILTER([4]加工記録２!P:P, [4]加工記録２!U:U=B974),_xlfn.SEQUENCE(6)),"")</f>
        <v/>
      </c>
    </row>
    <row r="1009" ht="18" customFormat="1" customHeight="1" s="141">
      <c r="A1009" s="44" t="inlineStr">
        <is>
          <t>+公差</t>
        </is>
      </c>
      <c r="B1009" s="45" t="inlineStr">
        <is>
          <t>切断寸法</t>
        </is>
      </c>
      <c r="C1009" s="171" t="n"/>
      <c r="D1009" s="172" t="n"/>
      <c r="E1009" s="119" t="n"/>
      <c r="F1009" s="173">
        <f t="array" ref="F1009">IFERROR("外観検査：" &amp;_xlfn.TEXTJOIN(" / ",TRUE,INDEX(_xlfn._xlws.FILTER([4]加工記録２!M:M,[4]加工記録２!U:U=B974),10),INDEX(_xlfn._xlws.FILTER([4]加工記録２!N:N,[4]加工記録２!U:U=B974),10)),"")</f>
        <v/>
      </c>
      <c r="G1009" s="168" t="str"/>
      <c r="H1009" s="169" t="str"/>
      <c r="I1009" s="39" t="inlineStr">
        <is>
          <t>入庫数</t>
        </is>
      </c>
      <c r="J1009" s="174" t="n">
        <v>0</v>
      </c>
      <c r="K1009" s="47" t="n"/>
    </row>
    <row r="1010" ht="18" customFormat="1" customHeight="1" s="137">
      <c r="A1010" s="48">
        <f>_xlfn.XLOOKUP(B972,[3]VFDB2!$A:$A,[3]VFDB2!$L:$L)</f>
        <v/>
      </c>
      <c r="B1010" s="175">
        <f>_xlfn.XLOOKUP(B972,[3]VFDB2!$A:$A,[3]VFDB2!$AC:$AC)</f>
        <v/>
      </c>
      <c r="C1010" s="155" t="inlineStr">
        <is>
          <t>梱包
方法</t>
        </is>
      </c>
      <c r="D1010" s="176">
        <f>_xlfn.XLOOKUP(B972,[3]VFDB2!$A:$A,[3]VFDB2!$W:$W)</f>
        <v/>
      </c>
      <c r="E1010" s="177" t="n"/>
      <c r="F1010" s="178" t="n"/>
      <c r="G1010" s="168" t="str"/>
      <c r="H1010" s="169" t="str"/>
      <c r="I1010" s="39" t="inlineStr">
        <is>
          <t>使用基材数</t>
        </is>
      </c>
      <c r="J1010" s="174" t="n">
        <v>0</v>
      </c>
      <c r="K1010" s="50" t="n"/>
    </row>
    <row r="1011" ht="18" customFormat="1" customHeight="1" s="141">
      <c r="A1011" s="51" t="inlineStr">
        <is>
          <t>-公差</t>
        </is>
      </c>
      <c r="B1011" s="52" t="inlineStr">
        <is>
          <t>取数</t>
        </is>
      </c>
      <c r="C1011" s="179" t="n"/>
      <c r="D1011" s="176">
        <f>_xlfn.XLOOKUP(B972,[3]VFDB2!$A:$A,[3]VFDB2!$R:$R)</f>
        <v/>
      </c>
      <c r="E1011" s="177" t="n"/>
      <c r="F1011" s="178" t="n"/>
      <c r="G1011" s="168" t="str"/>
      <c r="H1011" s="169" t="str"/>
      <c r="I1011" s="39" t="inlineStr">
        <is>
          <t>製品不良</t>
        </is>
      </c>
      <c r="J1011" s="174" t="n">
        <v>0</v>
      </c>
      <c r="K1011" s="47" t="n"/>
    </row>
    <row r="1012" ht="18" customFormat="1" customHeight="1" s="137" thickBot="1">
      <c r="A1012" s="53">
        <f>_xlfn.XLOOKUP(B972,[3]VFDB2!$A:$A,[3]VFDB2!$K:$K)</f>
        <v/>
      </c>
      <c r="B1012" s="54">
        <f>_xlfn.XLOOKUP(B972,[3]VFDB2!$A:$A,[3]VFDB2!$P:$P)</f>
        <v/>
      </c>
      <c r="C1012" s="55" t="inlineStr">
        <is>
          <t>備考</t>
        </is>
      </c>
      <c r="D1012" s="180">
        <f>_xlfn.XLOOKUP(B972,[3]VFDB2!$A:$A,[3]VFDB2!$V:$V)</f>
        <v/>
      </c>
      <c r="E1012" s="181" t="n"/>
      <c r="F1012" s="182" t="n"/>
      <c r="G1012" s="183" t="str"/>
      <c r="H1012" s="184" t="str"/>
      <c r="I1012" s="39" t="inlineStr">
        <is>
          <t>基材不良</t>
        </is>
      </c>
      <c r="J1012" s="185" t="n">
        <v>0</v>
      </c>
      <c r="K1012" s="50" t="n"/>
    </row>
    <row r="1013" ht="18" customFormat="1" customHeight="1" s="141" thickBot="1">
      <c r="A1013" s="58" t="inlineStr">
        <is>
          <t>作業日</t>
        </is>
      </c>
      <c r="B1013" s="59">
        <f t="array" ref="B1013">IF(SUM(--(ISTEXT(B1014:B1024)*(B1014:B1024&lt;&gt;"")))=0,"計測Lot","計測Lot・加工数")</f>
        <v/>
      </c>
      <c r="C1013" s="60" t="inlineStr">
        <is>
          <t>温度</t>
        </is>
      </c>
      <c r="D1013" s="61" t="inlineStr">
        <is>
          <t>換算</t>
        </is>
      </c>
      <c r="E1013" s="62" t="inlineStr">
        <is>
          <t>計測値</t>
        </is>
      </c>
      <c r="F1013" s="63">
        <f t="array" ref="F1013">IF(SUM(--(ISTEXT(B1014:B1024)*(B1014:B1024&lt;&gt;"")))=0,"記入不要","使用Lot")</f>
        <v/>
      </c>
      <c r="G1013" s="64" t="inlineStr">
        <is>
          <t>加工数</t>
        </is>
      </c>
      <c r="H1013" s="65" t="inlineStr">
        <is>
          <t>基材換算</t>
        </is>
      </c>
      <c r="I1013" s="66" t="inlineStr">
        <is>
          <t>端材使用</t>
        </is>
      </c>
      <c r="J1013" s="186" t="n">
        <v>0</v>
      </c>
      <c r="K1013" s="47" t="n"/>
    </row>
    <row r="1014" ht="18" customFormat="1" customHeight="1" s="137">
      <c r="A1014" s="187">
        <f t="array" ref="A1014:A1024">IFERROR(INDEX(_xlfn._xlws.FILTER([4]加工記録２!$D:$D,[4]加工記録２!$U:$U=B974),_xlfn.SEQUENCE(11),0),"")</f>
        <v/>
      </c>
      <c r="B1014" s="188">
        <f t="array" ref="B1014:B1024">IFERROR(IF(INDEX(_xlfn._xlws.FILTER([4]加工記録２!$E:$E,[4]加工記録２!$U:$U=B974),_xlfn.SEQUENCE(11))="","",INDEX(_xlfn._xlws.FILTER([4]加工記録２!$E:$E,[4]加工記録２!$U:$U=B974),_xlfn.SEQUENCE(11)) &amp; IF(INDEX(_xlfn._xlws.FILTER([4]加工記録２!$F:$F,[4]加工記録２!$U:$U=B974),_xlfn.SEQUENCE(11))="","", " × " &amp; INDEX(_xlfn._xlws.FILTER([4]加工記録２!$F:$F,[4]加工記録２!$U:$U=B974),_xlfn.SEQUENCE(11)))),"")</f>
        <v/>
      </c>
      <c r="C1014" s="74" t="n"/>
      <c r="D1014" s="189" t="n"/>
      <c r="E1014" s="190" t="n"/>
      <c r="F1014" s="191" t="n"/>
      <c r="G1014" s="192" t="n"/>
      <c r="H1014" s="193" t="n"/>
      <c r="I1014" s="194" t="inlineStr">
        <is>
          <t>不良内訳</t>
        </is>
      </c>
      <c r="J1014" s="195" t="n"/>
      <c r="K1014" s="80" t="n"/>
    </row>
    <row r="1015" ht="18" customFormat="1" customHeight="1" s="141">
      <c r="A1015" s="196" t="n">
        <v>0</v>
      </c>
      <c r="B1015" s="72" t="str"/>
      <c r="C1015" s="197" t="n"/>
      <c r="D1015" s="198" t="n"/>
      <c r="E1015" s="199" t="n"/>
      <c r="F1015" s="200" t="n"/>
      <c r="G1015" s="197" t="n"/>
      <c r="H1015" s="201" t="n"/>
      <c r="I1015" s="86" t="inlineStr">
        <is>
          <t>キズ</t>
        </is>
      </c>
      <c r="J1015" s="201">
        <f t="array" ref="J1015:J1024">IFERROR(INDEX(_xlfn._xlws.FILTER([4]加工記録２!R:R, [4]加工記録２!U:U=B974),_xlfn.SEQUENCE(10)),"")</f>
        <v/>
      </c>
      <c r="K1015" s="80" t="n"/>
    </row>
    <row r="1016" ht="18.95" customFormat="1" customHeight="1" s="91">
      <c r="A1016" s="202" t="n">
        <v>0</v>
      </c>
      <c r="B1016" s="72" t="str"/>
      <c r="C1016" s="197" t="n"/>
      <c r="D1016" s="198" t="n"/>
      <c r="E1016" s="199" t="n"/>
      <c r="F1016" s="200" t="n"/>
      <c r="G1016" s="197" t="n"/>
      <c r="H1016" s="201" t="n"/>
      <c r="I1016" s="86" t="inlineStr">
        <is>
          <t>凹み</t>
        </is>
      </c>
      <c r="J1016" s="201" t="n">
        <v>0</v>
      </c>
      <c r="K1016" s="89" t="n"/>
      <c r="L1016" s="90" t="n"/>
      <c r="M1016" s="90" t="n"/>
      <c r="N1016" s="90" t="n"/>
    </row>
    <row r="1017" ht="18.95" customFormat="1" customHeight="1" s="94">
      <c r="A1017" s="202" t="n">
        <v>0</v>
      </c>
      <c r="B1017" s="72" t="str"/>
      <c r="C1017" s="197" t="n"/>
      <c r="D1017" s="198" t="n"/>
      <c r="E1017" s="199" t="n"/>
      <c r="F1017" s="200" t="n"/>
      <c r="G1017" s="197" t="n"/>
      <c r="H1017" s="201" t="n"/>
      <c r="I1017" s="86" t="inlineStr">
        <is>
          <t>異物</t>
        </is>
      </c>
      <c r="J1017" s="201" t="n">
        <v>0</v>
      </c>
      <c r="K1017" s="92" t="n"/>
      <c r="L1017" s="93" t="n"/>
      <c r="M1017" s="93" t="n"/>
      <c r="N1017" s="93" t="n"/>
    </row>
    <row r="1018" ht="18.95" customFormat="1" customHeight="1" s="94">
      <c r="A1018" s="202" t="n">
        <v>0</v>
      </c>
      <c r="B1018" s="72" t="str"/>
      <c r="C1018" s="197" t="n"/>
      <c r="D1018" s="198" t="n"/>
      <c r="E1018" s="199" t="n"/>
      <c r="F1018" s="200" t="n"/>
      <c r="G1018" s="197" t="n"/>
      <c r="H1018" s="201" t="n"/>
      <c r="I1018" s="86" t="inlineStr">
        <is>
          <t>欠け</t>
        </is>
      </c>
      <c r="J1018" s="201" t="n">
        <v>0</v>
      </c>
      <c r="K1018" s="92" t="n"/>
      <c r="L1018" s="93" t="n"/>
      <c r="M1018" s="93" t="n"/>
      <c r="N1018" s="93" t="n"/>
    </row>
    <row r="1019" ht="18.95" customFormat="1" customHeight="1" s="94">
      <c r="A1019" s="202" t="n">
        <v>0</v>
      </c>
      <c r="B1019" s="72" t="str"/>
      <c r="C1019" s="197" t="n"/>
      <c r="D1019" s="198" t="n"/>
      <c r="E1019" s="199" t="n"/>
      <c r="F1019" s="200" t="n"/>
      <c r="G1019" s="197" t="n"/>
      <c r="H1019" s="201" t="n"/>
      <c r="I1019" s="86" t="inlineStr">
        <is>
          <t>メヤニ</t>
        </is>
      </c>
      <c r="J1019" s="201" t="n">
        <v>0</v>
      </c>
      <c r="K1019" s="92" t="n"/>
      <c r="L1019" s="93" t="n"/>
      <c r="M1019" s="93" t="n"/>
      <c r="N1019" s="93" t="n"/>
    </row>
    <row r="1020" ht="18.95" customFormat="1" customHeight="1" s="94">
      <c r="A1020" s="202" t="n">
        <v>0</v>
      </c>
      <c r="B1020" s="72" t="str"/>
      <c r="C1020" s="197" t="n"/>
      <c r="D1020" s="198" t="n"/>
      <c r="E1020" s="199" t="n"/>
      <c r="F1020" s="200" t="n"/>
      <c r="G1020" s="197" t="n"/>
      <c r="H1020" s="201" t="n"/>
      <c r="I1020" s="86" t="inlineStr">
        <is>
          <t>ベコツキ</t>
        </is>
      </c>
      <c r="J1020" s="201" t="n">
        <v>0</v>
      </c>
      <c r="K1020" s="92" t="n"/>
      <c r="L1020" s="93" t="n"/>
      <c r="M1020" s="93" t="n"/>
      <c r="N1020" s="93" t="n"/>
    </row>
    <row r="1021" ht="18.95" customFormat="1" customHeight="1" s="94">
      <c r="A1021" s="202" t="n">
        <v>0</v>
      </c>
      <c r="B1021" s="72" t="str"/>
      <c r="C1021" s="197" t="n"/>
      <c r="D1021" s="198" t="n"/>
      <c r="E1021" s="199" t="n"/>
      <c r="F1021" s="200" t="n"/>
      <c r="G1021" s="197" t="n"/>
      <c r="H1021" s="201" t="n"/>
      <c r="I1021" s="95" t="inlineStr">
        <is>
          <t>汚損</t>
        </is>
      </c>
      <c r="J1021" s="201" t="n">
        <v>0</v>
      </c>
      <c r="K1021" s="92" t="n"/>
      <c r="L1021" s="93" t="n"/>
      <c r="M1021" s="93" t="n"/>
      <c r="N1021" s="93" t="n"/>
    </row>
    <row r="1022" ht="18.95" customFormat="1" customHeight="1" s="94">
      <c r="A1022" s="202" t="n">
        <v>0</v>
      </c>
      <c r="B1022" s="72" t="str"/>
      <c r="C1022" s="197" t="n"/>
      <c r="D1022" s="198" t="n"/>
      <c r="E1022" s="199" t="n"/>
      <c r="F1022" s="200" t="n"/>
      <c r="G1022" s="197" t="n"/>
      <c r="H1022" s="201" t="n"/>
      <c r="I1022" s="95" t="inlineStr">
        <is>
          <t>形状異常</t>
        </is>
      </c>
      <c r="J1022" s="201" t="n">
        <v>0</v>
      </c>
      <c r="K1022" s="92" t="n"/>
      <c r="L1022" s="93" t="n"/>
      <c r="M1022" s="93" t="n"/>
      <c r="N1022" s="93" t="n"/>
    </row>
    <row r="1023" ht="18.95" customFormat="1" customHeight="1" s="94">
      <c r="A1023" s="202" t="n">
        <v>0</v>
      </c>
      <c r="B1023" s="72" t="str"/>
      <c r="C1023" s="197" t="n"/>
      <c r="D1023" s="198" t="n"/>
      <c r="E1023" s="199" t="n"/>
      <c r="F1023" s="200" t="n"/>
      <c r="G1023" s="197" t="n"/>
      <c r="H1023" s="201" t="n"/>
      <c r="I1023" s="86" t="inlineStr">
        <is>
          <t>その他</t>
        </is>
      </c>
      <c r="J1023" s="203" t="n">
        <v>0</v>
      </c>
      <c r="K1023" s="92" t="n"/>
      <c r="L1023" s="93" t="n"/>
      <c r="M1023" s="93" t="n"/>
      <c r="N1023" s="93" t="n"/>
    </row>
    <row r="1024" ht="18.95" customFormat="1" customHeight="1" s="94" thickBot="1">
      <c r="A1024" s="204" t="n">
        <v>0</v>
      </c>
      <c r="B1024" s="73" t="str"/>
      <c r="C1024" s="205" t="n"/>
      <c r="D1024" s="206" t="n"/>
      <c r="E1024" s="207" t="n"/>
      <c r="F1024" s="208" t="n"/>
      <c r="G1024" s="209" t="n"/>
      <c r="H1024" s="210" t="n"/>
      <c r="I1024" s="102" t="inlineStr">
        <is>
          <t>合計</t>
        </is>
      </c>
      <c r="J1024" s="211" t="n">
        <v>0</v>
      </c>
      <c r="K1024" s="92" t="n"/>
      <c r="L1024" s="93" t="n"/>
      <c r="M1024" s="93" t="n"/>
      <c r="N1024" s="93" t="n"/>
    </row>
    <row r="1025" ht="6" customHeight="1" s="156" thickBot="1">
      <c r="A1025" s="103" t="n"/>
      <c r="B1025" s="104" t="n"/>
      <c r="C1025" s="104" t="n"/>
      <c r="D1025" s="103" t="n"/>
      <c r="E1025" s="104" t="n"/>
      <c r="F1025" s="104" t="n"/>
      <c r="G1025" s="104" t="n"/>
      <c r="H1025" s="104" t="n"/>
    </row>
    <row r="1026" ht="6" customHeight="1" s="156" thickTop="1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10" t="n"/>
      <c r="J1026" s="10" t="n"/>
    </row>
    <row r="1027" ht="14.25" customHeight="1" s="156">
      <c r="A1027" s="11" t="n"/>
      <c r="B1027" s="125" t="inlineStr">
        <is>
          <t>検査梱包指示書</t>
        </is>
      </c>
      <c r="E1027" s="11" t="n"/>
      <c r="F1027" s="11" t="n"/>
      <c r="G1027" s="11" t="n"/>
      <c r="H1027" s="11" t="n"/>
      <c r="I1027" s="11" t="n"/>
      <c r="J1027" s="11" t="n"/>
    </row>
    <row r="1028" ht="14.25" customHeight="1" s="156">
      <c r="A1028" s="12" t="n"/>
      <c r="E1028" s="12" t="n"/>
      <c r="F1028" s="12" t="n"/>
      <c r="G1028" s="12" t="n"/>
      <c r="H1028" s="12" t="n"/>
      <c r="I1028" s="12" t="n"/>
      <c r="J1028" s="12" t="n"/>
    </row>
    <row r="1029" ht="14.25" customHeight="1" s="156">
      <c r="A1029" s="112" t="inlineStr">
        <is>
          <t>品目番号</t>
        </is>
      </c>
      <c r="B1029" s="112" t="inlineStr">
        <is>
          <t>J1JAZZB10808880</t>
        </is>
      </c>
      <c r="C1029" s="112" t="inlineStr">
        <is>
          <t>Ｌ寸</t>
        </is>
      </c>
      <c r="D1029" s="157" t="n">
        <v>888</v>
      </c>
      <c r="E1029" s="112" t="inlineStr">
        <is>
          <t>名称</t>
        </is>
      </c>
      <c r="F1029" s="123" t="inlineStr">
        <is>
          <t>8FL2813045010</t>
        </is>
      </c>
      <c r="I1029" s="24" t="inlineStr">
        <is>
          <t>上長</t>
        </is>
      </c>
      <c r="J1029" s="24" t="inlineStr">
        <is>
          <t>係員</t>
        </is>
      </c>
    </row>
    <row r="1030" ht="14.25" customHeight="1" s="156">
      <c r="I1030" s="105" t="n"/>
      <c r="J1030" s="105" t="n"/>
    </row>
    <row r="1031" ht="17.45" customHeight="1" s="156">
      <c r="A1031" s="111" t="inlineStr">
        <is>
          <t>製造指図№</t>
        </is>
      </c>
      <c r="B1031" s="111" t="inlineStr">
        <is>
          <t>000000000014601</t>
        </is>
      </c>
      <c r="E1031" s="111" t="inlineStr">
        <is>
          <t>原料名</t>
        </is>
      </c>
      <c r="F1031" s="140" t="inlineStr">
        <is>
          <t>(CASE 888MILK-W4)</t>
        </is>
      </c>
      <c r="I1031" s="106" t="n"/>
      <c r="J1031" s="106" t="n"/>
    </row>
    <row r="1032" ht="17.45" customHeight="1" s="156">
      <c r="I1032" s="13" t="n"/>
      <c r="J1032" s="13" t="n"/>
    </row>
    <row r="1033" ht="17.45" customHeight="1" s="156">
      <c r="A1033" s="111" t="inlineStr">
        <is>
          <t>発注明細№</t>
        </is>
      </c>
      <c r="B1033" s="111" t="inlineStr">
        <is>
          <t>000000000855939</t>
        </is>
      </c>
      <c r="E1033" s="2" t="inlineStr">
        <is>
          <t>色　名</t>
        </is>
      </c>
      <c r="F1033" s="140" t="inlineStr">
        <is>
          <t>J6VZ034</t>
        </is>
      </c>
      <c r="H1033" s="21" t="n"/>
      <c r="I1033" s="13" t="n"/>
      <c r="J1033" s="13" t="n"/>
    </row>
    <row r="1034" ht="17.45" customHeight="1" s="156">
      <c r="E1034" s="2" t="inlineStr">
        <is>
          <t>製品Grp</t>
        </is>
      </c>
      <c r="F1034" s="21" t="inlineStr">
        <is>
          <t>J1ZB</t>
        </is>
      </c>
      <c r="G1034" s="21" t="n"/>
      <c r="H1034" s="21" t="n"/>
      <c r="I1034" s="14" t="n"/>
      <c r="J1034" s="14" t="n"/>
    </row>
    <row r="1035" ht="17.45" customHeight="1" s="156">
      <c r="A1035" s="2" t="inlineStr">
        <is>
          <t>開始日</t>
        </is>
      </c>
      <c r="B1035" s="158" t="n">
        <v>46196</v>
      </c>
      <c r="E1035" s="2" t="inlineStr">
        <is>
          <t>入り数</t>
        </is>
      </c>
      <c r="F1035" s="159" t="n">
        <v>100</v>
      </c>
      <c r="H1035" s="21" t="n"/>
    </row>
    <row r="1036" ht="17.45" customHeight="1" s="156">
      <c r="A1036" s="2" t="inlineStr">
        <is>
          <t>終了日</t>
        </is>
      </c>
      <c r="B1036" s="158" t="n">
        <v>46196</v>
      </c>
      <c r="E1036" s="2" t="inlineStr">
        <is>
          <t>梱包数</t>
        </is>
      </c>
      <c r="F1036" s="21" t="n">
        <v>20</v>
      </c>
      <c r="G1036" s="143" t="inlineStr">
        <is>
          <t>指示数量</t>
        </is>
      </c>
      <c r="H1036" s="160" t="n">
        <v>2000</v>
      </c>
      <c r="I1036" s="133" t="n"/>
      <c r="J1036" s="134" t="n"/>
    </row>
    <row r="1037" ht="17.45" customHeight="1" s="156">
      <c r="A1037" s="19" t="n"/>
      <c r="B1037" s="127" t="n"/>
      <c r="C1037" s="127" t="n"/>
      <c r="D1037" s="127" t="n"/>
      <c r="E1037" s="2" t="inlineStr">
        <is>
          <t>金　型</t>
        </is>
      </c>
      <c r="F1037" s="21" t="inlineStr">
        <is>
          <t>4350</t>
        </is>
      </c>
      <c r="G1037" s="135" t="n"/>
      <c r="H1037" s="135" t="n"/>
      <c r="I1037" s="117" t="n"/>
      <c r="J1037" s="136" t="n"/>
    </row>
    <row r="1038" ht="13.5" customHeight="1" s="156">
      <c r="A1038" s="127" t="inlineStr">
        <is>
          <t>*J1JAZZB10808880*</t>
        </is>
      </c>
      <c r="D1038" s="127" t="n"/>
      <c r="F1038" s="3" t="n"/>
      <c r="G1038" s="126" t="inlineStr">
        <is>
          <t>格納先</t>
        </is>
      </c>
      <c r="H1038" s="118" t="inlineStr">
        <is>
          <t>V3J03</t>
        </is>
      </c>
      <c r="I1038" s="138" t="inlineStr">
        <is>
          <t>樹脂第3倉庫 (在庫)</t>
        </is>
      </c>
      <c r="J1038" s="139" t="n"/>
    </row>
    <row r="1039" ht="13.5" customHeight="1" s="156">
      <c r="D1039" s="127" t="n"/>
      <c r="F1039" s="3" t="n"/>
      <c r="G1039" s="119" t="n"/>
      <c r="H1039" s="119" t="n"/>
      <c r="I1039" s="117" t="n"/>
      <c r="J1039" s="136" t="n"/>
    </row>
    <row r="1040" ht="13.5" customHeight="1" s="156">
      <c r="A1040" s="108" t="inlineStr">
        <is>
          <t>指図書備考</t>
        </is>
      </c>
    </row>
    <row r="1041" ht="63" customHeight="1" s="156">
      <c r="A1041" s="130" t="n"/>
      <c r="B1041" s="131" t="n"/>
      <c r="C1041" s="131" t="n"/>
      <c r="D1041" s="131" t="n"/>
      <c r="E1041" s="131" t="n"/>
      <c r="F1041" s="131" t="n"/>
      <c r="G1041" s="131" t="n"/>
      <c r="H1041" s="131" t="n"/>
      <c r="I1041" s="131" t="n"/>
      <c r="J1041" s="131" t="n"/>
    </row>
    <row r="1042" ht="18.75" customHeight="1" s="156">
      <c r="A1042" s="23" t="inlineStr">
        <is>
          <t>工順</t>
        </is>
      </c>
      <c r="B1042" s="16" t="inlineStr">
        <is>
          <t>製造場所</t>
        </is>
      </c>
      <c r="C1042" s="120" t="inlineStr">
        <is>
          <t>製造場所名</t>
        </is>
      </c>
      <c r="D1042" s="121" t="n"/>
      <c r="E1042" s="16" t="inlineStr">
        <is>
          <t>工程</t>
        </is>
      </c>
      <c r="F1042" s="120" t="inlineStr">
        <is>
          <t>工程名</t>
        </is>
      </c>
      <c r="G1042" s="121" t="n"/>
      <c r="H1042" s="121" t="n"/>
      <c r="I1042" s="124" t="inlineStr">
        <is>
          <t>作業時間</t>
        </is>
      </c>
      <c r="J1042" s="121" t="n"/>
    </row>
    <row r="1043" ht="14.25" customHeight="1" s="156">
      <c r="A1043" s="141" t="n"/>
      <c r="B1043" s="141" t="n"/>
      <c r="C1043" s="141" t="n"/>
      <c r="D1043" s="141" t="n"/>
      <c r="E1043" s="141" t="n"/>
      <c r="F1043" s="141" t="n"/>
      <c r="G1043" s="141" t="n"/>
      <c r="H1043" s="141" t="n"/>
      <c r="I1043" s="141" t="n"/>
      <c r="J1043" s="141" t="n"/>
    </row>
    <row r="1044" ht="16.5" customHeight="1" s="156">
      <c r="A1044" s="22" t="n">
        <v>1</v>
      </c>
      <c r="B1044" s="107" t="inlineStr">
        <is>
          <t>V3Z01</t>
        </is>
      </c>
      <c r="C1044" s="107" t="inlineStr">
        <is>
          <t>黒部工業</t>
        </is>
      </c>
      <c r="E1044" s="107" t="inlineStr">
        <is>
          <t>V3P05</t>
        </is>
      </c>
      <c r="F1044" s="107" t="inlineStr">
        <is>
          <t>切断</t>
        </is>
      </c>
      <c r="I1044" s="115" t="n"/>
    </row>
    <row r="1045" ht="16.5" customHeight="1" s="156">
      <c r="A1045" s="22" t="n">
        <v>1</v>
      </c>
      <c r="B1045" s="26" t="inlineStr">
        <is>
          <t>V3Z01</t>
        </is>
      </c>
      <c r="C1045" s="107" t="inlineStr">
        <is>
          <t>黒部工業</t>
        </is>
      </c>
      <c r="E1045" s="107" t="inlineStr">
        <is>
          <t>V3P16</t>
        </is>
      </c>
      <c r="F1045" s="107" t="inlineStr">
        <is>
          <t>検査・梱包</t>
        </is>
      </c>
      <c r="I1045" s="115" t="n"/>
    </row>
    <row r="1046" ht="16.5" customHeight="1" s="156">
      <c r="A1046" s="22" t="n"/>
      <c r="B1046" s="26" t="n"/>
      <c r="C1046" s="107" t="n"/>
      <c r="E1046" s="107" t="n"/>
      <c r="F1046" s="107" t="n"/>
      <c r="I1046" s="115" t="n"/>
    </row>
    <row r="1047" ht="16.5" customHeight="1" s="156">
      <c r="A1047" s="22" t="n"/>
      <c r="B1047" s="26" t="n"/>
      <c r="C1047" s="107" t="n"/>
      <c r="E1047" s="107" t="n"/>
      <c r="F1047" s="107" t="n"/>
      <c r="I1047" s="115" t="n"/>
    </row>
    <row r="1048" ht="16.5" customHeight="1" s="156">
      <c r="A1048" s="22" t="n"/>
      <c r="B1048" s="26" t="n"/>
      <c r="C1048" s="107" t="n"/>
      <c r="E1048" s="107" t="n"/>
      <c r="F1048" s="107" t="n"/>
      <c r="I1048" s="115" t="n"/>
    </row>
    <row r="1049" ht="16.5" customHeight="1" s="156">
      <c r="A1049" s="22" t="n"/>
      <c r="B1049" s="26" t="n"/>
      <c r="C1049" s="107" t="n"/>
      <c r="E1049" s="107" t="n"/>
      <c r="F1049" s="107" t="n"/>
      <c r="I1049" s="115" t="n"/>
    </row>
    <row r="1050" ht="16.5" customHeight="1" s="156">
      <c r="A1050" s="15" t="n"/>
      <c r="B1050" s="15" t="n"/>
      <c r="C1050" s="15" t="n"/>
      <c r="D1050" s="15" t="n"/>
      <c r="E1050" s="15" t="n"/>
      <c r="F1050" s="15" t="n"/>
      <c r="G1050" s="15" t="n"/>
      <c r="H1050" s="15" t="n"/>
      <c r="I1050" s="15" t="n"/>
      <c r="J1050" s="15" t="n"/>
    </row>
    <row r="1051" ht="18.75" customHeight="1" s="156">
      <c r="A1051" s="109" t="inlineStr">
        <is>
          <t>品目コード</t>
        </is>
      </c>
      <c r="B1051" s="110" t="n"/>
      <c r="C1051" s="109" t="inlineStr">
        <is>
          <t>品目名１</t>
        </is>
      </c>
      <c r="D1051" s="110" t="n"/>
      <c r="E1051" s="110" t="n"/>
      <c r="F1051" s="17" t="inlineStr">
        <is>
          <t>在庫場所</t>
        </is>
      </c>
      <c r="G1051" s="109" t="inlineStr">
        <is>
          <t>出庫数量</t>
        </is>
      </c>
      <c r="H1051" s="110" t="n"/>
      <c r="I1051" s="109" t="inlineStr">
        <is>
          <t>バッチ必要数</t>
        </is>
      </c>
      <c r="J1051" s="110" t="n"/>
    </row>
    <row r="1052" ht="14.25" customHeight="1" s="156">
      <c r="A1052" s="8" t="n"/>
      <c r="B1052" s="18" t="n"/>
      <c r="C1052" s="116" t="inlineStr">
        <is>
          <t>品目名２</t>
        </is>
      </c>
      <c r="D1052" s="117" t="n"/>
      <c r="E1052" s="18" t="n"/>
      <c r="F1052" s="116" t="inlineStr">
        <is>
          <t>指図書備考</t>
        </is>
      </c>
      <c r="G1052" s="117" t="n"/>
      <c r="H1052" s="117" t="n"/>
      <c r="I1052" s="117" t="n"/>
      <c r="J1052" s="117" t="n"/>
    </row>
    <row r="1053">
      <c r="A1053" s="9" t="n"/>
      <c r="C1053" s="137" t="n"/>
      <c r="D1053" s="137" t="n"/>
      <c r="E1053" s="137" t="n"/>
    </row>
    <row r="1054" ht="14.25" customHeight="1" s="156">
      <c r="A1054" s="107" t="inlineStr">
        <is>
          <t>J1JAZZA10818200</t>
        </is>
      </c>
      <c r="C1054" s="107" t="inlineStr">
        <is>
          <t>@8FL28130 L1820</t>
        </is>
      </c>
      <c r="F1054" s="27" t="inlineStr">
        <is>
          <t>V3J04</t>
        </is>
      </c>
      <c r="G1054" s="161" t="n">
        <v>1000</v>
      </c>
      <c r="I1054" s="161" t="n">
        <v>10</v>
      </c>
    </row>
    <row r="1055" ht="24.95" customHeight="1" s="156">
      <c r="A1055" s="122" t="inlineStr">
        <is>
          <t>*J1JAZZA10818200*</t>
        </is>
      </c>
      <c r="C1055" s="107" t="n"/>
      <c r="F1055" s="107" t="n"/>
    </row>
    <row r="1056" ht="14.25" customHeight="1" s="156">
      <c r="A1056" s="107" t="inlineStr">
        <is>
          <t>J6DW0089</t>
        </is>
      </c>
      <c r="C1056" s="107" t="inlineStr">
        <is>
          <t>LED-A888　898X275X166</t>
        </is>
      </c>
      <c r="F1056" s="27" t="inlineStr">
        <is>
          <t>V3Z01</t>
        </is>
      </c>
      <c r="G1056" s="161" t="n">
        <v>20</v>
      </c>
      <c r="I1056" s="161" t="n">
        <v>0.2</v>
      </c>
    </row>
    <row r="1057" ht="24.95" customHeight="1" s="156">
      <c r="A1057" s="122" t="inlineStr">
        <is>
          <t>*J6DW0089*</t>
        </is>
      </c>
      <c r="C1057" s="107" t="inlineStr">
        <is>
          <t>L888×W275×H166</t>
        </is>
      </c>
      <c r="F1057" s="107" t="n"/>
    </row>
    <row r="1058" ht="14.25" customHeight="1" s="156">
      <c r="A1058" s="107" t="inlineStr">
        <is>
          <t>J6XX0044</t>
        </is>
      </c>
      <c r="C1058" s="107" t="inlineStr">
        <is>
          <t>(管理外)筋入ｸﾗﾌﾄ紙</t>
        </is>
      </c>
      <c r="F1058" s="27" t="n"/>
      <c r="G1058" s="161" t="n">
        <v>220</v>
      </c>
      <c r="I1058" s="161" t="n">
        <v>2.2</v>
      </c>
    </row>
    <row r="1059" ht="24.95" customHeight="1" s="156">
      <c r="A1059" s="122" t="inlineStr">
        <is>
          <t>*J6XX0044*</t>
        </is>
      </c>
      <c r="C1059" s="107" t="inlineStr">
        <is>
          <t>400＊900</t>
        </is>
      </c>
      <c r="F1059" s="107" t="n"/>
    </row>
    <row r="1060" ht="14.25" customHeight="1" s="156">
      <c r="A1060" s="107" t="inlineStr">
        <is>
          <t>J6XX0051</t>
        </is>
      </c>
      <c r="C1060" s="107" t="inlineStr">
        <is>
          <t>(管理外)LLDPE規格ｼｰﾄ0.02×950×100m</t>
        </is>
      </c>
      <c r="F1060" s="27" t="n"/>
      <c r="G1060" s="161" t="n">
        <v>2</v>
      </c>
      <c r="I1060" s="161" t="n">
        <v>0.02</v>
      </c>
    </row>
    <row r="1061" ht="24.95" customHeight="1" s="156">
      <c r="A1061" s="122" t="inlineStr">
        <is>
          <t>*J6XX0051*</t>
        </is>
      </c>
      <c r="C1061" s="107" t="inlineStr">
        <is>
          <t>0.02×950×100m</t>
        </is>
      </c>
      <c r="F1061" s="107" t="n"/>
    </row>
    <row r="1062" ht="14.25" customHeight="1" s="156">
      <c r="A1062" s="107" t="n"/>
      <c r="C1062" s="107" t="n"/>
      <c r="F1062" s="27" t="n"/>
      <c r="G1062" s="161" t="n"/>
      <c r="I1062" s="161" t="n"/>
    </row>
    <row r="1063" ht="24.95" customHeight="1" s="156" thickBot="1">
      <c r="A1063" s="122" t="n"/>
      <c r="C1063" s="107" t="n"/>
      <c r="F1063" s="107" t="n"/>
    </row>
    <row r="1064" ht="18" customFormat="1" customHeight="1" s="141">
      <c r="A1064" s="28" t="inlineStr">
        <is>
          <t>温度換算</t>
        </is>
      </c>
      <c r="B1064" s="29" t="inlineStr">
        <is>
          <t>L寸</t>
        </is>
      </c>
      <c r="C1064" s="147" t="inlineStr">
        <is>
          <t>梱包箱</t>
        </is>
      </c>
      <c r="D1064" s="162" t="n"/>
      <c r="E1064" s="148" t="inlineStr">
        <is>
          <t>使用数</t>
        </is>
      </c>
      <c r="F1064" s="31" t="inlineStr">
        <is>
          <t>作業者</t>
        </is>
      </c>
      <c r="G1064" s="32" t="inlineStr">
        <is>
          <t>加工Lot</t>
        </is>
      </c>
      <c r="H1064" s="129" t="inlineStr">
        <is>
          <t>箱数</t>
        </is>
      </c>
      <c r="I1064" s="128" t="inlineStr">
        <is>
          <t>加工明細</t>
        </is>
      </c>
      <c r="J1064" s="162" t="n"/>
    </row>
    <row r="1065" ht="18" customFormat="1" customHeight="1" s="137">
      <c r="A1065" s="34">
        <f>_xlfn.XLOOKUP(B1029,[3]VFDB2!$A:$A,[3]VFDB2!$J:$J)</f>
        <v/>
      </c>
      <c r="B1065" s="163">
        <f>D1029</f>
        <v/>
      </c>
      <c r="C1065" s="164">
        <f>_xlfn.XLOOKUP(B1029,[3]VFDB2!$A:$A,[3]VFDB2!$Z:$Z)</f>
        <v/>
      </c>
      <c r="D1065" s="165" t="n"/>
      <c r="E1065" s="166">
        <f t="array" ref="E1065">IFERROR(INDEX(_xlfn._xlws.FILTER([4]加工記録２!C:C,[4]加工記録２!U:U=B1031),9),"")</f>
        <v/>
      </c>
      <c r="F1065" s="167">
        <f t="array" ref="F1065">IFERROR("切断加工：" &amp;_xlfn.TEXTJOIN(" / ",TRUE,INDEX(_xlfn._xlws.FILTER([4]加工記録２!M:M,[4]加工記録２!U:U=B1031),9),INDEX(_xlfn._xlws.FILTER([4]加工記録２!N:N,[4]加工記録２!U:U=B1031),9)),"")</f>
        <v/>
      </c>
      <c r="G1065" s="168">
        <f t="array" ref="G1065:H1069">IFERROR(IF(_xlfn.TAKE(_xlfn._xlws.FILTER([4]加工記録２!$M:$N,[4]加工記録２!$U:$U=B1031),5)=0,"",_xlfn.TAKE(_xlfn._xlws.FILTER([4]加工記録２!$M:$N,[4]加工記録２!$U:$U=B1031),5)),"")</f>
        <v/>
      </c>
      <c r="H1065" s="169" t="str"/>
      <c r="I1065" s="39" t="inlineStr">
        <is>
          <t>入庫日</t>
        </is>
      </c>
      <c r="J1065" s="170">
        <f t="array" ref="J1065:J1070">IFERROR(INDEX(_xlfn._xlws.FILTER([4]加工記録２!P:P, [4]加工記録２!U:U=B1031),_xlfn.SEQUENCE(6)),"")</f>
        <v/>
      </c>
    </row>
    <row r="1066" ht="18" customFormat="1" customHeight="1" s="141">
      <c r="A1066" s="44" t="inlineStr">
        <is>
          <t>+公差</t>
        </is>
      </c>
      <c r="B1066" s="45" t="inlineStr">
        <is>
          <t>切断寸法</t>
        </is>
      </c>
      <c r="C1066" s="171" t="n"/>
      <c r="D1066" s="172" t="n"/>
      <c r="E1066" s="119" t="n"/>
      <c r="F1066" s="173">
        <f t="array" ref="F1066">IFERROR("外観検査：" &amp;_xlfn.TEXTJOIN(" / ",TRUE,INDEX(_xlfn._xlws.FILTER([4]加工記録２!M:M,[4]加工記録２!U:U=B1031),10),INDEX(_xlfn._xlws.FILTER([4]加工記録２!N:N,[4]加工記録２!U:U=B1031),10)),"")</f>
        <v/>
      </c>
      <c r="G1066" s="168" t="str"/>
      <c r="H1066" s="169" t="str"/>
      <c r="I1066" s="39" t="inlineStr">
        <is>
          <t>入庫数</t>
        </is>
      </c>
      <c r="J1066" s="174" t="n">
        <v>0</v>
      </c>
      <c r="K1066" s="47" t="n"/>
    </row>
    <row r="1067" ht="18" customFormat="1" customHeight="1" s="137">
      <c r="A1067" s="48">
        <f>_xlfn.XLOOKUP(B1029,[3]VFDB2!$A:$A,[3]VFDB2!$L:$L)</f>
        <v/>
      </c>
      <c r="B1067" s="175">
        <f>_xlfn.XLOOKUP(B1029,[3]VFDB2!$A:$A,[3]VFDB2!$AC:$AC)</f>
        <v/>
      </c>
      <c r="C1067" s="155" t="inlineStr">
        <is>
          <t>梱包
方法</t>
        </is>
      </c>
      <c r="D1067" s="176">
        <f>_xlfn.XLOOKUP(B1029,[3]VFDB2!$A:$A,[3]VFDB2!$W:$W)</f>
        <v/>
      </c>
      <c r="E1067" s="177" t="n"/>
      <c r="F1067" s="178" t="n"/>
      <c r="G1067" s="168" t="str"/>
      <c r="H1067" s="169" t="str"/>
      <c r="I1067" s="39" t="inlineStr">
        <is>
          <t>使用基材数</t>
        </is>
      </c>
      <c r="J1067" s="174" t="n">
        <v>0</v>
      </c>
      <c r="K1067" s="50" t="n"/>
    </row>
    <row r="1068" ht="18" customFormat="1" customHeight="1" s="141">
      <c r="A1068" s="51" t="inlineStr">
        <is>
          <t>-公差</t>
        </is>
      </c>
      <c r="B1068" s="52" t="inlineStr">
        <is>
          <t>取数</t>
        </is>
      </c>
      <c r="C1068" s="179" t="n"/>
      <c r="D1068" s="176">
        <f>_xlfn.XLOOKUP(B1029,[3]VFDB2!$A:$A,[3]VFDB2!$R:$R)</f>
        <v/>
      </c>
      <c r="E1068" s="177" t="n"/>
      <c r="F1068" s="178" t="n"/>
      <c r="G1068" s="168" t="str"/>
      <c r="H1068" s="169" t="str"/>
      <c r="I1068" s="39" t="inlineStr">
        <is>
          <t>製品不良</t>
        </is>
      </c>
      <c r="J1068" s="174" t="n">
        <v>0</v>
      </c>
      <c r="K1068" s="47" t="n"/>
    </row>
    <row r="1069" ht="18" customFormat="1" customHeight="1" s="137" thickBot="1">
      <c r="A1069" s="53">
        <f>_xlfn.XLOOKUP(B1029,[3]VFDB2!$A:$A,[3]VFDB2!$K:$K)</f>
        <v/>
      </c>
      <c r="B1069" s="54">
        <f>_xlfn.XLOOKUP(B1029,[3]VFDB2!$A:$A,[3]VFDB2!$P:$P)</f>
        <v/>
      </c>
      <c r="C1069" s="55" t="inlineStr">
        <is>
          <t>備考</t>
        </is>
      </c>
      <c r="D1069" s="180">
        <f>_xlfn.XLOOKUP(B1029,[3]VFDB2!$A:$A,[3]VFDB2!$V:$V)</f>
        <v/>
      </c>
      <c r="E1069" s="181" t="n"/>
      <c r="F1069" s="182" t="n"/>
      <c r="G1069" s="183" t="str"/>
      <c r="H1069" s="184" t="str"/>
      <c r="I1069" s="39" t="inlineStr">
        <is>
          <t>基材不良</t>
        </is>
      </c>
      <c r="J1069" s="185" t="n">
        <v>0</v>
      </c>
      <c r="K1069" s="50" t="n"/>
    </row>
    <row r="1070" ht="18" customFormat="1" customHeight="1" s="141" thickBot="1">
      <c r="A1070" s="58" t="inlineStr">
        <is>
          <t>作業日</t>
        </is>
      </c>
      <c r="B1070" s="59">
        <f t="array" ref="B1070">IF(SUM(--(ISTEXT(B1071:B1081)*(B1071:B1081&lt;&gt;"")))=0,"計測Lot","計測Lot・加工数")</f>
        <v/>
      </c>
      <c r="C1070" s="60" t="inlineStr">
        <is>
          <t>温度</t>
        </is>
      </c>
      <c r="D1070" s="61" t="inlineStr">
        <is>
          <t>換算</t>
        </is>
      </c>
      <c r="E1070" s="62" t="inlineStr">
        <is>
          <t>計測値</t>
        </is>
      </c>
      <c r="F1070" s="63">
        <f t="array" ref="F1070">IF(SUM(--(ISTEXT(B1071:B1081)*(B1071:B1081&lt;&gt;"")))=0,"記入不要","使用Lot")</f>
        <v/>
      </c>
      <c r="G1070" s="64" t="inlineStr">
        <is>
          <t>加工数</t>
        </is>
      </c>
      <c r="H1070" s="65" t="inlineStr">
        <is>
          <t>基材換算</t>
        </is>
      </c>
      <c r="I1070" s="66" t="inlineStr">
        <is>
          <t>端材使用</t>
        </is>
      </c>
      <c r="J1070" s="186" t="n">
        <v>0</v>
      </c>
      <c r="K1070" s="47" t="n"/>
    </row>
    <row r="1071" ht="18" customFormat="1" customHeight="1" s="137">
      <c r="A1071" s="187">
        <f t="array" ref="A1071:A1081">IFERROR(INDEX(_xlfn._xlws.FILTER([4]加工記録２!$D:$D,[4]加工記録２!$U:$U=B1031),_xlfn.SEQUENCE(11),0),"")</f>
        <v/>
      </c>
      <c r="B1071" s="188">
        <f t="array" ref="B1071:B1081">IFERROR(IF(INDEX(_xlfn._xlws.FILTER([4]加工記録２!$E:$E,[4]加工記録２!$U:$U=B1031),_xlfn.SEQUENCE(11))="","",INDEX(_xlfn._xlws.FILTER([4]加工記録２!$E:$E,[4]加工記録２!$U:$U=B1031),_xlfn.SEQUENCE(11)) &amp; IF(INDEX(_xlfn._xlws.FILTER([4]加工記録２!$F:$F,[4]加工記録２!$U:$U=B1031),_xlfn.SEQUENCE(11))="","", " × " &amp; INDEX(_xlfn._xlws.FILTER([4]加工記録２!$F:$F,[4]加工記録２!$U:$U=B1031),_xlfn.SEQUENCE(11)))),"")</f>
        <v/>
      </c>
      <c r="C1071" s="74" t="n"/>
      <c r="D1071" s="189" t="n"/>
      <c r="E1071" s="190" t="n"/>
      <c r="F1071" s="191" t="n"/>
      <c r="G1071" s="192" t="n"/>
      <c r="H1071" s="193" t="n"/>
      <c r="I1071" s="194" t="inlineStr">
        <is>
          <t>不良内訳</t>
        </is>
      </c>
      <c r="J1071" s="195" t="n"/>
      <c r="K1071" s="80" t="n"/>
    </row>
    <row r="1072" ht="18" customFormat="1" customHeight="1" s="141">
      <c r="A1072" s="196" t="n">
        <v>0</v>
      </c>
      <c r="B1072" s="72" t="str"/>
      <c r="C1072" s="197" t="n"/>
      <c r="D1072" s="198" t="n"/>
      <c r="E1072" s="199" t="n"/>
      <c r="F1072" s="200" t="n"/>
      <c r="G1072" s="197" t="n"/>
      <c r="H1072" s="201" t="n"/>
      <c r="I1072" s="86" t="inlineStr">
        <is>
          <t>キズ</t>
        </is>
      </c>
      <c r="J1072" s="201">
        <f t="array" ref="J1072:J1081">IFERROR(INDEX(_xlfn._xlws.FILTER([4]加工記録２!R:R, [4]加工記録２!U:U=B1031),_xlfn.SEQUENCE(10)),"")</f>
        <v/>
      </c>
      <c r="K1072" s="80" t="n"/>
    </row>
    <row r="1073" ht="18.95" customFormat="1" customHeight="1" s="91">
      <c r="A1073" s="202" t="n">
        <v>0</v>
      </c>
      <c r="B1073" s="72" t="str"/>
      <c r="C1073" s="197" t="n"/>
      <c r="D1073" s="198" t="n"/>
      <c r="E1073" s="199" t="n"/>
      <c r="F1073" s="200" t="n"/>
      <c r="G1073" s="197" t="n"/>
      <c r="H1073" s="201" t="n"/>
      <c r="I1073" s="86" t="inlineStr">
        <is>
          <t>凹み</t>
        </is>
      </c>
      <c r="J1073" s="201" t="n">
        <v>0</v>
      </c>
      <c r="K1073" s="89" t="n"/>
      <c r="L1073" s="90" t="n"/>
      <c r="M1073" s="90" t="n"/>
      <c r="N1073" s="90" t="n"/>
    </row>
    <row r="1074" ht="18.95" customFormat="1" customHeight="1" s="94">
      <c r="A1074" s="202" t="n">
        <v>0</v>
      </c>
      <c r="B1074" s="72" t="str"/>
      <c r="C1074" s="197" t="n"/>
      <c r="D1074" s="198" t="n"/>
      <c r="E1074" s="199" t="n"/>
      <c r="F1074" s="200" t="n"/>
      <c r="G1074" s="197" t="n"/>
      <c r="H1074" s="201" t="n"/>
      <c r="I1074" s="86" t="inlineStr">
        <is>
          <t>異物</t>
        </is>
      </c>
      <c r="J1074" s="201" t="n">
        <v>0</v>
      </c>
      <c r="K1074" s="92" t="n"/>
      <c r="L1074" s="93" t="n"/>
      <c r="M1074" s="93" t="n"/>
      <c r="N1074" s="93" t="n"/>
    </row>
    <row r="1075" ht="18.95" customFormat="1" customHeight="1" s="94">
      <c r="A1075" s="202" t="n">
        <v>0</v>
      </c>
      <c r="B1075" s="72" t="str"/>
      <c r="C1075" s="197" t="n"/>
      <c r="D1075" s="198" t="n"/>
      <c r="E1075" s="199" t="n"/>
      <c r="F1075" s="200" t="n"/>
      <c r="G1075" s="197" t="n"/>
      <c r="H1075" s="201" t="n"/>
      <c r="I1075" s="86" t="inlineStr">
        <is>
          <t>欠け</t>
        </is>
      </c>
      <c r="J1075" s="201" t="n">
        <v>0</v>
      </c>
      <c r="K1075" s="92" t="n"/>
      <c r="L1075" s="93" t="n"/>
      <c r="M1075" s="93" t="n"/>
      <c r="N1075" s="93" t="n"/>
    </row>
    <row r="1076" ht="18.95" customFormat="1" customHeight="1" s="94">
      <c r="A1076" s="202" t="n">
        <v>0</v>
      </c>
      <c r="B1076" s="72" t="str"/>
      <c r="C1076" s="197" t="n"/>
      <c r="D1076" s="198" t="n"/>
      <c r="E1076" s="199" t="n"/>
      <c r="F1076" s="200" t="n"/>
      <c r="G1076" s="197" t="n"/>
      <c r="H1076" s="201" t="n"/>
      <c r="I1076" s="86" t="inlineStr">
        <is>
          <t>メヤニ</t>
        </is>
      </c>
      <c r="J1076" s="201" t="n">
        <v>0</v>
      </c>
      <c r="K1076" s="92" t="n"/>
      <c r="L1076" s="93" t="n"/>
      <c r="M1076" s="93" t="n"/>
      <c r="N1076" s="93" t="n"/>
    </row>
    <row r="1077" ht="18.95" customFormat="1" customHeight="1" s="94">
      <c r="A1077" s="202" t="n">
        <v>0</v>
      </c>
      <c r="B1077" s="72" t="str"/>
      <c r="C1077" s="197" t="n"/>
      <c r="D1077" s="198" t="n"/>
      <c r="E1077" s="199" t="n"/>
      <c r="F1077" s="200" t="n"/>
      <c r="G1077" s="197" t="n"/>
      <c r="H1077" s="201" t="n"/>
      <c r="I1077" s="86" t="inlineStr">
        <is>
          <t>ベコツキ</t>
        </is>
      </c>
      <c r="J1077" s="201" t="n">
        <v>0</v>
      </c>
      <c r="K1077" s="92" t="n"/>
      <c r="L1077" s="93" t="n"/>
      <c r="M1077" s="93" t="n"/>
      <c r="N1077" s="93" t="n"/>
    </row>
    <row r="1078" ht="18.95" customFormat="1" customHeight="1" s="94">
      <c r="A1078" s="202" t="n">
        <v>0</v>
      </c>
      <c r="B1078" s="72" t="str"/>
      <c r="C1078" s="197" t="n"/>
      <c r="D1078" s="198" t="n"/>
      <c r="E1078" s="199" t="n"/>
      <c r="F1078" s="200" t="n"/>
      <c r="G1078" s="197" t="n"/>
      <c r="H1078" s="201" t="n"/>
      <c r="I1078" s="95" t="inlineStr">
        <is>
          <t>汚損</t>
        </is>
      </c>
      <c r="J1078" s="201" t="n">
        <v>0</v>
      </c>
      <c r="K1078" s="92" t="n"/>
      <c r="L1078" s="93" t="n"/>
      <c r="M1078" s="93" t="n"/>
      <c r="N1078" s="93" t="n"/>
    </row>
    <row r="1079" ht="18.95" customFormat="1" customHeight="1" s="94">
      <c r="A1079" s="202" t="n">
        <v>0</v>
      </c>
      <c r="B1079" s="72" t="str"/>
      <c r="C1079" s="197" t="n"/>
      <c r="D1079" s="198" t="n"/>
      <c r="E1079" s="199" t="n"/>
      <c r="F1079" s="200" t="n"/>
      <c r="G1079" s="197" t="n"/>
      <c r="H1079" s="201" t="n"/>
      <c r="I1079" s="95" t="inlineStr">
        <is>
          <t>形状異常</t>
        </is>
      </c>
      <c r="J1079" s="201" t="n">
        <v>0</v>
      </c>
      <c r="K1079" s="92" t="n"/>
      <c r="L1079" s="93" t="n"/>
      <c r="M1079" s="93" t="n"/>
      <c r="N1079" s="93" t="n"/>
    </row>
    <row r="1080" ht="18.95" customFormat="1" customHeight="1" s="94">
      <c r="A1080" s="202" t="n">
        <v>0</v>
      </c>
      <c r="B1080" s="72" t="str"/>
      <c r="C1080" s="197" t="n"/>
      <c r="D1080" s="198" t="n"/>
      <c r="E1080" s="199" t="n"/>
      <c r="F1080" s="200" t="n"/>
      <c r="G1080" s="197" t="n"/>
      <c r="H1080" s="201" t="n"/>
      <c r="I1080" s="86" t="inlineStr">
        <is>
          <t>その他</t>
        </is>
      </c>
      <c r="J1080" s="203" t="n">
        <v>0</v>
      </c>
      <c r="K1080" s="92" t="n"/>
      <c r="L1080" s="93" t="n"/>
      <c r="M1080" s="93" t="n"/>
      <c r="N1080" s="93" t="n"/>
    </row>
    <row r="1081" ht="18.95" customFormat="1" customHeight="1" s="94" thickBot="1">
      <c r="A1081" s="204" t="n">
        <v>0</v>
      </c>
      <c r="B1081" s="73" t="str"/>
      <c r="C1081" s="205" t="n"/>
      <c r="D1081" s="206" t="n"/>
      <c r="E1081" s="207" t="n"/>
      <c r="F1081" s="208" t="n"/>
      <c r="G1081" s="209" t="n"/>
      <c r="H1081" s="210" t="n"/>
      <c r="I1081" s="102" t="inlineStr">
        <is>
          <t>合計</t>
        </is>
      </c>
      <c r="J1081" s="211" t="n">
        <v>0</v>
      </c>
      <c r="K1081" s="92" t="n"/>
      <c r="L1081" s="93" t="n"/>
      <c r="M1081" s="93" t="n"/>
      <c r="N1081" s="93" t="n"/>
    </row>
    <row r="1082" ht="6" customHeight="1" s="156" thickBot="1">
      <c r="A1082" s="103" t="n"/>
      <c r="B1082" s="104" t="n"/>
      <c r="C1082" s="104" t="n"/>
      <c r="D1082" s="103" t="n"/>
      <c r="E1082" s="104" t="n"/>
      <c r="F1082" s="104" t="n"/>
      <c r="G1082" s="104" t="n"/>
      <c r="H1082" s="104" t="n"/>
    </row>
    <row r="1083" ht="6" customHeight="1" s="156" thickTop="1">
      <c r="A1083" s="10" t="n"/>
      <c r="B1083" s="10" t="n"/>
      <c r="C1083" s="10" t="n"/>
      <c r="D1083" s="10" t="n"/>
      <c r="E1083" s="10" t="n"/>
      <c r="F1083" s="10" t="n"/>
      <c r="G1083" s="10" t="n"/>
      <c r="H1083" s="10" t="n"/>
      <c r="I1083" s="10" t="n"/>
      <c r="J1083" s="10" t="n"/>
    </row>
    <row r="1084" ht="14.25" customHeight="1" s="156">
      <c r="A1084" s="11" t="n"/>
      <c r="B1084" s="125" t="inlineStr">
        <is>
          <t>検査梱包指示書</t>
        </is>
      </c>
      <c r="E1084" s="11" t="n"/>
      <c r="F1084" s="11" t="n"/>
      <c r="G1084" s="11" t="n"/>
      <c r="H1084" s="11" t="n"/>
      <c r="I1084" s="11" t="n"/>
      <c r="J1084" s="11" t="n"/>
    </row>
    <row r="1085" ht="14.25" customHeight="1" s="156">
      <c r="A1085" s="12" t="n"/>
      <c r="E1085" s="12" t="n"/>
      <c r="F1085" s="12" t="n"/>
      <c r="G1085" s="12" t="n"/>
      <c r="H1085" s="12" t="n"/>
      <c r="I1085" s="12" t="n"/>
      <c r="J1085" s="12" t="n"/>
    </row>
    <row r="1086" ht="14.25" customHeight="1" s="156">
      <c r="A1086" s="112" t="inlineStr">
        <is>
          <t>品目番号</t>
        </is>
      </c>
      <c r="B1086" s="112" t="inlineStr">
        <is>
          <t>J1JAZZB10814780</t>
        </is>
      </c>
      <c r="C1086" s="112" t="inlineStr">
        <is>
          <t>Ｌ寸</t>
        </is>
      </c>
      <c r="D1086" s="157" t="n">
        <v>1478</v>
      </c>
      <c r="E1086" s="112" t="inlineStr">
        <is>
          <t>名称</t>
        </is>
      </c>
      <c r="F1086" s="123" t="inlineStr">
        <is>
          <t>8FL2813046110</t>
        </is>
      </c>
      <c r="I1086" s="24" t="inlineStr">
        <is>
          <t>上長</t>
        </is>
      </c>
      <c r="J1086" s="24" t="inlineStr">
        <is>
          <t>係員</t>
        </is>
      </c>
    </row>
    <row r="1087" ht="14.25" customHeight="1" s="156">
      <c r="I1087" s="105" t="n"/>
      <c r="J1087" s="105" t="n"/>
    </row>
    <row r="1088" ht="17.45" customHeight="1" s="156">
      <c r="A1088" s="111" t="inlineStr">
        <is>
          <t>製造指図№</t>
        </is>
      </c>
      <c r="B1088" s="111" t="inlineStr">
        <is>
          <t>000000000014602</t>
        </is>
      </c>
      <c r="E1088" s="111" t="inlineStr">
        <is>
          <t>原料名</t>
        </is>
      </c>
      <c r="F1088" s="140" t="inlineStr">
        <is>
          <t>(CASE 1478MILK-W4)</t>
        </is>
      </c>
      <c r="I1088" s="106" t="n"/>
      <c r="J1088" s="106" t="n"/>
    </row>
    <row r="1089" ht="17.45" customHeight="1" s="156">
      <c r="I1089" s="13" t="n"/>
      <c r="J1089" s="13" t="n"/>
    </row>
    <row r="1090" ht="17.45" customHeight="1" s="156">
      <c r="A1090" s="111" t="inlineStr">
        <is>
          <t>発注明細№</t>
        </is>
      </c>
      <c r="B1090" s="111" t="inlineStr">
        <is>
          <t>000000000855940</t>
        </is>
      </c>
      <c r="E1090" s="2" t="inlineStr">
        <is>
          <t>色　名</t>
        </is>
      </c>
      <c r="F1090" s="140" t="inlineStr">
        <is>
          <t>J6VZ034</t>
        </is>
      </c>
      <c r="H1090" s="21" t="n"/>
      <c r="I1090" s="13" t="n"/>
      <c r="J1090" s="13" t="n"/>
    </row>
    <row r="1091" ht="17.45" customHeight="1" s="156">
      <c r="E1091" s="2" t="inlineStr">
        <is>
          <t>製品Grp</t>
        </is>
      </c>
      <c r="F1091" s="21" t="inlineStr">
        <is>
          <t>J1ZB</t>
        </is>
      </c>
      <c r="G1091" s="21" t="n"/>
      <c r="H1091" s="21" t="n"/>
      <c r="I1091" s="14" t="n"/>
      <c r="J1091" s="14" t="n"/>
    </row>
    <row r="1092" ht="17.45" customHeight="1" s="156">
      <c r="A1092" s="2" t="inlineStr">
        <is>
          <t>開始日</t>
        </is>
      </c>
      <c r="B1092" s="158" t="n">
        <v>46181</v>
      </c>
      <c r="E1092" s="2" t="inlineStr">
        <is>
          <t>入り数</t>
        </is>
      </c>
      <c r="F1092" s="159" t="n">
        <v>100</v>
      </c>
      <c r="H1092" s="21" t="n"/>
    </row>
    <row r="1093" ht="17.45" customHeight="1" s="156">
      <c r="A1093" s="2" t="inlineStr">
        <is>
          <t>終了日</t>
        </is>
      </c>
      <c r="B1093" s="158" t="n">
        <v>46181</v>
      </c>
      <c r="E1093" s="2" t="inlineStr">
        <is>
          <t>梱包数</t>
        </is>
      </c>
      <c r="F1093" s="21" t="n">
        <v>3</v>
      </c>
      <c r="G1093" s="143" t="inlineStr">
        <is>
          <t>指示数量</t>
        </is>
      </c>
      <c r="H1093" s="160" t="n">
        <v>300</v>
      </c>
      <c r="I1093" s="133" t="n"/>
      <c r="J1093" s="134" t="n"/>
    </row>
    <row r="1094" ht="17.45" customHeight="1" s="156">
      <c r="A1094" s="19" t="n"/>
      <c r="B1094" s="127" t="n"/>
      <c r="C1094" s="127" t="n"/>
      <c r="D1094" s="127" t="n"/>
      <c r="E1094" s="2" t="inlineStr">
        <is>
          <t>金　型</t>
        </is>
      </c>
      <c r="F1094" s="21" t="inlineStr">
        <is>
          <t>4350</t>
        </is>
      </c>
      <c r="G1094" s="135" t="n"/>
      <c r="H1094" s="135" t="n"/>
      <c r="I1094" s="117" t="n"/>
      <c r="J1094" s="136" t="n"/>
    </row>
    <row r="1095" ht="13.5" customHeight="1" s="156">
      <c r="A1095" s="127" t="inlineStr">
        <is>
          <t>*J1JAZZB10814780*</t>
        </is>
      </c>
      <c r="D1095" s="127" t="n"/>
      <c r="F1095" s="3" t="n"/>
      <c r="G1095" s="126" t="inlineStr">
        <is>
          <t>格納先</t>
        </is>
      </c>
      <c r="H1095" s="118" t="inlineStr">
        <is>
          <t>V3J03</t>
        </is>
      </c>
      <c r="I1095" s="138" t="inlineStr">
        <is>
          <t>樹脂第3倉庫 (在庫)</t>
        </is>
      </c>
      <c r="J1095" s="139" t="n"/>
    </row>
    <row r="1096" ht="13.5" customHeight="1" s="156">
      <c r="D1096" s="127" t="n"/>
      <c r="F1096" s="3" t="n"/>
      <c r="G1096" s="119" t="n"/>
      <c r="H1096" s="119" t="n"/>
      <c r="I1096" s="117" t="n"/>
      <c r="J1096" s="136" t="n"/>
    </row>
    <row r="1097" ht="13.5" customHeight="1" s="156">
      <c r="A1097" s="108" t="inlineStr">
        <is>
          <t>指図書備考</t>
        </is>
      </c>
    </row>
    <row r="1098" ht="63" customHeight="1" s="156">
      <c r="A1098" s="130" t="n"/>
      <c r="B1098" s="131" t="n"/>
      <c r="C1098" s="131" t="n"/>
      <c r="D1098" s="131" t="n"/>
      <c r="E1098" s="131" t="n"/>
      <c r="F1098" s="131" t="n"/>
      <c r="G1098" s="131" t="n"/>
      <c r="H1098" s="131" t="n"/>
      <c r="I1098" s="131" t="n"/>
      <c r="J1098" s="131" t="n"/>
    </row>
    <row r="1099" ht="18.75" customHeight="1" s="156">
      <c r="A1099" s="23" t="inlineStr">
        <is>
          <t>工順</t>
        </is>
      </c>
      <c r="B1099" s="16" t="inlineStr">
        <is>
          <t>製造場所</t>
        </is>
      </c>
      <c r="C1099" s="120" t="inlineStr">
        <is>
          <t>製造場所名</t>
        </is>
      </c>
      <c r="D1099" s="121" t="n"/>
      <c r="E1099" s="16" t="inlineStr">
        <is>
          <t>工程</t>
        </is>
      </c>
      <c r="F1099" s="120" t="inlineStr">
        <is>
          <t>工程名</t>
        </is>
      </c>
      <c r="G1099" s="121" t="n"/>
      <c r="H1099" s="121" t="n"/>
      <c r="I1099" s="124" t="inlineStr">
        <is>
          <t>作業時間</t>
        </is>
      </c>
      <c r="J1099" s="121" t="n"/>
    </row>
    <row r="1100" ht="14.25" customHeight="1" s="156">
      <c r="A1100" s="141" t="n"/>
      <c r="B1100" s="141" t="n"/>
      <c r="C1100" s="141" t="n"/>
      <c r="D1100" s="141" t="n"/>
      <c r="E1100" s="141" t="n"/>
      <c r="F1100" s="141" t="n"/>
      <c r="G1100" s="141" t="n"/>
      <c r="H1100" s="141" t="n"/>
      <c r="I1100" s="141" t="n"/>
      <c r="J1100" s="141" t="n"/>
    </row>
    <row r="1101" ht="16.5" customHeight="1" s="156">
      <c r="A1101" s="22" t="n">
        <v>1</v>
      </c>
      <c r="B1101" s="107" t="inlineStr">
        <is>
          <t>V3Z01</t>
        </is>
      </c>
      <c r="C1101" s="107" t="inlineStr">
        <is>
          <t>黒部工業</t>
        </is>
      </c>
      <c r="E1101" s="107" t="inlineStr">
        <is>
          <t>V3P05</t>
        </is>
      </c>
      <c r="F1101" s="107" t="inlineStr">
        <is>
          <t>切断</t>
        </is>
      </c>
      <c r="I1101" s="115" t="n"/>
    </row>
    <row r="1102" ht="16.5" customHeight="1" s="156">
      <c r="A1102" s="22" t="n">
        <v>1</v>
      </c>
      <c r="B1102" s="26" t="inlineStr">
        <is>
          <t>V3Z01</t>
        </is>
      </c>
      <c r="C1102" s="107" t="inlineStr">
        <is>
          <t>黒部工業</t>
        </is>
      </c>
      <c r="E1102" s="107" t="inlineStr">
        <is>
          <t>V3P16</t>
        </is>
      </c>
      <c r="F1102" s="107" t="inlineStr">
        <is>
          <t>検査・梱包</t>
        </is>
      </c>
      <c r="I1102" s="115" t="n"/>
    </row>
    <row r="1103" ht="16.5" customHeight="1" s="156">
      <c r="A1103" s="22" t="n"/>
      <c r="B1103" s="26" t="n"/>
      <c r="C1103" s="107" t="n"/>
      <c r="E1103" s="107" t="n"/>
      <c r="F1103" s="107" t="n"/>
      <c r="I1103" s="115" t="n"/>
    </row>
    <row r="1104" ht="16.5" customHeight="1" s="156">
      <c r="A1104" s="22" t="n"/>
      <c r="B1104" s="26" t="n"/>
      <c r="C1104" s="107" t="n"/>
      <c r="E1104" s="107" t="n"/>
      <c r="F1104" s="107" t="n"/>
      <c r="I1104" s="115" t="n"/>
    </row>
    <row r="1105" ht="16.5" customHeight="1" s="156">
      <c r="A1105" s="22" t="n"/>
      <c r="B1105" s="26" t="n"/>
      <c r="C1105" s="107" t="n"/>
      <c r="E1105" s="107" t="n"/>
      <c r="F1105" s="107" t="n"/>
      <c r="I1105" s="115" t="n"/>
    </row>
    <row r="1106" ht="16.5" customHeight="1" s="156">
      <c r="A1106" s="22" t="n"/>
      <c r="B1106" s="26" t="n"/>
      <c r="C1106" s="107" t="n"/>
      <c r="E1106" s="107" t="n"/>
      <c r="F1106" s="107" t="n"/>
      <c r="I1106" s="115" t="n"/>
    </row>
    <row r="1107" ht="16.5" customHeight="1" s="156">
      <c r="A1107" s="15" t="n"/>
      <c r="B1107" s="15" t="n"/>
      <c r="C1107" s="15" t="n"/>
      <c r="D1107" s="15" t="n"/>
      <c r="E1107" s="15" t="n"/>
      <c r="F1107" s="15" t="n"/>
      <c r="G1107" s="15" t="n"/>
      <c r="H1107" s="15" t="n"/>
      <c r="I1107" s="15" t="n"/>
      <c r="J1107" s="15" t="n"/>
    </row>
    <row r="1108" ht="18.75" customHeight="1" s="156">
      <c r="A1108" s="109" t="inlineStr">
        <is>
          <t>品目コード</t>
        </is>
      </c>
      <c r="B1108" s="110" t="n"/>
      <c r="C1108" s="109" t="inlineStr">
        <is>
          <t>品目名１</t>
        </is>
      </c>
      <c r="D1108" s="110" t="n"/>
      <c r="E1108" s="110" t="n"/>
      <c r="F1108" s="17" t="inlineStr">
        <is>
          <t>在庫場所</t>
        </is>
      </c>
      <c r="G1108" s="109" t="inlineStr">
        <is>
          <t>出庫数量</t>
        </is>
      </c>
      <c r="H1108" s="110" t="n"/>
      <c r="I1108" s="109" t="inlineStr">
        <is>
          <t>バッチ必要数</t>
        </is>
      </c>
      <c r="J1108" s="110" t="n"/>
    </row>
    <row r="1109" ht="14.25" customHeight="1" s="156">
      <c r="A1109" s="8" t="n"/>
      <c r="B1109" s="18" t="n"/>
      <c r="C1109" s="116" t="inlineStr">
        <is>
          <t>品目名２</t>
        </is>
      </c>
      <c r="D1109" s="117" t="n"/>
      <c r="E1109" s="18" t="n"/>
      <c r="F1109" s="116" t="inlineStr">
        <is>
          <t>指図書備考</t>
        </is>
      </c>
      <c r="G1109" s="117" t="n"/>
      <c r="H1109" s="117" t="n"/>
      <c r="I1109" s="117" t="n"/>
      <c r="J1109" s="117" t="n"/>
    </row>
    <row r="1110">
      <c r="A1110" s="9" t="n"/>
      <c r="C1110" s="137" t="n"/>
      <c r="D1110" s="137" t="n"/>
      <c r="E1110" s="137" t="n"/>
    </row>
    <row r="1111" ht="14.25" customHeight="1" s="156">
      <c r="A1111" s="107" t="inlineStr">
        <is>
          <t>J1JAZZA10818200</t>
        </is>
      </c>
      <c r="C1111" s="107" t="inlineStr">
        <is>
          <t>@8FL28130 L1820</t>
        </is>
      </c>
      <c r="F1111" s="27" t="inlineStr">
        <is>
          <t>V3J04</t>
        </is>
      </c>
      <c r="G1111" s="161" t="n">
        <v>300</v>
      </c>
      <c r="I1111" s="161" t="n">
        <v>3</v>
      </c>
    </row>
    <row r="1112" ht="24.95" customHeight="1" s="156">
      <c r="A1112" s="122" t="inlineStr">
        <is>
          <t>*J1JAZZA10818200*</t>
        </is>
      </c>
      <c r="C1112" s="107" t="n"/>
      <c r="F1112" s="107" t="n"/>
    </row>
    <row r="1113" ht="14.25" customHeight="1" s="156">
      <c r="A1113" s="107" t="inlineStr">
        <is>
          <t>J6DW0092</t>
        </is>
      </c>
      <c r="C1113" s="107" t="inlineStr">
        <is>
          <t>LED-A1478　1488X275X166</t>
        </is>
      </c>
      <c r="F1113" s="27" t="inlineStr">
        <is>
          <t>V3W04</t>
        </is>
      </c>
      <c r="G1113" s="161" t="n">
        <v>3</v>
      </c>
      <c r="I1113" s="161" t="n">
        <v>0.03</v>
      </c>
    </row>
    <row r="1114" ht="24.95" customHeight="1" s="156">
      <c r="A1114" s="122" t="inlineStr">
        <is>
          <t>*J6DW0092*</t>
        </is>
      </c>
      <c r="C1114" s="107" t="inlineStr">
        <is>
          <t>L1478×W275×H166</t>
        </is>
      </c>
      <c r="F1114" s="107" t="n"/>
    </row>
    <row r="1115" ht="14.25" customHeight="1" s="156">
      <c r="A1115" s="107" t="inlineStr">
        <is>
          <t>J6XX0050</t>
        </is>
      </c>
      <c r="C1115" s="107" t="inlineStr">
        <is>
          <t>(管理外)筋入ｸﾗﾌﾄ紙</t>
        </is>
      </c>
      <c r="F1115" s="27" t="n"/>
      <c r="G1115" s="161" t="n">
        <v>0.6</v>
      </c>
      <c r="I1115" s="161" t="n">
        <v>0.006</v>
      </c>
    </row>
    <row r="1116" ht="24.95" customHeight="1" s="156">
      <c r="A1116" s="122" t="inlineStr">
        <is>
          <t>*J6XX0050*</t>
        </is>
      </c>
      <c r="C1116" s="107" t="inlineStr">
        <is>
          <t>300＊100</t>
        </is>
      </c>
      <c r="F1116" s="107" t="n"/>
    </row>
    <row r="1117" ht="14.25" customHeight="1" s="156">
      <c r="A1117" s="107" t="inlineStr">
        <is>
          <t>J6XX0051</t>
        </is>
      </c>
      <c r="C1117" s="107" t="inlineStr">
        <is>
          <t>(管理外)LLDPE規格ｼｰﾄ0.02×950×100m</t>
        </is>
      </c>
      <c r="F1117" s="27" t="n"/>
      <c r="G1117" s="161" t="n">
        <v>0.3</v>
      </c>
      <c r="I1117" s="161" t="n">
        <v>0.003</v>
      </c>
    </row>
    <row r="1118" ht="24.95" customHeight="1" s="156">
      <c r="A1118" s="122" t="inlineStr">
        <is>
          <t>*J6XX0051*</t>
        </is>
      </c>
      <c r="C1118" s="107" t="inlineStr">
        <is>
          <t>0.02×950×100m</t>
        </is>
      </c>
      <c r="F1118" s="107" t="n"/>
    </row>
    <row r="1119" ht="14.25" customHeight="1" s="156">
      <c r="A1119" s="107" t="n"/>
      <c r="C1119" s="107" t="n"/>
      <c r="F1119" s="27" t="n"/>
      <c r="G1119" s="161" t="n"/>
      <c r="I1119" s="161" t="n"/>
    </row>
    <row r="1120" ht="24.95" customHeight="1" s="156" thickBot="1">
      <c r="A1120" s="122" t="n"/>
      <c r="C1120" s="107" t="n"/>
      <c r="F1120" s="107" t="n"/>
    </row>
    <row r="1121" ht="18" customFormat="1" customHeight="1" s="141">
      <c r="A1121" s="28" t="inlineStr">
        <is>
          <t>温度換算</t>
        </is>
      </c>
      <c r="B1121" s="29" t="inlineStr">
        <is>
          <t>L寸</t>
        </is>
      </c>
      <c r="C1121" s="147" t="inlineStr">
        <is>
          <t>梱包箱</t>
        </is>
      </c>
      <c r="D1121" s="162" t="n"/>
      <c r="E1121" s="148" t="inlineStr">
        <is>
          <t>使用数</t>
        </is>
      </c>
      <c r="F1121" s="31" t="inlineStr">
        <is>
          <t>作業者</t>
        </is>
      </c>
      <c r="G1121" s="32" t="inlineStr">
        <is>
          <t>加工Lot</t>
        </is>
      </c>
      <c r="H1121" s="129" t="inlineStr">
        <is>
          <t>箱数</t>
        </is>
      </c>
      <c r="I1121" s="128" t="inlineStr">
        <is>
          <t>加工明細</t>
        </is>
      </c>
      <c r="J1121" s="162" t="n"/>
    </row>
    <row r="1122" ht="18" customFormat="1" customHeight="1" s="137">
      <c r="A1122" s="34" t="inlineStr">
        <is>
          <t>〇</t>
        </is>
      </c>
      <c r="B1122" s="163" t="n">
        <v>1478</v>
      </c>
      <c r="C1122" s="164" t="inlineStr">
        <is>
          <t>LED-A1478</t>
        </is>
      </c>
      <c r="D1122" s="165" t="n"/>
      <c r="E1122" s="166" t="n">
        <v>3</v>
      </c>
      <c r="F1122" s="167" t="inlineStr">
        <is>
          <t xml:space="preserve">切断加工：I / </t>
        </is>
      </c>
      <c r="G1122" s="168" t="n">
        <v>46175</v>
      </c>
      <c r="H1122" s="169" t="n">
        <v>2</v>
      </c>
      <c r="I1122" s="39" t="inlineStr">
        <is>
          <t>入庫日</t>
        </is>
      </c>
      <c r="J1122" s="170" t="n">
        <v>46176</v>
      </c>
    </row>
    <row r="1123" ht="18" customFormat="1" customHeight="1" s="141">
      <c r="A1123" s="44" t="inlineStr">
        <is>
          <t>+公差</t>
        </is>
      </c>
      <c r="B1123" s="45" t="inlineStr">
        <is>
          <t>切断寸法</t>
        </is>
      </c>
      <c r="C1123" s="171" t="n"/>
      <c r="D1123" s="172" t="n"/>
      <c r="E1123" s="119" t="n"/>
      <c r="F1123" s="173" t="inlineStr">
        <is>
          <t>外観検査：U / T</t>
        </is>
      </c>
      <c r="G1123" s="168" t="n">
        <v>46176</v>
      </c>
      <c r="H1123" s="169" t="n">
        <v>1</v>
      </c>
      <c r="I1123" s="39" t="inlineStr">
        <is>
          <t>入庫数</t>
        </is>
      </c>
      <c r="J1123" s="174" t="n">
        <v>300</v>
      </c>
      <c r="K1123" s="47" t="n"/>
    </row>
    <row r="1124" ht="18" customFormat="1" customHeight="1" s="137">
      <c r="A1124" s="48" t="n">
        <v>0.5</v>
      </c>
      <c r="B1124" s="175" t="inlineStr">
        <is>
          <t>換算表確認</t>
        </is>
      </c>
      <c r="C1124" s="155" t="inlineStr">
        <is>
          <t>梱包
方法</t>
        </is>
      </c>
      <c r="D1124" s="176" t="inlineStr">
        <is>
          <t>クラフト紙：1478型</t>
        </is>
      </c>
      <c r="E1124" s="177" t="n"/>
      <c r="F1124" s="178" t="n"/>
      <c r="G1124" s="168" t="n"/>
      <c r="H1124" s="169" t="n"/>
      <c r="I1124" s="39" t="inlineStr">
        <is>
          <t>使用基材数</t>
        </is>
      </c>
      <c r="J1124" s="174" t="n">
        <v>302</v>
      </c>
      <c r="K1124" s="50" t="n"/>
    </row>
    <row r="1125" ht="18" customFormat="1" customHeight="1" s="141">
      <c r="A1125" s="51" t="inlineStr">
        <is>
          <t>-公差</t>
        </is>
      </c>
      <c r="B1125" s="52" t="inlineStr">
        <is>
          <t>取数</t>
        </is>
      </c>
      <c r="C1125" s="179" t="n"/>
      <c r="D1125" s="176" t="inlineStr">
        <is>
          <t>ラベル１枚　長手無　鉢巻１回</t>
        </is>
      </c>
      <c r="E1125" s="177" t="n"/>
      <c r="F1125" s="178" t="n"/>
      <c r="G1125" s="168" t="n"/>
      <c r="H1125" s="169" t="n"/>
      <c r="I1125" s="39" t="inlineStr">
        <is>
          <t>製品不良</t>
        </is>
      </c>
      <c r="J1125" s="174" t="n">
        <v>2</v>
      </c>
      <c r="K1125" s="47" t="n"/>
    </row>
    <row r="1126" ht="18" customFormat="1" customHeight="1" s="137" thickBot="1">
      <c r="A1126" s="53" t="n">
        <v>-0.5</v>
      </c>
      <c r="B1126" s="54" t="n">
        <v>1</v>
      </c>
      <c r="C1126" s="55" t="inlineStr">
        <is>
          <t>備考</t>
        </is>
      </c>
      <c r="D1126" s="180" t="inlineStr">
        <is>
          <t>1箱目の梱包数 目視確認　以降、重量測定</t>
        </is>
      </c>
      <c r="E1126" s="181" t="n"/>
      <c r="F1126" s="182" t="n"/>
      <c r="G1126" s="183" t="n"/>
      <c r="H1126" s="184" t="n"/>
      <c r="I1126" s="39" t="inlineStr">
        <is>
          <t>基材不良</t>
        </is>
      </c>
      <c r="J1126" s="185" t="n">
        <v>2</v>
      </c>
      <c r="K1126" s="50" t="n"/>
    </row>
    <row r="1127" ht="18" customFormat="1" customHeight="1" s="141" thickBot="1">
      <c r="A1127" s="58" t="inlineStr">
        <is>
          <t>作業日</t>
        </is>
      </c>
      <c r="B1127" s="59">
        <f t="array" ref="B1127">IF(SUM(--(ISTEXT(B1128:B1138)*(B1128:B1138&lt;&gt;"")))=0,"計測Lot","計測Lot・加工数")</f>
        <v/>
      </c>
      <c r="C1127" s="60" t="inlineStr">
        <is>
          <t>温度</t>
        </is>
      </c>
      <c r="D1127" s="61" t="inlineStr">
        <is>
          <t>換算</t>
        </is>
      </c>
      <c r="E1127" s="62" t="inlineStr">
        <is>
          <t>計測値</t>
        </is>
      </c>
      <c r="F1127" s="63">
        <f t="array" ref="F1127">IF(SUM(--(ISTEXT(B1128:B1138)*(B1128:B1138&lt;&gt;"")))=0,"記入不要","使用Lot")</f>
        <v/>
      </c>
      <c r="G1127" s="64" t="inlineStr">
        <is>
          <t>加工数</t>
        </is>
      </c>
      <c r="H1127" s="65" t="inlineStr">
        <is>
          <t>基材換算</t>
        </is>
      </c>
      <c r="I1127" s="66" t="inlineStr">
        <is>
          <t>端材使用</t>
        </is>
      </c>
      <c r="J1127" s="186" t="n">
        <v>0</v>
      </c>
      <c r="K1127" s="47" t="n"/>
    </row>
    <row r="1128" ht="18" customFormat="1" customHeight="1" s="137">
      <c r="A1128" s="187" t="n"/>
      <c r="B1128" s="188" t="n"/>
      <c r="C1128" s="74" t="n"/>
      <c r="D1128" s="189" t="n"/>
      <c r="E1128" s="190" t="n"/>
      <c r="F1128" s="191" t="n">
        <v>0</v>
      </c>
      <c r="G1128" s="192" t="n">
        <v>0</v>
      </c>
      <c r="H1128" s="193" t="n"/>
      <c r="I1128" s="194" t="inlineStr">
        <is>
          <t>不良内訳</t>
        </is>
      </c>
      <c r="J1128" s="195" t="n"/>
      <c r="K1128" s="80" t="n"/>
    </row>
    <row r="1129" ht="18" customFormat="1" customHeight="1" s="141">
      <c r="A1129" s="196" t="n">
        <v>46174</v>
      </c>
      <c r="B1129" s="72" t="inlineStr">
        <is>
          <t>26E20-02</t>
        </is>
      </c>
      <c r="C1129" s="197" t="n">
        <v>28</v>
      </c>
      <c r="D1129" s="198" t="n">
        <v>1478.77</v>
      </c>
      <c r="E1129" s="199" t="n">
        <v>1478.77</v>
      </c>
      <c r="F1129" s="200" t="inlineStr">
        <is>
          <t>26E20-02</t>
        </is>
      </c>
      <c r="G1129" s="197" t="n">
        <v>201</v>
      </c>
      <c r="H1129" s="201" t="n">
        <v>201</v>
      </c>
      <c r="I1129" s="86" t="inlineStr">
        <is>
          <t>キズ</t>
        </is>
      </c>
      <c r="J1129" s="201" t="n">
        <v>2</v>
      </c>
      <c r="K1129" s="80" t="n"/>
    </row>
    <row r="1130" ht="18.95" customFormat="1" customHeight="1" s="91">
      <c r="A1130" s="202" t="n">
        <v>46174</v>
      </c>
      <c r="B1130" s="72" t="inlineStr">
        <is>
          <t>26E20-02 × 201</t>
        </is>
      </c>
      <c r="C1130" s="197" t="n">
        <v>28</v>
      </c>
      <c r="D1130" s="198" t="n">
        <v>1478.77</v>
      </c>
      <c r="E1130" s="199" t="n">
        <v>1478.82</v>
      </c>
      <c r="F1130" s="200" t="inlineStr">
        <is>
          <t>26E21-03</t>
        </is>
      </c>
      <c r="G1130" s="197" t="n">
        <v>99</v>
      </c>
      <c r="H1130" s="201" t="n">
        <v>99</v>
      </c>
      <c r="I1130" s="86" t="inlineStr">
        <is>
          <t>凹み</t>
        </is>
      </c>
      <c r="J1130" s="201" t="n"/>
      <c r="K1130" s="89" t="n"/>
      <c r="L1130" s="90" t="n"/>
      <c r="M1130" s="90" t="n"/>
      <c r="N1130" s="90" t="n"/>
    </row>
    <row r="1131" ht="18.95" customFormat="1" customHeight="1" s="94">
      <c r="A1131" s="202" t="n">
        <v>46174</v>
      </c>
      <c r="B1131" s="72" t="inlineStr">
        <is>
          <t>26E21-03</t>
        </is>
      </c>
      <c r="C1131" s="197" t="n">
        <v>28</v>
      </c>
      <c r="D1131" s="198" t="n">
        <v>1478.77</v>
      </c>
      <c r="E1131" s="199" t="n">
        <v>1478.73</v>
      </c>
      <c r="F1131" s="200" t="inlineStr">
        <is>
          <t>26D18-08</t>
        </is>
      </c>
      <c r="G1131" s="197" t="n">
        <v>2</v>
      </c>
      <c r="H1131" s="201" t="n">
        <v>2</v>
      </c>
      <c r="I1131" s="86" t="inlineStr">
        <is>
          <t>異物</t>
        </is>
      </c>
      <c r="J1131" s="201" t="n"/>
      <c r="K1131" s="92" t="n"/>
      <c r="L1131" s="93" t="n"/>
      <c r="M1131" s="93" t="n"/>
      <c r="N1131" s="93" t="n"/>
    </row>
    <row r="1132" ht="18.95" customFormat="1" customHeight="1" s="94">
      <c r="A1132" s="202" t="n">
        <v>46174</v>
      </c>
      <c r="B1132" s="72" t="inlineStr">
        <is>
          <t>26E21-03 × 99</t>
        </is>
      </c>
      <c r="C1132" s="197" t="n">
        <v>28</v>
      </c>
      <c r="D1132" s="198" t="n">
        <v>1478.77</v>
      </c>
      <c r="E1132" s="199" t="n">
        <v>1478.68</v>
      </c>
      <c r="F1132" s="200" t="n"/>
      <c r="G1132" s="197" t="n">
        <v>0</v>
      </c>
      <c r="H1132" s="201" t="n"/>
      <c r="I1132" s="86" t="inlineStr">
        <is>
          <t>欠け</t>
        </is>
      </c>
      <c r="J1132" s="201" t="n"/>
      <c r="K1132" s="92" t="n"/>
      <c r="L1132" s="93" t="n"/>
      <c r="M1132" s="93" t="n"/>
      <c r="N1132" s="93" t="n"/>
    </row>
    <row r="1133" ht="18.95" customFormat="1" customHeight="1" s="94">
      <c r="A1133" s="202" t="n"/>
      <c r="B1133" s="72" t="inlineStr"/>
      <c r="C1133" s="197" t="n"/>
      <c r="D1133" s="198" t="n"/>
      <c r="E1133" s="199" t="n"/>
      <c r="F1133" s="200" t="n"/>
      <c r="G1133" s="197" t="n">
        <v>0</v>
      </c>
      <c r="H1133" s="201" t="n"/>
      <c r="I1133" s="86" t="inlineStr">
        <is>
          <t>メヤニ</t>
        </is>
      </c>
      <c r="J1133" s="201" t="n"/>
      <c r="K1133" s="92" t="n"/>
      <c r="L1133" s="93" t="n"/>
      <c r="M1133" s="93" t="n"/>
      <c r="N1133" s="93" t="n"/>
    </row>
    <row r="1134" ht="18.95" customFormat="1" customHeight="1" s="94">
      <c r="A1134" s="202" t="n"/>
      <c r="B1134" s="72" t="inlineStr"/>
      <c r="C1134" s="197" t="n"/>
      <c r="D1134" s="198" t="n"/>
      <c r="E1134" s="199" t="n"/>
      <c r="F1134" s="200" t="n"/>
      <c r="G1134" s="197" t="n">
        <v>0</v>
      </c>
      <c r="H1134" s="201" t="n"/>
      <c r="I1134" s="86" t="inlineStr">
        <is>
          <t>ベコツキ</t>
        </is>
      </c>
      <c r="J1134" s="201" t="n"/>
      <c r="K1134" s="92" t="n"/>
      <c r="L1134" s="93" t="n"/>
      <c r="M1134" s="93" t="n"/>
      <c r="N1134" s="93" t="n"/>
    </row>
    <row r="1135" ht="18.95" customFormat="1" customHeight="1" s="94">
      <c r="A1135" s="202" t="n"/>
      <c r="B1135" s="72" t="inlineStr"/>
      <c r="C1135" s="197" t="n"/>
      <c r="D1135" s="198" t="n"/>
      <c r="E1135" s="199" t="n"/>
      <c r="F1135" s="200" t="n"/>
      <c r="G1135" s="197" t="n">
        <v>0</v>
      </c>
      <c r="H1135" s="201" t="n"/>
      <c r="I1135" s="95" t="inlineStr">
        <is>
          <t>汚損</t>
        </is>
      </c>
      <c r="J1135" s="201" t="n"/>
      <c r="K1135" s="92" t="n"/>
      <c r="L1135" s="93" t="n"/>
      <c r="M1135" s="93" t="n"/>
      <c r="N1135" s="93" t="n"/>
    </row>
    <row r="1136" ht="18.95" customFormat="1" customHeight="1" s="94">
      <c r="A1136" s="202" t="n"/>
      <c r="B1136" s="72" t="inlineStr"/>
      <c r="C1136" s="197" t="n"/>
      <c r="D1136" s="198" t="n"/>
      <c r="E1136" s="199" t="n"/>
      <c r="F1136" s="200" t="n"/>
      <c r="G1136" s="197" t="n">
        <v>0</v>
      </c>
      <c r="H1136" s="201" t="n"/>
      <c r="I1136" s="95" t="inlineStr">
        <is>
          <t>形状異常</t>
        </is>
      </c>
      <c r="J1136" s="201" t="n"/>
      <c r="K1136" s="92" t="n"/>
      <c r="L1136" s="93" t="n"/>
      <c r="M1136" s="93" t="n"/>
      <c r="N1136" s="93" t="n"/>
    </row>
    <row r="1137" ht="18.95" customFormat="1" customHeight="1" s="94">
      <c r="A1137" s="202" t="n"/>
      <c r="B1137" s="72" t="inlineStr"/>
      <c r="C1137" s="197" t="n"/>
      <c r="D1137" s="198" t="n"/>
      <c r="E1137" s="199" t="n"/>
      <c r="F1137" s="200" t="n"/>
      <c r="G1137" s="197" t="n">
        <v>0</v>
      </c>
      <c r="H1137" s="201" t="n"/>
      <c r="I1137" s="86" t="inlineStr">
        <is>
          <t>その他</t>
        </is>
      </c>
      <c r="J1137" s="203" t="n"/>
      <c r="K1137" s="92" t="n"/>
      <c r="L1137" s="93" t="n"/>
      <c r="M1137" s="93" t="n"/>
      <c r="N1137" s="93" t="n"/>
    </row>
    <row r="1138" ht="18.95" customFormat="1" customHeight="1" s="94" thickBot="1">
      <c r="A1138" s="204" t="inlineStr">
        <is>
          <t>不良補填</t>
        </is>
      </c>
      <c r="B1138" s="73" t="inlineStr">
        <is>
          <t>26D18-08 × 2</t>
        </is>
      </c>
      <c r="C1138" s="205" t="n"/>
      <c r="D1138" s="206" t="n"/>
      <c r="E1138" s="207" t="n"/>
      <c r="F1138" s="208" t="n"/>
      <c r="G1138" s="209" t="n"/>
      <c r="H1138" s="210" t="n"/>
      <c r="I1138" s="102" t="inlineStr">
        <is>
          <t>合計</t>
        </is>
      </c>
      <c r="J1138" s="211" t="n">
        <v>2</v>
      </c>
      <c r="K1138" s="92" t="n"/>
      <c r="L1138" s="93" t="n"/>
      <c r="M1138" s="93" t="n"/>
      <c r="N1138" s="93" t="n"/>
    </row>
    <row r="1139" ht="6" customHeight="1" s="156" thickBot="1">
      <c r="A1139" s="103" t="n"/>
      <c r="B1139" s="104" t="n"/>
      <c r="C1139" s="104" t="n"/>
      <c r="D1139" s="103" t="n"/>
      <c r="E1139" s="104" t="n"/>
      <c r="F1139" s="104" t="n"/>
      <c r="G1139" s="104" t="n"/>
      <c r="H1139" s="104" t="n"/>
    </row>
    <row r="1140" ht="6" customHeight="1" s="156" thickTop="1">
      <c r="A1140" s="10" t="n"/>
      <c r="B1140" s="10" t="n"/>
      <c r="C1140" s="10" t="n"/>
      <c r="D1140" s="10" t="n"/>
      <c r="E1140" s="10" t="n"/>
      <c r="F1140" s="10" t="n"/>
      <c r="G1140" s="10" t="n"/>
      <c r="H1140" s="10" t="n"/>
      <c r="I1140" s="10" t="n"/>
      <c r="J1140" s="10" t="n"/>
    </row>
    <row r="1141" ht="14.25" customHeight="1" s="156">
      <c r="A1141" s="11" t="n"/>
      <c r="B1141" s="125" t="inlineStr">
        <is>
          <t>検査梱包指示書</t>
        </is>
      </c>
      <c r="E1141" s="11" t="n"/>
      <c r="F1141" s="11" t="n"/>
      <c r="G1141" s="11" t="n"/>
      <c r="H1141" s="11" t="n"/>
      <c r="I1141" s="11" t="n"/>
      <c r="J1141" s="11" t="n"/>
    </row>
    <row r="1142" ht="14.25" customHeight="1" s="156">
      <c r="A1142" s="12" t="n"/>
      <c r="E1142" s="12" t="n"/>
      <c r="F1142" s="12" t="n"/>
      <c r="G1142" s="12" t="n"/>
      <c r="H1142" s="12" t="n"/>
      <c r="I1142" s="12" t="n"/>
      <c r="J1142" s="12" t="n"/>
    </row>
    <row r="1143" ht="14.25" customHeight="1" s="156">
      <c r="A1143" s="112" t="inlineStr">
        <is>
          <t>品目番号</t>
        </is>
      </c>
      <c r="B1143" s="112" t="inlineStr">
        <is>
          <t>J1JAZZB10814780</t>
        </is>
      </c>
      <c r="C1143" s="112" t="inlineStr">
        <is>
          <t>Ｌ寸</t>
        </is>
      </c>
      <c r="D1143" s="157" t="n">
        <v>1478</v>
      </c>
      <c r="E1143" s="112" t="inlineStr">
        <is>
          <t>名称</t>
        </is>
      </c>
      <c r="F1143" s="123" t="inlineStr">
        <is>
          <t>8FL2813046110</t>
        </is>
      </c>
      <c r="I1143" s="24" t="inlineStr">
        <is>
          <t>上長</t>
        </is>
      </c>
      <c r="J1143" s="24" t="inlineStr">
        <is>
          <t>係員</t>
        </is>
      </c>
    </row>
    <row r="1144" ht="14.25" customHeight="1" s="156">
      <c r="I1144" s="105" t="n"/>
      <c r="J1144" s="105" t="n"/>
    </row>
    <row r="1145" ht="17.45" customHeight="1" s="156">
      <c r="A1145" s="111" t="inlineStr">
        <is>
          <t>製造指図№</t>
        </is>
      </c>
      <c r="B1145" s="111" t="inlineStr">
        <is>
          <t>000000000014603</t>
        </is>
      </c>
      <c r="E1145" s="111" t="inlineStr">
        <is>
          <t>原料名</t>
        </is>
      </c>
      <c r="F1145" s="140" t="inlineStr">
        <is>
          <t>(CASE 1478MILK-W4)</t>
        </is>
      </c>
      <c r="I1145" s="106" t="n"/>
      <c r="J1145" s="106" t="n"/>
    </row>
    <row r="1146" ht="17.45" customHeight="1" s="156">
      <c r="I1146" s="13" t="n"/>
      <c r="J1146" s="13" t="n"/>
    </row>
    <row r="1147" ht="17.45" customHeight="1" s="156">
      <c r="A1147" s="111" t="inlineStr">
        <is>
          <t>発注明細№</t>
        </is>
      </c>
      <c r="B1147" s="111" t="inlineStr">
        <is>
          <t>000000000855941</t>
        </is>
      </c>
      <c r="E1147" s="2" t="inlineStr">
        <is>
          <t>色　名</t>
        </is>
      </c>
      <c r="F1147" s="140" t="inlineStr">
        <is>
          <t>J6VZ034</t>
        </is>
      </c>
      <c r="H1147" s="21" t="n"/>
      <c r="I1147" s="13" t="n"/>
      <c r="J1147" s="13" t="n"/>
    </row>
    <row r="1148" ht="17.45" customHeight="1" s="156">
      <c r="E1148" s="2" t="inlineStr">
        <is>
          <t>製品Grp</t>
        </is>
      </c>
      <c r="F1148" s="21" t="inlineStr">
        <is>
          <t>J1ZB</t>
        </is>
      </c>
      <c r="G1148" s="21" t="n"/>
      <c r="H1148" s="21" t="n"/>
      <c r="I1148" s="14" t="n"/>
      <c r="J1148" s="14" t="n"/>
    </row>
    <row r="1149" ht="17.45" customHeight="1" s="156">
      <c r="A1149" s="2" t="inlineStr">
        <is>
          <t>開始日</t>
        </is>
      </c>
      <c r="B1149" s="158" t="n">
        <v>46181</v>
      </c>
      <c r="E1149" s="2" t="inlineStr">
        <is>
          <t>入り数</t>
        </is>
      </c>
      <c r="F1149" s="159" t="n">
        <v>100</v>
      </c>
      <c r="H1149" s="21" t="n"/>
    </row>
    <row r="1150" ht="17.45" customHeight="1" s="156">
      <c r="A1150" s="2" t="inlineStr">
        <is>
          <t>終了日</t>
        </is>
      </c>
      <c r="B1150" s="158" t="n">
        <v>46181</v>
      </c>
      <c r="E1150" s="2" t="inlineStr">
        <is>
          <t>梱包数</t>
        </is>
      </c>
      <c r="F1150" s="21" t="n">
        <v>1</v>
      </c>
      <c r="G1150" s="143" t="inlineStr">
        <is>
          <t>指示数量</t>
        </is>
      </c>
      <c r="H1150" s="160" t="n">
        <v>100</v>
      </c>
      <c r="I1150" s="133" t="n"/>
      <c r="J1150" s="134" t="n"/>
    </row>
    <row r="1151" ht="17.45" customHeight="1" s="156">
      <c r="A1151" s="19" t="n"/>
      <c r="B1151" s="127" t="n"/>
      <c r="C1151" s="127" t="n"/>
      <c r="D1151" s="127" t="n"/>
      <c r="E1151" s="2" t="inlineStr">
        <is>
          <t>金　型</t>
        </is>
      </c>
      <c r="F1151" s="21" t="inlineStr">
        <is>
          <t>4350</t>
        </is>
      </c>
      <c r="G1151" s="135" t="n"/>
      <c r="H1151" s="135" t="n"/>
      <c r="I1151" s="117" t="n"/>
      <c r="J1151" s="136" t="n"/>
    </row>
    <row r="1152" ht="13.5" customHeight="1" s="156">
      <c r="A1152" s="127" t="inlineStr">
        <is>
          <t>*J1JAZZB10814780*</t>
        </is>
      </c>
      <c r="D1152" s="127" t="n"/>
      <c r="F1152" s="3" t="n"/>
      <c r="G1152" s="126" t="inlineStr">
        <is>
          <t>格納先</t>
        </is>
      </c>
      <c r="H1152" s="118" t="inlineStr">
        <is>
          <t>V3J03</t>
        </is>
      </c>
      <c r="I1152" s="138" t="inlineStr">
        <is>
          <t>樹脂第3倉庫 (在庫)</t>
        </is>
      </c>
      <c r="J1152" s="139" t="n"/>
    </row>
    <row r="1153" ht="13.5" customHeight="1" s="156">
      <c r="D1153" s="127" t="n"/>
      <c r="F1153" s="3" t="n"/>
      <c r="G1153" s="119" t="n"/>
      <c r="H1153" s="119" t="n"/>
      <c r="I1153" s="117" t="n"/>
      <c r="J1153" s="136" t="n"/>
    </row>
    <row r="1154" ht="13.5" customHeight="1" s="156">
      <c r="A1154" s="108" t="inlineStr">
        <is>
          <t>指図書備考</t>
        </is>
      </c>
    </row>
    <row r="1155" ht="63" customHeight="1" s="156">
      <c r="A1155" s="130" t="n"/>
      <c r="B1155" s="131" t="n"/>
      <c r="C1155" s="131" t="n"/>
      <c r="D1155" s="131" t="n"/>
      <c r="E1155" s="131" t="n"/>
      <c r="F1155" s="131" t="n"/>
      <c r="G1155" s="131" t="n"/>
      <c r="H1155" s="131" t="n"/>
      <c r="I1155" s="131" t="n"/>
      <c r="J1155" s="131" t="n"/>
    </row>
    <row r="1156" ht="18.75" customHeight="1" s="156">
      <c r="A1156" s="23" t="inlineStr">
        <is>
          <t>工順</t>
        </is>
      </c>
      <c r="B1156" s="16" t="inlineStr">
        <is>
          <t>製造場所</t>
        </is>
      </c>
      <c r="C1156" s="120" t="inlineStr">
        <is>
          <t>製造場所名</t>
        </is>
      </c>
      <c r="D1156" s="121" t="n"/>
      <c r="E1156" s="16" t="inlineStr">
        <is>
          <t>工程</t>
        </is>
      </c>
      <c r="F1156" s="120" t="inlineStr">
        <is>
          <t>工程名</t>
        </is>
      </c>
      <c r="G1156" s="121" t="n"/>
      <c r="H1156" s="121" t="n"/>
      <c r="I1156" s="124" t="inlineStr">
        <is>
          <t>作業時間</t>
        </is>
      </c>
      <c r="J1156" s="121" t="n"/>
    </row>
    <row r="1157" ht="14.25" customHeight="1" s="156">
      <c r="A1157" s="141" t="n"/>
      <c r="B1157" s="141" t="n"/>
      <c r="C1157" s="141" t="n"/>
      <c r="D1157" s="141" t="n"/>
      <c r="E1157" s="141" t="n"/>
      <c r="F1157" s="141" t="n"/>
      <c r="G1157" s="141" t="n"/>
      <c r="H1157" s="141" t="n"/>
      <c r="I1157" s="141" t="n"/>
      <c r="J1157" s="141" t="n"/>
    </row>
    <row r="1158" ht="16.5" customHeight="1" s="156">
      <c r="A1158" s="22" t="n">
        <v>1</v>
      </c>
      <c r="B1158" s="107" t="inlineStr">
        <is>
          <t>V3Z01</t>
        </is>
      </c>
      <c r="C1158" s="107" t="inlineStr">
        <is>
          <t>黒部工業</t>
        </is>
      </c>
      <c r="E1158" s="107" t="inlineStr">
        <is>
          <t>V3P05</t>
        </is>
      </c>
      <c r="F1158" s="107" t="inlineStr">
        <is>
          <t>切断</t>
        </is>
      </c>
      <c r="I1158" s="115" t="n"/>
    </row>
    <row r="1159" ht="16.5" customHeight="1" s="156">
      <c r="A1159" s="22" t="n">
        <v>1</v>
      </c>
      <c r="B1159" s="26" t="inlineStr">
        <is>
          <t>V3Z01</t>
        </is>
      </c>
      <c r="C1159" s="107" t="inlineStr">
        <is>
          <t>黒部工業</t>
        </is>
      </c>
      <c r="E1159" s="107" t="inlineStr">
        <is>
          <t>V3P16</t>
        </is>
      </c>
      <c r="F1159" s="107" t="inlineStr">
        <is>
          <t>検査・梱包</t>
        </is>
      </c>
      <c r="I1159" s="115" t="n"/>
    </row>
    <row r="1160" ht="16.5" customHeight="1" s="156">
      <c r="A1160" s="22" t="n"/>
      <c r="B1160" s="26" t="n"/>
      <c r="C1160" s="107" t="n"/>
      <c r="E1160" s="107" t="n"/>
      <c r="F1160" s="107" t="n"/>
      <c r="I1160" s="115" t="n"/>
    </row>
    <row r="1161" ht="16.5" customHeight="1" s="156">
      <c r="A1161" s="22" t="n"/>
      <c r="B1161" s="26" t="n"/>
      <c r="C1161" s="107" t="n"/>
      <c r="E1161" s="107" t="n"/>
      <c r="F1161" s="107" t="n"/>
      <c r="I1161" s="115" t="n"/>
    </row>
    <row r="1162" ht="16.5" customHeight="1" s="156">
      <c r="A1162" s="22" t="n"/>
      <c r="B1162" s="26" t="n"/>
      <c r="C1162" s="107" t="n"/>
      <c r="E1162" s="107" t="n"/>
      <c r="F1162" s="107" t="n"/>
      <c r="I1162" s="115" t="n"/>
    </row>
    <row r="1163" ht="16.5" customHeight="1" s="156">
      <c r="A1163" s="22" t="n"/>
      <c r="B1163" s="26" t="n"/>
      <c r="C1163" s="107" t="n"/>
      <c r="E1163" s="107" t="n"/>
      <c r="F1163" s="107" t="n"/>
      <c r="I1163" s="115" t="n"/>
    </row>
    <row r="1164" ht="16.5" customHeight="1" s="156">
      <c r="A1164" s="15" t="n"/>
      <c r="B1164" s="15" t="n"/>
      <c r="C1164" s="15" t="n"/>
      <c r="D1164" s="15" t="n"/>
      <c r="E1164" s="15" t="n"/>
      <c r="F1164" s="15" t="n"/>
      <c r="G1164" s="15" t="n"/>
      <c r="H1164" s="15" t="n"/>
      <c r="I1164" s="15" t="n"/>
      <c r="J1164" s="15" t="n"/>
    </row>
    <row r="1165" ht="18.75" customHeight="1" s="156">
      <c r="A1165" s="109" t="inlineStr">
        <is>
          <t>品目コード</t>
        </is>
      </c>
      <c r="B1165" s="110" t="n"/>
      <c r="C1165" s="109" t="inlineStr">
        <is>
          <t>品目名１</t>
        </is>
      </c>
      <c r="D1165" s="110" t="n"/>
      <c r="E1165" s="110" t="n"/>
      <c r="F1165" s="17" t="inlineStr">
        <is>
          <t>在庫場所</t>
        </is>
      </c>
      <c r="G1165" s="109" t="inlineStr">
        <is>
          <t>出庫数量</t>
        </is>
      </c>
      <c r="H1165" s="110" t="n"/>
      <c r="I1165" s="109" t="inlineStr">
        <is>
          <t>バッチ必要数</t>
        </is>
      </c>
      <c r="J1165" s="110" t="n"/>
    </row>
    <row r="1166" ht="14.25" customHeight="1" s="156">
      <c r="A1166" s="8" t="n"/>
      <c r="B1166" s="18" t="n"/>
      <c r="C1166" s="116" t="inlineStr">
        <is>
          <t>品目名２</t>
        </is>
      </c>
      <c r="D1166" s="117" t="n"/>
      <c r="E1166" s="18" t="n"/>
      <c r="F1166" s="116" t="inlineStr">
        <is>
          <t>指図書備考</t>
        </is>
      </c>
      <c r="G1166" s="117" t="n"/>
      <c r="H1166" s="117" t="n"/>
      <c r="I1166" s="117" t="n"/>
      <c r="J1166" s="117" t="n"/>
    </row>
    <row r="1167">
      <c r="A1167" s="9" t="n"/>
      <c r="C1167" s="137" t="n"/>
      <c r="D1167" s="137" t="n"/>
      <c r="E1167" s="137" t="n"/>
    </row>
    <row r="1168" ht="14.25" customHeight="1" s="156">
      <c r="A1168" s="107" t="inlineStr">
        <is>
          <t>J1JAZZA10818200</t>
        </is>
      </c>
      <c r="C1168" s="107" t="inlineStr">
        <is>
          <t>@8FL28130 L1820</t>
        </is>
      </c>
      <c r="F1168" s="27" t="inlineStr">
        <is>
          <t>V3J04</t>
        </is>
      </c>
      <c r="G1168" s="161" t="n">
        <v>100</v>
      </c>
      <c r="I1168" s="161" t="n">
        <v>1</v>
      </c>
    </row>
    <row r="1169" ht="24.95" customHeight="1" s="156">
      <c r="A1169" s="122" t="inlineStr">
        <is>
          <t>*J1JAZZA10818200*</t>
        </is>
      </c>
      <c r="C1169" s="107" t="n"/>
      <c r="F1169" s="107" t="n"/>
    </row>
    <row r="1170" ht="14.25" customHeight="1" s="156">
      <c r="A1170" s="107" t="inlineStr">
        <is>
          <t>J6DW0092</t>
        </is>
      </c>
      <c r="C1170" s="107" t="inlineStr">
        <is>
          <t>LED-A1478　1488X275X166</t>
        </is>
      </c>
      <c r="F1170" s="27" t="inlineStr">
        <is>
          <t>V3W04</t>
        </is>
      </c>
      <c r="G1170" s="161" t="n">
        <v>1</v>
      </c>
      <c r="I1170" s="161" t="n">
        <v>0.01</v>
      </c>
    </row>
    <row r="1171" ht="24.95" customHeight="1" s="156">
      <c r="A1171" s="122" t="inlineStr">
        <is>
          <t>*J6DW0092*</t>
        </is>
      </c>
      <c r="C1171" s="107" t="inlineStr">
        <is>
          <t>L1478×W275×H166</t>
        </is>
      </c>
      <c r="F1171" s="107" t="n"/>
    </row>
    <row r="1172" ht="14.25" customHeight="1" s="156">
      <c r="A1172" s="107" t="inlineStr">
        <is>
          <t>J6XX0050</t>
        </is>
      </c>
      <c r="C1172" s="107" t="inlineStr">
        <is>
          <t>(管理外)筋入ｸﾗﾌﾄ紙</t>
        </is>
      </c>
      <c r="F1172" s="27" t="n"/>
      <c r="G1172" s="161" t="n">
        <v>0.2</v>
      </c>
      <c r="I1172" s="161" t="n">
        <v>0.002</v>
      </c>
    </row>
    <row r="1173" ht="24.95" customHeight="1" s="156">
      <c r="A1173" s="122" t="inlineStr">
        <is>
          <t>*J6XX0050*</t>
        </is>
      </c>
      <c r="C1173" s="107" t="inlineStr">
        <is>
          <t>300＊100</t>
        </is>
      </c>
      <c r="F1173" s="107" t="n"/>
    </row>
    <row r="1174" ht="14.25" customHeight="1" s="156">
      <c r="A1174" s="107" t="inlineStr">
        <is>
          <t>J6XX0051</t>
        </is>
      </c>
      <c r="C1174" s="107" t="inlineStr">
        <is>
          <t>(管理外)LLDPE規格ｼｰﾄ0.02×950×100m</t>
        </is>
      </c>
      <c r="F1174" s="27" t="n"/>
      <c r="G1174" s="161" t="n">
        <v>0.1</v>
      </c>
      <c r="I1174" s="161" t="n">
        <v>0.001</v>
      </c>
    </row>
    <row r="1175" ht="24.95" customHeight="1" s="156">
      <c r="A1175" s="122" t="inlineStr">
        <is>
          <t>*J6XX0051*</t>
        </is>
      </c>
      <c r="C1175" s="107" t="inlineStr">
        <is>
          <t>0.02×950×100m</t>
        </is>
      </c>
      <c r="F1175" s="107" t="n"/>
    </row>
    <row r="1176" ht="14.25" customHeight="1" s="156">
      <c r="A1176" s="107" t="n"/>
      <c r="C1176" s="107" t="n"/>
      <c r="F1176" s="27" t="n"/>
      <c r="G1176" s="161" t="n"/>
      <c r="I1176" s="161" t="n"/>
    </row>
    <row r="1177" ht="24.95" customHeight="1" s="156" thickBot="1">
      <c r="A1177" s="122" t="n"/>
      <c r="C1177" s="107" t="n"/>
      <c r="F1177" s="107" t="n"/>
    </row>
    <row r="1178" ht="18" customFormat="1" customHeight="1" s="141">
      <c r="A1178" s="28" t="inlineStr">
        <is>
          <t>温度換算</t>
        </is>
      </c>
      <c r="B1178" s="29" t="inlineStr">
        <is>
          <t>L寸</t>
        </is>
      </c>
      <c r="C1178" s="147" t="inlineStr">
        <is>
          <t>梱包箱</t>
        </is>
      </c>
      <c r="D1178" s="162" t="n"/>
      <c r="E1178" s="148" t="inlineStr">
        <is>
          <t>使用数</t>
        </is>
      </c>
      <c r="F1178" s="31" t="inlineStr">
        <is>
          <t>作業者</t>
        </is>
      </c>
      <c r="G1178" s="32" t="inlineStr">
        <is>
          <t>加工Lot</t>
        </is>
      </c>
      <c r="H1178" s="129" t="inlineStr">
        <is>
          <t>箱数</t>
        </is>
      </c>
      <c r="I1178" s="128" t="inlineStr">
        <is>
          <t>加工明細</t>
        </is>
      </c>
      <c r="J1178" s="162" t="n"/>
    </row>
    <row r="1179" ht="18" customFormat="1" customHeight="1" s="137">
      <c r="A1179" s="34" t="inlineStr">
        <is>
          <t>〇</t>
        </is>
      </c>
      <c r="B1179" s="163" t="n">
        <v>1478</v>
      </c>
      <c r="C1179" s="164" t="inlineStr">
        <is>
          <t>LED-A1478</t>
        </is>
      </c>
      <c r="D1179" s="165" t="n"/>
      <c r="E1179" s="166" t="n">
        <v>1</v>
      </c>
      <c r="F1179" s="167" t="inlineStr">
        <is>
          <t xml:space="preserve">切断加工：I / </t>
        </is>
      </c>
      <c r="G1179" s="168" t="n">
        <v>46176</v>
      </c>
      <c r="H1179" s="169" t="n">
        <v>1</v>
      </c>
      <c r="I1179" s="39" t="inlineStr">
        <is>
          <t>入庫日</t>
        </is>
      </c>
      <c r="J1179" s="170" t="n">
        <v>46176</v>
      </c>
    </row>
    <row r="1180" ht="18" customFormat="1" customHeight="1" s="141">
      <c r="A1180" s="44" t="inlineStr">
        <is>
          <t>+公差</t>
        </is>
      </c>
      <c r="B1180" s="45" t="inlineStr">
        <is>
          <t>切断寸法</t>
        </is>
      </c>
      <c r="C1180" s="171" t="n"/>
      <c r="D1180" s="172" t="n"/>
      <c r="E1180" s="119" t="n"/>
      <c r="F1180" s="173" t="inlineStr">
        <is>
          <t xml:space="preserve">外観検査：T / </t>
        </is>
      </c>
      <c r="G1180" s="168" t="n"/>
      <c r="H1180" s="169" t="n"/>
      <c r="I1180" s="39" t="inlineStr">
        <is>
          <t>入庫数</t>
        </is>
      </c>
      <c r="J1180" s="174" t="n">
        <v>100</v>
      </c>
      <c r="K1180" s="47" t="n"/>
    </row>
    <row r="1181" ht="18" customFormat="1" customHeight="1" s="137">
      <c r="A1181" s="48" t="n">
        <v>0.5</v>
      </c>
      <c r="B1181" s="175" t="inlineStr">
        <is>
          <t>換算表確認</t>
        </is>
      </c>
      <c r="C1181" s="155" t="inlineStr">
        <is>
          <t>梱包
方法</t>
        </is>
      </c>
      <c r="D1181" s="176" t="inlineStr">
        <is>
          <t>クラフト紙：1478型</t>
        </is>
      </c>
      <c r="E1181" s="177" t="n"/>
      <c r="F1181" s="178" t="n"/>
      <c r="G1181" s="168" t="n"/>
      <c r="H1181" s="169" t="n"/>
      <c r="I1181" s="39" t="inlineStr">
        <is>
          <t>使用基材数</t>
        </is>
      </c>
      <c r="J1181" s="174" t="n">
        <v>101</v>
      </c>
      <c r="K1181" s="50" t="n"/>
    </row>
    <row r="1182" ht="18" customFormat="1" customHeight="1" s="141">
      <c r="A1182" s="51" t="inlineStr">
        <is>
          <t>-公差</t>
        </is>
      </c>
      <c r="B1182" s="52" t="inlineStr">
        <is>
          <t>取数</t>
        </is>
      </c>
      <c r="C1182" s="179" t="n"/>
      <c r="D1182" s="176" t="inlineStr">
        <is>
          <t>ラベル１枚　長手無　鉢巻１回</t>
        </is>
      </c>
      <c r="E1182" s="177" t="n"/>
      <c r="F1182" s="178" t="n"/>
      <c r="G1182" s="168" t="n"/>
      <c r="H1182" s="169" t="n"/>
      <c r="I1182" s="39" t="inlineStr">
        <is>
          <t>製品不良</t>
        </is>
      </c>
      <c r="J1182" s="174" t="n">
        <v>1</v>
      </c>
      <c r="K1182" s="47" t="n"/>
    </row>
    <row r="1183" ht="18" customFormat="1" customHeight="1" s="137" thickBot="1">
      <c r="A1183" s="53" t="n">
        <v>-0.5</v>
      </c>
      <c r="B1183" s="54" t="n">
        <v>1</v>
      </c>
      <c r="C1183" s="55" t="inlineStr">
        <is>
          <t>備考</t>
        </is>
      </c>
      <c r="D1183" s="180" t="inlineStr">
        <is>
          <t>1箱目の梱包数 目視確認　以降、重量測定</t>
        </is>
      </c>
      <c r="E1183" s="181" t="n"/>
      <c r="F1183" s="182" t="n"/>
      <c r="G1183" s="183" t="n"/>
      <c r="H1183" s="184" t="n"/>
      <c r="I1183" s="39" t="inlineStr">
        <is>
          <t>基材不良</t>
        </is>
      </c>
      <c r="J1183" s="185" t="n">
        <v>1</v>
      </c>
      <c r="K1183" s="50" t="n"/>
    </row>
    <row r="1184" ht="18" customFormat="1" customHeight="1" s="141" thickBot="1">
      <c r="A1184" s="58" t="inlineStr">
        <is>
          <t>作業日</t>
        </is>
      </c>
      <c r="B1184" s="59">
        <f t="array" ref="B1184">IF(SUM(--(ISTEXT(B1185:B1195)*(B1185:B1195&lt;&gt;"")))=0,"計測Lot","計測Lot・加工数")</f>
        <v/>
      </c>
      <c r="C1184" s="60" t="inlineStr">
        <is>
          <t>温度</t>
        </is>
      </c>
      <c r="D1184" s="61" t="inlineStr">
        <is>
          <t>換算</t>
        </is>
      </c>
      <c r="E1184" s="62" t="inlineStr">
        <is>
          <t>計測値</t>
        </is>
      </c>
      <c r="F1184" s="63">
        <f t="array" ref="F1184">IF(SUM(--(ISTEXT(B1185:B1195)*(B1185:B1195&lt;&gt;"")))=0,"記入不要","使用Lot")</f>
        <v/>
      </c>
      <c r="G1184" s="64" t="inlineStr">
        <is>
          <t>加工数</t>
        </is>
      </c>
      <c r="H1184" s="65" t="inlineStr">
        <is>
          <t>基材換算</t>
        </is>
      </c>
      <c r="I1184" s="66" t="inlineStr">
        <is>
          <t>端材使用</t>
        </is>
      </c>
      <c r="J1184" s="186" t="n">
        <v>0</v>
      </c>
      <c r="K1184" s="47" t="n"/>
    </row>
    <row r="1185" ht="18" customFormat="1" customHeight="1" s="137">
      <c r="A1185" s="187" t="n"/>
      <c r="B1185" s="188" t="n"/>
      <c r="C1185" s="74" t="n"/>
      <c r="D1185" s="189" t="n"/>
      <c r="E1185" s="190" t="n"/>
      <c r="F1185" s="191" t="n">
        <v>0</v>
      </c>
      <c r="G1185" s="192" t="n">
        <v>0</v>
      </c>
      <c r="H1185" s="193" t="n"/>
      <c r="I1185" s="194" t="inlineStr">
        <is>
          <t>不良内訳</t>
        </is>
      </c>
      <c r="J1185" s="195" t="n"/>
      <c r="K1185" s="80" t="n"/>
    </row>
    <row r="1186" ht="18" customFormat="1" customHeight="1" s="141">
      <c r="A1186" s="196" t="n">
        <v>46174</v>
      </c>
      <c r="B1186" s="72" t="inlineStr">
        <is>
          <t>26E21-03</t>
        </is>
      </c>
      <c r="C1186" s="197" t="n">
        <v>28</v>
      </c>
      <c r="D1186" s="198" t="n">
        <v>1478.77</v>
      </c>
      <c r="E1186" s="199" t="n">
        <v>1478.65</v>
      </c>
      <c r="F1186" s="200" t="inlineStr">
        <is>
          <t>26E21-03</t>
        </is>
      </c>
      <c r="G1186" s="197" t="n">
        <v>100</v>
      </c>
      <c r="H1186" s="201" t="n">
        <v>100</v>
      </c>
      <c r="I1186" s="86" t="inlineStr">
        <is>
          <t>キズ</t>
        </is>
      </c>
      <c r="J1186" s="201" t="n">
        <v>1</v>
      </c>
      <c r="K1186" s="80" t="n"/>
    </row>
    <row r="1187" ht="18.95" customFormat="1" customHeight="1" s="91">
      <c r="A1187" s="202" t="n">
        <v>46175</v>
      </c>
      <c r="B1187" s="72" t="inlineStr">
        <is>
          <t>26E21-03</t>
        </is>
      </c>
      <c r="C1187" s="197" t="n">
        <v>24</v>
      </c>
      <c r="D1187" s="198" t="n">
        <v>1478.38</v>
      </c>
      <c r="E1187" s="199" t="n">
        <v>1478.35</v>
      </c>
      <c r="F1187" s="200" t="inlineStr">
        <is>
          <t>26d18-03</t>
        </is>
      </c>
      <c r="G1187" s="197" t="n">
        <v>1</v>
      </c>
      <c r="H1187" s="201" t="n">
        <v>1</v>
      </c>
      <c r="I1187" s="86" t="inlineStr">
        <is>
          <t>凹み</t>
        </is>
      </c>
      <c r="J1187" s="201" t="n"/>
      <c r="K1187" s="89" t="n"/>
      <c r="L1187" s="90" t="n"/>
      <c r="M1187" s="90" t="n"/>
      <c r="N1187" s="90" t="n"/>
    </row>
    <row r="1188" ht="18.95" customFormat="1" customHeight="1" s="94">
      <c r="A1188" s="202" t="n">
        <v>46175</v>
      </c>
      <c r="B1188" s="72" t="inlineStr">
        <is>
          <t>26E21-03 × 100</t>
        </is>
      </c>
      <c r="C1188" s="197" t="n">
        <v>24</v>
      </c>
      <c r="D1188" s="198" t="n">
        <v>1478.38</v>
      </c>
      <c r="E1188" s="199" t="n">
        <v>1478.33</v>
      </c>
      <c r="F1188" s="200" t="n"/>
      <c r="G1188" s="197" t="n">
        <v>0</v>
      </c>
      <c r="H1188" s="201" t="n"/>
      <c r="I1188" s="86" t="inlineStr">
        <is>
          <t>異物</t>
        </is>
      </c>
      <c r="J1188" s="201" t="n"/>
      <c r="K1188" s="92" t="n"/>
      <c r="L1188" s="93" t="n"/>
      <c r="M1188" s="93" t="n"/>
      <c r="N1188" s="93" t="n"/>
    </row>
    <row r="1189" ht="18.95" customFormat="1" customHeight="1" s="94">
      <c r="A1189" s="202" t="n"/>
      <c r="B1189" s="72" t="inlineStr"/>
      <c r="C1189" s="197" t="n"/>
      <c r="D1189" s="198" t="n"/>
      <c r="E1189" s="199" t="n"/>
      <c r="F1189" s="200" t="n"/>
      <c r="G1189" s="197" t="n">
        <v>0</v>
      </c>
      <c r="H1189" s="201" t="n"/>
      <c r="I1189" s="86" t="inlineStr">
        <is>
          <t>欠け</t>
        </is>
      </c>
      <c r="J1189" s="201" t="n"/>
      <c r="K1189" s="92" t="n"/>
      <c r="L1189" s="93" t="n"/>
      <c r="M1189" s="93" t="n"/>
      <c r="N1189" s="93" t="n"/>
    </row>
    <row r="1190" ht="18.95" customFormat="1" customHeight="1" s="94">
      <c r="A1190" s="202" t="n"/>
      <c r="B1190" s="72" t="inlineStr"/>
      <c r="C1190" s="197" t="n"/>
      <c r="D1190" s="198" t="n"/>
      <c r="E1190" s="199" t="n"/>
      <c r="F1190" s="200" t="n"/>
      <c r="G1190" s="197" t="n">
        <v>0</v>
      </c>
      <c r="H1190" s="201" t="n"/>
      <c r="I1190" s="86" t="inlineStr">
        <is>
          <t>メヤニ</t>
        </is>
      </c>
      <c r="J1190" s="201" t="n"/>
      <c r="K1190" s="92" t="n"/>
      <c r="L1190" s="93" t="n"/>
      <c r="M1190" s="93" t="n"/>
      <c r="N1190" s="93" t="n"/>
    </row>
    <row r="1191" ht="18.95" customFormat="1" customHeight="1" s="94">
      <c r="A1191" s="202" t="n"/>
      <c r="B1191" s="72" t="inlineStr"/>
      <c r="C1191" s="197" t="n"/>
      <c r="D1191" s="198" t="n"/>
      <c r="E1191" s="199" t="n"/>
      <c r="F1191" s="200" t="n"/>
      <c r="G1191" s="197" t="n">
        <v>0</v>
      </c>
      <c r="H1191" s="201" t="n"/>
      <c r="I1191" s="86" t="inlineStr">
        <is>
          <t>ベコツキ</t>
        </is>
      </c>
      <c r="J1191" s="201" t="n"/>
      <c r="K1191" s="92" t="n"/>
      <c r="L1191" s="93" t="n"/>
      <c r="M1191" s="93" t="n"/>
      <c r="N1191" s="93" t="n"/>
    </row>
    <row r="1192" ht="18.95" customFormat="1" customHeight="1" s="94">
      <c r="A1192" s="202" t="n"/>
      <c r="B1192" s="72" t="inlineStr"/>
      <c r="C1192" s="197" t="n"/>
      <c r="D1192" s="198" t="n"/>
      <c r="E1192" s="199" t="n"/>
      <c r="F1192" s="200" t="n"/>
      <c r="G1192" s="197" t="n">
        <v>0</v>
      </c>
      <c r="H1192" s="201" t="n"/>
      <c r="I1192" s="95" t="inlineStr">
        <is>
          <t>汚損</t>
        </is>
      </c>
      <c r="J1192" s="201" t="n"/>
      <c r="K1192" s="92" t="n"/>
      <c r="L1192" s="93" t="n"/>
      <c r="M1192" s="93" t="n"/>
      <c r="N1192" s="93" t="n"/>
    </row>
    <row r="1193" ht="18.95" customFormat="1" customHeight="1" s="94">
      <c r="A1193" s="202" t="n"/>
      <c r="B1193" s="72" t="inlineStr"/>
      <c r="C1193" s="197" t="n"/>
      <c r="D1193" s="198" t="n"/>
      <c r="E1193" s="199" t="n"/>
      <c r="F1193" s="200" t="n"/>
      <c r="G1193" s="197" t="n">
        <v>0</v>
      </c>
      <c r="H1193" s="201" t="n"/>
      <c r="I1193" s="95" t="inlineStr">
        <is>
          <t>形状異常</t>
        </is>
      </c>
      <c r="J1193" s="201" t="n"/>
      <c r="K1193" s="92" t="n"/>
      <c r="L1193" s="93" t="n"/>
      <c r="M1193" s="93" t="n"/>
      <c r="N1193" s="93" t="n"/>
    </row>
    <row r="1194" ht="18.95" customFormat="1" customHeight="1" s="94">
      <c r="A1194" s="202" t="n"/>
      <c r="B1194" s="72" t="inlineStr"/>
      <c r="C1194" s="197" t="n"/>
      <c r="D1194" s="198" t="n"/>
      <c r="E1194" s="199" t="n"/>
      <c r="F1194" s="200" t="n"/>
      <c r="G1194" s="197" t="n">
        <v>0</v>
      </c>
      <c r="H1194" s="201" t="n"/>
      <c r="I1194" s="86" t="inlineStr">
        <is>
          <t>その他</t>
        </is>
      </c>
      <c r="J1194" s="203" t="n"/>
      <c r="K1194" s="92" t="n"/>
      <c r="L1194" s="93" t="n"/>
      <c r="M1194" s="93" t="n"/>
      <c r="N1194" s="93" t="n"/>
    </row>
    <row r="1195" ht="18.95" customFormat="1" customHeight="1" s="94" thickBot="1">
      <c r="A1195" s="204" t="inlineStr">
        <is>
          <t>不良補填</t>
        </is>
      </c>
      <c r="B1195" s="73" t="inlineStr">
        <is>
          <t>26d18-03 × 1</t>
        </is>
      </c>
      <c r="C1195" s="205" t="n"/>
      <c r="D1195" s="206" t="n"/>
      <c r="E1195" s="207" t="n"/>
      <c r="F1195" s="208" t="n"/>
      <c r="G1195" s="209" t="n"/>
      <c r="H1195" s="210" t="n"/>
      <c r="I1195" s="102" t="inlineStr">
        <is>
          <t>合計</t>
        </is>
      </c>
      <c r="J1195" s="211" t="n">
        <v>1</v>
      </c>
      <c r="K1195" s="92" t="n"/>
      <c r="L1195" s="93" t="n"/>
      <c r="M1195" s="93" t="n"/>
      <c r="N1195" s="93" t="n"/>
    </row>
    <row r="1196" ht="6" customHeight="1" s="156" thickBot="1">
      <c r="A1196" s="103" t="n"/>
      <c r="B1196" s="104" t="n"/>
      <c r="C1196" s="104" t="n"/>
      <c r="D1196" s="103" t="n"/>
      <c r="E1196" s="104" t="n"/>
      <c r="F1196" s="104" t="n"/>
      <c r="G1196" s="104" t="n"/>
      <c r="H1196" s="104" t="n"/>
    </row>
    <row r="1197" ht="6" customHeight="1" s="156" thickTop="1">
      <c r="A1197" s="10" t="n"/>
      <c r="B1197" s="10" t="n"/>
      <c r="C1197" s="10" t="n"/>
      <c r="D1197" s="10" t="n"/>
      <c r="E1197" s="10" t="n"/>
      <c r="F1197" s="10" t="n"/>
      <c r="G1197" s="10" t="n"/>
      <c r="H1197" s="10" t="n"/>
      <c r="I1197" s="10" t="n"/>
      <c r="J1197" s="10" t="n"/>
    </row>
    <row r="1198" ht="14.25" customHeight="1" s="156">
      <c r="A1198" s="11" t="n"/>
      <c r="B1198" s="125" t="inlineStr">
        <is>
          <t>検査梱包指示書</t>
        </is>
      </c>
      <c r="E1198" s="11" t="n"/>
      <c r="F1198" s="11" t="n"/>
      <c r="G1198" s="11" t="n"/>
      <c r="H1198" s="11" t="n"/>
      <c r="I1198" s="11" t="n"/>
      <c r="J1198" s="11" t="n"/>
    </row>
    <row r="1199" ht="14.25" customHeight="1" s="156">
      <c r="A1199" s="12" t="n"/>
      <c r="E1199" s="12" t="n"/>
      <c r="F1199" s="12" t="n"/>
      <c r="G1199" s="12" t="n"/>
      <c r="H1199" s="12" t="n"/>
      <c r="I1199" s="12" t="n"/>
      <c r="J1199" s="12" t="n"/>
    </row>
    <row r="1200" ht="14.25" customHeight="1" s="156">
      <c r="A1200" s="112" t="inlineStr">
        <is>
          <t>品目番号</t>
        </is>
      </c>
      <c r="B1200" s="112" t="inlineStr">
        <is>
          <t>J1JAZZB10814780</t>
        </is>
      </c>
      <c r="C1200" s="112" t="inlineStr">
        <is>
          <t>Ｌ寸</t>
        </is>
      </c>
      <c r="D1200" s="157" t="n">
        <v>1478</v>
      </c>
      <c r="E1200" s="112" t="inlineStr">
        <is>
          <t>名称</t>
        </is>
      </c>
      <c r="F1200" s="123" t="inlineStr">
        <is>
          <t>8FL2813046110</t>
        </is>
      </c>
      <c r="I1200" s="24" t="inlineStr">
        <is>
          <t>上長</t>
        </is>
      </c>
      <c r="J1200" s="24" t="inlineStr">
        <is>
          <t>係員</t>
        </is>
      </c>
    </row>
    <row r="1201" ht="14.25" customHeight="1" s="156">
      <c r="I1201" s="105" t="n"/>
      <c r="J1201" s="105" t="n"/>
    </row>
    <row r="1202" ht="17.45" customHeight="1" s="156">
      <c r="A1202" s="111" t="inlineStr">
        <is>
          <t>製造指図№</t>
        </is>
      </c>
      <c r="B1202" s="111" t="inlineStr">
        <is>
          <t>000000000014604</t>
        </is>
      </c>
      <c r="E1202" s="111" t="inlineStr">
        <is>
          <t>原料名</t>
        </is>
      </c>
      <c r="F1202" s="140" t="inlineStr">
        <is>
          <t>(CASE 1478MILK-W4)</t>
        </is>
      </c>
      <c r="I1202" s="106" t="n"/>
      <c r="J1202" s="106" t="n"/>
    </row>
    <row r="1203" ht="17.45" customHeight="1" s="156">
      <c r="I1203" s="13" t="n"/>
      <c r="J1203" s="13" t="n"/>
    </row>
    <row r="1204" ht="17.45" customHeight="1" s="156">
      <c r="A1204" s="111" t="inlineStr">
        <is>
          <t>発注明細№</t>
        </is>
      </c>
      <c r="B1204" s="111" t="inlineStr">
        <is>
          <t>000000000855942</t>
        </is>
      </c>
      <c r="E1204" s="2" t="inlineStr">
        <is>
          <t>色　名</t>
        </is>
      </c>
      <c r="F1204" s="140" t="inlineStr">
        <is>
          <t>J6VZ034</t>
        </is>
      </c>
      <c r="H1204" s="21" t="n"/>
      <c r="I1204" s="13" t="n"/>
      <c r="J1204" s="13" t="n"/>
    </row>
    <row r="1205" ht="17.45" customHeight="1" s="156">
      <c r="E1205" s="2" t="inlineStr">
        <is>
          <t>製品Grp</t>
        </is>
      </c>
      <c r="F1205" s="21" t="inlineStr">
        <is>
          <t>J1ZB</t>
        </is>
      </c>
      <c r="G1205" s="21" t="n"/>
      <c r="H1205" s="21" t="n"/>
      <c r="I1205" s="14" t="n"/>
      <c r="J1205" s="14" t="n"/>
    </row>
    <row r="1206" ht="17.45" customHeight="1" s="156">
      <c r="A1206" s="2" t="inlineStr">
        <is>
          <t>開始日</t>
        </is>
      </c>
      <c r="B1206" s="158" t="n">
        <v>46184</v>
      </c>
      <c r="E1206" s="2" t="inlineStr">
        <is>
          <t>入り数</t>
        </is>
      </c>
      <c r="F1206" s="159" t="n">
        <v>100</v>
      </c>
      <c r="H1206" s="21" t="n"/>
    </row>
    <row r="1207" ht="17.45" customHeight="1" s="156">
      <c r="A1207" s="2" t="inlineStr">
        <is>
          <t>終了日</t>
        </is>
      </c>
      <c r="B1207" s="158" t="n">
        <v>46184</v>
      </c>
      <c r="E1207" s="2" t="inlineStr">
        <is>
          <t>梱包数</t>
        </is>
      </c>
      <c r="F1207" s="21" t="n">
        <v>5</v>
      </c>
      <c r="G1207" s="143" t="inlineStr">
        <is>
          <t>指示数量</t>
        </is>
      </c>
      <c r="H1207" s="160" t="n">
        <v>500</v>
      </c>
      <c r="I1207" s="133" t="n"/>
      <c r="J1207" s="134" t="n"/>
    </row>
    <row r="1208" ht="17.45" customHeight="1" s="156">
      <c r="A1208" s="19" t="n"/>
      <c r="B1208" s="127" t="n"/>
      <c r="C1208" s="127" t="n"/>
      <c r="D1208" s="127" t="n"/>
      <c r="E1208" s="2" t="inlineStr">
        <is>
          <t>金　型</t>
        </is>
      </c>
      <c r="F1208" s="21" t="inlineStr">
        <is>
          <t>4350</t>
        </is>
      </c>
      <c r="G1208" s="135" t="n"/>
      <c r="H1208" s="135" t="n"/>
      <c r="I1208" s="117" t="n"/>
      <c r="J1208" s="136" t="n"/>
    </row>
    <row r="1209" ht="13.5" customHeight="1" s="156">
      <c r="A1209" s="127" t="inlineStr">
        <is>
          <t>*J1JAZZB10814780*</t>
        </is>
      </c>
      <c r="D1209" s="127" t="n"/>
      <c r="F1209" s="3" t="n"/>
      <c r="G1209" s="126" t="inlineStr">
        <is>
          <t>格納先</t>
        </is>
      </c>
      <c r="H1209" s="118" t="inlineStr">
        <is>
          <t>V3J03</t>
        </is>
      </c>
      <c r="I1209" s="138" t="inlineStr">
        <is>
          <t>樹脂第3倉庫 (在庫)</t>
        </is>
      </c>
      <c r="J1209" s="139" t="n"/>
    </row>
    <row r="1210" ht="13.5" customHeight="1" s="156">
      <c r="D1210" s="127" t="n"/>
      <c r="F1210" s="3" t="n"/>
      <c r="G1210" s="119" t="n"/>
      <c r="H1210" s="119" t="n"/>
      <c r="I1210" s="117" t="n"/>
      <c r="J1210" s="136" t="n"/>
    </row>
    <row r="1211" ht="13.5" customHeight="1" s="156">
      <c r="A1211" s="108" t="inlineStr">
        <is>
          <t>指図書備考</t>
        </is>
      </c>
    </row>
    <row r="1212" ht="63" customHeight="1" s="156">
      <c r="A1212" s="130" t="n"/>
      <c r="B1212" s="131" t="n"/>
      <c r="C1212" s="131" t="n"/>
      <c r="D1212" s="131" t="n"/>
      <c r="E1212" s="131" t="n"/>
      <c r="F1212" s="131" t="n"/>
      <c r="G1212" s="131" t="n"/>
      <c r="H1212" s="131" t="n"/>
      <c r="I1212" s="131" t="n"/>
      <c r="J1212" s="131" t="n"/>
    </row>
    <row r="1213" ht="18.75" customHeight="1" s="156">
      <c r="A1213" s="23" t="inlineStr">
        <is>
          <t>工順</t>
        </is>
      </c>
      <c r="B1213" s="16" t="inlineStr">
        <is>
          <t>製造場所</t>
        </is>
      </c>
      <c r="C1213" s="120" t="inlineStr">
        <is>
          <t>製造場所名</t>
        </is>
      </c>
      <c r="D1213" s="121" t="n"/>
      <c r="E1213" s="16" t="inlineStr">
        <is>
          <t>工程</t>
        </is>
      </c>
      <c r="F1213" s="120" t="inlineStr">
        <is>
          <t>工程名</t>
        </is>
      </c>
      <c r="G1213" s="121" t="n"/>
      <c r="H1213" s="121" t="n"/>
      <c r="I1213" s="124" t="inlineStr">
        <is>
          <t>作業時間</t>
        </is>
      </c>
      <c r="J1213" s="121" t="n"/>
    </row>
    <row r="1214" ht="14.25" customHeight="1" s="156">
      <c r="A1214" s="141" t="n"/>
      <c r="B1214" s="141" t="n"/>
      <c r="C1214" s="141" t="n"/>
      <c r="D1214" s="141" t="n"/>
      <c r="E1214" s="141" t="n"/>
      <c r="F1214" s="141" t="n"/>
      <c r="G1214" s="141" t="n"/>
      <c r="H1214" s="141" t="n"/>
      <c r="I1214" s="141" t="n"/>
      <c r="J1214" s="141" t="n"/>
    </row>
    <row r="1215" ht="16.5" customHeight="1" s="156">
      <c r="A1215" s="22" t="n">
        <v>1</v>
      </c>
      <c r="B1215" s="107" t="inlineStr">
        <is>
          <t>V3Z01</t>
        </is>
      </c>
      <c r="C1215" s="107" t="inlineStr">
        <is>
          <t>黒部工業</t>
        </is>
      </c>
      <c r="E1215" s="107" t="inlineStr">
        <is>
          <t>V3P05</t>
        </is>
      </c>
      <c r="F1215" s="107" t="inlineStr">
        <is>
          <t>切断</t>
        </is>
      </c>
      <c r="I1215" s="115" t="n"/>
    </row>
    <row r="1216" ht="16.5" customHeight="1" s="156">
      <c r="A1216" s="22" t="n">
        <v>1</v>
      </c>
      <c r="B1216" s="26" t="inlineStr">
        <is>
          <t>V3Z01</t>
        </is>
      </c>
      <c r="C1216" s="107" t="inlineStr">
        <is>
          <t>黒部工業</t>
        </is>
      </c>
      <c r="E1216" s="107" t="inlineStr">
        <is>
          <t>V3P16</t>
        </is>
      </c>
      <c r="F1216" s="107" t="inlineStr">
        <is>
          <t>検査・梱包</t>
        </is>
      </c>
      <c r="I1216" s="115" t="n"/>
    </row>
    <row r="1217" ht="16.5" customHeight="1" s="156">
      <c r="A1217" s="22" t="n"/>
      <c r="B1217" s="26" t="n"/>
      <c r="C1217" s="107" t="n"/>
      <c r="E1217" s="107" t="n"/>
      <c r="F1217" s="107" t="n"/>
      <c r="I1217" s="115" t="n"/>
    </row>
    <row r="1218" ht="16.5" customHeight="1" s="156">
      <c r="A1218" s="22" t="n"/>
      <c r="B1218" s="26" t="n"/>
      <c r="C1218" s="107" t="n"/>
      <c r="E1218" s="107" t="n"/>
      <c r="F1218" s="107" t="n"/>
      <c r="I1218" s="115" t="n"/>
    </row>
    <row r="1219" ht="16.5" customHeight="1" s="156">
      <c r="A1219" s="22" t="n"/>
      <c r="B1219" s="26" t="n"/>
      <c r="C1219" s="107" t="n"/>
      <c r="E1219" s="107" t="n"/>
      <c r="F1219" s="107" t="n"/>
      <c r="I1219" s="115" t="n"/>
    </row>
    <row r="1220" ht="16.5" customHeight="1" s="156">
      <c r="A1220" s="22" t="n"/>
      <c r="B1220" s="26" t="n"/>
      <c r="C1220" s="107" t="n"/>
      <c r="E1220" s="107" t="n"/>
      <c r="F1220" s="107" t="n"/>
      <c r="I1220" s="115" t="n"/>
    </row>
    <row r="1221" ht="16.5" customHeight="1" s="156">
      <c r="A1221" s="15" t="n"/>
      <c r="B1221" s="15" t="n"/>
      <c r="C1221" s="15" t="n"/>
      <c r="D1221" s="15" t="n"/>
      <c r="E1221" s="15" t="n"/>
      <c r="F1221" s="15" t="n"/>
      <c r="G1221" s="15" t="n"/>
      <c r="H1221" s="15" t="n"/>
      <c r="I1221" s="15" t="n"/>
      <c r="J1221" s="15" t="n"/>
    </row>
    <row r="1222" ht="18.75" customHeight="1" s="156">
      <c r="A1222" s="109" t="inlineStr">
        <is>
          <t>品目コード</t>
        </is>
      </c>
      <c r="B1222" s="110" t="n"/>
      <c r="C1222" s="109" t="inlineStr">
        <is>
          <t>品目名１</t>
        </is>
      </c>
      <c r="D1222" s="110" t="n"/>
      <c r="E1222" s="110" t="n"/>
      <c r="F1222" s="17" t="inlineStr">
        <is>
          <t>在庫場所</t>
        </is>
      </c>
      <c r="G1222" s="109" t="inlineStr">
        <is>
          <t>出庫数量</t>
        </is>
      </c>
      <c r="H1222" s="110" t="n"/>
      <c r="I1222" s="109" t="inlineStr">
        <is>
          <t>バッチ必要数</t>
        </is>
      </c>
      <c r="J1222" s="110" t="n"/>
    </row>
    <row r="1223" ht="14.25" customHeight="1" s="156">
      <c r="A1223" s="8" t="n"/>
      <c r="B1223" s="18" t="n"/>
      <c r="C1223" s="116" t="inlineStr">
        <is>
          <t>品目名２</t>
        </is>
      </c>
      <c r="D1223" s="117" t="n"/>
      <c r="E1223" s="18" t="n"/>
      <c r="F1223" s="116" t="inlineStr">
        <is>
          <t>指図書備考</t>
        </is>
      </c>
      <c r="G1223" s="117" t="n"/>
      <c r="H1223" s="117" t="n"/>
      <c r="I1223" s="117" t="n"/>
      <c r="J1223" s="117" t="n"/>
    </row>
    <row r="1224">
      <c r="A1224" s="9" t="n"/>
      <c r="C1224" s="137" t="n"/>
      <c r="D1224" s="137" t="n"/>
      <c r="E1224" s="137" t="n"/>
    </row>
    <row r="1225" ht="14.25" customHeight="1" s="156">
      <c r="A1225" s="107" t="inlineStr">
        <is>
          <t>J1JAZZA10818200</t>
        </is>
      </c>
      <c r="C1225" s="107" t="inlineStr">
        <is>
          <t>@8FL28130 L1820</t>
        </is>
      </c>
      <c r="F1225" s="27" t="inlineStr">
        <is>
          <t>V3J04</t>
        </is>
      </c>
      <c r="G1225" s="161" t="n">
        <v>500</v>
      </c>
      <c r="I1225" s="161" t="n">
        <v>5</v>
      </c>
    </row>
    <row r="1226" ht="24.95" customHeight="1" s="156">
      <c r="A1226" s="122" t="inlineStr">
        <is>
          <t>*J1JAZZA10818200*</t>
        </is>
      </c>
      <c r="C1226" s="107" t="n"/>
      <c r="F1226" s="107" t="n"/>
    </row>
    <row r="1227" ht="14.25" customHeight="1" s="156">
      <c r="A1227" s="107" t="inlineStr">
        <is>
          <t>J6DW0092</t>
        </is>
      </c>
      <c r="C1227" s="107" t="inlineStr">
        <is>
          <t>LED-A1478　1488X275X166</t>
        </is>
      </c>
      <c r="F1227" s="27" t="inlineStr">
        <is>
          <t>V3W04</t>
        </is>
      </c>
      <c r="G1227" s="161" t="n">
        <v>5</v>
      </c>
      <c r="I1227" s="161" t="n">
        <v>0.05</v>
      </c>
    </row>
    <row r="1228" ht="24.95" customHeight="1" s="156">
      <c r="A1228" s="122" t="inlineStr">
        <is>
          <t>*J6DW0092*</t>
        </is>
      </c>
      <c r="C1228" s="107" t="inlineStr">
        <is>
          <t>L1478×W275×H166</t>
        </is>
      </c>
      <c r="F1228" s="107" t="n"/>
    </row>
    <row r="1229" ht="14.25" customHeight="1" s="156">
      <c r="A1229" s="107" t="inlineStr">
        <is>
          <t>J6XX0050</t>
        </is>
      </c>
      <c r="C1229" s="107" t="inlineStr">
        <is>
          <t>(管理外)筋入ｸﾗﾌﾄ紙</t>
        </is>
      </c>
      <c r="F1229" s="27" t="n"/>
      <c r="G1229" s="161" t="n">
        <v>1</v>
      </c>
      <c r="I1229" s="161" t="n">
        <v>0.01</v>
      </c>
    </row>
    <row r="1230" ht="24.95" customHeight="1" s="156">
      <c r="A1230" s="122" t="inlineStr">
        <is>
          <t>*J6XX0050*</t>
        </is>
      </c>
      <c r="C1230" s="107" t="inlineStr">
        <is>
          <t>300＊100</t>
        </is>
      </c>
      <c r="F1230" s="107" t="n"/>
    </row>
    <row r="1231" ht="14.25" customHeight="1" s="156">
      <c r="A1231" s="107" t="inlineStr">
        <is>
          <t>J6XX0051</t>
        </is>
      </c>
      <c r="C1231" s="107" t="inlineStr">
        <is>
          <t>(管理外)LLDPE規格ｼｰﾄ0.02×950×100m</t>
        </is>
      </c>
      <c r="F1231" s="27" t="n"/>
      <c r="G1231" s="161" t="n">
        <v>0.5</v>
      </c>
      <c r="I1231" s="161" t="n">
        <v>0.005</v>
      </c>
    </row>
    <row r="1232" ht="24.95" customHeight="1" s="156">
      <c r="A1232" s="122" t="inlineStr">
        <is>
          <t>*J6XX0051*</t>
        </is>
      </c>
      <c r="C1232" s="107" t="inlineStr">
        <is>
          <t>0.02×950×100m</t>
        </is>
      </c>
      <c r="F1232" s="107" t="n"/>
    </row>
    <row r="1233" ht="14.25" customHeight="1" s="156">
      <c r="A1233" s="107" t="n"/>
      <c r="C1233" s="107" t="n"/>
      <c r="F1233" s="27" t="n"/>
      <c r="G1233" s="161" t="n"/>
      <c r="I1233" s="161" t="n"/>
    </row>
    <row r="1234" ht="24.95" customHeight="1" s="156" thickBot="1">
      <c r="A1234" s="122" t="n"/>
      <c r="C1234" s="107" t="n"/>
      <c r="F1234" s="107" t="n"/>
    </row>
    <row r="1235" ht="18" customFormat="1" customHeight="1" s="141">
      <c r="A1235" s="28" t="inlineStr">
        <is>
          <t>温度換算</t>
        </is>
      </c>
      <c r="B1235" s="29" t="inlineStr">
        <is>
          <t>L寸</t>
        </is>
      </c>
      <c r="C1235" s="147" t="inlineStr">
        <is>
          <t>梱包箱</t>
        </is>
      </c>
      <c r="D1235" s="162" t="n"/>
      <c r="E1235" s="148" t="inlineStr">
        <is>
          <t>使用数</t>
        </is>
      </c>
      <c r="F1235" s="31" t="inlineStr">
        <is>
          <t>作業者</t>
        </is>
      </c>
      <c r="G1235" s="32" t="inlineStr">
        <is>
          <t>加工Lot</t>
        </is>
      </c>
      <c r="H1235" s="129" t="inlineStr">
        <is>
          <t>箱数</t>
        </is>
      </c>
      <c r="I1235" s="128" t="inlineStr">
        <is>
          <t>加工明細</t>
        </is>
      </c>
      <c r="J1235" s="162" t="n"/>
    </row>
    <row r="1236" ht="18" customFormat="1" customHeight="1" s="137">
      <c r="A1236" s="34" t="inlineStr">
        <is>
          <t>〇</t>
        </is>
      </c>
      <c r="B1236" s="163" t="n">
        <v>1478</v>
      </c>
      <c r="C1236" s="164" t="inlineStr">
        <is>
          <t>LED-A1478</t>
        </is>
      </c>
      <c r="D1236" s="165" t="n"/>
      <c r="E1236" s="166" t="n">
        <v>5</v>
      </c>
      <c r="F1236" s="167" t="inlineStr">
        <is>
          <t xml:space="preserve">切断加工：I / </t>
        </is>
      </c>
      <c r="G1236" s="168" t="n">
        <v>46181</v>
      </c>
      <c r="H1236" s="169" t="n">
        <v>5</v>
      </c>
      <c r="I1236" s="39" t="inlineStr">
        <is>
          <t>入庫日</t>
        </is>
      </c>
      <c r="J1236" s="170" t="n">
        <v>46181</v>
      </c>
    </row>
    <row r="1237" ht="18" customFormat="1" customHeight="1" s="141">
      <c r="A1237" s="44" t="inlineStr">
        <is>
          <t>+公差</t>
        </is>
      </c>
      <c r="B1237" s="45" t="inlineStr">
        <is>
          <t>切断寸法</t>
        </is>
      </c>
      <c r="C1237" s="171" t="n"/>
      <c r="D1237" s="172" t="n"/>
      <c r="E1237" s="119" t="n"/>
      <c r="F1237" s="173" t="inlineStr">
        <is>
          <t xml:space="preserve">外観検査：T / </t>
        </is>
      </c>
      <c r="G1237" s="168" t="n"/>
      <c r="H1237" s="169" t="n"/>
      <c r="I1237" s="39" t="inlineStr">
        <is>
          <t>入庫数</t>
        </is>
      </c>
      <c r="J1237" s="174" t="n">
        <v>500</v>
      </c>
      <c r="K1237" s="47" t="n"/>
    </row>
    <row r="1238" ht="18" customFormat="1" customHeight="1" s="137">
      <c r="A1238" s="48" t="n">
        <v>0.5</v>
      </c>
      <c r="B1238" s="175" t="inlineStr">
        <is>
          <t>換算表確認</t>
        </is>
      </c>
      <c r="C1238" s="155" t="inlineStr">
        <is>
          <t>梱包
方法</t>
        </is>
      </c>
      <c r="D1238" s="176" t="inlineStr">
        <is>
          <t>クラフト紙：1478型</t>
        </is>
      </c>
      <c r="E1238" s="177" t="n"/>
      <c r="F1238" s="178" t="n"/>
      <c r="G1238" s="168" t="n"/>
      <c r="H1238" s="169" t="n"/>
      <c r="I1238" s="39" t="inlineStr">
        <is>
          <t>使用基材数</t>
        </is>
      </c>
      <c r="J1238" s="174" t="n">
        <v>628</v>
      </c>
      <c r="K1238" s="50" t="n"/>
    </row>
    <row r="1239" ht="18" customFormat="1" customHeight="1" s="141">
      <c r="A1239" s="51" t="inlineStr">
        <is>
          <t>-公差</t>
        </is>
      </c>
      <c r="B1239" s="52" t="inlineStr">
        <is>
          <t>取数</t>
        </is>
      </c>
      <c r="C1239" s="179" t="n"/>
      <c r="D1239" s="176" t="inlineStr">
        <is>
          <t>ラベル１枚　長手無　鉢巻１回</t>
        </is>
      </c>
      <c r="E1239" s="177" t="n"/>
      <c r="F1239" s="178" t="n"/>
      <c r="G1239" s="168" t="n"/>
      <c r="H1239" s="169" t="n"/>
      <c r="I1239" s="39" t="inlineStr">
        <is>
          <t>製品不良</t>
        </is>
      </c>
      <c r="J1239" s="174" t="n">
        <v>128</v>
      </c>
      <c r="K1239" s="47" t="n"/>
    </row>
    <row r="1240" ht="18" customFormat="1" customHeight="1" s="137" thickBot="1">
      <c r="A1240" s="53" t="n">
        <v>-0.5</v>
      </c>
      <c r="B1240" s="54" t="n">
        <v>1</v>
      </c>
      <c r="C1240" s="55" t="inlineStr">
        <is>
          <t>備考</t>
        </is>
      </c>
      <c r="D1240" s="180" t="inlineStr">
        <is>
          <t>1箱目の梱包数 目視確認　以降、重量測定</t>
        </is>
      </c>
      <c r="E1240" s="181" t="n"/>
      <c r="F1240" s="182" t="n"/>
      <c r="G1240" s="183" t="n"/>
      <c r="H1240" s="184" t="n"/>
      <c r="I1240" s="39" t="inlineStr">
        <is>
          <t>基材不良</t>
        </is>
      </c>
      <c r="J1240" s="185" t="n">
        <v>128</v>
      </c>
      <c r="K1240" s="50" t="n"/>
    </row>
    <row r="1241" ht="18" customFormat="1" customHeight="1" s="141" thickBot="1">
      <c r="A1241" s="58" t="inlineStr">
        <is>
          <t>作業日</t>
        </is>
      </c>
      <c r="B1241" s="59">
        <f t="array" ref="B1241">IF(SUM(--(ISTEXT(B1242:B1252)*(B1242:B1252&lt;&gt;"")))=0,"計測Lot","計測Lot・加工数")</f>
        <v/>
      </c>
      <c r="C1241" s="60" t="inlineStr">
        <is>
          <t>温度</t>
        </is>
      </c>
      <c r="D1241" s="61" t="inlineStr">
        <is>
          <t>換算</t>
        </is>
      </c>
      <c r="E1241" s="62" t="inlineStr">
        <is>
          <t>計測値</t>
        </is>
      </c>
      <c r="F1241" s="63">
        <f t="array" ref="F1241">IF(SUM(--(ISTEXT(B1242:B1252)*(B1242:B1252&lt;&gt;"")))=0,"記入不要","使用Lot")</f>
        <v/>
      </c>
      <c r="G1241" s="64" t="inlineStr">
        <is>
          <t>加工数</t>
        </is>
      </c>
      <c r="H1241" s="65" t="inlineStr">
        <is>
          <t>基材換算</t>
        </is>
      </c>
      <c r="I1241" s="66" t="inlineStr">
        <is>
          <t>端材使用</t>
        </is>
      </c>
      <c r="J1241" s="186" t="n">
        <v>0</v>
      </c>
      <c r="K1241" s="47" t="n"/>
    </row>
    <row r="1242" ht="18" customFormat="1" customHeight="1" s="137">
      <c r="A1242" s="187" t="n"/>
      <c r="B1242" s="188" t="n"/>
      <c r="C1242" s="74" t="n"/>
      <c r="D1242" s="189" t="n"/>
      <c r="E1242" s="190" t="n"/>
      <c r="F1242" s="191" t="n">
        <v>0</v>
      </c>
      <c r="G1242" s="192" t="n">
        <v>0</v>
      </c>
      <c r="H1242" s="193" t="n"/>
      <c r="I1242" s="194" t="inlineStr">
        <is>
          <t>不良内訳</t>
        </is>
      </c>
      <c r="J1242" s="195" t="n"/>
      <c r="K1242" s="80" t="n"/>
    </row>
    <row r="1243" ht="18" customFormat="1" customHeight="1" s="141">
      <c r="A1243" s="196" t="n">
        <v>46178</v>
      </c>
      <c r="B1243" s="72" t="inlineStr">
        <is>
          <t>26E22-04</t>
        </is>
      </c>
      <c r="C1243" s="197" t="n">
        <v>26</v>
      </c>
      <c r="D1243" s="198" t="n">
        <v>1478.58</v>
      </c>
      <c r="E1243" s="199" t="n">
        <v>1478.58</v>
      </c>
      <c r="F1243" s="200" t="inlineStr">
        <is>
          <t>26E22-04</t>
        </is>
      </c>
      <c r="G1243" s="197" t="n">
        <v>500</v>
      </c>
      <c r="H1243" s="201" t="n">
        <v>500</v>
      </c>
      <c r="I1243" s="86" t="inlineStr">
        <is>
          <t>キズ</t>
        </is>
      </c>
      <c r="J1243" s="201" t="n">
        <v>2</v>
      </c>
      <c r="K1243" s="80" t="n"/>
    </row>
    <row r="1244" ht="18.95" customFormat="1" customHeight="1" s="91">
      <c r="A1244" s="202" t="n">
        <v>46181</v>
      </c>
      <c r="B1244" s="72" t="inlineStr">
        <is>
          <t>26E22-04</t>
        </is>
      </c>
      <c r="C1244" s="197" t="n">
        <v>22</v>
      </c>
      <c r="D1244" s="198" t="n">
        <v>1478.19</v>
      </c>
      <c r="E1244" s="199" t="n">
        <v>1478.2</v>
      </c>
      <c r="F1244" s="200" t="inlineStr">
        <is>
          <t>26D18-08</t>
        </is>
      </c>
      <c r="G1244" s="197" t="n">
        <v>128</v>
      </c>
      <c r="H1244" s="201" t="n">
        <v>128</v>
      </c>
      <c r="I1244" s="86" t="inlineStr">
        <is>
          <t>凹み</t>
        </is>
      </c>
      <c r="J1244" s="201" t="n"/>
      <c r="K1244" s="89" t="n"/>
      <c r="L1244" s="90" t="n"/>
      <c r="M1244" s="90" t="n"/>
      <c r="N1244" s="90" t="n"/>
    </row>
    <row r="1245" ht="18.95" customFormat="1" customHeight="1" s="94">
      <c r="A1245" s="202" t="n">
        <v>46181</v>
      </c>
      <c r="B1245" s="72" t="inlineStr">
        <is>
          <t>26E22-04 × 400</t>
        </is>
      </c>
      <c r="C1245" s="197" t="n">
        <v>22</v>
      </c>
      <c r="D1245" s="198" t="n">
        <v>1478.19</v>
      </c>
      <c r="E1245" s="199" t="n">
        <v>1478.26</v>
      </c>
      <c r="F1245" s="200" t="n"/>
      <c r="G1245" s="197" t="n">
        <v>0</v>
      </c>
      <c r="H1245" s="201" t="n"/>
      <c r="I1245" s="86" t="inlineStr">
        <is>
          <t>異物</t>
        </is>
      </c>
      <c r="J1245" s="201" t="n">
        <v>2</v>
      </c>
      <c r="K1245" s="92" t="n"/>
      <c r="L1245" s="93" t="n"/>
      <c r="M1245" s="93" t="n"/>
      <c r="N1245" s="93" t="n"/>
    </row>
    <row r="1246" ht="18.95" customFormat="1" customHeight="1" s="94">
      <c r="A1246" s="202" t="n">
        <v>46181</v>
      </c>
      <c r="B1246" s="72" t="inlineStr">
        <is>
          <t>26E22-04 × 100</t>
        </is>
      </c>
      <c r="C1246" s="197" t="n">
        <v>22</v>
      </c>
      <c r="D1246" s="198" t="n">
        <v>1478.19</v>
      </c>
      <c r="E1246" s="199" t="n">
        <v>1478.2</v>
      </c>
      <c r="F1246" s="200" t="n"/>
      <c r="G1246" s="197" t="n">
        <v>0</v>
      </c>
      <c r="H1246" s="201" t="n"/>
      <c r="I1246" s="86" t="inlineStr">
        <is>
          <t>欠け</t>
        </is>
      </c>
      <c r="J1246" s="201" t="n"/>
      <c r="K1246" s="92" t="n"/>
      <c r="L1246" s="93" t="n"/>
      <c r="M1246" s="93" t="n"/>
      <c r="N1246" s="93" t="n"/>
    </row>
    <row r="1247" ht="18.95" customFormat="1" customHeight="1" s="94">
      <c r="A1247" s="202" t="n"/>
      <c r="B1247" s="72" t="inlineStr"/>
      <c r="C1247" s="197" t="n"/>
      <c r="D1247" s="198" t="n"/>
      <c r="E1247" s="199" t="n"/>
      <c r="F1247" s="200" t="n"/>
      <c r="G1247" s="197" t="n">
        <v>0</v>
      </c>
      <c r="H1247" s="201" t="n"/>
      <c r="I1247" s="86" t="inlineStr">
        <is>
          <t>メヤニ</t>
        </is>
      </c>
      <c r="J1247" s="201" t="n"/>
      <c r="K1247" s="92" t="n"/>
      <c r="L1247" s="93" t="n"/>
      <c r="M1247" s="93" t="n"/>
      <c r="N1247" s="93" t="n"/>
    </row>
    <row r="1248" ht="18.95" customFormat="1" customHeight="1" s="94">
      <c r="A1248" s="202" t="n"/>
      <c r="B1248" s="72" t="inlineStr"/>
      <c r="C1248" s="197" t="n"/>
      <c r="D1248" s="198" t="n"/>
      <c r="E1248" s="199" t="n"/>
      <c r="F1248" s="200" t="n"/>
      <c r="G1248" s="197" t="n">
        <v>0</v>
      </c>
      <c r="H1248" s="201" t="n"/>
      <c r="I1248" s="86" t="inlineStr">
        <is>
          <t>ベコツキ</t>
        </is>
      </c>
      <c r="J1248" s="201" t="n"/>
      <c r="K1248" s="92" t="n"/>
      <c r="L1248" s="93" t="n"/>
      <c r="M1248" s="93" t="n"/>
      <c r="N1248" s="93" t="n"/>
    </row>
    <row r="1249" ht="18.95" customFormat="1" customHeight="1" s="94">
      <c r="A1249" s="202" t="n"/>
      <c r="B1249" s="72" t="inlineStr"/>
      <c r="C1249" s="197" t="n"/>
      <c r="D1249" s="198" t="n"/>
      <c r="E1249" s="199" t="n"/>
      <c r="F1249" s="200" t="n"/>
      <c r="G1249" s="197" t="n">
        <v>0</v>
      </c>
      <c r="H1249" s="201" t="n"/>
      <c r="I1249" s="95" t="inlineStr">
        <is>
          <t>汚損</t>
        </is>
      </c>
      <c r="J1249" s="201" t="n"/>
      <c r="K1249" s="92" t="n"/>
      <c r="L1249" s="93" t="n"/>
      <c r="M1249" s="93" t="n"/>
      <c r="N1249" s="93" t="n"/>
    </row>
    <row r="1250" ht="18.95" customFormat="1" customHeight="1" s="94">
      <c r="A1250" s="202" t="n"/>
      <c r="B1250" s="72" t="inlineStr"/>
      <c r="C1250" s="197" t="n"/>
      <c r="D1250" s="198" t="n"/>
      <c r="E1250" s="199" t="n"/>
      <c r="F1250" s="200" t="n"/>
      <c r="G1250" s="197" t="n">
        <v>0</v>
      </c>
      <c r="H1250" s="201" t="n"/>
      <c r="I1250" s="95" t="inlineStr">
        <is>
          <t>形状異常</t>
        </is>
      </c>
      <c r="J1250" s="201" t="n"/>
      <c r="K1250" s="92" t="n"/>
      <c r="L1250" s="93" t="n"/>
      <c r="M1250" s="93" t="n"/>
      <c r="N1250" s="93" t="n"/>
    </row>
    <row r="1251" ht="18.95" customFormat="1" customHeight="1" s="94">
      <c r="A1251" s="202" t="n"/>
      <c r="B1251" s="72" t="inlineStr"/>
      <c r="C1251" s="197" t="n"/>
      <c r="D1251" s="198" t="n"/>
      <c r="E1251" s="199" t="n"/>
      <c r="F1251" s="200" t="n"/>
      <c r="G1251" s="197" t="n">
        <v>0</v>
      </c>
      <c r="H1251" s="201" t="n"/>
      <c r="I1251" s="86" t="inlineStr">
        <is>
          <t>その他</t>
        </is>
      </c>
      <c r="J1251" s="203" t="n">
        <v>124</v>
      </c>
      <c r="K1251" s="92" t="n"/>
      <c r="L1251" s="93" t="n"/>
      <c r="M1251" s="93" t="n"/>
      <c r="N1251" s="93" t="n"/>
    </row>
    <row r="1252" ht="18.95" customFormat="1" customHeight="1" s="94" thickBot="1">
      <c r="A1252" s="204" t="inlineStr">
        <is>
          <t>不良補填</t>
        </is>
      </c>
      <c r="B1252" s="73" t="inlineStr">
        <is>
          <t>26D18-08 × 128</t>
        </is>
      </c>
      <c r="C1252" s="205" t="n"/>
      <c r="D1252" s="206" t="n"/>
      <c r="E1252" s="207" t="n"/>
      <c r="F1252" s="208" t="n"/>
      <c r="G1252" s="209" t="n"/>
      <c r="H1252" s="210" t="n"/>
      <c r="I1252" s="102" t="inlineStr">
        <is>
          <t>合計</t>
        </is>
      </c>
      <c r="J1252" s="211" t="n">
        <v>128</v>
      </c>
      <c r="K1252" s="92" t="n"/>
      <c r="L1252" s="93" t="n"/>
      <c r="M1252" s="93" t="n"/>
      <c r="N1252" s="93" t="n"/>
    </row>
    <row r="1253" ht="6" customHeight="1" s="156" thickBot="1">
      <c r="A1253" s="103" t="n"/>
      <c r="B1253" s="104" t="n"/>
      <c r="C1253" s="104" t="n"/>
      <c r="D1253" s="103" t="n"/>
      <c r="E1253" s="104" t="n"/>
      <c r="F1253" s="104" t="n"/>
      <c r="G1253" s="104" t="n"/>
      <c r="H1253" s="104" t="n"/>
    </row>
    <row r="1254" ht="6" customHeight="1" s="156" thickTop="1">
      <c r="A1254" s="10" t="n"/>
      <c r="B1254" s="10" t="n"/>
      <c r="C1254" s="10" t="n"/>
      <c r="D1254" s="10" t="n"/>
      <c r="E1254" s="10" t="n"/>
      <c r="F1254" s="10" t="n"/>
      <c r="G1254" s="10" t="n"/>
      <c r="H1254" s="10" t="n"/>
      <c r="I1254" s="10" t="n"/>
      <c r="J1254" s="10" t="n"/>
    </row>
    <row r="1255" ht="14.25" customHeight="1" s="156">
      <c r="A1255" s="11" t="n"/>
      <c r="B1255" s="125" t="inlineStr">
        <is>
          <t>検査梱包指示書</t>
        </is>
      </c>
      <c r="E1255" s="11" t="n"/>
      <c r="F1255" s="11" t="n"/>
      <c r="G1255" s="11" t="n"/>
      <c r="H1255" s="11" t="n"/>
      <c r="I1255" s="11" t="n"/>
      <c r="J1255" s="11" t="n"/>
    </row>
    <row r="1256" ht="14.25" customHeight="1" s="156">
      <c r="A1256" s="12" t="n"/>
      <c r="E1256" s="12" t="n"/>
      <c r="F1256" s="12" t="n"/>
      <c r="G1256" s="12" t="n"/>
      <c r="H1256" s="12" t="n"/>
      <c r="I1256" s="12" t="n"/>
      <c r="J1256" s="12" t="n"/>
    </row>
    <row r="1257" ht="14.25" customHeight="1" s="156">
      <c r="A1257" s="112" t="inlineStr">
        <is>
          <t>品目番号</t>
        </is>
      </c>
      <c r="B1257" s="112" t="inlineStr">
        <is>
          <t>J1JAZZB10814780</t>
        </is>
      </c>
      <c r="C1257" s="112" t="inlineStr">
        <is>
          <t>Ｌ寸</t>
        </is>
      </c>
      <c r="D1257" s="157" t="n">
        <v>1478</v>
      </c>
      <c r="E1257" s="112" t="inlineStr">
        <is>
          <t>名称</t>
        </is>
      </c>
      <c r="F1257" s="123" t="inlineStr">
        <is>
          <t>8FL2813046110</t>
        </is>
      </c>
      <c r="I1257" s="24" t="inlineStr">
        <is>
          <t>上長</t>
        </is>
      </c>
      <c r="J1257" s="24" t="inlineStr">
        <is>
          <t>係員</t>
        </is>
      </c>
    </row>
    <row r="1258" ht="14.25" customHeight="1" s="156">
      <c r="I1258" s="105" t="n"/>
      <c r="J1258" s="105" t="n"/>
    </row>
    <row r="1259" ht="17.45" customHeight="1" s="156">
      <c r="A1259" s="111" t="inlineStr">
        <is>
          <t>製造指図№</t>
        </is>
      </c>
      <c r="B1259" s="111" t="inlineStr">
        <is>
          <t>000000000014605</t>
        </is>
      </c>
      <c r="E1259" s="111" t="inlineStr">
        <is>
          <t>原料名</t>
        </is>
      </c>
      <c r="F1259" s="140" t="inlineStr">
        <is>
          <t>(CASE 1478MILK-W4)</t>
        </is>
      </c>
      <c r="I1259" s="106" t="n"/>
      <c r="J1259" s="106" t="n"/>
    </row>
    <row r="1260" ht="17.45" customHeight="1" s="156">
      <c r="I1260" s="13" t="n"/>
      <c r="J1260" s="13" t="n"/>
    </row>
    <row r="1261" ht="17.45" customHeight="1" s="156">
      <c r="A1261" s="111" t="inlineStr">
        <is>
          <t>発注明細№</t>
        </is>
      </c>
      <c r="B1261" s="111" t="inlineStr">
        <is>
          <t>000000000855943</t>
        </is>
      </c>
      <c r="E1261" s="2" t="inlineStr">
        <is>
          <t>色　名</t>
        </is>
      </c>
      <c r="F1261" s="140" t="inlineStr">
        <is>
          <t>J6VZ034</t>
        </is>
      </c>
      <c r="H1261" s="21" t="n"/>
      <c r="I1261" s="13" t="n"/>
      <c r="J1261" s="13" t="n"/>
    </row>
    <row r="1262" ht="17.45" customHeight="1" s="156">
      <c r="E1262" s="2" t="inlineStr">
        <is>
          <t>製品Grp</t>
        </is>
      </c>
      <c r="F1262" s="21" t="inlineStr">
        <is>
          <t>J1ZB</t>
        </is>
      </c>
      <c r="G1262" s="21" t="n"/>
      <c r="H1262" s="21" t="n"/>
      <c r="I1262" s="14" t="n"/>
      <c r="J1262" s="14" t="n"/>
    </row>
    <row r="1263" ht="17.45" customHeight="1" s="156">
      <c r="A1263" s="2" t="inlineStr">
        <is>
          <t>開始日</t>
        </is>
      </c>
      <c r="B1263" s="158" t="n">
        <v>46184</v>
      </c>
      <c r="E1263" s="2" t="inlineStr">
        <is>
          <t>入り数</t>
        </is>
      </c>
      <c r="F1263" s="159" t="n">
        <v>100</v>
      </c>
      <c r="H1263" s="21" t="n"/>
    </row>
    <row r="1264" ht="17.45" customHeight="1" s="156">
      <c r="A1264" s="2" t="inlineStr">
        <is>
          <t>終了日</t>
        </is>
      </c>
      <c r="B1264" s="158" t="n">
        <v>46184</v>
      </c>
      <c r="E1264" s="2" t="inlineStr">
        <is>
          <t>梱包数</t>
        </is>
      </c>
      <c r="F1264" s="21" t="n">
        <v>1</v>
      </c>
      <c r="G1264" s="143" t="inlineStr">
        <is>
          <t>指示数量</t>
        </is>
      </c>
      <c r="H1264" s="160" t="n">
        <v>100</v>
      </c>
      <c r="I1264" s="133" t="n"/>
      <c r="J1264" s="134" t="n"/>
    </row>
    <row r="1265" ht="17.45" customHeight="1" s="156">
      <c r="A1265" s="19" t="n"/>
      <c r="B1265" s="127" t="n"/>
      <c r="C1265" s="127" t="n"/>
      <c r="D1265" s="127" t="n"/>
      <c r="E1265" s="2" t="inlineStr">
        <is>
          <t>金　型</t>
        </is>
      </c>
      <c r="F1265" s="21" t="inlineStr">
        <is>
          <t>4350</t>
        </is>
      </c>
      <c r="G1265" s="135" t="n"/>
      <c r="H1265" s="135" t="n"/>
      <c r="I1265" s="117" t="n"/>
      <c r="J1265" s="136" t="n"/>
    </row>
    <row r="1266" ht="13.5" customHeight="1" s="156">
      <c r="A1266" s="127" t="inlineStr">
        <is>
          <t>*J1JAZZB10814780*</t>
        </is>
      </c>
      <c r="D1266" s="127" t="n"/>
      <c r="F1266" s="3" t="n"/>
      <c r="G1266" s="126" t="inlineStr">
        <is>
          <t>格納先</t>
        </is>
      </c>
      <c r="H1266" s="118" t="inlineStr">
        <is>
          <t>V3J03</t>
        </is>
      </c>
      <c r="I1266" s="138" t="inlineStr">
        <is>
          <t>樹脂第3倉庫 (在庫)</t>
        </is>
      </c>
      <c r="J1266" s="139" t="n"/>
    </row>
    <row r="1267" ht="13.5" customHeight="1" s="156">
      <c r="D1267" s="127" t="n"/>
      <c r="F1267" s="3" t="n"/>
      <c r="G1267" s="119" t="n"/>
      <c r="H1267" s="119" t="n"/>
      <c r="I1267" s="117" t="n"/>
      <c r="J1267" s="136" t="n"/>
    </row>
    <row r="1268" ht="13.5" customHeight="1" s="156">
      <c r="A1268" s="108" t="inlineStr">
        <is>
          <t>指図書備考</t>
        </is>
      </c>
    </row>
    <row r="1269" ht="63" customHeight="1" s="156">
      <c r="A1269" s="130" t="n"/>
      <c r="B1269" s="131" t="n"/>
      <c r="C1269" s="131" t="n"/>
      <c r="D1269" s="131" t="n"/>
      <c r="E1269" s="131" t="n"/>
      <c r="F1269" s="131" t="n"/>
      <c r="G1269" s="131" t="n"/>
      <c r="H1269" s="131" t="n"/>
      <c r="I1269" s="131" t="n"/>
      <c r="J1269" s="131" t="n"/>
    </row>
    <row r="1270" ht="18.75" customHeight="1" s="156">
      <c r="A1270" s="23" t="inlineStr">
        <is>
          <t>工順</t>
        </is>
      </c>
      <c r="B1270" s="16" t="inlineStr">
        <is>
          <t>製造場所</t>
        </is>
      </c>
      <c r="C1270" s="120" t="inlineStr">
        <is>
          <t>製造場所名</t>
        </is>
      </c>
      <c r="D1270" s="121" t="n"/>
      <c r="E1270" s="16" t="inlineStr">
        <is>
          <t>工程</t>
        </is>
      </c>
      <c r="F1270" s="120" t="inlineStr">
        <is>
          <t>工程名</t>
        </is>
      </c>
      <c r="G1270" s="121" t="n"/>
      <c r="H1270" s="121" t="n"/>
      <c r="I1270" s="124" t="inlineStr">
        <is>
          <t>作業時間</t>
        </is>
      </c>
      <c r="J1270" s="121" t="n"/>
    </row>
    <row r="1271" ht="14.25" customHeight="1" s="156">
      <c r="A1271" s="141" t="n"/>
      <c r="B1271" s="141" t="n"/>
      <c r="C1271" s="141" t="n"/>
      <c r="D1271" s="141" t="n"/>
      <c r="E1271" s="141" t="n"/>
      <c r="F1271" s="141" t="n"/>
      <c r="G1271" s="141" t="n"/>
      <c r="H1271" s="141" t="n"/>
      <c r="I1271" s="141" t="n"/>
      <c r="J1271" s="141" t="n"/>
    </row>
    <row r="1272" ht="16.5" customHeight="1" s="156">
      <c r="A1272" s="22" t="n">
        <v>1</v>
      </c>
      <c r="B1272" s="107" t="inlineStr">
        <is>
          <t>V3Z01</t>
        </is>
      </c>
      <c r="C1272" s="107" t="inlineStr">
        <is>
          <t>黒部工業</t>
        </is>
      </c>
      <c r="E1272" s="107" t="inlineStr">
        <is>
          <t>V3P05</t>
        </is>
      </c>
      <c r="F1272" s="107" t="inlineStr">
        <is>
          <t>切断</t>
        </is>
      </c>
      <c r="I1272" s="115" t="n"/>
    </row>
    <row r="1273" ht="16.5" customHeight="1" s="156">
      <c r="A1273" s="22" t="n">
        <v>1</v>
      </c>
      <c r="B1273" s="26" t="inlineStr">
        <is>
          <t>V3Z01</t>
        </is>
      </c>
      <c r="C1273" s="107" t="inlineStr">
        <is>
          <t>黒部工業</t>
        </is>
      </c>
      <c r="E1273" s="107" t="inlineStr">
        <is>
          <t>V3P16</t>
        </is>
      </c>
      <c r="F1273" s="107" t="inlineStr">
        <is>
          <t>検査・梱包</t>
        </is>
      </c>
      <c r="I1273" s="115" t="n"/>
    </row>
    <row r="1274" ht="16.5" customHeight="1" s="156">
      <c r="A1274" s="22" t="n"/>
      <c r="B1274" s="26" t="n"/>
      <c r="C1274" s="107" t="n"/>
      <c r="E1274" s="107" t="n"/>
      <c r="F1274" s="107" t="n"/>
      <c r="I1274" s="115" t="n"/>
    </row>
    <row r="1275" ht="16.5" customHeight="1" s="156">
      <c r="A1275" s="22" t="n"/>
      <c r="B1275" s="26" t="n"/>
      <c r="C1275" s="107" t="n"/>
      <c r="E1275" s="107" t="n"/>
      <c r="F1275" s="107" t="n"/>
      <c r="I1275" s="115" t="n"/>
    </row>
    <row r="1276" ht="16.5" customHeight="1" s="156">
      <c r="A1276" s="22" t="n"/>
      <c r="B1276" s="26" t="n"/>
      <c r="C1276" s="107" t="n"/>
      <c r="E1276" s="107" t="n"/>
      <c r="F1276" s="107" t="n"/>
      <c r="I1276" s="115" t="n"/>
    </row>
    <row r="1277" ht="16.5" customHeight="1" s="156">
      <c r="A1277" s="22" t="n"/>
      <c r="B1277" s="26" t="n"/>
      <c r="C1277" s="107" t="n"/>
      <c r="E1277" s="107" t="n"/>
      <c r="F1277" s="107" t="n"/>
      <c r="I1277" s="115" t="n"/>
    </row>
    <row r="1278" ht="16.5" customHeight="1" s="156">
      <c r="A1278" s="15" t="n"/>
      <c r="B1278" s="15" t="n"/>
      <c r="C1278" s="15" t="n"/>
      <c r="D1278" s="15" t="n"/>
      <c r="E1278" s="15" t="n"/>
      <c r="F1278" s="15" t="n"/>
      <c r="G1278" s="15" t="n"/>
      <c r="H1278" s="15" t="n"/>
      <c r="I1278" s="15" t="n"/>
      <c r="J1278" s="15" t="n"/>
    </row>
    <row r="1279" ht="18.75" customHeight="1" s="156">
      <c r="A1279" s="109" t="inlineStr">
        <is>
          <t>品目コード</t>
        </is>
      </c>
      <c r="B1279" s="110" t="n"/>
      <c r="C1279" s="109" t="inlineStr">
        <is>
          <t>品目名１</t>
        </is>
      </c>
      <c r="D1279" s="110" t="n"/>
      <c r="E1279" s="110" t="n"/>
      <c r="F1279" s="17" t="inlineStr">
        <is>
          <t>在庫場所</t>
        </is>
      </c>
      <c r="G1279" s="109" t="inlineStr">
        <is>
          <t>出庫数量</t>
        </is>
      </c>
      <c r="H1279" s="110" t="n"/>
      <c r="I1279" s="109" t="inlineStr">
        <is>
          <t>バッチ必要数</t>
        </is>
      </c>
      <c r="J1279" s="110" t="n"/>
    </row>
    <row r="1280" ht="14.25" customHeight="1" s="156">
      <c r="A1280" s="8" t="n"/>
      <c r="B1280" s="18" t="n"/>
      <c r="C1280" s="116" t="inlineStr">
        <is>
          <t>品目名２</t>
        </is>
      </c>
      <c r="D1280" s="117" t="n"/>
      <c r="E1280" s="18" t="n"/>
      <c r="F1280" s="116" t="inlineStr">
        <is>
          <t>指図書備考</t>
        </is>
      </c>
      <c r="G1280" s="117" t="n"/>
      <c r="H1280" s="117" t="n"/>
      <c r="I1280" s="117" t="n"/>
      <c r="J1280" s="117" t="n"/>
    </row>
    <row r="1281">
      <c r="A1281" s="9" t="n"/>
      <c r="C1281" s="137" t="n"/>
      <c r="D1281" s="137" t="n"/>
      <c r="E1281" s="137" t="n"/>
    </row>
    <row r="1282" ht="14.25" customHeight="1" s="156">
      <c r="A1282" s="107" t="inlineStr">
        <is>
          <t>J1JAZZA10818200</t>
        </is>
      </c>
      <c r="C1282" s="107" t="inlineStr">
        <is>
          <t>@8FL28130 L1820</t>
        </is>
      </c>
      <c r="F1282" s="27" t="inlineStr">
        <is>
          <t>V3J04</t>
        </is>
      </c>
      <c r="G1282" s="161" t="n">
        <v>100</v>
      </c>
      <c r="I1282" s="161" t="n">
        <v>1</v>
      </c>
    </row>
    <row r="1283" ht="24.95" customHeight="1" s="156">
      <c r="A1283" s="122" t="inlineStr">
        <is>
          <t>*J1JAZZA10818200*</t>
        </is>
      </c>
      <c r="C1283" s="107" t="n"/>
      <c r="F1283" s="107" t="n"/>
    </row>
    <row r="1284" ht="14.25" customHeight="1" s="156">
      <c r="A1284" s="107" t="inlineStr">
        <is>
          <t>J6DW0092</t>
        </is>
      </c>
      <c r="C1284" s="107" t="inlineStr">
        <is>
          <t>LED-A1478　1488X275X166</t>
        </is>
      </c>
      <c r="F1284" s="27" t="inlineStr">
        <is>
          <t>V3W04</t>
        </is>
      </c>
      <c r="G1284" s="161" t="n">
        <v>1</v>
      </c>
      <c r="I1284" s="161" t="n">
        <v>0.01</v>
      </c>
    </row>
    <row r="1285" ht="24.95" customHeight="1" s="156">
      <c r="A1285" s="122" t="inlineStr">
        <is>
          <t>*J6DW0092*</t>
        </is>
      </c>
      <c r="C1285" s="107" t="inlineStr">
        <is>
          <t>L1478×W275×H166</t>
        </is>
      </c>
      <c r="F1285" s="107" t="n"/>
    </row>
    <row r="1286" ht="14.25" customHeight="1" s="156">
      <c r="A1286" s="107" t="inlineStr">
        <is>
          <t>J6XX0050</t>
        </is>
      </c>
      <c r="C1286" s="107" t="inlineStr">
        <is>
          <t>(管理外)筋入ｸﾗﾌﾄ紙</t>
        </is>
      </c>
      <c r="F1286" s="27" t="n"/>
      <c r="G1286" s="161" t="n">
        <v>0.2</v>
      </c>
      <c r="I1286" s="161" t="n">
        <v>0.002</v>
      </c>
    </row>
    <row r="1287" ht="24.95" customHeight="1" s="156">
      <c r="A1287" s="122" t="inlineStr">
        <is>
          <t>*J6XX0050*</t>
        </is>
      </c>
      <c r="C1287" s="107" t="inlineStr">
        <is>
          <t>300＊100</t>
        </is>
      </c>
      <c r="F1287" s="107" t="n"/>
    </row>
    <row r="1288" ht="14.25" customHeight="1" s="156">
      <c r="A1288" s="107" t="inlineStr">
        <is>
          <t>J6XX0051</t>
        </is>
      </c>
      <c r="C1288" s="107" t="inlineStr">
        <is>
          <t>(管理外)LLDPE規格ｼｰﾄ0.02×950×100m</t>
        </is>
      </c>
      <c r="F1288" s="27" t="n"/>
      <c r="G1288" s="161" t="n">
        <v>0.1</v>
      </c>
      <c r="I1288" s="161" t="n">
        <v>0.001</v>
      </c>
    </row>
    <row r="1289" ht="24.95" customHeight="1" s="156">
      <c r="A1289" s="122" t="inlineStr">
        <is>
          <t>*J6XX0051*</t>
        </is>
      </c>
      <c r="C1289" s="107" t="inlineStr">
        <is>
          <t>0.02×950×100m</t>
        </is>
      </c>
      <c r="F1289" s="107" t="n"/>
    </row>
    <row r="1290" ht="14.25" customHeight="1" s="156">
      <c r="A1290" s="107" t="n"/>
      <c r="C1290" s="107" t="n"/>
      <c r="F1290" s="27" t="n"/>
      <c r="G1290" s="161" t="n"/>
      <c r="I1290" s="161" t="n"/>
    </row>
    <row r="1291" ht="24.95" customHeight="1" s="156" thickBot="1">
      <c r="A1291" s="122" t="n"/>
      <c r="C1291" s="107" t="n"/>
      <c r="F1291" s="107" t="n"/>
    </row>
    <row r="1292" ht="18" customFormat="1" customHeight="1" s="141">
      <c r="A1292" s="28" t="inlineStr">
        <is>
          <t>温度換算</t>
        </is>
      </c>
      <c r="B1292" s="29" t="inlineStr">
        <is>
          <t>L寸</t>
        </is>
      </c>
      <c r="C1292" s="147" t="inlineStr">
        <is>
          <t>梱包箱</t>
        </is>
      </c>
      <c r="D1292" s="162" t="n"/>
      <c r="E1292" s="148" t="inlineStr">
        <is>
          <t>使用数</t>
        </is>
      </c>
      <c r="F1292" s="31" t="inlineStr">
        <is>
          <t>作業者</t>
        </is>
      </c>
      <c r="G1292" s="32" t="inlineStr">
        <is>
          <t>加工Lot</t>
        </is>
      </c>
      <c r="H1292" s="129" t="inlineStr">
        <is>
          <t>箱数</t>
        </is>
      </c>
      <c r="I1292" s="128" t="inlineStr">
        <is>
          <t>加工明細</t>
        </is>
      </c>
      <c r="J1292" s="162" t="n"/>
    </row>
    <row r="1293" ht="18" customFormat="1" customHeight="1" s="137">
      <c r="A1293" s="34" t="inlineStr">
        <is>
          <t>〇</t>
        </is>
      </c>
      <c r="B1293" s="163" t="n">
        <v>1478</v>
      </c>
      <c r="C1293" s="164" t="inlineStr">
        <is>
          <t>LED-A1478</t>
        </is>
      </c>
      <c r="D1293" s="165" t="n"/>
      <c r="E1293" s="166" t="n">
        <v>1</v>
      </c>
      <c r="F1293" s="167" t="inlineStr">
        <is>
          <t xml:space="preserve">切断加工：I / </t>
        </is>
      </c>
      <c r="G1293" s="168" t="n">
        <v>46181</v>
      </c>
      <c r="H1293" s="169" t="n">
        <v>1</v>
      </c>
      <c r="I1293" s="39" t="inlineStr">
        <is>
          <t>入庫日</t>
        </is>
      </c>
      <c r="J1293" s="170" t="n">
        <v>46181</v>
      </c>
    </row>
    <row r="1294" ht="18" customFormat="1" customHeight="1" s="141">
      <c r="A1294" s="44" t="inlineStr">
        <is>
          <t>+公差</t>
        </is>
      </c>
      <c r="B1294" s="45" t="inlineStr">
        <is>
          <t>切断寸法</t>
        </is>
      </c>
      <c r="C1294" s="171" t="n"/>
      <c r="D1294" s="172" t="n"/>
      <c r="E1294" s="119" t="n"/>
      <c r="F1294" s="173" t="inlineStr">
        <is>
          <t xml:space="preserve">外観検査：T / </t>
        </is>
      </c>
      <c r="G1294" s="168" t="n"/>
      <c r="H1294" s="169" t="n"/>
      <c r="I1294" s="39" t="inlineStr">
        <is>
          <t>入庫数</t>
        </is>
      </c>
      <c r="J1294" s="174" t="n">
        <v>100</v>
      </c>
      <c r="K1294" s="47" t="n"/>
    </row>
    <row r="1295" ht="18" customFormat="1" customHeight="1" s="137">
      <c r="A1295" s="48" t="n">
        <v>0.5</v>
      </c>
      <c r="B1295" s="175" t="inlineStr">
        <is>
          <t>換算表確認</t>
        </is>
      </c>
      <c r="C1295" s="155" t="inlineStr">
        <is>
          <t>梱包
方法</t>
        </is>
      </c>
      <c r="D1295" s="176" t="inlineStr">
        <is>
          <t>クラフト紙：1478型</t>
        </is>
      </c>
      <c r="E1295" s="177" t="n"/>
      <c r="F1295" s="178" t="n"/>
      <c r="G1295" s="168" t="n"/>
      <c r="H1295" s="169" t="n"/>
      <c r="I1295" s="39" t="inlineStr">
        <is>
          <t>使用基材数</t>
        </is>
      </c>
      <c r="J1295" s="174" t="n">
        <v>102</v>
      </c>
      <c r="K1295" s="50" t="n"/>
    </row>
    <row r="1296" ht="18" customFormat="1" customHeight="1" s="141">
      <c r="A1296" s="51" t="inlineStr">
        <is>
          <t>-公差</t>
        </is>
      </c>
      <c r="B1296" s="52" t="inlineStr">
        <is>
          <t>取数</t>
        </is>
      </c>
      <c r="C1296" s="179" t="n"/>
      <c r="D1296" s="176" t="inlineStr">
        <is>
          <t>ラベル１枚　長手無　鉢巻１回</t>
        </is>
      </c>
      <c r="E1296" s="177" t="n"/>
      <c r="F1296" s="178" t="n"/>
      <c r="G1296" s="168" t="n"/>
      <c r="H1296" s="169" t="n"/>
      <c r="I1296" s="39" t="inlineStr">
        <is>
          <t>製品不良</t>
        </is>
      </c>
      <c r="J1296" s="174" t="n">
        <v>2</v>
      </c>
      <c r="K1296" s="47" t="n"/>
    </row>
    <row r="1297" ht="18" customFormat="1" customHeight="1" s="137" thickBot="1">
      <c r="A1297" s="53" t="n">
        <v>-0.5</v>
      </c>
      <c r="B1297" s="54" t="n">
        <v>1</v>
      </c>
      <c r="C1297" s="55" t="inlineStr">
        <is>
          <t>備考</t>
        </is>
      </c>
      <c r="D1297" s="180" t="inlineStr">
        <is>
          <t>1箱目の梱包数 目視確認　以降、重量測定</t>
        </is>
      </c>
      <c r="E1297" s="181" t="n"/>
      <c r="F1297" s="182" t="n"/>
      <c r="G1297" s="183" t="n"/>
      <c r="H1297" s="184" t="n"/>
      <c r="I1297" s="39" t="inlineStr">
        <is>
          <t>基材不良</t>
        </is>
      </c>
      <c r="J1297" s="185" t="n">
        <v>2</v>
      </c>
      <c r="K1297" s="50" t="n"/>
    </row>
    <row r="1298" ht="18" customFormat="1" customHeight="1" s="141" thickBot="1">
      <c r="A1298" s="58" t="inlineStr">
        <is>
          <t>作業日</t>
        </is>
      </c>
      <c r="B1298" s="59">
        <f t="array" ref="B1298">IF(SUM(--(ISTEXT(B1299:B1309)*(B1299:B1309&lt;&gt;"")))=0,"計測Lot","計測Lot・加工数")</f>
        <v/>
      </c>
      <c r="C1298" s="60" t="inlineStr">
        <is>
          <t>温度</t>
        </is>
      </c>
      <c r="D1298" s="61" t="inlineStr">
        <is>
          <t>換算</t>
        </is>
      </c>
      <c r="E1298" s="62" t="inlineStr">
        <is>
          <t>計測値</t>
        </is>
      </c>
      <c r="F1298" s="63">
        <f t="array" ref="F1298">IF(SUM(--(ISTEXT(B1299:B1309)*(B1299:B1309&lt;&gt;"")))=0,"記入不要","使用Lot")</f>
        <v/>
      </c>
      <c r="G1298" s="64" t="inlineStr">
        <is>
          <t>加工数</t>
        </is>
      </c>
      <c r="H1298" s="65" t="inlineStr">
        <is>
          <t>基材換算</t>
        </is>
      </c>
      <c r="I1298" s="66" t="inlineStr">
        <is>
          <t>端材使用</t>
        </is>
      </c>
      <c r="J1298" s="186" t="n">
        <v>0</v>
      </c>
      <c r="K1298" s="47" t="n"/>
    </row>
    <row r="1299" ht="18" customFormat="1" customHeight="1" s="137">
      <c r="A1299" s="187" t="n"/>
      <c r="B1299" s="188" t="n"/>
      <c r="C1299" s="74" t="n"/>
      <c r="D1299" s="189" t="n"/>
      <c r="E1299" s="190" t="n"/>
      <c r="F1299" s="191" t="n">
        <v>0</v>
      </c>
      <c r="G1299" s="192" t="n">
        <v>0</v>
      </c>
      <c r="H1299" s="193" t="n"/>
      <c r="I1299" s="194" t="inlineStr">
        <is>
          <t>不良内訳</t>
        </is>
      </c>
      <c r="J1299" s="195" t="n"/>
      <c r="K1299" s="80" t="n"/>
    </row>
    <row r="1300" ht="18" customFormat="1" customHeight="1" s="141">
      <c r="A1300" s="196" t="n">
        <v>46181</v>
      </c>
      <c r="B1300" s="72" t="inlineStr">
        <is>
          <t>26E22-04</t>
        </is>
      </c>
      <c r="C1300" s="197" t="n">
        <v>22</v>
      </c>
      <c r="D1300" s="198" t="n">
        <v>1478.19</v>
      </c>
      <c r="E1300" s="199" t="n">
        <v>1478.22</v>
      </c>
      <c r="F1300" s="200" t="inlineStr">
        <is>
          <t>26E22-04</t>
        </is>
      </c>
      <c r="G1300" s="197" t="n">
        <v>100</v>
      </c>
      <c r="H1300" s="201" t="n">
        <v>100</v>
      </c>
      <c r="I1300" s="86" t="inlineStr">
        <is>
          <t>キズ</t>
        </is>
      </c>
      <c r="J1300" s="201" t="n"/>
      <c r="K1300" s="80" t="n"/>
    </row>
    <row r="1301" ht="18.95" customFormat="1" customHeight="1" s="91">
      <c r="A1301" s="202" t="n">
        <v>46181</v>
      </c>
      <c r="B1301" s="72" t="inlineStr">
        <is>
          <t>26E22-04 × 100</t>
        </is>
      </c>
      <c r="C1301" s="197" t="n">
        <v>22</v>
      </c>
      <c r="D1301" s="198" t="n">
        <v>1478.19</v>
      </c>
      <c r="E1301" s="199" t="n">
        <v>1478.23</v>
      </c>
      <c r="F1301" s="200" t="inlineStr">
        <is>
          <t>26D18-08</t>
        </is>
      </c>
      <c r="G1301" s="197" t="n">
        <v>2</v>
      </c>
      <c r="H1301" s="201" t="n">
        <v>2</v>
      </c>
      <c r="I1301" s="86" t="inlineStr">
        <is>
          <t>凹み</t>
        </is>
      </c>
      <c r="J1301" s="201" t="n"/>
      <c r="K1301" s="89" t="n"/>
      <c r="L1301" s="90" t="n"/>
      <c r="M1301" s="90" t="n"/>
      <c r="N1301" s="90" t="n"/>
    </row>
    <row r="1302" ht="18.95" customFormat="1" customHeight="1" s="94">
      <c r="A1302" s="202" t="n"/>
      <c r="B1302" s="72" t="inlineStr"/>
      <c r="C1302" s="197" t="n"/>
      <c r="D1302" s="198" t="n"/>
      <c r="E1302" s="199" t="n"/>
      <c r="F1302" s="200" t="n"/>
      <c r="G1302" s="197" t="n">
        <v>0</v>
      </c>
      <c r="H1302" s="201" t="n"/>
      <c r="I1302" s="86" t="inlineStr">
        <is>
          <t>異物</t>
        </is>
      </c>
      <c r="J1302" s="201" t="n">
        <v>2</v>
      </c>
      <c r="K1302" s="92" t="n"/>
      <c r="L1302" s="93" t="n"/>
      <c r="M1302" s="93" t="n"/>
      <c r="N1302" s="93" t="n"/>
    </row>
    <row r="1303" ht="18.95" customFormat="1" customHeight="1" s="94">
      <c r="A1303" s="202" t="n"/>
      <c r="B1303" s="72" t="inlineStr"/>
      <c r="C1303" s="197" t="n"/>
      <c r="D1303" s="198" t="n"/>
      <c r="E1303" s="199" t="n"/>
      <c r="F1303" s="200" t="n"/>
      <c r="G1303" s="197" t="n">
        <v>0</v>
      </c>
      <c r="H1303" s="201" t="n"/>
      <c r="I1303" s="86" t="inlineStr">
        <is>
          <t>欠け</t>
        </is>
      </c>
      <c r="J1303" s="201" t="n"/>
      <c r="K1303" s="92" t="n"/>
      <c r="L1303" s="93" t="n"/>
      <c r="M1303" s="93" t="n"/>
      <c r="N1303" s="93" t="n"/>
    </row>
    <row r="1304" ht="18.95" customFormat="1" customHeight="1" s="94">
      <c r="A1304" s="202" t="n"/>
      <c r="B1304" s="72" t="inlineStr"/>
      <c r="C1304" s="197" t="n"/>
      <c r="D1304" s="198" t="n"/>
      <c r="E1304" s="199" t="n"/>
      <c r="F1304" s="200" t="n"/>
      <c r="G1304" s="197" t="n">
        <v>0</v>
      </c>
      <c r="H1304" s="201" t="n"/>
      <c r="I1304" s="86" t="inlineStr">
        <is>
          <t>メヤニ</t>
        </is>
      </c>
      <c r="J1304" s="201" t="n"/>
      <c r="K1304" s="92" t="n"/>
      <c r="L1304" s="93" t="n"/>
      <c r="M1304" s="93" t="n"/>
      <c r="N1304" s="93" t="n"/>
    </row>
    <row r="1305" ht="18.95" customFormat="1" customHeight="1" s="94">
      <c r="A1305" s="202" t="n"/>
      <c r="B1305" s="72" t="inlineStr"/>
      <c r="C1305" s="197" t="n"/>
      <c r="D1305" s="198" t="n"/>
      <c r="E1305" s="199" t="n"/>
      <c r="F1305" s="200" t="n"/>
      <c r="G1305" s="197" t="n">
        <v>0</v>
      </c>
      <c r="H1305" s="201" t="n"/>
      <c r="I1305" s="86" t="inlineStr">
        <is>
          <t>ベコツキ</t>
        </is>
      </c>
      <c r="J1305" s="201" t="n"/>
      <c r="K1305" s="92" t="n"/>
      <c r="L1305" s="93" t="n"/>
      <c r="M1305" s="93" t="n"/>
      <c r="N1305" s="93" t="n"/>
    </row>
    <row r="1306" ht="18.95" customFormat="1" customHeight="1" s="94">
      <c r="A1306" s="202" t="n"/>
      <c r="B1306" s="72" t="inlineStr"/>
      <c r="C1306" s="197" t="n"/>
      <c r="D1306" s="198" t="n"/>
      <c r="E1306" s="199" t="n"/>
      <c r="F1306" s="200" t="n"/>
      <c r="G1306" s="197" t="n">
        <v>0</v>
      </c>
      <c r="H1306" s="201" t="n"/>
      <c r="I1306" s="95" t="inlineStr">
        <is>
          <t>汚損</t>
        </is>
      </c>
      <c r="J1306" s="201" t="n"/>
      <c r="K1306" s="92" t="n"/>
      <c r="L1306" s="93" t="n"/>
      <c r="M1306" s="93" t="n"/>
      <c r="N1306" s="93" t="n"/>
    </row>
    <row r="1307" ht="18.95" customFormat="1" customHeight="1" s="94">
      <c r="A1307" s="202" t="n"/>
      <c r="B1307" s="72" t="inlineStr"/>
      <c r="C1307" s="197" t="n"/>
      <c r="D1307" s="198" t="n"/>
      <c r="E1307" s="199" t="n"/>
      <c r="F1307" s="200" t="n"/>
      <c r="G1307" s="197" t="n">
        <v>0</v>
      </c>
      <c r="H1307" s="201" t="n"/>
      <c r="I1307" s="95" t="inlineStr">
        <is>
          <t>形状異常</t>
        </is>
      </c>
      <c r="J1307" s="201" t="n"/>
      <c r="K1307" s="92" t="n"/>
      <c r="L1307" s="93" t="n"/>
      <c r="M1307" s="93" t="n"/>
      <c r="N1307" s="93" t="n"/>
    </row>
    <row r="1308" ht="18.95" customFormat="1" customHeight="1" s="94">
      <c r="A1308" s="202" t="n"/>
      <c r="B1308" s="72" t="inlineStr"/>
      <c r="C1308" s="197" t="n"/>
      <c r="D1308" s="198" t="n"/>
      <c r="E1308" s="199" t="n"/>
      <c r="F1308" s="200" t="n"/>
      <c r="G1308" s="197" t="n">
        <v>0</v>
      </c>
      <c r="H1308" s="201" t="n"/>
      <c r="I1308" s="86" t="inlineStr">
        <is>
          <t>その他</t>
        </is>
      </c>
      <c r="J1308" s="203" t="n"/>
      <c r="K1308" s="92" t="n"/>
      <c r="L1308" s="93" t="n"/>
      <c r="M1308" s="93" t="n"/>
      <c r="N1308" s="93" t="n"/>
    </row>
    <row r="1309" ht="18.95" customFormat="1" customHeight="1" s="94" thickBot="1">
      <c r="A1309" s="204" t="inlineStr">
        <is>
          <t>不良補填</t>
        </is>
      </c>
      <c r="B1309" s="73" t="inlineStr">
        <is>
          <t>26D18-08 × 2</t>
        </is>
      </c>
      <c r="C1309" s="205" t="n"/>
      <c r="D1309" s="206" t="n"/>
      <c r="E1309" s="207" t="n"/>
      <c r="F1309" s="208" t="n"/>
      <c r="G1309" s="209" t="n"/>
      <c r="H1309" s="210" t="n"/>
      <c r="I1309" s="102" t="inlineStr">
        <is>
          <t>合計</t>
        </is>
      </c>
      <c r="J1309" s="211" t="n">
        <v>2</v>
      </c>
      <c r="K1309" s="92" t="n"/>
      <c r="L1309" s="93" t="n"/>
      <c r="M1309" s="93" t="n"/>
      <c r="N1309" s="93" t="n"/>
    </row>
    <row r="1310" ht="6" customHeight="1" s="156" thickBot="1">
      <c r="A1310" s="103" t="n"/>
      <c r="B1310" s="104" t="n"/>
      <c r="C1310" s="104" t="n"/>
      <c r="D1310" s="103" t="n"/>
      <c r="E1310" s="104" t="n"/>
      <c r="F1310" s="104" t="n"/>
      <c r="G1310" s="104" t="n"/>
      <c r="H1310" s="104" t="n"/>
    </row>
    <row r="1311" ht="6" customHeight="1" s="156" thickTop="1">
      <c r="A1311" s="10" t="n"/>
      <c r="B1311" s="10" t="n"/>
      <c r="C1311" s="10" t="n"/>
      <c r="D1311" s="10" t="n"/>
      <c r="E1311" s="10" t="n"/>
      <c r="F1311" s="10" t="n"/>
      <c r="G1311" s="10" t="n"/>
      <c r="H1311" s="10" t="n"/>
      <c r="I1311" s="10" t="n"/>
      <c r="J1311" s="10" t="n"/>
    </row>
    <row r="1312" ht="14.25" customHeight="1" s="156">
      <c r="A1312" s="11" t="n"/>
      <c r="B1312" s="125" t="inlineStr">
        <is>
          <t>検査梱包指示書</t>
        </is>
      </c>
      <c r="E1312" s="11" t="n"/>
      <c r="F1312" s="11" t="n"/>
      <c r="G1312" s="11" t="n"/>
      <c r="H1312" s="11" t="n"/>
      <c r="I1312" s="11" t="n"/>
      <c r="J1312" s="11" t="n"/>
    </row>
    <row r="1313" ht="14.25" customHeight="1" s="156">
      <c r="A1313" s="12" t="n"/>
      <c r="E1313" s="12" t="n"/>
      <c r="F1313" s="12" t="n"/>
      <c r="G1313" s="12" t="n"/>
      <c r="H1313" s="12" t="n"/>
      <c r="I1313" s="12" t="n"/>
      <c r="J1313" s="12" t="n"/>
    </row>
    <row r="1314" ht="14.25" customHeight="1" s="156">
      <c r="A1314" s="112" t="inlineStr">
        <is>
          <t>品目番号</t>
        </is>
      </c>
      <c r="B1314" s="112" t="inlineStr">
        <is>
          <t>J1JAZZB10814780</t>
        </is>
      </c>
      <c r="C1314" s="112" t="inlineStr">
        <is>
          <t>Ｌ寸</t>
        </is>
      </c>
      <c r="D1314" s="157" t="n">
        <v>1478</v>
      </c>
      <c r="E1314" s="112" t="inlineStr">
        <is>
          <t>名称</t>
        </is>
      </c>
      <c r="F1314" s="123" t="inlineStr">
        <is>
          <t>8FL2813046110</t>
        </is>
      </c>
      <c r="I1314" s="24" t="inlineStr">
        <is>
          <t>上長</t>
        </is>
      </c>
      <c r="J1314" s="24" t="inlineStr">
        <is>
          <t>係員</t>
        </is>
      </c>
    </row>
    <row r="1315" ht="14.25" customHeight="1" s="156">
      <c r="I1315" s="105" t="n"/>
      <c r="J1315" s="105" t="n"/>
    </row>
    <row r="1316" ht="17.45" customHeight="1" s="156">
      <c r="A1316" s="111" t="inlineStr">
        <is>
          <t>製造指図№</t>
        </is>
      </c>
      <c r="B1316" s="111" t="inlineStr">
        <is>
          <t>000000000014606</t>
        </is>
      </c>
      <c r="E1316" s="111" t="inlineStr">
        <is>
          <t>原料名</t>
        </is>
      </c>
      <c r="F1316" s="140" t="inlineStr">
        <is>
          <t>(CASE 1478MILK-W4)</t>
        </is>
      </c>
      <c r="I1316" s="106" t="n"/>
      <c r="J1316" s="106" t="n"/>
    </row>
    <row r="1317" ht="17.45" customHeight="1" s="156">
      <c r="I1317" s="13" t="n"/>
      <c r="J1317" s="13" t="n"/>
    </row>
    <row r="1318" ht="17.45" customHeight="1" s="156">
      <c r="A1318" s="111" t="inlineStr">
        <is>
          <t>発注明細№</t>
        </is>
      </c>
      <c r="B1318" s="111" t="inlineStr">
        <is>
          <t>000000000855944</t>
        </is>
      </c>
      <c r="E1318" s="2" t="inlineStr">
        <is>
          <t>色　名</t>
        </is>
      </c>
      <c r="F1318" s="140" t="inlineStr">
        <is>
          <t>J6VZ034</t>
        </is>
      </c>
      <c r="H1318" s="21" t="n"/>
      <c r="I1318" s="13" t="n"/>
      <c r="J1318" s="13" t="n"/>
    </row>
    <row r="1319" ht="17.45" customHeight="1" s="156">
      <c r="E1319" s="2" t="inlineStr">
        <is>
          <t>製品Grp</t>
        </is>
      </c>
      <c r="F1319" s="21" t="inlineStr">
        <is>
          <t>J1ZB</t>
        </is>
      </c>
      <c r="G1319" s="21" t="n"/>
      <c r="H1319" s="21" t="n"/>
      <c r="I1319" s="14" t="n"/>
      <c r="J1319" s="14" t="n"/>
    </row>
    <row r="1320" ht="17.45" customHeight="1" s="156">
      <c r="A1320" s="2" t="inlineStr">
        <is>
          <t>開始日</t>
        </is>
      </c>
      <c r="B1320" s="158" t="n">
        <v>46184</v>
      </c>
      <c r="E1320" s="2" t="inlineStr">
        <is>
          <t>入り数</t>
        </is>
      </c>
      <c r="F1320" s="159" t="n">
        <v>100</v>
      </c>
      <c r="H1320" s="21" t="n"/>
    </row>
    <row r="1321" ht="17.45" customHeight="1" s="156">
      <c r="A1321" s="2" t="inlineStr">
        <is>
          <t>終了日</t>
        </is>
      </c>
      <c r="B1321" s="158" t="n">
        <v>46184</v>
      </c>
      <c r="E1321" s="2" t="inlineStr">
        <is>
          <t>梱包数</t>
        </is>
      </c>
      <c r="F1321" s="21" t="n">
        <v>1</v>
      </c>
      <c r="G1321" s="143" t="inlineStr">
        <is>
          <t>指示数量</t>
        </is>
      </c>
      <c r="H1321" s="160" t="n">
        <v>100</v>
      </c>
      <c r="I1321" s="133" t="n"/>
      <c r="J1321" s="134" t="n"/>
    </row>
    <row r="1322" ht="17.45" customHeight="1" s="156">
      <c r="A1322" s="19" t="n"/>
      <c r="B1322" s="127" t="n"/>
      <c r="C1322" s="127" t="n"/>
      <c r="D1322" s="127" t="n"/>
      <c r="E1322" s="2" t="inlineStr">
        <is>
          <t>金　型</t>
        </is>
      </c>
      <c r="F1322" s="21" t="inlineStr">
        <is>
          <t>4350</t>
        </is>
      </c>
      <c r="G1322" s="135" t="n"/>
      <c r="H1322" s="135" t="n"/>
      <c r="I1322" s="117" t="n"/>
      <c r="J1322" s="136" t="n"/>
    </row>
    <row r="1323" ht="13.5" customHeight="1" s="156">
      <c r="A1323" s="127" t="inlineStr">
        <is>
          <t>*J1JAZZB10814780*</t>
        </is>
      </c>
      <c r="D1323" s="127" t="n"/>
      <c r="F1323" s="3" t="n"/>
      <c r="G1323" s="126" t="inlineStr">
        <is>
          <t>格納先</t>
        </is>
      </c>
      <c r="H1323" s="118" t="inlineStr">
        <is>
          <t>V3J03</t>
        </is>
      </c>
      <c r="I1323" s="138" t="inlineStr">
        <is>
          <t>樹脂第3倉庫 (在庫)</t>
        </is>
      </c>
      <c r="J1323" s="139" t="n"/>
    </row>
    <row r="1324" ht="13.5" customHeight="1" s="156">
      <c r="D1324" s="127" t="n"/>
      <c r="F1324" s="3" t="n"/>
      <c r="G1324" s="119" t="n"/>
      <c r="H1324" s="119" t="n"/>
      <c r="I1324" s="117" t="n"/>
      <c r="J1324" s="136" t="n"/>
    </row>
    <row r="1325" ht="13.5" customHeight="1" s="156">
      <c r="A1325" s="108" t="inlineStr">
        <is>
          <t>指図書備考</t>
        </is>
      </c>
    </row>
    <row r="1326" ht="63" customHeight="1" s="156">
      <c r="A1326" s="130" t="n"/>
      <c r="B1326" s="131" t="n"/>
      <c r="C1326" s="131" t="n"/>
      <c r="D1326" s="131" t="n"/>
      <c r="E1326" s="131" t="n"/>
      <c r="F1326" s="131" t="n"/>
      <c r="G1326" s="131" t="n"/>
      <c r="H1326" s="131" t="n"/>
      <c r="I1326" s="131" t="n"/>
      <c r="J1326" s="131" t="n"/>
    </row>
    <row r="1327" ht="18.75" customHeight="1" s="156">
      <c r="A1327" s="23" t="inlineStr">
        <is>
          <t>工順</t>
        </is>
      </c>
      <c r="B1327" s="16" t="inlineStr">
        <is>
          <t>製造場所</t>
        </is>
      </c>
      <c r="C1327" s="120" t="inlineStr">
        <is>
          <t>製造場所名</t>
        </is>
      </c>
      <c r="D1327" s="121" t="n"/>
      <c r="E1327" s="16" t="inlineStr">
        <is>
          <t>工程</t>
        </is>
      </c>
      <c r="F1327" s="120" t="inlineStr">
        <is>
          <t>工程名</t>
        </is>
      </c>
      <c r="G1327" s="121" t="n"/>
      <c r="H1327" s="121" t="n"/>
      <c r="I1327" s="124" t="inlineStr">
        <is>
          <t>作業時間</t>
        </is>
      </c>
      <c r="J1327" s="121" t="n"/>
    </row>
    <row r="1328" ht="14.25" customHeight="1" s="156">
      <c r="A1328" s="141" t="n"/>
      <c r="B1328" s="141" t="n"/>
      <c r="C1328" s="141" t="n"/>
      <c r="D1328" s="141" t="n"/>
      <c r="E1328" s="141" t="n"/>
      <c r="F1328" s="141" t="n"/>
      <c r="G1328" s="141" t="n"/>
      <c r="H1328" s="141" t="n"/>
      <c r="I1328" s="141" t="n"/>
      <c r="J1328" s="141" t="n"/>
    </row>
    <row r="1329" ht="16.5" customHeight="1" s="156">
      <c r="A1329" s="22" t="n">
        <v>1</v>
      </c>
      <c r="B1329" s="107" t="inlineStr">
        <is>
          <t>V3Z01</t>
        </is>
      </c>
      <c r="C1329" s="107" t="inlineStr">
        <is>
          <t>黒部工業</t>
        </is>
      </c>
      <c r="E1329" s="107" t="inlineStr">
        <is>
          <t>V3P05</t>
        </is>
      </c>
      <c r="F1329" s="107" t="inlineStr">
        <is>
          <t>切断</t>
        </is>
      </c>
      <c r="I1329" s="115" t="n"/>
    </row>
    <row r="1330" ht="16.5" customHeight="1" s="156">
      <c r="A1330" s="22" t="n">
        <v>1</v>
      </c>
      <c r="B1330" s="26" t="inlineStr">
        <is>
          <t>V3Z01</t>
        </is>
      </c>
      <c r="C1330" s="107" t="inlineStr">
        <is>
          <t>黒部工業</t>
        </is>
      </c>
      <c r="E1330" s="107" t="inlineStr">
        <is>
          <t>V3P16</t>
        </is>
      </c>
      <c r="F1330" s="107" t="inlineStr">
        <is>
          <t>検査・梱包</t>
        </is>
      </c>
      <c r="I1330" s="115" t="n"/>
    </row>
    <row r="1331" ht="16.5" customHeight="1" s="156">
      <c r="A1331" s="22" t="n"/>
      <c r="B1331" s="26" t="n"/>
      <c r="C1331" s="107" t="n"/>
      <c r="E1331" s="107" t="n"/>
      <c r="F1331" s="107" t="n"/>
      <c r="I1331" s="115" t="n"/>
    </row>
    <row r="1332" ht="16.5" customHeight="1" s="156">
      <c r="A1332" s="22" t="n"/>
      <c r="B1332" s="26" t="n"/>
      <c r="C1332" s="107" t="n"/>
      <c r="E1332" s="107" t="n"/>
      <c r="F1332" s="107" t="n"/>
      <c r="I1332" s="115" t="n"/>
    </row>
    <row r="1333" ht="16.5" customHeight="1" s="156">
      <c r="A1333" s="22" t="n"/>
      <c r="B1333" s="26" t="n"/>
      <c r="C1333" s="107" t="n"/>
      <c r="E1333" s="107" t="n"/>
      <c r="F1333" s="107" t="n"/>
      <c r="I1333" s="115" t="n"/>
    </row>
    <row r="1334" ht="16.5" customHeight="1" s="156">
      <c r="A1334" s="22" t="n"/>
      <c r="B1334" s="26" t="n"/>
      <c r="C1334" s="107" t="n"/>
      <c r="E1334" s="107" t="n"/>
      <c r="F1334" s="107" t="n"/>
      <c r="I1334" s="115" t="n"/>
    </row>
    <row r="1335" ht="16.5" customHeight="1" s="156">
      <c r="A1335" s="15" t="n"/>
      <c r="B1335" s="15" t="n"/>
      <c r="C1335" s="15" t="n"/>
      <c r="D1335" s="15" t="n"/>
      <c r="E1335" s="15" t="n"/>
      <c r="F1335" s="15" t="n"/>
      <c r="G1335" s="15" t="n"/>
      <c r="H1335" s="15" t="n"/>
      <c r="I1335" s="15" t="n"/>
      <c r="J1335" s="15" t="n"/>
    </row>
    <row r="1336" ht="18.75" customHeight="1" s="156">
      <c r="A1336" s="109" t="inlineStr">
        <is>
          <t>品目コード</t>
        </is>
      </c>
      <c r="B1336" s="110" t="n"/>
      <c r="C1336" s="109" t="inlineStr">
        <is>
          <t>品目名１</t>
        </is>
      </c>
      <c r="D1336" s="110" t="n"/>
      <c r="E1336" s="110" t="n"/>
      <c r="F1336" s="17" t="inlineStr">
        <is>
          <t>在庫場所</t>
        </is>
      </c>
      <c r="G1336" s="109" t="inlineStr">
        <is>
          <t>出庫数量</t>
        </is>
      </c>
      <c r="H1336" s="110" t="n"/>
      <c r="I1336" s="109" t="inlineStr">
        <is>
          <t>バッチ必要数</t>
        </is>
      </c>
      <c r="J1336" s="110" t="n"/>
    </row>
    <row r="1337" ht="14.25" customHeight="1" s="156">
      <c r="A1337" s="8" t="n"/>
      <c r="B1337" s="18" t="n"/>
      <c r="C1337" s="116" t="inlineStr">
        <is>
          <t>品目名２</t>
        </is>
      </c>
      <c r="D1337" s="117" t="n"/>
      <c r="E1337" s="18" t="n"/>
      <c r="F1337" s="116" t="inlineStr">
        <is>
          <t>指図書備考</t>
        </is>
      </c>
      <c r="G1337" s="117" t="n"/>
      <c r="H1337" s="117" t="n"/>
      <c r="I1337" s="117" t="n"/>
      <c r="J1337" s="117" t="n"/>
    </row>
    <row r="1338">
      <c r="A1338" s="9" t="n"/>
      <c r="C1338" s="137" t="n"/>
      <c r="D1338" s="137" t="n"/>
      <c r="E1338" s="137" t="n"/>
    </row>
    <row r="1339" ht="14.25" customHeight="1" s="156">
      <c r="A1339" s="107" t="inlineStr">
        <is>
          <t>J1JAZZA10818200</t>
        </is>
      </c>
      <c r="C1339" s="107" t="inlineStr">
        <is>
          <t>@8FL28130 L1820</t>
        </is>
      </c>
      <c r="F1339" s="27" t="inlineStr">
        <is>
          <t>V3J04</t>
        </is>
      </c>
      <c r="G1339" s="161" t="n">
        <v>100</v>
      </c>
      <c r="I1339" s="161" t="n">
        <v>1</v>
      </c>
    </row>
    <row r="1340" ht="24.95" customHeight="1" s="156">
      <c r="A1340" s="122" t="inlineStr">
        <is>
          <t>*J1JAZZA10818200*</t>
        </is>
      </c>
      <c r="C1340" s="107" t="n"/>
      <c r="F1340" s="107" t="n"/>
    </row>
    <row r="1341" ht="14.25" customHeight="1" s="156">
      <c r="A1341" s="107" t="inlineStr">
        <is>
          <t>J6DW0092</t>
        </is>
      </c>
      <c r="C1341" s="107" t="inlineStr">
        <is>
          <t>LED-A1478　1488X275X166</t>
        </is>
      </c>
      <c r="F1341" s="27" t="inlineStr">
        <is>
          <t>V3W04</t>
        </is>
      </c>
      <c r="G1341" s="161" t="n">
        <v>1</v>
      </c>
      <c r="I1341" s="161" t="n">
        <v>0.01</v>
      </c>
    </row>
    <row r="1342" ht="24.95" customHeight="1" s="156">
      <c r="A1342" s="122" t="inlineStr">
        <is>
          <t>*J6DW0092*</t>
        </is>
      </c>
      <c r="C1342" s="107" t="inlineStr">
        <is>
          <t>L1478×W275×H166</t>
        </is>
      </c>
      <c r="F1342" s="107" t="n"/>
    </row>
    <row r="1343" ht="14.25" customHeight="1" s="156">
      <c r="A1343" s="107" t="inlineStr">
        <is>
          <t>J6XX0050</t>
        </is>
      </c>
      <c r="C1343" s="107" t="inlineStr">
        <is>
          <t>(管理外)筋入ｸﾗﾌﾄ紙</t>
        </is>
      </c>
      <c r="F1343" s="27" t="n"/>
      <c r="G1343" s="161" t="n">
        <v>0.2</v>
      </c>
      <c r="I1343" s="161" t="n">
        <v>0.002</v>
      </c>
    </row>
    <row r="1344" ht="24.95" customHeight="1" s="156">
      <c r="A1344" s="122" t="inlineStr">
        <is>
          <t>*J6XX0050*</t>
        </is>
      </c>
      <c r="C1344" s="107" t="inlineStr">
        <is>
          <t>300＊100</t>
        </is>
      </c>
      <c r="F1344" s="107" t="n"/>
    </row>
    <row r="1345" ht="14.25" customHeight="1" s="156">
      <c r="A1345" s="107" t="inlineStr">
        <is>
          <t>J6XX0051</t>
        </is>
      </c>
      <c r="C1345" s="107" t="inlineStr">
        <is>
          <t>(管理外)LLDPE規格ｼｰﾄ0.02×950×100m</t>
        </is>
      </c>
      <c r="F1345" s="27" t="n"/>
      <c r="G1345" s="161" t="n">
        <v>0.1</v>
      </c>
      <c r="I1345" s="161" t="n">
        <v>0.001</v>
      </c>
    </row>
    <row r="1346" ht="24.95" customHeight="1" s="156">
      <c r="A1346" s="122" t="inlineStr">
        <is>
          <t>*J6XX0051*</t>
        </is>
      </c>
      <c r="C1346" s="107" t="inlineStr">
        <is>
          <t>0.02×950×100m</t>
        </is>
      </c>
      <c r="F1346" s="107" t="n"/>
    </row>
    <row r="1347" ht="14.25" customHeight="1" s="156">
      <c r="A1347" s="107" t="n"/>
      <c r="C1347" s="107" t="n"/>
      <c r="F1347" s="27" t="n"/>
      <c r="G1347" s="161" t="n"/>
      <c r="I1347" s="161" t="n"/>
    </row>
    <row r="1348" ht="24.95" customHeight="1" s="156" thickBot="1">
      <c r="A1348" s="122" t="n"/>
      <c r="C1348" s="107" t="n"/>
      <c r="F1348" s="107" t="n"/>
    </row>
    <row r="1349" ht="18" customFormat="1" customHeight="1" s="141">
      <c r="A1349" s="28" t="inlineStr">
        <is>
          <t>温度換算</t>
        </is>
      </c>
      <c r="B1349" s="29" t="inlineStr">
        <is>
          <t>L寸</t>
        </is>
      </c>
      <c r="C1349" s="147" t="inlineStr">
        <is>
          <t>梱包箱</t>
        </is>
      </c>
      <c r="D1349" s="162" t="n"/>
      <c r="E1349" s="148" t="inlineStr">
        <is>
          <t>使用数</t>
        </is>
      </c>
      <c r="F1349" s="31" t="inlineStr">
        <is>
          <t>作業者</t>
        </is>
      </c>
      <c r="G1349" s="32" t="inlineStr">
        <is>
          <t>加工Lot</t>
        </is>
      </c>
      <c r="H1349" s="129" t="inlineStr">
        <is>
          <t>箱数</t>
        </is>
      </c>
      <c r="I1349" s="128" t="inlineStr">
        <is>
          <t>加工明細</t>
        </is>
      </c>
      <c r="J1349" s="162" t="n"/>
    </row>
    <row r="1350" ht="18" customFormat="1" customHeight="1" s="137">
      <c r="A1350" s="34" t="inlineStr">
        <is>
          <t>〇</t>
        </is>
      </c>
      <c r="B1350" s="163" t="n">
        <v>1478</v>
      </c>
      <c r="C1350" s="164" t="inlineStr">
        <is>
          <t>LED-A1478</t>
        </is>
      </c>
      <c r="D1350" s="165" t="n"/>
      <c r="E1350" s="166" t="n">
        <v>1</v>
      </c>
      <c r="F1350" s="167" t="inlineStr">
        <is>
          <t xml:space="preserve">切断加工：I / </t>
        </is>
      </c>
      <c r="G1350" s="168" t="n">
        <v>46181</v>
      </c>
      <c r="H1350" s="169" t="n">
        <v>1</v>
      </c>
      <c r="I1350" s="39" t="inlineStr">
        <is>
          <t>入庫日</t>
        </is>
      </c>
      <c r="J1350" s="170" t="n">
        <v>46181</v>
      </c>
    </row>
    <row r="1351" ht="18" customFormat="1" customHeight="1" s="141">
      <c r="A1351" s="44" t="inlineStr">
        <is>
          <t>+公差</t>
        </is>
      </c>
      <c r="B1351" s="45" t="inlineStr">
        <is>
          <t>切断寸法</t>
        </is>
      </c>
      <c r="C1351" s="171" t="n"/>
      <c r="D1351" s="172" t="n"/>
      <c r="E1351" s="119" t="n"/>
      <c r="F1351" s="173" t="inlineStr">
        <is>
          <t xml:space="preserve">外観検査：U / </t>
        </is>
      </c>
      <c r="G1351" s="168" t="n"/>
      <c r="H1351" s="169" t="n"/>
      <c r="I1351" s="39" t="inlineStr">
        <is>
          <t>入庫数</t>
        </is>
      </c>
      <c r="J1351" s="174" t="n">
        <v>100</v>
      </c>
      <c r="K1351" s="47" t="n"/>
    </row>
    <row r="1352" ht="18" customFormat="1" customHeight="1" s="137">
      <c r="A1352" s="48" t="n">
        <v>0.5</v>
      </c>
      <c r="B1352" s="175" t="inlineStr">
        <is>
          <t>換算表確認</t>
        </is>
      </c>
      <c r="C1352" s="155" t="inlineStr">
        <is>
          <t>梱包
方法</t>
        </is>
      </c>
      <c r="D1352" s="176" t="inlineStr">
        <is>
          <t>クラフト紙：1478型</t>
        </is>
      </c>
      <c r="E1352" s="177" t="n"/>
      <c r="F1352" s="178" t="n"/>
      <c r="G1352" s="168" t="n"/>
      <c r="H1352" s="169" t="n"/>
      <c r="I1352" s="39" t="inlineStr">
        <is>
          <t>使用基材数</t>
        </is>
      </c>
      <c r="J1352" s="174" t="n">
        <v>100</v>
      </c>
      <c r="K1352" s="50" t="n"/>
    </row>
    <row r="1353" ht="18" customFormat="1" customHeight="1" s="141">
      <c r="A1353" s="51" t="inlineStr">
        <is>
          <t>-公差</t>
        </is>
      </c>
      <c r="B1353" s="52" t="inlineStr">
        <is>
          <t>取数</t>
        </is>
      </c>
      <c r="C1353" s="179" t="n"/>
      <c r="D1353" s="176" t="inlineStr">
        <is>
          <t>ラベル１枚　長手無　鉢巻１回</t>
        </is>
      </c>
      <c r="E1353" s="177" t="n"/>
      <c r="F1353" s="178" t="n"/>
      <c r="G1353" s="168" t="n"/>
      <c r="H1353" s="169" t="n"/>
      <c r="I1353" s="39" t="inlineStr">
        <is>
          <t>製品不良</t>
        </is>
      </c>
      <c r="J1353" s="174" t="n">
        <v>0</v>
      </c>
      <c r="K1353" s="47" t="n"/>
    </row>
    <row r="1354" ht="18" customFormat="1" customHeight="1" s="137" thickBot="1">
      <c r="A1354" s="53" t="n">
        <v>-0.5</v>
      </c>
      <c r="B1354" s="54" t="n">
        <v>1</v>
      </c>
      <c r="C1354" s="55" t="inlineStr">
        <is>
          <t>備考</t>
        </is>
      </c>
      <c r="D1354" s="180" t="inlineStr">
        <is>
          <t>1箱目の梱包数 目視確認　以降、重量測定</t>
        </is>
      </c>
      <c r="E1354" s="181" t="n"/>
      <c r="F1354" s="182" t="n"/>
      <c r="G1354" s="183" t="n"/>
      <c r="H1354" s="184" t="n"/>
      <c r="I1354" s="39" t="inlineStr">
        <is>
          <t>基材不良</t>
        </is>
      </c>
      <c r="J1354" s="185" t="n">
        <v>0</v>
      </c>
      <c r="K1354" s="50" t="n"/>
    </row>
    <row r="1355" ht="18" customFormat="1" customHeight="1" s="141" thickBot="1">
      <c r="A1355" s="58" t="inlineStr">
        <is>
          <t>作業日</t>
        </is>
      </c>
      <c r="B1355" s="59">
        <f t="array" ref="B1355">IF(SUM(--(ISTEXT(B1356:B1366)*(B1356:B1366&lt;&gt;"")))=0,"計測Lot","計測Lot・加工数")</f>
        <v/>
      </c>
      <c r="C1355" s="60" t="inlineStr">
        <is>
          <t>温度</t>
        </is>
      </c>
      <c r="D1355" s="61" t="inlineStr">
        <is>
          <t>換算</t>
        </is>
      </c>
      <c r="E1355" s="62" t="inlineStr">
        <is>
          <t>計測値</t>
        </is>
      </c>
      <c r="F1355" s="63">
        <f t="array" ref="F1355">IF(SUM(--(ISTEXT(B1356:B1366)*(B1356:B1366&lt;&gt;"")))=0,"記入不要","使用Lot")</f>
        <v/>
      </c>
      <c r="G1355" s="64" t="inlineStr">
        <is>
          <t>加工数</t>
        </is>
      </c>
      <c r="H1355" s="65" t="inlineStr">
        <is>
          <t>基材換算</t>
        </is>
      </c>
      <c r="I1355" s="66" t="inlineStr">
        <is>
          <t>端材使用</t>
        </is>
      </c>
      <c r="J1355" s="186" t="n">
        <v>0</v>
      </c>
      <c r="K1355" s="47" t="n"/>
    </row>
    <row r="1356" ht="18" customFormat="1" customHeight="1" s="137">
      <c r="A1356" s="187" t="n"/>
      <c r="B1356" s="188" t="n"/>
      <c r="C1356" s="74" t="n"/>
      <c r="D1356" s="189" t="n"/>
      <c r="E1356" s="190" t="n"/>
      <c r="F1356" s="191" t="n">
        <v>0</v>
      </c>
      <c r="G1356" s="192" t="n">
        <v>0</v>
      </c>
      <c r="H1356" s="193" t="n"/>
      <c r="I1356" s="194" t="inlineStr">
        <is>
          <t>不良内訳</t>
        </is>
      </c>
      <c r="J1356" s="195" t="n"/>
      <c r="K1356" s="80" t="n"/>
    </row>
    <row r="1357" ht="18" customFormat="1" customHeight="1" s="141">
      <c r="A1357" s="196" t="n">
        <v>46181</v>
      </c>
      <c r="B1357" s="72" t="inlineStr">
        <is>
          <t>26E22-04</t>
        </is>
      </c>
      <c r="C1357" s="197" t="n">
        <v>22</v>
      </c>
      <c r="D1357" s="198" t="n">
        <v>1478.19</v>
      </c>
      <c r="E1357" s="199" t="n">
        <v>1478.27</v>
      </c>
      <c r="F1357" s="200" t="inlineStr">
        <is>
          <t>26E22-04</t>
        </is>
      </c>
      <c r="G1357" s="197" t="n">
        <v>100</v>
      </c>
      <c r="H1357" s="201" t="n">
        <v>100</v>
      </c>
      <c r="I1357" s="86" t="inlineStr">
        <is>
          <t>キズ</t>
        </is>
      </c>
      <c r="J1357" s="201" t="n"/>
      <c r="K1357" s="80" t="n"/>
    </row>
    <row r="1358" ht="18.95" customFormat="1" customHeight="1" s="91">
      <c r="A1358" s="202" t="n">
        <v>46181</v>
      </c>
      <c r="B1358" s="72" t="inlineStr">
        <is>
          <t>26E22-04 × 100</t>
        </is>
      </c>
      <c r="C1358" s="197" t="n">
        <v>24</v>
      </c>
      <c r="D1358" s="198" t="n">
        <v>1478.38</v>
      </c>
      <c r="E1358" s="199" t="n">
        <v>1478.29</v>
      </c>
      <c r="F1358" s="200" t="n"/>
      <c r="G1358" s="197" t="n">
        <v>0</v>
      </c>
      <c r="H1358" s="201" t="n"/>
      <c r="I1358" s="86" t="inlineStr">
        <is>
          <t>凹み</t>
        </is>
      </c>
      <c r="J1358" s="201" t="n"/>
      <c r="K1358" s="89" t="n"/>
      <c r="L1358" s="90" t="n"/>
      <c r="M1358" s="90" t="n"/>
      <c r="N1358" s="90" t="n"/>
    </row>
    <row r="1359" ht="18.95" customFormat="1" customHeight="1" s="94">
      <c r="A1359" s="202" t="n"/>
      <c r="B1359" s="72" t="inlineStr"/>
      <c r="C1359" s="197" t="n"/>
      <c r="D1359" s="198" t="n"/>
      <c r="E1359" s="199" t="n"/>
      <c r="F1359" s="200" t="n"/>
      <c r="G1359" s="197" t="n">
        <v>0</v>
      </c>
      <c r="H1359" s="201" t="n"/>
      <c r="I1359" s="86" t="inlineStr">
        <is>
          <t>異物</t>
        </is>
      </c>
      <c r="J1359" s="201" t="n"/>
      <c r="K1359" s="92" t="n"/>
      <c r="L1359" s="93" t="n"/>
      <c r="M1359" s="93" t="n"/>
      <c r="N1359" s="93" t="n"/>
    </row>
    <row r="1360" ht="18.95" customFormat="1" customHeight="1" s="94">
      <c r="A1360" s="202" t="n"/>
      <c r="B1360" s="72" t="inlineStr"/>
      <c r="C1360" s="197" t="n"/>
      <c r="D1360" s="198" t="n"/>
      <c r="E1360" s="199" t="n"/>
      <c r="F1360" s="200" t="n"/>
      <c r="G1360" s="197" t="n">
        <v>0</v>
      </c>
      <c r="H1360" s="201" t="n"/>
      <c r="I1360" s="86" t="inlineStr">
        <is>
          <t>欠け</t>
        </is>
      </c>
      <c r="J1360" s="201" t="n"/>
      <c r="K1360" s="92" t="n"/>
      <c r="L1360" s="93" t="n"/>
      <c r="M1360" s="93" t="n"/>
      <c r="N1360" s="93" t="n"/>
    </row>
    <row r="1361" ht="18.95" customFormat="1" customHeight="1" s="94">
      <c r="A1361" s="202" t="n"/>
      <c r="B1361" s="72" t="inlineStr"/>
      <c r="C1361" s="197" t="n"/>
      <c r="D1361" s="198" t="n"/>
      <c r="E1361" s="199" t="n"/>
      <c r="F1361" s="200" t="n"/>
      <c r="G1361" s="197" t="n">
        <v>0</v>
      </c>
      <c r="H1361" s="201" t="n"/>
      <c r="I1361" s="86" t="inlineStr">
        <is>
          <t>メヤニ</t>
        </is>
      </c>
      <c r="J1361" s="201" t="n"/>
      <c r="K1361" s="92" t="n"/>
      <c r="L1361" s="93" t="n"/>
      <c r="M1361" s="93" t="n"/>
      <c r="N1361" s="93" t="n"/>
    </row>
    <row r="1362" ht="18.95" customFormat="1" customHeight="1" s="94">
      <c r="A1362" s="202" t="n"/>
      <c r="B1362" s="72" t="inlineStr"/>
      <c r="C1362" s="197" t="n"/>
      <c r="D1362" s="198" t="n"/>
      <c r="E1362" s="199" t="n"/>
      <c r="F1362" s="200" t="n"/>
      <c r="G1362" s="197" t="n">
        <v>0</v>
      </c>
      <c r="H1362" s="201" t="n"/>
      <c r="I1362" s="86" t="inlineStr">
        <is>
          <t>ベコツキ</t>
        </is>
      </c>
      <c r="J1362" s="201" t="n"/>
      <c r="K1362" s="92" t="n"/>
      <c r="L1362" s="93" t="n"/>
      <c r="M1362" s="93" t="n"/>
      <c r="N1362" s="93" t="n"/>
    </row>
    <row r="1363" ht="18.95" customFormat="1" customHeight="1" s="94">
      <c r="A1363" s="202" t="n"/>
      <c r="B1363" s="72" t="inlineStr"/>
      <c r="C1363" s="197" t="n"/>
      <c r="D1363" s="198" t="n"/>
      <c r="E1363" s="199" t="n"/>
      <c r="F1363" s="200" t="n"/>
      <c r="G1363" s="197" t="n">
        <v>0</v>
      </c>
      <c r="H1363" s="201" t="n"/>
      <c r="I1363" s="95" t="inlineStr">
        <is>
          <t>汚損</t>
        </is>
      </c>
      <c r="J1363" s="201" t="n"/>
      <c r="K1363" s="92" t="n"/>
      <c r="L1363" s="93" t="n"/>
      <c r="M1363" s="93" t="n"/>
      <c r="N1363" s="93" t="n"/>
    </row>
    <row r="1364" ht="18.95" customFormat="1" customHeight="1" s="94">
      <c r="A1364" s="202" t="n"/>
      <c r="B1364" s="72" t="inlineStr"/>
      <c r="C1364" s="197" t="n"/>
      <c r="D1364" s="198" t="n"/>
      <c r="E1364" s="199" t="n"/>
      <c r="F1364" s="200" t="n"/>
      <c r="G1364" s="197" t="n">
        <v>0</v>
      </c>
      <c r="H1364" s="201" t="n"/>
      <c r="I1364" s="95" t="inlineStr">
        <is>
          <t>形状異常</t>
        </is>
      </c>
      <c r="J1364" s="201" t="n"/>
      <c r="K1364" s="92" t="n"/>
      <c r="L1364" s="93" t="n"/>
      <c r="M1364" s="93" t="n"/>
      <c r="N1364" s="93" t="n"/>
    </row>
    <row r="1365" ht="18.95" customFormat="1" customHeight="1" s="94">
      <c r="A1365" s="202" t="n"/>
      <c r="B1365" s="72" t="inlineStr"/>
      <c r="C1365" s="197" t="n"/>
      <c r="D1365" s="198" t="n"/>
      <c r="E1365" s="199" t="n"/>
      <c r="F1365" s="200" t="n"/>
      <c r="G1365" s="197" t="n">
        <v>0</v>
      </c>
      <c r="H1365" s="201" t="n"/>
      <c r="I1365" s="86" t="inlineStr">
        <is>
          <t>その他</t>
        </is>
      </c>
      <c r="J1365" s="203" t="n"/>
      <c r="K1365" s="92" t="n"/>
      <c r="L1365" s="93" t="n"/>
      <c r="M1365" s="93" t="n"/>
      <c r="N1365" s="93" t="n"/>
    </row>
    <row r="1366" ht="18.95" customFormat="1" customHeight="1" s="94" thickBot="1">
      <c r="A1366" s="204" t="inlineStr">
        <is>
          <t>不良補填</t>
        </is>
      </c>
      <c r="B1366" s="73" t="n">
        <v>0</v>
      </c>
      <c r="C1366" s="205" t="n"/>
      <c r="D1366" s="206" t="n"/>
      <c r="E1366" s="207" t="n"/>
      <c r="F1366" s="208" t="n"/>
      <c r="G1366" s="209" t="n"/>
      <c r="H1366" s="210" t="n"/>
      <c r="I1366" s="102" t="inlineStr">
        <is>
          <t>合計</t>
        </is>
      </c>
      <c r="J1366" s="211" t="n">
        <v>0</v>
      </c>
      <c r="K1366" s="92" t="n"/>
      <c r="L1366" s="93" t="n"/>
      <c r="M1366" s="93" t="n"/>
      <c r="N1366" s="93" t="n"/>
    </row>
    <row r="1367" ht="6" customHeight="1" s="156" thickBot="1">
      <c r="A1367" s="103" t="n"/>
      <c r="B1367" s="104" t="n"/>
      <c r="C1367" s="104" t="n"/>
      <c r="D1367" s="103" t="n"/>
      <c r="E1367" s="104" t="n"/>
      <c r="F1367" s="104" t="n"/>
      <c r="G1367" s="104" t="n"/>
      <c r="H1367" s="104" t="n"/>
    </row>
    <row r="1368" ht="6" customHeight="1" s="156" thickTop="1">
      <c r="A1368" s="10" t="n"/>
      <c r="B1368" s="10" t="n"/>
      <c r="C1368" s="10" t="n"/>
      <c r="D1368" s="10" t="n"/>
      <c r="E1368" s="10" t="n"/>
      <c r="F1368" s="10" t="n"/>
      <c r="G1368" s="10" t="n"/>
      <c r="H1368" s="10" t="n"/>
      <c r="I1368" s="10" t="n"/>
      <c r="J1368" s="10" t="n"/>
    </row>
    <row r="1369" ht="14.25" customHeight="1" s="156">
      <c r="A1369" s="11" t="n"/>
      <c r="B1369" s="125" t="inlineStr">
        <is>
          <t>検査梱包指示書</t>
        </is>
      </c>
      <c r="E1369" s="11" t="n"/>
      <c r="F1369" s="11" t="n"/>
      <c r="G1369" s="11" t="n"/>
      <c r="H1369" s="11" t="n"/>
      <c r="I1369" s="11" t="n"/>
      <c r="J1369" s="11" t="n"/>
    </row>
    <row r="1370" ht="14.25" customHeight="1" s="156">
      <c r="A1370" s="12" t="n"/>
      <c r="E1370" s="12" t="n"/>
      <c r="F1370" s="12" t="n"/>
      <c r="G1370" s="12" t="n"/>
      <c r="H1370" s="12" t="n"/>
      <c r="I1370" s="12" t="n"/>
      <c r="J1370" s="12" t="n"/>
    </row>
    <row r="1371" ht="14.25" customHeight="1" s="156">
      <c r="A1371" s="112" t="inlineStr">
        <is>
          <t>品目番号</t>
        </is>
      </c>
      <c r="B1371" s="112" t="inlineStr">
        <is>
          <t>J1JAZZB10814780</t>
        </is>
      </c>
      <c r="C1371" s="112" t="inlineStr">
        <is>
          <t>Ｌ寸</t>
        </is>
      </c>
      <c r="D1371" s="157" t="n">
        <v>1478</v>
      </c>
      <c r="E1371" s="112" t="inlineStr">
        <is>
          <t>名称</t>
        </is>
      </c>
      <c r="F1371" s="123" t="inlineStr">
        <is>
          <t>8FL2813046110</t>
        </is>
      </c>
      <c r="I1371" s="24" t="inlineStr">
        <is>
          <t>上長</t>
        </is>
      </c>
      <c r="J1371" s="24" t="inlineStr">
        <is>
          <t>係員</t>
        </is>
      </c>
    </row>
    <row r="1372" ht="14.25" customHeight="1" s="156">
      <c r="I1372" s="105" t="n"/>
      <c r="J1372" s="105" t="n"/>
    </row>
    <row r="1373" ht="17.45" customHeight="1" s="156">
      <c r="A1373" s="111" t="inlineStr">
        <is>
          <t>製造指図№</t>
        </is>
      </c>
      <c r="B1373" s="111" t="inlineStr">
        <is>
          <t>000000000014607</t>
        </is>
      </c>
      <c r="E1373" s="111" t="inlineStr">
        <is>
          <t>原料名</t>
        </is>
      </c>
      <c r="F1373" s="140" t="inlineStr">
        <is>
          <t>(CASE 1478MILK-W4)</t>
        </is>
      </c>
      <c r="I1373" s="106" t="n"/>
      <c r="J1373" s="106" t="n"/>
    </row>
    <row r="1374" ht="17.45" customHeight="1" s="156">
      <c r="I1374" s="13" t="n"/>
      <c r="J1374" s="13" t="n"/>
    </row>
    <row r="1375" ht="17.45" customHeight="1" s="156">
      <c r="A1375" s="111" t="inlineStr">
        <is>
          <t>発注明細№</t>
        </is>
      </c>
      <c r="B1375" s="111" t="inlineStr">
        <is>
          <t>000000000855945</t>
        </is>
      </c>
      <c r="E1375" s="2" t="inlineStr">
        <is>
          <t>色　名</t>
        </is>
      </c>
      <c r="F1375" s="140" t="inlineStr">
        <is>
          <t>J6VZ034</t>
        </is>
      </c>
      <c r="H1375" s="21" t="n"/>
      <c r="I1375" s="13" t="n"/>
      <c r="J1375" s="13" t="n"/>
    </row>
    <row r="1376" ht="17.45" customHeight="1" s="156">
      <c r="E1376" s="2" t="inlineStr">
        <is>
          <t>製品Grp</t>
        </is>
      </c>
      <c r="F1376" s="21" t="inlineStr">
        <is>
          <t>J1ZB</t>
        </is>
      </c>
      <c r="G1376" s="21" t="n"/>
      <c r="H1376" s="21" t="n"/>
      <c r="I1376" s="14" t="n"/>
      <c r="J1376" s="14" t="n"/>
    </row>
    <row r="1377" ht="17.45" customHeight="1" s="156">
      <c r="A1377" s="2" t="inlineStr">
        <is>
          <t>開始日</t>
        </is>
      </c>
      <c r="B1377" s="158" t="n">
        <v>46196</v>
      </c>
      <c r="E1377" s="2" t="inlineStr">
        <is>
          <t>入り数</t>
        </is>
      </c>
      <c r="F1377" s="159" t="n">
        <v>100</v>
      </c>
      <c r="H1377" s="21" t="n"/>
    </row>
    <row r="1378" ht="17.45" customHeight="1" s="156">
      <c r="A1378" s="2" t="inlineStr">
        <is>
          <t>終了日</t>
        </is>
      </c>
      <c r="B1378" s="158" t="n">
        <v>46196</v>
      </c>
      <c r="E1378" s="2" t="inlineStr">
        <is>
          <t>梱包数</t>
        </is>
      </c>
      <c r="F1378" s="21" t="n">
        <v>4</v>
      </c>
      <c r="G1378" s="143" t="inlineStr">
        <is>
          <t>指示数量</t>
        </is>
      </c>
      <c r="H1378" s="160" t="n">
        <v>400</v>
      </c>
      <c r="I1378" s="133" t="n"/>
      <c r="J1378" s="134" t="n"/>
    </row>
    <row r="1379" ht="17.45" customHeight="1" s="156">
      <c r="A1379" s="19" t="n"/>
      <c r="B1379" s="127" t="n"/>
      <c r="C1379" s="127" t="n"/>
      <c r="D1379" s="127" t="n"/>
      <c r="E1379" s="2" t="inlineStr">
        <is>
          <t>金　型</t>
        </is>
      </c>
      <c r="F1379" s="21" t="inlineStr">
        <is>
          <t>4350</t>
        </is>
      </c>
      <c r="G1379" s="135" t="n"/>
      <c r="H1379" s="135" t="n"/>
      <c r="I1379" s="117" t="n"/>
      <c r="J1379" s="136" t="n"/>
    </row>
    <row r="1380" ht="13.5" customHeight="1" s="156">
      <c r="A1380" s="127" t="inlineStr">
        <is>
          <t>*J1JAZZB10814780*</t>
        </is>
      </c>
      <c r="D1380" s="127" t="n"/>
      <c r="F1380" s="3" t="n"/>
      <c r="G1380" s="126" t="inlineStr">
        <is>
          <t>格納先</t>
        </is>
      </c>
      <c r="H1380" s="118" t="inlineStr">
        <is>
          <t>V3J03</t>
        </is>
      </c>
      <c r="I1380" s="138" t="inlineStr">
        <is>
          <t>樹脂第3倉庫 (在庫)</t>
        </is>
      </c>
      <c r="J1380" s="139" t="n"/>
    </row>
    <row r="1381" ht="13.5" customHeight="1" s="156">
      <c r="D1381" s="127" t="n"/>
      <c r="F1381" s="3" t="n"/>
      <c r="G1381" s="119" t="n"/>
      <c r="H1381" s="119" t="n"/>
      <c r="I1381" s="117" t="n"/>
      <c r="J1381" s="136" t="n"/>
    </row>
    <row r="1382" ht="13.5" customHeight="1" s="156">
      <c r="A1382" s="108" t="inlineStr">
        <is>
          <t>指図書備考</t>
        </is>
      </c>
    </row>
    <row r="1383" ht="63" customHeight="1" s="156">
      <c r="A1383" s="130" t="n"/>
      <c r="B1383" s="131" t="n"/>
      <c r="C1383" s="131" t="n"/>
      <c r="D1383" s="131" t="n"/>
      <c r="E1383" s="131" t="n"/>
      <c r="F1383" s="131" t="n"/>
      <c r="G1383" s="131" t="n"/>
      <c r="H1383" s="131" t="n"/>
      <c r="I1383" s="131" t="n"/>
      <c r="J1383" s="131" t="n"/>
    </row>
    <row r="1384" ht="18.75" customHeight="1" s="156">
      <c r="A1384" s="23" t="inlineStr">
        <is>
          <t>工順</t>
        </is>
      </c>
      <c r="B1384" s="16" t="inlineStr">
        <is>
          <t>製造場所</t>
        </is>
      </c>
      <c r="C1384" s="120" t="inlineStr">
        <is>
          <t>製造場所名</t>
        </is>
      </c>
      <c r="D1384" s="121" t="n"/>
      <c r="E1384" s="16" t="inlineStr">
        <is>
          <t>工程</t>
        </is>
      </c>
      <c r="F1384" s="120" t="inlineStr">
        <is>
          <t>工程名</t>
        </is>
      </c>
      <c r="G1384" s="121" t="n"/>
      <c r="H1384" s="121" t="n"/>
      <c r="I1384" s="124" t="inlineStr">
        <is>
          <t>作業時間</t>
        </is>
      </c>
      <c r="J1384" s="121" t="n"/>
    </row>
    <row r="1385" ht="14.25" customHeight="1" s="156">
      <c r="A1385" s="141" t="n"/>
      <c r="B1385" s="141" t="n"/>
      <c r="C1385" s="141" t="n"/>
      <c r="D1385" s="141" t="n"/>
      <c r="E1385" s="141" t="n"/>
      <c r="F1385" s="141" t="n"/>
      <c r="G1385" s="141" t="n"/>
      <c r="H1385" s="141" t="n"/>
      <c r="I1385" s="141" t="n"/>
      <c r="J1385" s="141" t="n"/>
    </row>
    <row r="1386" ht="16.5" customHeight="1" s="156">
      <c r="A1386" s="22" t="n">
        <v>1</v>
      </c>
      <c r="B1386" s="107" t="inlineStr">
        <is>
          <t>V3Z01</t>
        </is>
      </c>
      <c r="C1386" s="107" t="inlineStr">
        <is>
          <t>黒部工業</t>
        </is>
      </c>
      <c r="E1386" s="107" t="inlineStr">
        <is>
          <t>V3P05</t>
        </is>
      </c>
      <c r="F1386" s="107" t="inlineStr">
        <is>
          <t>切断</t>
        </is>
      </c>
      <c r="I1386" s="115" t="n"/>
    </row>
    <row r="1387" ht="16.5" customHeight="1" s="156">
      <c r="A1387" s="22" t="n">
        <v>1</v>
      </c>
      <c r="B1387" s="26" t="inlineStr">
        <is>
          <t>V3Z01</t>
        </is>
      </c>
      <c r="C1387" s="107" t="inlineStr">
        <is>
          <t>黒部工業</t>
        </is>
      </c>
      <c r="E1387" s="107" t="inlineStr">
        <is>
          <t>V3P16</t>
        </is>
      </c>
      <c r="F1387" s="107" t="inlineStr">
        <is>
          <t>検査・梱包</t>
        </is>
      </c>
      <c r="I1387" s="115" t="n"/>
    </row>
    <row r="1388" ht="16.5" customHeight="1" s="156">
      <c r="A1388" s="22" t="n"/>
      <c r="B1388" s="26" t="n"/>
      <c r="C1388" s="107" t="n"/>
      <c r="E1388" s="107" t="n"/>
      <c r="F1388" s="107" t="n"/>
      <c r="I1388" s="115" t="n"/>
    </row>
    <row r="1389" ht="16.5" customHeight="1" s="156">
      <c r="A1389" s="22" t="n"/>
      <c r="B1389" s="26" t="n"/>
      <c r="C1389" s="107" t="n"/>
      <c r="E1389" s="107" t="n"/>
      <c r="F1389" s="107" t="n"/>
      <c r="I1389" s="115" t="n"/>
    </row>
    <row r="1390" ht="16.5" customHeight="1" s="156">
      <c r="A1390" s="22" t="n"/>
      <c r="B1390" s="26" t="n"/>
      <c r="C1390" s="107" t="n"/>
      <c r="E1390" s="107" t="n"/>
      <c r="F1390" s="107" t="n"/>
      <c r="I1390" s="115" t="n"/>
    </row>
    <row r="1391" ht="16.5" customHeight="1" s="156">
      <c r="A1391" s="22" t="n"/>
      <c r="B1391" s="26" t="n"/>
      <c r="C1391" s="107" t="n"/>
      <c r="E1391" s="107" t="n"/>
      <c r="F1391" s="107" t="n"/>
      <c r="I1391" s="115" t="n"/>
    </row>
    <row r="1392" ht="16.5" customHeight="1" s="156">
      <c r="A1392" s="15" t="n"/>
      <c r="B1392" s="15" t="n"/>
      <c r="C1392" s="15" t="n"/>
      <c r="D1392" s="15" t="n"/>
      <c r="E1392" s="15" t="n"/>
      <c r="F1392" s="15" t="n"/>
      <c r="G1392" s="15" t="n"/>
      <c r="H1392" s="15" t="n"/>
      <c r="I1392" s="15" t="n"/>
      <c r="J1392" s="15" t="n"/>
    </row>
    <row r="1393" ht="18.75" customHeight="1" s="156">
      <c r="A1393" s="109" t="inlineStr">
        <is>
          <t>品目コード</t>
        </is>
      </c>
      <c r="B1393" s="110" t="n"/>
      <c r="C1393" s="109" t="inlineStr">
        <is>
          <t>品目名１</t>
        </is>
      </c>
      <c r="D1393" s="110" t="n"/>
      <c r="E1393" s="110" t="n"/>
      <c r="F1393" s="17" t="inlineStr">
        <is>
          <t>在庫場所</t>
        </is>
      </c>
      <c r="G1393" s="109" t="inlineStr">
        <is>
          <t>出庫数量</t>
        </is>
      </c>
      <c r="H1393" s="110" t="n"/>
      <c r="I1393" s="109" t="inlineStr">
        <is>
          <t>バッチ必要数</t>
        </is>
      </c>
      <c r="J1393" s="110" t="n"/>
    </row>
    <row r="1394" ht="14.25" customHeight="1" s="156">
      <c r="A1394" s="8" t="n"/>
      <c r="B1394" s="18" t="n"/>
      <c r="C1394" s="116" t="inlineStr">
        <is>
          <t>品目名２</t>
        </is>
      </c>
      <c r="D1394" s="117" t="n"/>
      <c r="E1394" s="18" t="n"/>
      <c r="F1394" s="116" t="inlineStr">
        <is>
          <t>指図書備考</t>
        </is>
      </c>
      <c r="G1394" s="117" t="n"/>
      <c r="H1394" s="117" t="n"/>
      <c r="I1394" s="117" t="n"/>
      <c r="J1394" s="117" t="n"/>
    </row>
    <row r="1395">
      <c r="A1395" s="9" t="n"/>
      <c r="C1395" s="137" t="n"/>
      <c r="D1395" s="137" t="n"/>
      <c r="E1395" s="137" t="n"/>
    </row>
    <row r="1396" ht="14.25" customHeight="1" s="156">
      <c r="A1396" s="107" t="inlineStr">
        <is>
          <t>J1JAZZA10818200</t>
        </is>
      </c>
      <c r="C1396" s="107" t="inlineStr">
        <is>
          <t>@8FL28130 L1820</t>
        </is>
      </c>
      <c r="F1396" s="27" t="inlineStr">
        <is>
          <t>V3J04</t>
        </is>
      </c>
      <c r="G1396" s="161" t="n">
        <v>400</v>
      </c>
      <c r="I1396" s="161" t="n">
        <v>4</v>
      </c>
    </row>
    <row r="1397" ht="24.95" customHeight="1" s="156">
      <c r="A1397" s="122" t="inlineStr">
        <is>
          <t>*J1JAZZA10818200*</t>
        </is>
      </c>
      <c r="C1397" s="107" t="n"/>
      <c r="F1397" s="107" t="n"/>
    </row>
    <row r="1398" ht="14.25" customHeight="1" s="156">
      <c r="A1398" s="107" t="inlineStr">
        <is>
          <t>J6DW0092</t>
        </is>
      </c>
      <c r="C1398" s="107" t="inlineStr">
        <is>
          <t>LED-A1478　1488X275X166</t>
        </is>
      </c>
      <c r="F1398" s="27" t="inlineStr">
        <is>
          <t>V3W04</t>
        </is>
      </c>
      <c r="G1398" s="161" t="n">
        <v>4</v>
      </c>
      <c r="I1398" s="161" t="n">
        <v>0.04</v>
      </c>
    </row>
    <row r="1399" ht="24.95" customHeight="1" s="156">
      <c r="A1399" s="122" t="inlineStr">
        <is>
          <t>*J6DW0092*</t>
        </is>
      </c>
      <c r="C1399" s="107" t="inlineStr">
        <is>
          <t>L1478×W275×H166</t>
        </is>
      </c>
      <c r="F1399" s="107" t="n"/>
    </row>
    <row r="1400" ht="14.25" customHeight="1" s="156">
      <c r="A1400" s="107" t="inlineStr">
        <is>
          <t>J6XX0050</t>
        </is>
      </c>
      <c r="C1400" s="107" t="inlineStr">
        <is>
          <t>(管理外)筋入ｸﾗﾌﾄ紙</t>
        </is>
      </c>
      <c r="F1400" s="27" t="n"/>
      <c r="G1400" s="161" t="n">
        <v>0.8</v>
      </c>
      <c r="I1400" s="161" t="n">
        <v>0.008</v>
      </c>
    </row>
    <row r="1401" ht="24.95" customHeight="1" s="156">
      <c r="A1401" s="122" t="inlineStr">
        <is>
          <t>*J6XX0050*</t>
        </is>
      </c>
      <c r="C1401" s="107" t="inlineStr">
        <is>
          <t>300＊100</t>
        </is>
      </c>
      <c r="F1401" s="107" t="n"/>
    </row>
    <row r="1402" ht="14.25" customHeight="1" s="156">
      <c r="A1402" s="107" t="inlineStr">
        <is>
          <t>J6XX0051</t>
        </is>
      </c>
      <c r="C1402" s="107" t="inlineStr">
        <is>
          <t>(管理外)LLDPE規格ｼｰﾄ0.02×950×100m</t>
        </is>
      </c>
      <c r="F1402" s="27" t="n"/>
      <c r="G1402" s="161" t="n">
        <v>0.4</v>
      </c>
      <c r="I1402" s="161" t="n">
        <v>0.004</v>
      </c>
    </row>
    <row r="1403" ht="24.95" customHeight="1" s="156">
      <c r="A1403" s="122" t="inlineStr">
        <is>
          <t>*J6XX0051*</t>
        </is>
      </c>
      <c r="C1403" s="107" t="inlineStr">
        <is>
          <t>0.02×950×100m</t>
        </is>
      </c>
      <c r="F1403" s="107" t="n"/>
    </row>
    <row r="1404" ht="14.25" customHeight="1" s="156">
      <c r="A1404" s="107" t="n"/>
      <c r="C1404" s="107" t="n"/>
      <c r="F1404" s="27" t="n"/>
      <c r="G1404" s="161" t="n"/>
      <c r="I1404" s="161" t="n"/>
    </row>
    <row r="1405" ht="24.95" customHeight="1" s="156" thickBot="1">
      <c r="A1405" s="122" t="n"/>
      <c r="C1405" s="107" t="n"/>
      <c r="F1405" s="107" t="n"/>
    </row>
    <row r="1406" ht="18" customFormat="1" customHeight="1" s="141">
      <c r="A1406" s="28" t="inlineStr">
        <is>
          <t>温度換算</t>
        </is>
      </c>
      <c r="B1406" s="29" t="inlineStr">
        <is>
          <t>L寸</t>
        </is>
      </c>
      <c r="C1406" s="147" t="inlineStr">
        <is>
          <t>梱包箱</t>
        </is>
      </c>
      <c r="D1406" s="162" t="n"/>
      <c r="E1406" s="148" t="inlineStr">
        <is>
          <t>使用数</t>
        </is>
      </c>
      <c r="F1406" s="31" t="inlineStr">
        <is>
          <t>作業者</t>
        </is>
      </c>
      <c r="G1406" s="32" t="inlineStr">
        <is>
          <t>加工Lot</t>
        </is>
      </c>
      <c r="H1406" s="129" t="inlineStr">
        <is>
          <t>箱数</t>
        </is>
      </c>
      <c r="I1406" s="128" t="inlineStr">
        <is>
          <t>加工明細</t>
        </is>
      </c>
      <c r="J1406" s="162" t="n"/>
    </row>
    <row r="1407" ht="18" customFormat="1" customHeight="1" s="137">
      <c r="A1407" s="34">
        <f>_xlfn.XLOOKUP(B1371,[3]VFDB2!$A:$A,[3]VFDB2!$J:$J)</f>
        <v/>
      </c>
      <c r="B1407" s="163">
        <f>D1371</f>
        <v/>
      </c>
      <c r="C1407" s="164">
        <f>_xlfn.XLOOKUP(B1371,[3]VFDB2!$A:$A,[3]VFDB2!$Z:$Z)</f>
        <v/>
      </c>
      <c r="D1407" s="165" t="n"/>
      <c r="E1407" s="166">
        <f t="array" ref="E1407">IFERROR(INDEX(_xlfn._xlws.FILTER([4]加工記録２!C:C,[4]加工記録２!U:U=B1373),9),"")</f>
        <v/>
      </c>
      <c r="F1407" s="167">
        <f t="array" ref="F1407">IFERROR("切断加工：" &amp;_xlfn.TEXTJOIN(" / ",TRUE,INDEX(_xlfn._xlws.FILTER([4]加工記録２!M:M,[4]加工記録２!U:U=B1373),9),INDEX(_xlfn._xlws.FILTER([4]加工記録２!N:N,[4]加工記録２!U:U=B1373),9)),"")</f>
        <v/>
      </c>
      <c r="G1407" s="168">
        <f t="array" ref="G1407:H1411">IFERROR(IF(_xlfn.TAKE(_xlfn._xlws.FILTER([4]加工記録２!$M:$N,[4]加工記録２!$U:$U=B1373),5)=0,"",_xlfn.TAKE(_xlfn._xlws.FILTER([4]加工記録２!$M:$N,[4]加工記録２!$U:$U=B1373),5)),"")</f>
        <v/>
      </c>
      <c r="H1407" s="169" t="str"/>
      <c r="I1407" s="39" t="inlineStr">
        <is>
          <t>入庫日</t>
        </is>
      </c>
      <c r="J1407" s="170">
        <f t="array" ref="J1407:J1412">IFERROR(INDEX(_xlfn._xlws.FILTER([4]加工記録２!P:P, [4]加工記録２!U:U=B1373),_xlfn.SEQUENCE(6)),"")</f>
        <v/>
      </c>
    </row>
    <row r="1408" ht="18" customFormat="1" customHeight="1" s="141">
      <c r="A1408" s="44" t="inlineStr">
        <is>
          <t>+公差</t>
        </is>
      </c>
      <c r="B1408" s="45" t="inlineStr">
        <is>
          <t>切断寸法</t>
        </is>
      </c>
      <c r="C1408" s="171" t="n"/>
      <c r="D1408" s="172" t="n"/>
      <c r="E1408" s="119" t="n"/>
      <c r="F1408" s="173">
        <f t="array" ref="F1408">IFERROR("外観検査：" &amp;_xlfn.TEXTJOIN(" / ",TRUE,INDEX(_xlfn._xlws.FILTER([4]加工記録２!M:M,[4]加工記録２!U:U=B1373),10),INDEX(_xlfn._xlws.FILTER([4]加工記録２!N:N,[4]加工記録２!U:U=B1373),10)),"")</f>
        <v/>
      </c>
      <c r="G1408" s="168" t="str"/>
      <c r="H1408" s="169" t="str"/>
      <c r="I1408" s="39" t="inlineStr">
        <is>
          <t>入庫数</t>
        </is>
      </c>
      <c r="J1408" s="174" t="n">
        <v>0</v>
      </c>
      <c r="K1408" s="47" t="n"/>
    </row>
    <row r="1409" ht="18" customFormat="1" customHeight="1" s="137">
      <c r="A1409" s="48">
        <f>_xlfn.XLOOKUP(B1371,[3]VFDB2!$A:$A,[3]VFDB2!$L:$L)</f>
        <v/>
      </c>
      <c r="B1409" s="175">
        <f>_xlfn.XLOOKUP(B1371,[3]VFDB2!$A:$A,[3]VFDB2!$AC:$AC)</f>
        <v/>
      </c>
      <c r="C1409" s="155" t="inlineStr">
        <is>
          <t>梱包
方法</t>
        </is>
      </c>
      <c r="D1409" s="176">
        <f>_xlfn.XLOOKUP(B1371,[3]VFDB2!$A:$A,[3]VFDB2!$W:$W)</f>
        <v/>
      </c>
      <c r="E1409" s="177" t="n"/>
      <c r="F1409" s="178" t="n"/>
      <c r="G1409" s="168" t="str"/>
      <c r="H1409" s="169" t="str"/>
      <c r="I1409" s="39" t="inlineStr">
        <is>
          <t>使用基材数</t>
        </is>
      </c>
      <c r="J1409" s="174" t="n">
        <v>0</v>
      </c>
      <c r="K1409" s="50" t="n"/>
    </row>
    <row r="1410" ht="18" customFormat="1" customHeight="1" s="141">
      <c r="A1410" s="51" t="inlineStr">
        <is>
          <t>-公差</t>
        </is>
      </c>
      <c r="B1410" s="52" t="inlineStr">
        <is>
          <t>取数</t>
        </is>
      </c>
      <c r="C1410" s="179" t="n"/>
      <c r="D1410" s="176">
        <f>_xlfn.XLOOKUP(B1371,[3]VFDB2!$A:$A,[3]VFDB2!$R:$R)</f>
        <v/>
      </c>
      <c r="E1410" s="177" t="n"/>
      <c r="F1410" s="178" t="n"/>
      <c r="G1410" s="168" t="str"/>
      <c r="H1410" s="169" t="str"/>
      <c r="I1410" s="39" t="inlineStr">
        <is>
          <t>製品不良</t>
        </is>
      </c>
      <c r="J1410" s="174" t="n">
        <v>0</v>
      </c>
      <c r="K1410" s="47" t="n"/>
    </row>
    <row r="1411" ht="18" customFormat="1" customHeight="1" s="137" thickBot="1">
      <c r="A1411" s="53">
        <f>_xlfn.XLOOKUP(B1371,[3]VFDB2!$A:$A,[3]VFDB2!$K:$K)</f>
        <v/>
      </c>
      <c r="B1411" s="54">
        <f>_xlfn.XLOOKUP(B1371,[3]VFDB2!$A:$A,[3]VFDB2!$P:$P)</f>
        <v/>
      </c>
      <c r="C1411" s="55" t="inlineStr">
        <is>
          <t>備考</t>
        </is>
      </c>
      <c r="D1411" s="180">
        <f>_xlfn.XLOOKUP(B1371,[3]VFDB2!$A:$A,[3]VFDB2!$V:$V)</f>
        <v/>
      </c>
      <c r="E1411" s="181" t="n"/>
      <c r="F1411" s="182" t="n"/>
      <c r="G1411" s="183" t="str"/>
      <c r="H1411" s="184" t="str"/>
      <c r="I1411" s="39" t="inlineStr">
        <is>
          <t>基材不良</t>
        </is>
      </c>
      <c r="J1411" s="185" t="n">
        <v>0</v>
      </c>
      <c r="K1411" s="50" t="n"/>
    </row>
    <row r="1412" ht="18" customFormat="1" customHeight="1" s="141" thickBot="1">
      <c r="A1412" s="58" t="inlineStr">
        <is>
          <t>作業日</t>
        </is>
      </c>
      <c r="B1412" s="59">
        <f t="array" ref="B1412">IF(SUM(--(ISTEXT(B1413:B1423)*(B1413:B1423&lt;&gt;"")))=0,"計測Lot","計測Lot・加工数")</f>
        <v/>
      </c>
      <c r="C1412" s="60" t="inlineStr">
        <is>
          <t>温度</t>
        </is>
      </c>
      <c r="D1412" s="61" t="inlineStr">
        <is>
          <t>換算</t>
        </is>
      </c>
      <c r="E1412" s="62" t="inlineStr">
        <is>
          <t>計測値</t>
        </is>
      </c>
      <c r="F1412" s="63">
        <f t="array" ref="F1412">IF(SUM(--(ISTEXT(B1413:B1423)*(B1413:B1423&lt;&gt;"")))=0,"記入不要","使用Lot")</f>
        <v/>
      </c>
      <c r="G1412" s="64" t="inlineStr">
        <is>
          <t>加工数</t>
        </is>
      </c>
      <c r="H1412" s="65" t="inlineStr">
        <is>
          <t>基材換算</t>
        </is>
      </c>
      <c r="I1412" s="66" t="inlineStr">
        <is>
          <t>端材使用</t>
        </is>
      </c>
      <c r="J1412" s="186" t="n">
        <v>0</v>
      </c>
      <c r="K1412" s="47" t="n"/>
    </row>
    <row r="1413" ht="18" customFormat="1" customHeight="1" s="137">
      <c r="A1413" s="187">
        <f t="array" ref="A1413:A1423">IFERROR(INDEX(_xlfn._xlws.FILTER([4]加工記録２!$D:$D,[4]加工記録２!$U:$U=B1373),_xlfn.SEQUENCE(11),0),"")</f>
        <v/>
      </c>
      <c r="B1413" s="188">
        <f t="array" ref="B1413:B1423">IFERROR(IF(INDEX(_xlfn._xlws.FILTER([4]加工記録２!$E:$E,[4]加工記録２!$U:$U=B1373),_xlfn.SEQUENCE(11))="","",INDEX(_xlfn._xlws.FILTER([4]加工記録２!$E:$E,[4]加工記録２!$U:$U=B1373),_xlfn.SEQUENCE(11)) &amp; IF(INDEX(_xlfn._xlws.FILTER([4]加工記録２!$F:$F,[4]加工記録２!$U:$U=B1373),_xlfn.SEQUENCE(11))="","", " × " &amp; INDEX(_xlfn._xlws.FILTER([4]加工記録２!$F:$F,[4]加工記録２!$U:$U=B1373),_xlfn.SEQUENCE(11)))),"")</f>
        <v/>
      </c>
      <c r="C1413" s="74" t="n"/>
      <c r="D1413" s="189" t="n"/>
      <c r="E1413" s="190" t="n"/>
      <c r="F1413" s="191" t="n"/>
      <c r="G1413" s="192" t="n"/>
      <c r="H1413" s="193" t="n"/>
      <c r="I1413" s="194" t="inlineStr">
        <is>
          <t>不良内訳</t>
        </is>
      </c>
      <c r="J1413" s="195" t="n"/>
      <c r="K1413" s="80" t="n"/>
    </row>
    <row r="1414" ht="18" customFormat="1" customHeight="1" s="141">
      <c r="A1414" s="196" t="n">
        <v>0</v>
      </c>
      <c r="B1414" s="72" t="str"/>
      <c r="C1414" s="197" t="n"/>
      <c r="D1414" s="198" t="n"/>
      <c r="E1414" s="199" t="n"/>
      <c r="F1414" s="200" t="n"/>
      <c r="G1414" s="197" t="n"/>
      <c r="H1414" s="201" t="n"/>
      <c r="I1414" s="86" t="inlineStr">
        <is>
          <t>キズ</t>
        </is>
      </c>
      <c r="J1414" s="201">
        <f t="array" ref="J1414:J1423">IFERROR(INDEX(_xlfn._xlws.FILTER([4]加工記録２!R:R, [4]加工記録２!U:U=B1373),_xlfn.SEQUENCE(10)),"")</f>
        <v/>
      </c>
      <c r="K1414" s="80" t="n"/>
    </row>
    <row r="1415" ht="18.95" customFormat="1" customHeight="1" s="91">
      <c r="A1415" s="202" t="n">
        <v>0</v>
      </c>
      <c r="B1415" s="72" t="str"/>
      <c r="C1415" s="197" t="n"/>
      <c r="D1415" s="198" t="n"/>
      <c r="E1415" s="199" t="n"/>
      <c r="F1415" s="200" t="n"/>
      <c r="G1415" s="197" t="n"/>
      <c r="H1415" s="201" t="n"/>
      <c r="I1415" s="86" t="inlineStr">
        <is>
          <t>凹み</t>
        </is>
      </c>
      <c r="J1415" s="201" t="n">
        <v>0</v>
      </c>
      <c r="K1415" s="89" t="n"/>
      <c r="L1415" s="90" t="n"/>
      <c r="M1415" s="90" t="n"/>
      <c r="N1415" s="90" t="n"/>
    </row>
    <row r="1416" ht="18.95" customFormat="1" customHeight="1" s="94">
      <c r="A1416" s="202" t="n">
        <v>0</v>
      </c>
      <c r="B1416" s="72" t="str"/>
      <c r="C1416" s="197" t="n"/>
      <c r="D1416" s="198" t="n"/>
      <c r="E1416" s="199" t="n"/>
      <c r="F1416" s="200" t="n"/>
      <c r="G1416" s="197" t="n"/>
      <c r="H1416" s="201" t="n"/>
      <c r="I1416" s="86" t="inlineStr">
        <is>
          <t>異物</t>
        </is>
      </c>
      <c r="J1416" s="201" t="n">
        <v>0</v>
      </c>
      <c r="K1416" s="92" t="n"/>
      <c r="L1416" s="93" t="n"/>
      <c r="M1416" s="93" t="n"/>
      <c r="N1416" s="93" t="n"/>
    </row>
    <row r="1417" ht="18.95" customFormat="1" customHeight="1" s="94">
      <c r="A1417" s="202" t="n">
        <v>0</v>
      </c>
      <c r="B1417" s="72" t="str"/>
      <c r="C1417" s="197" t="n"/>
      <c r="D1417" s="198" t="n"/>
      <c r="E1417" s="199" t="n"/>
      <c r="F1417" s="200" t="n"/>
      <c r="G1417" s="197" t="n"/>
      <c r="H1417" s="201" t="n"/>
      <c r="I1417" s="86" t="inlineStr">
        <is>
          <t>欠け</t>
        </is>
      </c>
      <c r="J1417" s="201" t="n">
        <v>0</v>
      </c>
      <c r="K1417" s="92" t="n"/>
      <c r="L1417" s="93" t="n"/>
      <c r="M1417" s="93" t="n"/>
      <c r="N1417" s="93" t="n"/>
    </row>
    <row r="1418" ht="18.95" customFormat="1" customHeight="1" s="94">
      <c r="A1418" s="202" t="n">
        <v>0</v>
      </c>
      <c r="B1418" s="72" t="str"/>
      <c r="C1418" s="197" t="n"/>
      <c r="D1418" s="198" t="n"/>
      <c r="E1418" s="199" t="n"/>
      <c r="F1418" s="200" t="n"/>
      <c r="G1418" s="197" t="n"/>
      <c r="H1418" s="201" t="n"/>
      <c r="I1418" s="86" t="inlineStr">
        <is>
          <t>メヤニ</t>
        </is>
      </c>
      <c r="J1418" s="201" t="n">
        <v>0</v>
      </c>
      <c r="K1418" s="92" t="n"/>
      <c r="L1418" s="93" t="n"/>
      <c r="M1418" s="93" t="n"/>
      <c r="N1418" s="93" t="n"/>
    </row>
    <row r="1419" ht="18.95" customFormat="1" customHeight="1" s="94">
      <c r="A1419" s="202" t="n">
        <v>0</v>
      </c>
      <c r="B1419" s="72" t="str"/>
      <c r="C1419" s="197" t="n"/>
      <c r="D1419" s="198" t="n"/>
      <c r="E1419" s="199" t="n"/>
      <c r="F1419" s="200" t="n"/>
      <c r="G1419" s="197" t="n"/>
      <c r="H1419" s="201" t="n"/>
      <c r="I1419" s="86" t="inlineStr">
        <is>
          <t>ベコツキ</t>
        </is>
      </c>
      <c r="J1419" s="201" t="n">
        <v>0</v>
      </c>
      <c r="K1419" s="92" t="n"/>
      <c r="L1419" s="93" t="n"/>
      <c r="M1419" s="93" t="n"/>
      <c r="N1419" s="93" t="n"/>
    </row>
    <row r="1420" ht="18.95" customFormat="1" customHeight="1" s="94">
      <c r="A1420" s="202" t="n">
        <v>0</v>
      </c>
      <c r="B1420" s="72" t="str"/>
      <c r="C1420" s="197" t="n"/>
      <c r="D1420" s="198" t="n"/>
      <c r="E1420" s="199" t="n"/>
      <c r="F1420" s="200" t="n"/>
      <c r="G1420" s="197" t="n"/>
      <c r="H1420" s="201" t="n"/>
      <c r="I1420" s="95" t="inlineStr">
        <is>
          <t>汚損</t>
        </is>
      </c>
      <c r="J1420" s="201" t="n">
        <v>0</v>
      </c>
      <c r="K1420" s="92" t="n"/>
      <c r="L1420" s="93" t="n"/>
      <c r="M1420" s="93" t="n"/>
      <c r="N1420" s="93" t="n"/>
    </row>
    <row r="1421" ht="18.95" customFormat="1" customHeight="1" s="94">
      <c r="A1421" s="202" t="n">
        <v>0</v>
      </c>
      <c r="B1421" s="72" t="str"/>
      <c r="C1421" s="197" t="n"/>
      <c r="D1421" s="198" t="n"/>
      <c r="E1421" s="199" t="n"/>
      <c r="F1421" s="200" t="n"/>
      <c r="G1421" s="197" t="n"/>
      <c r="H1421" s="201" t="n"/>
      <c r="I1421" s="95" t="inlineStr">
        <is>
          <t>形状異常</t>
        </is>
      </c>
      <c r="J1421" s="201" t="n">
        <v>0</v>
      </c>
      <c r="K1421" s="92" t="n"/>
      <c r="L1421" s="93" t="n"/>
      <c r="M1421" s="93" t="n"/>
      <c r="N1421" s="93" t="n"/>
    </row>
    <row r="1422" ht="18.95" customFormat="1" customHeight="1" s="94">
      <c r="A1422" s="202" t="n">
        <v>0</v>
      </c>
      <c r="B1422" s="72" t="str"/>
      <c r="C1422" s="197" t="n"/>
      <c r="D1422" s="198" t="n"/>
      <c r="E1422" s="199" t="n"/>
      <c r="F1422" s="200" t="n"/>
      <c r="G1422" s="197" t="n"/>
      <c r="H1422" s="201" t="n"/>
      <c r="I1422" s="86" t="inlineStr">
        <is>
          <t>その他</t>
        </is>
      </c>
      <c r="J1422" s="203" t="n">
        <v>0</v>
      </c>
      <c r="K1422" s="92" t="n"/>
      <c r="L1422" s="93" t="n"/>
      <c r="M1422" s="93" t="n"/>
      <c r="N1422" s="93" t="n"/>
    </row>
    <row r="1423" ht="18.95" customFormat="1" customHeight="1" s="94" thickBot="1">
      <c r="A1423" s="204" t="n">
        <v>0</v>
      </c>
      <c r="B1423" s="73" t="str"/>
      <c r="C1423" s="205" t="n"/>
      <c r="D1423" s="206" t="n"/>
      <c r="E1423" s="207" t="n"/>
      <c r="F1423" s="208" t="n"/>
      <c r="G1423" s="209" t="n"/>
      <c r="H1423" s="210" t="n"/>
      <c r="I1423" s="102" t="inlineStr">
        <is>
          <t>合計</t>
        </is>
      </c>
      <c r="J1423" s="211" t="n">
        <v>0</v>
      </c>
      <c r="K1423" s="92" t="n"/>
      <c r="L1423" s="93" t="n"/>
      <c r="M1423" s="93" t="n"/>
      <c r="N1423" s="93" t="n"/>
    </row>
    <row r="1424" ht="6" customHeight="1" s="156" thickBot="1">
      <c r="A1424" s="103" t="n"/>
      <c r="B1424" s="104" t="n"/>
      <c r="C1424" s="104" t="n"/>
      <c r="D1424" s="103" t="n"/>
      <c r="E1424" s="104" t="n"/>
      <c r="F1424" s="104" t="n"/>
      <c r="G1424" s="104" t="n"/>
      <c r="H1424" s="104" t="n"/>
    </row>
    <row r="1425" ht="6" customHeight="1" s="156" thickTop="1">
      <c r="A1425" s="10" t="n"/>
      <c r="B1425" s="10" t="n"/>
      <c r="C1425" s="10" t="n"/>
      <c r="D1425" s="10" t="n"/>
      <c r="E1425" s="10" t="n"/>
      <c r="F1425" s="10" t="n"/>
      <c r="G1425" s="10" t="n"/>
      <c r="H1425" s="10" t="n"/>
      <c r="I1425" s="10" t="n"/>
      <c r="J1425" s="10" t="n"/>
    </row>
  </sheetData>
  <mergeCells count="2375">
    <mergeCell ref="D1257:D1258"/>
    <mergeCell ref="G1323:G1324"/>
    <mergeCell ref="F18:H18"/>
    <mergeCell ref="G297:G298"/>
    <mergeCell ref="A257:B257"/>
    <mergeCell ref="C191:D191"/>
    <mergeCell ref="C321:E321"/>
    <mergeCell ref="A549:B549"/>
    <mergeCell ref="F1116:J1116"/>
    <mergeCell ref="F474:H474"/>
    <mergeCell ref="I536:J536"/>
    <mergeCell ref="E324:E325"/>
    <mergeCell ref="F60:H61"/>
    <mergeCell ref="C949:E949"/>
    <mergeCell ref="C492:E492"/>
    <mergeCell ref="F991:H991"/>
    <mergeCell ref="C606:E606"/>
    <mergeCell ref="F1105:H1105"/>
    <mergeCell ref="G139:H139"/>
    <mergeCell ref="F827:J827"/>
    <mergeCell ref="C915:C916"/>
    <mergeCell ref="B64:B65"/>
    <mergeCell ref="A582:C583"/>
    <mergeCell ref="A1038:C1039"/>
    <mergeCell ref="C34:E34"/>
    <mergeCell ref="G1225:H1225"/>
    <mergeCell ref="A262:B262"/>
    <mergeCell ref="F829:J829"/>
    <mergeCell ref="D1067:F1067"/>
    <mergeCell ref="F703:H703"/>
    <mergeCell ref="C700:D700"/>
    <mergeCell ref="D727:F727"/>
    <mergeCell ref="A1234:B1234"/>
    <mergeCell ref="F1285:J1285"/>
    <mergeCell ref="G12:G13"/>
    <mergeCell ref="F702:H702"/>
    <mergeCell ref="F248:H248"/>
    <mergeCell ref="F1287:J1287"/>
    <mergeCell ref="C205:E205"/>
    <mergeCell ref="I1282:J1282"/>
    <mergeCell ref="F257:J257"/>
    <mergeCell ref="F704:H704"/>
    <mergeCell ref="A595:B595"/>
    <mergeCell ref="C659:E659"/>
    <mergeCell ref="A1269:J1269"/>
    <mergeCell ref="C1291:E1291"/>
    <mergeCell ref="A1029:A1030"/>
    <mergeCell ref="C1003:E1003"/>
    <mergeCell ref="D214:F214"/>
    <mergeCell ref="H1321:J1322"/>
    <mergeCell ref="A748:A749"/>
    <mergeCell ref="G946:H946"/>
    <mergeCell ref="F428:J428"/>
    <mergeCell ref="C630:C631"/>
    <mergeCell ref="A655:B655"/>
    <mergeCell ref="A753:C754"/>
    <mergeCell ref="A1200:A1201"/>
    <mergeCell ref="D782:F782"/>
    <mergeCell ref="A657:B657"/>
    <mergeCell ref="C1236:D1237"/>
    <mergeCell ref="C415:D415"/>
    <mergeCell ref="A870:J870"/>
    <mergeCell ref="A949:B949"/>
    <mergeCell ref="C258:E258"/>
    <mergeCell ref="E267:E268"/>
    <mergeCell ref="F417:H417"/>
    <mergeCell ref="C714:E714"/>
    <mergeCell ref="G201:H201"/>
    <mergeCell ref="J403:J404"/>
    <mergeCell ref="C260:E260"/>
    <mergeCell ref="F419:H419"/>
    <mergeCell ref="B1204:B1205"/>
    <mergeCell ref="C716:E716"/>
    <mergeCell ref="G203:H203"/>
    <mergeCell ref="C259:E259"/>
    <mergeCell ref="B1318:B1319"/>
    <mergeCell ref="G659:H659"/>
    <mergeCell ref="D1411:F1411"/>
    <mergeCell ref="A34:B34"/>
    <mergeCell ref="C261:E261"/>
    <mergeCell ref="B742:D743"/>
    <mergeCell ref="I207:J207"/>
    <mergeCell ref="A36:B36"/>
    <mergeCell ref="G1176:H1176"/>
    <mergeCell ref="I934:J934"/>
    <mergeCell ref="A370:B370"/>
    <mergeCell ref="F864:G864"/>
    <mergeCell ref="A981:C982"/>
    <mergeCell ref="B459:B460"/>
    <mergeCell ref="A205:B205"/>
    <mergeCell ref="D1010:F1010"/>
    <mergeCell ref="C311:D311"/>
    <mergeCell ref="B461:B462"/>
    <mergeCell ref="D1012:F1012"/>
    <mergeCell ref="B917:B918"/>
    <mergeCell ref="C945:E945"/>
    <mergeCell ref="J118:J119"/>
    <mergeCell ref="F200:J200"/>
    <mergeCell ref="I652:J652"/>
    <mergeCell ref="C95:D95"/>
    <mergeCell ref="D1124:F1124"/>
    <mergeCell ref="F1200:H1201"/>
    <mergeCell ref="C490:E490"/>
    <mergeCell ref="A972:A973"/>
    <mergeCell ref="C946:E946"/>
    <mergeCell ref="G433:H433"/>
    <mergeCell ref="I191:J191"/>
    <mergeCell ref="F37:J37"/>
    <mergeCell ref="G889:H889"/>
    <mergeCell ref="I647:J647"/>
    <mergeCell ref="A721:B721"/>
    <mergeCell ref="A994:B994"/>
    <mergeCell ref="E1407:E1408"/>
    <mergeCell ref="A258:B258"/>
    <mergeCell ref="G891:H891"/>
    <mergeCell ref="I649:J649"/>
    <mergeCell ref="F197:J197"/>
    <mergeCell ref="H411:H412"/>
    <mergeCell ref="E347:E348"/>
    <mergeCell ref="I192:J192"/>
    <mergeCell ref="A696:C697"/>
    <mergeCell ref="A260:B260"/>
    <mergeCell ref="I1105:J1105"/>
    <mergeCell ref="D725:F725"/>
    <mergeCell ref="B630:B631"/>
    <mergeCell ref="C201:E201"/>
    <mergeCell ref="C26:D26"/>
    <mergeCell ref="C482:D482"/>
    <mergeCell ref="B632:B633"/>
    <mergeCell ref="C203:E203"/>
    <mergeCell ref="C1393:E1393"/>
    <mergeCell ref="B1147:B1148"/>
    <mergeCell ref="G146:H146"/>
    <mergeCell ref="G1336:H1336"/>
    <mergeCell ref="F1397:J1397"/>
    <mergeCell ref="G602:H602"/>
    <mergeCell ref="A434:B434"/>
    <mergeCell ref="C661:E661"/>
    <mergeCell ref="G490:H490"/>
    <mergeCell ref="I248:J248"/>
    <mergeCell ref="B685:D686"/>
    <mergeCell ref="G604:H604"/>
    <mergeCell ref="A321:B321"/>
    <mergeCell ref="A1347:B1347"/>
    <mergeCell ref="I877:J877"/>
    <mergeCell ref="H580:J581"/>
    <mergeCell ref="J916:J917"/>
    <mergeCell ref="H126:H127"/>
    <mergeCell ref="D1410:F1410"/>
    <mergeCell ref="F817:H817"/>
    <mergeCell ref="B860:B861"/>
    <mergeCell ref="G655:H655"/>
    <mergeCell ref="I720:J720"/>
    <mergeCell ref="E687:E688"/>
    <mergeCell ref="B862:B863"/>
    <mergeCell ref="C257:E257"/>
    <mergeCell ref="G657:H657"/>
    <mergeCell ref="B286:D287"/>
    <mergeCell ref="C371:E371"/>
    <mergeCell ref="I592:J592"/>
    <mergeCell ref="H295:J296"/>
    <mergeCell ref="F862:G862"/>
    <mergeCell ref="F136:H136"/>
    <mergeCell ref="E1316:E1317"/>
    <mergeCell ref="F1318:G1318"/>
    <mergeCell ref="A1393:B1393"/>
    <mergeCell ref="B406:B407"/>
    <mergeCell ref="C994:E994"/>
    <mergeCell ref="G1288:H1288"/>
    <mergeCell ref="I20:J20"/>
    <mergeCell ref="I1046:J1046"/>
    <mergeCell ref="C427:E427"/>
    <mergeCell ref="G256:H256"/>
    <mergeCell ref="C425:D425"/>
    <mergeCell ref="B575:B576"/>
    <mergeCell ref="A661:B661"/>
    <mergeCell ref="A1119:B1119"/>
    <mergeCell ref="F1340:J1340"/>
    <mergeCell ref="C98:C99"/>
    <mergeCell ref="B577:B578"/>
    <mergeCell ref="I1047:J1047"/>
    <mergeCell ref="I1345:J1345"/>
    <mergeCell ref="B3:B4"/>
    <mergeCell ref="C539:D539"/>
    <mergeCell ref="F1342:J1342"/>
    <mergeCell ref="C1056:E1056"/>
    <mergeCell ref="A1114:B1114"/>
    <mergeCell ref="I1049:J1049"/>
    <mergeCell ref="A1290:B1290"/>
    <mergeCell ref="I1347:J1347"/>
    <mergeCell ref="F1215:H1215"/>
    <mergeCell ref="C668:C669"/>
    <mergeCell ref="F461:H462"/>
    <mergeCell ref="F577:G577"/>
    <mergeCell ref="H69:H70"/>
    <mergeCell ref="F917:H918"/>
    <mergeCell ref="C1178:D1178"/>
    <mergeCell ref="C874:D874"/>
    <mergeCell ref="C1058:E1058"/>
    <mergeCell ref="A1116:B1116"/>
    <mergeCell ref="J1315:J1316"/>
    <mergeCell ref="F1033:G1033"/>
    <mergeCell ref="G1001:H1001"/>
    <mergeCell ref="C1057:E1057"/>
    <mergeCell ref="C1051:E1051"/>
    <mergeCell ref="A376:B376"/>
    <mergeCell ref="B58:D59"/>
    <mergeCell ref="A235:A236"/>
    <mergeCell ref="B1084:D1085"/>
    <mergeCell ref="I760:J760"/>
    <mergeCell ref="A834:B834"/>
    <mergeCell ref="C1352:C1353"/>
    <mergeCell ref="C592:D592"/>
    <mergeCell ref="I244:J244"/>
    <mergeCell ref="I1119:J1119"/>
    <mergeCell ref="A371:B371"/>
    <mergeCell ref="J745:J746"/>
    <mergeCell ref="C769:E769"/>
    <mergeCell ref="A827:B827"/>
    <mergeCell ref="I762:J762"/>
    <mergeCell ref="F206:J206"/>
    <mergeCell ref="B233:B234"/>
    <mergeCell ref="C77:D77"/>
    <mergeCell ref="A829:B829"/>
    <mergeCell ref="B1259:B1260"/>
    <mergeCell ref="B347:B348"/>
    <mergeCell ref="B1373:B1374"/>
    <mergeCell ref="F79:H79"/>
    <mergeCell ref="E60:E61"/>
    <mergeCell ref="F632:H633"/>
    <mergeCell ref="F1261:G1261"/>
    <mergeCell ref="B235:B236"/>
    <mergeCell ref="I361:J361"/>
    <mergeCell ref="C1112:E1112"/>
    <mergeCell ref="C1104:D1104"/>
    <mergeCell ref="C36:E36"/>
    <mergeCell ref="C1402:E1402"/>
    <mergeCell ref="G1231:H1231"/>
    <mergeCell ref="I989:J989"/>
    <mergeCell ref="C370:E370"/>
    <mergeCell ref="G199:H199"/>
    <mergeCell ref="A547:B547"/>
    <mergeCell ref="A406:A407"/>
    <mergeCell ref="B1255:D1256"/>
    <mergeCell ref="F1291:J1291"/>
    <mergeCell ref="A1056:B1056"/>
    <mergeCell ref="C1283:E1283"/>
    <mergeCell ref="F995:J995"/>
    <mergeCell ref="C1397:E1397"/>
    <mergeCell ref="A32:B32"/>
    <mergeCell ref="C367:E367"/>
    <mergeCell ref="A1058:B1058"/>
    <mergeCell ref="A601:B601"/>
    <mergeCell ref="I387:J387"/>
    <mergeCell ref="C823:E823"/>
    <mergeCell ref="C824:D824"/>
    <mergeCell ref="C1280:D1280"/>
    <mergeCell ref="F520:G520"/>
    <mergeCell ref="C1001:E1001"/>
    <mergeCell ref="C817:D817"/>
    <mergeCell ref="F976:G976"/>
    <mergeCell ref="F1276:H1276"/>
    <mergeCell ref="G944:H944"/>
    <mergeCell ref="I859:I860"/>
    <mergeCell ref="A1232:B1232"/>
    <mergeCell ref="C93:E93"/>
    <mergeCell ref="I826:J826"/>
    <mergeCell ref="G36:H36"/>
    <mergeCell ref="G1402:H1402"/>
    <mergeCell ref="I1160:J1160"/>
    <mergeCell ref="G1279:H1279"/>
    <mergeCell ref="F1006:J1006"/>
    <mergeCell ref="A777:B777"/>
    <mergeCell ref="C535:D535"/>
    <mergeCell ref="A575:A576"/>
    <mergeCell ref="F877:H877"/>
    <mergeCell ref="A1227:B1227"/>
    <mergeCell ref="J688:J689"/>
    <mergeCell ref="I1162:J1162"/>
    <mergeCell ref="H924:H925"/>
    <mergeCell ref="I1343:J1343"/>
    <mergeCell ref="C82:E82"/>
    <mergeCell ref="I102:J102"/>
    <mergeCell ref="C538:E538"/>
    <mergeCell ref="A1112:B1112"/>
    <mergeCell ref="A772:B772"/>
    <mergeCell ref="F1213:H1213"/>
    <mergeCell ref="E1179:E1180"/>
    <mergeCell ref="F601:J601"/>
    <mergeCell ref="C532:D532"/>
    <mergeCell ref="F1057:J1057"/>
    <mergeCell ref="I247:J247"/>
    <mergeCell ref="C1055:E1055"/>
    <mergeCell ref="A347:A348"/>
    <mergeCell ref="D60:D61"/>
    <mergeCell ref="F1059:J1059"/>
    <mergeCell ref="A830:B830"/>
    <mergeCell ref="A349:A350"/>
    <mergeCell ref="B1198:D1199"/>
    <mergeCell ref="A832:B832"/>
    <mergeCell ref="I1056:J1056"/>
    <mergeCell ref="C590:D590"/>
    <mergeCell ref="F592:H592"/>
    <mergeCell ref="F934:H934"/>
    <mergeCell ref="I1058:J1058"/>
    <mergeCell ref="F1048:H1048"/>
    <mergeCell ref="I1216:J1216"/>
    <mergeCell ref="C591:D591"/>
    <mergeCell ref="C1225:E1225"/>
    <mergeCell ref="F593:H593"/>
    <mergeCell ref="G712:H712"/>
    <mergeCell ref="F322:J322"/>
    <mergeCell ref="G1054:H1054"/>
    <mergeCell ref="C760:D760"/>
    <mergeCell ref="G1168:H1168"/>
    <mergeCell ref="F772:J772"/>
    <mergeCell ref="A543:B543"/>
    <mergeCell ref="H694:J695"/>
    <mergeCell ref="F774:J774"/>
    <mergeCell ref="A887:B887"/>
    <mergeCell ref="A545:B545"/>
    <mergeCell ref="I769:J769"/>
    <mergeCell ref="F191:H191"/>
    <mergeCell ref="A424:B424"/>
    <mergeCell ref="F647:H647"/>
    <mergeCell ref="A538:B538"/>
    <mergeCell ref="E951:E952"/>
    <mergeCell ref="F1403:J1403"/>
    <mergeCell ref="C190:D190"/>
    <mergeCell ref="F349:G349"/>
    <mergeCell ref="F347:H348"/>
    <mergeCell ref="F649:H649"/>
    <mergeCell ref="C304:D304"/>
    <mergeCell ref="C609:D610"/>
    <mergeCell ref="F192:H192"/>
    <mergeCell ref="C25:E25"/>
    <mergeCell ref="I232:I233"/>
    <mergeCell ref="C1119:E1119"/>
    <mergeCell ref="F371:J371"/>
    <mergeCell ref="A142:B142"/>
    <mergeCell ref="I199:J199"/>
    <mergeCell ref="F194:H194"/>
    <mergeCell ref="G435:H435"/>
    <mergeCell ref="A357:J357"/>
    <mergeCell ref="C475:D475"/>
    <mergeCell ref="F493:J493"/>
    <mergeCell ref="A1169:B1169"/>
    <mergeCell ref="G1398:H1398"/>
    <mergeCell ref="I1156:J1156"/>
    <mergeCell ref="C39:D40"/>
    <mergeCell ref="D3:D4"/>
    <mergeCell ref="F1002:J1002"/>
    <mergeCell ref="A145:B145"/>
    <mergeCell ref="G1400:H1400"/>
    <mergeCell ref="A139:B139"/>
    <mergeCell ref="I1158:J1158"/>
    <mergeCell ref="E552:E553"/>
    <mergeCell ref="F1004:J1004"/>
    <mergeCell ref="F362:H362"/>
    <mergeCell ref="F878:H878"/>
    <mergeCell ref="C60:C61"/>
    <mergeCell ref="A573:A574"/>
    <mergeCell ref="A1225:B1225"/>
    <mergeCell ref="C210:D211"/>
    <mergeCell ref="C666:D667"/>
    <mergeCell ref="C324:D325"/>
    <mergeCell ref="C930:D930"/>
    <mergeCell ref="C991:D991"/>
    <mergeCell ref="A770:B770"/>
    <mergeCell ref="G25:H25"/>
    <mergeCell ref="C834:E834"/>
    <mergeCell ref="F546:J546"/>
    <mergeCell ref="G1119:H1119"/>
    <mergeCell ref="G777:H777"/>
    <mergeCell ref="A1204:A1205"/>
    <mergeCell ref="G1111:H1111"/>
    <mergeCell ref="F1055:J1055"/>
    <mergeCell ref="I525:J526"/>
    <mergeCell ref="C835:E835"/>
    <mergeCell ref="I422:J422"/>
    <mergeCell ref="D499:F499"/>
    <mergeCell ref="I729:J729"/>
    <mergeCell ref="I973:I974"/>
    <mergeCell ref="F717:J717"/>
    <mergeCell ref="D955:F955"/>
    <mergeCell ref="I887:J887"/>
    <mergeCell ref="I1185:J1185"/>
    <mergeCell ref="A367:B367"/>
    <mergeCell ref="F1173:J1173"/>
    <mergeCell ref="I424:J424"/>
    <mergeCell ref="F719:J719"/>
    <mergeCell ref="C133:D133"/>
    <mergeCell ref="C433:E433"/>
    <mergeCell ref="F932:H932"/>
    <mergeCell ref="A744:A745"/>
    <mergeCell ref="F145:J145"/>
    <mergeCell ref="C247:D247"/>
    <mergeCell ref="C547:E547"/>
    <mergeCell ref="G376:H376"/>
    <mergeCell ref="C381:D382"/>
    <mergeCell ref="C435:E435"/>
    <mergeCell ref="I142:J142"/>
    <mergeCell ref="G378:H378"/>
    <mergeCell ref="C434:E434"/>
    <mergeCell ref="C92:E92"/>
    <mergeCell ref="G834:H834"/>
    <mergeCell ref="F770:J770"/>
    <mergeCell ref="I137:J137"/>
    <mergeCell ref="A1401:B1401"/>
    <mergeCell ref="C1159:D1159"/>
    <mergeCell ref="D213:F213"/>
    <mergeCell ref="E459:E460"/>
    <mergeCell ref="A82:B82"/>
    <mergeCell ref="C146:E146"/>
    <mergeCell ref="I139:J139"/>
    <mergeCell ref="C1336:E1336"/>
    <mergeCell ref="E495:E496"/>
    <mergeCell ref="F645:H645"/>
    <mergeCell ref="B1090:B1091"/>
    <mergeCell ref="F190:H190"/>
    <mergeCell ref="D402:D403"/>
    <mergeCell ref="G547:H547"/>
    <mergeCell ref="F489:J489"/>
    <mergeCell ref="D858:D859"/>
    <mergeCell ref="G981:G982"/>
    <mergeCell ref="C149:E149"/>
    <mergeCell ref="A300:J300"/>
    <mergeCell ref="G310:H310"/>
    <mergeCell ref="I190:J190"/>
    <mergeCell ref="A756:J756"/>
    <mergeCell ref="F491:J491"/>
    <mergeCell ref="G766:H766"/>
    <mergeCell ref="C573:C574"/>
    <mergeCell ref="A598:B598"/>
    <mergeCell ref="C931:D931"/>
    <mergeCell ref="A433:B433"/>
    <mergeCell ref="F1390:H1390"/>
    <mergeCell ref="D898:F898"/>
    <mergeCell ref="C1179:D1180"/>
    <mergeCell ref="C1233:E1233"/>
    <mergeCell ref="E516:E517"/>
    <mergeCell ref="A435:B435"/>
    <mergeCell ref="C1389:D1389"/>
    <mergeCell ref="E210:E211"/>
    <mergeCell ref="F360:H360"/>
    <mergeCell ref="G150:H150"/>
    <mergeCell ref="C1232:E1232"/>
    <mergeCell ref="C200:E200"/>
    <mergeCell ref="F1391:H1391"/>
    <mergeCell ref="A240:C241"/>
    <mergeCell ref="F88:J88"/>
    <mergeCell ref="C323:D323"/>
    <mergeCell ref="C928:D928"/>
    <mergeCell ref="C202:E202"/>
    <mergeCell ref="F361:H361"/>
    <mergeCell ref="C1384:D1384"/>
    <mergeCell ref="G582:G583"/>
    <mergeCell ref="D573:D574"/>
    <mergeCell ref="G696:G697"/>
    <mergeCell ref="F83:J83"/>
    <mergeCell ref="I209:J209"/>
    <mergeCell ref="F1103:H1103"/>
    <mergeCell ref="A471:J471"/>
    <mergeCell ref="I203:J203"/>
    <mergeCell ref="A1336:B1336"/>
    <mergeCell ref="G481:H481"/>
    <mergeCell ref="I420:J420"/>
    <mergeCell ref="F807:G807"/>
    <mergeCell ref="A924:C925"/>
    <mergeCell ref="C1102:D1102"/>
    <mergeCell ref="D953:F953"/>
    <mergeCell ref="C1407:D1408"/>
    <mergeCell ref="F990:H990"/>
    <mergeCell ref="C1394:D1394"/>
    <mergeCell ref="F1171:J1171"/>
    <mergeCell ref="C1404:E1404"/>
    <mergeCell ref="G1233:H1233"/>
    <mergeCell ref="G1380:G1381"/>
    <mergeCell ref="C947:E947"/>
    <mergeCell ref="G830:H830"/>
    <mergeCell ref="C432:E432"/>
    <mergeCell ref="A603:B603"/>
    <mergeCell ref="G832:H832"/>
    <mergeCell ref="C546:E546"/>
    <mergeCell ref="I133:J133"/>
    <mergeCell ref="F436:J436"/>
    <mergeCell ref="A937:B937"/>
    <mergeCell ref="F314:J314"/>
    <mergeCell ref="C402:C403"/>
    <mergeCell ref="I598:J598"/>
    <mergeCell ref="E290:E291"/>
    <mergeCell ref="I135:J135"/>
    <mergeCell ref="F1149:G1149"/>
    <mergeCell ref="I591:J591"/>
    <mergeCell ref="C96:D97"/>
    <mergeCell ref="C1122:D1123"/>
    <mergeCell ref="F705:H705"/>
    <mergeCell ref="C660:E660"/>
    <mergeCell ref="G354:G355"/>
    <mergeCell ref="I435:J435"/>
    <mergeCell ref="C1169:E1169"/>
    <mergeCell ref="F881:J881"/>
    <mergeCell ref="E461:E462"/>
    <mergeCell ref="D1295:F1295"/>
    <mergeCell ref="D669:F669"/>
    <mergeCell ref="I608:J608"/>
    <mergeCell ref="C145:E145"/>
    <mergeCell ref="A322:B322"/>
    <mergeCell ref="G545:H545"/>
    <mergeCell ref="D1297:F1297"/>
    <mergeCell ref="D271:F271"/>
    <mergeCell ref="F149:J149"/>
    <mergeCell ref="G979:G980"/>
    <mergeCell ref="F748:G748"/>
    <mergeCell ref="E3:E4"/>
    <mergeCell ref="F151:J151"/>
    <mergeCell ref="I1336:J1336"/>
    <mergeCell ref="F301:H301"/>
    <mergeCell ref="F750:G750"/>
    <mergeCell ref="C1047:D1047"/>
    <mergeCell ref="E5:E6"/>
    <mergeCell ref="G67:G68"/>
    <mergeCell ref="F1206:G1206"/>
    <mergeCell ref="C1345:E1345"/>
    <mergeCell ref="G1174:H1174"/>
    <mergeCell ref="C1049:D1049"/>
    <mergeCell ref="G69:G70"/>
    <mergeCell ref="C1347:E1347"/>
    <mergeCell ref="A1405:B1405"/>
    <mergeCell ref="F596:J596"/>
    <mergeCell ref="I935:J935"/>
    <mergeCell ref="C767:D767"/>
    <mergeCell ref="G694:G695"/>
    <mergeCell ref="C894:D895"/>
    <mergeCell ref="D1011:F1011"/>
    <mergeCell ref="E1257:E1258"/>
    <mergeCell ref="A1002:B1002"/>
    <mergeCell ref="I937:J937"/>
    <mergeCell ref="C896:C897"/>
    <mergeCell ref="F919:G919"/>
    <mergeCell ref="C314:E314"/>
    <mergeCell ref="E1259:E1260"/>
    <mergeCell ref="F16:H16"/>
    <mergeCell ref="E233:E234"/>
    <mergeCell ref="A1004:B1004"/>
    <mergeCell ref="C762:D762"/>
    <mergeCell ref="C1400:E1400"/>
    <mergeCell ref="C943:E943"/>
    <mergeCell ref="B516:B517"/>
    <mergeCell ref="F1102:H1102"/>
    <mergeCell ref="C307:D307"/>
    <mergeCell ref="C1401:E1401"/>
    <mergeCell ref="I988:J988"/>
    <mergeCell ref="A1062:B1062"/>
    <mergeCell ref="I1286:J1286"/>
    <mergeCell ref="F1283:J1283"/>
    <mergeCell ref="C1371:C1372"/>
    <mergeCell ref="F1405:J1405"/>
    <mergeCell ref="F522:G522"/>
    <mergeCell ref="G488:H488"/>
    <mergeCell ref="A1231:B1231"/>
    <mergeCell ref="I1288:J1288"/>
    <mergeCell ref="F94:J94"/>
    <mergeCell ref="A1233:B1233"/>
    <mergeCell ref="I264:J264"/>
    <mergeCell ref="C611:C612"/>
    <mergeCell ref="C656:E656"/>
    <mergeCell ref="F693:G693"/>
    <mergeCell ref="C998:E998"/>
    <mergeCell ref="C1121:D1121"/>
    <mergeCell ref="C658:E658"/>
    <mergeCell ref="C1000:E1000"/>
    <mergeCell ref="C992:D992"/>
    <mergeCell ref="F1159:H1159"/>
    <mergeCell ref="C1290:E1290"/>
    <mergeCell ref="A318:B318"/>
    <mergeCell ref="I551:J551"/>
    <mergeCell ref="F539:J539"/>
    <mergeCell ref="I709:J709"/>
    <mergeCell ref="I703:J703"/>
    <mergeCell ref="I1007:J1007"/>
    <mergeCell ref="I1001:J1001"/>
    <mergeCell ref="F123:G123"/>
    <mergeCell ref="I246:J246"/>
    <mergeCell ref="A320:B320"/>
    <mergeCell ref="C78:D78"/>
    <mergeCell ref="A314:B314"/>
    <mergeCell ref="I411:J412"/>
    <mergeCell ref="F237:G237"/>
    <mergeCell ref="F579:G579"/>
    <mergeCell ref="C534:D534"/>
    <mergeCell ref="F1337:J1337"/>
    <mergeCell ref="I1332:J1332"/>
    <mergeCell ref="A778:B778"/>
    <mergeCell ref="C536:D536"/>
    <mergeCell ref="C79:D79"/>
    <mergeCell ref="C839:C840"/>
    <mergeCell ref="C379:E379"/>
    <mergeCell ref="C73:D73"/>
    <mergeCell ref="I1334:J1334"/>
    <mergeCell ref="A315:B315"/>
    <mergeCell ref="D1296:F1296"/>
    <mergeCell ref="C713:E713"/>
    <mergeCell ref="C1045:D1045"/>
    <mergeCell ref="F22:H22"/>
    <mergeCell ref="A947:B947"/>
    <mergeCell ref="C705:D705"/>
    <mergeCell ref="F1204:G1204"/>
    <mergeCell ref="C836:D836"/>
    <mergeCell ref="H637:J638"/>
    <mergeCell ref="C715:E715"/>
    <mergeCell ref="I1060:J1060"/>
    <mergeCell ref="G148:H148"/>
    <mergeCell ref="A33:B33"/>
    <mergeCell ref="F1234:J1234"/>
    <mergeCell ref="F892:J892"/>
    <mergeCell ref="I931:J931"/>
    <mergeCell ref="A489:B489"/>
    <mergeCell ref="A1005:B1005"/>
    <mergeCell ref="I722:J722"/>
    <mergeCell ref="F1348:J1348"/>
    <mergeCell ref="C1314:C1315"/>
    <mergeCell ref="A35:B35"/>
    <mergeCell ref="I126:J127"/>
    <mergeCell ref="I933:J933"/>
    <mergeCell ref="A491:B491"/>
    <mergeCell ref="I1231:J1231"/>
    <mergeCell ref="E1202:E1203"/>
    <mergeCell ref="I1389:J1389"/>
    <mergeCell ref="A28:B28"/>
    <mergeCell ref="A1000:B1000"/>
    <mergeCell ref="I1233:J1233"/>
    <mergeCell ref="C554:C555"/>
    <mergeCell ref="A30:B30"/>
    <mergeCell ref="C94:E94"/>
    <mergeCell ref="C1010:C1011"/>
    <mergeCell ref="C428:E428"/>
    <mergeCell ref="C1064:D1064"/>
    <mergeCell ref="F778:J778"/>
    <mergeCell ref="I773:J773"/>
    <mergeCell ref="E1373:E1374"/>
    <mergeCell ref="C1216:D1216"/>
    <mergeCell ref="B915:B916"/>
    <mergeCell ref="G1343:H1343"/>
    <mergeCell ref="F947:J947"/>
    <mergeCell ref="A718:B718"/>
    <mergeCell ref="A516:A517"/>
    <mergeCell ref="I775:J775"/>
    <mergeCell ref="A630:A631"/>
    <mergeCell ref="A186:J186"/>
    <mergeCell ref="E801:E802"/>
    <mergeCell ref="I1284:J1284"/>
    <mergeCell ref="I646:J646"/>
    <mergeCell ref="F949:J949"/>
    <mergeCell ref="C478:D478"/>
    <mergeCell ref="I944:J944"/>
    <mergeCell ref="F66:G66"/>
    <mergeCell ref="A720:B720"/>
    <mergeCell ref="I1102:J1102"/>
    <mergeCell ref="I354:J355"/>
    <mergeCell ref="A1176:B1176"/>
    <mergeCell ref="I1380:J1381"/>
    <mergeCell ref="A713:B713"/>
    <mergeCell ref="F1280:J1280"/>
    <mergeCell ref="I648:J648"/>
    <mergeCell ref="I1104:J1104"/>
    <mergeCell ref="I1402:J1402"/>
    <mergeCell ref="C479:D479"/>
    <mergeCell ref="I372:J372"/>
    <mergeCell ref="A715:B715"/>
    <mergeCell ref="C322:E322"/>
    <mergeCell ref="A1171:B1171"/>
    <mergeCell ref="I1404:J1404"/>
    <mergeCell ref="J1201:J1202"/>
    <mergeCell ref="F1394:J1394"/>
    <mergeCell ref="I374:J374"/>
    <mergeCell ref="C779:D779"/>
    <mergeCell ref="I672:J672"/>
    <mergeCell ref="F660:J660"/>
    <mergeCell ref="C18:D18"/>
    <mergeCell ref="C1235:D1235"/>
    <mergeCell ref="A143:B143"/>
    <mergeCell ref="I1258:I1259"/>
    <mergeCell ref="G126:G127"/>
    <mergeCell ref="I997:J997"/>
    <mergeCell ref="B1141:D1142"/>
    <mergeCell ref="I1005:J1005"/>
    <mergeCell ref="I999:J999"/>
    <mergeCell ref="A1383:J1383"/>
    <mergeCell ref="I69:J70"/>
    <mergeCell ref="I700:J700"/>
    <mergeCell ref="C1103:D1103"/>
    <mergeCell ref="I273:J273"/>
    <mergeCell ref="F534:H534"/>
    <mergeCell ref="F516:H517"/>
    <mergeCell ref="C80:D80"/>
    <mergeCell ref="F263:J263"/>
    <mergeCell ref="C709:E709"/>
    <mergeCell ref="I87:J87"/>
    <mergeCell ref="G652:H652"/>
    <mergeCell ref="C37:E37"/>
    <mergeCell ref="F536:H536"/>
    <mergeCell ref="I418:J418"/>
    <mergeCell ref="F721:J721"/>
    <mergeCell ref="A290:A291"/>
    <mergeCell ref="F1320:G1320"/>
    <mergeCell ref="A459:A460"/>
    <mergeCell ref="I718:J718"/>
    <mergeCell ref="I712:J712"/>
    <mergeCell ref="F133:H133"/>
    <mergeCell ref="A461:A462"/>
    <mergeCell ref="I1062:J1062"/>
    <mergeCell ref="C1409:C1410"/>
    <mergeCell ref="A917:A918"/>
    <mergeCell ref="D345:D346"/>
    <mergeCell ref="G468:G469"/>
    <mergeCell ref="I1176:J1176"/>
    <mergeCell ref="I415:J415"/>
    <mergeCell ref="F135:H135"/>
    <mergeCell ref="D459:D460"/>
    <mergeCell ref="C1158:D1158"/>
    <mergeCell ref="C90:E90"/>
    <mergeCell ref="F320:J320"/>
    <mergeCell ref="C424:E424"/>
    <mergeCell ref="G253:H253"/>
    <mergeCell ref="A658:B658"/>
    <mergeCell ref="F434:J434"/>
    <mergeCell ref="A3:A4"/>
    <mergeCell ref="F1162:H1162"/>
    <mergeCell ref="I317:J317"/>
    <mergeCell ref="F943:J943"/>
    <mergeCell ref="A5:A6"/>
    <mergeCell ref="I1044:J1044"/>
    <mergeCell ref="A86:B86"/>
    <mergeCell ref="I1201:I1202"/>
    <mergeCell ref="C1332:D1332"/>
    <mergeCell ref="F945:J945"/>
    <mergeCell ref="A1111:B1111"/>
    <mergeCell ref="H468:H469"/>
    <mergeCell ref="C1334:D1334"/>
    <mergeCell ref="C877:D877"/>
    <mergeCell ref="C1177:E1177"/>
    <mergeCell ref="A1326:J1326"/>
    <mergeCell ref="A1113:B1113"/>
    <mergeCell ref="C871:D871"/>
    <mergeCell ref="I1398:J1398"/>
    <mergeCell ref="A632:A633"/>
    <mergeCell ref="F459:H460"/>
    <mergeCell ref="I1400:J1400"/>
    <mergeCell ref="E39:E40"/>
    <mergeCell ref="F915:H916"/>
    <mergeCell ref="I745:I746"/>
    <mergeCell ref="I484:J484"/>
    <mergeCell ref="F664:J664"/>
    <mergeCell ref="F658:J658"/>
    <mergeCell ref="A233:A234"/>
    <mergeCell ref="C778:E778"/>
    <mergeCell ref="I365:J365"/>
    <mergeCell ref="I25:J25"/>
    <mergeCell ref="C134:D134"/>
    <mergeCell ref="I924:J925"/>
    <mergeCell ref="I916:I917"/>
    <mergeCell ref="A1283:B1283"/>
    <mergeCell ref="D441:F441"/>
    <mergeCell ref="A826:B826"/>
    <mergeCell ref="F1389:H1389"/>
    <mergeCell ref="F3:H4"/>
    <mergeCell ref="I665:J665"/>
    <mergeCell ref="A828:B828"/>
    <mergeCell ref="C76:D76"/>
    <mergeCell ref="F78:H78"/>
    <mergeCell ref="C1101:D1101"/>
    <mergeCell ref="C375:E375"/>
    <mergeCell ref="C1215:D1215"/>
    <mergeCell ref="C489:E489"/>
    <mergeCell ref="G1209:G1210"/>
    <mergeCell ref="F630:H631"/>
    <mergeCell ref="C377:E377"/>
    <mergeCell ref="I541:J541"/>
    <mergeCell ref="C643:D643"/>
    <mergeCell ref="C819:D819"/>
    <mergeCell ref="A1177:B1177"/>
    <mergeCell ref="I80:J80"/>
    <mergeCell ref="I1144:I1145"/>
    <mergeCell ref="D1126:F1126"/>
    <mergeCell ref="I378:J378"/>
    <mergeCell ref="D156:F156"/>
    <mergeCell ref="C1277:D1277"/>
    <mergeCell ref="D612:F612"/>
    <mergeCell ref="C814:D814"/>
    <mergeCell ref="C1270:D1270"/>
    <mergeCell ref="G922:G923"/>
    <mergeCell ref="D157:F157"/>
    <mergeCell ref="C1272:D1272"/>
    <mergeCell ref="I688:I689"/>
    <mergeCell ref="F432:J432"/>
    <mergeCell ref="G924:G925"/>
    <mergeCell ref="F311:J311"/>
    <mergeCell ref="A243:J243"/>
    <mergeCell ref="I437:J437"/>
    <mergeCell ref="F425:J425"/>
    <mergeCell ref="A699:J699"/>
    <mergeCell ref="I771:J771"/>
    <mergeCell ref="I1042:J1042"/>
    <mergeCell ref="A600:B600"/>
    <mergeCell ref="C358:D358"/>
    <mergeCell ref="F246:H246"/>
    <mergeCell ref="I308:J308"/>
    <mergeCell ref="A892:B892"/>
    <mergeCell ref="I867:J868"/>
    <mergeCell ref="C1330:D1330"/>
    <mergeCell ref="C990:D990"/>
    <mergeCell ref="D841:F841"/>
    <mergeCell ref="A1226:B1226"/>
    <mergeCell ref="C1173:E1173"/>
    <mergeCell ref="A769:B769"/>
    <mergeCell ref="I1071:J1071"/>
    <mergeCell ref="F1332:H1332"/>
    <mergeCell ref="I310:J310"/>
    <mergeCell ref="F29:J29"/>
    <mergeCell ref="I766:J766"/>
    <mergeCell ref="C1175:E1175"/>
    <mergeCell ref="F1334:H1334"/>
    <mergeCell ref="G523:G524"/>
    <mergeCell ref="F871:H871"/>
    <mergeCell ref="G637:G638"/>
    <mergeCell ref="I289:I290"/>
    <mergeCell ref="C1176:E1176"/>
    <mergeCell ref="I150:J150"/>
    <mergeCell ref="F1329:H1329"/>
    <mergeCell ref="F26:J26"/>
    <mergeCell ref="E176:E177"/>
    <mergeCell ref="I21:J21"/>
    <mergeCell ref="I152:J152"/>
    <mergeCell ref="A1285:B1285"/>
    <mergeCell ref="F931:H931"/>
    <mergeCell ref="I486:J486"/>
    <mergeCell ref="I757:J757"/>
    <mergeCell ref="A1373:A1374"/>
    <mergeCell ref="I23:J23"/>
    <mergeCell ref="I582:J583"/>
    <mergeCell ref="I1213:J1213"/>
    <mergeCell ref="F933:H933"/>
    <mergeCell ref="C588:D588"/>
    <mergeCell ref="C888:E888"/>
    <mergeCell ref="D99:F99"/>
    <mergeCell ref="I786:J786"/>
    <mergeCell ref="J61:J62"/>
    <mergeCell ref="C1344:E1344"/>
    <mergeCell ref="D555:F555"/>
    <mergeCell ref="I481:J481"/>
    <mergeCell ref="G1165:H1165"/>
    <mergeCell ref="A801:A802"/>
    <mergeCell ref="A411:C412"/>
    <mergeCell ref="C1346:E1346"/>
    <mergeCell ref="E803:E804"/>
    <mergeCell ref="G865:G866"/>
    <mergeCell ref="C889:E889"/>
    <mergeCell ref="F928:H928"/>
    <mergeCell ref="G867:G868"/>
    <mergeCell ref="C891:E891"/>
    <mergeCell ref="I478:J478"/>
    <mergeCell ref="A998:B998"/>
    <mergeCell ref="A525:C526"/>
    <mergeCell ref="I380:J380"/>
    <mergeCell ref="A639:C640"/>
    <mergeCell ref="D554:F554"/>
    <mergeCell ref="A642:J642"/>
    <mergeCell ref="C487:E487"/>
    <mergeCell ref="F646:H646"/>
    <mergeCell ref="C301:D301"/>
    <mergeCell ref="F978:G978"/>
    <mergeCell ref="G1321:G1322"/>
    <mergeCell ref="C303:D303"/>
    <mergeCell ref="C645:D645"/>
    <mergeCell ref="C602:E602"/>
    <mergeCell ref="C86:E86"/>
    <mergeCell ref="A263:B263"/>
    <mergeCell ref="A126:C127"/>
    <mergeCell ref="G580:G581"/>
    <mergeCell ref="C604:E604"/>
    <mergeCell ref="C1120:E1120"/>
    <mergeCell ref="A265:B265"/>
    <mergeCell ref="I1277:J1277"/>
    <mergeCell ref="D1239:F1239"/>
    <mergeCell ref="D1353:F1353"/>
    <mergeCell ref="I95:J95"/>
    <mergeCell ref="D269:F269"/>
    <mergeCell ref="I89:J89"/>
    <mergeCell ref="I1279:J1279"/>
    <mergeCell ref="F244:H244"/>
    <mergeCell ref="G10:G11"/>
    <mergeCell ref="F700:H700"/>
    <mergeCell ref="D1240:F1240"/>
    <mergeCell ref="A1346:B1346"/>
    <mergeCell ref="C831:E831"/>
    <mergeCell ref="J4:J5"/>
    <mergeCell ref="B805:B806"/>
    <mergeCell ref="C833:E833"/>
    <mergeCell ref="B1261:B1262"/>
    <mergeCell ref="C1289:E1289"/>
    <mergeCell ref="I876:J876"/>
    <mergeCell ref="I1174:J1174"/>
    <mergeCell ref="B229:D230"/>
    <mergeCell ref="C251:D251"/>
    <mergeCell ref="A862:A863"/>
    <mergeCell ref="A1202:A1203"/>
    <mergeCell ref="I878:J878"/>
    <mergeCell ref="I421:J421"/>
    <mergeCell ref="C828:E828"/>
    <mergeCell ref="C497:C498"/>
    <mergeCell ref="A468:C469"/>
    <mergeCell ref="C551:D551"/>
    <mergeCell ref="I535:J535"/>
    <mergeCell ref="D954:F954"/>
    <mergeCell ref="E174:E175"/>
    <mergeCell ref="E1200:E1201"/>
    <mergeCell ref="D497:F497"/>
    <mergeCell ref="C1007:D1007"/>
    <mergeCell ref="A945:B945"/>
    <mergeCell ref="G238:G239"/>
    <mergeCell ref="G1264:G1265"/>
    <mergeCell ref="C256:E256"/>
    <mergeCell ref="C254:D254"/>
    <mergeCell ref="B404:B405"/>
    <mergeCell ref="C248:D248"/>
    <mergeCell ref="A490:B490"/>
    <mergeCell ref="F415:H415"/>
    <mergeCell ref="I477:J477"/>
    <mergeCell ref="G240:G241"/>
    <mergeCell ref="F1169:J1169"/>
    <mergeCell ref="I297:J298"/>
    <mergeCell ref="H181:J182"/>
    <mergeCell ref="C887:E887"/>
    <mergeCell ref="F1223:J1223"/>
    <mergeCell ref="I134:J134"/>
    <mergeCell ref="A208:B208"/>
    <mergeCell ref="F465:G465"/>
    <mergeCell ref="A664:B664"/>
    <mergeCell ref="C422:D422"/>
    <mergeCell ref="F35:J35"/>
    <mergeCell ref="I1220:J1220"/>
    <mergeCell ref="D1182:F1182"/>
    <mergeCell ref="I932:J932"/>
    <mergeCell ref="I1108:J1108"/>
    <mergeCell ref="J1144:J1145"/>
    <mergeCell ref="H12:H13"/>
    <mergeCell ref="H354:H355"/>
    <mergeCell ref="F860:H861"/>
    <mergeCell ref="C722:D722"/>
    <mergeCell ref="F1160:H1160"/>
    <mergeCell ref="I1222:J1222"/>
    <mergeCell ref="A203:B203"/>
    <mergeCell ref="C858:C859"/>
    <mergeCell ref="D668:F668"/>
    <mergeCell ref="A1175:B1175"/>
    <mergeCell ref="F643:H643"/>
    <mergeCell ref="A1289:B1289"/>
    <mergeCell ref="I492:J492"/>
    <mergeCell ref="I948:J948"/>
    <mergeCell ref="C600:E600"/>
    <mergeCell ref="G429:H429"/>
    <mergeCell ref="F64:G64"/>
    <mergeCell ref="I187:J187"/>
    <mergeCell ref="A261:B261"/>
    <mergeCell ref="F178:G178"/>
    <mergeCell ref="I643:J643"/>
    <mergeCell ref="I12:J13"/>
    <mergeCell ref="I950:J950"/>
    <mergeCell ref="G431:H431"/>
    <mergeCell ref="I189:J189"/>
    <mergeCell ref="A805:A806"/>
    <mergeCell ref="G887:H887"/>
    <mergeCell ref="I645:J645"/>
    <mergeCell ref="B176:B177"/>
    <mergeCell ref="C20:D20"/>
    <mergeCell ref="F23:H23"/>
    <mergeCell ref="A256:B256"/>
    <mergeCell ref="B970:D971"/>
    <mergeCell ref="D897:F897"/>
    <mergeCell ref="J859:J860"/>
    <mergeCell ref="B178:B179"/>
    <mergeCell ref="C782:C783"/>
    <mergeCell ref="C22:D22"/>
    <mergeCell ref="A264:B264"/>
    <mergeCell ref="C1231:E1231"/>
    <mergeCell ref="I205:J205"/>
    <mergeCell ref="C199:E199"/>
    <mergeCell ref="F358:H358"/>
    <mergeCell ref="C655:E655"/>
    <mergeCell ref="G142:H142"/>
    <mergeCell ref="I1003:J1003"/>
    <mergeCell ref="A404:A405"/>
    <mergeCell ref="I663:J663"/>
    <mergeCell ref="C657:E657"/>
    <mergeCell ref="G144:H144"/>
    <mergeCell ref="B1145:B1146"/>
    <mergeCell ref="C1226:E1226"/>
    <mergeCell ref="C38:D38"/>
    <mergeCell ref="I880:J880"/>
    <mergeCell ref="I1390:J1390"/>
    <mergeCell ref="H1152:H1153"/>
    <mergeCell ref="I874:J874"/>
    <mergeCell ref="G600:H600"/>
    <mergeCell ref="D1352:F1352"/>
    <mergeCell ref="I1172:J1172"/>
    <mergeCell ref="H124:J125"/>
    <mergeCell ref="I358:J358"/>
    <mergeCell ref="A432:B432"/>
    <mergeCell ref="I1330:J1330"/>
    <mergeCell ref="C1399:E1399"/>
    <mergeCell ref="D1354:F1354"/>
    <mergeCell ref="F80:H80"/>
    <mergeCell ref="E1145:E1146"/>
    <mergeCell ref="I875:J875"/>
    <mergeCell ref="C1223:D1223"/>
    <mergeCell ref="C707:D707"/>
    <mergeCell ref="F805:G805"/>
    <mergeCell ref="C944:E944"/>
    <mergeCell ref="C550:E550"/>
    <mergeCell ref="A146:B146"/>
    <mergeCell ref="E1314:E1315"/>
    <mergeCell ref="C664:E664"/>
    <mergeCell ref="C953:C954"/>
    <mergeCell ref="I802:I803"/>
    <mergeCell ref="B402:B403"/>
    <mergeCell ref="G1378:G1379"/>
    <mergeCell ref="B858:B859"/>
    <mergeCell ref="G1345:H1345"/>
    <mergeCell ref="I593:J593"/>
    <mergeCell ref="I885:J885"/>
    <mergeCell ref="I130:J130"/>
    <mergeCell ref="F233:H234"/>
    <mergeCell ref="J631:J632"/>
    <mergeCell ref="H867:H868"/>
    <mergeCell ref="I893:J893"/>
    <mergeCell ref="I132:J132"/>
    <mergeCell ref="I1045:J1045"/>
    <mergeCell ref="I588:J588"/>
    <mergeCell ref="A662:B662"/>
    <mergeCell ref="C420:D420"/>
    <mergeCell ref="A199:B199"/>
    <mergeCell ref="F1156:H1156"/>
    <mergeCell ref="F422:H422"/>
    <mergeCell ref="F404:H405"/>
    <mergeCell ref="I590:J590"/>
    <mergeCell ref="J802:J803"/>
    <mergeCell ref="C265:E265"/>
    <mergeCell ref="A176:A177"/>
    <mergeCell ref="C721:E721"/>
    <mergeCell ref="C142:E142"/>
    <mergeCell ref="I615:J615"/>
    <mergeCell ref="A178:A179"/>
    <mergeCell ref="B1027:D1028"/>
    <mergeCell ref="B573:B574"/>
    <mergeCell ref="I606:J606"/>
    <mergeCell ref="C875:D875"/>
    <mergeCell ref="C1295:C1296"/>
    <mergeCell ref="G543:H543"/>
    <mergeCell ref="I301:J301"/>
    <mergeCell ref="A375:B375"/>
    <mergeCell ref="A944:B944"/>
    <mergeCell ref="C1044:D1044"/>
    <mergeCell ref="E1086:E1087"/>
    <mergeCell ref="C1054:E1054"/>
    <mergeCell ref="A1288:B1288"/>
    <mergeCell ref="C1046:D1046"/>
    <mergeCell ref="E1088:E1089"/>
    <mergeCell ref="C1168:E1168"/>
    <mergeCell ref="G997:H997"/>
    <mergeCell ref="A1402:B1402"/>
    <mergeCell ref="B1316:B1317"/>
    <mergeCell ref="G999:H999"/>
    <mergeCell ref="H523:J524"/>
    <mergeCell ref="H979:J980"/>
    <mergeCell ref="B801:B802"/>
    <mergeCell ref="C1222:E1222"/>
    <mergeCell ref="F1106:H1106"/>
    <mergeCell ref="I661:J661"/>
    <mergeCell ref="A402:A403"/>
    <mergeCell ref="F176:H177"/>
    <mergeCell ref="G598:H598"/>
    <mergeCell ref="F292:G292"/>
    <mergeCell ref="H810:H811"/>
    <mergeCell ref="F202:J202"/>
    <mergeCell ref="A1001:B1001"/>
    <mergeCell ref="I175:I176"/>
    <mergeCell ref="I631:I632"/>
    <mergeCell ref="F77:H77"/>
    <mergeCell ref="I258:J258"/>
    <mergeCell ref="C32:E32"/>
    <mergeCell ref="C1398:E1398"/>
    <mergeCell ref="I985:J985"/>
    <mergeCell ref="C1390:D1390"/>
    <mergeCell ref="G1341:H1341"/>
    <mergeCell ref="A1173:B1173"/>
    <mergeCell ref="I558:J558"/>
    <mergeCell ref="A121:A122"/>
    <mergeCell ref="G1229:H1229"/>
    <mergeCell ref="I987:J987"/>
    <mergeCell ref="C360:D360"/>
    <mergeCell ref="I253:J253"/>
    <mergeCell ref="C362:D362"/>
    <mergeCell ref="C937:E937"/>
    <mergeCell ref="F821:H821"/>
    <mergeCell ref="C818:D818"/>
    <mergeCell ref="C3:C4"/>
    <mergeCell ref="A1054:B1054"/>
    <mergeCell ref="A1060:B1060"/>
    <mergeCell ref="I1266:J1267"/>
    <mergeCell ref="F231:H232"/>
    <mergeCell ref="F1277:H1277"/>
    <mergeCell ref="F1373:H1374"/>
    <mergeCell ref="C820:D820"/>
    <mergeCell ref="A599:B599"/>
    <mergeCell ref="C997:E997"/>
    <mergeCell ref="A1055:B1055"/>
    <mergeCell ref="I256:J256"/>
    <mergeCell ref="E1122:E1123"/>
    <mergeCell ref="C1111:E1111"/>
    <mergeCell ref="F402:H403"/>
    <mergeCell ref="G940:H940"/>
    <mergeCell ref="A1147:A1148"/>
    <mergeCell ref="F858:H859"/>
    <mergeCell ref="C999:E999"/>
    <mergeCell ref="A174:A175"/>
    <mergeCell ref="G942:H942"/>
    <mergeCell ref="A1316:A1317"/>
    <mergeCell ref="A317:B317"/>
    <mergeCell ref="C75:D75"/>
    <mergeCell ref="F607:J607"/>
    <mergeCell ref="H922:J923"/>
    <mergeCell ref="A773:B773"/>
    <mergeCell ref="C531:D531"/>
    <mergeCell ref="J1258:J1259"/>
    <mergeCell ref="D42:F42"/>
    <mergeCell ref="E723:E724"/>
    <mergeCell ref="C264:E264"/>
    <mergeCell ref="A775:B775"/>
    <mergeCell ref="C533:D533"/>
    <mergeCell ref="G937:H937"/>
    <mergeCell ref="A354:C355"/>
    <mergeCell ref="A1380:C1381"/>
    <mergeCell ref="C376:E376"/>
    <mergeCell ref="F535:H535"/>
    <mergeCell ref="C1042:D1042"/>
    <mergeCell ref="C378:E378"/>
    <mergeCell ref="D1086:D1087"/>
    <mergeCell ref="C712:E712"/>
    <mergeCell ref="G810:G811"/>
    <mergeCell ref="A919:A920"/>
    <mergeCell ref="B1200:B1201"/>
    <mergeCell ref="B1314:B1315"/>
    <mergeCell ref="F20:H20"/>
    <mergeCell ref="F1046:H1046"/>
    <mergeCell ref="F573:H574"/>
    <mergeCell ref="A1371:A1372"/>
    <mergeCell ref="A1041:J1041"/>
    <mergeCell ref="I930:J930"/>
    <mergeCell ref="A488:B488"/>
    <mergeCell ref="C246:D246"/>
    <mergeCell ref="F134:H134"/>
    <mergeCell ref="I1095:J1096"/>
    <mergeCell ref="I1386:J1386"/>
    <mergeCell ref="A25:B25"/>
    <mergeCell ref="E438:E439"/>
    <mergeCell ref="I1209:J1210"/>
    <mergeCell ref="A997:B997"/>
    <mergeCell ref="C1061:E1061"/>
    <mergeCell ref="I1054:J1054"/>
    <mergeCell ref="E894:E895"/>
    <mergeCell ref="G264:H264"/>
    <mergeCell ref="I22:J22"/>
    <mergeCell ref="F1220:H1220"/>
    <mergeCell ref="A69:C70"/>
    <mergeCell ref="I1388:J1388"/>
    <mergeCell ref="F1316:H1317"/>
    <mergeCell ref="C763:D763"/>
    <mergeCell ref="D98:F98"/>
    <mergeCell ref="A999:B999"/>
    <mergeCell ref="C757:D757"/>
    <mergeCell ref="C1063:E1063"/>
    <mergeCell ref="F318:J318"/>
    <mergeCell ref="D801:D802"/>
    <mergeCell ref="C310:E310"/>
    <mergeCell ref="E1065:E1066"/>
    <mergeCell ref="H1266:H1267"/>
    <mergeCell ref="B5:B6"/>
    <mergeCell ref="A976:A977"/>
    <mergeCell ref="B1371:B1372"/>
    <mergeCell ref="C766:E766"/>
    <mergeCell ref="I38:J38"/>
    <mergeCell ref="G709:H709"/>
    <mergeCell ref="F1217:H1217"/>
    <mergeCell ref="A541:B541"/>
    <mergeCell ref="H1380:H1381"/>
    <mergeCell ref="F189:H189"/>
    <mergeCell ref="I1101:J1101"/>
    <mergeCell ref="C476:D476"/>
    <mergeCell ref="A712:B712"/>
    <mergeCell ref="F1401:J1401"/>
    <mergeCell ref="B748:B749"/>
    <mergeCell ref="F1275:H1275"/>
    <mergeCell ref="C776:E776"/>
    <mergeCell ref="A1323:C1324"/>
    <mergeCell ref="F818:H818"/>
    <mergeCell ref="C153:D154"/>
    <mergeCell ref="F1371:H1372"/>
    <mergeCell ref="C267:D268"/>
    <mergeCell ref="A689:A690"/>
    <mergeCell ref="F820:H820"/>
    <mergeCell ref="C934:D934"/>
    <mergeCell ref="A1170:B1170"/>
    <mergeCell ref="C1234:E1234"/>
    <mergeCell ref="F33:J33"/>
    <mergeCell ref="D328:F328"/>
    <mergeCell ref="C777:E777"/>
    <mergeCell ref="D516:D517"/>
    <mergeCell ref="F542:J542"/>
    <mergeCell ref="A1165:B1165"/>
    <mergeCell ref="C481:E481"/>
    <mergeCell ref="F998:J998"/>
    <mergeCell ref="F544:J544"/>
    <mergeCell ref="A867:C868"/>
    <mergeCell ref="A1314:A1315"/>
    <mergeCell ref="G1396:H1396"/>
    <mergeCell ref="D442:F442"/>
    <mergeCell ref="F1000:J1000"/>
    <mergeCell ref="A771:B771"/>
    <mergeCell ref="C529:D529"/>
    <mergeCell ref="C372:E372"/>
    <mergeCell ref="G183:G184"/>
    <mergeCell ref="F531:H531"/>
    <mergeCell ref="C374:E374"/>
    <mergeCell ref="F533:H533"/>
    <mergeCell ref="F875:H875"/>
    <mergeCell ref="A766:B766"/>
    <mergeCell ref="C830:E830"/>
    <mergeCell ref="D41:F41"/>
    <mergeCell ref="C1006:E1006"/>
    <mergeCell ref="A1098:J1098"/>
    <mergeCell ref="C832:E832"/>
    <mergeCell ref="C837:D838"/>
    <mergeCell ref="D43:F43"/>
    <mergeCell ref="C345:C346"/>
    <mergeCell ref="I1165:J1165"/>
    <mergeCell ref="F713:J713"/>
    <mergeCell ref="I1048:J1048"/>
    <mergeCell ref="C801:C802"/>
    <mergeCell ref="A484:B484"/>
    <mergeCell ref="G1266:G1267"/>
    <mergeCell ref="F130:H130"/>
    <mergeCell ref="A776:B776"/>
    <mergeCell ref="H1323:H1324"/>
    <mergeCell ref="F715:J715"/>
    <mergeCell ref="C244:D244"/>
    <mergeCell ref="F132:H132"/>
    <mergeCell ref="C87:E87"/>
    <mergeCell ref="F588:H588"/>
    <mergeCell ref="B1031:B1032"/>
    <mergeCell ref="G372:H372"/>
    <mergeCell ref="C543:E543"/>
    <mergeCell ref="D498:F498"/>
    <mergeCell ref="J232:J233"/>
    <mergeCell ref="C89:E89"/>
    <mergeCell ref="C431:E431"/>
    <mergeCell ref="E404:E405"/>
    <mergeCell ref="F1314:H1315"/>
    <mergeCell ref="F590:H590"/>
    <mergeCell ref="A481:B481"/>
    <mergeCell ref="G374:H374"/>
    <mergeCell ref="C545:E545"/>
    <mergeCell ref="B1033:B1034"/>
    <mergeCell ref="C88:E88"/>
    <mergeCell ref="C1060:E1060"/>
    <mergeCell ref="B457:D458"/>
    <mergeCell ref="B913:D914"/>
    <mergeCell ref="C1062:E1062"/>
    <mergeCell ref="B121:B122"/>
    <mergeCell ref="A207:B207"/>
    <mergeCell ref="G1005:H1005"/>
    <mergeCell ref="I763:J763"/>
    <mergeCell ref="C516:C517"/>
    <mergeCell ref="A810:C811"/>
    <mergeCell ref="C1174:E1174"/>
    <mergeCell ref="C150:E150"/>
    <mergeCell ref="C144:E144"/>
    <mergeCell ref="I1099:J1099"/>
    <mergeCell ref="A378:B378"/>
    <mergeCell ref="D1183:F1183"/>
    <mergeCell ref="B746:B747"/>
    <mergeCell ref="G87:H87"/>
    <mergeCell ref="B1088:B1089"/>
    <mergeCell ref="I823:J823"/>
    <mergeCell ref="B1202:B1203"/>
    <mergeCell ref="F5:H6"/>
    <mergeCell ref="C1230:E1230"/>
    <mergeCell ref="C773:E773"/>
    <mergeCell ref="G89:H89"/>
    <mergeCell ref="C775:E775"/>
    <mergeCell ref="B172:D173"/>
    <mergeCell ref="I362:J362"/>
    <mergeCell ref="A436:B436"/>
    <mergeCell ref="C710:D710"/>
    <mergeCell ref="G718:H718"/>
    <mergeCell ref="I476:J476"/>
    <mergeCell ref="B628:D629"/>
    <mergeCell ref="I818:J818"/>
    <mergeCell ref="G1060:H1060"/>
    <mergeCell ref="C288:C289"/>
    <mergeCell ref="E1236:E1237"/>
    <mergeCell ref="F1386:H1386"/>
    <mergeCell ref="I364:J364"/>
    <mergeCell ref="F656:J656"/>
    <mergeCell ref="C440:C441"/>
    <mergeCell ref="C494:D494"/>
    <mergeCell ref="G720:H720"/>
    <mergeCell ref="I820:J820"/>
    <mergeCell ref="G1062:H1062"/>
    <mergeCell ref="H240:H241"/>
    <mergeCell ref="I363:J363"/>
    <mergeCell ref="D440:F440"/>
    <mergeCell ref="B345:B346"/>
    <mergeCell ref="A431:B431"/>
    <mergeCell ref="F482:J482"/>
    <mergeCell ref="F1388:H1388"/>
    <mergeCell ref="D896:F896"/>
    <mergeCell ref="F75:H75"/>
    <mergeCell ref="C197:D197"/>
    <mergeCell ref="B803:B804"/>
    <mergeCell ref="F86:J86"/>
    <mergeCell ref="C488:E488"/>
    <mergeCell ref="G317:H317"/>
    <mergeCell ref="I75:J75"/>
    <mergeCell ref="A149:B149"/>
    <mergeCell ref="G773:H773"/>
    <mergeCell ref="A1174:B1174"/>
    <mergeCell ref="G319:H319"/>
    <mergeCell ref="B856:D857"/>
    <mergeCell ref="A151:B151"/>
    <mergeCell ref="I1292:J1292"/>
    <mergeCell ref="G775:H775"/>
    <mergeCell ref="I533:J533"/>
    <mergeCell ref="A607:B607"/>
    <mergeCell ref="A150:B150"/>
    <mergeCell ref="F1101:H1101"/>
    <mergeCell ref="A144:B144"/>
    <mergeCell ref="C459:C460"/>
    <mergeCell ref="I78:J78"/>
    <mergeCell ref="D611:F611"/>
    <mergeCell ref="C1065:D1066"/>
    <mergeCell ref="C935:D935"/>
    <mergeCell ref="F586:H586"/>
    <mergeCell ref="C541:E541"/>
    <mergeCell ref="G370:H370"/>
    <mergeCell ref="E402:E403"/>
    <mergeCell ref="I891:J891"/>
    <mergeCell ref="I136:J136"/>
    <mergeCell ref="G1222:H1222"/>
    <mergeCell ref="D212:F212"/>
    <mergeCell ref="B117:B118"/>
    <mergeCell ref="B115:D116"/>
    <mergeCell ref="B571:D572"/>
    <mergeCell ref="A1345:B1345"/>
    <mergeCell ref="B119:B120"/>
    <mergeCell ref="I307:J307"/>
    <mergeCell ref="H466:J467"/>
    <mergeCell ref="F1031:H1032"/>
    <mergeCell ref="C1172:E1172"/>
    <mergeCell ref="A890:B890"/>
    <mergeCell ref="F1331:H1331"/>
    <mergeCell ref="A374:B374"/>
    <mergeCell ref="B288:B289"/>
    <mergeCell ref="I431:J431"/>
    <mergeCell ref="D839:F839"/>
    <mergeCell ref="G91:H91"/>
    <mergeCell ref="B1:D2"/>
    <mergeCell ref="G85:H85"/>
    <mergeCell ref="G541:H541"/>
    <mergeCell ref="F1177:J1177"/>
    <mergeCell ref="C1143:C1144"/>
    <mergeCell ref="E573:E574"/>
    <mergeCell ref="C1257:C1258"/>
    <mergeCell ref="C143:E143"/>
    <mergeCell ref="I1333:J1333"/>
    <mergeCell ref="F147:J147"/>
    <mergeCell ref="I816:J816"/>
    <mergeCell ref="C885:E885"/>
    <mergeCell ref="A87:B87"/>
    <mergeCell ref="F1044:H1044"/>
    <mergeCell ref="I144:J144"/>
    <mergeCell ref="C1341:E1341"/>
    <mergeCell ref="C1166:D1166"/>
    <mergeCell ref="B290:B291"/>
    <mergeCell ref="J1030:J1031"/>
    <mergeCell ref="F746:H747"/>
    <mergeCell ref="C430:E430"/>
    <mergeCell ref="A89:B89"/>
    <mergeCell ref="F1202:H1203"/>
    <mergeCell ref="C1343:E1343"/>
    <mergeCell ref="G1172:H1172"/>
    <mergeCell ref="A1279:B1279"/>
    <mergeCell ref="G1286:H1286"/>
    <mergeCell ref="F890:J890"/>
    <mergeCell ref="B1369:D1370"/>
    <mergeCell ref="F9:G9"/>
    <mergeCell ref="F1226:J1226"/>
    <mergeCell ref="F1109:J1109"/>
    <mergeCell ref="G771:H771"/>
    <mergeCell ref="I529:J529"/>
    <mergeCell ref="A542:B542"/>
    <mergeCell ref="H238:J239"/>
    <mergeCell ref="J574:J575"/>
    <mergeCell ref="A656:B656"/>
    <mergeCell ref="I501:J501"/>
    <mergeCell ref="C308:D308"/>
    <mergeCell ref="F345:H346"/>
    <mergeCell ref="A544:B544"/>
    <mergeCell ref="F377:J377"/>
    <mergeCell ref="G885:H885"/>
    <mergeCell ref="H409:J410"/>
    <mergeCell ref="C608:D608"/>
    <mergeCell ref="E231:E232"/>
    <mergeCell ref="F1090:G1090"/>
    <mergeCell ref="C601:E601"/>
    <mergeCell ref="C933:D933"/>
    <mergeCell ref="C207:E207"/>
    <mergeCell ref="I547:J547"/>
    <mergeCell ref="I1274:J1274"/>
    <mergeCell ref="A1348:B1348"/>
    <mergeCell ref="G484:H484"/>
    <mergeCell ref="I549:J549"/>
    <mergeCell ref="A1341:B1341"/>
    <mergeCell ref="C21:D21"/>
    <mergeCell ref="I1276:J1276"/>
    <mergeCell ref="F824:J824"/>
    <mergeCell ref="G486:H486"/>
    <mergeCell ref="H1038:H1039"/>
    <mergeCell ref="F180:G180"/>
    <mergeCell ref="D1238:F1238"/>
    <mergeCell ref="C380:D380"/>
    <mergeCell ref="F90:J90"/>
    <mergeCell ref="B1143:B1144"/>
    <mergeCell ref="A1229:B1229"/>
    <mergeCell ref="I216:J216"/>
    <mergeCell ref="B1257:B1258"/>
    <mergeCell ref="C23:D23"/>
    <mergeCell ref="C652:E652"/>
    <mergeCell ref="A1343:B1343"/>
    <mergeCell ref="C995:D995"/>
    <mergeCell ref="C1109:D1109"/>
    <mergeCell ref="F691:G691"/>
    <mergeCell ref="C646:D646"/>
    <mergeCell ref="C988:D988"/>
    <mergeCell ref="F1147:G1147"/>
    <mergeCell ref="C1286:E1286"/>
    <mergeCell ref="G1115:H1115"/>
    <mergeCell ref="I873:J873"/>
    <mergeCell ref="C648:D648"/>
    <mergeCell ref="D174:D175"/>
    <mergeCell ref="C1288:E1288"/>
    <mergeCell ref="G1117:H1117"/>
    <mergeCell ref="A492:B492"/>
    <mergeCell ref="I1329:J1329"/>
    <mergeCell ref="C250:D250"/>
    <mergeCell ref="F143:J143"/>
    <mergeCell ref="A948:B948"/>
    <mergeCell ref="C706:D706"/>
    <mergeCell ref="A942:B942"/>
    <mergeCell ref="F119:H120"/>
    <mergeCell ref="A485:B485"/>
    <mergeCell ref="H1207:J1208"/>
    <mergeCell ref="D288:D289"/>
    <mergeCell ref="J517:J518"/>
    <mergeCell ref="F235:G235"/>
    <mergeCell ref="H753:H754"/>
    <mergeCell ref="E689:E690"/>
    <mergeCell ref="C253:E253"/>
    <mergeCell ref="H1209:H1210"/>
    <mergeCell ref="A487:B487"/>
    <mergeCell ref="D1409:F1409"/>
    <mergeCell ref="G196:H196"/>
    <mergeCell ref="A943:B943"/>
    <mergeCell ref="E1350:E1351"/>
    <mergeCell ref="C1339:E1339"/>
    <mergeCell ref="G1282:H1282"/>
    <mergeCell ref="C703:D703"/>
    <mergeCell ref="A62:A63"/>
    <mergeCell ref="G1170:H1170"/>
    <mergeCell ref="C884:E884"/>
    <mergeCell ref="A29:B29"/>
    <mergeCell ref="G1284:H1284"/>
    <mergeCell ref="I262:J262"/>
    <mergeCell ref="D231:D232"/>
    <mergeCell ref="A64:A65"/>
    <mergeCell ref="F1344:J1344"/>
    <mergeCell ref="D1371:D1372"/>
    <mergeCell ref="A31:B31"/>
    <mergeCell ref="A1155:J1155"/>
    <mergeCell ref="A129:J129"/>
    <mergeCell ref="A1003:B1003"/>
    <mergeCell ref="I1227:J1227"/>
    <mergeCell ref="C761:D761"/>
    <mergeCell ref="I589:J589"/>
    <mergeCell ref="C421:D421"/>
    <mergeCell ref="A663:B663"/>
    <mergeCell ref="F307:H307"/>
    <mergeCell ref="F1346:J1346"/>
    <mergeCell ref="I1341:J1341"/>
    <mergeCell ref="I1323:J1324"/>
    <mergeCell ref="F463:G463"/>
    <mergeCell ref="F763:H763"/>
    <mergeCell ref="F290:H291"/>
    <mergeCell ref="H1378:J1379"/>
    <mergeCell ref="I1229:J1229"/>
    <mergeCell ref="C552:D553"/>
    <mergeCell ref="C306:D306"/>
    <mergeCell ref="F308:H308"/>
    <mergeCell ref="G883:H883"/>
    <mergeCell ref="F487:J487"/>
    <mergeCell ref="G1339:H1339"/>
    <mergeCell ref="C607:E607"/>
    <mergeCell ref="A714:B714"/>
    <mergeCell ref="E1371:E1372"/>
    <mergeCell ref="C941:E941"/>
    <mergeCell ref="A1259:A1260"/>
    <mergeCell ref="A716:B716"/>
    <mergeCell ref="I940:J940"/>
    <mergeCell ref="A259:B259"/>
    <mergeCell ref="A253:B253"/>
    <mergeCell ref="E666:E667"/>
    <mergeCell ref="F476:H476"/>
    <mergeCell ref="C174:C175"/>
    <mergeCell ref="A709:B709"/>
    <mergeCell ref="I942:J942"/>
    <mergeCell ref="F364:H364"/>
    <mergeCell ref="C19:D19"/>
    <mergeCell ref="C932:D932"/>
    <mergeCell ref="E972:E973"/>
    <mergeCell ref="F478:H478"/>
    <mergeCell ref="C780:D781"/>
    <mergeCell ref="F21:H21"/>
    <mergeCell ref="C318:E318"/>
    <mergeCell ref="C196:E196"/>
    <mergeCell ref="C477:D477"/>
    <mergeCell ref="I517:I518"/>
    <mergeCell ref="D1029:D1030"/>
    <mergeCell ref="E1293:E1294"/>
    <mergeCell ref="C320:E320"/>
    <mergeCell ref="A1318:A1319"/>
    <mergeCell ref="F479:H479"/>
    <mergeCell ref="F208:J208"/>
    <mergeCell ref="I1387:J1387"/>
    <mergeCell ref="A429:B429"/>
    <mergeCell ref="D1200:D1201"/>
    <mergeCell ref="D1069:F1069"/>
    <mergeCell ref="I1299:J1299"/>
    <mergeCell ref="D1314:D1315"/>
    <mergeCell ref="E381:E382"/>
    <mergeCell ref="F833:J833"/>
    <mergeCell ref="F1175:J1175"/>
    <mergeCell ref="A946:B946"/>
    <mergeCell ref="G1108:H1108"/>
    <mergeCell ref="C1220:D1220"/>
    <mergeCell ref="F1257:H1258"/>
    <mergeCell ref="C1279:E1279"/>
    <mergeCell ref="E837:E838"/>
    <mergeCell ref="F1289:J1289"/>
    <mergeCell ref="F1163:H1163"/>
    <mergeCell ref="A858:A859"/>
    <mergeCell ref="F259:J259"/>
    <mergeCell ref="F706:H706"/>
    <mergeCell ref="F1259:H1260"/>
    <mergeCell ref="C495:D496"/>
    <mergeCell ref="C549:E549"/>
    <mergeCell ref="C33:E33"/>
    <mergeCell ref="F261:J261"/>
    <mergeCell ref="C951:D952"/>
    <mergeCell ref="A941:B941"/>
    <mergeCell ref="G492:H492"/>
    <mergeCell ref="C1005:E1005"/>
    <mergeCell ref="D744:D745"/>
    <mergeCell ref="E1008:E1009"/>
    <mergeCell ref="G948:H948"/>
    <mergeCell ref="C35:E35"/>
    <mergeCell ref="F254:J254"/>
    <mergeCell ref="F1158:H1158"/>
    <mergeCell ref="F430:J430"/>
    <mergeCell ref="I714:J714"/>
    <mergeCell ref="G828:H828"/>
    <mergeCell ref="I251:J251"/>
    <mergeCell ref="D670:F670"/>
    <mergeCell ref="I810:J811"/>
    <mergeCell ref="F888:J888"/>
    <mergeCell ref="D784:F784"/>
    <mergeCell ref="A659:B659"/>
    <mergeCell ref="C417:D417"/>
    <mergeCell ref="I716:J716"/>
    <mergeCell ref="I1014:J1014"/>
    <mergeCell ref="A652:B652"/>
    <mergeCell ref="I1225:J1225"/>
    <mergeCell ref="C262:E262"/>
    <mergeCell ref="G466:G467"/>
    <mergeCell ref="F421:H421"/>
    <mergeCell ref="C418:D418"/>
    <mergeCell ref="C718:E718"/>
    <mergeCell ref="C723:D724"/>
    <mergeCell ref="G205:H205"/>
    <mergeCell ref="D972:D973"/>
    <mergeCell ref="C720:E720"/>
    <mergeCell ref="G549:H549"/>
    <mergeCell ref="C263:E263"/>
    <mergeCell ref="G663:H663"/>
    <mergeCell ref="I315:J315"/>
    <mergeCell ref="G880:H880"/>
    <mergeCell ref="F941:J941"/>
    <mergeCell ref="A372:B372"/>
    <mergeCell ref="I429:J429"/>
    <mergeCell ref="D385:F385"/>
    <mergeCell ref="C140:D140"/>
    <mergeCell ref="F603:J603"/>
    <mergeCell ref="F876:H876"/>
    <mergeCell ref="D384:F384"/>
    <mergeCell ref="C1165:E1165"/>
    <mergeCell ref="G994:H994"/>
    <mergeCell ref="A1399:B1399"/>
    <mergeCell ref="B919:B920"/>
    <mergeCell ref="E780:E781"/>
    <mergeCell ref="E632:E633"/>
    <mergeCell ref="I1396:J1396"/>
    <mergeCell ref="C438:D439"/>
    <mergeCell ref="G262:H262"/>
    <mergeCell ref="C316:E316"/>
    <mergeCell ref="F204:J204"/>
    <mergeCell ref="D687:D688"/>
    <mergeCell ref="G1152:G1153"/>
    <mergeCell ref="I28:J28"/>
    <mergeCell ref="F477:H477"/>
    <mergeCell ref="A585:J585"/>
    <mergeCell ref="C130:D130"/>
    <mergeCell ref="F662:J662"/>
    <mergeCell ref="G595:H595"/>
    <mergeCell ref="A231:A232"/>
    <mergeCell ref="C744:C745"/>
    <mergeCell ref="F589:H589"/>
    <mergeCell ref="F73:H73"/>
    <mergeCell ref="D613:F613"/>
    <mergeCell ref="F1112:J1112"/>
    <mergeCell ref="F1377:G1377"/>
    <mergeCell ref="C1350:D1351"/>
    <mergeCell ref="E345:E346"/>
    <mergeCell ref="C1218:D1218"/>
    <mergeCell ref="G321:H321"/>
    <mergeCell ref="B634:B635"/>
    <mergeCell ref="C29:E29"/>
    <mergeCell ref="G409:G410"/>
    <mergeCell ref="F76:H76"/>
    <mergeCell ref="C1099:D1099"/>
    <mergeCell ref="F1399:J1399"/>
    <mergeCell ref="C31:E31"/>
    <mergeCell ref="C373:E373"/>
    <mergeCell ref="C1213:D1213"/>
    <mergeCell ref="F375:J375"/>
    <mergeCell ref="G606:H606"/>
    <mergeCell ref="A1051:B1051"/>
    <mergeCell ref="D326:F326"/>
    <mergeCell ref="I76:J76"/>
    <mergeCell ref="F1274:H1274"/>
    <mergeCell ref="F368:J368"/>
    <mergeCell ref="F884:J884"/>
    <mergeCell ref="C972:C973"/>
    <mergeCell ref="C1086:C1087"/>
    <mergeCell ref="C91:E91"/>
    <mergeCell ref="C1117:E1117"/>
    <mergeCell ref="C1273:D1273"/>
    <mergeCell ref="F886:J886"/>
    <mergeCell ref="F1092:G1092"/>
    <mergeCell ref="F819:H819"/>
    <mergeCell ref="G34:H34"/>
    <mergeCell ref="I707:J707"/>
    <mergeCell ref="C1118:E1118"/>
    <mergeCell ref="E575:E576"/>
    <mergeCell ref="I819:J819"/>
    <mergeCell ref="F814:H814"/>
    <mergeCell ref="I821:J821"/>
    <mergeCell ref="G661:H661"/>
    <mergeCell ref="G1003:H1003"/>
    <mergeCell ref="E117:E118"/>
    <mergeCell ref="F265:J265"/>
    <mergeCell ref="I304:J304"/>
    <mergeCell ref="A888:B888"/>
    <mergeCell ref="A1404:B1404"/>
    <mergeCell ref="B292:B293"/>
    <mergeCell ref="A1228:B1228"/>
    <mergeCell ref="F599:J599"/>
    <mergeCell ref="C687:C688"/>
    <mergeCell ref="A1222:B1222"/>
    <mergeCell ref="I427:J427"/>
    <mergeCell ref="I306:J306"/>
    <mergeCell ref="C1293:D1294"/>
    <mergeCell ref="C1171:E1171"/>
    <mergeCell ref="C1163:D1163"/>
    <mergeCell ref="E288:E289"/>
    <mergeCell ref="F1330:H1330"/>
    <mergeCell ref="G1290:H1290"/>
    <mergeCell ref="C429:E429"/>
    <mergeCell ref="G258:H258"/>
    <mergeCell ref="F1052:J1052"/>
    <mergeCell ref="A823:B823"/>
    <mergeCell ref="E746:E747"/>
    <mergeCell ref="G260:H260"/>
    <mergeCell ref="C1342:E1342"/>
    <mergeCell ref="B1375:B1376"/>
    <mergeCell ref="D100:F100"/>
    <mergeCell ref="C881:D881"/>
    <mergeCell ref="A91:B91"/>
    <mergeCell ref="G1150:G1151"/>
    <mergeCell ref="I148:J148"/>
    <mergeCell ref="A660:B660"/>
    <mergeCell ref="B799:D800"/>
    <mergeCell ref="I1051:J1051"/>
    <mergeCell ref="I1349:J1349"/>
    <mergeCell ref="I19:J19"/>
    <mergeCell ref="B7:B8"/>
    <mergeCell ref="A93:B93"/>
    <mergeCell ref="F921:G921"/>
    <mergeCell ref="A1118:B1118"/>
    <mergeCell ref="C876:D876"/>
    <mergeCell ref="F1375:G1375"/>
    <mergeCell ref="F1219:H1219"/>
    <mergeCell ref="F1035:G1035"/>
    <mergeCell ref="I319:J319"/>
    <mergeCell ref="C586:D586"/>
    <mergeCell ref="C1008:D1009"/>
    <mergeCell ref="C886:E886"/>
    <mergeCell ref="A1120:B1120"/>
    <mergeCell ref="C878:D878"/>
    <mergeCell ref="F1045:H1045"/>
    <mergeCell ref="F7:G7"/>
    <mergeCell ref="F767:J767"/>
    <mergeCell ref="C152:D152"/>
    <mergeCell ref="D1181:F1181"/>
    <mergeCell ref="A634:A635"/>
    <mergeCell ref="I159:J159"/>
    <mergeCell ref="I764:J764"/>
    <mergeCell ref="C596:D596"/>
    <mergeCell ref="F373:J373"/>
    <mergeCell ref="C1052:D1052"/>
    <mergeCell ref="D840:F840"/>
    <mergeCell ref="F634:G634"/>
    <mergeCell ref="A831:B831"/>
    <mergeCell ref="F1272:H1272"/>
    <mergeCell ref="A1152:C1153"/>
    <mergeCell ref="E62:E63"/>
    <mergeCell ref="F187:H187"/>
    <mergeCell ref="I249:J249"/>
    <mergeCell ref="C599:E599"/>
    <mergeCell ref="A833:B833"/>
    <mergeCell ref="G32:H32"/>
    <mergeCell ref="C1114:E1114"/>
    <mergeCell ref="F1273:H1273"/>
    <mergeCell ref="C1228:E1228"/>
    <mergeCell ref="C1116:E1116"/>
    <mergeCell ref="J289:J290"/>
    <mergeCell ref="F1120:J1120"/>
    <mergeCell ref="H67:J68"/>
    <mergeCell ref="I1115:J1115"/>
    <mergeCell ref="G1393:H1393"/>
    <mergeCell ref="I1273:J1273"/>
    <mergeCell ref="A430:B430"/>
    <mergeCell ref="I91:J91"/>
    <mergeCell ref="F985:H985"/>
    <mergeCell ref="I85:J85"/>
    <mergeCell ref="I1275:J1275"/>
    <mergeCell ref="E1143:E1144"/>
    <mergeCell ref="I93:J93"/>
    <mergeCell ref="C827:E827"/>
    <mergeCell ref="A1061:B1061"/>
    <mergeCell ref="E119:E120"/>
    <mergeCell ref="G1207:G1208"/>
    <mergeCell ref="F874:H874"/>
    <mergeCell ref="C829:E829"/>
    <mergeCell ref="C821:D821"/>
    <mergeCell ref="F988:H988"/>
    <mergeCell ref="C1285:E1285"/>
    <mergeCell ref="F710:J710"/>
    <mergeCell ref="C1287:E1287"/>
    <mergeCell ref="E744:E745"/>
    <mergeCell ref="C249:D249"/>
    <mergeCell ref="F408:G408"/>
    <mergeCell ref="I531:J531"/>
    <mergeCell ref="A605:B605"/>
    <mergeCell ref="C363:D363"/>
    <mergeCell ref="F251:H251"/>
    <mergeCell ref="I444:J444"/>
    <mergeCell ref="I419:J419"/>
    <mergeCell ref="A486:B486"/>
    <mergeCell ref="C1337:D1337"/>
    <mergeCell ref="C542:E542"/>
    <mergeCell ref="C544:E544"/>
    <mergeCell ref="F1061:J1061"/>
    <mergeCell ref="A204:B204"/>
    <mergeCell ref="I1217:J1217"/>
    <mergeCell ref="G427:H427"/>
    <mergeCell ref="E915:E916"/>
    <mergeCell ref="F121:G121"/>
    <mergeCell ref="F1063:J1063"/>
    <mergeCell ref="F31:J31"/>
    <mergeCell ref="A206:B206"/>
    <mergeCell ref="I193:J193"/>
    <mergeCell ref="E917:E918"/>
    <mergeCell ref="C989:D989"/>
    <mergeCell ref="I1218:J1218"/>
    <mergeCell ref="C593:D593"/>
    <mergeCell ref="I30:J30"/>
    <mergeCell ref="C725:C726"/>
    <mergeCell ref="I488:J488"/>
    <mergeCell ref="C893:D893"/>
    <mergeCell ref="C1229:E1229"/>
    <mergeCell ref="A1287:B1287"/>
    <mergeCell ref="G1058:H1058"/>
    <mergeCell ref="C772:E772"/>
    <mergeCell ref="I490:J490"/>
    <mergeCell ref="F776:J776"/>
    <mergeCell ref="I946:J946"/>
    <mergeCell ref="A345:A346"/>
    <mergeCell ref="C598:E598"/>
    <mergeCell ref="F1232:J1232"/>
    <mergeCell ref="H639:H640"/>
    <mergeCell ref="A15:J15"/>
    <mergeCell ref="E630:E631"/>
    <mergeCell ref="I475:J475"/>
    <mergeCell ref="I817:J817"/>
    <mergeCell ref="A891:B891"/>
    <mergeCell ref="C192:D192"/>
    <mergeCell ref="A428:B428"/>
    <mergeCell ref="I183:J184"/>
    <mergeCell ref="F351:G351"/>
    <mergeCell ref="A803:A804"/>
    <mergeCell ref="I1117:J1117"/>
    <mergeCell ref="B174:B175"/>
    <mergeCell ref="C194:D194"/>
    <mergeCell ref="F1086:H1087"/>
    <mergeCell ref="C650:D650"/>
    <mergeCell ref="I201:J201"/>
    <mergeCell ref="A886:B886"/>
    <mergeCell ref="C1219:D1219"/>
    <mergeCell ref="C493:E493"/>
    <mergeCell ref="C485:E485"/>
    <mergeCell ref="F1088:H1089"/>
    <mergeCell ref="F835:J835"/>
    <mergeCell ref="C950:D950"/>
    <mergeCell ref="C189:D189"/>
    <mergeCell ref="I659:J659"/>
    <mergeCell ref="F648:H648"/>
    <mergeCell ref="I196:J196"/>
    <mergeCell ref="C1275:D1275"/>
    <mergeCell ref="I1168:J1168"/>
    <mergeCell ref="A72:J72"/>
    <mergeCell ref="F247:H247"/>
    <mergeCell ref="C1387:D1387"/>
    <mergeCell ref="I532:J532"/>
    <mergeCell ref="I1170:J1170"/>
    <mergeCell ref="I240:J241"/>
    <mergeCell ref="F406:G406"/>
    <mergeCell ref="E860:E861"/>
    <mergeCell ref="D915:D916"/>
    <mergeCell ref="C940:E940"/>
    <mergeCell ref="F249:H249"/>
    <mergeCell ref="F1166:J1166"/>
    <mergeCell ref="A1033:A1034"/>
    <mergeCell ref="G367:H367"/>
    <mergeCell ref="F801:H802"/>
    <mergeCell ref="C942:E942"/>
    <mergeCell ref="C365:D365"/>
    <mergeCell ref="G823:H823"/>
    <mergeCell ref="C548:E548"/>
    <mergeCell ref="C208:E208"/>
    <mergeCell ref="F707:H707"/>
    <mergeCell ref="J1087:J1088"/>
    <mergeCell ref="F803:H804"/>
    <mergeCell ref="F550:J550"/>
    <mergeCell ref="H865:J866"/>
    <mergeCell ref="C665:D665"/>
    <mergeCell ref="A1230:B1230"/>
    <mergeCell ref="A200:B200"/>
    <mergeCell ref="I433:J433"/>
    <mergeCell ref="A288:A289"/>
    <mergeCell ref="I889:J889"/>
    <mergeCell ref="I883:J883"/>
    <mergeCell ref="A202:B202"/>
    <mergeCell ref="A297:C298"/>
    <mergeCell ref="C1238:C1239"/>
    <mergeCell ref="C212:C213"/>
    <mergeCell ref="C266:D266"/>
    <mergeCell ref="F418:H418"/>
    <mergeCell ref="A746:A747"/>
    <mergeCell ref="I586:J586"/>
    <mergeCell ref="D630:D631"/>
    <mergeCell ref="C139:E139"/>
    <mergeCell ref="E1031:E1032"/>
    <mergeCell ref="F420:H420"/>
    <mergeCell ref="G82:H82"/>
    <mergeCell ref="F605:J605"/>
    <mergeCell ref="G538:H538"/>
    <mergeCell ref="I146:J146"/>
    <mergeCell ref="I602:J602"/>
    <mergeCell ref="F1228:J1228"/>
    <mergeCell ref="I479:J479"/>
    <mergeCell ref="I1038:J1039"/>
    <mergeCell ref="I1030:I1031"/>
    <mergeCell ref="A1403:B1403"/>
    <mergeCell ref="C1161:D1161"/>
    <mergeCell ref="A1397:B1397"/>
    <mergeCell ref="I1111:J1111"/>
    <mergeCell ref="A940:B940"/>
    <mergeCell ref="I1242:J1242"/>
    <mergeCell ref="I604:J604"/>
    <mergeCell ref="F1230:J1230"/>
    <mergeCell ref="A12:C13"/>
    <mergeCell ref="I1331:J1331"/>
    <mergeCell ref="A880:B880"/>
    <mergeCell ref="A373:B373"/>
    <mergeCell ref="I1113:J1113"/>
    <mergeCell ref="F19:H19"/>
    <mergeCell ref="C1340:E1340"/>
    <mergeCell ref="C1156:D1156"/>
    <mergeCell ref="A1398:B1398"/>
    <mergeCell ref="H1095:H1096"/>
    <mergeCell ref="H1264:J1265"/>
    <mergeCell ref="C437:D437"/>
    <mergeCell ref="I1413:J1413"/>
    <mergeCell ref="A1400:B1400"/>
    <mergeCell ref="C491:E491"/>
    <mergeCell ref="I655:J655"/>
    <mergeCell ref="F650:H650"/>
    <mergeCell ref="F379:J379"/>
    <mergeCell ref="C605:E605"/>
    <mergeCell ref="I657:J657"/>
    <mergeCell ref="I194:J194"/>
    <mergeCell ref="I753:J754"/>
    <mergeCell ref="C305:D305"/>
    <mergeCell ref="I1087:I1088"/>
    <mergeCell ref="I650:J650"/>
    <mergeCell ref="F1104:H1104"/>
    <mergeCell ref="F764:H764"/>
    <mergeCell ref="I957:J957"/>
    <mergeCell ref="E518:E519"/>
    <mergeCell ref="F174:H175"/>
    <mergeCell ref="C1391:D1391"/>
    <mergeCell ref="D726:F726"/>
    <mergeCell ref="I494:J494"/>
    <mergeCell ref="I828:J828"/>
    <mergeCell ref="A1212:J1212"/>
    <mergeCell ref="F1387:H1387"/>
    <mergeCell ref="C361:D361"/>
    <mergeCell ref="G1036:G1037"/>
    <mergeCell ref="F1099:H1099"/>
    <mergeCell ref="C204:E204"/>
    <mergeCell ref="F363:H363"/>
    <mergeCell ref="C1386:D1386"/>
    <mergeCell ref="F92:J92"/>
    <mergeCell ref="C206:E206"/>
    <mergeCell ref="A1143:A1144"/>
    <mergeCell ref="A117:A118"/>
    <mergeCell ref="C1396:E1396"/>
    <mergeCell ref="I370:J370"/>
    <mergeCell ref="F365:H365"/>
    <mergeCell ref="C1388:D1388"/>
    <mergeCell ref="C662:E662"/>
    <mergeCell ref="A813:J813"/>
    <mergeCell ref="A119:A120"/>
    <mergeCell ref="I981:J982"/>
    <mergeCell ref="A1340:B1340"/>
    <mergeCell ref="C816:D816"/>
    <mergeCell ref="D327:F327"/>
    <mergeCell ref="C1106:D1106"/>
    <mergeCell ref="A316:B316"/>
    <mergeCell ref="A1342:B1342"/>
    <mergeCell ref="C985:D985"/>
    <mergeCell ref="G751:G752"/>
    <mergeCell ref="G1093:G1094"/>
    <mergeCell ref="C987:D987"/>
    <mergeCell ref="I403:I404"/>
    <mergeCell ref="I994:J994"/>
    <mergeCell ref="F989:H989"/>
    <mergeCell ref="A313:B313"/>
    <mergeCell ref="G1095:G1096"/>
    <mergeCell ref="F140:J140"/>
    <mergeCell ref="A528:J528"/>
    <mergeCell ref="I600:J600"/>
    <mergeCell ref="F532:H532"/>
    <mergeCell ref="A984:J984"/>
    <mergeCell ref="A1063:B1063"/>
    <mergeCell ref="I696:J697"/>
    <mergeCell ref="I1327:J1327"/>
    <mergeCell ref="F1047:H1047"/>
    <mergeCell ref="I1152:J1153"/>
    <mergeCell ref="I900:J900"/>
    <mergeCell ref="F1161:H1161"/>
    <mergeCell ref="F1143:H1144"/>
    <mergeCell ref="F117:H118"/>
    <mergeCell ref="A310:B310"/>
    <mergeCell ref="I1356:J1356"/>
    <mergeCell ref="I595:J595"/>
    <mergeCell ref="F1049:H1049"/>
    <mergeCell ref="C231:C232"/>
    <mergeCell ref="A915:A916"/>
    <mergeCell ref="A1396:B1396"/>
    <mergeCell ref="G352:G353"/>
    <mergeCell ref="F1042:H1042"/>
    <mergeCell ref="G808:G809"/>
    <mergeCell ref="F316:J316"/>
    <mergeCell ref="I118:I119"/>
    <mergeCell ref="I321:J321"/>
    <mergeCell ref="I574:I575"/>
    <mergeCell ref="I313:J313"/>
    <mergeCell ref="A1375:A1376"/>
    <mergeCell ref="I323:J323"/>
    <mergeCell ref="F760:H760"/>
    <mergeCell ref="I928:J928"/>
    <mergeCell ref="I1384:J1384"/>
    <mergeCell ref="C603:E603"/>
    <mergeCell ref="F762:H762"/>
    <mergeCell ref="C759:D759"/>
    <mergeCell ref="C1059:E1059"/>
    <mergeCell ref="D270:F270"/>
    <mergeCell ref="G411:G412"/>
    <mergeCell ref="F1218:H1218"/>
    <mergeCell ref="A1086:A1087"/>
    <mergeCell ref="E974:E975"/>
    <mergeCell ref="F757:H757"/>
    <mergeCell ref="I34:J34"/>
    <mergeCell ref="A835:B835"/>
    <mergeCell ref="F485:J485"/>
    <mergeCell ref="C269:C270"/>
    <mergeCell ref="A1088:A1089"/>
    <mergeCell ref="G1038:G1039"/>
    <mergeCell ref="I36:J36"/>
    <mergeCell ref="C383:C384"/>
    <mergeCell ref="A1257:A1258"/>
    <mergeCell ref="C16:D16"/>
    <mergeCell ref="F548:J548"/>
    <mergeCell ref="A927:J927"/>
    <mergeCell ref="F475:H475"/>
    <mergeCell ref="C472:D472"/>
    <mergeCell ref="A1006:B1006"/>
    <mergeCell ref="C764:D764"/>
    <mergeCell ref="G124:G125"/>
    <mergeCell ref="F1263:G1263"/>
    <mergeCell ref="C474:D474"/>
    <mergeCell ref="C774:E774"/>
    <mergeCell ref="C317:E317"/>
    <mergeCell ref="F816:H816"/>
    <mergeCell ref="G207:H207"/>
    <mergeCell ref="C1200:C1201"/>
    <mergeCell ref="C1403:E1403"/>
    <mergeCell ref="C319:E319"/>
    <mergeCell ref="I990:J990"/>
    <mergeCell ref="G295:G296"/>
    <mergeCell ref="C1405:E1405"/>
    <mergeCell ref="I992:J992"/>
    <mergeCell ref="A550:B550"/>
    <mergeCell ref="I1290:J1290"/>
    <mergeCell ref="G753:G754"/>
    <mergeCell ref="D1068:F1068"/>
    <mergeCell ref="A1059:B1059"/>
    <mergeCell ref="I266:J266"/>
    <mergeCell ref="I260:J260"/>
    <mergeCell ref="C187:D187"/>
    <mergeCell ref="C368:D368"/>
    <mergeCell ref="B518:B519"/>
    <mergeCell ref="G181:G182"/>
    <mergeCell ref="F529:H529"/>
    <mergeCell ref="C1002:E1002"/>
    <mergeCell ref="J175:J176"/>
    <mergeCell ref="C41:C42"/>
    <mergeCell ref="B520:B521"/>
    <mergeCell ref="C364:D364"/>
    <mergeCell ref="B976:B977"/>
    <mergeCell ref="C1004:E1004"/>
    <mergeCell ref="G1404:H1404"/>
    <mergeCell ref="I705:J705"/>
    <mergeCell ref="B400:D401"/>
    <mergeCell ref="A577:A578"/>
    <mergeCell ref="I1161:J1161"/>
    <mergeCell ref="B514:D515"/>
    <mergeCell ref="A1031:A1032"/>
    <mergeCell ref="I250:J250"/>
    <mergeCell ref="C326:C327"/>
    <mergeCell ref="I1163:J1163"/>
    <mergeCell ref="I706:J706"/>
    <mergeCell ref="D1125:F1125"/>
    <mergeCell ref="D783:F783"/>
    <mergeCell ref="A774:B774"/>
    <mergeCell ref="A1095:C1096"/>
    <mergeCell ref="C85:E85"/>
    <mergeCell ref="C83:D83"/>
    <mergeCell ref="A319:B319"/>
    <mergeCell ref="C419:D419"/>
    <mergeCell ref="B689:B690"/>
    <mergeCell ref="C717:E717"/>
    <mergeCell ref="F1216:H1216"/>
    <mergeCell ref="I1315:I1316"/>
    <mergeCell ref="B691:B692"/>
    <mergeCell ref="C719:E719"/>
    <mergeCell ref="F938:J938"/>
    <mergeCell ref="H10:J11"/>
    <mergeCell ref="I1064:J1064"/>
    <mergeCell ref="I32:J32"/>
    <mergeCell ref="I330:J330"/>
    <mergeCell ref="I305:J305"/>
    <mergeCell ref="A37:B37"/>
    <mergeCell ref="C137:D137"/>
    <mergeCell ref="A379:B379"/>
    <mergeCell ref="F636:G636"/>
    <mergeCell ref="I759:J759"/>
    <mergeCell ref="F873:H873"/>
    <mergeCell ref="A493:B493"/>
    <mergeCell ref="I1391:J1391"/>
    <mergeCell ref="F575:H576"/>
    <mergeCell ref="J973:J974"/>
    <mergeCell ref="H183:H184"/>
    <mergeCell ref="A1108:B1108"/>
    <mergeCell ref="D383:F383"/>
    <mergeCell ref="I1393:J1393"/>
    <mergeCell ref="C132:D132"/>
    <mergeCell ref="C1029:C1030"/>
    <mergeCell ref="C770:E770"/>
    <mergeCell ref="C313:E313"/>
    <mergeCell ref="F472:H472"/>
    <mergeCell ref="A1266:C1267"/>
    <mergeCell ref="B744:B745"/>
    <mergeCell ref="C315:E315"/>
    <mergeCell ref="A518:A519"/>
    <mergeCell ref="I777:J777"/>
    <mergeCell ref="C771:E771"/>
    <mergeCell ref="A92:B92"/>
    <mergeCell ref="G1347:H1347"/>
    <mergeCell ref="G714:H714"/>
    <mergeCell ref="I472:J472"/>
    <mergeCell ref="F653:J653"/>
    <mergeCell ref="A546:B546"/>
    <mergeCell ref="I1121:J1121"/>
    <mergeCell ref="B343:D344"/>
    <mergeCell ref="A520:A521"/>
    <mergeCell ref="I779:J779"/>
    <mergeCell ref="I360:J360"/>
    <mergeCell ref="I45:J45"/>
    <mergeCell ref="A94:B94"/>
    <mergeCell ref="F288:H289"/>
    <mergeCell ref="I1235:J1235"/>
    <mergeCell ref="G716:H716"/>
    <mergeCell ref="I474:J474"/>
    <mergeCell ref="A548:B548"/>
    <mergeCell ref="C1217:D1217"/>
    <mergeCell ref="F1384:H1384"/>
    <mergeCell ref="A427:B427"/>
    <mergeCell ref="I1106:J1106"/>
    <mergeCell ref="A717:B717"/>
    <mergeCell ref="B349:B350"/>
    <mergeCell ref="C193:D193"/>
    <mergeCell ref="I991:J991"/>
    <mergeCell ref="B463:B464"/>
    <mergeCell ref="C1067:C1068"/>
    <mergeCell ref="I1406:J1406"/>
    <mergeCell ref="I376:J376"/>
    <mergeCell ref="A719:B719"/>
    <mergeCell ref="C28:E28"/>
    <mergeCell ref="H1150:J1151"/>
    <mergeCell ref="I534:J534"/>
    <mergeCell ref="I1103:J1103"/>
    <mergeCell ref="C484:E484"/>
    <mergeCell ref="G313:H313"/>
    <mergeCell ref="B972:B973"/>
    <mergeCell ref="C30:E30"/>
    <mergeCell ref="I834:J834"/>
    <mergeCell ref="I79:J79"/>
    <mergeCell ref="C486:E486"/>
    <mergeCell ref="G315:H315"/>
    <mergeCell ref="C1181:C1182"/>
    <mergeCell ref="C155:C156"/>
    <mergeCell ref="I73:J73"/>
    <mergeCell ref="C209:D209"/>
    <mergeCell ref="A147:B147"/>
    <mergeCell ref="B974:B975"/>
    <mergeCell ref="E858:E859"/>
    <mergeCell ref="D155:F155"/>
    <mergeCell ref="A1172:B1172"/>
    <mergeCell ref="I836:J836"/>
    <mergeCell ref="I1159:J1159"/>
    <mergeCell ref="I702:J702"/>
    <mergeCell ref="E96:E97"/>
    <mergeCell ref="A691:A692"/>
    <mergeCell ref="C938:D938"/>
    <mergeCell ref="B62:B63"/>
    <mergeCell ref="A148:B148"/>
    <mergeCell ref="F518:H519"/>
    <mergeCell ref="I704:J704"/>
    <mergeCell ref="C1115:E1115"/>
    <mergeCell ref="A292:A293"/>
    <mergeCell ref="A1209:C1210"/>
    <mergeCell ref="C1292:D1292"/>
    <mergeCell ref="B687:B688"/>
    <mergeCell ref="G28:H28"/>
    <mergeCell ref="B1029:B1030"/>
    <mergeCell ref="A885:B885"/>
    <mergeCell ref="J346:J347"/>
    <mergeCell ref="G30:H30"/>
    <mergeCell ref="H582:H583"/>
    <mergeCell ref="C1406:D1406"/>
    <mergeCell ref="I303:J303"/>
    <mergeCell ref="A377:B377"/>
    <mergeCell ref="C135:D135"/>
    <mergeCell ref="E1029:E1030"/>
    <mergeCell ref="I1178:J1178"/>
    <mergeCell ref="I417:J417"/>
    <mergeCell ref="F294:G294"/>
    <mergeCell ref="F137:H137"/>
    <mergeCell ref="C1160:D1160"/>
    <mergeCell ref="F1327:H1327"/>
    <mergeCell ref="C653:D653"/>
    <mergeCell ref="C1274:D1274"/>
    <mergeCell ref="I761:J761"/>
    <mergeCell ref="F1029:H1030"/>
    <mergeCell ref="C1170:E1170"/>
    <mergeCell ref="F689:H690"/>
    <mergeCell ref="C136:D136"/>
    <mergeCell ref="C1162:D1162"/>
    <mergeCell ref="C436:E436"/>
    <mergeCell ref="H1093:J1094"/>
    <mergeCell ref="A7:A8"/>
    <mergeCell ref="A88:B88"/>
    <mergeCell ref="A463:A464"/>
    <mergeCell ref="A606:B606"/>
    <mergeCell ref="C1124:C1125"/>
    <mergeCell ref="I16:J16"/>
    <mergeCell ref="A90:B90"/>
    <mergeCell ref="A1115:B1115"/>
    <mergeCell ref="C873:D873"/>
    <mergeCell ref="I18:J18"/>
    <mergeCell ref="A974:A975"/>
    <mergeCell ref="C883:E883"/>
    <mergeCell ref="A1117:B1117"/>
    <mergeCell ref="A85:B85"/>
    <mergeCell ref="C1331:D1331"/>
    <mergeCell ref="F744:H745"/>
    <mergeCell ref="I468:J469"/>
    <mergeCell ref="C151:E151"/>
    <mergeCell ref="H352:J353"/>
    <mergeCell ref="F193:H193"/>
    <mergeCell ref="C1333:D1333"/>
    <mergeCell ref="H808:J809"/>
    <mergeCell ref="I830:J830"/>
    <mergeCell ref="I1128:J1128"/>
    <mergeCell ref="F305:H305"/>
    <mergeCell ref="I367:J367"/>
    <mergeCell ref="B1086:B1087"/>
    <mergeCell ref="A1291:B1291"/>
    <mergeCell ref="A1168:B1168"/>
    <mergeCell ref="I832:J832"/>
    <mergeCell ref="I77:J77"/>
    <mergeCell ref="H525:H526"/>
    <mergeCell ref="A687:A688"/>
    <mergeCell ref="I1219:J1219"/>
    <mergeCell ref="H981:H982"/>
    <mergeCell ref="C1349:D1349"/>
    <mergeCell ref="I346:I347"/>
    <mergeCell ref="A1286:B1286"/>
    <mergeCell ref="I460:I461"/>
    <mergeCell ref="A1145:A1146"/>
    <mergeCell ref="B60:B61"/>
    <mergeCell ref="F1270:H1270"/>
    <mergeCell ref="F972:H973"/>
    <mergeCell ref="C1113:E1113"/>
    <mergeCell ref="C589:D589"/>
    <mergeCell ref="C1227:E1227"/>
    <mergeCell ref="I543:J543"/>
    <mergeCell ref="I814:J814"/>
    <mergeCell ref="G1056:H1056"/>
    <mergeCell ref="F974:H975"/>
    <mergeCell ref="I639:J640"/>
    <mergeCell ref="H1036:J1037"/>
    <mergeCell ref="A1344:B1344"/>
    <mergeCell ref="I1270:J1270"/>
    <mergeCell ref="D117:D118"/>
    <mergeCell ref="D1143:D1144"/>
    <mergeCell ref="J1372:J1373"/>
    <mergeCell ref="I545:J545"/>
    <mergeCell ref="I843:J843"/>
    <mergeCell ref="C1108:E1108"/>
    <mergeCell ref="I82:J82"/>
    <mergeCell ref="I1272:J1272"/>
    <mergeCell ref="F1118:J1118"/>
    <mergeCell ref="I538:J538"/>
    <mergeCell ref="C647:D647"/>
    <mergeCell ref="A889:B889"/>
    <mergeCell ref="A883:B883"/>
    <mergeCell ref="F992:H992"/>
    <mergeCell ref="G1051:H1051"/>
    <mergeCell ref="F62:H63"/>
    <mergeCell ref="A1339:B1339"/>
    <mergeCell ref="J460:J461"/>
    <mergeCell ref="H696:H697"/>
    <mergeCell ref="C649:D649"/>
    <mergeCell ref="A860:A861"/>
    <mergeCell ref="C1105:D1105"/>
    <mergeCell ref="I61:I62"/>
    <mergeCell ref="C948:E948"/>
    <mergeCell ref="F987:H987"/>
    <mergeCell ref="C826:E826"/>
    <mergeCell ref="A884:B884"/>
    <mergeCell ref="F591:H591"/>
    <mergeCell ref="G769:H769"/>
    <mergeCell ref="C1282:E1282"/>
    <mergeCell ref="B231:B232"/>
    <mergeCell ref="F687:H688"/>
    <mergeCell ref="A1057:B1057"/>
    <mergeCell ref="C1284:E1284"/>
    <mergeCell ref="G1113:H1113"/>
    <mergeCell ref="H297:H298"/>
    <mergeCell ref="I871:J871"/>
    <mergeCell ref="C1276:D1276"/>
    <mergeCell ref="G1227:H1227"/>
    <mergeCell ref="H751:J752"/>
    <mergeCell ref="F831:J831"/>
    <mergeCell ref="A602:B602"/>
    <mergeCell ref="C702:D702"/>
    <mergeCell ref="F1145:H1146"/>
    <mergeCell ref="A604:B604"/>
    <mergeCell ref="C704:D704"/>
    <mergeCell ref="F250:H250"/>
    <mergeCell ref="A183:C184"/>
    <mergeCell ref="B1312:D1313"/>
    <mergeCell ref="F304:H304"/>
    <mergeCell ref="C1327:D1327"/>
    <mergeCell ref="G525:G526"/>
    <mergeCell ref="G639:G640"/>
    <mergeCell ref="A1090:A1091"/>
    <mergeCell ref="C663:E663"/>
    <mergeCell ref="C147:E147"/>
    <mergeCell ref="F306:H306"/>
    <mergeCell ref="C1329:D1329"/>
    <mergeCell ref="G826:H826"/>
    <mergeCell ref="C880:E880"/>
    <mergeCell ref="A414:J414"/>
    <mergeCell ref="A201:B201"/>
    <mergeCell ref="A60:A61"/>
    <mergeCell ref="C148:E148"/>
    <mergeCell ref="F1333:H1333"/>
    <mergeCell ref="E153:E154"/>
    <mergeCell ref="F303:H303"/>
    <mergeCell ref="A196:B196"/>
    <mergeCell ref="I1215:J1215"/>
    <mergeCell ref="E609:E610"/>
    <mergeCell ref="F759:H759"/>
    <mergeCell ref="F935:H935"/>
    <mergeCell ref="C117:C118"/>
    <mergeCell ref="C890:E890"/>
    <mergeCell ref="I1372:I1373"/>
    <mergeCell ref="G93:H93"/>
    <mergeCell ref="A1282:B1282"/>
    <mergeCell ref="I1339:J1339"/>
    <mergeCell ref="F761:H761"/>
    <mergeCell ref="C892:E892"/>
    <mergeCell ref="C1048:D1048"/>
    <mergeCell ref="I4:I5"/>
    <mergeCell ref="A1284:B1284"/>
    <mergeCell ref="C1348:E1348"/>
    <mergeCell ref="F930:H930"/>
    <mergeCell ref="C595:E595"/>
    <mergeCell ref="G424:H424"/>
    <mergeCell ref="A1261:A1262"/>
    <mergeCell ref="D556:F556"/>
    <mergeCell ref="F1114:J1114"/>
  </mergeCells>
  <conditionalFormatting sqref="A45:B55 C46:E55 D45:E45">
    <cfRule type="cellIs" priority="12" operator="between" dxfId="1">
      <formula>0</formula>
      <formula>0</formula>
    </cfRule>
  </conditionalFormatting>
  <conditionalFormatting sqref="A102:B112 C103:E112 D102:E102">
    <cfRule type="cellIs" priority="32" operator="between" dxfId="1">
      <formula>0</formula>
      <formula>0</formula>
    </cfRule>
  </conditionalFormatting>
  <conditionalFormatting sqref="A159:B169 C160:E169 D159:E159">
    <cfRule type="cellIs" priority="30" operator="between" dxfId="1">
      <formula>0</formula>
      <formula>0</formula>
    </cfRule>
  </conditionalFormatting>
  <conditionalFormatting sqref="A216:B226 C217:E226 D216:E216">
    <cfRule type="cellIs" priority="96" operator="between" dxfId="1">
      <formula>0</formula>
      <formula>0</formula>
    </cfRule>
  </conditionalFormatting>
  <conditionalFormatting sqref="A273:B283 C274:E283 D273:E273">
    <cfRule type="cellIs" priority="6" operator="between" dxfId="1">
      <formula>0</formula>
      <formula>0</formula>
    </cfRule>
  </conditionalFormatting>
  <conditionalFormatting sqref="A330:B340 C331:E340 D330:E330">
    <cfRule type="cellIs" priority="28" operator="between" dxfId="1">
      <formula>0</formula>
      <formula>0</formula>
    </cfRule>
  </conditionalFormatting>
  <conditionalFormatting sqref="A387:B397 C388:E397 D387:E387">
    <cfRule type="cellIs" priority="26" operator="between" dxfId="1">
      <formula>0</formula>
      <formula>0</formula>
    </cfRule>
  </conditionalFormatting>
  <conditionalFormatting sqref="A444:B454 C445:E454 D444:E444">
    <cfRule type="cellIs" priority="46" operator="between" dxfId="1">
      <formula>0</formula>
      <formula>0</formula>
    </cfRule>
  </conditionalFormatting>
  <conditionalFormatting sqref="A501:B511 C502:E511 D501:E501">
    <cfRule type="cellIs" priority="104" operator="between" dxfId="1">
      <formula>0</formula>
      <formula>0</formula>
    </cfRule>
  </conditionalFormatting>
  <conditionalFormatting sqref="A558:B568 C559:E568 D558:E558">
    <cfRule type="cellIs" priority="54" operator="between" dxfId="1">
      <formula>0</formula>
      <formula>0</formula>
    </cfRule>
  </conditionalFormatting>
  <conditionalFormatting sqref="A615:B625 C616:E625 D615:E615">
    <cfRule type="cellIs" priority="50" operator="between" dxfId="1">
      <formula>0</formula>
      <formula>0</formula>
    </cfRule>
  </conditionalFormatting>
  <conditionalFormatting sqref="A672:B682 C673:E682 D672:E672">
    <cfRule type="cellIs" priority="44" operator="between" dxfId="1">
      <formula>0</formula>
      <formula>0</formula>
    </cfRule>
  </conditionalFormatting>
  <conditionalFormatting sqref="A729:B739 C730:E739 D729:E729">
    <cfRule type="cellIs" priority="24" operator="between" dxfId="1">
      <formula>0</formula>
      <formula>0</formula>
    </cfRule>
  </conditionalFormatting>
  <conditionalFormatting sqref="A786:B796 C787:E796 D786:E786">
    <cfRule type="cellIs" priority="22" operator="between" dxfId="1">
      <formula>0</formula>
      <formula>0</formula>
    </cfRule>
  </conditionalFormatting>
  <conditionalFormatting sqref="A843:B853 C844:E853 D843:E843">
    <cfRule type="cellIs" priority="20" operator="between" dxfId="1">
      <formula>0</formula>
      <formula>0</formula>
    </cfRule>
  </conditionalFormatting>
  <conditionalFormatting sqref="A1014:B1024 C1015:E1024 D1014:E1014">
    <cfRule type="cellIs" priority="102" operator="between" dxfId="1">
      <formula>0</formula>
      <formula>0</formula>
    </cfRule>
  </conditionalFormatting>
  <conditionalFormatting sqref="A1071:B1081 C1072:E1081 D1071:E1071">
    <cfRule type="cellIs" priority="100" operator="between" dxfId="1">
      <formula>0</formula>
      <formula>0</formula>
    </cfRule>
  </conditionalFormatting>
  <conditionalFormatting sqref="A1128:B1138 C1129:E1138 D1128:E1128">
    <cfRule type="cellIs" priority="42" operator="between" dxfId="1">
      <formula>0</formula>
      <formula>0</formula>
    </cfRule>
  </conditionalFormatting>
  <conditionalFormatting sqref="A1185:B1195 C1186:E1195 D1185:E1185">
    <cfRule type="cellIs" priority="40" operator="between" dxfId="1">
      <formula>0</formula>
      <formula>0</formula>
    </cfRule>
  </conditionalFormatting>
  <conditionalFormatting sqref="A1242:B1252 C1243:E1252 D1242:E1242">
    <cfRule type="cellIs" priority="18" operator="between" dxfId="1">
      <formula>0</formula>
      <formula>0</formula>
    </cfRule>
  </conditionalFormatting>
  <conditionalFormatting sqref="A1299:B1309 C1300:E1309 D1299:E1299">
    <cfRule type="cellIs" priority="16" operator="between" dxfId="1">
      <formula>0</formula>
      <formula>0</formula>
    </cfRule>
  </conditionalFormatting>
  <conditionalFormatting sqref="A1356:B1366 C1357:E1366 D1356:E1356">
    <cfRule type="cellIs" priority="14" operator="between" dxfId="1">
      <formula>0</formula>
      <formula>0</formula>
    </cfRule>
  </conditionalFormatting>
  <conditionalFormatting sqref="A1413:B1423 C1414:E1423 D1413:E1413">
    <cfRule type="cellIs" priority="98" operator="between" dxfId="1">
      <formula>0</formula>
      <formula>0</formula>
    </cfRule>
  </conditionalFormatting>
  <conditionalFormatting sqref="A55:H55">
    <cfRule type="expression" priority="11" dxfId="0">
      <formula>ISNUMBER(SEARCH("灯具",$F3))</formula>
    </cfRule>
  </conditionalFormatting>
  <conditionalFormatting sqref="A112:H112">
    <cfRule type="expression" priority="31" dxfId="0">
      <formula>ISNUMBER(SEARCH("灯具",$F60))</formula>
    </cfRule>
  </conditionalFormatting>
  <conditionalFormatting sqref="A169:H169">
    <cfRule type="expression" priority="29" dxfId="0">
      <formula>ISNUMBER(SEARCH("灯具",$F117))</formula>
    </cfRule>
  </conditionalFormatting>
  <conditionalFormatting sqref="A226:H226">
    <cfRule type="expression" priority="95" dxfId="0">
      <formula>ISNUMBER(SEARCH("灯具",$F174))</formula>
    </cfRule>
  </conditionalFormatting>
  <conditionalFormatting sqref="A283:H283">
    <cfRule type="expression" priority="5" dxfId="0">
      <formula>ISNUMBER(SEARCH("灯具",$F231))</formula>
    </cfRule>
  </conditionalFormatting>
  <conditionalFormatting sqref="A340:H340">
    <cfRule type="expression" priority="27" dxfId="0">
      <formula>ISNUMBER(SEARCH("灯具",$F288))</formula>
    </cfRule>
  </conditionalFormatting>
  <conditionalFormatting sqref="A397:H397">
    <cfRule type="expression" priority="25" dxfId="0">
      <formula>ISNUMBER(SEARCH("灯具",$F345))</formula>
    </cfRule>
  </conditionalFormatting>
  <conditionalFormatting sqref="A454:H454">
    <cfRule type="expression" priority="45" dxfId="0">
      <formula>ISNUMBER(SEARCH("灯具",$F402))</formula>
    </cfRule>
  </conditionalFormatting>
  <conditionalFormatting sqref="A511:H511">
    <cfRule type="expression" priority="103" dxfId="0">
      <formula>ISNUMBER(SEARCH("灯具",$F459))</formula>
    </cfRule>
  </conditionalFormatting>
  <conditionalFormatting sqref="A568:H568">
    <cfRule type="expression" priority="53" dxfId="0">
      <formula>ISNUMBER(SEARCH("灯具",$F516))</formula>
    </cfRule>
  </conditionalFormatting>
  <conditionalFormatting sqref="A625:H625">
    <cfRule type="expression" priority="49" dxfId="0">
      <formula>ISNUMBER(SEARCH("灯具",$F573))</formula>
    </cfRule>
  </conditionalFormatting>
  <conditionalFormatting sqref="A682:H682">
    <cfRule type="expression" priority="43" dxfId="0">
      <formula>ISNUMBER(SEARCH("灯具",$F630))</formula>
    </cfRule>
  </conditionalFormatting>
  <conditionalFormatting sqref="A739:H739">
    <cfRule type="expression" priority="23" dxfId="0">
      <formula>ISNUMBER(SEARCH("灯具",$F687))</formula>
    </cfRule>
  </conditionalFormatting>
  <conditionalFormatting sqref="A796:H796">
    <cfRule type="expression" priority="21" dxfId="0">
      <formula>ISNUMBER(SEARCH("灯具",$F744))</formula>
    </cfRule>
  </conditionalFormatting>
  <conditionalFormatting sqref="A853:H853">
    <cfRule type="expression" priority="19" dxfId="0">
      <formula>ISNUMBER(SEARCH("灯具",$F801))</formula>
    </cfRule>
  </conditionalFormatting>
  <conditionalFormatting sqref="A1024:H1024">
    <cfRule type="expression" priority="101" dxfId="0">
      <formula>ISNUMBER(SEARCH("灯具",$F972))</formula>
    </cfRule>
  </conditionalFormatting>
  <conditionalFormatting sqref="A1081:H1081">
    <cfRule type="expression" priority="99" dxfId="0">
      <formula>ISNUMBER(SEARCH("灯具",$F1029))</formula>
    </cfRule>
  </conditionalFormatting>
  <conditionalFormatting sqref="A1138:H1138">
    <cfRule type="expression" priority="41" dxfId="0">
      <formula>ISNUMBER(SEARCH("灯具",$F1086))</formula>
    </cfRule>
  </conditionalFormatting>
  <conditionalFormatting sqref="A1195:H1195">
    <cfRule type="expression" priority="39" dxfId="0">
      <formula>ISNUMBER(SEARCH("灯具",$F1143))</formula>
    </cfRule>
  </conditionalFormatting>
  <conditionalFormatting sqref="A1252:H1252">
    <cfRule type="expression" priority="17" dxfId="0">
      <formula>ISNUMBER(SEARCH("灯具",$F1200))</formula>
    </cfRule>
  </conditionalFormatting>
  <conditionalFormatting sqref="A1309:H1309">
    <cfRule type="expression" priority="15" dxfId="0">
      <formula>ISNUMBER(SEARCH("灯具",$F1257))</formula>
    </cfRule>
  </conditionalFormatting>
  <conditionalFormatting sqref="A1366:H1366">
    <cfRule type="expression" priority="13" dxfId="0">
      <formula>ISNUMBER(SEARCH("灯具",$F1314))</formula>
    </cfRule>
  </conditionalFormatting>
  <conditionalFormatting sqref="A1423:H1423">
    <cfRule type="expression" priority="97" dxfId="0">
      <formula>ISNUMBER(SEARCH("灯具",$F1371))</formula>
    </cfRule>
  </conditionalFormatting>
  <conditionalFormatting sqref="A900:B910 C901:E910 D900:E900">
    <cfRule type="cellIs" priority="4" operator="between" dxfId="1">
      <formula>0</formula>
      <formula>0</formula>
    </cfRule>
  </conditionalFormatting>
  <conditionalFormatting sqref="A910:H910">
    <cfRule type="expression" priority="3" dxfId="0">
      <formula>ISNUMBER(SEARCH("灯具",$F858))</formula>
    </cfRule>
  </conditionalFormatting>
  <conditionalFormatting sqref="A957:B967 C958:E967 D957:E957">
    <cfRule type="cellIs" priority="2" operator="between" dxfId="1">
      <formula>0</formula>
      <formula>0</formula>
    </cfRule>
  </conditionalFormatting>
  <conditionalFormatting sqref="A967:H967">
    <cfRule type="expression" priority="1" dxfId="0">
      <formula>ISNUMBER(SEARCH("灯具",$F915))</formula>
    </cfRule>
  </conditionalFormatting>
  <pageMargins left="0" right="0" top="0" bottom="0" header="0.5118110236220472" footer="0.5118110236220472"/>
  <pageSetup orientation="portrait" paperSize="9" scale="75"/>
  <headerFooter>
    <oddHeader/>
    <oddFooter>&amp;R&amp;P/&amp;N</oddFooter>
    <evenHeader/>
    <evenFooter/>
    <firstHeader/>
    <firstFooter/>
  </headerFooter>
  <rowBreaks count="24" manualBreakCount="24">
    <brk id="57" min="0" max="16383" man="1"/>
    <brk id="114" min="0" max="16383" man="1"/>
    <brk id="171" min="0" max="16383" man="1"/>
    <brk id="228" min="0" max="16383" man="1"/>
    <brk id="285" min="0" max="16383" man="1"/>
    <brk id="342" min="0" max="16383" man="1"/>
    <brk id="399" min="0" max="16383" man="1"/>
    <brk id="456" min="0" max="16383" man="1"/>
    <brk id="513" min="0" max="16383" man="1"/>
    <brk id="570" min="0" max="16383" man="1"/>
    <brk id="627" min="0" max="16383" man="1"/>
    <brk id="684" min="0" max="16383" man="1"/>
    <brk id="741" min="0" max="16383" man="1"/>
    <brk id="798" min="0" max="16383" man="1"/>
    <brk id="855" min="0" max="16383" man="1"/>
    <brk id="912" min="0" max="16383" man="1"/>
    <brk id="969" min="0" max="16383" man="1"/>
    <brk id="1026" min="0" max="16383" man="1"/>
    <brk id="1083" min="0" max="16383" man="1"/>
    <brk id="1140" min="0" max="16383" man="1"/>
    <brk id="1197" min="0" max="16383" man="1"/>
    <brk id="1254" min="0" max="16383" man="1"/>
    <brk id="1311" min="0" max="16383" man="1"/>
    <brk id="136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V094010 井上 享也</dc:creator>
  <dcterms:created xsi:type="dcterms:W3CDTF">2024-07-11T02:08:33Z</dcterms:created>
  <dcterms:modified xsi:type="dcterms:W3CDTF">2026-06-12T08:20:13Z</dcterms:modified>
  <cp:lastModifiedBy>鉄平 富田</cp:lastModifiedBy>
  <cp:lastPrinted>2026-01-05T23:52:14Z</cp:lastPrinted>
</cp:coreProperties>
</file>