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4" documentId="8_{5E98F05F-820B-4C2D-BDEE-D079BE16FA6D}" xr6:coauthVersionLast="47" xr6:coauthVersionMax="47" xr10:uidLastSave="{9806062D-C6E6-40E2-AB16-C92AFF77CD5B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F101" i="1" a="1"/>
  <c r="F101" i="1" s="1"/>
  <c r="B101" i="1" a="1"/>
  <c r="B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<sst xmlns="http://schemas.openxmlformats.org/spreadsheetml/2006/main" count="202" uniqueCount="99">
  <si>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</si>
  <si>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</si>
  <si>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</si>
  <si>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</si>
  <si>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</si>
  <si>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</si>
  <si>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</si>
  <si>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</si>
  <si>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</si>
  <si>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000000000014895</t>
  </si>
  <si>
    <t>原料名</t>
  </si>
  <si>
    <t>(J6VZ027)(J6AH0460)</t>
  </si>
  <si>
    <t>発注明細№</t>
  </si>
  <si>
    <t>000000000858756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</si>
  <si>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</si>
  <si>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</si>
  <si>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</si>
  <si>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</si>
  <si>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</si>
  <si>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</si>
  <si>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</si>
  <si>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</si>
  <si>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</si>
  <si>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</si>
  <si>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</si>
  <si>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</si>
  <si>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</si>
  <si>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</si>
  <si>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</si>
  <si>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</si>
  <si>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</si>
  <si>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</si>
  <si>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</si>
  <si>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</si>
  <si>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</si>
  <si>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</si>
  <si>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</si>
  <si>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</si>
  <si>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</si>
  <si>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</si>
  <si>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</si>
  <si>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</si>
  <si>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</si>
  <si>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</si>
  <si>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</si>
  <si>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</si>
  <si>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</si>
  <si>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</si>
  <si>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</si>
  <si>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</si>
  <si>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</si>
  <si>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</si>
  <si>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</si>
  <si>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</si>
  <si>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</si>
  <si>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</si>
  <si>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</si>
  <si>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</si>
  <si>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</si>
  <si>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</si>
  <si>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000000000014896</t>
  </si>
  <si>
    <t>000000000858757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</si>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</sst>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0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AEDDE51-6060-4E99-9CFF-BF022E9C0616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57020</xdr:colOff>
      <xdr:row>4</xdr:row>
      <xdr:rowOff>47626</xdr:rowOff>
    </xdr:from>
    <xdr:to>
      <xdr:col>9</xdr:col>
      <xdr:colOff>780920</xdr:colOff>
      <xdr:row>7</xdr:row>
      <xdr:rowOff>114301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96D4B9-FAA5-A865-A849-787CC895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1895" y="771526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47495</xdr:colOff>
      <xdr:row>4</xdr:row>
      <xdr:rowOff>47626</xdr:rowOff>
    </xdr:from>
    <xdr:to>
      <xdr:col>8</xdr:col>
      <xdr:colOff>771395</xdr:colOff>
      <xdr:row>7</xdr:row>
      <xdr:rowOff>114301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61967D4-ACD1-FB7D-3998-C688ECB1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745" y="771526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61</xdr:row>
      <xdr:rowOff>19050</xdr:rowOff>
    </xdr:from>
    <xdr:to>
      <xdr:col>9</xdr:col>
      <xdr:colOff>771525</xdr:colOff>
      <xdr:row>64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210BCA6-4DB7-41C1-8DEA-0C749A9D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3973175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61</xdr:row>
      <xdr:rowOff>19050</xdr:rowOff>
    </xdr:from>
    <xdr:to>
      <xdr:col>8</xdr:col>
      <xdr:colOff>762000</xdr:colOff>
      <xdr:row>64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CEC57C-1B14-4037-AEB7-F3902497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3973175"/>
          <a:ext cx="723900" cy="72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master/VFDB.xlsm" TargetMode="External"/><Relationship Id="rId2" Type="http://schemas.openxmlformats.org/officeDocument/2006/relationships/externalLinkPath" Target="https://d.docs.live.net/82d2b15137c379bc/work/sgt2605_cloud_bundle/master/VFDB.xlsm" TargetMode="External"/><Relationship Id="rId1" Type="http://schemas.openxmlformats.org/officeDocument/2006/relationships/externalLinkPath" Target="/82d2b15137c379bc/work/sgt2605_cloud_bundle/master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sgt2605.xlsm" TargetMode="External"/><Relationship Id="rId2" Type="http://schemas.openxmlformats.org/officeDocument/2006/relationships/externalLinkPath" Target="https://d.docs.live.net/82d2b15137c379bc/work/sgt2605_cloud_bundle/sgt2605.xlsm" TargetMode="External"/><Relationship Id="rId1" Type="http://schemas.openxmlformats.org/officeDocument/2006/relationships/externalLinkPath" Target="/82d2b15137c379bc/work/sgt2605_cloud_bundle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D3">
            <v>46099</v>
          </cell>
          <cell r="E3" t="str">
            <v>26B28-05</v>
          </cell>
          <cell r="F3">
            <v>4</v>
          </cell>
          <cell r="M3">
            <v>46139</v>
          </cell>
          <cell r="N3">
            <v>1</v>
          </cell>
          <cell r="P3">
            <v>46139</v>
          </cell>
          <cell r="U3" t="str">
            <v>000000000013821</v>
          </cell>
        </row>
        <row r="4">
          <cell r="D4">
            <v>46136</v>
          </cell>
          <cell r="E4" t="str">
            <v>26D15-05</v>
          </cell>
          <cell r="P4">
            <v>100</v>
          </cell>
          <cell r="U4" t="str">
            <v>000000000013821</v>
          </cell>
        </row>
        <row r="5">
          <cell r="C5">
            <v>100</v>
          </cell>
          <cell r="D5">
            <v>46136</v>
          </cell>
          <cell r="E5" t="str">
            <v>26D15-05</v>
          </cell>
          <cell r="F5">
            <v>96</v>
          </cell>
          <cell r="P5">
            <v>50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1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100</v>
          </cell>
          <cell r="P9">
            <v>100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1</v>
          </cell>
          <cell r="M11" t="str">
            <v>I</v>
          </cell>
          <cell r="U11" t="str">
            <v>000000000013821</v>
          </cell>
        </row>
        <row r="12">
          <cell r="M12" t="str">
            <v>T</v>
          </cell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M14">
            <v>46139</v>
          </cell>
          <cell r="N14">
            <v>2</v>
          </cell>
          <cell r="P14">
            <v>46139</v>
          </cell>
          <cell r="U14" t="str">
            <v>000000000013822</v>
          </cell>
        </row>
        <row r="15">
          <cell r="D15">
            <v>46136</v>
          </cell>
          <cell r="E15" t="str">
            <v>26D15-05</v>
          </cell>
          <cell r="P15">
            <v>200</v>
          </cell>
          <cell r="R15">
            <v>2</v>
          </cell>
          <cell r="U15" t="str">
            <v>000000000013822</v>
          </cell>
        </row>
        <row r="16">
          <cell r="C16">
            <v>200</v>
          </cell>
          <cell r="D16">
            <v>46136</v>
          </cell>
          <cell r="E16" t="str">
            <v>26D15-05</v>
          </cell>
          <cell r="F16">
            <v>200</v>
          </cell>
          <cell r="P16">
            <v>101.5</v>
          </cell>
          <cell r="U16" t="str">
            <v>000000000013822</v>
          </cell>
        </row>
        <row r="17">
          <cell r="C17">
            <v>200</v>
          </cell>
          <cell r="P17">
            <v>3</v>
          </cell>
          <cell r="U17" t="str">
            <v>000000000013822</v>
          </cell>
        </row>
        <row r="18">
          <cell r="C18">
            <v>2</v>
          </cell>
          <cell r="P18">
            <v>1.5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2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200</v>
          </cell>
          <cell r="P20">
            <v>203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2</v>
          </cell>
          <cell r="M22" t="str">
            <v>I</v>
          </cell>
          <cell r="R22">
            <v>1</v>
          </cell>
          <cell r="U22" t="str">
            <v>000000000013822</v>
          </cell>
        </row>
        <row r="23">
          <cell r="M23" t="str">
            <v>T</v>
          </cell>
          <cell r="R23">
            <v>3</v>
          </cell>
          <cell r="U23" t="str">
            <v>000000000013822</v>
          </cell>
        </row>
        <row r="24">
          <cell r="D24" t="str">
            <v>不良補填</v>
          </cell>
          <cell r="E24" t="str">
            <v>26D15-05</v>
          </cell>
          <cell r="F24">
            <v>3</v>
          </cell>
          <cell r="U24" t="str">
            <v>000000000013822</v>
          </cell>
        </row>
        <row r="25">
          <cell r="C25" t="str">
            <v>8FL281304 5010　L=888</v>
          </cell>
          <cell r="M25">
            <v>46139</v>
          </cell>
          <cell r="N25">
            <v>7</v>
          </cell>
          <cell r="P25">
            <v>46140</v>
          </cell>
          <cell r="R25">
            <v>1</v>
          </cell>
          <cell r="U25" t="str">
            <v>000000000013826</v>
          </cell>
        </row>
        <row r="26">
          <cell r="D26">
            <v>46136</v>
          </cell>
          <cell r="E26" t="str">
            <v>26D15-05</v>
          </cell>
          <cell r="M26">
            <v>46140</v>
          </cell>
          <cell r="N26">
            <v>13</v>
          </cell>
          <cell r="P26">
            <v>2000</v>
          </cell>
          <cell r="R26">
            <v>1</v>
          </cell>
          <cell r="U26" t="str">
            <v>000000000013826</v>
          </cell>
        </row>
        <row r="27">
          <cell r="C27">
            <v>2000</v>
          </cell>
          <cell r="D27">
            <v>46139</v>
          </cell>
          <cell r="E27" t="str">
            <v>26D15-05</v>
          </cell>
          <cell r="F27">
            <v>400</v>
          </cell>
          <cell r="P27">
            <v>1002</v>
          </cell>
          <cell r="R27">
            <v>1</v>
          </cell>
          <cell r="U27" t="str">
            <v>000000000013826</v>
          </cell>
        </row>
        <row r="28">
          <cell r="C28">
            <v>2000</v>
          </cell>
          <cell r="D28">
            <v>46139</v>
          </cell>
          <cell r="E28" t="str">
            <v>26D15-05</v>
          </cell>
          <cell r="F28">
            <v>290</v>
          </cell>
          <cell r="P28">
            <v>4</v>
          </cell>
          <cell r="U28" t="str">
            <v>000000000013826</v>
          </cell>
        </row>
        <row r="29">
          <cell r="C29">
            <v>2</v>
          </cell>
          <cell r="D29">
            <v>46139</v>
          </cell>
          <cell r="E29" t="str">
            <v>26D16-06</v>
          </cell>
          <cell r="P29">
            <v>2</v>
          </cell>
          <cell r="U29" t="str">
            <v>000000000013826</v>
          </cell>
        </row>
        <row r="30">
          <cell r="C30">
            <v>100</v>
          </cell>
          <cell r="D30">
            <v>46139</v>
          </cell>
          <cell r="E30" t="str">
            <v>26D16-06</v>
          </cell>
          <cell r="F30">
            <v>110</v>
          </cell>
          <cell r="M30" t="str">
            <v>合計</v>
          </cell>
          <cell r="N30">
            <v>20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D31">
            <v>46139</v>
          </cell>
          <cell r="E31" t="str">
            <v>26D16-06</v>
          </cell>
          <cell r="F31">
            <v>400</v>
          </cell>
          <cell r="M31" t="str">
            <v>入数</v>
          </cell>
          <cell r="N31">
            <v>2000</v>
          </cell>
          <cell r="P31">
            <v>2004</v>
          </cell>
          <cell r="U31" t="str">
            <v>000000000013826</v>
          </cell>
        </row>
        <row r="32">
          <cell r="D32">
            <v>46139</v>
          </cell>
          <cell r="E32" t="str">
            <v>26D16-06</v>
          </cell>
          <cell r="F32">
            <v>400</v>
          </cell>
          <cell r="M32" t="str">
            <v>作業者</v>
          </cell>
          <cell r="U32" t="str">
            <v>000000000013826</v>
          </cell>
        </row>
        <row r="33">
          <cell r="C33">
            <v>20</v>
          </cell>
          <cell r="D33">
            <v>46140</v>
          </cell>
          <cell r="E33" t="str">
            <v>26D16-06</v>
          </cell>
          <cell r="F33">
            <v>400</v>
          </cell>
          <cell r="M33" t="str">
            <v>I</v>
          </cell>
          <cell r="R33">
            <v>1</v>
          </cell>
          <cell r="U33" t="str">
            <v>000000000013826</v>
          </cell>
        </row>
        <row r="34">
          <cell r="M34" t="str">
            <v>T</v>
          </cell>
          <cell r="N34" t="str">
            <v>U</v>
          </cell>
          <cell r="R34">
            <v>4</v>
          </cell>
          <cell r="U34" t="str">
            <v>000000000013826</v>
          </cell>
        </row>
        <row r="35">
          <cell r="D35" t="str">
            <v>不良補填</v>
          </cell>
          <cell r="E35" t="str">
            <v>26D15-05</v>
          </cell>
          <cell r="F35">
            <v>4</v>
          </cell>
          <cell r="U35" t="str">
            <v>000000000013826</v>
          </cell>
        </row>
        <row r="36">
          <cell r="C36" t="str">
            <v>8FL281304 5010　L=888</v>
          </cell>
          <cell r="M36">
            <v>46142</v>
          </cell>
          <cell r="N36">
            <v>13</v>
          </cell>
          <cell r="P36">
            <v>46143</v>
          </cell>
          <cell r="R36">
            <v>8</v>
          </cell>
          <cell r="U36" t="str">
            <v>000000000013827</v>
          </cell>
        </row>
        <row r="37">
          <cell r="D37">
            <v>46140</v>
          </cell>
          <cell r="E37" t="str">
            <v>26D16-06</v>
          </cell>
          <cell r="M37">
            <v>46143</v>
          </cell>
          <cell r="N37">
            <v>7</v>
          </cell>
          <cell r="P37">
            <v>2000</v>
          </cell>
          <cell r="R37">
            <v>4</v>
          </cell>
          <cell r="U37" t="str">
            <v>000000000013827</v>
          </cell>
        </row>
        <row r="38">
          <cell r="C38">
            <v>2000</v>
          </cell>
          <cell r="D38">
            <v>46140</v>
          </cell>
          <cell r="E38" t="str">
            <v>26D16-06</v>
          </cell>
          <cell r="F38">
            <v>288</v>
          </cell>
          <cell r="P38">
            <v>1011</v>
          </cell>
          <cell r="R38">
            <v>7</v>
          </cell>
          <cell r="U38" t="str">
            <v>000000000013827</v>
          </cell>
        </row>
        <row r="39">
          <cell r="C39">
            <v>2000</v>
          </cell>
          <cell r="D39">
            <v>46140</v>
          </cell>
          <cell r="E39" t="str">
            <v>26D17-07</v>
          </cell>
          <cell r="F39">
            <v>112</v>
          </cell>
          <cell r="P39">
            <v>22</v>
          </cell>
          <cell r="U39" t="str">
            <v>000000000013827</v>
          </cell>
        </row>
        <row r="40">
          <cell r="C40">
            <v>2</v>
          </cell>
          <cell r="D40">
            <v>46140</v>
          </cell>
          <cell r="E40" t="str">
            <v>26D17-07</v>
          </cell>
          <cell r="F40">
            <v>400</v>
          </cell>
          <cell r="P40">
            <v>11</v>
          </cell>
          <cell r="U40" t="str">
            <v>000000000013827</v>
          </cell>
        </row>
        <row r="41">
          <cell r="C41">
            <v>100</v>
          </cell>
          <cell r="D41">
            <v>46142</v>
          </cell>
          <cell r="E41" t="str">
            <v>26D17-07</v>
          </cell>
          <cell r="F41">
            <v>400</v>
          </cell>
          <cell r="M41" t="str">
            <v>合計</v>
          </cell>
          <cell r="N41">
            <v>20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D42">
            <v>46142</v>
          </cell>
          <cell r="E42" t="str">
            <v>26D17-07</v>
          </cell>
          <cell r="F42">
            <v>400</v>
          </cell>
          <cell r="M42" t="str">
            <v>入数</v>
          </cell>
          <cell r="N42">
            <v>2000</v>
          </cell>
          <cell r="P42">
            <v>2022</v>
          </cell>
          <cell r="U42" t="str">
            <v>000000000013827</v>
          </cell>
        </row>
        <row r="43">
          <cell r="D43">
            <v>46142</v>
          </cell>
          <cell r="E43" t="str">
            <v>26D17-07</v>
          </cell>
          <cell r="F43">
            <v>287</v>
          </cell>
          <cell r="M43" t="str">
            <v>作業者</v>
          </cell>
          <cell r="U43" t="str">
            <v>000000000013827</v>
          </cell>
        </row>
        <row r="44">
          <cell r="C44">
            <v>20</v>
          </cell>
          <cell r="D44">
            <v>46142</v>
          </cell>
          <cell r="E44" t="str">
            <v>26D18-08</v>
          </cell>
          <cell r="F44">
            <v>113</v>
          </cell>
          <cell r="M44" t="str">
            <v>I</v>
          </cell>
          <cell r="R44">
            <v>3</v>
          </cell>
          <cell r="U44" t="str">
            <v>000000000013827</v>
          </cell>
        </row>
        <row r="45">
          <cell r="M45" t="str">
            <v>T</v>
          </cell>
          <cell r="N45" t="str">
            <v>U</v>
          </cell>
          <cell r="R45">
            <v>22</v>
          </cell>
          <cell r="U45" t="str">
            <v>000000000013827</v>
          </cell>
        </row>
        <row r="46">
          <cell r="D46" t="str">
            <v>不良補填</v>
          </cell>
          <cell r="E46" t="str">
            <v>26D15-05</v>
          </cell>
          <cell r="F46">
            <v>22</v>
          </cell>
          <cell r="U46" t="str">
            <v>000000000013827</v>
          </cell>
        </row>
        <row r="47">
          <cell r="C47" t="str">
            <v>001EGAW　715</v>
          </cell>
          <cell r="M47">
            <v>46142</v>
          </cell>
          <cell r="N47">
            <v>2</v>
          </cell>
          <cell r="P47">
            <v>46142</v>
          </cell>
          <cell r="U47" t="str">
            <v>000000000013445</v>
          </cell>
        </row>
        <row r="48">
          <cell r="D48">
            <v>46142</v>
          </cell>
          <cell r="E48" t="str">
            <v>26D21C</v>
          </cell>
          <cell r="P48">
            <v>300</v>
          </cell>
          <cell r="U48" t="str">
            <v>000000000013445</v>
          </cell>
        </row>
        <row r="49">
          <cell r="C49">
            <v>300</v>
          </cell>
          <cell r="D49">
            <v>46142</v>
          </cell>
          <cell r="E49" t="str">
            <v>26D21C</v>
          </cell>
          <cell r="F49">
            <v>200</v>
          </cell>
          <cell r="P49">
            <v>150</v>
          </cell>
          <cell r="U49" t="str">
            <v>000000000013445</v>
          </cell>
        </row>
        <row r="50">
          <cell r="C50">
            <v>300</v>
          </cell>
          <cell r="D50">
            <v>46142</v>
          </cell>
          <cell r="E50" t="str">
            <v>26D21B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D51">
            <v>46142</v>
          </cell>
          <cell r="E51" t="str">
            <v>26D21B</v>
          </cell>
          <cell r="F51">
            <v>100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2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300</v>
          </cell>
          <cell r="P53">
            <v>300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2</v>
          </cell>
          <cell r="M55" t="str">
            <v>I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M58">
            <v>46142</v>
          </cell>
          <cell r="N58">
            <v>1</v>
          </cell>
          <cell r="P58">
            <v>46150</v>
          </cell>
          <cell r="U58" t="str">
            <v>000000000013444</v>
          </cell>
        </row>
        <row r="59">
          <cell r="D59">
            <v>46142</v>
          </cell>
          <cell r="E59" t="str">
            <v>26D21B</v>
          </cell>
          <cell r="M59">
            <v>46143</v>
          </cell>
          <cell r="N59">
            <v>11</v>
          </cell>
          <cell r="P59">
            <v>3600</v>
          </cell>
          <cell r="U59" t="str">
            <v>000000000013444</v>
          </cell>
        </row>
        <row r="60">
          <cell r="C60">
            <v>3600</v>
          </cell>
          <cell r="D60">
            <v>46142</v>
          </cell>
          <cell r="E60" t="str">
            <v>26D21B</v>
          </cell>
          <cell r="F60">
            <v>600</v>
          </cell>
          <cell r="M60">
            <v>46149</v>
          </cell>
          <cell r="N60">
            <v>5</v>
          </cell>
          <cell r="P60">
            <v>1800</v>
          </cell>
          <cell r="U60" t="str">
            <v>000000000013444</v>
          </cell>
        </row>
        <row r="61">
          <cell r="C61">
            <v>3600</v>
          </cell>
          <cell r="D61">
            <v>46143</v>
          </cell>
          <cell r="E61" t="str">
            <v>26D21C</v>
          </cell>
          <cell r="M61">
            <v>46150</v>
          </cell>
          <cell r="N61">
            <v>1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D62">
            <v>46143</v>
          </cell>
          <cell r="E62" t="str">
            <v>26D21C</v>
          </cell>
          <cell r="F62">
            <v>200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D63">
            <v>46143</v>
          </cell>
          <cell r="E63" t="str">
            <v>26D22A</v>
          </cell>
          <cell r="M63" t="str">
            <v>合計</v>
          </cell>
          <cell r="N63">
            <v>18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D64">
            <v>46143</v>
          </cell>
          <cell r="E64" t="str">
            <v>26D22A</v>
          </cell>
          <cell r="F64">
            <v>200</v>
          </cell>
          <cell r="M64" t="str">
            <v>入数</v>
          </cell>
          <cell r="N64">
            <v>3600</v>
          </cell>
          <cell r="P64">
            <v>3600</v>
          </cell>
          <cell r="U64" t="str">
            <v>000000000013444</v>
          </cell>
        </row>
        <row r="65">
          <cell r="D65">
            <v>46143</v>
          </cell>
          <cell r="E65" t="str">
            <v>26D21B</v>
          </cell>
          <cell r="M65" t="str">
            <v>作業者</v>
          </cell>
          <cell r="U65" t="str">
            <v>000000000013444</v>
          </cell>
        </row>
        <row r="66">
          <cell r="C66">
            <v>18</v>
          </cell>
          <cell r="D66">
            <v>46149</v>
          </cell>
          <cell r="E66" t="str">
            <v>26D21A</v>
          </cell>
          <cell r="F66">
            <v>1400</v>
          </cell>
          <cell r="M66" t="str">
            <v>I</v>
          </cell>
          <cell r="U66" t="str">
            <v>000000000013444</v>
          </cell>
        </row>
        <row r="67">
          <cell r="D67">
            <v>46150</v>
          </cell>
          <cell r="E67" t="str">
            <v>26D20C</v>
          </cell>
          <cell r="F67">
            <v>1200</v>
          </cell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M69">
            <v>46150</v>
          </cell>
          <cell r="N69">
            <v>7</v>
          </cell>
          <cell r="P69">
            <v>46150</v>
          </cell>
          <cell r="U69" t="str">
            <v>000000000013443</v>
          </cell>
        </row>
        <row r="70">
          <cell r="D70">
            <v>46150</v>
          </cell>
          <cell r="E70" t="str">
            <v>26D20C</v>
          </cell>
          <cell r="F70">
            <v>100</v>
          </cell>
          <cell r="P70">
            <v>1300</v>
          </cell>
          <cell r="U70" t="str">
            <v>000000000013443</v>
          </cell>
        </row>
        <row r="71">
          <cell r="C71">
            <v>1300</v>
          </cell>
          <cell r="D71">
            <v>46150</v>
          </cell>
          <cell r="E71" t="str">
            <v>26D20B</v>
          </cell>
          <cell r="P71">
            <v>650</v>
          </cell>
          <cell r="U71" t="str">
            <v>000000000013443</v>
          </cell>
        </row>
        <row r="72">
          <cell r="C72">
            <v>1300</v>
          </cell>
          <cell r="D72">
            <v>46150</v>
          </cell>
          <cell r="E72" t="str">
            <v>26D20B</v>
          </cell>
          <cell r="F72">
            <v>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D73">
            <v>46150</v>
          </cell>
          <cell r="E73" t="str">
            <v>26D20C</v>
          </cell>
          <cell r="F73">
            <v>400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D74">
            <v>46150</v>
          </cell>
          <cell r="E74" t="str">
            <v>26D20B</v>
          </cell>
          <cell r="F74">
            <v>400</v>
          </cell>
          <cell r="M74" t="str">
            <v>合計</v>
          </cell>
          <cell r="N74">
            <v>7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D75">
            <v>46150</v>
          </cell>
          <cell r="E75" t="str">
            <v>26D17B</v>
          </cell>
          <cell r="F75">
            <v>100</v>
          </cell>
          <cell r="M75" t="str">
            <v>入数</v>
          </cell>
          <cell r="N75">
            <v>1300</v>
          </cell>
          <cell r="P75">
            <v>1300</v>
          </cell>
          <cell r="U75" t="str">
            <v>000000000013443</v>
          </cell>
        </row>
        <row r="76">
          <cell r="D76">
            <v>46150</v>
          </cell>
          <cell r="E76" t="str">
            <v>26D17B</v>
          </cell>
          <cell r="M76" t="str">
            <v>作業者</v>
          </cell>
          <cell r="U76" t="str">
            <v>000000000013443</v>
          </cell>
        </row>
        <row r="77">
          <cell r="C77">
            <v>7</v>
          </cell>
          <cell r="M77" t="str">
            <v>I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M80">
            <v>46153</v>
          </cell>
          <cell r="N80">
            <v>7</v>
          </cell>
          <cell r="P80">
            <v>46153</v>
          </cell>
          <cell r="U80" t="str">
            <v>000000000013442</v>
          </cell>
        </row>
        <row r="81">
          <cell r="D81">
            <v>46150</v>
          </cell>
          <cell r="E81" t="str">
            <v>26D17B</v>
          </cell>
          <cell r="P81">
            <v>1300</v>
          </cell>
          <cell r="U81" t="str">
            <v>000000000013442</v>
          </cell>
        </row>
        <row r="82">
          <cell r="C82">
            <v>1300</v>
          </cell>
          <cell r="D82">
            <v>46153</v>
          </cell>
          <cell r="E82" t="str">
            <v>26D17B</v>
          </cell>
          <cell r="F82">
            <v>100</v>
          </cell>
          <cell r="P82">
            <v>650</v>
          </cell>
          <cell r="U82" t="str">
            <v>000000000013442</v>
          </cell>
        </row>
        <row r="83">
          <cell r="C83">
            <v>1300</v>
          </cell>
          <cell r="D83">
            <v>46153</v>
          </cell>
          <cell r="E83" t="str">
            <v>26D22A</v>
          </cell>
          <cell r="F83">
            <v>600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D84">
            <v>46153</v>
          </cell>
          <cell r="E84" t="str">
            <v>26D21C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D85">
            <v>46153</v>
          </cell>
          <cell r="E85" t="str">
            <v>26D21C</v>
          </cell>
          <cell r="M85" t="str">
            <v>合計</v>
          </cell>
          <cell r="N85">
            <v>7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D86">
            <v>46153</v>
          </cell>
          <cell r="E86" t="str">
            <v>26D21C</v>
          </cell>
          <cell r="F86">
            <v>600</v>
          </cell>
          <cell r="M86" t="str">
            <v>入数</v>
          </cell>
          <cell r="N86">
            <v>1300</v>
          </cell>
          <cell r="P86">
            <v>1300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7</v>
          </cell>
          <cell r="M88" t="str">
            <v>I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M91">
            <v>46153</v>
          </cell>
          <cell r="N91">
            <v>6</v>
          </cell>
          <cell r="P91">
            <v>46154</v>
          </cell>
          <cell r="U91" t="str">
            <v>000000000013441</v>
          </cell>
        </row>
        <row r="92">
          <cell r="D92">
            <v>46153</v>
          </cell>
          <cell r="E92" t="str">
            <v>端材</v>
          </cell>
          <cell r="F92">
            <v>650</v>
          </cell>
          <cell r="M92">
            <v>46154</v>
          </cell>
          <cell r="N92">
            <v>2</v>
          </cell>
          <cell r="P92">
            <v>1500</v>
          </cell>
          <cell r="U92" t="str">
            <v>000000000013441</v>
          </cell>
        </row>
        <row r="93">
          <cell r="C93">
            <v>1500</v>
          </cell>
          <cell r="D93">
            <v>46153</v>
          </cell>
          <cell r="E93" t="str">
            <v>26D21C</v>
          </cell>
          <cell r="F93">
            <v>600</v>
          </cell>
          <cell r="P93">
            <v>284</v>
          </cell>
          <cell r="U93" t="str">
            <v>000000000013441</v>
          </cell>
        </row>
        <row r="94">
          <cell r="C94">
            <v>1500</v>
          </cell>
          <cell r="D94">
            <v>46153</v>
          </cell>
          <cell r="E94" t="str">
            <v>26D21B</v>
          </cell>
          <cell r="F94">
            <v>50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D95">
            <v>46153</v>
          </cell>
          <cell r="E95" t="str">
            <v>26D22A</v>
          </cell>
          <cell r="F95">
            <v>100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D96">
            <v>46154</v>
          </cell>
          <cell r="E96" t="str">
            <v>26D17B</v>
          </cell>
          <cell r="F96">
            <v>50</v>
          </cell>
          <cell r="M96" t="str">
            <v>合計</v>
          </cell>
          <cell r="N96">
            <v>8</v>
          </cell>
          <cell r="P96">
            <v>650</v>
          </cell>
          <cell r="U96" t="str">
            <v>000000000013441</v>
          </cell>
        </row>
        <row r="97">
          <cell r="C97" t="str">
            <v>S-20</v>
          </cell>
          <cell r="D97">
            <v>46154</v>
          </cell>
          <cell r="E97" t="str">
            <v>26D21B</v>
          </cell>
          <cell r="F97">
            <v>50</v>
          </cell>
          <cell r="M97" t="str">
            <v>入数</v>
          </cell>
          <cell r="N97">
            <v>1500</v>
          </cell>
          <cell r="P97">
            <v>1500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8</v>
          </cell>
          <cell r="M99" t="str">
            <v>I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灯具カバーPC IN 2110　L=1815</v>
          </cell>
          <cell r="D102">
            <v>46125</v>
          </cell>
          <cell r="E102" t="str">
            <v>26D01-01</v>
          </cell>
          <cell r="F102">
            <v>8</v>
          </cell>
          <cell r="M102">
            <v>46143</v>
          </cell>
          <cell r="N102">
            <v>1</v>
          </cell>
          <cell r="P102">
            <v>46149</v>
          </cell>
          <cell r="R102">
            <v>13</v>
          </cell>
          <cell r="U102" t="str">
            <v>000000000013718</v>
          </cell>
        </row>
        <row r="103">
          <cell r="D103">
            <v>46143</v>
          </cell>
          <cell r="E103" t="str">
            <v>26D15-01</v>
          </cell>
          <cell r="M103">
            <v>46149</v>
          </cell>
          <cell r="N103">
            <v>10</v>
          </cell>
          <cell r="P103">
            <v>176</v>
          </cell>
          <cell r="R103">
            <v>5</v>
          </cell>
          <cell r="U103" t="str">
            <v>000000000013718</v>
          </cell>
        </row>
        <row r="104">
          <cell r="C104">
            <v>176</v>
          </cell>
          <cell r="D104">
            <v>46149</v>
          </cell>
          <cell r="E104" t="str">
            <v>26D15-01</v>
          </cell>
          <cell r="F104">
            <v>186</v>
          </cell>
          <cell r="P104">
            <v>194</v>
          </cell>
          <cell r="U104" t="str">
            <v>000000000013718</v>
          </cell>
        </row>
        <row r="105">
          <cell r="C105">
            <v>176</v>
          </cell>
          <cell r="P105">
            <v>18</v>
          </cell>
          <cell r="U105" t="str">
            <v>000000000013718</v>
          </cell>
        </row>
        <row r="106">
          <cell r="C106">
            <v>1</v>
          </cell>
          <cell r="P106">
            <v>18</v>
          </cell>
          <cell r="U106" t="str">
            <v>000000000013718</v>
          </cell>
        </row>
        <row r="107">
          <cell r="C107">
            <v>16</v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000000000013718</v>
          </cell>
        </row>
        <row r="108">
          <cell r="C108" t="str">
            <v>灯具-2　L＝1996</v>
          </cell>
          <cell r="M108" t="str">
            <v>入数</v>
          </cell>
          <cell r="N108">
            <v>176</v>
          </cell>
          <cell r="P108">
            <v>194</v>
          </cell>
          <cell r="U108" t="str">
            <v>000000000013718</v>
          </cell>
        </row>
        <row r="109">
          <cell r="M109" t="str">
            <v>作業者</v>
          </cell>
          <cell r="U109" t="str">
            <v>000000000013718</v>
          </cell>
        </row>
        <row r="110">
          <cell r="C110">
            <v>11</v>
          </cell>
          <cell r="U110" t="str">
            <v>000000000013718</v>
          </cell>
        </row>
        <row r="111">
          <cell r="M111" t="str">
            <v>T</v>
          </cell>
          <cell r="R111">
            <v>18</v>
          </cell>
          <cell r="U111" t="str">
            <v>000000000013718</v>
          </cell>
        </row>
        <row r="112">
          <cell r="D112" t="str">
            <v>不良補填</v>
          </cell>
          <cell r="F112" t="str">
            <v/>
          </cell>
          <cell r="U112" t="str">
            <v>000000000013718</v>
          </cell>
        </row>
        <row r="113">
          <cell r="C113" t="str">
            <v>灯具カバーPC IN 2100　L=1923</v>
          </cell>
          <cell r="D113">
            <v>46051</v>
          </cell>
          <cell r="E113" t="str">
            <v>26A22-01</v>
          </cell>
          <cell r="F113">
            <v>6</v>
          </cell>
          <cell r="M113">
            <v>46149</v>
          </cell>
          <cell r="N113">
            <v>2</v>
          </cell>
          <cell r="P113">
            <v>46149</v>
          </cell>
          <cell r="R113">
            <v>1</v>
          </cell>
          <cell r="U113" t="str">
            <v>000000000013895</v>
          </cell>
        </row>
        <row r="114">
          <cell r="D114">
            <v>46149</v>
          </cell>
          <cell r="E114" t="str">
            <v>26D16-01</v>
          </cell>
          <cell r="F114">
            <v>27</v>
          </cell>
          <cell r="P114">
            <v>32</v>
          </cell>
          <cell r="U114" t="str">
            <v>000000000013895</v>
          </cell>
        </row>
        <row r="115">
          <cell r="C115">
            <v>32</v>
          </cell>
          <cell r="P115">
            <v>33</v>
          </cell>
          <cell r="U115" t="str">
            <v>000000000013895</v>
          </cell>
        </row>
        <row r="116">
          <cell r="C116">
            <v>32</v>
          </cell>
          <cell r="P116">
            <v>1</v>
          </cell>
          <cell r="U116" t="str">
            <v>000000000013895</v>
          </cell>
        </row>
        <row r="117">
          <cell r="C117">
            <v>1</v>
          </cell>
          <cell r="P117">
            <v>1</v>
          </cell>
          <cell r="U117" t="str">
            <v>000000000013895</v>
          </cell>
        </row>
        <row r="118">
          <cell r="C118">
            <v>16</v>
          </cell>
          <cell r="M118" t="str">
            <v>合計</v>
          </cell>
          <cell r="N118">
            <v>2</v>
          </cell>
          <cell r="P118">
            <v>0</v>
          </cell>
          <cell r="U118" t="str">
            <v>000000000013895</v>
          </cell>
        </row>
        <row r="119">
          <cell r="C119" t="str">
            <v>灯具-2　L＝1996</v>
          </cell>
          <cell r="M119" t="str">
            <v>入数</v>
          </cell>
          <cell r="N119">
            <v>32</v>
          </cell>
          <cell r="P119">
            <v>33</v>
          </cell>
          <cell r="U119" t="str">
            <v>000000000013895</v>
          </cell>
        </row>
        <row r="120">
          <cell r="M120" t="str">
            <v>作業者</v>
          </cell>
          <cell r="U120" t="str">
            <v>000000000013895</v>
          </cell>
        </row>
        <row r="121">
          <cell r="C121">
            <v>11</v>
          </cell>
          <cell r="U121" t="str">
            <v>000000000013895</v>
          </cell>
        </row>
        <row r="122">
          <cell r="M122" t="str">
            <v>T</v>
          </cell>
          <cell r="R122">
            <v>1</v>
          </cell>
          <cell r="U122" t="str">
            <v>000000000013895</v>
          </cell>
        </row>
        <row r="123">
          <cell r="D123" t="str">
            <v>不良補填</v>
          </cell>
          <cell r="F123" t="str">
            <v/>
          </cell>
          <cell r="U123" t="str">
            <v>000000000013895</v>
          </cell>
        </row>
        <row r="124">
          <cell r="C124" t="str">
            <v>灯具カバーPC IN 2100　L=1923</v>
          </cell>
          <cell r="M124">
            <v>46150</v>
          </cell>
          <cell r="N124">
            <v>4</v>
          </cell>
          <cell r="P124">
            <v>46150</v>
          </cell>
          <cell r="R124">
            <v>8</v>
          </cell>
          <cell r="U124" t="str">
            <v>000000000013896</v>
          </cell>
        </row>
        <row r="125">
          <cell r="D125">
            <v>46150</v>
          </cell>
          <cell r="E125" t="str">
            <v>26D16-01</v>
          </cell>
          <cell r="F125">
            <v>73</v>
          </cell>
          <cell r="P125">
            <v>64</v>
          </cell>
          <cell r="R125">
            <v>1</v>
          </cell>
          <cell r="U125" t="str">
            <v>000000000013896</v>
          </cell>
        </row>
        <row r="126">
          <cell r="C126">
            <v>64</v>
          </cell>
          <cell r="P126">
            <v>73</v>
          </cell>
          <cell r="U126" t="str">
            <v>000000000013896</v>
          </cell>
        </row>
        <row r="127">
          <cell r="C127">
            <v>64</v>
          </cell>
          <cell r="P127">
            <v>9</v>
          </cell>
          <cell r="U127" t="str">
            <v>000000000013896</v>
          </cell>
        </row>
        <row r="128">
          <cell r="C128">
            <v>1</v>
          </cell>
          <cell r="P128">
            <v>9</v>
          </cell>
          <cell r="U128" t="str">
            <v>000000000013896</v>
          </cell>
        </row>
        <row r="129">
          <cell r="C129">
            <v>16</v>
          </cell>
          <cell r="M129" t="str">
            <v>合計</v>
          </cell>
          <cell r="N129">
            <v>4</v>
          </cell>
          <cell r="P129">
            <v>0</v>
          </cell>
          <cell r="U129" t="str">
            <v>000000000013896</v>
          </cell>
        </row>
        <row r="130">
          <cell r="C130" t="str">
            <v>灯具-2　L＝1996</v>
          </cell>
          <cell r="M130" t="str">
            <v>入数</v>
          </cell>
          <cell r="N130">
            <v>64</v>
          </cell>
          <cell r="P130">
            <v>73</v>
          </cell>
          <cell r="U130" t="str">
            <v>000000000013896</v>
          </cell>
        </row>
        <row r="131">
          <cell r="M131" t="str">
            <v>作業者</v>
          </cell>
          <cell r="U131" t="str">
            <v>000000000013896</v>
          </cell>
        </row>
        <row r="132">
          <cell r="C132">
            <v>2</v>
          </cell>
          <cell r="U132" t="str">
            <v>000000000013896</v>
          </cell>
        </row>
        <row r="133">
          <cell r="M133" t="str">
            <v>T</v>
          </cell>
          <cell r="R133">
            <v>9</v>
          </cell>
          <cell r="U133" t="str">
            <v>000000000013896</v>
          </cell>
        </row>
        <row r="134">
          <cell r="D134" t="str">
            <v>不良補填</v>
          </cell>
          <cell r="F134" t="str">
            <v/>
          </cell>
          <cell r="U134" t="str">
            <v>000000000013896</v>
          </cell>
        </row>
        <row r="135">
          <cell r="C135" t="str">
            <v>灯具カバーPC IN 2470　L=1648</v>
          </cell>
          <cell r="D135">
            <v>45947</v>
          </cell>
          <cell r="E135" t="str">
            <v>25I27-01</v>
          </cell>
          <cell r="F135">
            <v>10</v>
          </cell>
          <cell r="M135">
            <v>46150</v>
          </cell>
          <cell r="N135">
            <v>6</v>
          </cell>
          <cell r="P135">
            <v>46150</v>
          </cell>
          <cell r="R135">
            <v>8</v>
          </cell>
          <cell r="U135" t="str">
            <v>000000000013717</v>
          </cell>
        </row>
        <row r="136">
          <cell r="D136">
            <v>46150</v>
          </cell>
          <cell r="E136" t="str">
            <v>26D16-01</v>
          </cell>
          <cell r="F136">
            <v>95</v>
          </cell>
          <cell r="P136">
            <v>96</v>
          </cell>
          <cell r="R136">
            <v>1</v>
          </cell>
          <cell r="U136" t="str">
            <v>000000000013717</v>
          </cell>
        </row>
        <row r="137">
          <cell r="C137">
            <v>96</v>
          </cell>
          <cell r="P137">
            <v>105</v>
          </cell>
          <cell r="U137" t="str">
            <v>000000000013717</v>
          </cell>
        </row>
        <row r="138">
          <cell r="C138">
            <v>96</v>
          </cell>
          <cell r="P138">
            <v>9</v>
          </cell>
          <cell r="U138" t="str">
            <v>000000000013717</v>
          </cell>
        </row>
        <row r="139">
          <cell r="C139">
            <v>1</v>
          </cell>
          <cell r="P139">
            <v>9</v>
          </cell>
          <cell r="U139" t="str">
            <v>000000000013717</v>
          </cell>
        </row>
        <row r="140">
          <cell r="C140">
            <v>16</v>
          </cell>
          <cell r="M140" t="str">
            <v>合計</v>
          </cell>
          <cell r="N140">
            <v>6</v>
          </cell>
          <cell r="P140">
            <v>0</v>
          </cell>
          <cell r="U140" t="str">
            <v>000000000013717</v>
          </cell>
        </row>
        <row r="141">
          <cell r="C141" t="str">
            <v>灯具-2　L＝1996</v>
          </cell>
          <cell r="M141" t="str">
            <v>入数</v>
          </cell>
          <cell r="N141">
            <v>96</v>
          </cell>
          <cell r="P141">
            <v>105</v>
          </cell>
          <cell r="U141" t="str">
            <v>000000000013717</v>
          </cell>
        </row>
        <row r="142">
          <cell r="M142" t="str">
            <v>作業者</v>
          </cell>
          <cell r="U142" t="str">
            <v>000000000013717</v>
          </cell>
        </row>
        <row r="143">
          <cell r="C143">
            <v>4</v>
          </cell>
          <cell r="U143" t="str">
            <v>000000000013717</v>
          </cell>
        </row>
        <row r="144">
          <cell r="M144" t="str">
            <v>T</v>
          </cell>
          <cell r="R144">
            <v>9</v>
          </cell>
          <cell r="U144" t="str">
            <v>000000000013717</v>
          </cell>
        </row>
        <row r="145">
          <cell r="D145" t="str">
            <v>不良補填</v>
          </cell>
          <cell r="F145" t="str">
            <v/>
          </cell>
          <cell r="U145" t="str">
            <v>000000000013717</v>
          </cell>
        </row>
        <row r="146">
          <cell r="C146" t="str">
            <v>灯具カバーPC IN 2490　L=1264</v>
          </cell>
          <cell r="D146">
            <v>45922</v>
          </cell>
          <cell r="E146" t="str">
            <v>25I07-01</v>
          </cell>
          <cell r="F146">
            <v>7</v>
          </cell>
          <cell r="M146">
            <v>46153</v>
          </cell>
          <cell r="N146">
            <v>5</v>
          </cell>
          <cell r="P146">
            <v>46153</v>
          </cell>
          <cell r="R146">
            <v>5</v>
          </cell>
          <cell r="U146" t="str">
            <v>000000000013714</v>
          </cell>
        </row>
        <row r="147">
          <cell r="D147">
            <v>46153</v>
          </cell>
          <cell r="E147" t="str">
            <v>26D15-01</v>
          </cell>
          <cell r="F147">
            <v>86</v>
          </cell>
          <cell r="P147">
            <v>80</v>
          </cell>
          <cell r="R147">
            <v>8</v>
          </cell>
          <cell r="U147" t="str">
            <v>000000000013714</v>
          </cell>
        </row>
        <row r="148">
          <cell r="C148">
            <v>80</v>
          </cell>
          <cell r="P148">
            <v>93</v>
          </cell>
          <cell r="U148" t="str">
            <v>000000000013714</v>
          </cell>
        </row>
        <row r="149">
          <cell r="C149">
            <v>80</v>
          </cell>
          <cell r="P149">
            <v>13</v>
          </cell>
          <cell r="U149" t="str">
            <v>000000000013714</v>
          </cell>
        </row>
        <row r="150">
          <cell r="C150">
            <v>1</v>
          </cell>
          <cell r="P150">
            <v>13</v>
          </cell>
          <cell r="U150" t="str">
            <v>000000000013714</v>
          </cell>
        </row>
        <row r="151">
          <cell r="C151">
            <v>16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000000000013714</v>
          </cell>
        </row>
        <row r="152">
          <cell r="C152" t="str">
            <v>灯具-1　L=1370</v>
          </cell>
          <cell r="M152" t="str">
            <v>入数</v>
          </cell>
          <cell r="N152">
            <v>80</v>
          </cell>
          <cell r="P152">
            <v>93</v>
          </cell>
          <cell r="U152" t="str">
            <v>000000000013714</v>
          </cell>
        </row>
        <row r="153">
          <cell r="M153" t="str">
            <v>作業者</v>
          </cell>
          <cell r="U153" t="str">
            <v>000000000013714</v>
          </cell>
        </row>
        <row r="154">
          <cell r="C154">
            <v>5</v>
          </cell>
          <cell r="U154" t="str">
            <v>000000000013714</v>
          </cell>
        </row>
        <row r="155">
          <cell r="M155" t="str">
            <v>I</v>
          </cell>
          <cell r="R155">
            <v>13</v>
          </cell>
          <cell r="U155" t="str">
            <v>000000000013714</v>
          </cell>
        </row>
        <row r="156">
          <cell r="D156" t="str">
            <v>不良補填</v>
          </cell>
          <cell r="F156" t="str">
            <v/>
          </cell>
          <cell r="U156" t="str">
            <v>000000000013714</v>
          </cell>
        </row>
        <row r="157">
          <cell r="C157" t="str">
            <v>灯具カバーPC IN 2460　L=1291</v>
          </cell>
          <cell r="M157">
            <v>46153</v>
          </cell>
          <cell r="N157">
            <v>5</v>
          </cell>
          <cell r="P157">
            <v>46153</v>
          </cell>
          <cell r="R157">
            <v>11</v>
          </cell>
          <cell r="U157" t="str">
            <v>000000000013715</v>
          </cell>
        </row>
        <row r="158">
          <cell r="D158">
            <v>46153</v>
          </cell>
          <cell r="E158" t="str">
            <v>26D15-01</v>
          </cell>
          <cell r="F158">
            <v>92</v>
          </cell>
          <cell r="P158">
            <v>80</v>
          </cell>
          <cell r="R158">
            <v>1</v>
          </cell>
          <cell r="U158" t="str">
            <v>000000000013715</v>
          </cell>
        </row>
        <row r="159">
          <cell r="C159">
            <v>80</v>
          </cell>
          <cell r="P159">
            <v>92</v>
          </cell>
          <cell r="U159" t="str">
            <v>000000000013715</v>
          </cell>
        </row>
        <row r="160">
          <cell r="C160">
            <v>80</v>
          </cell>
          <cell r="P160">
            <v>12</v>
          </cell>
          <cell r="U160" t="str">
            <v>000000000013715</v>
          </cell>
        </row>
        <row r="161">
          <cell r="C161">
            <v>1</v>
          </cell>
          <cell r="P161">
            <v>12</v>
          </cell>
          <cell r="U161" t="str">
            <v>000000000013715</v>
          </cell>
        </row>
        <row r="162">
          <cell r="C162">
            <v>16</v>
          </cell>
          <cell r="M162" t="str">
            <v>合計</v>
          </cell>
          <cell r="N162">
            <v>5</v>
          </cell>
          <cell r="P162">
            <v>0</v>
          </cell>
          <cell r="U162" t="str">
            <v>000000000013715</v>
          </cell>
        </row>
        <row r="163">
          <cell r="C163" t="str">
            <v>灯具-1　L=1370</v>
          </cell>
          <cell r="M163" t="str">
            <v>入数</v>
          </cell>
          <cell r="N163">
            <v>80</v>
          </cell>
          <cell r="P163">
            <v>92</v>
          </cell>
          <cell r="U163" t="str">
            <v>000000000013715</v>
          </cell>
        </row>
        <row r="164">
          <cell r="M164" t="str">
            <v>作業者</v>
          </cell>
          <cell r="U164" t="str">
            <v>000000000013715</v>
          </cell>
        </row>
        <row r="165">
          <cell r="C165">
            <v>5</v>
          </cell>
          <cell r="U165" t="str">
            <v>000000000013715</v>
          </cell>
        </row>
        <row r="166">
          <cell r="M166" t="str">
            <v>I</v>
          </cell>
          <cell r="R166">
            <v>12</v>
          </cell>
          <cell r="U166" t="str">
            <v>000000000013715</v>
          </cell>
        </row>
        <row r="167">
          <cell r="D167" t="str">
            <v>不良補填</v>
          </cell>
          <cell r="F167" t="str">
            <v/>
          </cell>
          <cell r="U167" t="str">
            <v>000000000013715</v>
          </cell>
        </row>
        <row r="168">
          <cell r="C168" t="str">
            <v>灯具カバーPC IN 2500　L=1238</v>
          </cell>
          <cell r="D168">
            <v>45945</v>
          </cell>
          <cell r="E168" t="str">
            <v>25I27-01</v>
          </cell>
          <cell r="F168">
            <v>11</v>
          </cell>
          <cell r="M168">
            <v>46154</v>
          </cell>
          <cell r="N168">
            <v>5</v>
          </cell>
          <cell r="P168">
            <v>46154</v>
          </cell>
          <cell r="R168">
            <v>22</v>
          </cell>
          <cell r="U168" t="str">
            <v>000000000013712</v>
          </cell>
        </row>
        <row r="169">
          <cell r="D169">
            <v>46154</v>
          </cell>
          <cell r="E169" t="str">
            <v>26D15-01</v>
          </cell>
          <cell r="F169">
            <v>95</v>
          </cell>
          <cell r="P169">
            <v>80</v>
          </cell>
          <cell r="R169">
            <v>4</v>
          </cell>
          <cell r="U169" t="str">
            <v>000000000013712</v>
          </cell>
        </row>
        <row r="170">
          <cell r="C170">
            <v>80</v>
          </cell>
          <cell r="P170">
            <v>106</v>
          </cell>
          <cell r="U170" t="str">
            <v>000000000013712</v>
          </cell>
        </row>
        <row r="171">
          <cell r="C171">
            <v>80</v>
          </cell>
          <cell r="P171">
            <v>26</v>
          </cell>
          <cell r="U171" t="str">
            <v>000000000013712</v>
          </cell>
        </row>
        <row r="172">
          <cell r="C172">
            <v>1</v>
          </cell>
          <cell r="P172">
            <v>26</v>
          </cell>
          <cell r="U172" t="str">
            <v>000000000013712</v>
          </cell>
        </row>
        <row r="173">
          <cell r="C173">
            <v>16</v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000000000013712</v>
          </cell>
        </row>
        <row r="174">
          <cell r="C174" t="str">
            <v>灯具-1　L=1370</v>
          </cell>
          <cell r="M174" t="str">
            <v>入数</v>
          </cell>
          <cell r="N174">
            <v>80</v>
          </cell>
          <cell r="P174">
            <v>106</v>
          </cell>
          <cell r="U174" t="str">
            <v>000000000013712</v>
          </cell>
        </row>
        <row r="175">
          <cell r="M175" t="str">
            <v>作業者</v>
          </cell>
          <cell r="U175" t="str">
            <v>000000000013712</v>
          </cell>
        </row>
        <row r="176">
          <cell r="C176">
            <v>5</v>
          </cell>
          <cell r="U176" t="str">
            <v>000000000013712</v>
          </cell>
        </row>
        <row r="177">
          <cell r="M177" t="str">
            <v>I</v>
          </cell>
          <cell r="R177">
            <v>26</v>
          </cell>
          <cell r="U177" t="str">
            <v>000000000013712</v>
          </cell>
        </row>
        <row r="178">
          <cell r="D178" t="str">
            <v>不良補填</v>
          </cell>
          <cell r="F178" t="str">
            <v/>
          </cell>
          <cell r="U178" t="str">
            <v>000000000013712</v>
          </cell>
        </row>
        <row r="179">
          <cell r="C179" t="str">
            <v>灯具カバーPC IN 2060　L=1258.5</v>
          </cell>
          <cell r="D179">
            <v>46128</v>
          </cell>
          <cell r="E179" t="str">
            <v>26C31-01</v>
          </cell>
          <cell r="F179">
            <v>7</v>
          </cell>
          <cell r="M179">
            <v>46154</v>
          </cell>
          <cell r="N179">
            <v>5</v>
          </cell>
          <cell r="P179">
            <v>46154</v>
          </cell>
          <cell r="R179">
            <v>13</v>
          </cell>
          <cell r="U179" t="str">
            <v>000000000013713</v>
          </cell>
        </row>
        <row r="180">
          <cell r="D180">
            <v>46154</v>
          </cell>
          <cell r="E180" t="str">
            <v>26D15-01</v>
          </cell>
          <cell r="F180">
            <v>90</v>
          </cell>
          <cell r="P180">
            <v>80</v>
          </cell>
          <cell r="R180">
            <v>4</v>
          </cell>
          <cell r="U180" t="str">
            <v>000000000013713</v>
          </cell>
        </row>
        <row r="181">
          <cell r="C181">
            <v>80</v>
          </cell>
          <cell r="P181">
            <v>97</v>
          </cell>
          <cell r="U181" t="str">
            <v>000000000013713</v>
          </cell>
        </row>
        <row r="182">
          <cell r="C182">
            <v>80</v>
          </cell>
          <cell r="P182">
            <v>17</v>
          </cell>
          <cell r="U182" t="str">
            <v>000000000013713</v>
          </cell>
        </row>
        <row r="183">
          <cell r="C183">
            <v>1</v>
          </cell>
          <cell r="P183">
            <v>17</v>
          </cell>
          <cell r="U183" t="str">
            <v>000000000013713</v>
          </cell>
        </row>
        <row r="184">
          <cell r="C184">
            <v>16</v>
          </cell>
          <cell r="M184" t="str">
            <v>合計</v>
          </cell>
          <cell r="N184">
            <v>5</v>
          </cell>
          <cell r="P184">
            <v>0</v>
          </cell>
          <cell r="U184" t="str">
            <v>000000000013713</v>
          </cell>
        </row>
        <row r="185">
          <cell r="C185" t="str">
            <v>灯具-1　L=1370</v>
          </cell>
          <cell r="M185" t="str">
            <v>入数</v>
          </cell>
          <cell r="N185">
            <v>210</v>
          </cell>
          <cell r="P185">
            <v>97</v>
          </cell>
          <cell r="U185" t="str">
            <v>000000000013713</v>
          </cell>
        </row>
        <row r="186">
          <cell r="M186" t="str">
            <v>作業者</v>
          </cell>
          <cell r="U186" t="str">
            <v>000000000013713</v>
          </cell>
        </row>
        <row r="187">
          <cell r="C187">
            <v>5</v>
          </cell>
          <cell r="U187" t="str">
            <v>000000000013713</v>
          </cell>
        </row>
        <row r="188">
          <cell r="M188" t="str">
            <v>I</v>
          </cell>
          <cell r="R188">
            <v>17</v>
          </cell>
          <cell r="U188" t="str">
            <v>000000000013713</v>
          </cell>
        </row>
        <row r="189">
          <cell r="D189" t="str">
            <v>不良補填</v>
          </cell>
          <cell r="F189" t="str">
            <v/>
          </cell>
          <cell r="U189" t="str">
            <v>000000000013713</v>
          </cell>
        </row>
        <row r="190">
          <cell r="C190" t="str">
            <v>採光ルーバーパネルB　L=1996</v>
          </cell>
          <cell r="D190">
            <v>46107</v>
          </cell>
          <cell r="E190" t="str">
            <v>26C21-03</v>
          </cell>
          <cell r="F190">
            <v>18</v>
          </cell>
          <cell r="M190">
            <v>46156</v>
          </cell>
          <cell r="N190">
            <v>3</v>
          </cell>
          <cell r="P190">
            <v>46156</v>
          </cell>
          <cell r="R190">
            <v>4</v>
          </cell>
          <cell r="U190" t="str">
            <v>000000000014477</v>
          </cell>
        </row>
        <row r="191">
          <cell r="D191">
            <v>46155</v>
          </cell>
          <cell r="E191" t="str">
            <v>26C13-05</v>
          </cell>
          <cell r="P191">
            <v>126</v>
          </cell>
          <cell r="R191">
            <v>53</v>
          </cell>
          <cell r="U191" t="str">
            <v>000000000014477</v>
          </cell>
        </row>
        <row r="192">
          <cell r="C192">
            <v>126</v>
          </cell>
          <cell r="D192">
            <v>46155</v>
          </cell>
          <cell r="E192" t="str">
            <v>26C13-05</v>
          </cell>
          <cell r="P192">
            <v>188</v>
          </cell>
          <cell r="R192">
            <v>5</v>
          </cell>
          <cell r="U192" t="str">
            <v>000000000014477</v>
          </cell>
        </row>
        <row r="193">
          <cell r="C193">
            <v>126</v>
          </cell>
          <cell r="D193">
            <v>46155</v>
          </cell>
          <cell r="E193" t="str">
            <v>26C13-05</v>
          </cell>
          <cell r="F193">
            <v>108</v>
          </cell>
          <cell r="P193">
            <v>62</v>
          </cell>
          <cell r="U193" t="str">
            <v>000000000014477</v>
          </cell>
        </row>
        <row r="194">
          <cell r="C194">
            <v>1</v>
          </cell>
          <cell r="D194">
            <v>46155</v>
          </cell>
          <cell r="E194" t="str">
            <v>26C13-05</v>
          </cell>
          <cell r="F194">
            <v>55</v>
          </cell>
          <cell r="P194">
            <v>62</v>
          </cell>
          <cell r="U194" t="str">
            <v>000000000014477</v>
          </cell>
        </row>
        <row r="195">
          <cell r="C195">
            <v>42</v>
          </cell>
          <cell r="D195">
            <v>46156</v>
          </cell>
          <cell r="E195" t="str">
            <v>26E12-01</v>
          </cell>
          <cell r="F195">
            <v>7</v>
          </cell>
          <cell r="M195" t="str">
            <v>合計</v>
          </cell>
          <cell r="N195">
            <v>3</v>
          </cell>
          <cell r="P195">
            <v>0</v>
          </cell>
          <cell r="U195" t="str">
            <v>000000000014477</v>
          </cell>
        </row>
        <row r="196">
          <cell r="C196" t="str">
            <v>上-1</v>
          </cell>
          <cell r="M196" t="str">
            <v>入数</v>
          </cell>
          <cell r="N196">
            <v>126</v>
          </cell>
          <cell r="P196">
            <v>188</v>
          </cell>
          <cell r="U196" t="str">
            <v>000000000014477</v>
          </cell>
        </row>
        <row r="197">
          <cell r="M197" t="str">
            <v>作業者</v>
          </cell>
          <cell r="U197" t="str">
            <v>000000000014477</v>
          </cell>
        </row>
        <row r="198">
          <cell r="C198">
            <v>3</v>
          </cell>
          <cell r="M198" t="str">
            <v>I</v>
          </cell>
          <cell r="U198" t="str">
            <v>000000000014477</v>
          </cell>
        </row>
        <row r="199">
          <cell r="M199" t="str">
            <v>T</v>
          </cell>
          <cell r="R199">
            <v>62</v>
          </cell>
          <cell r="U199" t="str">
            <v>000000000014477</v>
          </cell>
        </row>
        <row r="200">
          <cell r="D200" t="str">
            <v>不良補填</v>
          </cell>
          <cell r="F200">
            <v>62</v>
          </cell>
          <cell r="U200" t="str">
            <v>000000000014477</v>
          </cell>
        </row>
        <row r="201">
          <cell r="C201" t="str">
            <v>8FL281304 6110　L=1478</v>
          </cell>
          <cell r="D201">
            <v>46135</v>
          </cell>
          <cell r="E201" t="str">
            <v>26D03-04</v>
          </cell>
          <cell r="F201">
            <v>11</v>
          </cell>
          <cell r="M201">
            <v>46153</v>
          </cell>
          <cell r="N201">
            <v>7</v>
          </cell>
          <cell r="P201">
            <v>46153</v>
          </cell>
          <cell r="R201">
            <v>5</v>
          </cell>
          <cell r="U201" t="str">
            <v>000000000013824</v>
          </cell>
        </row>
        <row r="202">
          <cell r="D202">
            <v>46154</v>
          </cell>
          <cell r="E202" t="str">
            <v>26D18-08</v>
          </cell>
          <cell r="P202">
            <v>700</v>
          </cell>
          <cell r="R202">
            <v>1</v>
          </cell>
          <cell r="U202" t="str">
            <v>000000000013824</v>
          </cell>
        </row>
        <row r="203">
          <cell r="C203">
            <v>700</v>
          </cell>
          <cell r="D203">
            <v>46154</v>
          </cell>
          <cell r="E203" t="str">
            <v>26D18-08</v>
          </cell>
          <cell r="P203">
            <v>710</v>
          </cell>
          <cell r="R203">
            <v>1</v>
          </cell>
          <cell r="U203" t="str">
            <v>000000000013824</v>
          </cell>
        </row>
        <row r="204">
          <cell r="C204">
            <v>700</v>
          </cell>
          <cell r="D204">
            <v>46154</v>
          </cell>
          <cell r="E204" t="str">
            <v>26D18-08</v>
          </cell>
          <cell r="F204">
            <v>389</v>
          </cell>
          <cell r="P204">
            <v>10</v>
          </cell>
          <cell r="U204" t="str">
            <v>000000000013824</v>
          </cell>
        </row>
        <row r="205">
          <cell r="C205">
            <v>1</v>
          </cell>
          <cell r="D205">
            <v>46154</v>
          </cell>
          <cell r="E205" t="str">
            <v>26D18-08</v>
          </cell>
          <cell r="F205">
            <v>300</v>
          </cell>
          <cell r="P205">
            <v>10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7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700</v>
          </cell>
          <cell r="P207">
            <v>710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7</v>
          </cell>
          <cell r="M209" t="str">
            <v>I</v>
          </cell>
          <cell r="R209">
            <v>3</v>
          </cell>
          <cell r="U209" t="str">
            <v>000000000013824</v>
          </cell>
        </row>
        <row r="210">
          <cell r="M210" t="str">
            <v>T</v>
          </cell>
          <cell r="R210">
            <v>10</v>
          </cell>
          <cell r="U210" t="str">
            <v>000000000013824</v>
          </cell>
        </row>
        <row r="211">
          <cell r="D211" t="str">
            <v>不良補填</v>
          </cell>
          <cell r="E211" t="str">
            <v>26D18-08</v>
          </cell>
          <cell r="F211">
            <v>10</v>
          </cell>
          <cell r="U211" t="str">
            <v>000000000013824</v>
          </cell>
        </row>
        <row r="212">
          <cell r="C212" t="str">
            <v>8FL281304 6110　L=1478</v>
          </cell>
          <cell r="M212">
            <v>46156</v>
          </cell>
          <cell r="N212">
            <v>2</v>
          </cell>
          <cell r="P212">
            <v>46156</v>
          </cell>
          <cell r="U212" t="str">
            <v>000000000014225</v>
          </cell>
        </row>
        <row r="213">
          <cell r="D213">
            <v>46155</v>
          </cell>
          <cell r="E213" t="str">
            <v>26D18-08</v>
          </cell>
          <cell r="P213">
            <v>200</v>
          </cell>
          <cell r="R213">
            <v>1</v>
          </cell>
          <cell r="U213" t="str">
            <v>000000000014225</v>
          </cell>
        </row>
        <row r="214">
          <cell r="C214">
            <v>200</v>
          </cell>
          <cell r="D214">
            <v>46155</v>
          </cell>
          <cell r="E214" t="str">
            <v>26D18-08</v>
          </cell>
          <cell r="F214">
            <v>24</v>
          </cell>
          <cell r="P214">
            <v>202</v>
          </cell>
          <cell r="R214">
            <v>1</v>
          </cell>
          <cell r="U214" t="str">
            <v>000000000014225</v>
          </cell>
        </row>
        <row r="215">
          <cell r="C215">
            <v>200</v>
          </cell>
          <cell r="D215">
            <v>46155</v>
          </cell>
          <cell r="E215" t="str">
            <v>26D21-09</v>
          </cell>
          <cell r="P215">
            <v>2</v>
          </cell>
          <cell r="U215" t="str">
            <v>000000000014225</v>
          </cell>
        </row>
        <row r="216">
          <cell r="C216">
            <v>1</v>
          </cell>
          <cell r="D216">
            <v>46156</v>
          </cell>
          <cell r="E216" t="str">
            <v>26D21-09</v>
          </cell>
          <cell r="P216">
            <v>2</v>
          </cell>
          <cell r="U216" t="str">
            <v>000000000014225</v>
          </cell>
        </row>
        <row r="217">
          <cell r="C217">
            <v>100</v>
          </cell>
          <cell r="D217">
            <v>46156</v>
          </cell>
          <cell r="E217" t="str">
            <v>26D21-09</v>
          </cell>
          <cell r="F217">
            <v>176</v>
          </cell>
          <cell r="M217" t="str">
            <v>合計</v>
          </cell>
          <cell r="N217">
            <v>2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200</v>
          </cell>
          <cell r="P218">
            <v>202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2</v>
          </cell>
          <cell r="M220" t="str">
            <v>I</v>
          </cell>
          <cell r="U220" t="str">
            <v>000000000014225</v>
          </cell>
        </row>
        <row r="221">
          <cell r="M221" t="str">
            <v>T</v>
          </cell>
          <cell r="R221">
            <v>2</v>
          </cell>
          <cell r="U221" t="str">
            <v>000000000014225</v>
          </cell>
        </row>
        <row r="222">
          <cell r="D222" t="str">
            <v>不良補填</v>
          </cell>
          <cell r="E222" t="str">
            <v>26D18-08</v>
          </cell>
          <cell r="F222">
            <v>2</v>
          </cell>
          <cell r="U222" t="str">
            <v>000000000014225</v>
          </cell>
        </row>
        <row r="223">
          <cell r="C223" t="str">
            <v>8FL281304 6110　L=1478</v>
          </cell>
          <cell r="M223">
            <v>46156</v>
          </cell>
          <cell r="N223">
            <v>2</v>
          </cell>
          <cell r="P223">
            <v>46156</v>
          </cell>
          <cell r="U223" t="str">
            <v>000000000014226</v>
          </cell>
        </row>
        <row r="224">
          <cell r="D224">
            <v>46156</v>
          </cell>
          <cell r="E224" t="str">
            <v>26D21-09</v>
          </cell>
          <cell r="P224">
            <v>200</v>
          </cell>
          <cell r="U224" t="str">
            <v>000000000014226</v>
          </cell>
        </row>
        <row r="225">
          <cell r="C225">
            <v>200</v>
          </cell>
          <cell r="D225">
            <v>46156</v>
          </cell>
          <cell r="E225" t="str">
            <v>26D21-09</v>
          </cell>
          <cell r="F225">
            <v>200</v>
          </cell>
          <cell r="P225">
            <v>200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2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200</v>
          </cell>
          <cell r="P229">
            <v>200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2</v>
          </cell>
          <cell r="M231" t="str">
            <v>I</v>
          </cell>
          <cell r="U231" t="str">
            <v>000000000014226</v>
          </cell>
        </row>
        <row r="232">
          <cell r="M232" t="str">
            <v>T</v>
          </cell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D234">
            <v>46136</v>
          </cell>
          <cell r="E234" t="str">
            <v>26D15-05</v>
          </cell>
          <cell r="F234">
            <v>8</v>
          </cell>
          <cell r="M234">
            <v>46157</v>
          </cell>
          <cell r="N234">
            <v>8</v>
          </cell>
          <cell r="P234">
            <v>46157</v>
          </cell>
          <cell r="R234">
            <v>2</v>
          </cell>
          <cell r="U234" t="str">
            <v>000000000013820</v>
          </cell>
        </row>
        <row r="235">
          <cell r="D235">
            <v>46156</v>
          </cell>
          <cell r="E235" t="str">
            <v>26D21-09</v>
          </cell>
          <cell r="P235">
            <v>800</v>
          </cell>
          <cell r="U235" t="str">
            <v>000000000013820</v>
          </cell>
        </row>
        <row r="236">
          <cell r="C236">
            <v>800</v>
          </cell>
          <cell r="D236">
            <v>46156</v>
          </cell>
          <cell r="E236" t="str">
            <v>26D21-09</v>
          </cell>
          <cell r="F236">
            <v>392</v>
          </cell>
          <cell r="P236">
            <v>401</v>
          </cell>
          <cell r="U236" t="str">
            <v>000000000013820</v>
          </cell>
        </row>
        <row r="237">
          <cell r="C237">
            <v>800</v>
          </cell>
          <cell r="D237">
            <v>46156</v>
          </cell>
          <cell r="E237" t="str">
            <v>26D21-09</v>
          </cell>
          <cell r="F237">
            <v>400</v>
          </cell>
          <cell r="P237">
            <v>2</v>
          </cell>
          <cell r="U237" t="str">
            <v>000000000013820</v>
          </cell>
        </row>
        <row r="238">
          <cell r="C238">
            <v>2</v>
          </cell>
          <cell r="P238">
            <v>1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8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336</v>
          </cell>
          <cell r="P240">
            <v>802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8</v>
          </cell>
          <cell r="M242" t="str">
            <v>I</v>
          </cell>
          <cell r="U242" t="str">
            <v>000000000013820</v>
          </cell>
        </row>
        <row r="243">
          <cell r="M243" t="str">
            <v>T</v>
          </cell>
          <cell r="R243">
            <v>2</v>
          </cell>
          <cell r="U243" t="str">
            <v>000000000013820</v>
          </cell>
        </row>
        <row r="244">
          <cell r="D244" t="str">
            <v>不良補填</v>
          </cell>
          <cell r="E244" t="str">
            <v>26D21-09</v>
          </cell>
          <cell r="F244">
            <v>2</v>
          </cell>
          <cell r="U244" t="str">
            <v>000000000013820</v>
          </cell>
        </row>
        <row r="245">
          <cell r="C245" t="str">
            <v>採光ルーバーパネルB　L=1996</v>
          </cell>
          <cell r="M245">
            <v>46157</v>
          </cell>
          <cell r="N245">
            <v>5</v>
          </cell>
          <cell r="P245">
            <v>46160</v>
          </cell>
          <cell r="R245">
            <v>1</v>
          </cell>
          <cell r="U245" t="str">
            <v>000000000014040</v>
          </cell>
        </row>
        <row r="246">
          <cell r="D246">
            <v>46157</v>
          </cell>
          <cell r="E246" t="str">
            <v>26E12-01</v>
          </cell>
          <cell r="M246">
            <v>46160</v>
          </cell>
          <cell r="N246">
            <v>2</v>
          </cell>
          <cell r="P246">
            <v>294</v>
          </cell>
          <cell r="R246">
            <v>34</v>
          </cell>
          <cell r="U246" t="str">
            <v>000000000014040</v>
          </cell>
        </row>
        <row r="247">
          <cell r="C247">
            <v>294</v>
          </cell>
          <cell r="D247">
            <v>46157</v>
          </cell>
          <cell r="E247" t="str">
            <v>26E12-01</v>
          </cell>
          <cell r="P247">
            <v>340</v>
          </cell>
          <cell r="U247" t="str">
            <v>000000000014040</v>
          </cell>
        </row>
        <row r="248">
          <cell r="C248">
            <v>294</v>
          </cell>
          <cell r="D248">
            <v>46157</v>
          </cell>
          <cell r="E248" t="str">
            <v>26E12-01</v>
          </cell>
          <cell r="P248">
            <v>46</v>
          </cell>
          <cell r="U248" t="str">
            <v>000000000014040</v>
          </cell>
        </row>
        <row r="249">
          <cell r="C249">
            <v>1</v>
          </cell>
          <cell r="D249">
            <v>46157</v>
          </cell>
          <cell r="E249" t="str">
            <v>26E12-01</v>
          </cell>
          <cell r="F249">
            <v>294</v>
          </cell>
          <cell r="P249">
            <v>46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7</v>
          </cell>
          <cell r="P250">
            <v>0</v>
          </cell>
          <cell r="R250">
            <v>9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700</v>
          </cell>
          <cell r="P251">
            <v>340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7</v>
          </cell>
          <cell r="M253" t="str">
            <v>I</v>
          </cell>
          <cell r="U253" t="str">
            <v>000000000014040</v>
          </cell>
        </row>
        <row r="254">
          <cell r="M254" t="str">
            <v>T</v>
          </cell>
          <cell r="N254" t="str">
            <v>U</v>
          </cell>
          <cell r="R254">
            <v>46</v>
          </cell>
          <cell r="U254" t="str">
            <v>000000000014040</v>
          </cell>
        </row>
        <row r="255">
          <cell r="D255" t="str">
            <v>不良補填</v>
          </cell>
          <cell r="E255" t="str">
            <v>26E12-01</v>
          </cell>
          <cell r="F255">
            <v>46</v>
          </cell>
          <cell r="U255" t="str">
            <v>000000000014040</v>
          </cell>
        </row>
        <row r="256">
          <cell r="C256" t="str">
            <v>8FL281304 6110　L=1478</v>
          </cell>
          <cell r="M256">
            <v>46160</v>
          </cell>
          <cell r="N256">
            <v>3</v>
          </cell>
          <cell r="P256">
            <v>46160</v>
          </cell>
          <cell r="R256">
            <v>1</v>
          </cell>
          <cell r="U256" t="str">
            <v>000000000013825</v>
          </cell>
        </row>
        <row r="257">
          <cell r="D257">
            <v>46156</v>
          </cell>
          <cell r="E257" t="str">
            <v>26D21-09</v>
          </cell>
          <cell r="P257">
            <v>300</v>
          </cell>
          <cell r="U257" t="str">
            <v>000000000013825</v>
          </cell>
        </row>
        <row r="258">
          <cell r="C258">
            <v>300</v>
          </cell>
          <cell r="D258">
            <v>46156</v>
          </cell>
          <cell r="E258" t="str">
            <v>26D21-09</v>
          </cell>
          <cell r="F258">
            <v>6</v>
          </cell>
          <cell r="P258">
            <v>303</v>
          </cell>
          <cell r="U258" t="str">
            <v>000000000013825</v>
          </cell>
        </row>
        <row r="259">
          <cell r="C259">
            <v>300</v>
          </cell>
          <cell r="D259">
            <v>46156</v>
          </cell>
          <cell r="E259" t="str">
            <v>26D22-10</v>
          </cell>
          <cell r="P259">
            <v>3</v>
          </cell>
          <cell r="U259" t="str">
            <v>000000000013825</v>
          </cell>
        </row>
        <row r="260">
          <cell r="C260">
            <v>1</v>
          </cell>
          <cell r="D260">
            <v>46156</v>
          </cell>
          <cell r="E260" t="str">
            <v>26D22-10</v>
          </cell>
          <cell r="F260">
            <v>294</v>
          </cell>
          <cell r="P260">
            <v>3</v>
          </cell>
          <cell r="U260" t="str">
            <v>000000000013825</v>
          </cell>
        </row>
        <row r="261">
          <cell r="C261">
            <v>100</v>
          </cell>
          <cell r="M261" t="str">
            <v>合計</v>
          </cell>
          <cell r="N261">
            <v>3</v>
          </cell>
          <cell r="P261">
            <v>0</v>
          </cell>
          <cell r="U261" t="str">
            <v>000000000013825</v>
          </cell>
        </row>
        <row r="262">
          <cell r="C262" t="str">
            <v>LED-A1478</v>
          </cell>
          <cell r="M262" t="str">
            <v>入数</v>
          </cell>
          <cell r="N262">
            <v>300</v>
          </cell>
          <cell r="P262">
            <v>303</v>
          </cell>
          <cell r="U262" t="str">
            <v>000000000013825</v>
          </cell>
        </row>
        <row r="263">
          <cell r="M263" t="str">
            <v>作業者</v>
          </cell>
          <cell r="U263" t="str">
            <v>000000000013825</v>
          </cell>
        </row>
        <row r="264">
          <cell r="C264">
            <v>3</v>
          </cell>
          <cell r="M264" t="str">
            <v>I</v>
          </cell>
          <cell r="R264">
            <v>2</v>
          </cell>
          <cell r="U264" t="str">
            <v>000000000013825</v>
          </cell>
        </row>
        <row r="265">
          <cell r="M265" t="str">
            <v>T</v>
          </cell>
          <cell r="R265">
            <v>3</v>
          </cell>
          <cell r="U265" t="str">
            <v>000000000013825</v>
          </cell>
        </row>
        <row r="266">
          <cell r="D266" t="str">
            <v>不良補填</v>
          </cell>
          <cell r="E266" t="str">
            <v>26D18-08</v>
          </cell>
          <cell r="F266">
            <v>3</v>
          </cell>
          <cell r="U266" t="str">
            <v>000000000013825</v>
          </cell>
        </row>
        <row r="267">
          <cell r="C267" t="str">
            <v>採光ルーバーパネルB　L=1996</v>
          </cell>
          <cell r="D267">
            <v>46157</v>
          </cell>
          <cell r="E267" t="str">
            <v>26E12-01</v>
          </cell>
          <cell r="F267">
            <v>46</v>
          </cell>
          <cell r="M267">
            <v>46160</v>
          </cell>
          <cell r="N267">
            <v>7</v>
          </cell>
          <cell r="P267">
            <v>46161</v>
          </cell>
          <cell r="R267">
            <v>14</v>
          </cell>
          <cell r="U267" t="str">
            <v>000000000014041</v>
          </cell>
        </row>
        <row r="268">
          <cell r="D268">
            <v>46157</v>
          </cell>
          <cell r="E268" t="str">
            <v>26E12-02</v>
          </cell>
          <cell r="M268">
            <v>46161</v>
          </cell>
          <cell r="N268">
            <v>8</v>
          </cell>
          <cell r="P268">
            <v>630</v>
          </cell>
          <cell r="R268">
            <v>197</v>
          </cell>
          <cell r="U268" t="str">
            <v>000000000014041</v>
          </cell>
        </row>
        <row r="269">
          <cell r="C269">
            <v>630</v>
          </cell>
          <cell r="D269">
            <v>46160</v>
          </cell>
          <cell r="E269" t="str">
            <v>26E12-02</v>
          </cell>
          <cell r="P269">
            <v>846</v>
          </cell>
          <cell r="U269" t="str">
            <v>000000000014041</v>
          </cell>
        </row>
        <row r="270">
          <cell r="C270">
            <v>630</v>
          </cell>
          <cell r="D270">
            <v>46160</v>
          </cell>
          <cell r="E270" t="str">
            <v>26E12-02</v>
          </cell>
          <cell r="P270">
            <v>216</v>
          </cell>
          <cell r="U270" t="str">
            <v>000000000014041</v>
          </cell>
        </row>
        <row r="271">
          <cell r="C271">
            <v>1</v>
          </cell>
          <cell r="D271">
            <v>46160</v>
          </cell>
          <cell r="E271" t="str">
            <v>26E12-02</v>
          </cell>
          <cell r="F271">
            <v>354</v>
          </cell>
          <cell r="P271">
            <v>216</v>
          </cell>
          <cell r="U271" t="str">
            <v>000000000014041</v>
          </cell>
        </row>
        <row r="272">
          <cell r="C272">
            <v>42</v>
          </cell>
          <cell r="D272">
            <v>46160</v>
          </cell>
          <cell r="E272" t="str">
            <v>26E12-02</v>
          </cell>
          <cell r="F272">
            <v>46</v>
          </cell>
          <cell r="M272" t="str">
            <v>合計</v>
          </cell>
          <cell r="N272">
            <v>15</v>
          </cell>
          <cell r="P272">
            <v>0</v>
          </cell>
          <cell r="R272">
            <v>5</v>
          </cell>
          <cell r="U272" t="str">
            <v>000000000014041</v>
          </cell>
        </row>
        <row r="273">
          <cell r="C273" t="str">
            <v>上-1</v>
          </cell>
          <cell r="D273">
            <v>46160</v>
          </cell>
          <cell r="E273" t="str">
            <v>26E13-03</v>
          </cell>
          <cell r="M273" t="str">
            <v>入数</v>
          </cell>
          <cell r="N273">
            <v>630</v>
          </cell>
          <cell r="P273">
            <v>846</v>
          </cell>
          <cell r="U273" t="str">
            <v>000000000014041</v>
          </cell>
        </row>
        <row r="274">
          <cell r="D274">
            <v>46161</v>
          </cell>
          <cell r="E274" t="str">
            <v>26E13-03</v>
          </cell>
          <cell r="M274" t="str">
            <v>作業者</v>
          </cell>
          <cell r="U274" t="str">
            <v>000000000014041</v>
          </cell>
        </row>
        <row r="275">
          <cell r="C275">
            <v>15</v>
          </cell>
          <cell r="D275">
            <v>46161</v>
          </cell>
          <cell r="E275" t="str">
            <v>26E13-03</v>
          </cell>
          <cell r="F275">
            <v>400</v>
          </cell>
          <cell r="M275" t="str">
            <v>I</v>
          </cell>
          <cell r="U275" t="str">
            <v>000000000014041</v>
          </cell>
        </row>
        <row r="276">
          <cell r="M276" t="str">
            <v>T</v>
          </cell>
          <cell r="N276" t="str">
            <v>U</v>
          </cell>
          <cell r="R276">
            <v>216</v>
          </cell>
          <cell r="U276" t="str">
            <v>000000000014041</v>
          </cell>
        </row>
        <row r="277">
          <cell r="D277" t="str">
            <v>不良補填</v>
          </cell>
          <cell r="F277" t="str">
            <v/>
          </cell>
          <cell r="U277" t="str">
            <v>000000000014041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C280">
            <v>800</v>
          </cell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C291">
            <v>400</v>
          </cell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  <row r="300">
          <cell r="C300" t="str">
            <v>灯具カバーPC IN 2130　L=908</v>
          </cell>
          <cell r="P300">
            <v>0</v>
          </cell>
          <cell r="U300" t="str">
            <v>000000000014329</v>
          </cell>
        </row>
        <row r="301">
          <cell r="P301">
            <v>0</v>
          </cell>
          <cell r="U301" t="str">
            <v>000000000014329</v>
          </cell>
        </row>
        <row r="302">
          <cell r="C302">
            <v>32</v>
          </cell>
          <cell r="P302">
            <v>0</v>
          </cell>
          <cell r="U302" t="str">
            <v>000000000014329</v>
          </cell>
        </row>
        <row r="303">
          <cell r="C303">
            <v>192</v>
          </cell>
          <cell r="P303">
            <v>0</v>
          </cell>
          <cell r="U303" t="str">
            <v>000000000014329</v>
          </cell>
        </row>
        <row r="304">
          <cell r="C304">
            <v>1</v>
          </cell>
          <cell r="P304">
            <v>0</v>
          </cell>
          <cell r="U304" t="str">
            <v>000000000014329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000000000014329</v>
          </cell>
        </row>
        <row r="306">
          <cell r="C306" t="str">
            <v>灯具-3　L=970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000000000014329</v>
          </cell>
        </row>
        <row r="307">
          <cell r="M307" t="str">
            <v>作業者</v>
          </cell>
          <cell r="U307" t="str">
            <v>000000000014329</v>
          </cell>
        </row>
        <row r="308">
          <cell r="C308">
            <v>0</v>
          </cell>
          <cell r="U308" t="str">
            <v>000000000014329</v>
          </cell>
        </row>
        <row r="309">
          <cell r="R309">
            <v>0</v>
          </cell>
          <cell r="U309" t="str">
            <v>000000000014329</v>
          </cell>
        </row>
        <row r="310">
          <cell r="D310" t="str">
            <v>不良補填</v>
          </cell>
          <cell r="F310" t="str">
            <v/>
          </cell>
          <cell r="U310" t="str">
            <v>000000000014329</v>
          </cell>
        </row>
        <row r="311">
          <cell r="C311" t="str">
            <v>灯具カバーPC IN 2090　L=840</v>
          </cell>
          <cell r="P311">
            <v>0</v>
          </cell>
          <cell r="U311" t="str">
            <v>000000000014328</v>
          </cell>
        </row>
        <row r="312">
          <cell r="P312">
            <v>0</v>
          </cell>
          <cell r="U312" t="str">
            <v>000000000014328</v>
          </cell>
        </row>
        <row r="313">
          <cell r="P313">
            <v>0</v>
          </cell>
          <cell r="U313" t="str">
            <v>000000000014328</v>
          </cell>
        </row>
        <row r="314">
          <cell r="C314">
            <v>192</v>
          </cell>
          <cell r="P314">
            <v>0</v>
          </cell>
          <cell r="U314" t="str">
            <v>000000000014328</v>
          </cell>
        </row>
        <row r="315">
          <cell r="C315">
            <v>1</v>
          </cell>
          <cell r="P315">
            <v>0</v>
          </cell>
          <cell r="U315" t="str">
            <v>000000000014328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000000000014328</v>
          </cell>
        </row>
        <row r="317">
          <cell r="C317" t="str">
            <v>灯具-3　L=970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000000000014328</v>
          </cell>
        </row>
        <row r="318">
          <cell r="M318" t="str">
            <v>作業者</v>
          </cell>
          <cell r="U318" t="str">
            <v>000000000014328</v>
          </cell>
        </row>
        <row r="319">
          <cell r="C319">
            <v>0</v>
          </cell>
          <cell r="U319" t="str">
            <v>000000000014328</v>
          </cell>
        </row>
        <row r="320">
          <cell r="R320">
            <v>0</v>
          </cell>
          <cell r="U320" t="str">
            <v>000000000014328</v>
          </cell>
        </row>
        <row r="321">
          <cell r="D321" t="str">
            <v>不良補填</v>
          </cell>
          <cell r="F321" t="str">
            <v/>
          </cell>
          <cell r="U321" t="str">
            <v>000000000014328</v>
          </cell>
        </row>
        <row r="322">
          <cell r="C322" t="str">
            <v>灯具カバーPC IN 2090　L=840</v>
          </cell>
          <cell r="P322">
            <v>0</v>
          </cell>
          <cell r="U322" t="str">
            <v>000000000014638</v>
          </cell>
        </row>
        <row r="323">
          <cell r="P323">
            <v>0</v>
          </cell>
          <cell r="U323" t="str">
            <v>000000000014638</v>
          </cell>
        </row>
        <row r="324">
          <cell r="P324">
            <v>0</v>
          </cell>
          <cell r="U324" t="str">
            <v>000000000014638</v>
          </cell>
        </row>
        <row r="325">
          <cell r="C325">
            <v>208</v>
          </cell>
          <cell r="P325">
            <v>0</v>
          </cell>
          <cell r="U325" t="str">
            <v>000000000014638</v>
          </cell>
        </row>
        <row r="326">
          <cell r="C326">
            <v>1</v>
          </cell>
          <cell r="P326">
            <v>0</v>
          </cell>
          <cell r="U326" t="str">
            <v>000000000014638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000000000014638</v>
          </cell>
        </row>
        <row r="328">
          <cell r="C328" t="str">
            <v>灯具-3　L=970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000000000014638</v>
          </cell>
        </row>
        <row r="329">
          <cell r="M329" t="str">
            <v>作業者</v>
          </cell>
          <cell r="U329" t="str">
            <v>000000000014638</v>
          </cell>
        </row>
        <row r="330">
          <cell r="C330">
            <v>0</v>
          </cell>
          <cell r="U330" t="str">
            <v>000000000014638</v>
          </cell>
        </row>
        <row r="331">
          <cell r="R331">
            <v>0</v>
          </cell>
          <cell r="U331" t="str">
            <v>000000000014638</v>
          </cell>
        </row>
        <row r="332">
          <cell r="D332" t="str">
            <v>不良補填</v>
          </cell>
          <cell r="F332" t="str">
            <v/>
          </cell>
          <cell r="U332" t="str">
            <v>000000000014638</v>
          </cell>
        </row>
        <row r="333">
          <cell r="C333" t="str">
            <v>灯具カバーPC IN 2050　L=1183.5</v>
          </cell>
          <cell r="P333">
            <v>0</v>
          </cell>
          <cell r="U333" t="str">
            <v>000000000014331</v>
          </cell>
        </row>
        <row r="334">
          <cell r="P334">
            <v>0</v>
          </cell>
          <cell r="U334" t="str">
            <v>000000000014331</v>
          </cell>
        </row>
        <row r="335">
          <cell r="P335">
            <v>0</v>
          </cell>
          <cell r="U335" t="str">
            <v>000000000014331</v>
          </cell>
        </row>
        <row r="336">
          <cell r="C336">
            <v>192</v>
          </cell>
          <cell r="P336">
            <v>0</v>
          </cell>
          <cell r="U336" t="str">
            <v>000000000014331</v>
          </cell>
        </row>
        <row r="337">
          <cell r="C337">
            <v>1</v>
          </cell>
          <cell r="P337">
            <v>0</v>
          </cell>
          <cell r="U337" t="str">
            <v>000000000014331</v>
          </cell>
        </row>
        <row r="338">
          <cell r="C338">
            <v>16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000000000014331</v>
          </cell>
        </row>
        <row r="339">
          <cell r="C339" t="str">
            <v>灯具-1　L=1370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000000000014331</v>
          </cell>
        </row>
        <row r="340">
          <cell r="M340" t="str">
            <v>作業者</v>
          </cell>
          <cell r="U340" t="str">
            <v>000000000014331</v>
          </cell>
        </row>
        <row r="341">
          <cell r="C341">
            <v>0</v>
          </cell>
          <cell r="U341" t="str">
            <v>000000000014331</v>
          </cell>
        </row>
        <row r="342">
          <cell r="R342">
            <v>0</v>
          </cell>
          <cell r="U342" t="str">
            <v>000000000014331</v>
          </cell>
        </row>
        <row r="343">
          <cell r="D343" t="str">
            <v>不良補填</v>
          </cell>
          <cell r="F343" t="str">
            <v/>
          </cell>
          <cell r="U343" t="str">
            <v>000000000014331</v>
          </cell>
        </row>
        <row r="344">
          <cell r="C344" t="str">
            <v>灯具カバーPC IN 2110　L=1815</v>
          </cell>
          <cell r="P344">
            <v>0</v>
          </cell>
          <cell r="U344" t="str">
            <v>000000000014334</v>
          </cell>
        </row>
        <row r="345">
          <cell r="P345">
            <v>0</v>
          </cell>
          <cell r="U345" t="str">
            <v>000000000014334</v>
          </cell>
        </row>
        <row r="346">
          <cell r="P346">
            <v>0</v>
          </cell>
          <cell r="U346" t="str">
            <v>000000000014334</v>
          </cell>
        </row>
        <row r="347">
          <cell r="C347">
            <v>192</v>
          </cell>
          <cell r="P347">
            <v>0</v>
          </cell>
          <cell r="U347" t="str">
            <v>000000000014334</v>
          </cell>
        </row>
        <row r="348">
          <cell r="C348">
            <v>1</v>
          </cell>
          <cell r="P348">
            <v>0</v>
          </cell>
          <cell r="U348" t="str">
            <v>000000000014334</v>
          </cell>
        </row>
        <row r="349">
          <cell r="C349">
            <v>16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000000000014334</v>
          </cell>
        </row>
        <row r="350">
          <cell r="C350" t="str">
            <v>灯具-2　L＝1996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000000000014334</v>
          </cell>
        </row>
        <row r="351">
          <cell r="M351" t="str">
            <v>作業者</v>
          </cell>
          <cell r="U351" t="str">
            <v>000000000014334</v>
          </cell>
        </row>
        <row r="352">
          <cell r="C352">
            <v>0</v>
          </cell>
          <cell r="U352" t="str">
            <v>000000000014334</v>
          </cell>
        </row>
        <row r="353">
          <cell r="R353">
            <v>0</v>
          </cell>
          <cell r="U353" t="str">
            <v>000000000014334</v>
          </cell>
        </row>
        <row r="354">
          <cell r="D354" t="str">
            <v>不良補填</v>
          </cell>
          <cell r="F354" t="str">
            <v/>
          </cell>
          <cell r="U354" t="str">
            <v>000000000014334</v>
          </cell>
        </row>
        <row r="355">
          <cell r="C355" t="str">
            <v>灯具カバーPC IN 2070　L=1966</v>
          </cell>
          <cell r="P355">
            <v>0</v>
          </cell>
          <cell r="U355" t="str">
            <v>000000000014337</v>
          </cell>
        </row>
        <row r="356">
          <cell r="P356">
            <v>0</v>
          </cell>
          <cell r="U356" t="str">
            <v>000000000014337</v>
          </cell>
        </row>
        <row r="357">
          <cell r="P357">
            <v>0</v>
          </cell>
          <cell r="U357" t="str">
            <v>000000000014337</v>
          </cell>
        </row>
        <row r="358">
          <cell r="C358">
            <v>192</v>
          </cell>
          <cell r="P358">
            <v>0</v>
          </cell>
          <cell r="U358" t="str">
            <v>000000000014337</v>
          </cell>
        </row>
        <row r="359">
          <cell r="C359">
            <v>1</v>
          </cell>
          <cell r="P359">
            <v>0</v>
          </cell>
          <cell r="U359" t="str">
            <v>000000000014337</v>
          </cell>
        </row>
        <row r="360">
          <cell r="C360">
            <v>16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000000000014337</v>
          </cell>
        </row>
        <row r="361">
          <cell r="C361" t="str">
            <v>灯具-2　L＝1996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000000000014337</v>
          </cell>
        </row>
        <row r="362">
          <cell r="M362" t="str">
            <v>作業者</v>
          </cell>
          <cell r="U362" t="str">
            <v>000000000014337</v>
          </cell>
        </row>
        <row r="363">
          <cell r="C363">
            <v>0</v>
          </cell>
          <cell r="U363" t="str">
            <v>000000000014337</v>
          </cell>
        </row>
        <row r="364">
          <cell r="R364">
            <v>0</v>
          </cell>
          <cell r="U364" t="str">
            <v>000000000014337</v>
          </cell>
        </row>
        <row r="365">
          <cell r="D365" t="str">
            <v>不良補填</v>
          </cell>
          <cell r="F365" t="str">
            <v/>
          </cell>
          <cell r="U365" t="str">
            <v>000000000014337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000000000014582</v>
          </cell>
        </row>
        <row r="367">
          <cell r="P367">
            <v>0</v>
          </cell>
          <cell r="U367" t="str">
            <v>000000000014582</v>
          </cell>
        </row>
        <row r="368">
          <cell r="P368">
            <v>0</v>
          </cell>
          <cell r="U368" t="str">
            <v>000000000014582</v>
          </cell>
        </row>
        <row r="369">
          <cell r="C369">
            <v>2000</v>
          </cell>
          <cell r="P369">
            <v>0</v>
          </cell>
          <cell r="U369" t="str">
            <v>000000000014582</v>
          </cell>
        </row>
        <row r="370">
          <cell r="C370">
            <v>2</v>
          </cell>
          <cell r="P370">
            <v>0</v>
          </cell>
          <cell r="U370" t="str">
            <v>000000000014582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000000000014582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000000000014582</v>
          </cell>
        </row>
        <row r="373">
          <cell r="M373" t="str">
            <v>作業者</v>
          </cell>
          <cell r="U373" t="str">
            <v>000000000014582</v>
          </cell>
        </row>
        <row r="374">
          <cell r="C374">
            <v>0</v>
          </cell>
          <cell r="U374" t="str">
            <v>000000000014582</v>
          </cell>
        </row>
        <row r="375">
          <cell r="R375">
            <v>0</v>
          </cell>
          <cell r="U375" t="str">
            <v>000000000014582</v>
          </cell>
        </row>
        <row r="376">
          <cell r="D376" t="str">
            <v>不良補填</v>
          </cell>
          <cell r="F376">
            <v>0</v>
          </cell>
          <cell r="U376" t="str">
            <v>000000000014582</v>
          </cell>
        </row>
        <row r="377">
          <cell r="C377" t="str">
            <v>8FL281304 4910　L=592</v>
          </cell>
          <cell r="P377">
            <v>0</v>
          </cell>
          <cell r="U377" t="str">
            <v>000000000014577</v>
          </cell>
        </row>
        <row r="378">
          <cell r="P378">
            <v>0</v>
          </cell>
          <cell r="U378" t="str">
            <v>000000000014577</v>
          </cell>
        </row>
        <row r="379">
          <cell r="P379">
            <v>0</v>
          </cell>
          <cell r="U379" t="str">
            <v>000000000014577</v>
          </cell>
        </row>
        <row r="380">
          <cell r="C380">
            <v>300</v>
          </cell>
          <cell r="P380">
            <v>0</v>
          </cell>
          <cell r="U380" t="str">
            <v>000000000014577</v>
          </cell>
        </row>
        <row r="381">
          <cell r="C381">
            <v>3</v>
          </cell>
          <cell r="P381">
            <v>0</v>
          </cell>
          <cell r="U381" t="str">
            <v>000000000014577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000000000014577</v>
          </cell>
        </row>
        <row r="383">
          <cell r="C383" t="str">
            <v>LED-A592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000000000014577</v>
          </cell>
        </row>
        <row r="384">
          <cell r="M384" t="str">
            <v>作業者</v>
          </cell>
          <cell r="U384" t="str">
            <v>000000000014577</v>
          </cell>
        </row>
        <row r="385">
          <cell r="C385">
            <v>0</v>
          </cell>
          <cell r="U385" t="str">
            <v>000000000014577</v>
          </cell>
        </row>
        <row r="386">
          <cell r="R386">
            <v>0</v>
          </cell>
          <cell r="U386" t="str">
            <v>000000000014577</v>
          </cell>
        </row>
        <row r="387">
          <cell r="D387" t="str">
            <v>不良補填</v>
          </cell>
          <cell r="F387">
            <v>0</v>
          </cell>
          <cell r="U387" t="str">
            <v>000000000014577</v>
          </cell>
        </row>
        <row r="388">
          <cell r="C388" t="str">
            <v>8FL281304 4910　L=592</v>
          </cell>
          <cell r="P388">
            <v>0</v>
          </cell>
          <cell r="U388" t="str">
            <v>000000000014577</v>
          </cell>
        </row>
        <row r="389">
          <cell r="P389">
            <v>0</v>
          </cell>
          <cell r="U389" t="str">
            <v>000000000014577</v>
          </cell>
        </row>
        <row r="390">
          <cell r="P390">
            <v>0</v>
          </cell>
          <cell r="U390" t="str">
            <v>000000000014577</v>
          </cell>
        </row>
        <row r="391">
          <cell r="C391">
            <v>300</v>
          </cell>
          <cell r="P391">
            <v>0</v>
          </cell>
          <cell r="U391" t="str">
            <v>000000000014577</v>
          </cell>
        </row>
        <row r="392">
          <cell r="C392">
            <v>3</v>
          </cell>
          <cell r="P392">
            <v>0</v>
          </cell>
          <cell r="U392" t="str">
            <v>000000000014577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000000000014577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000000000014577</v>
          </cell>
        </row>
        <row r="395">
          <cell r="M395" t="str">
            <v>作業者</v>
          </cell>
          <cell r="U395" t="str">
            <v>000000000014577</v>
          </cell>
        </row>
        <row r="396">
          <cell r="C396">
            <v>0</v>
          </cell>
          <cell r="U396" t="str">
            <v>000000000014577</v>
          </cell>
        </row>
        <row r="397">
          <cell r="R397">
            <v>0</v>
          </cell>
          <cell r="U397" t="str">
            <v>000000000014577</v>
          </cell>
        </row>
        <row r="398">
          <cell r="D398" t="str">
            <v>不良補填</v>
          </cell>
          <cell r="F398">
            <v>0</v>
          </cell>
          <cell r="U398" t="str">
            <v>000000000014577</v>
          </cell>
        </row>
        <row r="399">
          <cell r="C399" t="str">
            <v>8FL281304 5010　L=888</v>
          </cell>
          <cell r="P399">
            <v>0</v>
          </cell>
          <cell r="U399" t="str">
            <v>000000000014593</v>
          </cell>
        </row>
        <row r="400">
          <cell r="P400">
            <v>0</v>
          </cell>
          <cell r="U400" t="str">
            <v>000000000014593</v>
          </cell>
        </row>
        <row r="401">
          <cell r="P401">
            <v>0</v>
          </cell>
          <cell r="U401" t="str">
            <v>000000000014593</v>
          </cell>
        </row>
        <row r="402">
          <cell r="C402">
            <v>2000</v>
          </cell>
          <cell r="P402">
            <v>0</v>
          </cell>
          <cell r="U402" t="str">
            <v>000000000014593</v>
          </cell>
        </row>
        <row r="403">
          <cell r="C403">
            <v>2</v>
          </cell>
          <cell r="P403">
            <v>0</v>
          </cell>
          <cell r="U403" t="str">
            <v>000000000014593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000000000014593</v>
          </cell>
        </row>
        <row r="405">
          <cell r="C405" t="str">
            <v>LED-A888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000000000014593</v>
          </cell>
        </row>
        <row r="406">
          <cell r="M406" t="str">
            <v>作業者</v>
          </cell>
          <cell r="U406" t="str">
            <v>000000000014593</v>
          </cell>
        </row>
        <row r="407">
          <cell r="C407">
            <v>0</v>
          </cell>
          <cell r="U407" t="str">
            <v>000000000014593</v>
          </cell>
        </row>
        <row r="408">
          <cell r="R408">
            <v>0</v>
          </cell>
          <cell r="U408" t="str">
            <v>000000000014593</v>
          </cell>
        </row>
        <row r="409">
          <cell r="D409" t="str">
            <v>不良補填</v>
          </cell>
          <cell r="F409">
            <v>0</v>
          </cell>
          <cell r="U409" t="str">
            <v>000000000014593</v>
          </cell>
        </row>
        <row r="410">
          <cell r="C410" t="str">
            <v>採光ルーバーパネルB　L=1996</v>
          </cell>
          <cell r="P410">
            <v>0</v>
          </cell>
          <cell r="U410" t="str">
            <v>000000000014639</v>
          </cell>
        </row>
        <row r="411">
          <cell r="P411">
            <v>0</v>
          </cell>
          <cell r="U411" t="str">
            <v>000000000014639</v>
          </cell>
        </row>
        <row r="412">
          <cell r="P412">
            <v>0</v>
          </cell>
          <cell r="U412" t="str">
            <v>000000000014639</v>
          </cell>
        </row>
        <row r="413">
          <cell r="C413">
            <v>420</v>
          </cell>
          <cell r="P413">
            <v>0</v>
          </cell>
          <cell r="U413" t="str">
            <v>000000000014639</v>
          </cell>
        </row>
        <row r="414">
          <cell r="C414">
            <v>1</v>
          </cell>
          <cell r="P414">
            <v>0</v>
          </cell>
          <cell r="U414" t="str">
            <v>000000000014639</v>
          </cell>
        </row>
        <row r="415">
          <cell r="C415">
            <v>42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000000000014639</v>
          </cell>
        </row>
        <row r="416">
          <cell r="C416" t="str">
            <v>上-1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000000000014639</v>
          </cell>
        </row>
        <row r="417">
          <cell r="M417" t="str">
            <v>作業者</v>
          </cell>
          <cell r="U417" t="str">
            <v>000000000014639</v>
          </cell>
        </row>
        <row r="418">
          <cell r="C418">
            <v>0</v>
          </cell>
          <cell r="U418" t="str">
            <v>000000000014639</v>
          </cell>
        </row>
        <row r="419">
          <cell r="R419">
            <v>0</v>
          </cell>
          <cell r="U419" t="str">
            <v>000000000014639</v>
          </cell>
        </row>
        <row r="420">
          <cell r="D420" t="str">
            <v>不良補填</v>
          </cell>
          <cell r="F420" t="str">
            <v/>
          </cell>
          <cell r="U420" t="str">
            <v>000000000014639</v>
          </cell>
        </row>
        <row r="421">
          <cell r="C421" t="str">
            <v>8FL281304 6110　L=1478</v>
          </cell>
          <cell r="P421">
            <v>0</v>
          </cell>
          <cell r="U421" t="str">
            <v>000000000014602</v>
          </cell>
        </row>
        <row r="422">
          <cell r="P422">
            <v>0</v>
          </cell>
          <cell r="U422" t="str">
            <v>000000000014602</v>
          </cell>
        </row>
        <row r="423">
          <cell r="P423">
            <v>0</v>
          </cell>
          <cell r="U423" t="str">
            <v>000000000014602</v>
          </cell>
        </row>
        <row r="424">
          <cell r="C424">
            <v>300</v>
          </cell>
          <cell r="P424">
            <v>0</v>
          </cell>
          <cell r="U424" t="str">
            <v>000000000014602</v>
          </cell>
        </row>
        <row r="425">
          <cell r="C425">
            <v>1</v>
          </cell>
          <cell r="P425">
            <v>0</v>
          </cell>
          <cell r="U425" t="str">
            <v>000000000014602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000000000014602</v>
          </cell>
        </row>
        <row r="427">
          <cell r="C427" t="str">
            <v>LED-A1478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000000000014602</v>
          </cell>
        </row>
        <row r="428">
          <cell r="M428" t="str">
            <v>作業者</v>
          </cell>
          <cell r="U428" t="str">
            <v>000000000014602</v>
          </cell>
        </row>
        <row r="429">
          <cell r="C429">
            <v>0</v>
          </cell>
          <cell r="U429" t="str">
            <v>000000000014602</v>
          </cell>
        </row>
        <row r="430">
          <cell r="R430">
            <v>0</v>
          </cell>
          <cell r="U430" t="str">
            <v>000000000014602</v>
          </cell>
        </row>
        <row r="431">
          <cell r="D431" t="str">
            <v>不良補填</v>
          </cell>
          <cell r="F431">
            <v>0</v>
          </cell>
          <cell r="U431" t="str">
            <v>000000000014602</v>
          </cell>
        </row>
        <row r="432">
          <cell r="C432" t="str">
            <v>8FL281304 6110　L=1478</v>
          </cell>
          <cell r="P432">
            <v>0</v>
          </cell>
          <cell r="U432" t="str">
            <v>000000000014603</v>
          </cell>
        </row>
        <row r="433">
          <cell r="P433">
            <v>0</v>
          </cell>
          <cell r="U433" t="str">
            <v>000000000014603</v>
          </cell>
        </row>
        <row r="434">
          <cell r="P434">
            <v>0</v>
          </cell>
          <cell r="U434" t="str">
            <v>000000000014603</v>
          </cell>
        </row>
        <row r="435">
          <cell r="C435">
            <v>100</v>
          </cell>
          <cell r="P435">
            <v>0</v>
          </cell>
          <cell r="U435" t="str">
            <v>000000000014603</v>
          </cell>
        </row>
        <row r="436">
          <cell r="C436">
            <v>1</v>
          </cell>
          <cell r="P436">
            <v>0</v>
          </cell>
          <cell r="U436" t="str">
            <v>000000000014603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000000000014603</v>
          </cell>
        </row>
        <row r="438">
          <cell r="C438" t="str">
            <v>LED-A1478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000000000014603</v>
          </cell>
        </row>
        <row r="439">
          <cell r="M439" t="str">
            <v>作業者</v>
          </cell>
          <cell r="U439" t="str">
            <v>000000000014603</v>
          </cell>
        </row>
        <row r="440">
          <cell r="C440">
            <v>0</v>
          </cell>
          <cell r="U440" t="str">
            <v>000000000014603</v>
          </cell>
        </row>
        <row r="441">
          <cell r="R441">
            <v>0</v>
          </cell>
          <cell r="U441" t="str">
            <v>000000000014603</v>
          </cell>
        </row>
        <row r="442">
          <cell r="D442" t="str">
            <v>不良補填</v>
          </cell>
          <cell r="F442">
            <v>0</v>
          </cell>
          <cell r="U442" t="str">
            <v>000000000014603</v>
          </cell>
        </row>
        <row r="443">
          <cell r="C443" t="str">
            <v>8FL281304 6110　L=1478</v>
          </cell>
          <cell r="P443">
            <v>0</v>
          </cell>
          <cell r="U443" t="str">
            <v>000000000014847</v>
          </cell>
        </row>
        <row r="444">
          <cell r="P444">
            <v>0</v>
          </cell>
          <cell r="U444" t="str">
            <v>000000000014847</v>
          </cell>
        </row>
        <row r="445">
          <cell r="P445">
            <v>0</v>
          </cell>
          <cell r="U445" t="str">
            <v>000000000014847</v>
          </cell>
        </row>
        <row r="446">
          <cell r="C446">
            <v>200</v>
          </cell>
          <cell r="P446">
            <v>0</v>
          </cell>
          <cell r="U446" t="str">
            <v>000000000014847</v>
          </cell>
        </row>
        <row r="447">
          <cell r="C447">
            <v>1</v>
          </cell>
          <cell r="P447">
            <v>0</v>
          </cell>
          <cell r="U447" t="str">
            <v>000000000014847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000000000014847</v>
          </cell>
        </row>
        <row r="449">
          <cell r="C449" t="str">
            <v>LED-A1478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000000000014847</v>
          </cell>
        </row>
        <row r="450">
          <cell r="M450" t="str">
            <v>作業者</v>
          </cell>
          <cell r="U450" t="str">
            <v>000000000014847</v>
          </cell>
        </row>
        <row r="451">
          <cell r="C451">
            <v>0</v>
          </cell>
          <cell r="U451" t="str">
            <v>000000000014847</v>
          </cell>
        </row>
        <row r="452">
          <cell r="R452">
            <v>0</v>
          </cell>
          <cell r="U452" t="str">
            <v>000000000014847</v>
          </cell>
        </row>
        <row r="453">
          <cell r="D453" t="str">
            <v>不良補填</v>
          </cell>
          <cell r="F453">
            <v>0</v>
          </cell>
          <cell r="U453" t="str">
            <v>000000000014847</v>
          </cell>
        </row>
        <row r="454">
          <cell r="C454" t="str">
            <v>8FL281304 5010　L=888</v>
          </cell>
          <cell r="P454">
            <v>0</v>
          </cell>
          <cell r="U454" t="str">
            <v>000000000014594</v>
          </cell>
        </row>
        <row r="455">
          <cell r="P455">
            <v>0</v>
          </cell>
          <cell r="U455" t="str">
            <v>000000000014594</v>
          </cell>
        </row>
        <row r="456">
          <cell r="P456">
            <v>0</v>
          </cell>
          <cell r="U456" t="str">
            <v>000000000014594</v>
          </cell>
        </row>
        <row r="457">
          <cell r="C457">
            <v>100</v>
          </cell>
          <cell r="P457">
            <v>0</v>
          </cell>
          <cell r="U457" t="str">
            <v>000000000014594</v>
          </cell>
        </row>
        <row r="458">
          <cell r="C458">
            <v>2</v>
          </cell>
          <cell r="P458">
            <v>0</v>
          </cell>
          <cell r="U458" t="str">
            <v>000000000014594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000000000014594</v>
          </cell>
        </row>
        <row r="460">
          <cell r="C460" t="str">
            <v>LED-A888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000000000014594</v>
          </cell>
        </row>
        <row r="461">
          <cell r="M461" t="str">
            <v>作業者</v>
          </cell>
          <cell r="U461" t="str">
            <v>000000000014594</v>
          </cell>
        </row>
        <row r="462">
          <cell r="C462">
            <v>0</v>
          </cell>
          <cell r="U462" t="str">
            <v>000000000014594</v>
          </cell>
        </row>
        <row r="463">
          <cell r="R463">
            <v>0</v>
          </cell>
          <cell r="U463" t="str">
            <v>000000000014594</v>
          </cell>
        </row>
        <row r="464">
          <cell r="D464" t="str">
            <v>不良補填</v>
          </cell>
          <cell r="F464">
            <v>0</v>
          </cell>
          <cell r="U464" t="str">
            <v>000000000014594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灯具カバーPC IN 2130　L=908</v>
          </cell>
          <cell r="P476">
            <v>0</v>
          </cell>
          <cell r="U476" t="str">
            <v>000000000014330</v>
          </cell>
        </row>
        <row r="477">
          <cell r="P477">
            <v>0</v>
          </cell>
          <cell r="U477" t="str">
            <v>000000000014330</v>
          </cell>
        </row>
        <row r="478">
          <cell r="P478">
            <v>0</v>
          </cell>
          <cell r="U478" t="str">
            <v>000000000014330</v>
          </cell>
        </row>
        <row r="479">
          <cell r="C479">
            <v>208</v>
          </cell>
          <cell r="P479">
            <v>0</v>
          </cell>
          <cell r="U479" t="str">
            <v>000000000014330</v>
          </cell>
        </row>
        <row r="480">
          <cell r="C480">
            <v>1</v>
          </cell>
          <cell r="P480">
            <v>0</v>
          </cell>
          <cell r="U480" t="str">
            <v>000000000014330</v>
          </cell>
        </row>
        <row r="481">
          <cell r="C481">
            <v>16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000000000014330</v>
          </cell>
        </row>
        <row r="482">
          <cell r="C482" t="str">
            <v>灯具-3　L=970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000000000014330</v>
          </cell>
        </row>
        <row r="483">
          <cell r="M483" t="str">
            <v>作業者</v>
          </cell>
          <cell r="U483" t="str">
            <v>000000000014330</v>
          </cell>
        </row>
        <row r="484">
          <cell r="C484">
            <v>0</v>
          </cell>
          <cell r="U484" t="str">
            <v>000000000014330</v>
          </cell>
        </row>
        <row r="485">
          <cell r="R485">
            <v>0</v>
          </cell>
          <cell r="U485" t="str">
            <v>000000000014330</v>
          </cell>
        </row>
        <row r="486">
          <cell r="D486" t="str">
            <v>不良補填</v>
          </cell>
          <cell r="F486" t="str">
            <v/>
          </cell>
          <cell r="U486" t="str">
            <v>000000000014330</v>
          </cell>
        </row>
        <row r="487">
          <cell r="C487" t="str">
            <v>灯具カバーPC IN 2050　L=1183.5</v>
          </cell>
          <cell r="P487">
            <v>0</v>
          </cell>
          <cell r="U487" t="str">
            <v>000000000014332</v>
          </cell>
        </row>
        <row r="488">
          <cell r="P488">
            <v>0</v>
          </cell>
          <cell r="U488" t="str">
            <v>000000000014332</v>
          </cell>
        </row>
        <row r="489">
          <cell r="P489">
            <v>0</v>
          </cell>
          <cell r="U489" t="str">
            <v>000000000014332</v>
          </cell>
        </row>
        <row r="490">
          <cell r="C490">
            <v>208</v>
          </cell>
          <cell r="P490">
            <v>0</v>
          </cell>
          <cell r="U490" t="str">
            <v>000000000014332</v>
          </cell>
        </row>
        <row r="491">
          <cell r="C491">
            <v>1</v>
          </cell>
          <cell r="P491">
            <v>0</v>
          </cell>
          <cell r="U491" t="str">
            <v>000000000014332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000000000014332</v>
          </cell>
        </row>
        <row r="493">
          <cell r="C493" t="str">
            <v>灯具-1　L=1370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000000000014332</v>
          </cell>
        </row>
        <row r="494">
          <cell r="M494" t="str">
            <v>作業者</v>
          </cell>
          <cell r="U494" t="str">
            <v>000000000014332</v>
          </cell>
        </row>
        <row r="495">
          <cell r="C495">
            <v>0</v>
          </cell>
          <cell r="U495" t="str">
            <v>000000000014332</v>
          </cell>
        </row>
        <row r="496">
          <cell r="R496">
            <v>0</v>
          </cell>
          <cell r="U496" t="str">
            <v>000000000014332</v>
          </cell>
        </row>
        <row r="497">
          <cell r="D497" t="str">
            <v>不良補填</v>
          </cell>
          <cell r="F497" t="str">
            <v/>
          </cell>
          <cell r="U497" t="str">
            <v>000000000014332</v>
          </cell>
        </row>
        <row r="498">
          <cell r="C498" t="str">
            <v>灯具カバーPC IN 2080　L=1540</v>
          </cell>
          <cell r="P498">
            <v>0</v>
          </cell>
          <cell r="U498" t="str">
            <v>000000000014333</v>
          </cell>
        </row>
        <row r="499">
          <cell r="P499">
            <v>0</v>
          </cell>
          <cell r="U499" t="str">
            <v>000000000014333</v>
          </cell>
        </row>
        <row r="500">
          <cell r="P500">
            <v>0</v>
          </cell>
          <cell r="U500" t="str">
            <v>000000000014333</v>
          </cell>
        </row>
        <row r="501">
          <cell r="C501">
            <v>96</v>
          </cell>
          <cell r="P501">
            <v>0</v>
          </cell>
          <cell r="U501" t="str">
            <v>000000000014333</v>
          </cell>
        </row>
        <row r="502">
          <cell r="C502">
            <v>1</v>
          </cell>
          <cell r="P502">
            <v>0</v>
          </cell>
          <cell r="U502" t="str">
            <v>000000000014333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000000000014333</v>
          </cell>
        </row>
        <row r="504">
          <cell r="C504" t="str">
            <v>灯具-2　L＝1996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000000000014333</v>
          </cell>
        </row>
        <row r="505">
          <cell r="M505" t="str">
            <v>作業者</v>
          </cell>
          <cell r="U505" t="str">
            <v>000000000014333</v>
          </cell>
        </row>
        <row r="506">
          <cell r="C506">
            <v>0</v>
          </cell>
          <cell r="U506" t="str">
            <v>000000000014333</v>
          </cell>
        </row>
        <row r="507">
          <cell r="R507">
            <v>0</v>
          </cell>
          <cell r="U507" t="str">
            <v>000000000014333</v>
          </cell>
        </row>
        <row r="508">
          <cell r="D508" t="str">
            <v>不良補填</v>
          </cell>
          <cell r="F508" t="str">
            <v/>
          </cell>
          <cell r="U508" t="str">
            <v>000000000014333</v>
          </cell>
        </row>
        <row r="509">
          <cell r="C509" t="str">
            <v>灯具カバーPC IN 2100　L=1923</v>
          </cell>
          <cell r="P509">
            <v>0</v>
          </cell>
          <cell r="U509" t="str">
            <v>000000000014336</v>
          </cell>
        </row>
        <row r="510">
          <cell r="P510">
            <v>0</v>
          </cell>
          <cell r="U510" t="str">
            <v>000000000014336</v>
          </cell>
        </row>
        <row r="511">
          <cell r="P511">
            <v>0</v>
          </cell>
          <cell r="U511" t="str">
            <v>000000000014336</v>
          </cell>
        </row>
        <row r="512">
          <cell r="C512">
            <v>96</v>
          </cell>
          <cell r="P512">
            <v>0</v>
          </cell>
          <cell r="U512" t="str">
            <v>000000000014336</v>
          </cell>
        </row>
        <row r="513">
          <cell r="C513">
            <v>1</v>
          </cell>
          <cell r="P513">
            <v>0</v>
          </cell>
          <cell r="U513" t="str">
            <v>000000000014336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000000000014336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000000000014336</v>
          </cell>
        </row>
        <row r="516">
          <cell r="M516" t="str">
            <v>作業者</v>
          </cell>
          <cell r="U516" t="str">
            <v>000000000014336</v>
          </cell>
        </row>
        <row r="517">
          <cell r="C517">
            <v>0</v>
          </cell>
          <cell r="U517" t="str">
            <v>000000000014336</v>
          </cell>
        </row>
        <row r="518">
          <cell r="R518">
            <v>0</v>
          </cell>
          <cell r="U518" t="str">
            <v>000000000014336</v>
          </cell>
        </row>
        <row r="519">
          <cell r="D519" t="str">
            <v>不良補填</v>
          </cell>
          <cell r="F519" t="str">
            <v/>
          </cell>
          <cell r="U519" t="str">
            <v>000000000014336</v>
          </cell>
        </row>
        <row r="520">
          <cell r="C520" t="str">
            <v>灯具カバーPC IN 2070　L=1966</v>
          </cell>
          <cell r="P520">
            <v>0</v>
          </cell>
          <cell r="U520" t="str">
            <v>000000000014865</v>
          </cell>
        </row>
        <row r="521">
          <cell r="P521">
            <v>0</v>
          </cell>
          <cell r="U521" t="str">
            <v>000000000014865</v>
          </cell>
        </row>
        <row r="522">
          <cell r="P522">
            <v>0</v>
          </cell>
          <cell r="U522" t="str">
            <v>000000000014865</v>
          </cell>
        </row>
        <row r="523">
          <cell r="C523">
            <v>208</v>
          </cell>
          <cell r="P523">
            <v>0</v>
          </cell>
          <cell r="U523" t="str">
            <v>000000000014865</v>
          </cell>
        </row>
        <row r="524">
          <cell r="C524">
            <v>1</v>
          </cell>
          <cell r="P524">
            <v>0</v>
          </cell>
          <cell r="U524" t="str">
            <v>000000000014865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000000000014865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000000000014865</v>
          </cell>
        </row>
        <row r="527">
          <cell r="M527" t="str">
            <v>作業者</v>
          </cell>
          <cell r="U527" t="str">
            <v>000000000014865</v>
          </cell>
        </row>
        <row r="528">
          <cell r="C528">
            <v>0</v>
          </cell>
          <cell r="U528" t="str">
            <v>000000000014865</v>
          </cell>
        </row>
        <row r="529">
          <cell r="R529">
            <v>0</v>
          </cell>
          <cell r="U529" t="str">
            <v>000000000014865</v>
          </cell>
        </row>
        <row r="530">
          <cell r="D530" t="str">
            <v>不良補填</v>
          </cell>
          <cell r="F530" t="str">
            <v/>
          </cell>
          <cell r="U530" t="str">
            <v>000000000014865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2110　L=1815</v>
          </cell>
          <cell r="P663">
            <v>0</v>
          </cell>
          <cell r="U663" t="str">
            <v>000000000014335</v>
          </cell>
        </row>
        <row r="664">
          <cell r="P664">
            <v>0</v>
          </cell>
          <cell r="U664" t="str">
            <v>000000000014335</v>
          </cell>
        </row>
        <row r="665">
          <cell r="P665">
            <v>0</v>
          </cell>
          <cell r="U665" t="str">
            <v>000000000014335</v>
          </cell>
        </row>
        <row r="666">
          <cell r="C666">
            <v>208</v>
          </cell>
          <cell r="P666">
            <v>0</v>
          </cell>
          <cell r="U666" t="str">
            <v>000000000014335</v>
          </cell>
        </row>
        <row r="667">
          <cell r="C667">
            <v>1</v>
          </cell>
          <cell r="P667">
            <v>0</v>
          </cell>
          <cell r="U667" t="str">
            <v>000000000014335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000000000014335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000000000014335</v>
          </cell>
        </row>
        <row r="670">
          <cell r="M670" t="str">
            <v>作業者</v>
          </cell>
          <cell r="U670" t="str">
            <v>000000000014335</v>
          </cell>
        </row>
        <row r="671">
          <cell r="C671">
            <v>0</v>
          </cell>
          <cell r="U671" t="str">
            <v>000000000014335</v>
          </cell>
        </row>
        <row r="672">
          <cell r="R672">
            <v>0</v>
          </cell>
          <cell r="U672" t="str">
            <v>000000000014335</v>
          </cell>
        </row>
        <row r="673">
          <cell r="D673" t="str">
            <v>不良補填</v>
          </cell>
          <cell r="F673" t="str">
            <v/>
          </cell>
          <cell r="U673" t="str">
            <v>000000000014335</v>
          </cell>
        </row>
        <row r="674">
          <cell r="C674" t="str">
            <v>8FL281304 5010　L=888</v>
          </cell>
          <cell r="P674">
            <v>0</v>
          </cell>
          <cell r="U674" t="str">
            <v>000000000014598</v>
          </cell>
        </row>
        <row r="675">
          <cell r="P675">
            <v>0</v>
          </cell>
          <cell r="U675" t="str">
            <v>000000000014598</v>
          </cell>
        </row>
        <row r="676">
          <cell r="P676">
            <v>0</v>
          </cell>
          <cell r="U676" t="str">
            <v>000000000014598</v>
          </cell>
        </row>
        <row r="677">
          <cell r="C677">
            <v>2000</v>
          </cell>
          <cell r="P677">
            <v>0</v>
          </cell>
          <cell r="U677" t="str">
            <v>000000000014598</v>
          </cell>
        </row>
        <row r="678">
          <cell r="C678">
            <v>2</v>
          </cell>
          <cell r="P678">
            <v>0</v>
          </cell>
          <cell r="U678" t="str">
            <v>000000000014598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000000000014598</v>
          </cell>
        </row>
        <row r="680">
          <cell r="C680" t="str">
            <v>LED-A888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000000000014598</v>
          </cell>
        </row>
        <row r="681">
          <cell r="M681" t="str">
            <v>作業者</v>
          </cell>
          <cell r="U681" t="str">
            <v>000000000014598</v>
          </cell>
        </row>
        <row r="682">
          <cell r="C682">
            <v>0</v>
          </cell>
          <cell r="U682" t="str">
            <v>000000000014598</v>
          </cell>
        </row>
        <row r="683">
          <cell r="R683">
            <v>0</v>
          </cell>
          <cell r="U683" t="str">
            <v>000000000014598</v>
          </cell>
        </row>
        <row r="684">
          <cell r="D684" t="str">
            <v>不良補填</v>
          </cell>
          <cell r="F684">
            <v>0</v>
          </cell>
          <cell r="U684" t="str">
            <v>000000000014598</v>
          </cell>
        </row>
        <row r="685">
          <cell r="C685" t="str">
            <v>8FL281304 4810　L=297</v>
          </cell>
          <cell r="P685">
            <v>0</v>
          </cell>
          <cell r="U685" t="str">
            <v>000000000014576</v>
          </cell>
        </row>
        <row r="686">
          <cell r="P686">
            <v>0</v>
          </cell>
          <cell r="U686" t="str">
            <v>000000000014576</v>
          </cell>
        </row>
        <row r="687">
          <cell r="P687">
            <v>0</v>
          </cell>
          <cell r="U687" t="str">
            <v>000000000014576</v>
          </cell>
        </row>
        <row r="688">
          <cell r="C688">
            <v>300</v>
          </cell>
          <cell r="P688">
            <v>0</v>
          </cell>
          <cell r="U688" t="str">
            <v>000000000014576</v>
          </cell>
        </row>
        <row r="689">
          <cell r="C689">
            <v>6</v>
          </cell>
          <cell r="P689">
            <v>0</v>
          </cell>
          <cell r="U689" t="str">
            <v>000000000014576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000000000014576</v>
          </cell>
        </row>
        <row r="691">
          <cell r="C691" t="str">
            <v>LED-A300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000000000014576</v>
          </cell>
        </row>
        <row r="692">
          <cell r="M692" t="str">
            <v>作業者</v>
          </cell>
          <cell r="U692" t="str">
            <v>000000000014576</v>
          </cell>
        </row>
        <row r="693">
          <cell r="C693">
            <v>0</v>
          </cell>
          <cell r="U693" t="str">
            <v>000000000014576</v>
          </cell>
        </row>
        <row r="694">
          <cell r="R694">
            <v>0</v>
          </cell>
          <cell r="U694" t="str">
            <v>000000000014576</v>
          </cell>
        </row>
        <row r="695">
          <cell r="D695" t="str">
            <v>不良補填</v>
          </cell>
          <cell r="F695">
            <v>0</v>
          </cell>
          <cell r="U695" t="str">
            <v>000000000014576</v>
          </cell>
        </row>
        <row r="696">
          <cell r="C696" t="str">
            <v>8FL281304 6110　L=1478</v>
          </cell>
          <cell r="P696">
            <v>0</v>
          </cell>
          <cell r="U696" t="str">
            <v>000000000014607</v>
          </cell>
        </row>
        <row r="697">
          <cell r="P697">
            <v>0</v>
          </cell>
          <cell r="U697" t="str">
            <v>000000000014607</v>
          </cell>
        </row>
        <row r="698">
          <cell r="P698">
            <v>0</v>
          </cell>
          <cell r="U698" t="str">
            <v>000000000014607</v>
          </cell>
        </row>
        <row r="699">
          <cell r="C699">
            <v>400</v>
          </cell>
          <cell r="P699">
            <v>0</v>
          </cell>
          <cell r="U699" t="str">
            <v>000000000014607</v>
          </cell>
        </row>
        <row r="700">
          <cell r="C700">
            <v>1</v>
          </cell>
          <cell r="P700">
            <v>0</v>
          </cell>
          <cell r="U700" t="str">
            <v>000000000014607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000000000014607</v>
          </cell>
        </row>
        <row r="702">
          <cell r="C702" t="str">
            <v>LED-A1478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000000000014607</v>
          </cell>
        </row>
        <row r="703">
          <cell r="M703" t="str">
            <v>作業者</v>
          </cell>
          <cell r="U703" t="str">
            <v>000000000014607</v>
          </cell>
        </row>
        <row r="704">
          <cell r="C704">
            <v>0</v>
          </cell>
          <cell r="U704" t="str">
            <v>000000000014607</v>
          </cell>
        </row>
        <row r="705">
          <cell r="R705">
            <v>0</v>
          </cell>
          <cell r="U705" t="str">
            <v>000000000014607</v>
          </cell>
        </row>
        <row r="706">
          <cell r="D706" t="str">
            <v>不良補填</v>
          </cell>
          <cell r="F706">
            <v>0</v>
          </cell>
          <cell r="U706" t="str">
            <v>000000000014607</v>
          </cell>
        </row>
        <row r="707">
          <cell r="C707" t="str">
            <v>8FL281304 5010　L=888</v>
          </cell>
          <cell r="U707" t="str">
            <v>000000000014600</v>
          </cell>
        </row>
        <row r="708">
          <cell r="U708" t="str">
            <v>000000000014600</v>
          </cell>
        </row>
        <row r="709">
          <cell r="U709" t="str">
            <v>000000000014600</v>
          </cell>
        </row>
        <row r="710">
          <cell r="C710">
            <v>900</v>
          </cell>
          <cell r="U710" t="str">
            <v>000000000014600</v>
          </cell>
        </row>
        <row r="711">
          <cell r="C711">
            <v>2</v>
          </cell>
          <cell r="U711" t="str">
            <v>000000000014600</v>
          </cell>
        </row>
        <row r="712">
          <cell r="C712">
            <v>100</v>
          </cell>
          <cell r="N712">
            <v>0</v>
          </cell>
          <cell r="U712" t="str">
            <v>000000000014600</v>
          </cell>
        </row>
        <row r="713">
          <cell r="C713" t="str">
            <v>LED-A888</v>
          </cell>
          <cell r="N713">
            <v>0</v>
          </cell>
          <cell r="U713" t="str">
            <v>000000000014600</v>
          </cell>
        </row>
        <row r="714">
          <cell r="U714" t="str">
            <v>000000000014600</v>
          </cell>
        </row>
        <row r="715">
          <cell r="U715" t="str">
            <v>000000000014600</v>
          </cell>
        </row>
        <row r="716">
          <cell r="U716" t="str">
            <v>000000000014600</v>
          </cell>
        </row>
        <row r="717">
          <cell r="U717" t="str">
            <v>000000000014600</v>
          </cell>
        </row>
        <row r="718">
          <cell r="C718" t="str">
            <v>8FL281304 5010　L=888</v>
          </cell>
          <cell r="U718" t="str">
            <v>000000000014601</v>
          </cell>
        </row>
        <row r="719">
          <cell r="U719" t="str">
            <v>000000000014601</v>
          </cell>
        </row>
        <row r="720">
          <cell r="U720" t="str">
            <v>000000000014601</v>
          </cell>
        </row>
        <row r="721">
          <cell r="C721">
            <v>2000</v>
          </cell>
          <cell r="U721" t="str">
            <v>000000000014601</v>
          </cell>
        </row>
        <row r="722">
          <cell r="C722">
            <v>2</v>
          </cell>
          <cell r="U722" t="str">
            <v>000000000014601</v>
          </cell>
        </row>
        <row r="723">
          <cell r="C723">
            <v>100</v>
          </cell>
          <cell r="N723">
            <v>0</v>
          </cell>
          <cell r="U723" t="str">
            <v>000000000014601</v>
          </cell>
        </row>
        <row r="724">
          <cell r="C724" t="str">
            <v>LED-A888</v>
          </cell>
          <cell r="N724">
            <v>0</v>
          </cell>
          <cell r="U724" t="str">
            <v>000000000014601</v>
          </cell>
        </row>
        <row r="725">
          <cell r="U725" t="str">
            <v>000000000014601</v>
          </cell>
        </row>
        <row r="726">
          <cell r="U726" t="str">
            <v>000000000014601</v>
          </cell>
        </row>
        <row r="727">
          <cell r="U727" t="str">
            <v>000000000014601</v>
          </cell>
        </row>
        <row r="728">
          <cell r="U728" t="str">
            <v>000000000014601</v>
          </cell>
        </row>
        <row r="729">
          <cell r="C729" t="str">
            <v>8FL281304 8310　L=748</v>
          </cell>
          <cell r="U729" t="str">
            <v>000000000014581</v>
          </cell>
        </row>
        <row r="730">
          <cell r="U730" t="str">
            <v>000000000014581</v>
          </cell>
        </row>
        <row r="731">
          <cell r="U731" t="str">
            <v>000000000014581</v>
          </cell>
        </row>
        <row r="732">
          <cell r="C732">
            <v>400</v>
          </cell>
          <cell r="U732" t="str">
            <v>000000000014581</v>
          </cell>
        </row>
        <row r="733">
          <cell r="C733">
            <v>2</v>
          </cell>
          <cell r="U733" t="str">
            <v>000000000014581</v>
          </cell>
        </row>
        <row r="734">
          <cell r="C734">
            <v>100</v>
          </cell>
          <cell r="N734">
            <v>0</v>
          </cell>
          <cell r="U734" t="str">
            <v>000000000014581</v>
          </cell>
        </row>
        <row r="735">
          <cell r="C735" t="str">
            <v>LED-A888</v>
          </cell>
          <cell r="N735">
            <v>0</v>
          </cell>
          <cell r="U735" t="str">
            <v>000000000014581</v>
          </cell>
        </row>
        <row r="736">
          <cell r="U736" t="str">
            <v>000000000014581</v>
          </cell>
        </row>
        <row r="737">
          <cell r="U737" t="str">
            <v>000000000014581</v>
          </cell>
        </row>
        <row r="738">
          <cell r="U738" t="str">
            <v>000000000014581</v>
          </cell>
        </row>
        <row r="739">
          <cell r="U739" t="str">
            <v>000000000014581</v>
          </cell>
        </row>
        <row r="740">
          <cell r="C740" t="str">
            <v>752GPSB　865</v>
          </cell>
          <cell r="U740" t="str">
            <v>000000000014671</v>
          </cell>
        </row>
        <row r="741">
          <cell r="U741" t="str">
            <v>000000000014671</v>
          </cell>
        </row>
        <row r="742">
          <cell r="U742" t="str">
            <v>000000000014671</v>
          </cell>
        </row>
        <row r="743">
          <cell r="C743">
            <v>200</v>
          </cell>
          <cell r="U743" t="str">
            <v>000000000014671</v>
          </cell>
        </row>
        <row r="744">
          <cell r="C744">
            <v>1</v>
          </cell>
          <cell r="U744" t="str">
            <v>000000000014671</v>
          </cell>
        </row>
        <row r="745">
          <cell r="C745">
            <v>100</v>
          </cell>
          <cell r="N745">
            <v>0</v>
          </cell>
          <cell r="U745" t="str">
            <v>000000000014671</v>
          </cell>
        </row>
        <row r="746">
          <cell r="C746" t="str">
            <v>S-40</v>
          </cell>
          <cell r="N746">
            <v>0</v>
          </cell>
          <cell r="U746" t="str">
            <v>000000000014671</v>
          </cell>
        </row>
        <row r="747">
          <cell r="U747" t="str">
            <v>000000000014671</v>
          </cell>
        </row>
        <row r="748">
          <cell r="U748" t="str">
            <v>000000000014671</v>
          </cell>
        </row>
        <row r="749">
          <cell r="U749" t="str">
            <v>000000000014671</v>
          </cell>
        </row>
        <row r="750">
          <cell r="U750" t="str">
            <v>000000000014671</v>
          </cell>
        </row>
        <row r="751">
          <cell r="C751" t="str">
            <v>752GPSB　715</v>
          </cell>
          <cell r="U751" t="str">
            <v>000000000014670</v>
          </cell>
        </row>
        <row r="752">
          <cell r="U752" t="str">
            <v>000000000014670</v>
          </cell>
        </row>
        <row r="753">
          <cell r="U753" t="str">
            <v>000000000014670</v>
          </cell>
        </row>
        <row r="754">
          <cell r="C754">
            <v>800</v>
          </cell>
          <cell r="U754" t="str">
            <v>000000000014670</v>
          </cell>
        </row>
        <row r="755">
          <cell r="C755">
            <v>2</v>
          </cell>
          <cell r="U755" t="str">
            <v>000000000014670</v>
          </cell>
        </row>
        <row r="756">
          <cell r="C756">
            <v>100</v>
          </cell>
          <cell r="N756">
            <v>0</v>
          </cell>
          <cell r="U756" t="str">
            <v>000000000014670</v>
          </cell>
        </row>
        <row r="757">
          <cell r="C757" t="str">
            <v>S-40</v>
          </cell>
          <cell r="N757">
            <v>0</v>
          </cell>
          <cell r="U757" t="str">
            <v>000000000014670</v>
          </cell>
        </row>
        <row r="758">
          <cell r="U758" t="str">
            <v>000000000014670</v>
          </cell>
        </row>
        <row r="759">
          <cell r="U759" t="str">
            <v>000000000014670</v>
          </cell>
        </row>
        <row r="760">
          <cell r="U760" t="str">
            <v>000000000014670</v>
          </cell>
        </row>
        <row r="761">
          <cell r="U761" t="str">
            <v>000000000014670</v>
          </cell>
        </row>
        <row r="762">
          <cell r="C762" t="str">
            <v>752GPSB　665</v>
          </cell>
          <cell r="U762" t="str">
            <v>000000000014669</v>
          </cell>
        </row>
        <row r="763">
          <cell r="U763" t="str">
            <v>000000000014669</v>
          </cell>
        </row>
        <row r="764">
          <cell r="U764" t="str">
            <v>000000000014669</v>
          </cell>
        </row>
        <row r="765">
          <cell r="C765">
            <v>100</v>
          </cell>
          <cell r="U765" t="str">
            <v>000000000014669</v>
          </cell>
        </row>
        <row r="766">
          <cell r="C766">
            <v>2</v>
          </cell>
          <cell r="U766" t="str">
            <v>000000000014669</v>
          </cell>
        </row>
        <row r="767">
          <cell r="C767">
            <v>100</v>
          </cell>
          <cell r="U767" t="str">
            <v>000000000014669</v>
          </cell>
        </row>
        <row r="768">
          <cell r="C768" t="str">
            <v>S-40</v>
          </cell>
          <cell r="U768" t="str">
            <v>000000000014669</v>
          </cell>
        </row>
        <row r="769">
          <cell r="U769" t="str">
            <v>000000000014669</v>
          </cell>
        </row>
        <row r="770">
          <cell r="U770" t="str">
            <v>000000000014669</v>
          </cell>
        </row>
        <row r="771">
          <cell r="U771" t="str">
            <v>000000000014669</v>
          </cell>
        </row>
        <row r="772">
          <cell r="U772" t="str">
            <v>000000000014669</v>
          </cell>
        </row>
        <row r="773">
          <cell r="C773" t="str">
            <v>752GPSB　565</v>
          </cell>
          <cell r="U773" t="str">
            <v>000000000014668</v>
          </cell>
        </row>
        <row r="774">
          <cell r="U774" t="str">
            <v>000000000014668</v>
          </cell>
        </row>
        <row r="775">
          <cell r="U775" t="str">
            <v>000000000014668</v>
          </cell>
        </row>
        <row r="776">
          <cell r="C776">
            <v>1200</v>
          </cell>
          <cell r="U776" t="str">
            <v>000000000014668</v>
          </cell>
        </row>
        <row r="777">
          <cell r="C777">
            <v>2</v>
          </cell>
          <cell r="U777" t="str">
            <v>000000000014668</v>
          </cell>
        </row>
        <row r="778">
          <cell r="C778">
            <v>100</v>
          </cell>
          <cell r="U778" t="str">
            <v>000000000014668</v>
          </cell>
        </row>
        <row r="779">
          <cell r="C779" t="str">
            <v>S-30</v>
          </cell>
          <cell r="U779" t="str">
            <v>000000000014668</v>
          </cell>
        </row>
        <row r="780">
          <cell r="U780" t="str">
            <v>000000000014668</v>
          </cell>
        </row>
        <row r="781">
          <cell r="U781" t="str">
            <v>000000000014668</v>
          </cell>
        </row>
        <row r="782">
          <cell r="U782" t="str">
            <v>000000000014668</v>
          </cell>
        </row>
        <row r="783">
          <cell r="U783" t="str">
            <v>000000000014668</v>
          </cell>
        </row>
        <row r="784">
          <cell r="C784" t="str">
            <v>752GPSB　415</v>
          </cell>
          <cell r="U784" t="str">
            <v>000000000014667</v>
          </cell>
        </row>
        <row r="785">
          <cell r="U785" t="str">
            <v>000000000014667</v>
          </cell>
        </row>
        <row r="786">
          <cell r="U786" t="str">
            <v>000000000014667</v>
          </cell>
        </row>
        <row r="787">
          <cell r="C787">
            <v>2100</v>
          </cell>
          <cell r="U787" t="str">
            <v>000000000014667</v>
          </cell>
        </row>
        <row r="788">
          <cell r="C788">
            <v>3</v>
          </cell>
          <cell r="U788" t="str">
            <v>000000000014667</v>
          </cell>
        </row>
        <row r="789">
          <cell r="C789">
            <v>100</v>
          </cell>
          <cell r="U789" t="str">
            <v>000000000014667</v>
          </cell>
        </row>
        <row r="790">
          <cell r="C790" t="str">
            <v>S-20</v>
          </cell>
          <cell r="U790" t="str">
            <v>000000000014667</v>
          </cell>
        </row>
        <row r="791">
          <cell r="U791" t="str">
            <v>000000000014667</v>
          </cell>
        </row>
        <row r="792">
          <cell r="U792" t="str">
            <v>000000000014667</v>
          </cell>
        </row>
        <row r="793">
          <cell r="U793" t="str">
            <v>000000000014667</v>
          </cell>
        </row>
        <row r="794">
          <cell r="U794" t="str">
            <v>000000000014667</v>
          </cell>
        </row>
        <row r="795">
          <cell r="C795" t="str">
            <v>752GPSB　265</v>
          </cell>
          <cell r="U795" t="str">
            <v>000000000014666</v>
          </cell>
        </row>
        <row r="796">
          <cell r="U796" t="str">
            <v>000000000014666</v>
          </cell>
        </row>
        <row r="797">
          <cell r="U797" t="str">
            <v>000000000014666</v>
          </cell>
        </row>
        <row r="798">
          <cell r="C798">
            <v>600</v>
          </cell>
          <cell r="U798" t="str">
            <v>000000000014666</v>
          </cell>
        </row>
        <row r="799">
          <cell r="C799">
            <v>5</v>
          </cell>
          <cell r="U799" t="str">
            <v>000000000014666</v>
          </cell>
        </row>
        <row r="800">
          <cell r="C800">
            <v>100</v>
          </cell>
          <cell r="U800" t="str">
            <v>000000000014666</v>
          </cell>
        </row>
        <row r="801">
          <cell r="C801" t="str">
            <v>S-10</v>
          </cell>
          <cell r="U801" t="str">
            <v>000000000014666</v>
          </cell>
        </row>
        <row r="802">
          <cell r="U802" t="str">
            <v>000000000014666</v>
          </cell>
        </row>
        <row r="803">
          <cell r="U803" t="str">
            <v>000000000014666</v>
          </cell>
        </row>
        <row r="804">
          <cell r="U804" t="str">
            <v>000000000014666</v>
          </cell>
        </row>
        <row r="805">
          <cell r="U805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0" t="s">
        <v>0</v>
      </c>
      <c r="C1" s="111"/>
      <c r="D1" s="11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1"/>
      <c r="C2" s="111"/>
      <c r="D2" s="111"/>
      <c r="E2" s="12"/>
      <c r="F2" s="12"/>
      <c r="G2" s="12"/>
      <c r="H2" s="12"/>
      <c r="I2" s="12"/>
      <c r="J2" s="12"/>
    </row>
    <row r="3" spans="1:10" ht="14.25" customHeight="1">
      <c r="A3" s="143" t="s">
        <v>1</v>
      </c>
      <c r="B3" s="143" t="s">
        <v>2</v>
      </c>
      <c r="C3" s="143" t="s">
        <v>3</v>
      </c>
      <c r="D3" s="150">
        <v>1996</v>
      </c>
      <c r="E3" s="143" t="s">
        <v>4</v>
      </c>
      <c r="F3" s="126" t="s">
        <v>5</v>
      </c>
      <c r="G3" s="111"/>
      <c r="H3" s="111"/>
      <c r="I3" s="24" t="s">
        <v>6</v>
      </c>
      <c r="J3" s="24" t="s">
        <v>7</v>
      </c>
    </row>
    <row r="4" spans="1:10" ht="14.25" customHeight="1">
      <c r="A4" s="111"/>
      <c r="B4" s="111"/>
      <c r="C4" s="111"/>
      <c r="D4" s="111"/>
      <c r="E4" s="111"/>
      <c r="F4" s="111"/>
      <c r="G4" s="111"/>
      <c r="H4" s="111"/>
      <c r="I4" s="136"/>
      <c r="J4" s="136"/>
    </row>
    <row r="5" spans="1:10" ht="17.45" customHeight="1">
      <c r="A5" s="138" t="s">
        <v>8</v>
      </c>
      <c r="B5" s="138" t="s">
        <v>9</v>
      </c>
      <c r="E5" s="138" t="s">
        <v>10</v>
      </c>
      <c r="F5" s="139" t="s">
        <v>11</v>
      </c>
      <c r="G5" s="111"/>
      <c r="H5" s="111"/>
      <c r="I5" s="137"/>
      <c r="J5" s="137"/>
    </row>
    <row r="6" spans="1:10" ht="17.45" customHeight="1">
      <c r="A6" s="111"/>
      <c r="B6" s="111"/>
      <c r="E6" s="111"/>
      <c r="F6" s="111"/>
      <c r="G6" s="111"/>
      <c r="H6" s="111"/>
      <c r="I6" s="13"/>
      <c r="J6" s="13"/>
    </row>
    <row r="7" spans="1:10" ht="17.45" customHeight="1">
      <c r="A7" s="138" t="s">
        <v>12</v>
      </c>
      <c r="B7" s="138" t="s">
        <v>13</v>
      </c>
      <c r="E7" s="2" t="s">
        <v>14</v>
      </c>
      <c r="F7" s="139" t="s">
        <v>15</v>
      </c>
      <c r="G7" s="111"/>
      <c r="H7" s="21"/>
      <c r="I7" s="13"/>
      <c r="J7" s="13"/>
    </row>
    <row r="8" spans="1:10" ht="17.45" customHeight="1">
      <c r="A8" s="111"/>
      <c r="B8" s="111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46181</v>
      </c>
      <c r="E9" s="2" t="s">
        <v>19</v>
      </c>
      <c r="F9" s="154">
        <v>42</v>
      </c>
      <c r="G9" s="111"/>
      <c r="H9" s="21"/>
    </row>
    <row r="10" spans="1:10" ht="17.45" customHeight="1">
      <c r="A10" s="2" t="s">
        <v>20</v>
      </c>
      <c r="B10" s="4">
        <v>46181</v>
      </c>
      <c r="E10" s="2" t="s">
        <v>21</v>
      </c>
      <c r="F10" s="21">
        <v>1</v>
      </c>
      <c r="G10" s="127" t="s">
        <v>22</v>
      </c>
      <c r="H10" s="147">
        <v>42</v>
      </c>
      <c r="I10" s="148"/>
      <c r="J10" s="14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8"/>
      <c r="H11" s="128"/>
      <c r="I11" s="132"/>
      <c r="J11" s="146"/>
    </row>
    <row r="12" spans="1:10" ht="13.5" customHeight="1">
      <c r="A12" s="155" t="s">
        <v>25</v>
      </c>
      <c r="B12" s="111"/>
      <c r="C12" s="111"/>
      <c r="D12" s="20"/>
      <c r="F12" s="3"/>
      <c r="G12" s="141" t="s">
        <v>26</v>
      </c>
      <c r="H12" s="153" t="s">
        <v>27</v>
      </c>
      <c r="I12" s="144" t="s">
        <v>28</v>
      </c>
      <c r="J12" s="145"/>
    </row>
    <row r="13" spans="1:10" ht="13.5" customHeight="1">
      <c r="A13" s="111"/>
      <c r="B13" s="111"/>
      <c r="C13" s="111"/>
      <c r="D13" s="20"/>
      <c r="F13" s="3"/>
      <c r="G13" s="142"/>
      <c r="H13" s="142"/>
      <c r="I13" s="132"/>
      <c r="J13" s="146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29" t="s">
        <v>32</v>
      </c>
      <c r="D16" s="130"/>
      <c r="E16" s="16" t="s">
        <v>33</v>
      </c>
      <c r="F16" s="129" t="s">
        <v>34</v>
      </c>
      <c r="G16" s="130"/>
      <c r="H16" s="130"/>
      <c r="I16" s="133" t="s">
        <v>35</v>
      </c>
      <c r="J16" s="13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9" t="s">
        <v>37</v>
      </c>
      <c r="D18" s="110"/>
      <c r="E18" s="25" t="s">
        <v>38</v>
      </c>
      <c r="F18" s="109" t="s">
        <v>39</v>
      </c>
      <c r="G18" s="110"/>
      <c r="H18" s="110"/>
      <c r="I18" s="115"/>
      <c r="J18" s="110"/>
    </row>
    <row r="19" spans="1:10" s="7" customFormat="1" ht="16.5" customHeight="1">
      <c r="A19" s="22">
        <v>1</v>
      </c>
      <c r="B19" s="26" t="s">
        <v>36</v>
      </c>
      <c r="C19" s="109" t="s">
        <v>37</v>
      </c>
      <c r="D19" s="110"/>
      <c r="E19" s="25" t="s">
        <v>40</v>
      </c>
      <c r="F19" s="109" t="s">
        <v>41</v>
      </c>
      <c r="G19" s="110"/>
      <c r="H19" s="110"/>
      <c r="I19" s="115"/>
      <c r="J19" s="110"/>
    </row>
    <row r="20" spans="1:10" s="7" customFormat="1" ht="16.5" customHeight="1">
      <c r="A20" s="22"/>
      <c r="B20" s="26"/>
      <c r="C20" s="109"/>
      <c r="D20" s="110"/>
      <c r="E20" s="25"/>
      <c r="F20" s="109"/>
      <c r="G20" s="110"/>
      <c r="H20" s="110"/>
      <c r="I20" s="115"/>
      <c r="J20" s="110"/>
    </row>
    <row r="21" spans="1:10" s="7" customFormat="1" ht="16.5" customHeight="1">
      <c r="A21" s="22"/>
      <c r="B21" s="26"/>
      <c r="C21" s="109"/>
      <c r="D21" s="110"/>
      <c r="E21" s="25"/>
      <c r="F21" s="109"/>
      <c r="G21" s="110"/>
      <c r="H21" s="110"/>
      <c r="I21" s="115"/>
      <c r="J21" s="110"/>
    </row>
    <row r="22" spans="1:10" s="7" customFormat="1" ht="16.5" customHeight="1">
      <c r="A22" s="22"/>
      <c r="B22" s="26"/>
      <c r="C22" s="109"/>
      <c r="D22" s="110"/>
      <c r="E22" s="25"/>
      <c r="F22" s="109"/>
      <c r="G22" s="110"/>
      <c r="H22" s="110"/>
      <c r="I22" s="115"/>
      <c r="J22" s="110"/>
    </row>
    <row r="23" spans="1:10" s="7" customFormat="1" ht="16.5" customHeight="1">
      <c r="A23" s="22"/>
      <c r="B23" s="26"/>
      <c r="C23" s="109"/>
      <c r="D23" s="110"/>
      <c r="E23" s="25"/>
      <c r="F23" s="109"/>
      <c r="G23" s="110"/>
      <c r="H23" s="110"/>
      <c r="I23" s="115"/>
      <c r="J23" s="11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4" t="s">
        <v>42</v>
      </c>
      <c r="B25" s="135"/>
      <c r="C25" s="134" t="s">
        <v>43</v>
      </c>
      <c r="D25" s="135"/>
      <c r="E25" s="135"/>
      <c r="F25" s="17" t="s">
        <v>44</v>
      </c>
      <c r="G25" s="134" t="s">
        <v>45</v>
      </c>
      <c r="H25" s="135"/>
      <c r="I25" s="134" t="s">
        <v>46</v>
      </c>
      <c r="J25" s="135"/>
    </row>
    <row r="26" spans="1:10" ht="14.25" customHeight="1">
      <c r="A26" s="8"/>
      <c r="B26" s="18"/>
      <c r="C26" s="131" t="s">
        <v>47</v>
      </c>
      <c r="D26" s="132"/>
      <c r="E26" s="18"/>
      <c r="F26" s="131" t="s">
        <v>29</v>
      </c>
      <c r="G26" s="132"/>
      <c r="H26" s="132"/>
      <c r="I26" s="132"/>
      <c r="J26" s="132"/>
    </row>
    <row r="27" spans="1:10">
      <c r="A27" s="9"/>
      <c r="C27" s="7"/>
      <c r="D27" s="7"/>
      <c r="E27" s="7"/>
    </row>
    <row r="28" spans="1:10" s="5" customFormat="1" ht="14.25" customHeight="1">
      <c r="A28" s="109" t="s">
        <v>48</v>
      </c>
      <c r="B28" s="116"/>
      <c r="C28" s="109" t="s">
        <v>49</v>
      </c>
      <c r="D28" s="116"/>
      <c r="E28" s="116"/>
      <c r="F28" s="27" t="s">
        <v>50</v>
      </c>
      <c r="G28" s="114">
        <v>42</v>
      </c>
      <c r="H28" s="116"/>
      <c r="I28" s="114">
        <v>1</v>
      </c>
      <c r="J28" s="116"/>
    </row>
    <row r="29" spans="1:10" s="7" customFormat="1" ht="24.95" customHeight="1">
      <c r="A29" s="125" t="s">
        <v>51</v>
      </c>
      <c r="B29" s="110"/>
      <c r="C29" s="109" t="s">
        <v>11</v>
      </c>
      <c r="D29" s="110"/>
      <c r="E29" s="110"/>
      <c r="F29" s="109"/>
      <c r="G29" s="110"/>
      <c r="H29" s="110"/>
      <c r="I29" s="110"/>
      <c r="J29" s="110"/>
    </row>
    <row r="30" spans="1:10" s="5" customFormat="1" ht="14.25" customHeight="1">
      <c r="A30" s="109" t="s">
        <v>52</v>
      </c>
      <c r="B30" s="116"/>
      <c r="C30" s="109" t="s">
        <v>53</v>
      </c>
      <c r="D30" s="116"/>
      <c r="E30" s="116"/>
      <c r="F30" s="27" t="s">
        <v>54</v>
      </c>
      <c r="G30" s="114">
        <v>1.008</v>
      </c>
      <c r="H30" s="116"/>
      <c r="I30" s="114">
        <v>2.4E-2</v>
      </c>
      <c r="J30" s="116"/>
    </row>
    <row r="31" spans="1:10" s="7" customFormat="1" ht="24.95" customHeight="1">
      <c r="A31" s="125" t="s">
        <v>55</v>
      </c>
      <c r="B31" s="110"/>
      <c r="C31" s="109"/>
      <c r="D31" s="110"/>
      <c r="E31" s="110"/>
      <c r="F31" s="109"/>
      <c r="G31" s="110"/>
      <c r="H31" s="110"/>
      <c r="I31" s="110"/>
      <c r="J31" s="110"/>
    </row>
    <row r="32" spans="1:10" s="5" customFormat="1" ht="14.25" customHeight="1">
      <c r="A32" s="109" t="s">
        <v>56</v>
      </c>
      <c r="B32" s="116"/>
      <c r="C32" s="109" t="s">
        <v>57</v>
      </c>
      <c r="D32" s="116"/>
      <c r="E32" s="116"/>
      <c r="F32" s="27"/>
      <c r="G32" s="114">
        <v>4.2000000000000003E-2</v>
      </c>
      <c r="H32" s="116"/>
      <c r="I32" s="114">
        <v>1E-3</v>
      </c>
      <c r="J32" s="116"/>
    </row>
    <row r="33" spans="1:14" s="7" customFormat="1" ht="24.95" customHeight="1">
      <c r="A33" s="125" t="s">
        <v>58</v>
      </c>
      <c r="B33" s="110"/>
      <c r="C33" s="109" t="s">
        <v>59</v>
      </c>
      <c r="D33" s="110"/>
      <c r="E33" s="110"/>
      <c r="F33" s="109"/>
      <c r="G33" s="110"/>
      <c r="H33" s="110"/>
      <c r="I33" s="110"/>
      <c r="J33" s="110"/>
    </row>
    <row r="34" spans="1:14" s="5" customFormat="1" ht="14.25" customHeight="1">
      <c r="A34" s="109"/>
      <c r="B34" s="116"/>
      <c r="C34" s="109"/>
      <c r="D34" s="116"/>
      <c r="E34" s="116"/>
      <c r="F34" s="27"/>
      <c r="G34" s="114"/>
      <c r="H34" s="116"/>
      <c r="I34" s="114"/>
      <c r="J34" s="116"/>
    </row>
    <row r="35" spans="1:14" s="7" customFormat="1" ht="24.95" customHeight="1">
      <c r="A35" s="125"/>
      <c r="B35" s="110"/>
      <c r="C35" s="109"/>
      <c r="D35" s="110"/>
      <c r="E35" s="110"/>
      <c r="F35" s="109"/>
      <c r="G35" s="110"/>
      <c r="H35" s="110"/>
      <c r="I35" s="110"/>
      <c r="J35" s="110"/>
    </row>
    <row r="36" spans="1:14" s="5" customFormat="1" ht="14.25" customHeight="1">
      <c r="A36" s="109"/>
      <c r="B36" s="116"/>
      <c r="C36" s="109"/>
      <c r="D36" s="116"/>
      <c r="E36" s="116"/>
      <c r="F36" s="27"/>
      <c r="G36" s="114"/>
      <c r="H36" s="116"/>
      <c r="I36" s="114"/>
      <c r="J36" s="116"/>
    </row>
    <row r="37" spans="1:14" s="7" customFormat="1" ht="24.95" customHeight="1" thickBot="1">
      <c r="A37" s="125"/>
      <c r="B37" s="110"/>
      <c r="C37" s="109"/>
      <c r="D37" s="110"/>
      <c r="E37" s="110"/>
      <c r="F37" s="109"/>
      <c r="G37" s="110"/>
      <c r="H37" s="110"/>
      <c r="I37" s="110"/>
      <c r="J37" s="110"/>
    </row>
    <row r="38" spans="1:14" s="5" customFormat="1" ht="18" customHeight="1">
      <c r="A38" s="28" t="s">
        <v>62</v>
      </c>
      <c r="B38" s="29" t="s">
        <v>63</v>
      </c>
      <c r="C38" s="117" t="s">
        <v>64</v>
      </c>
      <c r="D38" s="118"/>
      <c r="E38" s="30" t="s">
        <v>65</v>
      </c>
      <c r="F38" s="31" t="s">
        <v>66</v>
      </c>
      <c r="G38" s="32" t="s">
        <v>67</v>
      </c>
      <c r="H38" s="33" t="s">
        <v>68</v>
      </c>
      <c r="I38" s="112" t="s">
        <v>69</v>
      </c>
      <c r="J38" s="113"/>
    </row>
    <row r="39" spans="1:14" s="7" customFormat="1" ht="18" customHeight="1">
      <c r="A39" s="34" t="str">
        <f>_xlfn.XLOOKUP(B3,[1]VFDB2!$A:$A,[1]VFDB2!$J:$J)</f>
        <v>〇</v>
      </c>
      <c r="B39" s="35">
        <f>D3</f>
        <v>1996</v>
      </c>
      <c r="C39" s="119" t="str">
        <f>_xlfn.XLOOKUP(B3,[1]VFDB2!$A:$A,[1]VFDB2!$Z:$Z)</f>
        <v>上-1</v>
      </c>
      <c r="D39" s="120"/>
      <c r="E39" s="121" cm="1">
        <f t="array" ref="E39">IFERROR(INDEX(_xlfn._xlws.FILTER([2]加工記録２!C:C,[2]加工記録２!U:U=B5),9),"")</f>
        <v>1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切断加工：I</v>
      </c>
      <c r="G39" s="37" cm="1">
        <f t="array" ref="G39:H43">IFERROR(IF(_xlfn.TAKE(_xlfn._xlws.FILTER([2]加工記録２!$M:$N,[2]加工記録２!$U:$U=B5),5)=0,"",_xlfn.TAKE(_xlfn._xlws.FILTER([2]加工記録２!$M:$N,[2]加工記録２!$U:$U=B5),5)),"")</f>
        <v>46175</v>
      </c>
      <c r="H39" s="38">
        <v>1</v>
      </c>
      <c r="I39" s="39" t="s">
        <v>70</v>
      </c>
      <c r="J39" s="40" cm="1">
        <f t="array" ref="J39:J44">IFERROR(INDEX(_xlfn._xlws.FILTER([2]加工記録２!P:P, [2]加工記録２!U:U=B5),_xlfn.SEQUENCE(6)),"")</f>
        <v>46175</v>
      </c>
    </row>
    <row r="40" spans="1:14" s="5" customFormat="1" ht="18" customHeight="1">
      <c r="A40" s="44" t="s">
        <v>71</v>
      </c>
      <c r="B40" s="45" t="s">
        <v>72</v>
      </c>
      <c r="C40" s="119"/>
      <c r="D40" s="120"/>
      <c r="E40" s="12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外観検査：T</v>
      </c>
      <c r="G40" s="37" t="str">
        <v/>
      </c>
      <c r="H40" s="38" t="str">
        <v/>
      </c>
      <c r="I40" s="39" t="s">
        <v>73</v>
      </c>
      <c r="J40" s="41">
        <v>42</v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22" t="s">
        <v>74</v>
      </c>
      <c r="D41" s="123" t="str">
        <f>_xlfn.XLOOKUP(B3,[1]VFDB2!$A:$A,[1]VFDB2!$W:$W)</f>
        <v>クラフト紙：1996型</v>
      </c>
      <c r="E41" s="123"/>
      <c r="F41" s="124"/>
      <c r="G41" s="37" t="str">
        <v/>
      </c>
      <c r="H41" s="38" t="str">
        <v/>
      </c>
      <c r="I41" s="39" t="s">
        <v>75</v>
      </c>
      <c r="J41" s="41">
        <v>62</v>
      </c>
      <c r="K41" s="50"/>
    </row>
    <row r="42" spans="1:14" s="5" customFormat="1" ht="18" customHeight="1">
      <c r="A42" s="51" t="s">
        <v>76</v>
      </c>
      <c r="B42" s="52" t="s">
        <v>77</v>
      </c>
      <c r="C42" s="122"/>
      <c r="D42" s="123" t="str">
        <f>_xlfn.XLOOKUP(B3,[1]VFDB2!$A:$A,[1]VFDB2!$R:$R)</f>
        <v>ラベル１枚　長手無　鉢巻２回</v>
      </c>
      <c r="E42" s="123"/>
      <c r="F42" s="124"/>
      <c r="G42" s="37" t="str">
        <v/>
      </c>
      <c r="H42" s="38" t="str">
        <v/>
      </c>
      <c r="I42" s="39" t="s">
        <v>78</v>
      </c>
      <c r="J42" s="41">
        <v>20</v>
      </c>
      <c r="K42" s="47"/>
    </row>
    <row r="43" spans="1:14" s="7" customFormat="1" ht="18" customHeight="1" thickBot="1">
      <c r="A43" s="53" t="str">
        <f>_xlfn.XLOOKUP(B3,[1]VFDB2!$A:$A,[1]VFDB2!$K:$K)</f>
        <v>-1</v>
      </c>
      <c r="B43" s="54">
        <f>_xlfn.XLOOKUP(B3,[1]VFDB2!$A:$A,[1]VFDB2!$P:$P)</f>
        <v>1</v>
      </c>
      <c r="C43" s="55" t="s">
        <v>79</v>
      </c>
      <c r="D43" s="105" t="e">
        <f>_xlfn.XLOOKUP(B3,[1]VFDB2!$A:$A,[1]VFDB2!$V:$V)</f>
        <v>#REF!</v>
      </c>
      <c r="E43" s="105"/>
      <c r="F43" s="106"/>
      <c r="G43" s="56" t="str">
        <v/>
      </c>
      <c r="H43" s="57" t="str">
        <v/>
      </c>
      <c r="I43" s="39" t="s">
        <v>80</v>
      </c>
      <c r="J43" s="42">
        <v>20</v>
      </c>
      <c r="K43" s="50"/>
    </row>
    <row r="44" spans="1:14" s="5" customFormat="1" ht="18" customHeight="1" thickBot="1">
      <c r="A44" s="58" t="s">
        <v>81</v>
      </c>
      <c r="B44" s="59" t="str" cm="1">
        <f t="array" ref="B44">IF(SUM(--(ISTEXT(B45:B55)*(B45:B55&lt;&gt;"")))=0,"計測Lot","計測Lot・加工数")</f>
        <v>計測Lot・加工数</v>
      </c>
      <c r="C44" s="60" t="s">
        <v>82</v>
      </c>
      <c r="D44" s="61" t="s">
        <v>83</v>
      </c>
      <c r="E44" s="62" t="s">
        <v>84</v>
      </c>
      <c r="F44" s="63" t="str" cm="1">
        <f t="array" ref="F44">IF(SUM(--(ISTEXT(B45:B55)*(B45:B55&lt;&gt;"")))=0,"記入不要","使用Lot")</f>
        <v>使用Lot</v>
      </c>
      <c r="G44" s="64" t="s">
        <v>85</v>
      </c>
      <c r="H44" s="65" t="s">
        <v>86</v>
      </c>
      <c r="I44" s="66" t="s">
        <v>87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46174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>26E14-05</v>
      </c>
      <c r="C45" s="74"/>
      <c r="D45" s="75"/>
      <c r="E45" s="76"/>
      <c r="F45" s="77"/>
      <c r="G45" s="78"/>
      <c r="H45" s="79"/>
      <c r="I45" s="107" t="s">
        <v>88</v>
      </c>
      <c r="J45" s="108"/>
      <c r="K45" s="80"/>
    </row>
    <row r="46" spans="1:14" s="5" customFormat="1" ht="18" customHeight="1">
      <c r="A46" s="68">
        <v>46174</v>
      </c>
      <c r="B46" s="72" t="str">
        <v>26E14-05</v>
      </c>
      <c r="C46" s="81"/>
      <c r="D46" s="82"/>
      <c r="E46" s="83"/>
      <c r="F46" s="84"/>
      <c r="G46" s="81"/>
      <c r="H46" s="85"/>
      <c r="I46" s="86" t="s">
        <v>89</v>
      </c>
      <c r="J46" s="85" cm="1">
        <f t="array" ref="J46:J55">IFERROR(INDEX(_xlfn._xlws.FILTER([2]加工記録２!R:R, [2]加工記録２!U:U=B5),_xlfn.SEQUENCE(10)),"")</f>
        <v>1</v>
      </c>
      <c r="K46" s="80"/>
    </row>
    <row r="47" spans="1:14" s="91" customFormat="1" ht="18.95" customHeight="1">
      <c r="A47" s="69">
        <v>46174</v>
      </c>
      <c r="B47" s="72" t="str">
        <v>26E14-05 × 62</v>
      </c>
      <c r="C47" s="81"/>
      <c r="D47" s="82"/>
      <c r="E47" s="83"/>
      <c r="F47" s="84"/>
      <c r="G47" s="81"/>
      <c r="H47" s="85"/>
      <c r="I47" s="86" t="s">
        <v>90</v>
      </c>
      <c r="J47" s="85">
        <v>18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91</v>
      </c>
      <c r="J48" s="85">
        <v>1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92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93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94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95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96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97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98</v>
      </c>
      <c r="J55" s="88">
        <v>20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0" t="s">
        <v>0</v>
      </c>
      <c r="C58" s="111"/>
      <c r="D58" s="111"/>
      <c r="E58" s="11"/>
      <c r="F58" s="11"/>
      <c r="G58" s="11"/>
      <c r="H58" s="11"/>
      <c r="I58" s="11"/>
      <c r="J58" s="11"/>
    </row>
    <row r="59" spans="1:14" ht="14.25" customHeight="1">
      <c r="A59" s="12"/>
      <c r="B59" s="111"/>
      <c r="C59" s="111"/>
      <c r="D59" s="111"/>
      <c r="E59" s="12"/>
      <c r="F59" s="12"/>
      <c r="G59" s="12"/>
      <c r="H59" s="12"/>
      <c r="I59" s="12"/>
      <c r="J59" s="12"/>
    </row>
    <row r="60" spans="1:14" ht="14.25" customHeight="1">
      <c r="A60" s="143" t="s">
        <v>1</v>
      </c>
      <c r="B60" s="143" t="s">
        <v>2</v>
      </c>
      <c r="C60" s="143" t="s">
        <v>3</v>
      </c>
      <c r="D60" s="150">
        <v>1996</v>
      </c>
      <c r="E60" s="143" t="s">
        <v>4</v>
      </c>
      <c r="F60" s="126" t="s">
        <v>5</v>
      </c>
      <c r="G60" s="111"/>
      <c r="H60" s="111"/>
      <c r="I60" s="24" t="s">
        <v>6</v>
      </c>
      <c r="J60" s="24" t="s">
        <v>7</v>
      </c>
    </row>
    <row r="61" spans="1:14" ht="14.25" customHeight="1">
      <c r="A61" s="111"/>
      <c r="B61" s="111"/>
      <c r="C61" s="111"/>
      <c r="D61" s="111"/>
      <c r="E61" s="111"/>
      <c r="F61" s="111"/>
      <c r="G61" s="111"/>
      <c r="H61" s="111"/>
      <c r="I61" s="136"/>
      <c r="J61" s="136"/>
    </row>
    <row r="62" spans="1:14" ht="17.45" customHeight="1">
      <c r="A62" s="138" t="s">
        <v>8</v>
      </c>
      <c r="B62" s="138" t="s">
        <v>60</v>
      </c>
      <c r="E62" s="138" t="s">
        <v>10</v>
      </c>
      <c r="F62" s="139" t="s">
        <v>11</v>
      </c>
      <c r="G62" s="111"/>
      <c r="H62" s="111"/>
      <c r="I62" s="137"/>
      <c r="J62" s="137"/>
    </row>
    <row r="63" spans="1:14" ht="17.45" customHeight="1">
      <c r="A63" s="111"/>
      <c r="B63" s="111"/>
      <c r="E63" s="111"/>
      <c r="F63" s="111"/>
      <c r="G63" s="111"/>
      <c r="H63" s="111"/>
      <c r="I63" s="13"/>
      <c r="J63" s="13"/>
    </row>
    <row r="64" spans="1:14" ht="17.45" customHeight="1">
      <c r="A64" s="138" t="s">
        <v>12</v>
      </c>
      <c r="B64" s="138" t="s">
        <v>61</v>
      </c>
      <c r="E64" s="2" t="s">
        <v>14</v>
      </c>
      <c r="F64" s="139" t="s">
        <v>15</v>
      </c>
      <c r="G64" s="111"/>
      <c r="H64" s="21"/>
      <c r="I64" s="13"/>
      <c r="J64" s="13"/>
    </row>
    <row r="65" spans="1:10" ht="17.45" customHeight="1">
      <c r="A65" s="111"/>
      <c r="B65" s="111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46195</v>
      </c>
      <c r="E66" s="2" t="s">
        <v>19</v>
      </c>
      <c r="F66" s="154">
        <v>42</v>
      </c>
      <c r="G66" s="111"/>
      <c r="H66" s="21"/>
    </row>
    <row r="67" spans="1:10" ht="17.45" customHeight="1">
      <c r="A67" s="2" t="s">
        <v>20</v>
      </c>
      <c r="B67" s="4">
        <v>46195</v>
      </c>
      <c r="E67" s="2" t="s">
        <v>21</v>
      </c>
      <c r="F67" s="21">
        <v>8</v>
      </c>
      <c r="G67" s="127" t="s">
        <v>22</v>
      </c>
      <c r="H67" s="147">
        <v>336</v>
      </c>
      <c r="I67" s="148"/>
      <c r="J67" s="14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8"/>
      <c r="H68" s="128"/>
      <c r="I68" s="132"/>
      <c r="J68" s="146"/>
    </row>
    <row r="69" spans="1:10" ht="13.5" customHeight="1">
      <c r="A69" s="155" t="s">
        <v>25</v>
      </c>
      <c r="B69" s="111"/>
      <c r="C69" s="111"/>
      <c r="D69" s="20"/>
      <c r="F69" s="3"/>
      <c r="G69" s="141" t="s">
        <v>26</v>
      </c>
      <c r="H69" s="153" t="s">
        <v>27</v>
      </c>
      <c r="I69" s="144" t="s">
        <v>28</v>
      </c>
      <c r="J69" s="145"/>
    </row>
    <row r="70" spans="1:10" ht="13.5" customHeight="1">
      <c r="A70" s="111"/>
      <c r="B70" s="111"/>
      <c r="C70" s="111"/>
      <c r="D70" s="20"/>
      <c r="F70" s="3"/>
      <c r="G70" s="142"/>
      <c r="H70" s="142"/>
      <c r="I70" s="132"/>
      <c r="J70" s="146"/>
    </row>
    <row r="71" spans="1:10" ht="13.5" customHeight="1">
      <c r="A71" s="1" t="s">
        <v>29</v>
      </c>
    </row>
    <row r="72" spans="1:10" ht="63" customHeight="1">
      <c r="A72" s="151"/>
      <c r="B72" s="152"/>
      <c r="C72" s="152"/>
      <c r="D72" s="152"/>
      <c r="E72" s="152"/>
      <c r="F72" s="152"/>
      <c r="G72" s="152"/>
      <c r="H72" s="152"/>
      <c r="I72" s="152"/>
      <c r="J72" s="152"/>
    </row>
    <row r="73" spans="1:10" ht="18.75">
      <c r="A73" s="23" t="s">
        <v>30</v>
      </c>
      <c r="B73" s="16" t="s">
        <v>31</v>
      </c>
      <c r="C73" s="129" t="s">
        <v>32</v>
      </c>
      <c r="D73" s="130"/>
      <c r="E73" s="16" t="s">
        <v>33</v>
      </c>
      <c r="F73" s="129" t="s">
        <v>34</v>
      </c>
      <c r="G73" s="130"/>
      <c r="H73" s="130"/>
      <c r="I73" s="133" t="s">
        <v>35</v>
      </c>
      <c r="J73" s="13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9" t="s">
        <v>37</v>
      </c>
      <c r="D75" s="111"/>
      <c r="E75" s="25" t="s">
        <v>38</v>
      </c>
      <c r="F75" s="109" t="s">
        <v>39</v>
      </c>
      <c r="G75" s="111"/>
      <c r="H75" s="111"/>
      <c r="I75" s="115"/>
      <c r="J75" s="111"/>
    </row>
    <row r="76" spans="1:10" ht="16.5" customHeight="1">
      <c r="A76" s="22">
        <v>1</v>
      </c>
      <c r="B76" s="26" t="s">
        <v>36</v>
      </c>
      <c r="C76" s="109" t="s">
        <v>37</v>
      </c>
      <c r="D76" s="111"/>
      <c r="E76" s="25" t="s">
        <v>40</v>
      </c>
      <c r="F76" s="109" t="s">
        <v>41</v>
      </c>
      <c r="G76" s="111"/>
      <c r="H76" s="111"/>
      <c r="I76" s="115"/>
      <c r="J76" s="111"/>
    </row>
    <row r="77" spans="1:10" ht="16.5" customHeight="1">
      <c r="A77" s="22"/>
      <c r="B77" s="26"/>
      <c r="C77" s="109"/>
      <c r="D77" s="111"/>
      <c r="E77" s="25"/>
      <c r="F77" s="109"/>
      <c r="G77" s="111"/>
      <c r="H77" s="111"/>
      <c r="I77" s="115"/>
      <c r="J77" s="111"/>
    </row>
    <row r="78" spans="1:10" ht="16.5" customHeight="1">
      <c r="A78" s="22"/>
      <c r="B78" s="26"/>
      <c r="C78" s="109"/>
      <c r="D78" s="111"/>
      <c r="E78" s="25"/>
      <c r="F78" s="109"/>
      <c r="G78" s="111"/>
      <c r="H78" s="111"/>
      <c r="I78" s="115"/>
      <c r="J78" s="111"/>
    </row>
    <row r="79" spans="1:10" ht="16.5" customHeight="1">
      <c r="A79" s="22"/>
      <c r="B79" s="26"/>
      <c r="C79" s="109"/>
      <c r="D79" s="111"/>
      <c r="E79" s="25"/>
      <c r="F79" s="109"/>
      <c r="G79" s="111"/>
      <c r="H79" s="111"/>
      <c r="I79" s="115"/>
      <c r="J79" s="111"/>
    </row>
    <row r="80" spans="1:10" ht="16.5" customHeight="1">
      <c r="A80" s="22"/>
      <c r="B80" s="26"/>
      <c r="C80" s="109"/>
      <c r="D80" s="111"/>
      <c r="E80" s="25"/>
      <c r="F80" s="109"/>
      <c r="G80" s="111"/>
      <c r="H80" s="111"/>
      <c r="I80" s="115"/>
      <c r="J80" s="111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4" t="s">
        <v>42</v>
      </c>
      <c r="B82" s="135"/>
      <c r="C82" s="134" t="s">
        <v>43</v>
      </c>
      <c r="D82" s="135"/>
      <c r="E82" s="135"/>
      <c r="F82" s="17" t="s">
        <v>44</v>
      </c>
      <c r="G82" s="134" t="s">
        <v>45</v>
      </c>
      <c r="H82" s="135"/>
      <c r="I82" s="134" t="s">
        <v>46</v>
      </c>
      <c r="J82" s="135"/>
    </row>
    <row r="83" spans="1:10" ht="14.25" customHeight="1">
      <c r="A83" s="8"/>
      <c r="B83" s="18"/>
      <c r="C83" s="131" t="s">
        <v>47</v>
      </c>
      <c r="D83" s="132"/>
      <c r="E83" s="18"/>
      <c r="F83" s="131" t="s">
        <v>29</v>
      </c>
      <c r="G83" s="132"/>
      <c r="H83" s="132"/>
      <c r="I83" s="132"/>
      <c r="J83" s="132"/>
    </row>
    <row r="84" spans="1:10">
      <c r="A84" s="9"/>
      <c r="C84" s="7"/>
      <c r="D84" s="7"/>
      <c r="E84" s="7"/>
    </row>
    <row r="85" spans="1:10" ht="14.25" customHeight="1">
      <c r="A85" s="109" t="s">
        <v>48</v>
      </c>
      <c r="B85" s="111"/>
      <c r="C85" s="109" t="s">
        <v>49</v>
      </c>
      <c r="D85" s="111"/>
      <c r="E85" s="111"/>
      <c r="F85" s="27" t="s">
        <v>50</v>
      </c>
      <c r="G85" s="114">
        <v>336</v>
      </c>
      <c r="H85" s="111"/>
      <c r="I85" s="114">
        <v>8</v>
      </c>
      <c r="J85" s="111"/>
    </row>
    <row r="86" spans="1:10" ht="24.95" customHeight="1">
      <c r="A86" s="125" t="s">
        <v>51</v>
      </c>
      <c r="B86" s="111"/>
      <c r="C86" s="109" t="s">
        <v>11</v>
      </c>
      <c r="D86" s="111"/>
      <c r="E86" s="111"/>
      <c r="F86" s="109"/>
      <c r="G86" s="111"/>
      <c r="H86" s="111"/>
      <c r="I86" s="111"/>
      <c r="J86" s="111"/>
    </row>
    <row r="87" spans="1:10" ht="14.25" customHeight="1">
      <c r="A87" s="109" t="s">
        <v>52</v>
      </c>
      <c r="B87" s="111"/>
      <c r="C87" s="109" t="s">
        <v>53</v>
      </c>
      <c r="D87" s="111"/>
      <c r="E87" s="111"/>
      <c r="F87" s="27" t="s">
        <v>54</v>
      </c>
      <c r="G87" s="114">
        <v>8.0640000000000001</v>
      </c>
      <c r="H87" s="111"/>
      <c r="I87" s="114">
        <v>0.192</v>
      </c>
      <c r="J87" s="111"/>
    </row>
    <row r="88" spans="1:10" ht="24.95" customHeight="1">
      <c r="A88" s="125" t="s">
        <v>55</v>
      </c>
      <c r="B88" s="111"/>
      <c r="C88" s="109"/>
      <c r="D88" s="111"/>
      <c r="E88" s="111"/>
      <c r="F88" s="109"/>
      <c r="G88" s="111"/>
      <c r="H88" s="111"/>
      <c r="I88" s="111"/>
      <c r="J88" s="111"/>
    </row>
    <row r="89" spans="1:10" ht="14.25" customHeight="1">
      <c r="A89" s="109" t="s">
        <v>56</v>
      </c>
      <c r="B89" s="111"/>
      <c r="C89" s="109" t="s">
        <v>57</v>
      </c>
      <c r="D89" s="111"/>
      <c r="E89" s="111"/>
      <c r="F89" s="27"/>
      <c r="G89" s="114">
        <v>0.33600000000000002</v>
      </c>
      <c r="H89" s="111"/>
      <c r="I89" s="114">
        <v>8.0000000000000002E-3</v>
      </c>
      <c r="J89" s="111"/>
    </row>
    <row r="90" spans="1:10" ht="24.95" customHeight="1">
      <c r="A90" s="125" t="s">
        <v>58</v>
      </c>
      <c r="B90" s="111"/>
      <c r="C90" s="109" t="s">
        <v>59</v>
      </c>
      <c r="D90" s="111"/>
      <c r="E90" s="111"/>
      <c r="F90" s="109"/>
      <c r="G90" s="111"/>
      <c r="H90" s="111"/>
      <c r="I90" s="111"/>
      <c r="J90" s="111"/>
    </row>
    <row r="91" spans="1:10" ht="14.25" customHeight="1">
      <c r="A91" s="109"/>
      <c r="B91" s="111"/>
      <c r="C91" s="109"/>
      <c r="D91" s="111"/>
      <c r="E91" s="111"/>
      <c r="F91" s="27"/>
      <c r="G91" s="114"/>
      <c r="H91" s="111"/>
      <c r="I91" s="114"/>
      <c r="J91" s="111"/>
    </row>
    <row r="92" spans="1:10" ht="24.95" customHeight="1">
      <c r="A92" s="125"/>
      <c r="B92" s="111"/>
      <c r="C92" s="109"/>
      <c r="D92" s="111"/>
      <c r="E92" s="111"/>
      <c r="F92" s="109"/>
      <c r="G92" s="111"/>
      <c r="H92" s="111"/>
      <c r="I92" s="111"/>
      <c r="J92" s="111"/>
    </row>
    <row r="93" spans="1:10" ht="14.25" customHeight="1">
      <c r="A93" s="109"/>
      <c r="B93" s="111"/>
      <c r="C93" s="109"/>
      <c r="D93" s="111"/>
      <c r="E93" s="111"/>
      <c r="F93" s="27"/>
      <c r="G93" s="114"/>
      <c r="H93" s="111"/>
      <c r="I93" s="114"/>
      <c r="J93" s="111"/>
    </row>
    <row r="94" spans="1:10" ht="24.95" customHeight="1" thickBot="1">
      <c r="A94" s="125"/>
      <c r="B94" s="111"/>
      <c r="C94" s="109"/>
      <c r="D94" s="111"/>
      <c r="E94" s="111"/>
      <c r="F94" s="109"/>
      <c r="G94" s="111"/>
      <c r="H94" s="111"/>
      <c r="I94" s="111"/>
      <c r="J94" s="111"/>
    </row>
    <row r="95" spans="1:10" s="5" customFormat="1" ht="18" customHeight="1">
      <c r="A95" s="28" t="s">
        <v>62</v>
      </c>
      <c r="B95" s="29" t="s">
        <v>63</v>
      </c>
      <c r="C95" s="117" t="s">
        <v>64</v>
      </c>
      <c r="D95" s="118"/>
      <c r="E95" s="30" t="s">
        <v>65</v>
      </c>
      <c r="F95" s="31" t="s">
        <v>66</v>
      </c>
      <c r="G95" s="32" t="s">
        <v>67</v>
      </c>
      <c r="H95" s="33" t="s">
        <v>68</v>
      </c>
      <c r="I95" s="112" t="s">
        <v>69</v>
      </c>
      <c r="J95" s="113"/>
    </row>
    <row r="96" spans="1:10" s="7" customFormat="1" ht="18" customHeight="1">
      <c r="A96" s="34" t="str">
        <f>_xlfn.XLOOKUP(B60,[3]VFDB2!$A:$A,[3]VFDB2!$J:$J)</f>
        <v>〇</v>
      </c>
      <c r="B96" s="35">
        <f>D60</f>
        <v>1996</v>
      </c>
      <c r="C96" s="119" t="str">
        <f>_xlfn.XLOOKUP(B60,[3]VFDB2!$A:$A,[3]VFDB2!$Z:$Z)</f>
        <v>上-1</v>
      </c>
      <c r="D96" s="120"/>
      <c r="E96" s="121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70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71</v>
      </c>
      <c r="B97" s="45" t="s">
        <v>72</v>
      </c>
      <c r="C97" s="119"/>
      <c r="D97" s="120"/>
      <c r="E97" s="121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73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+1</v>
      </c>
      <c r="B98" s="49" t="str">
        <f>_xlfn.XLOOKUP(B60,[3]VFDB2!$A:$A,[3]VFDB2!$AC:$AC)</f>
        <v>換算表確認</v>
      </c>
      <c r="C98" s="122" t="s">
        <v>74</v>
      </c>
      <c r="D98" s="123" t="str">
        <f>_xlfn.XLOOKUP(B60,[3]VFDB2!$A:$A,[3]VFDB2!$W:$W)</f>
        <v>クラフト紙：1996型</v>
      </c>
      <c r="E98" s="123"/>
      <c r="F98" s="124"/>
      <c r="G98" s="37"/>
      <c r="H98" s="38"/>
      <c r="I98" s="39" t="s">
        <v>75</v>
      </c>
      <c r="J98" s="41" t="str">
        <v/>
      </c>
      <c r="K98" s="50"/>
    </row>
    <row r="99" spans="1:14" s="5" customFormat="1" ht="18" customHeight="1">
      <c r="A99" s="51" t="s">
        <v>76</v>
      </c>
      <c r="B99" s="52" t="s">
        <v>77</v>
      </c>
      <c r="C99" s="122"/>
      <c r="D99" s="123" t="str">
        <f>_xlfn.XLOOKUP(B60,[3]VFDB2!$A:$A,[3]VFDB2!$R:$R)</f>
        <v>ラベル１枚　長手無　鉢巻２回</v>
      </c>
      <c r="E99" s="123"/>
      <c r="F99" s="124"/>
      <c r="G99" s="37"/>
      <c r="H99" s="38"/>
      <c r="I99" s="39" t="s">
        <v>78</v>
      </c>
      <c r="J99" s="41" t="str">
        <v/>
      </c>
      <c r="K99" s="47"/>
    </row>
    <row r="100" spans="1:14" s="7" customFormat="1" ht="18" customHeight="1" thickBot="1">
      <c r="A100" s="53" t="str">
        <f>_xlfn.XLOOKUP(B60,[3]VFDB2!$A:$A,[3]VFDB2!$K:$K)</f>
        <v>-1</v>
      </c>
      <c r="B100" s="54">
        <f>_xlfn.XLOOKUP(B60,[3]VFDB2!$A:$A,[3]VFDB2!$P:$P)</f>
        <v>1</v>
      </c>
      <c r="C100" s="55" t="s">
        <v>79</v>
      </c>
      <c r="D100" s="105" t="e">
        <f>_xlfn.XLOOKUP(B60,[3]VFDB2!$A:$A,[3]VFDB2!$V:$V)</f>
        <v>#REF!</v>
      </c>
      <c r="E100" s="105"/>
      <c r="F100" s="106"/>
      <c r="G100" s="56"/>
      <c r="H100" s="57"/>
      <c r="I100" s="39" t="s">
        <v>80</v>
      </c>
      <c r="J100" s="42" t="str">
        <v/>
      </c>
      <c r="K100" s="50"/>
    </row>
    <row r="101" spans="1:14" s="5" customFormat="1" ht="18" customHeight="1" thickBot="1">
      <c r="A101" s="58" t="s">
        <v>81</v>
      </c>
      <c r="B101" s="59" t="str" cm="1">
        <f t="array" ref="B101">IF(SUM(--(ISTEXT(B102:B112)*(B102:B112&lt;&gt;"")))=0,"計測Lot","計測Lot・加工数")</f>
        <v>計測Lot</v>
      </c>
      <c r="C101" s="60" t="s">
        <v>82</v>
      </c>
      <c r="D101" s="61" t="s">
        <v>83</v>
      </c>
      <c r="E101" s="62" t="s">
        <v>84</v>
      </c>
      <c r="F101" s="63" t="str" cm="1">
        <f t="array" ref="F101">IF(SUM(--(ISTEXT(B102:B112)*(B102:B112&lt;&gt;"")))=0,"記入不要","使用Lot")</f>
        <v>記入不要</v>
      </c>
      <c r="G101" s="64" t="s">
        <v>85</v>
      </c>
      <c r="H101" s="65" t="s">
        <v>86</v>
      </c>
      <c r="I101" s="66" t="s">
        <v>87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7" t="s">
        <v>88</v>
      </c>
      <c r="J102" s="108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89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90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91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92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93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94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95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96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97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98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C18:D18"/>
    <mergeCell ref="C35:E35"/>
    <mergeCell ref="A36:B36"/>
    <mergeCell ref="A94:B94"/>
    <mergeCell ref="F23:H23"/>
    <mergeCell ref="C20:D20"/>
    <mergeCell ref="C36:E36"/>
    <mergeCell ref="C22:D22"/>
    <mergeCell ref="F26:J26"/>
    <mergeCell ref="I85:J85"/>
    <mergeCell ref="F94:J94"/>
    <mergeCell ref="A64:A65"/>
    <mergeCell ref="C29:E29"/>
    <mergeCell ref="A31:B31"/>
    <mergeCell ref="F73:H73"/>
    <mergeCell ref="C86:E86"/>
    <mergeCell ref="A60:A61"/>
    <mergeCell ref="C93:E93"/>
    <mergeCell ref="H67:J68"/>
    <mergeCell ref="F75:H75"/>
    <mergeCell ref="G36:H36"/>
    <mergeCell ref="A93:B93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C95:D95"/>
    <mergeCell ref="C96:D97"/>
    <mergeCell ref="E96:E97"/>
    <mergeCell ref="C98:C99"/>
    <mergeCell ref="D98:F98"/>
    <mergeCell ref="D99:F99"/>
    <mergeCell ref="I38:J38"/>
    <mergeCell ref="I78:J78"/>
    <mergeCell ref="D60:D61"/>
    <mergeCell ref="F64:G64"/>
    <mergeCell ref="E60:E61"/>
    <mergeCell ref="G69:G70"/>
    <mergeCell ref="A72:J72"/>
    <mergeCell ref="C78:D78"/>
    <mergeCell ref="I69:J70"/>
    <mergeCell ref="F88:J88"/>
    <mergeCell ref="C75:D75"/>
    <mergeCell ref="C80:D80"/>
    <mergeCell ref="C94:E94"/>
    <mergeCell ref="B60:B61"/>
    <mergeCell ref="I82:J82"/>
    <mergeCell ref="F80:H80"/>
    <mergeCell ref="A82:B82"/>
    <mergeCell ref="A91:B91"/>
    <mergeCell ref="F90:J90"/>
    <mergeCell ref="A32:B32"/>
    <mergeCell ref="I23:J23"/>
    <mergeCell ref="A92:B92"/>
    <mergeCell ref="F21:H21"/>
    <mergeCell ref="C25:E25"/>
    <mergeCell ref="C85:E85"/>
    <mergeCell ref="I30:J30"/>
    <mergeCell ref="C83:D83"/>
    <mergeCell ref="A30:B30"/>
    <mergeCell ref="A89:B89"/>
    <mergeCell ref="F35:J35"/>
    <mergeCell ref="F77:H77"/>
    <mergeCell ref="F66:G66"/>
    <mergeCell ref="C32:E32"/>
    <mergeCell ref="B58:D59"/>
    <mergeCell ref="C60:C61"/>
    <mergeCell ref="I77:J77"/>
    <mergeCell ref="I80:J80"/>
    <mergeCell ref="A87:B87"/>
    <mergeCell ref="I32:J32"/>
    <mergeCell ref="H69:H70"/>
    <mergeCell ref="C87:E87"/>
    <mergeCell ref="A25:B25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B3:B4"/>
    <mergeCell ref="H10:J11"/>
    <mergeCell ref="D3:D4"/>
    <mergeCell ref="A15:J15"/>
    <mergeCell ref="H12:H13"/>
    <mergeCell ref="F9:G9"/>
    <mergeCell ref="C21:D21"/>
    <mergeCell ref="G25:H25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C89:E89"/>
    <mergeCell ref="I19:J19"/>
    <mergeCell ref="C88:E88"/>
    <mergeCell ref="F62:H63"/>
    <mergeCell ref="F7:G7"/>
    <mergeCell ref="F5:H6"/>
    <mergeCell ref="G89:H89"/>
    <mergeCell ref="C30:E30"/>
    <mergeCell ref="A37:B37"/>
    <mergeCell ref="I79:J79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E62:E63"/>
    <mergeCell ref="F16:H16"/>
    <mergeCell ref="I73:J73"/>
    <mergeCell ref="F37:J37"/>
    <mergeCell ref="J61:J62"/>
    <mergeCell ref="F20:H20"/>
    <mergeCell ref="I34:J34"/>
    <mergeCell ref="B62:B63"/>
    <mergeCell ref="C33:E33"/>
    <mergeCell ref="C37:E37"/>
    <mergeCell ref="C16:D16"/>
    <mergeCell ref="D100:F100"/>
    <mergeCell ref="I102:J102"/>
    <mergeCell ref="F18:H18"/>
    <mergeCell ref="F76:H76"/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38:D38"/>
    <mergeCell ref="C39:D40"/>
    <mergeCell ref="E39:E40"/>
    <mergeCell ref="C41:C42"/>
    <mergeCell ref="D41:F41"/>
    <mergeCell ref="D42:F42"/>
    <mergeCell ref="D43:F43"/>
    <mergeCell ref="I45:J45"/>
    <mergeCell ref="F92:J92"/>
    <mergeCell ref="C92:E92"/>
    <mergeCell ref="C23:D23"/>
  </mergeCells>
  <phoneticPr fontId="2"/>
  <conditionalFormatting sqref="A102:B112 C103:E112 D102:E102">
    <cfRule type="cellIs" dxfId="4" priority="12" operator="between">
      <formula>0</formula>
      <formula>0</formula>
    </cfRule>
  </conditionalFormatting>
  <conditionalFormatting sqref="A112:H112">
    <cfRule type="expression" dxfId="2" priority="11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2026-06-10T23:03:30Z</dcterms:modified>
</cp:coreProperties>
</file>