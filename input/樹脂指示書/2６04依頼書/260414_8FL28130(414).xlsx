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1443" documentId="13_ncr:1_{2F1E4B76-0DAE-4C40-B8BB-2ACB8850F44A}" xr6:coauthVersionLast="47" xr6:coauthVersionMax="47" xr10:uidLastSave="{AB9199DA-5756-44B3-900F-7427946F2A2A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  <externalReference r:id="rId4"/>
    <externalReference r:id="rId5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557" i="1" a="1"/>
  <c r="F557" i="1" s="1"/>
  <c r="B557" i="1" a="1"/>
  <c r="B557" i="1" s="1"/>
  <c r="F329" i="1" a="1"/>
  <c r="F329" i="1" s="1"/>
  <c r="B329" i="1" a="1"/>
  <c r="B329" i="1" s="1"/>
  <c r="F671" i="1" a="1"/>
  <c r="F671" i="1" s="1"/>
  <c r="B671" i="1" a="1"/>
  <c r="B671" i="1" s="1"/>
  <c r="F614" i="1" a="1"/>
  <c r="F614" i="1" s="1"/>
  <c r="B614" i="1" a="1"/>
  <c r="B614" i="1" s="1"/>
  <c r="F386" i="1" a="1"/>
  <c r="F386" i="1" s="1"/>
  <c r="B386" i="1" a="1"/>
  <c r="B386" i="1" s="1"/>
  <c r="F785" i="1" a="1"/>
  <c r="F785" i="1" s="1"/>
  <c r="B785" i="1" a="1"/>
  <c r="B785" i="1" s="1"/>
  <c r="F728" i="1" a="1"/>
  <c r="F728" i="1" s="1"/>
  <c r="B728" i="1" a="1"/>
  <c r="B728" i="1" s="1"/>
  <c r="F500" i="1" a="1"/>
  <c r="F500" i="1" s="1"/>
  <c r="B500" i="1" a="1"/>
  <c r="B500" i="1" s="1"/>
  <c r="F443" i="1" a="1"/>
  <c r="F443" i="1" s="1"/>
  <c r="B443" i="1" a="1"/>
  <c r="B443" i="1" s="1"/>
  <c r="A843" i="1" a="1"/>
  <c r="A843" i="1" s="1"/>
  <c r="D841" i="1"/>
  <c r="B841" i="1"/>
  <c r="A841" i="1"/>
  <c r="D840" i="1"/>
  <c r="D839" i="1"/>
  <c r="B839" i="1"/>
  <c r="A839" i="1"/>
  <c r="C837" i="1"/>
  <c r="B837" i="1"/>
  <c r="A837" i="1"/>
  <c r="A273" i="1" a="1"/>
  <c r="A273" i="1" s="1"/>
  <c r="D271" i="1"/>
  <c r="B271" i="1"/>
  <c r="A271" i="1"/>
  <c r="D270" i="1"/>
  <c r="D269" i="1"/>
  <c r="B269" i="1"/>
  <c r="A269" i="1"/>
  <c r="C267" i="1"/>
  <c r="B267" i="1"/>
  <c r="A267" i="1"/>
  <c r="A216" i="1" a="1"/>
  <c r="A216" i="1" s="1"/>
  <c r="D214" i="1"/>
  <c r="B214" i="1"/>
  <c r="A214" i="1"/>
  <c r="D213" i="1"/>
  <c r="D212" i="1"/>
  <c r="B212" i="1"/>
  <c r="A212" i="1"/>
  <c r="C210" i="1"/>
  <c r="B210" i="1"/>
  <c r="A210" i="1"/>
  <c r="A102" i="1" a="1"/>
  <c r="A102" i="1" s="1"/>
  <c r="D100" i="1"/>
  <c r="B100" i="1"/>
  <c r="A100" i="1"/>
  <c r="D99" i="1"/>
  <c r="D98" i="1"/>
  <c r="B98" i="1"/>
  <c r="A98" i="1"/>
  <c r="C96" i="1"/>
  <c r="B96" i="1"/>
  <c r="A96" i="1"/>
  <c r="A159" i="1" a="1"/>
  <c r="A159" i="1" s="1"/>
  <c r="D157" i="1"/>
  <c r="B157" i="1"/>
  <c r="A157" i="1"/>
  <c r="D156" i="1"/>
  <c r="D155" i="1"/>
  <c r="B155" i="1"/>
  <c r="A155" i="1"/>
  <c r="C153" i="1"/>
  <c r="B153" i="1"/>
  <c r="A153" i="1"/>
  <c r="F44" i="1" l="1" a="1"/>
  <c r="F44" i="1" s="1"/>
  <c r="B44" i="1" a="1"/>
  <c r="B44" i="1" s="1"/>
  <c r="J844" i="1" a="1"/>
  <c r="J844" i="1" s="1"/>
  <c r="J160" i="1" a="1"/>
  <c r="J160" i="1" s="1"/>
  <c r="B216" i="1" l="1" a="1"/>
  <c r="B216" i="1" s="1"/>
  <c r="J217" i="1" a="1"/>
  <c r="J217" i="1" s="1"/>
  <c r="B102" i="1" a="1"/>
  <c r="B102" i="1" s="1"/>
  <c r="J103" i="1" a="1"/>
  <c r="J103" i="1" s="1"/>
  <c r="B273" i="1" a="1"/>
  <c r="B273" i="1" s="1"/>
  <c r="J274" i="1" a="1"/>
  <c r="J274" i="1" s="1"/>
  <c r="F211" i="1" a="1"/>
  <c r="F211" i="1" s="1"/>
  <c r="G210" i="1" a="1"/>
  <c r="G210" i="1" s="1"/>
  <c r="F210" i="1" a="1"/>
  <c r="F210" i="1" s="1"/>
  <c r="E153" i="1" a="1"/>
  <c r="E153" i="1" s="1"/>
  <c r="F153" i="1" a="1"/>
  <c r="F153" i="1" s="1"/>
  <c r="E210" i="1" a="1"/>
  <c r="E210" i="1" s="1"/>
  <c r="F268" i="1" a="1"/>
  <c r="F268" i="1" s="1"/>
  <c r="E267" i="1" a="1"/>
  <c r="E267" i="1" s="1"/>
  <c r="F837" i="1" a="1"/>
  <c r="F837" i="1" s="1"/>
  <c r="E837" i="1" a="1"/>
  <c r="E837" i="1" s="1"/>
  <c r="G96" i="1" a="1"/>
  <c r="G96" i="1" s="1"/>
  <c r="E96" i="1" a="1"/>
  <c r="E96" i="1" s="1"/>
  <c r="F97" i="1" l="1" a="1"/>
  <c r="F97" i="1" s="1"/>
  <c r="F154" i="1" a="1"/>
  <c r="F154" i="1" s="1"/>
  <c r="B843" i="1" a="1"/>
  <c r="B843" i="1" s="1"/>
  <c r="F215" i="1" a="1"/>
  <c r="F215" i="1" s="1"/>
  <c r="B215" i="1" a="1"/>
  <c r="B215" i="1" s="1"/>
  <c r="B159" i="1" a="1"/>
  <c r="B159" i="1" s="1"/>
  <c r="F101" i="1" a="1"/>
  <c r="F101" i="1" s="1"/>
  <c r="B101" i="1" a="1"/>
  <c r="B101" i="1" s="1"/>
  <c r="F267" i="1" a="1"/>
  <c r="F267" i="1" s="1"/>
  <c r="F272" i="1" a="1"/>
  <c r="F272" i="1" s="1"/>
  <c r="B272" i="1" a="1"/>
  <c r="B272" i="1" s="1"/>
  <c r="G267" i="1" a="1"/>
  <c r="G267" i="1" s="1"/>
  <c r="F96" i="1" a="1"/>
  <c r="F96" i="1" s="1"/>
  <c r="G837" i="1" a="1"/>
  <c r="G837" i="1" s="1"/>
  <c r="F838" i="1" a="1"/>
  <c r="F838" i="1" s="1"/>
  <c r="G153" i="1" a="1"/>
  <c r="G153" i="1" s="1"/>
  <c r="J153" i="1" l="1" a="1"/>
  <c r="J153" i="1" s="1"/>
  <c r="B158" i="1" a="1"/>
  <c r="B158" i="1" s="1"/>
  <c r="F158" i="1" a="1"/>
  <c r="F158" i="1" s="1"/>
  <c r="J210" i="1" a="1"/>
  <c r="J210" i="1" s="1"/>
  <c r="F842" i="1" a="1"/>
  <c r="F842" i="1" s="1"/>
  <c r="B842" i="1" a="1"/>
  <c r="B842" i="1" s="1"/>
  <c r="J267" i="1" a="1"/>
  <c r="J267" i="1" s="1"/>
  <c r="J96" i="1" a="1"/>
  <c r="J96" i="1" s="1"/>
  <c r="J837" i="1" l="1" a="1"/>
  <c r="J83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<sst xmlns="http://schemas.openxmlformats.org/spreadsheetml/2006/main" count="1769" uniqueCount="214">
  <si>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</si>
  <si>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</si>
  <si>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</si>
  <si>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</si>
  <si>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</si>
  <si>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</si>
  <si>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</si>
  <si>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</si>
  <si>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</si>
  <si>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000000000013814</t>
  </si>
  <si>
    <t>原料名</t>
  </si>
  <si>
    <t>(CASE 297MILK-W4)</t>
  </si>
  <si>
    <t>発注明細№</t>
  </si>
  <si>
    <t>000000000849409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</si>
  <si>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</si>
  <si>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</si>
  <si>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</si>
  <si>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</si>
  <si>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</si>
  <si>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</si>
  <si>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</si>
  <si>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</si>
  <si>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</si>
  <si>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</si>
  <si>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</si>
  <si>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</si>
  <si>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</si>
  <si>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</si>
  <si>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</si>
  <si>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</si>
  <si>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</si>
  <si>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</si>
  <si>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</si>
  <si>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</si>
  <si>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</si>
  <si>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</si>
  <si>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</si>
  <si>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</si>
  <si>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</si>
  <si>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</si>
  <si>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</si>
  <si>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</si>
  <si>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</si>
  <si>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</si>
  <si>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</si>
  <si>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</si>
  <si>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</si>
  <si>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</si>
  <si>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</si>
  <si>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</si>
  <si>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V3J04</t>
  </si>
  <si>
    <t>*J1JAZZA10818200*</t>
  </si>
  <si>
    <t>J6DW0086</t>
  </si>
  <si>
    <t>LED-A300（旧LED-A297）307X275X166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</si>
  <si>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</si>
  <si>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</si>
  <si>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</si>
  <si>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</si>
  <si>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</si>
  <si>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</si>
  <si>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</si>
  <si>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</si>
  <si>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</si>
  <si>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</si>
  <si>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</si>
  <si>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000000000013815</t>
  </si>
  <si>
    <t>000000000849410</t>
  </si>
  <si>
    <t>000000000013816</t>
  </si>
  <si>
    <t>000000000849411</t>
  </si>
  <si>
    <t>J1JAZZB10805920</t>
  </si>
  <si>
    <t>8FL2813044910</t>
  </si>
  <si>
    <t>000000000013817</t>
  </si>
  <si>
    <t>(CASE 592MILK-W4)</t>
  </si>
  <si>
    <t>000000000849412</t>
  </si>
  <si>
    <t>*J1JAZZB10805920*</t>
  </si>
  <si>
    <t>J6DW0088</t>
  </si>
  <si>
    <t>LED-A592　602X275X166</t>
  </si>
  <si>
    <t>*J6DW0088*</t>
  </si>
  <si>
    <t>L592×W275×H166</t>
  </si>
  <si>
    <t>000000000013818</t>
  </si>
  <si>
    <t>000000000849413</t>
  </si>
  <si>
    <t>J1JAZZB10807480</t>
  </si>
  <si>
    <t>8FL2813048310</t>
  </si>
  <si>
    <t>000000000013819</t>
  </si>
  <si>
    <t>(CASE 748MILK-W4)</t>
  </si>
  <si>
    <t>000000000849414</t>
  </si>
  <si>
    <t>*J1JAZZB10807480*</t>
  </si>
  <si>
    <t>J6DW0089</t>
  </si>
  <si>
    <t>LED-A888　898X275X166</t>
  </si>
  <si>
    <t>*J6DW0089*</t>
  </si>
  <si>
    <t>L888×W275×H166</t>
  </si>
  <si>
    <t>J1JAZZB10808880</t>
  </si>
  <si>
    <t>8FL2813045010</t>
  </si>
  <si>
    <t>000000000013820</t>
  </si>
  <si>
    <t>(CASE 888MILK-W4)</t>
  </si>
  <si>
    <t>000000000849415</t>
  </si>
  <si>
    <t>*J1JAZZB10808880*</t>
  </si>
  <si>
    <t>J6XX0044</t>
  </si>
  <si>
    <t>*J6XX0044*</t>
  </si>
  <si>
    <t>400＊900</t>
  </si>
  <si>
    <t>000000000013821</t>
  </si>
  <si>
    <t>000000000849416</t>
  </si>
  <si>
    <t>000000000013822</t>
  </si>
  <si>
    <t>000000000849417</t>
  </si>
  <si>
    <t>000000000013823</t>
  </si>
  <si>
    <t>000000000849418</t>
  </si>
  <si>
    <t>J1JAZZB10814780</t>
  </si>
  <si>
    <t>8FL2813046110</t>
  </si>
  <si>
    <t>000000000013824</t>
  </si>
  <si>
    <t>(CASE 1478MILK-W4)</t>
  </si>
  <si>
    <t>000000000849419</t>
  </si>
  <si>
    <t>*J1JAZZB10814780*</t>
  </si>
  <si>
    <t>J6DW0092</t>
  </si>
  <si>
    <t>LED-A1478　1488X275X166</t>
  </si>
  <si>
    <t>*J6DW0092*</t>
  </si>
  <si>
    <t>L1478×W275×H166</t>
  </si>
  <si>
    <t>000000000013825</t>
  </si>
  <si>
    <t>000000000849420</t>
  </si>
  <si>
    <t>000000000013826</t>
  </si>
  <si>
    <t>000000000849421</t>
  </si>
  <si>
    <t>000000000013827</t>
  </si>
  <si>
    <t>000000000849422</t>
  </si>
  <si>
    <t>000000000013848</t>
  </si>
  <si>
    <t>000000000849464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</si>
  <si>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</si>
  <si>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</si>
  <si>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</si>
  <si>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</si>
  <si>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</si>
  <si>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</si>
  <si>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</si>
  <si>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</si>
  <si>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</si>
  <si>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</si>
  <si>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</si>
  <si>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</si>
  <si>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</si>
  <si>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</si>
  <si>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</si>
  <si>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</si>
  <si>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</si>
  <si>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</si>
  <si>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</si>
  <si>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</si>
  <si>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</si>
  <si>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</si>
  <si>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</si>
  <si>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</si>
  <si>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</si>
  <si>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</si>
  <si>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</si>
  <si>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</si>
  <si>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</si>
  <si>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</si>
  <si>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</si>
  <si>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</si>
  <si>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</si>
  <si>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</si>
  <si>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</si>
  <si>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</si>
  <si>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</si>
  <si>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〇</t>
  </si>
  <si>
    <t>換算表確認</t>
  </si>
  <si>
    <t>LED-A888</t>
  </si>
  <si>
    <t>L=888用　クラフト紙</t>
  </si>
  <si>
    <t>ラベル１枚　長手無　鉢巻１回</t>
  </si>
  <si>
    <t>1箱目の梱包数 目視確認　以降、重量測定</t>
  </si>
  <si>
    <t>26B28-05 × 4</t>
  </si>
  <si>
    <t>26B28-05</t>
  </si>
  <si>
    <t>26D15-05</t>
  </si>
  <si>
    <t>26D15-05 × 96</t>
  </si>
  <si>
    <t/>
  </si>
  <si>
    <t>不良補填</t>
  </si>
  <si>
    <t xml:space="preserve">切断加工：I / </t>
  </si>
  <si>
    <t xml:space="preserve">外観検査：T / </t>
  </si>
  <si>
    <t>26D15-05 × 200</t>
  </si>
  <si>
    <t>26D15-05 × 3</t>
  </si>
  <si>
    <t>26D15-05 × 400</t>
  </si>
  <si>
    <t>26D16-06</t>
  </si>
  <si>
    <t>26D15-05 × 290</t>
  </si>
  <si>
    <t>26D16-06 × 110</t>
  </si>
  <si>
    <t>26D16-06 × 400</t>
  </si>
  <si>
    <t>26D15-05 × 4</t>
  </si>
  <si>
    <t>外観検査：T / U</t>
  </si>
  <si>
    <t>26D16-06 × 288</t>
  </si>
  <si>
    <t>26D17-07</t>
  </si>
  <si>
    <t>26D17-07 × 112</t>
  </si>
  <si>
    <t>26D18-08</t>
  </si>
  <si>
    <t>26D17-07 × 400</t>
  </si>
  <si>
    <t>26D17-07 × 287</t>
  </si>
  <si>
    <t>26D18-08 × 113</t>
  </si>
  <si>
    <t>26D15-05 × 22</t>
  </si>
  <si>
    <t>26D15-05 × 8</t>
  </si>
  <si>
    <t>26D21-09</t>
  </si>
  <si>
    <t>26D21-09 × 392</t>
  </si>
  <si>
    <t>26D21-09 × 400</t>
  </si>
  <si>
    <t>26D21-09 × 2</t>
  </si>
  <si>
    <t>LED-A1478</t>
  </si>
  <si>
    <t>クラフト紙：1478型</t>
  </si>
  <si>
    <t>26D03-04 × 11</t>
  </si>
  <si>
    <t>26D03-04</t>
  </si>
  <si>
    <t>26D18-08 × 389</t>
  </si>
  <si>
    <t>26D18-08 × 300</t>
  </si>
  <si>
    <t>26D18-08 × 10</t>
  </si>
  <si>
    <t>26D21-09 × 6</t>
  </si>
  <si>
    <t>26D22-10</t>
  </si>
  <si>
    <t>26D22-10 × 294</t>
  </si>
  <si>
    <t>26D18-08 × 3</t>
  </si>
  <si>
    <t>26D22-10 × 208</t>
  </si>
  <si>
    <t>26D23-11</t>
  </si>
  <si>
    <t>26D23-11 × 192</t>
  </si>
  <si>
    <t>26D22-10 × 400</t>
  </si>
  <si>
    <t>26D21-09 × 4</t>
  </si>
  <si>
    <t>外観検査：U /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</si>
</sst>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7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49" fontId="12" fillId="0" borderId="7" xfId="1" applyNumberFormat="1" applyFont="1" applyBorder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9" fillId="0" borderId="0" xfId="1" applyNumberFormat="1" applyFont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3A593FB3-DE60-4FE2-B15B-BDBE1303EDF3}"/>
  </cellStyles>
  <dxfs count="32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57151</xdr:colOff>
      <xdr:row>3</xdr:row>
      <xdr:rowOff>152401</xdr:rowOff>
    </xdr:from>
    <xdr:to>
      <xdr:col>9</xdr:col>
      <xdr:colOff>800101</xdr:colOff>
      <xdr:row>7</xdr:row>
      <xdr:rowOff>57151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71E3D18-5511-36CA-4704-587B4CBF4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6" y="695326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3</xdr:row>
      <xdr:rowOff>161926</xdr:rowOff>
    </xdr:from>
    <xdr:to>
      <xdr:col>8</xdr:col>
      <xdr:colOff>790576</xdr:colOff>
      <xdr:row>7</xdr:row>
      <xdr:rowOff>66676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0251DBB-8F78-C52B-B1F7-9BE258004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6" y="704851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61</xdr:row>
      <xdr:rowOff>19050</xdr:rowOff>
    </xdr:from>
    <xdr:to>
      <xdr:col>9</xdr:col>
      <xdr:colOff>790575</xdr:colOff>
      <xdr:row>64</xdr:row>
      <xdr:rowOff>104775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8D0EE48-6547-4E4F-9781-62FFEC917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1397317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61</xdr:row>
      <xdr:rowOff>28575</xdr:rowOff>
    </xdr:from>
    <xdr:to>
      <xdr:col>8</xdr:col>
      <xdr:colOff>781050</xdr:colOff>
      <xdr:row>64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380207B-8191-42C9-9642-FFBE07D40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1398270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118</xdr:row>
      <xdr:rowOff>19050</xdr:rowOff>
    </xdr:from>
    <xdr:to>
      <xdr:col>9</xdr:col>
      <xdr:colOff>781050</xdr:colOff>
      <xdr:row>121</xdr:row>
      <xdr:rowOff>104775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FD93DA6-6A6D-4517-BBC5-FDB4C287C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2720340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118</xdr:row>
      <xdr:rowOff>28575</xdr:rowOff>
    </xdr:from>
    <xdr:to>
      <xdr:col>8</xdr:col>
      <xdr:colOff>771525</xdr:colOff>
      <xdr:row>121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16B9E38-B468-499B-B805-7D6A1EE42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2721292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174</xdr:row>
      <xdr:rowOff>171450</xdr:rowOff>
    </xdr:from>
    <xdr:to>
      <xdr:col>9</xdr:col>
      <xdr:colOff>800100</xdr:colOff>
      <xdr:row>178</xdr:row>
      <xdr:rowOff>76200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9529C67-5691-488E-B5C7-5AF79725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4040505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175</xdr:row>
      <xdr:rowOff>0</xdr:rowOff>
    </xdr:from>
    <xdr:to>
      <xdr:col>8</xdr:col>
      <xdr:colOff>790575</xdr:colOff>
      <xdr:row>178</xdr:row>
      <xdr:rowOff>85725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B9CCA82-1125-419C-8495-FCEFEB91D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4041457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231</xdr:row>
      <xdr:rowOff>152400</xdr:rowOff>
    </xdr:from>
    <xdr:to>
      <xdr:col>9</xdr:col>
      <xdr:colOff>800100</xdr:colOff>
      <xdr:row>235</xdr:row>
      <xdr:rowOff>57150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1154131-F24B-44E4-9E98-E67361D81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5361622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231</xdr:row>
      <xdr:rowOff>161925</xdr:rowOff>
    </xdr:from>
    <xdr:to>
      <xdr:col>8</xdr:col>
      <xdr:colOff>790575</xdr:colOff>
      <xdr:row>235</xdr:row>
      <xdr:rowOff>66675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E786181-98D7-4256-AB1A-E37FA3AAB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5362575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288</xdr:row>
      <xdr:rowOff>161925</xdr:rowOff>
    </xdr:from>
    <xdr:to>
      <xdr:col>9</xdr:col>
      <xdr:colOff>790575</xdr:colOff>
      <xdr:row>292</xdr:row>
      <xdr:rowOff>66675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0B40228-7B0D-444C-AD14-99B119D0B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6685597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288</xdr:row>
      <xdr:rowOff>171450</xdr:rowOff>
    </xdr:from>
    <xdr:to>
      <xdr:col>8</xdr:col>
      <xdr:colOff>781050</xdr:colOff>
      <xdr:row>292</xdr:row>
      <xdr:rowOff>76200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EA70EE3-6EE8-4956-86F6-AEDCF3EB2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6686550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346</xdr:row>
      <xdr:rowOff>9525</xdr:rowOff>
    </xdr:from>
    <xdr:to>
      <xdr:col>9</xdr:col>
      <xdr:colOff>781050</xdr:colOff>
      <xdr:row>349</xdr:row>
      <xdr:rowOff>95250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86CCEDA-D33E-4C9A-ACE2-18F1CC746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8011477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346</xdr:row>
      <xdr:rowOff>19050</xdr:rowOff>
    </xdr:from>
    <xdr:to>
      <xdr:col>8</xdr:col>
      <xdr:colOff>771525</xdr:colOff>
      <xdr:row>349</xdr:row>
      <xdr:rowOff>104775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3561D7C-BD0A-45F1-8A9F-AF9D9ADF2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8012430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403</xdr:row>
      <xdr:rowOff>9525</xdr:rowOff>
    </xdr:from>
    <xdr:to>
      <xdr:col>9</xdr:col>
      <xdr:colOff>790575</xdr:colOff>
      <xdr:row>406</xdr:row>
      <xdr:rowOff>95250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6166026-B43D-43BD-9CDF-7D9AA6F2D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9334500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403</xdr:row>
      <xdr:rowOff>19050</xdr:rowOff>
    </xdr:from>
    <xdr:to>
      <xdr:col>8</xdr:col>
      <xdr:colOff>781050</xdr:colOff>
      <xdr:row>406</xdr:row>
      <xdr:rowOff>104775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53DDEDF1-24C6-430B-881D-43DB49AF0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9335452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459</xdr:row>
      <xdr:rowOff>171450</xdr:rowOff>
    </xdr:from>
    <xdr:to>
      <xdr:col>9</xdr:col>
      <xdr:colOff>790575</xdr:colOff>
      <xdr:row>463</xdr:row>
      <xdr:rowOff>76200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1339C54-4CD9-4ECC-B4D4-9E01903BF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10655617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460</xdr:row>
      <xdr:rowOff>0</xdr:rowOff>
    </xdr:from>
    <xdr:to>
      <xdr:col>8</xdr:col>
      <xdr:colOff>781050</xdr:colOff>
      <xdr:row>463</xdr:row>
      <xdr:rowOff>85725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BFBB550-BBCC-433E-B8C6-979C36AA6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10656570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516</xdr:row>
      <xdr:rowOff>161925</xdr:rowOff>
    </xdr:from>
    <xdr:to>
      <xdr:col>9</xdr:col>
      <xdr:colOff>800100</xdr:colOff>
      <xdr:row>520</xdr:row>
      <xdr:rowOff>66675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B74F773-A70C-468A-A37C-65FE34542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11977687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516</xdr:row>
      <xdr:rowOff>171450</xdr:rowOff>
    </xdr:from>
    <xdr:to>
      <xdr:col>8</xdr:col>
      <xdr:colOff>790575</xdr:colOff>
      <xdr:row>520</xdr:row>
      <xdr:rowOff>76200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FEF00E7-94ED-4B91-90FF-63A6E180C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11978640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573</xdr:row>
      <xdr:rowOff>123825</xdr:rowOff>
    </xdr:from>
    <xdr:to>
      <xdr:col>9</xdr:col>
      <xdr:colOff>781050</xdr:colOff>
      <xdr:row>577</xdr:row>
      <xdr:rowOff>28575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CFC285B-4C3F-420B-AF02-1A7A3F0CB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13296900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573</xdr:row>
      <xdr:rowOff>133350</xdr:rowOff>
    </xdr:from>
    <xdr:to>
      <xdr:col>8</xdr:col>
      <xdr:colOff>771525</xdr:colOff>
      <xdr:row>577</xdr:row>
      <xdr:rowOff>38100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2294DBB0-1D87-4C4E-9ABD-BFEF5ADB5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13297852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631</xdr:row>
      <xdr:rowOff>0</xdr:rowOff>
    </xdr:from>
    <xdr:to>
      <xdr:col>9</xdr:col>
      <xdr:colOff>781050</xdr:colOff>
      <xdr:row>634</xdr:row>
      <xdr:rowOff>85725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0B2001F-156D-413A-8DB1-4B2A114F6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14625637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631</xdr:row>
      <xdr:rowOff>9525</xdr:rowOff>
    </xdr:from>
    <xdr:to>
      <xdr:col>8</xdr:col>
      <xdr:colOff>771525</xdr:colOff>
      <xdr:row>634</xdr:row>
      <xdr:rowOff>95250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98800226-F69E-4ECF-92C0-4C88070D7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14626590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687</xdr:row>
      <xdr:rowOff>161925</xdr:rowOff>
    </xdr:from>
    <xdr:to>
      <xdr:col>9</xdr:col>
      <xdr:colOff>781050</xdr:colOff>
      <xdr:row>691</xdr:row>
      <xdr:rowOff>66675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7E6C70A-422C-4C97-9F5F-792E82A65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15946755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687</xdr:row>
      <xdr:rowOff>171450</xdr:rowOff>
    </xdr:from>
    <xdr:to>
      <xdr:col>8</xdr:col>
      <xdr:colOff>771525</xdr:colOff>
      <xdr:row>691</xdr:row>
      <xdr:rowOff>76200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B5AA25C8-2A5B-4BF1-9831-CF998E39D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15947707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744</xdr:row>
      <xdr:rowOff>161925</xdr:rowOff>
    </xdr:from>
    <xdr:to>
      <xdr:col>9</xdr:col>
      <xdr:colOff>790575</xdr:colOff>
      <xdr:row>748</xdr:row>
      <xdr:rowOff>66675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883859B8-63B1-4B3D-88C2-B176658D5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17269777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744</xdr:row>
      <xdr:rowOff>171450</xdr:rowOff>
    </xdr:from>
    <xdr:to>
      <xdr:col>8</xdr:col>
      <xdr:colOff>781050</xdr:colOff>
      <xdr:row>748</xdr:row>
      <xdr:rowOff>76200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69434E81-924A-4C1D-8E69-74D561810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17270730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801</xdr:row>
      <xdr:rowOff>142875</xdr:rowOff>
    </xdr:from>
    <xdr:to>
      <xdr:col>9</xdr:col>
      <xdr:colOff>781050</xdr:colOff>
      <xdr:row>805</xdr:row>
      <xdr:rowOff>47625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89675A2-4EEA-4F88-9F0F-AA371CB73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18590895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801</xdr:row>
      <xdr:rowOff>152400</xdr:rowOff>
    </xdr:from>
    <xdr:to>
      <xdr:col>8</xdr:col>
      <xdr:colOff>771525</xdr:colOff>
      <xdr:row>805</xdr:row>
      <xdr:rowOff>57150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9B0B1E10-F493-4755-BE18-FBD335320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185918475"/>
          <a:ext cx="742950" cy="742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sgt2605.xlsm" TargetMode="External"/><Relationship Id="rId2" Type="http://schemas.openxmlformats.org/officeDocument/2006/relationships/externalLinkPath" Target="file:///C:\Users\user\Desktop\sgt2605.xlsm" TargetMode="External"/><Relationship Id="rId1" Type="http://schemas.openxmlformats.org/officeDocument/2006/relationships/externalLinkPath" Target="/Users/user/Desktop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2070　L=1966</v>
          </cell>
          <cell r="D3">
            <v>46106</v>
          </cell>
          <cell r="E3" t="str">
            <v>26C17-01</v>
          </cell>
          <cell r="F3">
            <v>6</v>
          </cell>
          <cell r="M3">
            <v>46112</v>
          </cell>
          <cell r="N3">
            <v>7</v>
          </cell>
          <cell r="P3">
            <v>46112</v>
          </cell>
          <cell r="R3">
            <v>5</v>
          </cell>
          <cell r="U3" t="str">
            <v>000000000012951-2</v>
          </cell>
        </row>
        <row r="4">
          <cell r="D4">
            <v>46112</v>
          </cell>
          <cell r="E4" t="str">
            <v>26C25-04</v>
          </cell>
          <cell r="F4">
            <v>68</v>
          </cell>
          <cell r="P4">
            <v>112</v>
          </cell>
          <cell r="R4">
            <v>13</v>
          </cell>
          <cell r="U4" t="str">
            <v>000000000012951-2</v>
          </cell>
        </row>
        <row r="5">
          <cell r="C5">
            <v>112</v>
          </cell>
          <cell r="D5">
            <v>46112</v>
          </cell>
          <cell r="E5" t="str">
            <v>26C24-03</v>
          </cell>
          <cell r="F5">
            <v>59</v>
          </cell>
          <cell r="P5">
            <v>133</v>
          </cell>
          <cell r="R5">
            <v>1</v>
          </cell>
          <cell r="U5" t="str">
            <v>000000000012951-2</v>
          </cell>
        </row>
        <row r="6">
          <cell r="C6">
            <v>112</v>
          </cell>
          <cell r="P6">
            <v>21</v>
          </cell>
          <cell r="U6" t="str">
            <v>000000000012951-2</v>
          </cell>
        </row>
        <row r="7">
          <cell r="C7">
            <v>1</v>
          </cell>
          <cell r="P7">
            <v>21</v>
          </cell>
          <cell r="U7" t="str">
            <v>000000000012951-2</v>
          </cell>
        </row>
        <row r="8">
          <cell r="C8">
            <v>16</v>
          </cell>
          <cell r="M8" t="str">
            <v>合計</v>
          </cell>
          <cell r="N8">
            <v>7</v>
          </cell>
          <cell r="P8">
            <v>0</v>
          </cell>
          <cell r="U8" t="str">
            <v>000000000012951-2</v>
          </cell>
        </row>
        <row r="9">
          <cell r="C9" t="str">
            <v>灯具-2　L＝1996</v>
          </cell>
          <cell r="M9" t="str">
            <v>入数</v>
          </cell>
          <cell r="N9">
            <v>112</v>
          </cell>
          <cell r="P9">
            <v>133</v>
          </cell>
          <cell r="U9" t="str">
            <v>000000000012951-2</v>
          </cell>
        </row>
        <row r="10">
          <cell r="M10" t="str">
            <v>作業者</v>
          </cell>
          <cell r="U10" t="str">
            <v>000000000012951-2</v>
          </cell>
        </row>
        <row r="11">
          <cell r="C11">
            <v>7</v>
          </cell>
          <cell r="M11" t="str">
            <v>C</v>
          </cell>
          <cell r="N11" t="str">
            <v>I</v>
          </cell>
          <cell r="R11">
            <v>2</v>
          </cell>
          <cell r="U11" t="str">
            <v>000000000012951-2</v>
          </cell>
        </row>
        <row r="12">
          <cell r="R12">
            <v>21</v>
          </cell>
          <cell r="U12" t="str">
            <v>000000000012951-2</v>
          </cell>
        </row>
        <row r="13">
          <cell r="D13" t="str">
            <v>不良補填</v>
          </cell>
          <cell r="F13" t="str">
            <v/>
          </cell>
          <cell r="U13" t="str">
            <v>000000000012951-2</v>
          </cell>
        </row>
        <row r="14">
          <cell r="C14" t="str">
            <v>灯具カバーPC IN 2140　L=547(切断)</v>
          </cell>
          <cell r="D14">
            <v>46049</v>
          </cell>
          <cell r="E14" t="str">
            <v>26A21-01</v>
          </cell>
          <cell r="F14">
            <v>13</v>
          </cell>
          <cell r="M14">
            <v>46079</v>
          </cell>
          <cell r="N14">
            <v>6</v>
          </cell>
          <cell r="P14">
            <v>46112</v>
          </cell>
          <cell r="R14">
            <v>21</v>
          </cell>
          <cell r="U14" t="str">
            <v>000000000012369</v>
          </cell>
        </row>
        <row r="15">
          <cell r="D15">
            <v>46079</v>
          </cell>
          <cell r="E15" t="str">
            <v>端材</v>
          </cell>
          <cell r="M15">
            <v>46085</v>
          </cell>
          <cell r="N15">
            <v>6</v>
          </cell>
          <cell r="P15">
            <v>352</v>
          </cell>
          <cell r="R15">
            <v>12</v>
          </cell>
          <cell r="U15" t="str">
            <v>000000000012369</v>
          </cell>
        </row>
        <row r="16">
          <cell r="C16">
            <v>352</v>
          </cell>
          <cell r="D16">
            <v>46085</v>
          </cell>
          <cell r="E16" t="str">
            <v>端材</v>
          </cell>
          <cell r="F16">
            <v>180</v>
          </cell>
          <cell r="M16">
            <v>46111</v>
          </cell>
          <cell r="N16">
            <v>5</v>
          </cell>
          <cell r="P16">
            <v>13</v>
          </cell>
          <cell r="U16" t="str">
            <v>000000000012369</v>
          </cell>
        </row>
        <row r="17">
          <cell r="C17">
            <v>352</v>
          </cell>
          <cell r="D17">
            <v>46107</v>
          </cell>
          <cell r="E17" t="str">
            <v>端材</v>
          </cell>
          <cell r="M17">
            <v>46112</v>
          </cell>
          <cell r="N17">
            <v>5</v>
          </cell>
          <cell r="P17">
            <v>41</v>
          </cell>
          <cell r="U17" t="str">
            <v>000000000012369</v>
          </cell>
        </row>
        <row r="18">
          <cell r="C18">
            <v>1</v>
          </cell>
          <cell r="D18">
            <v>46111</v>
          </cell>
          <cell r="E18" t="str">
            <v>端材</v>
          </cell>
          <cell r="P18">
            <v>41</v>
          </cell>
          <cell r="U18" t="str">
            <v>000000000012369</v>
          </cell>
        </row>
        <row r="19">
          <cell r="C19">
            <v>16</v>
          </cell>
          <cell r="D19">
            <v>46112</v>
          </cell>
          <cell r="E19" t="str">
            <v>端材</v>
          </cell>
          <cell r="F19">
            <v>200</v>
          </cell>
          <cell r="M19" t="str">
            <v>合計</v>
          </cell>
          <cell r="N19">
            <v>22</v>
          </cell>
          <cell r="P19">
            <v>380</v>
          </cell>
          <cell r="U19" t="str">
            <v>000000000012369</v>
          </cell>
        </row>
        <row r="20">
          <cell r="C20" t="str">
            <v>灯具-1　L=1370</v>
          </cell>
          <cell r="M20" t="str">
            <v>入数</v>
          </cell>
          <cell r="N20">
            <v>352</v>
          </cell>
          <cell r="P20">
            <v>393</v>
          </cell>
          <cell r="U20" t="str">
            <v>000000000012369</v>
          </cell>
        </row>
        <row r="21">
          <cell r="M21" t="str">
            <v>作業者</v>
          </cell>
          <cell r="U21" t="str">
            <v>000000000012369</v>
          </cell>
        </row>
        <row r="22">
          <cell r="C22">
            <v>11</v>
          </cell>
          <cell r="R22">
            <v>8</v>
          </cell>
          <cell r="U22" t="str">
            <v>000000000012369</v>
          </cell>
        </row>
        <row r="23">
          <cell r="M23" t="str">
            <v>T</v>
          </cell>
          <cell r="N23" t="str">
            <v>I/C</v>
          </cell>
          <cell r="R23">
            <v>41</v>
          </cell>
          <cell r="U23" t="str">
            <v>000000000012369</v>
          </cell>
        </row>
        <row r="24">
          <cell r="D24" t="str">
            <v>不良補填</v>
          </cell>
          <cell r="F24" t="str">
            <v/>
          </cell>
          <cell r="U24" t="str">
            <v>000000000012369</v>
          </cell>
        </row>
        <row r="25">
          <cell r="C25" t="str">
            <v>ランプシェード　SL-600</v>
          </cell>
          <cell r="M25">
            <v>46111</v>
          </cell>
          <cell r="N25">
            <v>2</v>
          </cell>
          <cell r="P25">
            <v>46114</v>
          </cell>
          <cell r="U25" t="str">
            <v>000000000013022</v>
          </cell>
        </row>
        <row r="26">
          <cell r="D26">
            <v>46108</v>
          </cell>
          <cell r="E26" t="str">
            <v>26C19C-71</v>
          </cell>
          <cell r="F26">
            <v>300</v>
          </cell>
          <cell r="M26">
            <v>46112</v>
          </cell>
          <cell r="N26">
            <v>1</v>
          </cell>
          <cell r="P26">
            <v>1200</v>
          </cell>
          <cell r="U26" t="str">
            <v>000000000013022</v>
          </cell>
        </row>
        <row r="27">
          <cell r="C27">
            <v>1200</v>
          </cell>
          <cell r="D27">
            <v>46111</v>
          </cell>
          <cell r="E27" t="str">
            <v>26C19B-70</v>
          </cell>
          <cell r="F27">
            <v>300</v>
          </cell>
          <cell r="M27">
            <v>46114</v>
          </cell>
          <cell r="N27">
            <v>1</v>
          </cell>
          <cell r="P27">
            <v>600.5</v>
          </cell>
          <cell r="U27" t="str">
            <v>000000000013022</v>
          </cell>
        </row>
        <row r="28">
          <cell r="C28">
            <v>1200</v>
          </cell>
          <cell r="D28">
            <v>46111</v>
          </cell>
          <cell r="E28" t="str">
            <v>26C19B-69</v>
          </cell>
          <cell r="F28">
            <v>300</v>
          </cell>
          <cell r="P28">
            <v>1</v>
          </cell>
          <cell r="R28">
            <v>1</v>
          </cell>
          <cell r="U28" t="str">
            <v>000000000013022</v>
          </cell>
        </row>
        <row r="29">
          <cell r="C29">
            <v>2</v>
          </cell>
          <cell r="D29">
            <v>46111</v>
          </cell>
          <cell r="E29" t="str">
            <v>26C19B-68</v>
          </cell>
          <cell r="F29">
            <v>300</v>
          </cell>
          <cell r="P29">
            <v>0.5</v>
          </cell>
          <cell r="U29" t="str">
            <v>000000000013022</v>
          </cell>
        </row>
        <row r="30">
          <cell r="C30">
            <v>300</v>
          </cell>
          <cell r="D30">
            <v>46114</v>
          </cell>
          <cell r="E30" t="str">
            <v>25K20B-68</v>
          </cell>
          <cell r="F30">
            <v>1</v>
          </cell>
          <cell r="M30" t="str">
            <v>合計</v>
          </cell>
          <cell r="N30">
            <v>4</v>
          </cell>
          <cell r="P30">
            <v>0</v>
          </cell>
          <cell r="U30" t="str">
            <v>000000000013022</v>
          </cell>
        </row>
        <row r="31">
          <cell r="M31" t="str">
            <v>入数</v>
          </cell>
          <cell r="N31">
            <v>1200</v>
          </cell>
          <cell r="P31">
            <v>1201</v>
          </cell>
          <cell r="U31" t="str">
            <v>000000000013022</v>
          </cell>
        </row>
        <row r="32">
          <cell r="M32" t="str">
            <v>作業者</v>
          </cell>
          <cell r="U32" t="str">
            <v>000000000013022</v>
          </cell>
        </row>
        <row r="33">
          <cell r="C33">
            <v>4</v>
          </cell>
          <cell r="M33" t="str">
            <v>C</v>
          </cell>
          <cell r="N33" t="str">
            <v>I</v>
          </cell>
          <cell r="U33" t="str">
            <v>000000000013022</v>
          </cell>
        </row>
        <row r="34">
          <cell r="M34" t="str">
            <v>U</v>
          </cell>
          <cell r="R34">
            <v>1</v>
          </cell>
          <cell r="U34" t="str">
            <v>000000000013022</v>
          </cell>
        </row>
        <row r="35">
          <cell r="D35" t="str">
            <v>不良補填</v>
          </cell>
          <cell r="F35" t="str">
            <v/>
          </cell>
          <cell r="U35" t="str">
            <v>000000000013022</v>
          </cell>
        </row>
        <row r="36">
          <cell r="C36" t="str">
            <v>灯具カバーPC IN 2130　L=908</v>
          </cell>
          <cell r="D36">
            <v>46078</v>
          </cell>
          <cell r="E36" t="str">
            <v>26B18-01</v>
          </cell>
          <cell r="F36">
            <v>12</v>
          </cell>
          <cell r="M36">
            <v>46114</v>
          </cell>
          <cell r="N36">
            <v>12</v>
          </cell>
          <cell r="P36">
            <v>46114</v>
          </cell>
          <cell r="R36">
            <v>5</v>
          </cell>
          <cell r="U36" t="str">
            <v>000000000012943</v>
          </cell>
        </row>
        <row r="37">
          <cell r="D37">
            <v>46114</v>
          </cell>
          <cell r="E37" t="str">
            <v>26C31-01</v>
          </cell>
          <cell r="F37">
            <v>191</v>
          </cell>
          <cell r="P37">
            <v>192</v>
          </cell>
          <cell r="R37">
            <v>6</v>
          </cell>
          <cell r="U37" t="str">
            <v>000000000012943</v>
          </cell>
        </row>
        <row r="38">
          <cell r="C38">
            <v>192</v>
          </cell>
          <cell r="P38">
            <v>203</v>
          </cell>
          <cell r="U38" t="str">
            <v>000000000012943</v>
          </cell>
        </row>
        <row r="39">
          <cell r="C39">
            <v>192</v>
          </cell>
          <cell r="P39">
            <v>11</v>
          </cell>
          <cell r="U39" t="str">
            <v>000000000012943</v>
          </cell>
        </row>
        <row r="40">
          <cell r="C40">
            <v>1</v>
          </cell>
          <cell r="P40">
            <v>11</v>
          </cell>
          <cell r="U40" t="str">
            <v>000000000012943</v>
          </cell>
        </row>
        <row r="41">
          <cell r="C41">
            <v>16</v>
          </cell>
          <cell r="M41" t="str">
            <v>合計</v>
          </cell>
          <cell r="N41">
            <v>12</v>
          </cell>
          <cell r="P41">
            <v>0</v>
          </cell>
          <cell r="U41" t="str">
            <v>000000000012943</v>
          </cell>
        </row>
        <row r="42">
          <cell r="C42" t="str">
            <v>灯具-3　L=970</v>
          </cell>
          <cell r="M42" t="str">
            <v>入数</v>
          </cell>
          <cell r="N42">
            <v>192</v>
          </cell>
          <cell r="P42">
            <v>203</v>
          </cell>
          <cell r="U42" t="str">
            <v>000000000012943</v>
          </cell>
        </row>
        <row r="43">
          <cell r="M43" t="str">
            <v>作業者</v>
          </cell>
          <cell r="U43" t="str">
            <v>000000000012943</v>
          </cell>
        </row>
        <row r="44">
          <cell r="C44">
            <v>12</v>
          </cell>
          <cell r="U44" t="str">
            <v>000000000012943</v>
          </cell>
        </row>
        <row r="45">
          <cell r="M45" t="str">
            <v>T</v>
          </cell>
          <cell r="N45" t="str">
            <v>I</v>
          </cell>
          <cell r="R45">
            <v>11</v>
          </cell>
          <cell r="U45" t="str">
            <v>000000000012943</v>
          </cell>
        </row>
        <row r="46">
          <cell r="D46" t="str">
            <v>不良補填</v>
          </cell>
          <cell r="F46" t="str">
            <v/>
          </cell>
          <cell r="U46" t="str">
            <v>000000000012943</v>
          </cell>
        </row>
        <row r="47">
          <cell r="C47" t="str">
            <v>灯具カバーPC IN 2050　L=1183.5</v>
          </cell>
          <cell r="D47">
            <v>46085</v>
          </cell>
          <cell r="E47" t="str">
            <v>26B19-01</v>
          </cell>
          <cell r="F47">
            <v>3</v>
          </cell>
          <cell r="M47">
            <v>46114</v>
          </cell>
          <cell r="N47">
            <v>9</v>
          </cell>
          <cell r="P47">
            <v>46115</v>
          </cell>
          <cell r="R47">
            <v>6</v>
          </cell>
          <cell r="U47" t="str">
            <v>000000000012945</v>
          </cell>
        </row>
        <row r="48">
          <cell r="D48">
            <v>46114</v>
          </cell>
          <cell r="E48" t="str">
            <v>26C31-01</v>
          </cell>
          <cell r="F48">
            <v>200</v>
          </cell>
          <cell r="M48">
            <v>46115</v>
          </cell>
          <cell r="N48">
            <v>3</v>
          </cell>
          <cell r="P48">
            <v>192</v>
          </cell>
          <cell r="R48">
            <v>5</v>
          </cell>
          <cell r="U48" t="str">
            <v>000000000012945</v>
          </cell>
        </row>
        <row r="49">
          <cell r="C49">
            <v>192</v>
          </cell>
          <cell r="P49">
            <v>203</v>
          </cell>
          <cell r="U49" t="str">
            <v>000000000012945</v>
          </cell>
        </row>
        <row r="50">
          <cell r="C50">
            <v>192</v>
          </cell>
          <cell r="P50">
            <v>11</v>
          </cell>
          <cell r="U50" t="str">
            <v>000000000012945</v>
          </cell>
        </row>
        <row r="51">
          <cell r="C51">
            <v>1</v>
          </cell>
          <cell r="P51">
            <v>11</v>
          </cell>
          <cell r="U51" t="str">
            <v>000000000012945</v>
          </cell>
        </row>
        <row r="52">
          <cell r="C52">
            <v>16</v>
          </cell>
          <cell r="M52" t="str">
            <v>合計</v>
          </cell>
          <cell r="N52">
            <v>12</v>
          </cell>
          <cell r="P52">
            <v>0</v>
          </cell>
          <cell r="U52" t="str">
            <v>000000000012945</v>
          </cell>
        </row>
        <row r="53">
          <cell r="C53" t="str">
            <v>灯具-1　L=1370</v>
          </cell>
          <cell r="M53" t="str">
            <v>入数</v>
          </cell>
          <cell r="N53">
            <v>192</v>
          </cell>
          <cell r="P53">
            <v>203</v>
          </cell>
          <cell r="U53" t="str">
            <v>000000000012945</v>
          </cell>
        </row>
        <row r="54">
          <cell r="M54" t="str">
            <v>作業者</v>
          </cell>
          <cell r="U54" t="str">
            <v>000000000012945</v>
          </cell>
        </row>
        <row r="55">
          <cell r="C55">
            <v>12</v>
          </cell>
          <cell r="M55" t="str">
            <v>T</v>
          </cell>
          <cell r="N55" t="str">
            <v>I</v>
          </cell>
          <cell r="U55" t="str">
            <v>000000000012945</v>
          </cell>
        </row>
        <row r="56">
          <cell r="R56">
            <v>11</v>
          </cell>
          <cell r="U56" t="str">
            <v>000000000012945</v>
          </cell>
        </row>
        <row r="57">
          <cell r="D57" t="str">
            <v>不良補填</v>
          </cell>
          <cell r="F57" t="str">
            <v/>
          </cell>
          <cell r="U57" t="str">
            <v>000000000012945</v>
          </cell>
        </row>
        <row r="58">
          <cell r="C58" t="str">
            <v>8FL281304 5010　L=888</v>
          </cell>
          <cell r="M58">
            <v>46113</v>
          </cell>
          <cell r="N58">
            <v>3</v>
          </cell>
          <cell r="P58">
            <v>46115</v>
          </cell>
          <cell r="R58">
            <v>5</v>
          </cell>
          <cell r="U58" t="str">
            <v>000000000013165</v>
          </cell>
        </row>
        <row r="59">
          <cell r="D59">
            <v>46113</v>
          </cell>
          <cell r="E59" t="str">
            <v>26B28-05</v>
          </cell>
          <cell r="M59">
            <v>46114</v>
          </cell>
          <cell r="N59">
            <v>5</v>
          </cell>
          <cell r="P59">
            <v>2000</v>
          </cell>
          <cell r="U59" t="str">
            <v>000000000013165</v>
          </cell>
        </row>
        <row r="60">
          <cell r="C60">
            <v>2000</v>
          </cell>
          <cell r="D60">
            <v>46113</v>
          </cell>
          <cell r="E60" t="str">
            <v>26B28-05</v>
          </cell>
          <cell r="F60">
            <v>256</v>
          </cell>
          <cell r="M60">
            <v>46115</v>
          </cell>
          <cell r="N60">
            <v>12</v>
          </cell>
          <cell r="P60">
            <v>1003</v>
          </cell>
          <cell r="U60" t="str">
            <v>000000000013165</v>
          </cell>
        </row>
        <row r="61">
          <cell r="C61">
            <v>2000</v>
          </cell>
          <cell r="D61">
            <v>46113</v>
          </cell>
          <cell r="E61" t="str">
            <v>26C24-04</v>
          </cell>
          <cell r="F61">
            <v>144</v>
          </cell>
          <cell r="P61">
            <v>6</v>
          </cell>
          <cell r="U61" t="str">
            <v>000000000013165</v>
          </cell>
        </row>
        <row r="62">
          <cell r="C62">
            <v>2</v>
          </cell>
          <cell r="D62">
            <v>46113</v>
          </cell>
          <cell r="E62" t="str">
            <v>26C24-04</v>
          </cell>
          <cell r="F62">
            <v>400</v>
          </cell>
          <cell r="P62">
            <v>3</v>
          </cell>
          <cell r="U62" t="str">
            <v>000000000013165</v>
          </cell>
        </row>
        <row r="63">
          <cell r="C63">
            <v>100</v>
          </cell>
          <cell r="D63">
            <v>46113</v>
          </cell>
          <cell r="E63" t="str">
            <v>26C24-04</v>
          </cell>
          <cell r="F63">
            <v>400</v>
          </cell>
          <cell r="M63" t="str">
            <v>合計</v>
          </cell>
          <cell r="N63">
            <v>20</v>
          </cell>
          <cell r="P63">
            <v>0</v>
          </cell>
          <cell r="U63" t="str">
            <v>000000000013165</v>
          </cell>
        </row>
        <row r="64">
          <cell r="C64" t="str">
            <v>LED-A888</v>
          </cell>
          <cell r="D64">
            <v>46114</v>
          </cell>
          <cell r="E64" t="str">
            <v>26C24-04</v>
          </cell>
          <cell r="F64">
            <v>400</v>
          </cell>
          <cell r="M64" t="str">
            <v>入数</v>
          </cell>
          <cell r="N64">
            <v>2000</v>
          </cell>
          <cell r="P64">
            <v>2006</v>
          </cell>
          <cell r="U64" t="str">
            <v>000000000013165</v>
          </cell>
        </row>
        <row r="65">
          <cell r="D65">
            <v>46114</v>
          </cell>
          <cell r="E65" t="str">
            <v>26C24-04</v>
          </cell>
          <cell r="F65">
            <v>256</v>
          </cell>
          <cell r="M65" t="str">
            <v>作業者</v>
          </cell>
          <cell r="U65" t="str">
            <v>000000000013165</v>
          </cell>
        </row>
        <row r="66">
          <cell r="C66">
            <v>20</v>
          </cell>
          <cell r="D66">
            <v>46115</v>
          </cell>
          <cell r="E66" t="str">
            <v>26C25-05</v>
          </cell>
          <cell r="F66">
            <v>144</v>
          </cell>
          <cell r="M66" t="str">
            <v>I</v>
          </cell>
          <cell r="R66">
            <v>1</v>
          </cell>
          <cell r="U66" t="str">
            <v>000000000013165</v>
          </cell>
        </row>
        <row r="67">
          <cell r="M67" t="str">
            <v>U</v>
          </cell>
          <cell r="N67" t="str">
            <v>T</v>
          </cell>
          <cell r="R67">
            <v>6</v>
          </cell>
          <cell r="U67" t="str">
            <v>000000000013165</v>
          </cell>
        </row>
        <row r="68">
          <cell r="D68" t="str">
            <v>不良補填</v>
          </cell>
          <cell r="E68" t="str">
            <v>26B28-05</v>
          </cell>
          <cell r="F68">
            <v>6</v>
          </cell>
          <cell r="U68" t="str">
            <v>000000000013165</v>
          </cell>
        </row>
        <row r="69">
          <cell r="C69" t="str">
            <v>8FL281304 5010　L=888</v>
          </cell>
          <cell r="M69">
            <v>46116</v>
          </cell>
          <cell r="N69">
            <v>4</v>
          </cell>
          <cell r="P69">
            <v>46116</v>
          </cell>
          <cell r="R69">
            <v>3</v>
          </cell>
          <cell r="U69" t="str">
            <v>000000000013166</v>
          </cell>
        </row>
        <row r="70">
          <cell r="D70">
            <v>46115</v>
          </cell>
          <cell r="E70" t="str">
            <v>26C25-05</v>
          </cell>
          <cell r="P70">
            <v>400</v>
          </cell>
          <cell r="U70" t="str">
            <v>000000000013166</v>
          </cell>
        </row>
        <row r="71">
          <cell r="C71">
            <v>400</v>
          </cell>
          <cell r="D71">
            <v>46115</v>
          </cell>
          <cell r="E71" t="str">
            <v>26C25-05</v>
          </cell>
          <cell r="F71">
            <v>400</v>
          </cell>
          <cell r="P71">
            <v>201.5</v>
          </cell>
          <cell r="U71" t="str">
            <v>000000000013166</v>
          </cell>
        </row>
        <row r="72">
          <cell r="C72">
            <v>400</v>
          </cell>
          <cell r="P72">
            <v>3</v>
          </cell>
          <cell r="U72" t="str">
            <v>000000000013166</v>
          </cell>
        </row>
        <row r="73">
          <cell r="C73">
            <v>2</v>
          </cell>
          <cell r="P73">
            <v>1.5</v>
          </cell>
          <cell r="U73" t="str">
            <v>000000000013166</v>
          </cell>
        </row>
        <row r="74">
          <cell r="C74">
            <v>100</v>
          </cell>
          <cell r="M74" t="str">
            <v>合計</v>
          </cell>
          <cell r="N74">
            <v>4</v>
          </cell>
          <cell r="P74">
            <v>0</v>
          </cell>
          <cell r="U74" t="str">
            <v>000000000013166</v>
          </cell>
        </row>
        <row r="75">
          <cell r="C75" t="str">
            <v>LED-A888</v>
          </cell>
          <cell r="M75" t="str">
            <v>入数</v>
          </cell>
          <cell r="N75">
            <v>400</v>
          </cell>
          <cell r="P75">
            <v>403</v>
          </cell>
          <cell r="U75" t="str">
            <v>000000000013166</v>
          </cell>
        </row>
        <row r="76">
          <cell r="M76" t="str">
            <v>作業者</v>
          </cell>
          <cell r="U76" t="str">
            <v>000000000013166</v>
          </cell>
        </row>
        <row r="77">
          <cell r="C77">
            <v>4</v>
          </cell>
          <cell r="M77" t="str">
            <v>I</v>
          </cell>
          <cell r="U77" t="str">
            <v>000000000013166</v>
          </cell>
        </row>
        <row r="78">
          <cell r="M78" t="str">
            <v>U</v>
          </cell>
          <cell r="N78" t="str">
            <v>T</v>
          </cell>
          <cell r="R78">
            <v>3</v>
          </cell>
          <cell r="U78" t="str">
            <v>000000000013166</v>
          </cell>
        </row>
        <row r="79">
          <cell r="D79" t="str">
            <v>不良補填</v>
          </cell>
          <cell r="E79" t="str">
            <v>26B28-05</v>
          </cell>
          <cell r="F79">
            <v>3</v>
          </cell>
          <cell r="U79" t="str">
            <v>000000000013166</v>
          </cell>
        </row>
        <row r="80">
          <cell r="C80" t="str">
            <v>8FL281304 4910　L=592</v>
          </cell>
          <cell r="M80">
            <v>46118</v>
          </cell>
          <cell r="N80">
            <v>3</v>
          </cell>
          <cell r="P80">
            <v>46118</v>
          </cell>
          <cell r="R80">
            <v>1</v>
          </cell>
          <cell r="U80" t="str">
            <v>000000000013160</v>
          </cell>
        </row>
        <row r="81">
          <cell r="D81">
            <v>46115</v>
          </cell>
          <cell r="E81" t="str">
            <v>26C25-05</v>
          </cell>
          <cell r="P81">
            <v>300</v>
          </cell>
          <cell r="U81" t="str">
            <v>000000000013160</v>
          </cell>
        </row>
        <row r="82">
          <cell r="C82">
            <v>300</v>
          </cell>
          <cell r="D82">
            <v>46118</v>
          </cell>
          <cell r="E82" t="str">
            <v>26C25-05</v>
          </cell>
          <cell r="F82">
            <v>300</v>
          </cell>
          <cell r="P82">
            <v>101</v>
          </cell>
          <cell r="R82">
            <v>1</v>
          </cell>
          <cell r="U82" t="str">
            <v>000000000013160</v>
          </cell>
        </row>
        <row r="83">
          <cell r="C83">
            <v>300</v>
          </cell>
          <cell r="P83">
            <v>3</v>
          </cell>
          <cell r="U83" t="str">
            <v>000000000013160</v>
          </cell>
        </row>
        <row r="84">
          <cell r="C84">
            <v>3</v>
          </cell>
          <cell r="P84">
            <v>1</v>
          </cell>
          <cell r="U84" t="str">
            <v>000000000013160</v>
          </cell>
        </row>
        <row r="85">
          <cell r="C85">
            <v>100</v>
          </cell>
          <cell r="M85" t="str">
            <v>合計</v>
          </cell>
          <cell r="N85">
            <v>3</v>
          </cell>
          <cell r="P85">
            <v>0</v>
          </cell>
          <cell r="U85" t="str">
            <v>000000000013160</v>
          </cell>
        </row>
        <row r="86">
          <cell r="C86" t="str">
            <v>LED-A592</v>
          </cell>
          <cell r="M86" t="str">
            <v>入数</v>
          </cell>
          <cell r="N86">
            <v>300</v>
          </cell>
          <cell r="P86">
            <v>303</v>
          </cell>
          <cell r="U86" t="str">
            <v>000000000013160</v>
          </cell>
        </row>
        <row r="87">
          <cell r="M87" t="str">
            <v>作業者</v>
          </cell>
          <cell r="U87" t="str">
            <v>000000000013160</v>
          </cell>
        </row>
        <row r="88">
          <cell r="C88">
            <v>3</v>
          </cell>
          <cell r="M88" t="str">
            <v>I</v>
          </cell>
          <cell r="R88">
            <v>1</v>
          </cell>
          <cell r="U88" t="str">
            <v>000000000013160</v>
          </cell>
        </row>
        <row r="89">
          <cell r="M89" t="str">
            <v>T</v>
          </cell>
          <cell r="R89">
            <v>3</v>
          </cell>
          <cell r="U89" t="str">
            <v>000000000013160</v>
          </cell>
        </row>
        <row r="90">
          <cell r="D90" t="str">
            <v>不良補填</v>
          </cell>
          <cell r="E90" t="str">
            <v>26A23-05</v>
          </cell>
          <cell r="F90">
            <v>3</v>
          </cell>
          <cell r="U90" t="str">
            <v>000000000013160</v>
          </cell>
        </row>
        <row r="91">
          <cell r="C91" t="str">
            <v>8FL281304 4910　L=592</v>
          </cell>
          <cell r="M91">
            <v>46118</v>
          </cell>
          <cell r="N91">
            <v>2</v>
          </cell>
          <cell r="P91">
            <v>46118</v>
          </cell>
          <cell r="R91">
            <v>1</v>
          </cell>
          <cell r="U91" t="str">
            <v>000000000013161</v>
          </cell>
        </row>
        <row r="92">
          <cell r="D92">
            <v>46118</v>
          </cell>
          <cell r="E92" t="str">
            <v>26C25-05</v>
          </cell>
          <cell r="P92">
            <v>200</v>
          </cell>
          <cell r="U92" t="str">
            <v>000000000013161</v>
          </cell>
        </row>
        <row r="93">
          <cell r="C93">
            <v>200</v>
          </cell>
          <cell r="D93">
            <v>46118</v>
          </cell>
          <cell r="E93" t="str">
            <v>26C25-05</v>
          </cell>
          <cell r="F93">
            <v>200</v>
          </cell>
          <cell r="P93">
            <v>67</v>
          </cell>
          <cell r="U93" t="str">
            <v>000000000013161</v>
          </cell>
        </row>
        <row r="94">
          <cell r="C94">
            <v>200</v>
          </cell>
          <cell r="P94">
            <v>1</v>
          </cell>
          <cell r="U94" t="str">
            <v>000000000013161</v>
          </cell>
        </row>
        <row r="95">
          <cell r="C95">
            <v>3</v>
          </cell>
          <cell r="P95">
            <v>0.33333333333333331</v>
          </cell>
          <cell r="U95" t="str">
            <v>000000000013161</v>
          </cell>
        </row>
        <row r="96">
          <cell r="C96">
            <v>100</v>
          </cell>
          <cell r="M96" t="str">
            <v>合計</v>
          </cell>
          <cell r="N96">
            <v>2</v>
          </cell>
          <cell r="P96">
            <v>0</v>
          </cell>
          <cell r="U96" t="str">
            <v>000000000013161</v>
          </cell>
        </row>
        <row r="97">
          <cell r="C97" t="str">
            <v>LED-A592</v>
          </cell>
          <cell r="M97" t="str">
            <v>入数</v>
          </cell>
          <cell r="N97">
            <v>200</v>
          </cell>
          <cell r="P97">
            <v>201</v>
          </cell>
          <cell r="U97" t="str">
            <v>000000000013161</v>
          </cell>
        </row>
        <row r="98">
          <cell r="M98" t="str">
            <v>作業者</v>
          </cell>
          <cell r="U98" t="str">
            <v>000000000013161</v>
          </cell>
        </row>
        <row r="99">
          <cell r="C99">
            <v>2</v>
          </cell>
          <cell r="M99" t="str">
            <v>I</v>
          </cell>
          <cell r="U99" t="str">
            <v>000000000013161</v>
          </cell>
        </row>
        <row r="100">
          <cell r="M100" t="str">
            <v>T</v>
          </cell>
          <cell r="R100">
            <v>1</v>
          </cell>
          <cell r="U100" t="str">
            <v>000000000013161</v>
          </cell>
        </row>
        <row r="101">
          <cell r="D101" t="str">
            <v>不良補填</v>
          </cell>
          <cell r="E101" t="str">
            <v>26A23-05</v>
          </cell>
          <cell r="F101">
            <v>1</v>
          </cell>
          <cell r="U101" t="str">
            <v>000000000013161</v>
          </cell>
        </row>
        <row r="102">
          <cell r="C102" t="str">
            <v>8FL281304 4910　L=592</v>
          </cell>
          <cell r="M102">
            <v>46118</v>
          </cell>
          <cell r="N102">
            <v>1</v>
          </cell>
          <cell r="P102">
            <v>46118</v>
          </cell>
          <cell r="U102" t="str">
            <v>000000000013162</v>
          </cell>
        </row>
        <row r="103">
          <cell r="D103">
            <v>46118</v>
          </cell>
          <cell r="E103" t="str">
            <v>26C25-05</v>
          </cell>
          <cell r="P103">
            <v>100</v>
          </cell>
          <cell r="U103" t="str">
            <v>000000000013162</v>
          </cell>
        </row>
        <row r="104">
          <cell r="C104">
            <v>100</v>
          </cell>
          <cell r="D104">
            <v>46118</v>
          </cell>
          <cell r="E104" t="str">
            <v>26C25-05</v>
          </cell>
          <cell r="F104">
            <v>100</v>
          </cell>
          <cell r="P104">
            <v>33.333333333333336</v>
          </cell>
          <cell r="U104" t="str">
            <v>000000000013162</v>
          </cell>
        </row>
        <row r="105">
          <cell r="C105">
            <v>100</v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M107" t="str">
            <v>合計</v>
          </cell>
          <cell r="N107">
            <v>1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M108" t="str">
            <v>入数</v>
          </cell>
          <cell r="N108">
            <v>100</v>
          </cell>
          <cell r="P108">
            <v>100</v>
          </cell>
          <cell r="U108" t="str">
            <v>000000000013162</v>
          </cell>
        </row>
        <row r="109">
          <cell r="M109" t="str">
            <v>作業者</v>
          </cell>
          <cell r="U109" t="str">
            <v>000000000013162</v>
          </cell>
        </row>
        <row r="110">
          <cell r="C110">
            <v>1</v>
          </cell>
          <cell r="M110" t="str">
            <v>I</v>
          </cell>
          <cell r="U110" t="str">
            <v>000000000013162</v>
          </cell>
        </row>
        <row r="111">
          <cell r="M111" t="str">
            <v>T</v>
          </cell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8FL281304 6110　L=1478</v>
          </cell>
          <cell r="D113">
            <v>46091</v>
          </cell>
          <cell r="E113" t="str">
            <v>26B26-03</v>
          </cell>
          <cell r="F113">
            <v>7</v>
          </cell>
          <cell r="M113">
            <v>46118</v>
          </cell>
          <cell r="N113">
            <v>4</v>
          </cell>
          <cell r="P113">
            <v>46118</v>
          </cell>
          <cell r="R113">
            <v>1</v>
          </cell>
          <cell r="U113" t="str">
            <v>000000000013176</v>
          </cell>
        </row>
        <row r="114">
          <cell r="D114">
            <v>46118</v>
          </cell>
          <cell r="E114" t="str">
            <v>26C25-05</v>
          </cell>
          <cell r="F114">
            <v>301</v>
          </cell>
          <cell r="P114">
            <v>400</v>
          </cell>
          <cell r="R114">
            <v>1</v>
          </cell>
          <cell r="U114" t="str">
            <v>000000000013176</v>
          </cell>
        </row>
        <row r="115">
          <cell r="C115">
            <v>400</v>
          </cell>
          <cell r="D115">
            <v>46118</v>
          </cell>
          <cell r="E115" t="str">
            <v>26C27-07</v>
          </cell>
          <cell r="F115">
            <v>92</v>
          </cell>
          <cell r="P115">
            <v>403</v>
          </cell>
          <cell r="R115">
            <v>1</v>
          </cell>
          <cell r="U115" t="str">
            <v>000000000013176</v>
          </cell>
        </row>
        <row r="116">
          <cell r="C116">
            <v>400</v>
          </cell>
          <cell r="P116">
            <v>3</v>
          </cell>
          <cell r="U116" t="str">
            <v>000000000013176</v>
          </cell>
        </row>
        <row r="117">
          <cell r="C117">
            <v>1</v>
          </cell>
          <cell r="P117">
            <v>3</v>
          </cell>
          <cell r="U117" t="str">
            <v>000000000013176</v>
          </cell>
        </row>
        <row r="118">
          <cell r="C118">
            <v>100</v>
          </cell>
          <cell r="M118" t="str">
            <v>合計</v>
          </cell>
          <cell r="N118">
            <v>4</v>
          </cell>
          <cell r="P118">
            <v>0</v>
          </cell>
          <cell r="U118" t="str">
            <v>000000000013176</v>
          </cell>
        </row>
        <row r="119">
          <cell r="C119" t="str">
            <v>LED-A1478</v>
          </cell>
          <cell r="M119" t="str">
            <v>入数</v>
          </cell>
          <cell r="N119">
            <v>400</v>
          </cell>
          <cell r="P119">
            <v>403</v>
          </cell>
          <cell r="U119" t="str">
            <v>000000000013176</v>
          </cell>
        </row>
        <row r="120">
          <cell r="M120" t="str">
            <v>作業者</v>
          </cell>
          <cell r="U120" t="str">
            <v>000000000013176</v>
          </cell>
        </row>
        <row r="121">
          <cell r="C121">
            <v>4</v>
          </cell>
          <cell r="M121" t="str">
            <v>I</v>
          </cell>
          <cell r="N121" t="str">
            <v>C</v>
          </cell>
          <cell r="U121" t="str">
            <v>000000000013176</v>
          </cell>
        </row>
        <row r="122">
          <cell r="M122" t="str">
            <v>T</v>
          </cell>
          <cell r="N122" t="str">
            <v>U</v>
          </cell>
          <cell r="R122">
            <v>3</v>
          </cell>
          <cell r="U122" t="str">
            <v>000000000013176</v>
          </cell>
        </row>
        <row r="123">
          <cell r="D123" t="str">
            <v>不良補填</v>
          </cell>
          <cell r="E123" t="str">
            <v>26C25-05</v>
          </cell>
          <cell r="F123">
            <v>3</v>
          </cell>
          <cell r="U123" t="str">
            <v>000000000013176</v>
          </cell>
        </row>
        <row r="124">
          <cell r="C124" t="str">
            <v>8FL281304 6110　L=1478</v>
          </cell>
          <cell r="M124">
            <v>46118</v>
          </cell>
          <cell r="N124">
            <v>5</v>
          </cell>
          <cell r="P124">
            <v>46118</v>
          </cell>
          <cell r="R124">
            <v>1</v>
          </cell>
          <cell r="U124" t="str">
            <v>000000000013177</v>
          </cell>
        </row>
        <row r="125">
          <cell r="D125">
            <v>46118</v>
          </cell>
          <cell r="E125" t="str">
            <v>26C27-07</v>
          </cell>
          <cell r="P125">
            <v>500</v>
          </cell>
          <cell r="U125" t="str">
            <v>000000000013177</v>
          </cell>
        </row>
        <row r="126">
          <cell r="C126">
            <v>500</v>
          </cell>
          <cell r="D126">
            <v>46118</v>
          </cell>
          <cell r="E126" t="str">
            <v>26C27-07</v>
          </cell>
          <cell r="F126">
            <v>400</v>
          </cell>
          <cell r="P126">
            <v>505</v>
          </cell>
          <cell r="U126" t="str">
            <v>000000000013177</v>
          </cell>
        </row>
        <row r="127">
          <cell r="C127">
            <v>500</v>
          </cell>
          <cell r="D127">
            <v>46118</v>
          </cell>
          <cell r="E127" t="str">
            <v>26C27-07</v>
          </cell>
          <cell r="F127">
            <v>100</v>
          </cell>
          <cell r="P127">
            <v>5</v>
          </cell>
          <cell r="U127" t="str">
            <v>000000000013177</v>
          </cell>
        </row>
        <row r="128">
          <cell r="C128">
            <v>1</v>
          </cell>
          <cell r="P128">
            <v>5</v>
          </cell>
          <cell r="U128" t="str">
            <v>000000000013177</v>
          </cell>
        </row>
        <row r="129">
          <cell r="C129">
            <v>100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000000000013177</v>
          </cell>
        </row>
        <row r="130">
          <cell r="C130" t="str">
            <v>LED-A1478</v>
          </cell>
          <cell r="M130" t="str">
            <v>入数</v>
          </cell>
          <cell r="N130">
            <v>500</v>
          </cell>
          <cell r="P130">
            <v>505</v>
          </cell>
          <cell r="U130" t="str">
            <v>000000000013177</v>
          </cell>
        </row>
        <row r="131">
          <cell r="M131" t="str">
            <v>作業者</v>
          </cell>
          <cell r="U131" t="str">
            <v>000000000013177</v>
          </cell>
        </row>
        <row r="132">
          <cell r="C132">
            <v>5</v>
          </cell>
          <cell r="M132" t="str">
            <v>I</v>
          </cell>
          <cell r="R132">
            <v>4</v>
          </cell>
          <cell r="U132" t="str">
            <v>000000000013177</v>
          </cell>
        </row>
        <row r="133">
          <cell r="M133" t="str">
            <v>T</v>
          </cell>
          <cell r="N133" t="str">
            <v>U</v>
          </cell>
          <cell r="R133">
            <v>5</v>
          </cell>
          <cell r="U133" t="str">
            <v>000000000013177</v>
          </cell>
        </row>
        <row r="134">
          <cell r="D134" t="str">
            <v>不良補填</v>
          </cell>
          <cell r="E134" t="str">
            <v>26C25-05</v>
          </cell>
          <cell r="F134">
            <v>5</v>
          </cell>
          <cell r="U134" t="str">
            <v>000000000013177</v>
          </cell>
        </row>
        <row r="135">
          <cell r="C135" t="str">
            <v>8FL281304 6110　L=1478</v>
          </cell>
          <cell r="M135">
            <v>46119</v>
          </cell>
          <cell r="N135">
            <v>1</v>
          </cell>
          <cell r="P135">
            <v>46119</v>
          </cell>
          <cell r="U135" t="str">
            <v>000000000013401</v>
          </cell>
        </row>
        <row r="136">
          <cell r="D136">
            <v>46118</v>
          </cell>
          <cell r="E136" t="str">
            <v>26C27-07</v>
          </cell>
          <cell r="P136">
            <v>100</v>
          </cell>
          <cell r="U136" t="str">
            <v>000000000013401</v>
          </cell>
        </row>
        <row r="137">
          <cell r="C137">
            <v>100</v>
          </cell>
          <cell r="D137">
            <v>46118</v>
          </cell>
          <cell r="E137" t="str">
            <v>26C27-07</v>
          </cell>
          <cell r="F137">
            <v>100</v>
          </cell>
          <cell r="P137">
            <v>100</v>
          </cell>
          <cell r="U137" t="str">
            <v>000000000013401</v>
          </cell>
        </row>
        <row r="138">
          <cell r="C138">
            <v>100</v>
          </cell>
          <cell r="P138">
            <v>0</v>
          </cell>
          <cell r="U138" t="str">
            <v>000000000013401</v>
          </cell>
        </row>
        <row r="139">
          <cell r="C139">
            <v>1</v>
          </cell>
          <cell r="P139">
            <v>0</v>
          </cell>
          <cell r="U139" t="str">
            <v>000000000013401</v>
          </cell>
        </row>
        <row r="140">
          <cell r="C140">
            <v>100</v>
          </cell>
          <cell r="M140" t="str">
            <v>合計</v>
          </cell>
          <cell r="N140">
            <v>1</v>
          </cell>
          <cell r="P140">
            <v>0</v>
          </cell>
          <cell r="U140" t="str">
            <v>000000000013401</v>
          </cell>
        </row>
        <row r="141">
          <cell r="C141" t="str">
            <v>LED-A1478</v>
          </cell>
          <cell r="M141" t="str">
            <v>入数</v>
          </cell>
          <cell r="N141">
            <v>100</v>
          </cell>
          <cell r="P141">
            <v>100</v>
          </cell>
          <cell r="U141" t="str">
            <v>000000000013401</v>
          </cell>
        </row>
        <row r="142">
          <cell r="M142" t="str">
            <v>作業者</v>
          </cell>
          <cell r="U142" t="str">
            <v>000000000013401</v>
          </cell>
        </row>
        <row r="143">
          <cell r="C143">
            <v>1</v>
          </cell>
          <cell r="M143" t="str">
            <v>I</v>
          </cell>
          <cell r="U143" t="str">
            <v>000000000013401</v>
          </cell>
        </row>
        <row r="144">
          <cell r="M144" t="str">
            <v>T</v>
          </cell>
          <cell r="R144">
            <v>0</v>
          </cell>
          <cell r="U144" t="str">
            <v>000000000013401</v>
          </cell>
        </row>
        <row r="145">
          <cell r="D145" t="str">
            <v>不良補填</v>
          </cell>
          <cell r="F145">
            <v>0</v>
          </cell>
          <cell r="U145" t="str">
            <v>000000000013401</v>
          </cell>
        </row>
        <row r="146">
          <cell r="C146" t="str">
            <v>8FL281304 6110　L=1478</v>
          </cell>
          <cell r="M146">
            <v>46119</v>
          </cell>
          <cell r="N146">
            <v>2</v>
          </cell>
          <cell r="P146">
            <v>46119</v>
          </cell>
          <cell r="U146" t="str">
            <v>000000000013178</v>
          </cell>
        </row>
        <row r="147">
          <cell r="D147">
            <v>46118</v>
          </cell>
          <cell r="E147" t="str">
            <v>26C27-07</v>
          </cell>
          <cell r="P147">
            <v>200</v>
          </cell>
          <cell r="U147" t="str">
            <v>000000000013178</v>
          </cell>
        </row>
        <row r="148">
          <cell r="C148">
            <v>200</v>
          </cell>
          <cell r="D148">
            <v>46119</v>
          </cell>
          <cell r="E148" t="str">
            <v>26C27-07</v>
          </cell>
          <cell r="F148">
            <v>104</v>
          </cell>
          <cell r="P148">
            <v>200</v>
          </cell>
          <cell r="U148" t="str">
            <v>000000000013178</v>
          </cell>
        </row>
        <row r="149">
          <cell r="C149">
            <v>200</v>
          </cell>
          <cell r="D149">
            <v>46119</v>
          </cell>
          <cell r="E149" t="str">
            <v>26C26-06</v>
          </cell>
          <cell r="P149">
            <v>0</v>
          </cell>
          <cell r="U149" t="str">
            <v>000000000013178</v>
          </cell>
        </row>
        <row r="150">
          <cell r="C150">
            <v>1</v>
          </cell>
          <cell r="D150">
            <v>46119</v>
          </cell>
          <cell r="E150" t="str">
            <v>26C26-06</v>
          </cell>
          <cell r="F150">
            <v>96</v>
          </cell>
          <cell r="P150">
            <v>0</v>
          </cell>
          <cell r="U150" t="str">
            <v>000000000013178</v>
          </cell>
        </row>
        <row r="151">
          <cell r="C151">
            <v>100</v>
          </cell>
          <cell r="M151" t="str">
            <v>合計</v>
          </cell>
          <cell r="N151">
            <v>2</v>
          </cell>
          <cell r="P151">
            <v>0</v>
          </cell>
          <cell r="U151" t="str">
            <v>000000000013178</v>
          </cell>
        </row>
        <row r="152">
          <cell r="C152" t="str">
            <v>LED-A1478</v>
          </cell>
          <cell r="M152" t="str">
            <v>入数</v>
          </cell>
          <cell r="N152">
            <v>200</v>
          </cell>
          <cell r="P152">
            <v>200</v>
          </cell>
          <cell r="U152" t="str">
            <v>000000000013178</v>
          </cell>
        </row>
        <row r="153">
          <cell r="M153" t="str">
            <v>作業者</v>
          </cell>
          <cell r="U153" t="str">
            <v>000000000013178</v>
          </cell>
        </row>
        <row r="154">
          <cell r="C154">
            <v>2</v>
          </cell>
          <cell r="M154" t="str">
            <v>I</v>
          </cell>
          <cell r="U154" t="str">
            <v>000000000013178</v>
          </cell>
        </row>
        <row r="155">
          <cell r="M155" t="str">
            <v>T</v>
          </cell>
          <cell r="R155">
            <v>0</v>
          </cell>
          <cell r="U155" t="str">
            <v>000000000013178</v>
          </cell>
        </row>
        <row r="156">
          <cell r="D156" t="str">
            <v>不良補填</v>
          </cell>
          <cell r="F156">
            <v>0</v>
          </cell>
          <cell r="U156" t="str">
            <v>000000000013178</v>
          </cell>
        </row>
        <row r="157">
          <cell r="C157" t="str">
            <v>8FL281304 4810　L=297</v>
          </cell>
          <cell r="M157">
            <v>46119</v>
          </cell>
          <cell r="N157">
            <v>2</v>
          </cell>
          <cell r="P157">
            <v>46120</v>
          </cell>
          <cell r="R157">
            <v>1</v>
          </cell>
          <cell r="U157" t="str">
            <v>000000000013157</v>
          </cell>
        </row>
        <row r="158">
          <cell r="D158">
            <v>46119</v>
          </cell>
          <cell r="E158" t="str">
            <v>端材</v>
          </cell>
          <cell r="M158">
            <v>46120</v>
          </cell>
          <cell r="N158">
            <v>1</v>
          </cell>
          <cell r="P158">
            <v>300</v>
          </cell>
          <cell r="U158" t="str">
            <v>000000000013157</v>
          </cell>
        </row>
        <row r="159">
          <cell r="C159">
            <v>300</v>
          </cell>
          <cell r="D159">
            <v>46119</v>
          </cell>
          <cell r="E159" t="str">
            <v>端材</v>
          </cell>
          <cell r="F159">
            <v>71</v>
          </cell>
          <cell r="P159">
            <v>38.5</v>
          </cell>
          <cell r="U159" t="str">
            <v>000000000013157</v>
          </cell>
        </row>
        <row r="160">
          <cell r="C160">
            <v>300</v>
          </cell>
          <cell r="D160">
            <v>46119</v>
          </cell>
          <cell r="E160" t="str">
            <v>26C26-06</v>
          </cell>
          <cell r="P160">
            <v>2</v>
          </cell>
          <cell r="U160" t="str">
            <v>000000000013157</v>
          </cell>
        </row>
        <row r="161">
          <cell r="C161">
            <v>6</v>
          </cell>
          <cell r="D161">
            <v>46119</v>
          </cell>
          <cell r="E161" t="str">
            <v>26C26-06</v>
          </cell>
          <cell r="F161">
            <v>229</v>
          </cell>
          <cell r="P161">
            <v>0.33333333333333331</v>
          </cell>
          <cell r="U161" t="str">
            <v>000000000013157</v>
          </cell>
        </row>
        <row r="162">
          <cell r="C162">
            <v>100</v>
          </cell>
          <cell r="M162" t="str">
            <v>合計</v>
          </cell>
          <cell r="N162">
            <v>3</v>
          </cell>
          <cell r="P162">
            <v>71</v>
          </cell>
          <cell r="U162" t="str">
            <v>000000000013157</v>
          </cell>
        </row>
        <row r="163">
          <cell r="C163" t="str">
            <v>LED-A300</v>
          </cell>
          <cell r="M163" t="str">
            <v>入数</v>
          </cell>
          <cell r="N163">
            <v>300</v>
          </cell>
          <cell r="P163">
            <v>302</v>
          </cell>
          <cell r="U163" t="str">
            <v>000000000013157</v>
          </cell>
        </row>
        <row r="164">
          <cell r="M164" t="str">
            <v>作業者</v>
          </cell>
          <cell r="U164" t="str">
            <v>000000000013157</v>
          </cell>
        </row>
        <row r="165">
          <cell r="C165">
            <v>3</v>
          </cell>
          <cell r="M165" t="str">
            <v>I</v>
          </cell>
          <cell r="R165">
            <v>1</v>
          </cell>
          <cell r="U165" t="str">
            <v>000000000013157</v>
          </cell>
        </row>
        <row r="166">
          <cell r="M166" t="str">
            <v>T</v>
          </cell>
          <cell r="R166">
            <v>2</v>
          </cell>
          <cell r="U166" t="str">
            <v>000000000013157</v>
          </cell>
        </row>
        <row r="167">
          <cell r="D167" t="str">
            <v>不良補填</v>
          </cell>
          <cell r="E167" t="str">
            <v>26B24-01</v>
          </cell>
          <cell r="F167">
            <v>2</v>
          </cell>
          <cell r="U167" t="str">
            <v>000000000013157</v>
          </cell>
        </row>
        <row r="168">
          <cell r="C168" t="str">
            <v>8FL281304 4810　L=297</v>
          </cell>
          <cell r="M168">
            <v>46120</v>
          </cell>
          <cell r="N168">
            <v>2</v>
          </cell>
          <cell r="P168">
            <v>46120</v>
          </cell>
          <cell r="R168">
            <v>2</v>
          </cell>
          <cell r="U168" t="str">
            <v>000000000013158</v>
          </cell>
        </row>
        <row r="169">
          <cell r="D169">
            <v>46119</v>
          </cell>
          <cell r="E169" t="str">
            <v>26C26-06</v>
          </cell>
          <cell r="P169">
            <v>200</v>
          </cell>
          <cell r="U169" t="str">
            <v>000000000013158</v>
          </cell>
        </row>
        <row r="170">
          <cell r="C170">
            <v>200</v>
          </cell>
          <cell r="D170">
            <v>46119</v>
          </cell>
          <cell r="E170" t="str">
            <v>26C26-06</v>
          </cell>
          <cell r="F170">
            <v>200</v>
          </cell>
          <cell r="P170">
            <v>33.666666666666664</v>
          </cell>
          <cell r="U170" t="str">
            <v>000000000013158</v>
          </cell>
        </row>
        <row r="171">
          <cell r="C171">
            <v>200</v>
          </cell>
          <cell r="P171">
            <v>2</v>
          </cell>
          <cell r="U171" t="str">
            <v>000000000013158</v>
          </cell>
        </row>
        <row r="172">
          <cell r="C172">
            <v>6</v>
          </cell>
          <cell r="P172">
            <v>0.33333333333333331</v>
          </cell>
          <cell r="U172" t="str">
            <v>000000000013158</v>
          </cell>
        </row>
        <row r="173">
          <cell r="C173">
            <v>100</v>
          </cell>
          <cell r="M173" t="str">
            <v>合計</v>
          </cell>
          <cell r="N173">
            <v>2</v>
          </cell>
          <cell r="P173">
            <v>0</v>
          </cell>
          <cell r="U173" t="str">
            <v>000000000013158</v>
          </cell>
        </row>
        <row r="174">
          <cell r="C174" t="str">
            <v>LED-A300</v>
          </cell>
          <cell r="M174" t="str">
            <v>入数</v>
          </cell>
          <cell r="N174">
            <v>200</v>
          </cell>
          <cell r="P174">
            <v>202</v>
          </cell>
          <cell r="U174" t="str">
            <v>000000000013158</v>
          </cell>
        </row>
        <row r="175">
          <cell r="M175" t="str">
            <v>作業者</v>
          </cell>
          <cell r="U175" t="str">
            <v>000000000013158</v>
          </cell>
        </row>
        <row r="176">
          <cell r="C176">
            <v>2</v>
          </cell>
          <cell r="M176" t="str">
            <v>I</v>
          </cell>
          <cell r="U176" t="str">
            <v>000000000013158</v>
          </cell>
        </row>
        <row r="177">
          <cell r="M177" t="str">
            <v>T</v>
          </cell>
          <cell r="R177">
            <v>2</v>
          </cell>
          <cell r="U177" t="str">
            <v>000000000013158</v>
          </cell>
        </row>
        <row r="178">
          <cell r="D178" t="str">
            <v>不良補填</v>
          </cell>
          <cell r="E178" t="str">
            <v>26B24-01</v>
          </cell>
          <cell r="F178">
            <v>2</v>
          </cell>
          <cell r="U178" t="str">
            <v>000000000013158</v>
          </cell>
        </row>
        <row r="179">
          <cell r="C179" t="str">
            <v>8FL281304 4810　L=297</v>
          </cell>
          <cell r="M179">
            <v>46120</v>
          </cell>
          <cell r="N179">
            <v>3</v>
          </cell>
          <cell r="P179">
            <v>46120</v>
          </cell>
          <cell r="U179" t="str">
            <v>000000000013159</v>
          </cell>
        </row>
        <row r="180">
          <cell r="D180">
            <v>46119</v>
          </cell>
          <cell r="E180" t="str">
            <v>26C26-06</v>
          </cell>
          <cell r="P180">
            <v>300</v>
          </cell>
          <cell r="U180" t="str">
            <v>000000000013159</v>
          </cell>
        </row>
        <row r="181">
          <cell r="C181">
            <v>300</v>
          </cell>
          <cell r="D181">
            <v>46119</v>
          </cell>
          <cell r="E181" t="str">
            <v>26C26-06</v>
          </cell>
          <cell r="F181">
            <v>300</v>
          </cell>
          <cell r="P181">
            <v>50.166666666666664</v>
          </cell>
          <cell r="R181">
            <v>1</v>
          </cell>
          <cell r="U181" t="str">
            <v>000000000013159</v>
          </cell>
        </row>
        <row r="182">
          <cell r="C182">
            <v>300</v>
          </cell>
          <cell r="P182">
            <v>1</v>
          </cell>
          <cell r="U182" t="str">
            <v>000000000013159</v>
          </cell>
        </row>
        <row r="183">
          <cell r="C183">
            <v>6</v>
          </cell>
          <cell r="P183">
            <v>0.16666666666666666</v>
          </cell>
          <cell r="U183" t="str">
            <v>000000000013159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000000000013159</v>
          </cell>
        </row>
        <row r="185">
          <cell r="C185" t="str">
            <v>LED-A300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000000000013159</v>
          </cell>
        </row>
        <row r="186">
          <cell r="M186" t="str">
            <v>作業者</v>
          </cell>
          <cell r="U186" t="str">
            <v>000000000013159</v>
          </cell>
        </row>
        <row r="187">
          <cell r="C187">
            <v>3</v>
          </cell>
          <cell r="M187" t="str">
            <v>I</v>
          </cell>
          <cell r="U187" t="str">
            <v>000000000013159</v>
          </cell>
        </row>
        <row r="188">
          <cell r="M188" t="str">
            <v>T</v>
          </cell>
          <cell r="R188">
            <v>1</v>
          </cell>
          <cell r="U188" t="str">
            <v>000000000013159</v>
          </cell>
        </row>
        <row r="189">
          <cell r="D189" t="str">
            <v>不良補填</v>
          </cell>
          <cell r="E189" t="str">
            <v>26B24-01</v>
          </cell>
          <cell r="F189">
            <v>1</v>
          </cell>
          <cell r="U189" t="str">
            <v>000000000013159</v>
          </cell>
        </row>
        <row r="190">
          <cell r="C190" t="str">
            <v>8FL281304 5010　L=888</v>
          </cell>
          <cell r="M190">
            <v>46120</v>
          </cell>
          <cell r="N190">
            <v>10</v>
          </cell>
          <cell r="P190">
            <v>46120</v>
          </cell>
          <cell r="U190" t="str">
            <v>000000000013168</v>
          </cell>
        </row>
        <row r="191">
          <cell r="D191">
            <v>46119</v>
          </cell>
          <cell r="E191" t="str">
            <v>26C26-06</v>
          </cell>
          <cell r="P191">
            <v>1000</v>
          </cell>
          <cell r="U191" t="str">
            <v>000000000013168</v>
          </cell>
        </row>
        <row r="192">
          <cell r="C192">
            <v>1000</v>
          </cell>
          <cell r="D192">
            <v>46120</v>
          </cell>
          <cell r="E192" t="str">
            <v>26C26-06</v>
          </cell>
          <cell r="F192">
            <v>400</v>
          </cell>
          <cell r="P192">
            <v>500</v>
          </cell>
          <cell r="U192" t="str">
            <v>000000000013168</v>
          </cell>
        </row>
        <row r="193">
          <cell r="C193">
            <v>1000</v>
          </cell>
          <cell r="D193">
            <v>46120</v>
          </cell>
          <cell r="E193" t="str">
            <v>26C26-06</v>
          </cell>
          <cell r="F193">
            <v>400</v>
          </cell>
          <cell r="P193">
            <v>0</v>
          </cell>
          <cell r="U193" t="str">
            <v>000000000013168</v>
          </cell>
        </row>
        <row r="194">
          <cell r="C194">
            <v>2</v>
          </cell>
          <cell r="D194">
            <v>46120</v>
          </cell>
          <cell r="E194" t="str">
            <v>26C26-06</v>
          </cell>
          <cell r="F194">
            <v>200</v>
          </cell>
          <cell r="P194">
            <v>0</v>
          </cell>
          <cell r="U194" t="str">
            <v>000000000013168</v>
          </cell>
        </row>
        <row r="195">
          <cell r="C195">
            <v>100</v>
          </cell>
          <cell r="M195" t="str">
            <v>合計</v>
          </cell>
          <cell r="N195">
            <v>10</v>
          </cell>
          <cell r="P195">
            <v>0</v>
          </cell>
          <cell r="U195" t="str">
            <v>000000000013168</v>
          </cell>
        </row>
        <row r="196">
          <cell r="C196" t="str">
            <v>LED-A888</v>
          </cell>
          <cell r="M196" t="str">
            <v>入数</v>
          </cell>
          <cell r="N196">
            <v>1000</v>
          </cell>
          <cell r="P196">
            <v>1000</v>
          </cell>
          <cell r="U196" t="str">
            <v>000000000013168</v>
          </cell>
        </row>
        <row r="197">
          <cell r="M197" t="str">
            <v>作業者</v>
          </cell>
          <cell r="U197" t="str">
            <v>000000000013168</v>
          </cell>
        </row>
        <row r="198">
          <cell r="C198">
            <v>10</v>
          </cell>
          <cell r="M198" t="str">
            <v>I</v>
          </cell>
          <cell r="U198" t="str">
            <v>000000000013168</v>
          </cell>
        </row>
        <row r="199">
          <cell r="M199" t="str">
            <v>U</v>
          </cell>
          <cell r="N199" t="str">
            <v>T</v>
          </cell>
          <cell r="R199">
            <v>0</v>
          </cell>
          <cell r="U199" t="str">
            <v>000000000013168</v>
          </cell>
        </row>
        <row r="200">
          <cell r="D200" t="str">
            <v>不良補填</v>
          </cell>
          <cell r="F200">
            <v>0</v>
          </cell>
          <cell r="U200" t="str">
            <v>000000000013168</v>
          </cell>
        </row>
        <row r="201">
          <cell r="C201" t="str">
            <v>8FL281304 5010　L=888</v>
          </cell>
          <cell r="M201">
            <v>46120</v>
          </cell>
          <cell r="N201">
            <v>1</v>
          </cell>
          <cell r="P201">
            <v>46121</v>
          </cell>
          <cell r="R201">
            <v>1</v>
          </cell>
          <cell r="U201" t="str">
            <v>000000000013169</v>
          </cell>
        </row>
        <row r="202">
          <cell r="D202">
            <v>46120</v>
          </cell>
          <cell r="E202" t="str">
            <v>26C26-06</v>
          </cell>
          <cell r="M202">
            <v>46121</v>
          </cell>
          <cell r="N202">
            <v>1</v>
          </cell>
          <cell r="P202">
            <v>200</v>
          </cell>
          <cell r="U202" t="str">
            <v>000000000013169</v>
          </cell>
        </row>
        <row r="203">
          <cell r="C203">
            <v>200</v>
          </cell>
          <cell r="D203">
            <v>46120</v>
          </cell>
          <cell r="E203" t="str">
            <v>26C26-06</v>
          </cell>
          <cell r="F203">
            <v>162</v>
          </cell>
          <cell r="P203">
            <v>100.5</v>
          </cell>
          <cell r="U203" t="str">
            <v>000000000013169</v>
          </cell>
        </row>
        <row r="204">
          <cell r="C204">
            <v>200</v>
          </cell>
          <cell r="D204">
            <v>46120</v>
          </cell>
          <cell r="E204" t="str">
            <v>26C28-08</v>
          </cell>
          <cell r="P204">
            <v>1</v>
          </cell>
          <cell r="U204" t="str">
            <v>000000000013169</v>
          </cell>
        </row>
        <row r="205">
          <cell r="C205">
            <v>2</v>
          </cell>
          <cell r="D205">
            <v>46120</v>
          </cell>
          <cell r="E205" t="str">
            <v>26C28-08</v>
          </cell>
          <cell r="F205">
            <v>38</v>
          </cell>
          <cell r="P205">
            <v>0.5</v>
          </cell>
          <cell r="U205" t="str">
            <v>000000000013169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0</v>
          </cell>
          <cell r="U206" t="str">
            <v>000000000013169</v>
          </cell>
        </row>
        <row r="207">
          <cell r="C207" t="str">
            <v>LED-A888</v>
          </cell>
          <cell r="M207" t="str">
            <v>入数</v>
          </cell>
          <cell r="N207">
            <v>200</v>
          </cell>
          <cell r="P207">
            <v>201</v>
          </cell>
          <cell r="U207" t="str">
            <v>000000000013169</v>
          </cell>
        </row>
        <row r="208">
          <cell r="M208" t="str">
            <v>作業者</v>
          </cell>
          <cell r="U208" t="str">
            <v>000000000013169</v>
          </cell>
        </row>
        <row r="209">
          <cell r="C209">
            <v>2</v>
          </cell>
          <cell r="M209" t="str">
            <v>I</v>
          </cell>
          <cell r="U209" t="str">
            <v>000000000013169</v>
          </cell>
        </row>
        <row r="210">
          <cell r="M210" t="str">
            <v>U</v>
          </cell>
          <cell r="N210" t="str">
            <v>T</v>
          </cell>
          <cell r="R210">
            <v>1</v>
          </cell>
          <cell r="U210" t="str">
            <v>000000000013169</v>
          </cell>
        </row>
        <row r="211">
          <cell r="D211" t="str">
            <v>不良補填</v>
          </cell>
          <cell r="E211" t="str">
            <v>26B28-05</v>
          </cell>
          <cell r="F211">
            <v>1</v>
          </cell>
          <cell r="U211" t="str">
            <v>000000000013169</v>
          </cell>
        </row>
        <row r="212">
          <cell r="C212" t="str">
            <v>8FL281304 5010　L=888</v>
          </cell>
          <cell r="M212">
            <v>46121</v>
          </cell>
          <cell r="N212">
            <v>2</v>
          </cell>
          <cell r="P212">
            <v>46121</v>
          </cell>
          <cell r="R212">
            <v>2</v>
          </cell>
          <cell r="U212" t="str">
            <v>000000000013170</v>
          </cell>
        </row>
        <row r="213">
          <cell r="D213">
            <v>46120</v>
          </cell>
          <cell r="E213" t="str">
            <v>26C28-08</v>
          </cell>
          <cell r="P213">
            <v>200</v>
          </cell>
          <cell r="U213" t="str">
            <v>000000000013170</v>
          </cell>
        </row>
        <row r="214">
          <cell r="C214">
            <v>200</v>
          </cell>
          <cell r="D214">
            <v>46120</v>
          </cell>
          <cell r="E214" t="str">
            <v>26C28-08</v>
          </cell>
          <cell r="F214">
            <v>200</v>
          </cell>
          <cell r="P214">
            <v>101</v>
          </cell>
          <cell r="U214" t="str">
            <v>000000000013170</v>
          </cell>
        </row>
        <row r="215">
          <cell r="C215">
            <v>200</v>
          </cell>
          <cell r="P215">
            <v>2</v>
          </cell>
          <cell r="U215" t="str">
            <v>000000000013170</v>
          </cell>
        </row>
        <row r="216">
          <cell r="C216">
            <v>2</v>
          </cell>
          <cell r="P216">
            <v>1</v>
          </cell>
          <cell r="U216" t="str">
            <v>000000000013170</v>
          </cell>
        </row>
        <row r="217">
          <cell r="C217">
            <v>100</v>
          </cell>
          <cell r="M217" t="str">
            <v>合計</v>
          </cell>
          <cell r="N217">
            <v>2</v>
          </cell>
          <cell r="P217">
            <v>0</v>
          </cell>
          <cell r="U217" t="str">
            <v>000000000013170</v>
          </cell>
        </row>
        <row r="218">
          <cell r="C218" t="str">
            <v>LED-A888</v>
          </cell>
          <cell r="M218" t="str">
            <v>入数</v>
          </cell>
          <cell r="N218">
            <v>200</v>
          </cell>
          <cell r="P218">
            <v>202</v>
          </cell>
          <cell r="U218" t="str">
            <v>000000000013170</v>
          </cell>
        </row>
        <row r="219">
          <cell r="M219" t="str">
            <v>作業者</v>
          </cell>
          <cell r="U219" t="str">
            <v>000000000013170</v>
          </cell>
        </row>
        <row r="220">
          <cell r="C220">
            <v>2</v>
          </cell>
          <cell r="M220" t="str">
            <v>I</v>
          </cell>
          <cell r="U220" t="str">
            <v>000000000013170</v>
          </cell>
        </row>
        <row r="221">
          <cell r="M221" t="str">
            <v>T</v>
          </cell>
          <cell r="R221">
            <v>2</v>
          </cell>
          <cell r="U221" t="str">
            <v>000000000013170</v>
          </cell>
        </row>
        <row r="222">
          <cell r="D222" t="str">
            <v>不良補填</v>
          </cell>
          <cell r="E222" t="str">
            <v>26B28-05</v>
          </cell>
          <cell r="F222">
            <v>2</v>
          </cell>
          <cell r="U222" t="str">
            <v>000000000013170</v>
          </cell>
        </row>
        <row r="223">
          <cell r="C223" t="str">
            <v>8FL281304 5010　L=888</v>
          </cell>
          <cell r="M223">
            <v>46121</v>
          </cell>
          <cell r="N223">
            <v>4</v>
          </cell>
          <cell r="P223">
            <v>46121</v>
          </cell>
          <cell r="R223">
            <v>3</v>
          </cell>
          <cell r="U223" t="str">
            <v>000000000013167</v>
          </cell>
        </row>
        <row r="224">
          <cell r="D224">
            <v>46121</v>
          </cell>
          <cell r="E224" t="str">
            <v>26C28-08</v>
          </cell>
          <cell r="P224">
            <v>400</v>
          </cell>
          <cell r="R224">
            <v>1</v>
          </cell>
          <cell r="U224" t="str">
            <v>000000000013167</v>
          </cell>
        </row>
        <row r="225">
          <cell r="C225">
            <v>400</v>
          </cell>
          <cell r="D225">
            <v>46121</v>
          </cell>
          <cell r="E225" t="str">
            <v>26C28-08</v>
          </cell>
          <cell r="F225">
            <v>400</v>
          </cell>
          <cell r="P225">
            <v>202.5</v>
          </cell>
          <cell r="U225" t="str">
            <v>000000000013167</v>
          </cell>
        </row>
        <row r="226">
          <cell r="C226">
            <v>400</v>
          </cell>
          <cell r="P226">
            <v>5</v>
          </cell>
          <cell r="U226" t="str">
            <v>000000000013167</v>
          </cell>
        </row>
        <row r="227">
          <cell r="C227">
            <v>2</v>
          </cell>
          <cell r="P227">
            <v>2.5</v>
          </cell>
          <cell r="U227" t="str">
            <v>000000000013167</v>
          </cell>
        </row>
        <row r="228">
          <cell r="C228">
            <v>100</v>
          </cell>
          <cell r="M228" t="str">
            <v>合計</v>
          </cell>
          <cell r="N228">
            <v>4</v>
          </cell>
          <cell r="P228">
            <v>0</v>
          </cell>
          <cell r="U228" t="str">
            <v>000000000013167</v>
          </cell>
        </row>
        <row r="229">
          <cell r="C229" t="str">
            <v>LED-A888</v>
          </cell>
          <cell r="M229" t="str">
            <v>入数</v>
          </cell>
          <cell r="N229">
            <v>400</v>
          </cell>
          <cell r="P229">
            <v>405</v>
          </cell>
          <cell r="U229" t="str">
            <v>000000000013167</v>
          </cell>
        </row>
        <row r="230">
          <cell r="M230" t="str">
            <v>作業者</v>
          </cell>
          <cell r="U230" t="str">
            <v>000000000013167</v>
          </cell>
        </row>
        <row r="231">
          <cell r="C231">
            <v>4</v>
          </cell>
          <cell r="M231" t="str">
            <v>I</v>
          </cell>
          <cell r="R231">
            <v>1</v>
          </cell>
          <cell r="U231" t="str">
            <v>000000000013167</v>
          </cell>
        </row>
        <row r="232">
          <cell r="M232" t="str">
            <v>T</v>
          </cell>
          <cell r="R232">
            <v>5</v>
          </cell>
          <cell r="U232" t="str">
            <v>000000000013167</v>
          </cell>
        </row>
        <row r="233">
          <cell r="D233" t="str">
            <v>不良補填</v>
          </cell>
          <cell r="E233" t="str">
            <v>26B28-05</v>
          </cell>
          <cell r="F233">
            <v>5</v>
          </cell>
          <cell r="U233" t="str">
            <v>000000000013167</v>
          </cell>
        </row>
        <row r="234">
          <cell r="C234" t="str">
            <v>8FL281304 5010　L=888</v>
          </cell>
          <cell r="M234">
            <v>46121</v>
          </cell>
          <cell r="N234">
            <v>4</v>
          </cell>
          <cell r="P234">
            <v>46121</v>
          </cell>
          <cell r="U234" t="str">
            <v>000000000013171</v>
          </cell>
        </row>
        <row r="235">
          <cell r="D235">
            <v>46121</v>
          </cell>
          <cell r="E235" t="str">
            <v>26C28-08</v>
          </cell>
          <cell r="P235">
            <v>400</v>
          </cell>
          <cell r="U235" t="str">
            <v>000000000013171</v>
          </cell>
        </row>
        <row r="236">
          <cell r="C236">
            <v>400</v>
          </cell>
          <cell r="D236">
            <v>46121</v>
          </cell>
          <cell r="E236" t="str">
            <v>26C28-08</v>
          </cell>
          <cell r="F236">
            <v>400</v>
          </cell>
          <cell r="P236">
            <v>200</v>
          </cell>
          <cell r="U236" t="str">
            <v>000000000013171</v>
          </cell>
        </row>
        <row r="237">
          <cell r="C237">
            <v>400</v>
          </cell>
          <cell r="P237">
            <v>0</v>
          </cell>
          <cell r="U237" t="str">
            <v>000000000013171</v>
          </cell>
        </row>
        <row r="238">
          <cell r="C238">
            <v>2</v>
          </cell>
          <cell r="P238">
            <v>0</v>
          </cell>
          <cell r="U238" t="str">
            <v>000000000013171</v>
          </cell>
        </row>
        <row r="239">
          <cell r="C239">
            <v>100</v>
          </cell>
          <cell r="M239" t="str">
            <v>合計</v>
          </cell>
          <cell r="N239">
            <v>4</v>
          </cell>
          <cell r="P239">
            <v>0</v>
          </cell>
          <cell r="U239" t="str">
            <v>000000000013171</v>
          </cell>
        </row>
        <row r="240">
          <cell r="C240" t="str">
            <v>LED-A888</v>
          </cell>
          <cell r="M240" t="str">
            <v>入数</v>
          </cell>
          <cell r="N240">
            <v>400</v>
          </cell>
          <cell r="P240">
            <v>400</v>
          </cell>
          <cell r="U240" t="str">
            <v>000000000013171</v>
          </cell>
        </row>
        <row r="241">
          <cell r="M241" t="str">
            <v>作業者</v>
          </cell>
          <cell r="U241" t="str">
            <v>000000000013171</v>
          </cell>
        </row>
        <row r="242">
          <cell r="C242">
            <v>4</v>
          </cell>
          <cell r="M242" t="str">
            <v>I</v>
          </cell>
          <cell r="U242" t="str">
            <v>000000000013171</v>
          </cell>
        </row>
        <row r="243">
          <cell r="M243" t="str">
            <v>T</v>
          </cell>
          <cell r="R243">
            <v>0</v>
          </cell>
          <cell r="U243" t="str">
            <v>000000000013171</v>
          </cell>
        </row>
        <row r="244">
          <cell r="D244" t="str">
            <v>不良補填</v>
          </cell>
          <cell r="F244">
            <v>0</v>
          </cell>
          <cell r="U244" t="str">
            <v>000000000013171</v>
          </cell>
        </row>
        <row r="245">
          <cell r="C245" t="str">
            <v>8FL281304 5010　L=888</v>
          </cell>
          <cell r="M245">
            <v>46121</v>
          </cell>
          <cell r="N245">
            <v>4</v>
          </cell>
          <cell r="P245">
            <v>46122</v>
          </cell>
          <cell r="R245">
            <v>2</v>
          </cell>
          <cell r="U245" t="str">
            <v>000000000013172</v>
          </cell>
        </row>
        <row r="246">
          <cell r="D246">
            <v>46121</v>
          </cell>
          <cell r="E246" t="str">
            <v>26C28-08</v>
          </cell>
          <cell r="M246">
            <v>46122</v>
          </cell>
          <cell r="N246">
            <v>6</v>
          </cell>
          <cell r="P246">
            <v>1000</v>
          </cell>
          <cell r="R246">
            <v>1</v>
          </cell>
          <cell r="U246" t="str">
            <v>000000000013172</v>
          </cell>
        </row>
        <row r="247">
          <cell r="C247">
            <v>1000</v>
          </cell>
          <cell r="D247">
            <v>46121</v>
          </cell>
          <cell r="E247" t="str">
            <v>26C28-08</v>
          </cell>
          <cell r="F247">
            <v>400</v>
          </cell>
          <cell r="P247">
            <v>502</v>
          </cell>
          <cell r="R247">
            <v>1</v>
          </cell>
          <cell r="U247" t="str">
            <v>000000000013172</v>
          </cell>
        </row>
        <row r="248">
          <cell r="C248">
            <v>1000</v>
          </cell>
          <cell r="D248">
            <v>46121</v>
          </cell>
          <cell r="E248" t="str">
            <v>26C28-08</v>
          </cell>
          <cell r="F248">
            <v>160</v>
          </cell>
          <cell r="P248">
            <v>4</v>
          </cell>
          <cell r="U248" t="str">
            <v>000000000013172</v>
          </cell>
        </row>
        <row r="249">
          <cell r="C249">
            <v>2</v>
          </cell>
          <cell r="D249">
            <v>46121</v>
          </cell>
          <cell r="E249" t="str">
            <v>26C31-09</v>
          </cell>
          <cell r="P249">
            <v>2</v>
          </cell>
          <cell r="U249" t="str">
            <v>000000000013172</v>
          </cell>
        </row>
        <row r="250">
          <cell r="C250">
            <v>100</v>
          </cell>
          <cell r="D250">
            <v>46121</v>
          </cell>
          <cell r="E250" t="str">
            <v>26C31-09</v>
          </cell>
          <cell r="F250">
            <v>240</v>
          </cell>
          <cell r="M250" t="str">
            <v>合計</v>
          </cell>
          <cell r="N250">
            <v>10</v>
          </cell>
          <cell r="P250">
            <v>0</v>
          </cell>
          <cell r="U250" t="str">
            <v>000000000013172</v>
          </cell>
        </row>
        <row r="251">
          <cell r="C251" t="str">
            <v>LED-A888</v>
          </cell>
          <cell r="D251">
            <v>46121</v>
          </cell>
          <cell r="E251" t="str">
            <v>26C31-09</v>
          </cell>
          <cell r="F251">
            <v>200</v>
          </cell>
          <cell r="M251" t="str">
            <v>入数</v>
          </cell>
          <cell r="N251">
            <v>1000</v>
          </cell>
          <cell r="P251">
            <v>1004</v>
          </cell>
          <cell r="U251" t="str">
            <v>000000000013172</v>
          </cell>
        </row>
        <row r="252">
          <cell r="M252" t="str">
            <v>作業者</v>
          </cell>
          <cell r="U252" t="str">
            <v>000000000013172</v>
          </cell>
        </row>
        <row r="253">
          <cell r="C253">
            <v>10</v>
          </cell>
          <cell r="M253" t="str">
            <v>I</v>
          </cell>
          <cell r="U253" t="str">
            <v>000000000013172</v>
          </cell>
        </row>
        <row r="254">
          <cell r="M254" t="str">
            <v>T</v>
          </cell>
          <cell r="N254" t="str">
            <v>U</v>
          </cell>
          <cell r="R254">
            <v>4</v>
          </cell>
          <cell r="U254" t="str">
            <v>000000000013172</v>
          </cell>
        </row>
        <row r="255">
          <cell r="D255" t="str">
            <v>不良補填</v>
          </cell>
          <cell r="E255" t="str">
            <v>26B28-05</v>
          </cell>
          <cell r="F255">
            <v>4</v>
          </cell>
          <cell r="U255" t="str">
            <v>000000000013172</v>
          </cell>
        </row>
        <row r="256">
          <cell r="C256" t="str">
            <v>8FL281304 5010　L=888</v>
          </cell>
          <cell r="M256">
            <v>46122</v>
          </cell>
          <cell r="N256">
            <v>1</v>
          </cell>
          <cell r="P256">
            <v>46122</v>
          </cell>
          <cell r="U256" t="str">
            <v>000000000013400</v>
          </cell>
        </row>
        <row r="257">
          <cell r="D257">
            <v>46121</v>
          </cell>
          <cell r="E257" t="str">
            <v>26C31-09</v>
          </cell>
          <cell r="P257">
            <v>100</v>
          </cell>
          <cell r="U257" t="str">
            <v>000000000013400</v>
          </cell>
        </row>
        <row r="258">
          <cell r="C258">
            <v>100</v>
          </cell>
          <cell r="D258">
            <v>46121</v>
          </cell>
          <cell r="E258" t="str">
            <v>26C31-09</v>
          </cell>
          <cell r="F258">
            <v>100</v>
          </cell>
          <cell r="P258">
            <v>50</v>
          </cell>
          <cell r="U258" t="str">
            <v>000000000013400</v>
          </cell>
        </row>
        <row r="259">
          <cell r="C259">
            <v>100</v>
          </cell>
          <cell r="P259">
            <v>0</v>
          </cell>
          <cell r="U259" t="str">
            <v>000000000013400</v>
          </cell>
        </row>
        <row r="260">
          <cell r="C260">
            <v>2</v>
          </cell>
          <cell r="P260">
            <v>0</v>
          </cell>
          <cell r="U260" t="str">
            <v>000000000013400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000000000013400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000000000013400</v>
          </cell>
        </row>
        <row r="263">
          <cell r="M263" t="str">
            <v>作業者</v>
          </cell>
          <cell r="U263" t="str">
            <v>000000000013400</v>
          </cell>
        </row>
        <row r="264">
          <cell r="C264">
            <v>1</v>
          </cell>
          <cell r="U264" t="str">
            <v>000000000013400</v>
          </cell>
        </row>
        <row r="265">
          <cell r="R265">
            <v>0</v>
          </cell>
          <cell r="U265" t="str">
            <v>000000000013400</v>
          </cell>
        </row>
        <row r="266">
          <cell r="D266" t="str">
            <v>不良補填</v>
          </cell>
          <cell r="F266">
            <v>0</v>
          </cell>
          <cell r="U266" t="str">
            <v>000000000013400</v>
          </cell>
        </row>
        <row r="267">
          <cell r="C267" t="str">
            <v>8FL281304 8310　L=748</v>
          </cell>
          <cell r="M267">
            <v>46122</v>
          </cell>
          <cell r="N267">
            <v>4</v>
          </cell>
          <cell r="P267">
            <v>46122</v>
          </cell>
          <cell r="R267">
            <v>1</v>
          </cell>
          <cell r="U267" t="str">
            <v>000000000013163</v>
          </cell>
        </row>
        <row r="268">
          <cell r="D268">
            <v>46121</v>
          </cell>
          <cell r="E268" t="str">
            <v>26C31-09</v>
          </cell>
          <cell r="P268">
            <v>400</v>
          </cell>
          <cell r="U268" t="str">
            <v>000000000013163</v>
          </cell>
        </row>
        <row r="269">
          <cell r="C269">
            <v>400</v>
          </cell>
          <cell r="D269">
            <v>46122</v>
          </cell>
          <cell r="E269" t="str">
            <v>26C31-09</v>
          </cell>
          <cell r="F269">
            <v>400</v>
          </cell>
          <cell r="P269">
            <v>201</v>
          </cell>
          <cell r="U269" t="str">
            <v>000000000013163</v>
          </cell>
        </row>
        <row r="270">
          <cell r="C270">
            <v>400</v>
          </cell>
          <cell r="P270">
            <v>2</v>
          </cell>
          <cell r="U270" t="str">
            <v>000000000013163</v>
          </cell>
        </row>
        <row r="271">
          <cell r="C271">
            <v>2</v>
          </cell>
          <cell r="P271">
            <v>1</v>
          </cell>
          <cell r="U271" t="str">
            <v>000000000013163</v>
          </cell>
        </row>
        <row r="272">
          <cell r="C272">
            <v>100</v>
          </cell>
          <cell r="M272" t="str">
            <v>合計</v>
          </cell>
          <cell r="N272">
            <v>4</v>
          </cell>
          <cell r="P272">
            <v>0</v>
          </cell>
          <cell r="U272" t="str">
            <v>000000000013163</v>
          </cell>
        </row>
        <row r="273">
          <cell r="C273" t="str">
            <v>LED-A888</v>
          </cell>
          <cell r="M273" t="str">
            <v>入数</v>
          </cell>
          <cell r="N273">
            <v>400</v>
          </cell>
          <cell r="P273">
            <v>402</v>
          </cell>
          <cell r="U273" t="str">
            <v>000000000013163</v>
          </cell>
        </row>
        <row r="274">
          <cell r="M274" t="str">
            <v>作業者</v>
          </cell>
          <cell r="U274" t="str">
            <v>000000000013163</v>
          </cell>
        </row>
        <row r="275">
          <cell r="C275">
            <v>4</v>
          </cell>
          <cell r="M275" t="str">
            <v>I</v>
          </cell>
          <cell r="R275">
            <v>1</v>
          </cell>
          <cell r="U275" t="str">
            <v>000000000013163</v>
          </cell>
        </row>
        <row r="276">
          <cell r="M276" t="str">
            <v>T</v>
          </cell>
          <cell r="N276" t="str">
            <v>U</v>
          </cell>
          <cell r="R276">
            <v>2</v>
          </cell>
          <cell r="U276" t="str">
            <v>000000000013163</v>
          </cell>
        </row>
        <row r="277">
          <cell r="D277" t="str">
            <v>不良補填</v>
          </cell>
          <cell r="E277" t="str">
            <v>26B28-05</v>
          </cell>
          <cell r="F277">
            <v>2</v>
          </cell>
          <cell r="U277" t="str">
            <v>000000000013163</v>
          </cell>
        </row>
        <row r="278">
          <cell r="C278" t="str">
            <v>8FL281304 8310　L=748</v>
          </cell>
          <cell r="M278">
            <v>46122</v>
          </cell>
          <cell r="N278">
            <v>4</v>
          </cell>
          <cell r="P278">
            <v>46122</v>
          </cell>
          <cell r="R278">
            <v>1</v>
          </cell>
          <cell r="U278" t="str">
            <v>000000000013164</v>
          </cell>
        </row>
        <row r="279">
          <cell r="D279">
            <v>46122</v>
          </cell>
          <cell r="E279" t="str">
            <v>26C31-09</v>
          </cell>
          <cell r="P279">
            <v>400</v>
          </cell>
          <cell r="R279">
            <v>1</v>
          </cell>
          <cell r="U279" t="str">
            <v>000000000013164</v>
          </cell>
        </row>
        <row r="280">
          <cell r="C280">
            <v>400</v>
          </cell>
          <cell r="D280">
            <v>46122</v>
          </cell>
          <cell r="E280" t="str">
            <v>26C31-09</v>
          </cell>
          <cell r="F280">
            <v>400</v>
          </cell>
          <cell r="P280">
            <v>201</v>
          </cell>
          <cell r="U280" t="str">
            <v>000000000013164</v>
          </cell>
        </row>
        <row r="281">
          <cell r="C281">
            <v>400</v>
          </cell>
          <cell r="P281">
            <v>2</v>
          </cell>
          <cell r="U281" t="str">
            <v>000000000013164</v>
          </cell>
        </row>
        <row r="282">
          <cell r="C282">
            <v>2</v>
          </cell>
          <cell r="P282">
            <v>1</v>
          </cell>
          <cell r="U282" t="str">
            <v>000000000013164</v>
          </cell>
        </row>
        <row r="283">
          <cell r="C283">
            <v>100</v>
          </cell>
          <cell r="M283" t="str">
            <v>合計</v>
          </cell>
          <cell r="N283">
            <v>4</v>
          </cell>
          <cell r="P283">
            <v>0</v>
          </cell>
          <cell r="U283" t="str">
            <v>000000000013164</v>
          </cell>
        </row>
        <row r="284">
          <cell r="C284" t="str">
            <v>LED-A888</v>
          </cell>
          <cell r="M284" t="str">
            <v>入数</v>
          </cell>
          <cell r="N284">
            <v>400</v>
          </cell>
          <cell r="P284">
            <v>402</v>
          </cell>
          <cell r="U284" t="str">
            <v>000000000013164</v>
          </cell>
        </row>
        <row r="285">
          <cell r="M285" t="str">
            <v>作業者</v>
          </cell>
          <cell r="U285" t="str">
            <v>000000000013164</v>
          </cell>
        </row>
        <row r="286">
          <cell r="C286">
            <v>4</v>
          </cell>
          <cell r="M286" t="str">
            <v>I</v>
          </cell>
          <cell r="U286" t="str">
            <v>000000000013164</v>
          </cell>
        </row>
        <row r="287">
          <cell r="M287" t="str">
            <v>U</v>
          </cell>
          <cell r="R287">
            <v>2</v>
          </cell>
          <cell r="U287" t="str">
            <v>000000000013164</v>
          </cell>
        </row>
        <row r="288">
          <cell r="D288" t="str">
            <v>不良補填</v>
          </cell>
          <cell r="E288" t="str">
            <v>26B28-05</v>
          </cell>
          <cell r="F288">
            <v>2</v>
          </cell>
          <cell r="U288" t="str">
            <v>000000000013164</v>
          </cell>
        </row>
        <row r="289">
          <cell r="C289" t="str">
            <v>照明ｶﾊﾞｰS15　L=550</v>
          </cell>
          <cell r="M289">
            <v>46122</v>
          </cell>
          <cell r="N289">
            <v>16</v>
          </cell>
          <cell r="P289">
            <v>46122</v>
          </cell>
          <cell r="U289" t="str">
            <v>000000000013572</v>
          </cell>
        </row>
        <row r="290">
          <cell r="D290">
            <v>46122</v>
          </cell>
          <cell r="E290" t="str">
            <v>26B19C</v>
          </cell>
          <cell r="P290">
            <v>800</v>
          </cell>
          <cell r="U290" t="str">
            <v>000000000013572</v>
          </cell>
        </row>
        <row r="291">
          <cell r="C291">
            <v>800</v>
          </cell>
          <cell r="D291">
            <v>46122</v>
          </cell>
          <cell r="E291" t="str">
            <v>26B19C</v>
          </cell>
          <cell r="F291">
            <v>400</v>
          </cell>
          <cell r="P291">
            <v>266.66666666666669</v>
          </cell>
          <cell r="U291" t="str">
            <v>000000000013572</v>
          </cell>
        </row>
        <row r="292">
          <cell r="C292">
            <v>800</v>
          </cell>
          <cell r="E292" t="str">
            <v>26B19C</v>
          </cell>
          <cell r="F292">
            <v>400</v>
          </cell>
          <cell r="P292">
            <v>0</v>
          </cell>
          <cell r="U292" t="str">
            <v>000000000013572</v>
          </cell>
        </row>
        <row r="293">
          <cell r="C293">
            <v>3</v>
          </cell>
          <cell r="P293">
            <v>0</v>
          </cell>
          <cell r="U293" t="str">
            <v>000000000013572</v>
          </cell>
        </row>
        <row r="294">
          <cell r="C294">
            <v>50</v>
          </cell>
          <cell r="M294" t="str">
            <v>合計</v>
          </cell>
          <cell r="N294">
            <v>16</v>
          </cell>
          <cell r="P294">
            <v>0</v>
          </cell>
          <cell r="U294" t="str">
            <v>000000000013572</v>
          </cell>
        </row>
        <row r="295">
          <cell r="C295" t="str">
            <v>基材梱包箱</v>
          </cell>
          <cell r="M295" t="str">
            <v>入数</v>
          </cell>
          <cell r="N295">
            <v>800</v>
          </cell>
          <cell r="P295">
            <v>800</v>
          </cell>
          <cell r="U295" t="str">
            <v>000000000013572</v>
          </cell>
        </row>
        <row r="296">
          <cell r="M296" t="str">
            <v>作業者</v>
          </cell>
          <cell r="U296" t="str">
            <v>000000000013572</v>
          </cell>
        </row>
        <row r="297">
          <cell r="C297">
            <v>5.333333333333333</v>
          </cell>
          <cell r="M297" t="str">
            <v>I</v>
          </cell>
          <cell r="U297" t="str">
            <v>000000000013572</v>
          </cell>
        </row>
        <row r="298">
          <cell r="R298">
            <v>0</v>
          </cell>
          <cell r="U298" t="str">
            <v>000000000013572</v>
          </cell>
        </row>
        <row r="299">
          <cell r="D299" t="str">
            <v>不良補填</v>
          </cell>
          <cell r="F299" t="str">
            <v/>
          </cell>
          <cell r="U299" t="str">
            <v>000000000013572</v>
          </cell>
        </row>
        <row r="300">
          <cell r="C300" t="str">
            <v>灯具カバーPC IN 2110　L=1815</v>
          </cell>
          <cell r="D300">
            <v>46108</v>
          </cell>
          <cell r="E300" t="str">
            <v>26C25-01</v>
          </cell>
          <cell r="F300">
            <v>13</v>
          </cell>
          <cell r="M300">
            <v>46125</v>
          </cell>
          <cell r="N300">
            <v>12</v>
          </cell>
          <cell r="P300">
            <v>46125</v>
          </cell>
          <cell r="R300">
            <v>11</v>
          </cell>
          <cell r="U300" t="str">
            <v>000000000013398</v>
          </cell>
        </row>
        <row r="301">
          <cell r="D301">
            <v>46125</v>
          </cell>
          <cell r="E301" t="str">
            <v>26D01-01</v>
          </cell>
          <cell r="F301">
            <v>192</v>
          </cell>
          <cell r="P301">
            <v>192</v>
          </cell>
          <cell r="R301">
            <v>2</v>
          </cell>
          <cell r="U301" t="str">
            <v>000000000013398</v>
          </cell>
        </row>
        <row r="302">
          <cell r="C302">
            <v>192</v>
          </cell>
          <cell r="P302">
            <v>205</v>
          </cell>
          <cell r="U302" t="str">
            <v>000000000013398</v>
          </cell>
        </row>
        <row r="303">
          <cell r="C303">
            <v>192</v>
          </cell>
          <cell r="P303">
            <v>13</v>
          </cell>
          <cell r="U303" t="str">
            <v>000000000013398</v>
          </cell>
        </row>
        <row r="304">
          <cell r="C304">
            <v>1</v>
          </cell>
          <cell r="P304">
            <v>13</v>
          </cell>
          <cell r="U304" t="str">
            <v>000000000013398</v>
          </cell>
        </row>
        <row r="305">
          <cell r="C305">
            <v>16</v>
          </cell>
          <cell r="M305" t="str">
            <v>合計</v>
          </cell>
          <cell r="N305">
            <v>12</v>
          </cell>
          <cell r="P305">
            <v>0</v>
          </cell>
          <cell r="U305" t="str">
            <v>000000000013398</v>
          </cell>
        </row>
        <row r="306">
          <cell r="C306" t="str">
            <v>灯具-2　L＝1996</v>
          </cell>
          <cell r="M306" t="str">
            <v>入数</v>
          </cell>
          <cell r="N306">
            <v>192</v>
          </cell>
          <cell r="P306">
            <v>205</v>
          </cell>
          <cell r="U306" t="str">
            <v>000000000013398</v>
          </cell>
        </row>
        <row r="307">
          <cell r="M307" t="str">
            <v>作業者</v>
          </cell>
          <cell r="U307" t="str">
            <v>000000000013398</v>
          </cell>
        </row>
        <row r="308">
          <cell r="C308">
            <v>12</v>
          </cell>
          <cell r="U308" t="str">
            <v>000000000013398</v>
          </cell>
        </row>
        <row r="309">
          <cell r="M309" t="str">
            <v>T</v>
          </cell>
          <cell r="R309">
            <v>13</v>
          </cell>
          <cell r="U309" t="str">
            <v>000000000013398</v>
          </cell>
        </row>
        <row r="310">
          <cell r="D310" t="str">
            <v>不良補填</v>
          </cell>
          <cell r="F310" t="str">
            <v/>
          </cell>
          <cell r="U310" t="str">
            <v>000000000013398</v>
          </cell>
        </row>
        <row r="311">
          <cell r="C311" t="str">
            <v>灯具カバーPC IN 2070　L=1966</v>
          </cell>
          <cell r="D311">
            <v>46112</v>
          </cell>
          <cell r="E311" t="str">
            <v>26C24-03</v>
          </cell>
          <cell r="F311">
            <v>11</v>
          </cell>
          <cell r="M311">
            <v>46125</v>
          </cell>
          <cell r="N311">
            <v>3</v>
          </cell>
          <cell r="P311">
            <v>46126</v>
          </cell>
          <cell r="R311">
            <v>16</v>
          </cell>
          <cell r="U311" t="str">
            <v>000000000012952</v>
          </cell>
        </row>
        <row r="312">
          <cell r="D312">
            <v>46125</v>
          </cell>
          <cell r="E312" t="str">
            <v>26D01-01</v>
          </cell>
          <cell r="F312">
            <v>190</v>
          </cell>
          <cell r="M312">
            <v>46126</v>
          </cell>
          <cell r="N312">
            <v>8</v>
          </cell>
          <cell r="P312">
            <v>176</v>
          </cell>
          <cell r="R312">
            <v>9</v>
          </cell>
          <cell r="U312" t="str">
            <v>000000000012952</v>
          </cell>
        </row>
        <row r="313">
          <cell r="C313">
            <v>176</v>
          </cell>
          <cell r="P313">
            <v>201</v>
          </cell>
          <cell r="U313" t="str">
            <v>000000000012952</v>
          </cell>
        </row>
        <row r="314">
          <cell r="C314">
            <v>176</v>
          </cell>
          <cell r="P314">
            <v>25</v>
          </cell>
          <cell r="U314" t="str">
            <v>000000000012952</v>
          </cell>
        </row>
        <row r="315">
          <cell r="C315">
            <v>1</v>
          </cell>
          <cell r="P315">
            <v>25</v>
          </cell>
          <cell r="U315" t="str">
            <v>000000000012952</v>
          </cell>
        </row>
        <row r="316">
          <cell r="C316">
            <v>16</v>
          </cell>
          <cell r="M316" t="str">
            <v>合計</v>
          </cell>
          <cell r="N316">
            <v>11</v>
          </cell>
          <cell r="P316">
            <v>0</v>
          </cell>
          <cell r="U316" t="str">
            <v>000000000012952</v>
          </cell>
        </row>
        <row r="317">
          <cell r="C317" t="str">
            <v>灯具-2　L＝1996</v>
          </cell>
          <cell r="M317" t="str">
            <v>入数</v>
          </cell>
          <cell r="N317">
            <v>176</v>
          </cell>
          <cell r="P317">
            <v>201</v>
          </cell>
          <cell r="U317" t="str">
            <v>000000000012952</v>
          </cell>
        </row>
        <row r="318">
          <cell r="M318" t="str">
            <v>作業者</v>
          </cell>
          <cell r="U318" t="str">
            <v>000000000012952</v>
          </cell>
        </row>
        <row r="319">
          <cell r="C319">
            <v>11</v>
          </cell>
          <cell r="U319" t="str">
            <v>000000000012952</v>
          </cell>
        </row>
        <row r="320">
          <cell r="M320" t="str">
            <v>I</v>
          </cell>
          <cell r="N320" t="str">
            <v>T</v>
          </cell>
          <cell r="R320">
            <v>25</v>
          </cell>
          <cell r="U320" t="str">
            <v>000000000012952</v>
          </cell>
        </row>
        <row r="321">
          <cell r="D321" t="str">
            <v>不良補填</v>
          </cell>
          <cell r="F321" t="str">
            <v/>
          </cell>
          <cell r="U321" t="str">
            <v>000000000012952</v>
          </cell>
        </row>
        <row r="322">
          <cell r="C322" t="str">
            <v>灯具カバーPC IN 2090　L=840</v>
          </cell>
          <cell r="D322">
            <v>46080</v>
          </cell>
          <cell r="E322" t="str">
            <v>26B19-02</v>
          </cell>
          <cell r="F322">
            <v>6</v>
          </cell>
          <cell r="M322">
            <v>46126</v>
          </cell>
          <cell r="N322">
            <v>10</v>
          </cell>
          <cell r="P322">
            <v>46127</v>
          </cell>
          <cell r="R322">
            <v>7</v>
          </cell>
          <cell r="U322" t="str">
            <v>000000000012942</v>
          </cell>
        </row>
        <row r="323">
          <cell r="D323">
            <v>46126</v>
          </cell>
          <cell r="E323" t="str">
            <v>26C31-01</v>
          </cell>
          <cell r="F323">
            <v>198</v>
          </cell>
          <cell r="M323">
            <v>46127</v>
          </cell>
          <cell r="N323">
            <v>2</v>
          </cell>
          <cell r="P323">
            <v>192</v>
          </cell>
          <cell r="R323">
            <v>5</v>
          </cell>
          <cell r="U323" t="str">
            <v>000000000012942</v>
          </cell>
        </row>
        <row r="324">
          <cell r="C324">
            <v>192</v>
          </cell>
          <cell r="P324">
            <v>204</v>
          </cell>
          <cell r="U324" t="str">
            <v>000000000012942</v>
          </cell>
        </row>
        <row r="325">
          <cell r="C325">
            <v>192</v>
          </cell>
          <cell r="P325">
            <v>12</v>
          </cell>
          <cell r="U325" t="str">
            <v>000000000012942</v>
          </cell>
        </row>
        <row r="326">
          <cell r="C326">
            <v>1</v>
          </cell>
          <cell r="P326">
            <v>12</v>
          </cell>
          <cell r="U326" t="str">
            <v>000000000012942</v>
          </cell>
        </row>
        <row r="327">
          <cell r="C327">
            <v>16</v>
          </cell>
          <cell r="M327" t="str">
            <v>合計</v>
          </cell>
          <cell r="N327">
            <v>12</v>
          </cell>
          <cell r="P327">
            <v>0</v>
          </cell>
          <cell r="U327" t="str">
            <v>000000000012942</v>
          </cell>
        </row>
        <row r="328">
          <cell r="C328" t="str">
            <v>灯具-3　L=970</v>
          </cell>
          <cell r="M328" t="str">
            <v>入数</v>
          </cell>
          <cell r="N328">
            <v>192</v>
          </cell>
          <cell r="P328">
            <v>204</v>
          </cell>
          <cell r="U328" t="str">
            <v>000000000012942</v>
          </cell>
        </row>
        <row r="329">
          <cell r="M329" t="str">
            <v>作業者</v>
          </cell>
          <cell r="U329" t="str">
            <v>000000000012942</v>
          </cell>
        </row>
        <row r="330">
          <cell r="C330">
            <v>12</v>
          </cell>
          <cell r="U330" t="str">
            <v>000000000012942</v>
          </cell>
        </row>
        <row r="331">
          <cell r="M331" t="str">
            <v>I</v>
          </cell>
          <cell r="N331" t="str">
            <v>T</v>
          </cell>
          <cell r="R331">
            <v>12</v>
          </cell>
          <cell r="U331" t="str">
            <v>000000000012942</v>
          </cell>
        </row>
        <row r="332">
          <cell r="D332" t="str">
            <v>不良補填</v>
          </cell>
          <cell r="F332" t="str">
            <v/>
          </cell>
          <cell r="U332" t="str">
            <v>000000000012942</v>
          </cell>
        </row>
        <row r="333">
          <cell r="C333" t="str">
            <v>灯具カバーPC IN 2130　L=908</v>
          </cell>
          <cell r="D333">
            <v>46114</v>
          </cell>
          <cell r="E333" t="str">
            <v>26C31-01</v>
          </cell>
          <cell r="F333">
            <v>9</v>
          </cell>
          <cell r="M333">
            <v>46127</v>
          </cell>
          <cell r="N333">
            <v>12</v>
          </cell>
          <cell r="P333">
            <v>46127</v>
          </cell>
          <cell r="R333">
            <v>6</v>
          </cell>
          <cell r="U333" t="str">
            <v>000000000012944</v>
          </cell>
        </row>
        <row r="334">
          <cell r="D334">
            <v>46127</v>
          </cell>
          <cell r="E334" t="str">
            <v>26D02-01</v>
          </cell>
          <cell r="F334">
            <v>195</v>
          </cell>
          <cell r="P334">
            <v>192</v>
          </cell>
          <cell r="R334">
            <v>6</v>
          </cell>
          <cell r="U334" t="str">
            <v>000000000012944</v>
          </cell>
        </row>
        <row r="335">
          <cell r="C335">
            <v>192</v>
          </cell>
          <cell r="P335">
            <v>204</v>
          </cell>
          <cell r="U335" t="str">
            <v>000000000012944</v>
          </cell>
        </row>
        <row r="336">
          <cell r="C336">
            <v>192</v>
          </cell>
          <cell r="P336">
            <v>12</v>
          </cell>
          <cell r="U336" t="str">
            <v>000000000012944</v>
          </cell>
        </row>
        <row r="337">
          <cell r="C337">
            <v>1</v>
          </cell>
          <cell r="P337">
            <v>12</v>
          </cell>
          <cell r="U337" t="str">
            <v>000000000012944</v>
          </cell>
        </row>
        <row r="338">
          <cell r="C338">
            <v>16</v>
          </cell>
          <cell r="M338" t="str">
            <v>合計</v>
          </cell>
          <cell r="N338">
            <v>12</v>
          </cell>
          <cell r="P338">
            <v>0</v>
          </cell>
          <cell r="U338" t="str">
            <v>000000000012944</v>
          </cell>
        </row>
        <row r="339">
          <cell r="C339" t="str">
            <v>灯具-3　L=970</v>
          </cell>
          <cell r="M339" t="str">
            <v>入数</v>
          </cell>
          <cell r="N339">
            <v>192</v>
          </cell>
          <cell r="P339">
            <v>204</v>
          </cell>
          <cell r="U339" t="str">
            <v>000000000012944</v>
          </cell>
        </row>
        <row r="340">
          <cell r="M340" t="str">
            <v>作業者</v>
          </cell>
          <cell r="U340" t="str">
            <v>000000000012944</v>
          </cell>
        </row>
        <row r="341">
          <cell r="C341">
            <v>12</v>
          </cell>
          <cell r="U341" t="str">
            <v>000000000012944</v>
          </cell>
        </row>
        <row r="342">
          <cell r="M342" t="str">
            <v>T</v>
          </cell>
          <cell r="R342">
            <v>12</v>
          </cell>
          <cell r="U342" t="str">
            <v>000000000012944</v>
          </cell>
        </row>
        <row r="343">
          <cell r="D343" t="str">
            <v>不良補填</v>
          </cell>
          <cell r="F343" t="str">
            <v/>
          </cell>
          <cell r="U343" t="str">
            <v>000000000012944</v>
          </cell>
        </row>
        <row r="344">
          <cell r="C344" t="str">
            <v>灯具カバーPC IN 2060　L=1258.5</v>
          </cell>
          <cell r="D344">
            <v>46087</v>
          </cell>
          <cell r="E344" t="str">
            <v>26B21-01</v>
          </cell>
          <cell r="F344">
            <v>11</v>
          </cell>
          <cell r="M344">
            <v>46127</v>
          </cell>
          <cell r="N344">
            <v>7</v>
          </cell>
          <cell r="P344">
            <v>46128</v>
          </cell>
          <cell r="R344">
            <v>5</v>
          </cell>
          <cell r="U344" t="str">
            <v>000000000012987</v>
          </cell>
        </row>
        <row r="345">
          <cell r="D345">
            <v>46127</v>
          </cell>
          <cell r="E345" t="str">
            <v>26C31-01</v>
          </cell>
          <cell r="F345">
            <v>143</v>
          </cell>
          <cell r="M345">
            <v>46128</v>
          </cell>
          <cell r="N345">
            <v>2</v>
          </cell>
          <cell r="P345">
            <v>144</v>
          </cell>
          <cell r="R345">
            <v>5</v>
          </cell>
          <cell r="U345" t="str">
            <v>000000000012987</v>
          </cell>
        </row>
        <row r="346">
          <cell r="C346">
            <v>144</v>
          </cell>
          <cell r="P346">
            <v>154</v>
          </cell>
          <cell r="U346" t="str">
            <v>000000000012987</v>
          </cell>
        </row>
        <row r="347">
          <cell r="C347">
            <v>144</v>
          </cell>
          <cell r="P347">
            <v>10</v>
          </cell>
          <cell r="U347" t="str">
            <v>000000000012987</v>
          </cell>
        </row>
        <row r="348">
          <cell r="C348">
            <v>1</v>
          </cell>
          <cell r="P348">
            <v>10</v>
          </cell>
          <cell r="U348" t="str">
            <v>000000000012987</v>
          </cell>
        </row>
        <row r="349">
          <cell r="C349">
            <v>16</v>
          </cell>
          <cell r="M349" t="str">
            <v>合計</v>
          </cell>
          <cell r="N349">
            <v>9</v>
          </cell>
          <cell r="P349">
            <v>0</v>
          </cell>
          <cell r="U349" t="str">
            <v>000000000012987</v>
          </cell>
        </row>
        <row r="350">
          <cell r="C350" t="str">
            <v>灯具-1　L=1370</v>
          </cell>
          <cell r="M350" t="str">
            <v>入数</v>
          </cell>
          <cell r="N350">
            <v>144</v>
          </cell>
          <cell r="P350">
            <v>154</v>
          </cell>
          <cell r="U350" t="str">
            <v>000000000012987</v>
          </cell>
        </row>
        <row r="351">
          <cell r="M351" t="str">
            <v>作業者</v>
          </cell>
          <cell r="U351" t="str">
            <v>000000000012987</v>
          </cell>
        </row>
        <row r="352">
          <cell r="C352">
            <v>9</v>
          </cell>
          <cell r="U352" t="str">
            <v>000000000012987</v>
          </cell>
        </row>
        <row r="353">
          <cell r="M353" t="str">
            <v>T</v>
          </cell>
          <cell r="N353" t="str">
            <v>I</v>
          </cell>
          <cell r="R353">
            <v>10</v>
          </cell>
          <cell r="U353" t="str">
            <v>000000000012987</v>
          </cell>
        </row>
        <row r="354">
          <cell r="D354" t="str">
            <v>不良補填</v>
          </cell>
          <cell r="F354" t="str">
            <v/>
          </cell>
          <cell r="U354" t="str">
            <v>000000000012987</v>
          </cell>
        </row>
        <row r="355">
          <cell r="C355" t="str">
            <v>灯具カバーPC IN 2080　L=1540</v>
          </cell>
          <cell r="D355">
            <v>46084</v>
          </cell>
          <cell r="E355" t="str">
            <v>26B21-01</v>
          </cell>
          <cell r="F355">
            <v>3</v>
          </cell>
          <cell r="M355">
            <v>46128</v>
          </cell>
          <cell r="N355">
            <v>11</v>
          </cell>
          <cell r="P355">
            <v>46128</v>
          </cell>
          <cell r="R355">
            <v>9</v>
          </cell>
          <cell r="U355" t="str">
            <v>000000000013716</v>
          </cell>
        </row>
        <row r="356">
          <cell r="D356">
            <v>46128</v>
          </cell>
          <cell r="E356" t="str">
            <v>26D14-01</v>
          </cell>
          <cell r="F356">
            <v>191</v>
          </cell>
          <cell r="P356">
            <v>176</v>
          </cell>
          <cell r="R356">
            <v>9</v>
          </cell>
          <cell r="U356" t="str">
            <v>000000000013716</v>
          </cell>
        </row>
        <row r="357">
          <cell r="C357">
            <v>176</v>
          </cell>
          <cell r="P357">
            <v>194</v>
          </cell>
          <cell r="U357" t="str">
            <v>000000000013716</v>
          </cell>
        </row>
        <row r="358">
          <cell r="C358">
            <v>176</v>
          </cell>
          <cell r="P358">
            <v>18</v>
          </cell>
          <cell r="U358" t="str">
            <v>000000000013716</v>
          </cell>
        </row>
        <row r="359">
          <cell r="C359">
            <v>1</v>
          </cell>
          <cell r="P359">
            <v>18</v>
          </cell>
          <cell r="U359" t="str">
            <v>000000000013716</v>
          </cell>
        </row>
        <row r="360">
          <cell r="C360">
            <v>16</v>
          </cell>
          <cell r="M360" t="str">
            <v>合計</v>
          </cell>
          <cell r="N360">
            <v>11</v>
          </cell>
          <cell r="P360">
            <v>0</v>
          </cell>
          <cell r="U360" t="str">
            <v>000000000013716</v>
          </cell>
        </row>
        <row r="361">
          <cell r="C361" t="str">
            <v>灯具-2　L＝1996</v>
          </cell>
          <cell r="M361" t="str">
            <v>入数</v>
          </cell>
          <cell r="N361">
            <v>176</v>
          </cell>
          <cell r="P361">
            <v>194</v>
          </cell>
          <cell r="U361" t="str">
            <v>000000000013716</v>
          </cell>
        </row>
        <row r="362">
          <cell r="M362" t="str">
            <v>作業者</v>
          </cell>
          <cell r="U362" t="str">
            <v>000000000013716</v>
          </cell>
        </row>
        <row r="363">
          <cell r="C363">
            <v>11</v>
          </cell>
          <cell r="U363" t="str">
            <v>000000000013716</v>
          </cell>
        </row>
        <row r="364">
          <cell r="M364" t="str">
            <v>T</v>
          </cell>
          <cell r="N364" t="str">
            <v>I</v>
          </cell>
          <cell r="R364">
            <v>18</v>
          </cell>
          <cell r="U364" t="str">
            <v>000000000013716</v>
          </cell>
        </row>
        <row r="365">
          <cell r="D365" t="str">
            <v>不良補填</v>
          </cell>
          <cell r="F365" t="str">
            <v/>
          </cell>
          <cell r="U365" t="str">
            <v>000000000013716</v>
          </cell>
        </row>
        <row r="366">
          <cell r="C366" t="str">
            <v>灯具カバーPC IN 2050　L=1183.5</v>
          </cell>
          <cell r="M366">
            <v>46128</v>
          </cell>
          <cell r="N366">
            <v>1</v>
          </cell>
          <cell r="P366">
            <v>46129</v>
          </cell>
          <cell r="R366">
            <v>12</v>
          </cell>
          <cell r="U366" t="str">
            <v>000000000013711</v>
          </cell>
        </row>
        <row r="367">
          <cell r="D367">
            <v>46128</v>
          </cell>
          <cell r="E367" t="str">
            <v>26D14-01</v>
          </cell>
          <cell r="M367">
            <v>46129</v>
          </cell>
          <cell r="N367">
            <v>9</v>
          </cell>
          <cell r="P367">
            <v>160</v>
          </cell>
          <cell r="R367">
            <v>15</v>
          </cell>
          <cell r="U367" t="str">
            <v>000000000013711</v>
          </cell>
        </row>
        <row r="368">
          <cell r="C368">
            <v>160</v>
          </cell>
          <cell r="D368">
            <v>46129</v>
          </cell>
          <cell r="E368" t="str">
            <v>26D14-01</v>
          </cell>
          <cell r="F368">
            <v>187</v>
          </cell>
          <cell r="P368">
            <v>187</v>
          </cell>
          <cell r="U368" t="str">
            <v>000000000013711</v>
          </cell>
        </row>
        <row r="369">
          <cell r="C369">
            <v>160</v>
          </cell>
          <cell r="P369">
            <v>27</v>
          </cell>
          <cell r="U369" t="str">
            <v>000000000013711</v>
          </cell>
        </row>
        <row r="370">
          <cell r="C370">
            <v>1</v>
          </cell>
          <cell r="P370">
            <v>27</v>
          </cell>
          <cell r="U370" t="str">
            <v>000000000013711</v>
          </cell>
        </row>
        <row r="371">
          <cell r="C371">
            <v>16</v>
          </cell>
          <cell r="M371" t="str">
            <v>合計</v>
          </cell>
          <cell r="N371">
            <v>10</v>
          </cell>
          <cell r="P371">
            <v>0</v>
          </cell>
          <cell r="U371" t="str">
            <v>000000000013711</v>
          </cell>
        </row>
        <row r="372">
          <cell r="C372" t="str">
            <v>灯具-1　L=1370</v>
          </cell>
          <cell r="M372" t="str">
            <v>入数</v>
          </cell>
          <cell r="N372">
            <v>160</v>
          </cell>
          <cell r="P372">
            <v>187</v>
          </cell>
          <cell r="U372" t="str">
            <v>000000000013711</v>
          </cell>
        </row>
        <row r="373">
          <cell r="M373" t="str">
            <v>作業者</v>
          </cell>
          <cell r="U373" t="str">
            <v>000000000013711</v>
          </cell>
        </row>
        <row r="374">
          <cell r="C374">
            <v>10</v>
          </cell>
          <cell r="U374" t="str">
            <v>000000000013711</v>
          </cell>
        </row>
        <row r="375">
          <cell r="M375" t="str">
            <v>I</v>
          </cell>
          <cell r="N375" t="str">
            <v>T</v>
          </cell>
          <cell r="R375">
            <v>27</v>
          </cell>
          <cell r="U375" t="str">
            <v>000000000013711</v>
          </cell>
        </row>
        <row r="376">
          <cell r="D376" t="str">
            <v>不良補填</v>
          </cell>
          <cell r="F376" t="str">
            <v/>
          </cell>
          <cell r="U376" t="str">
            <v>000000000013711</v>
          </cell>
        </row>
        <row r="377">
          <cell r="C377" t="str">
            <v>灯具カバーPC IN 2480　L=954</v>
          </cell>
          <cell r="D377">
            <v>45966</v>
          </cell>
          <cell r="E377" t="str">
            <v>25J24-01</v>
          </cell>
          <cell r="F377">
            <v>5</v>
          </cell>
          <cell r="M377">
            <v>46129</v>
          </cell>
          <cell r="N377">
            <v>5</v>
          </cell>
          <cell r="P377">
            <v>46132</v>
          </cell>
          <cell r="R377">
            <v>1</v>
          </cell>
          <cell r="U377" t="str">
            <v>000000000013710</v>
          </cell>
        </row>
        <row r="378">
          <cell r="D378">
            <v>46129</v>
          </cell>
          <cell r="E378" t="str">
            <v>26D14-01</v>
          </cell>
          <cell r="M378">
            <v>46132</v>
          </cell>
          <cell r="N378">
            <v>1</v>
          </cell>
          <cell r="P378">
            <v>96</v>
          </cell>
          <cell r="R378">
            <v>6</v>
          </cell>
          <cell r="U378" t="str">
            <v>000000000013710</v>
          </cell>
        </row>
        <row r="379">
          <cell r="C379">
            <v>96</v>
          </cell>
          <cell r="D379">
            <v>46132</v>
          </cell>
          <cell r="E379" t="str">
            <v>26D14-01</v>
          </cell>
          <cell r="F379">
            <v>98</v>
          </cell>
          <cell r="P379">
            <v>103</v>
          </cell>
          <cell r="U379" t="str">
            <v>000000000013710</v>
          </cell>
        </row>
        <row r="380">
          <cell r="C380">
            <v>96</v>
          </cell>
          <cell r="P380">
            <v>7</v>
          </cell>
          <cell r="U380" t="str">
            <v>000000000013710</v>
          </cell>
        </row>
        <row r="381">
          <cell r="C381">
            <v>1</v>
          </cell>
          <cell r="P381">
            <v>7</v>
          </cell>
          <cell r="U381" t="str">
            <v>000000000013710</v>
          </cell>
        </row>
        <row r="382">
          <cell r="C382">
            <v>16</v>
          </cell>
          <cell r="M382" t="str">
            <v>合計</v>
          </cell>
          <cell r="N382">
            <v>6</v>
          </cell>
          <cell r="P382">
            <v>0</v>
          </cell>
          <cell r="U382" t="str">
            <v>000000000013710</v>
          </cell>
        </row>
        <row r="383">
          <cell r="C383" t="str">
            <v>灯具-3　L=970</v>
          </cell>
          <cell r="M383" t="str">
            <v>入数</v>
          </cell>
          <cell r="N383">
            <v>96</v>
          </cell>
          <cell r="P383">
            <v>103</v>
          </cell>
          <cell r="U383" t="str">
            <v>000000000013710</v>
          </cell>
        </row>
        <row r="384">
          <cell r="M384" t="str">
            <v>作業者</v>
          </cell>
          <cell r="U384" t="str">
            <v>000000000013710</v>
          </cell>
        </row>
        <row r="385">
          <cell r="C385">
            <v>6</v>
          </cell>
          <cell r="U385" t="str">
            <v>000000000013710</v>
          </cell>
        </row>
        <row r="386">
          <cell r="M386" t="str">
            <v>T</v>
          </cell>
          <cell r="R386">
            <v>7</v>
          </cell>
          <cell r="U386" t="str">
            <v>000000000013710</v>
          </cell>
        </row>
        <row r="387">
          <cell r="D387" t="str">
            <v>不良補填</v>
          </cell>
          <cell r="F387" t="str">
            <v/>
          </cell>
          <cell r="U387" t="str">
            <v>000000000013710</v>
          </cell>
        </row>
        <row r="388">
          <cell r="C388" t="str">
            <v>8FL281304 5010　L=888</v>
          </cell>
          <cell r="M388">
            <v>46132</v>
          </cell>
          <cell r="N388">
            <v>14</v>
          </cell>
          <cell r="P388">
            <v>46133</v>
          </cell>
          <cell r="R388">
            <v>1</v>
          </cell>
          <cell r="U388" t="str">
            <v>000000000013173</v>
          </cell>
        </row>
        <row r="389">
          <cell r="D389">
            <v>46129</v>
          </cell>
          <cell r="E389" t="str">
            <v>26C31-09</v>
          </cell>
          <cell r="F389">
            <v>260</v>
          </cell>
          <cell r="M389">
            <v>46133</v>
          </cell>
          <cell r="N389">
            <v>6</v>
          </cell>
          <cell r="P389">
            <v>2000</v>
          </cell>
          <cell r="R389">
            <v>1</v>
          </cell>
          <cell r="U389" t="str">
            <v>000000000013173</v>
          </cell>
        </row>
        <row r="390">
          <cell r="C390">
            <v>2000</v>
          </cell>
          <cell r="D390">
            <v>46129</v>
          </cell>
          <cell r="E390" t="str">
            <v>26D01-01</v>
          </cell>
          <cell r="F390">
            <v>140</v>
          </cell>
          <cell r="P390">
            <v>1003</v>
          </cell>
          <cell r="R390">
            <v>3</v>
          </cell>
          <cell r="U390" t="str">
            <v>000000000013173</v>
          </cell>
        </row>
        <row r="391">
          <cell r="C391">
            <v>2000</v>
          </cell>
          <cell r="D391">
            <v>46132</v>
          </cell>
          <cell r="E391" t="str">
            <v>26D01-01</v>
          </cell>
          <cell r="F391">
            <v>400</v>
          </cell>
          <cell r="P391">
            <v>6</v>
          </cell>
          <cell r="U391" t="str">
            <v>000000000013173</v>
          </cell>
        </row>
        <row r="392">
          <cell r="C392">
            <v>2</v>
          </cell>
          <cell r="D392">
            <v>46132</v>
          </cell>
          <cell r="E392" t="str">
            <v>26D01-01</v>
          </cell>
          <cell r="F392">
            <v>20</v>
          </cell>
          <cell r="P392">
            <v>3</v>
          </cell>
          <cell r="U392" t="str">
            <v>000000000013173</v>
          </cell>
        </row>
        <row r="393">
          <cell r="C393">
            <v>100</v>
          </cell>
          <cell r="D393">
            <v>46132</v>
          </cell>
          <cell r="E393" t="str">
            <v>26C31-10</v>
          </cell>
          <cell r="F393">
            <v>380</v>
          </cell>
          <cell r="M393" t="str">
            <v>合計</v>
          </cell>
          <cell r="N393">
            <v>20</v>
          </cell>
          <cell r="P393">
            <v>0</v>
          </cell>
          <cell r="U393" t="str">
            <v>000000000013173</v>
          </cell>
        </row>
        <row r="394">
          <cell r="C394" t="str">
            <v>LED-A888</v>
          </cell>
          <cell r="D394">
            <v>46132</v>
          </cell>
          <cell r="E394" t="str">
            <v>26C31-10</v>
          </cell>
          <cell r="F394">
            <v>400</v>
          </cell>
          <cell r="M394" t="str">
            <v>入数</v>
          </cell>
          <cell r="N394">
            <v>2000</v>
          </cell>
          <cell r="P394">
            <v>2006</v>
          </cell>
          <cell r="U394" t="str">
            <v>000000000013173</v>
          </cell>
        </row>
        <row r="395">
          <cell r="D395">
            <v>46132</v>
          </cell>
          <cell r="E395" t="str">
            <v>26C31-10</v>
          </cell>
          <cell r="F395">
            <v>260</v>
          </cell>
          <cell r="M395" t="str">
            <v>作業者</v>
          </cell>
          <cell r="U395" t="str">
            <v>000000000013173</v>
          </cell>
        </row>
        <row r="396">
          <cell r="C396">
            <v>20</v>
          </cell>
          <cell r="D396">
            <v>46132</v>
          </cell>
          <cell r="E396" t="str">
            <v>26D02-02</v>
          </cell>
          <cell r="F396">
            <v>140</v>
          </cell>
          <cell r="M396" t="str">
            <v>I</v>
          </cell>
          <cell r="R396">
            <v>1</v>
          </cell>
          <cell r="U396" t="str">
            <v>000000000013173</v>
          </cell>
        </row>
        <row r="397">
          <cell r="M397" t="str">
            <v>T</v>
          </cell>
          <cell r="N397" t="str">
            <v>U</v>
          </cell>
          <cell r="R397">
            <v>6</v>
          </cell>
          <cell r="U397" t="str">
            <v>000000000013173</v>
          </cell>
        </row>
        <row r="398">
          <cell r="D398" t="str">
            <v>不良補填</v>
          </cell>
          <cell r="E398" t="str">
            <v>26B28-05</v>
          </cell>
          <cell r="F398">
            <v>6</v>
          </cell>
          <cell r="U398" t="str">
            <v>000000000013173</v>
          </cell>
        </row>
        <row r="399">
          <cell r="C399" t="str">
            <v>8FL281304 5010　L=888</v>
          </cell>
          <cell r="M399">
            <v>46133</v>
          </cell>
          <cell r="N399">
            <v>8</v>
          </cell>
          <cell r="P399">
            <v>46133</v>
          </cell>
          <cell r="R399">
            <v>1</v>
          </cell>
          <cell r="U399" t="str">
            <v>000000000013174</v>
          </cell>
        </row>
        <row r="400">
          <cell r="D400">
            <v>46132</v>
          </cell>
          <cell r="E400" t="str">
            <v>26D02-02</v>
          </cell>
          <cell r="P400">
            <v>800</v>
          </cell>
          <cell r="U400" t="str">
            <v>000000000013174</v>
          </cell>
        </row>
        <row r="401">
          <cell r="C401">
            <v>800</v>
          </cell>
          <cell r="D401">
            <v>46133</v>
          </cell>
          <cell r="E401" t="str">
            <v>26D02-02</v>
          </cell>
          <cell r="F401">
            <v>400</v>
          </cell>
          <cell r="P401">
            <v>402</v>
          </cell>
          <cell r="R401">
            <v>3</v>
          </cell>
          <cell r="U401" t="str">
            <v>000000000013174</v>
          </cell>
        </row>
        <row r="402">
          <cell r="C402">
            <v>800</v>
          </cell>
          <cell r="D402">
            <v>46133</v>
          </cell>
          <cell r="E402" t="str">
            <v>26D02-02</v>
          </cell>
          <cell r="F402">
            <v>400</v>
          </cell>
          <cell r="P402">
            <v>4</v>
          </cell>
          <cell r="U402" t="str">
            <v>000000000013174</v>
          </cell>
        </row>
        <row r="403">
          <cell r="C403">
            <v>2</v>
          </cell>
          <cell r="P403">
            <v>2</v>
          </cell>
          <cell r="U403" t="str">
            <v>000000000013174</v>
          </cell>
        </row>
        <row r="404">
          <cell r="C404">
            <v>100</v>
          </cell>
          <cell r="M404" t="str">
            <v>合計</v>
          </cell>
          <cell r="N404">
            <v>8</v>
          </cell>
          <cell r="P404">
            <v>0</v>
          </cell>
          <cell r="U404" t="str">
            <v>000000000013174</v>
          </cell>
        </row>
        <row r="405">
          <cell r="C405" t="str">
            <v>LED-A888</v>
          </cell>
          <cell r="M405" t="str">
            <v>入数</v>
          </cell>
          <cell r="N405">
            <v>800</v>
          </cell>
          <cell r="P405">
            <v>804</v>
          </cell>
          <cell r="U405" t="str">
            <v>000000000013174</v>
          </cell>
        </row>
        <row r="406">
          <cell r="M406" t="str">
            <v>作業者</v>
          </cell>
          <cell r="U406" t="str">
            <v>000000000013174</v>
          </cell>
        </row>
        <row r="407">
          <cell r="C407">
            <v>8</v>
          </cell>
          <cell r="M407" t="str">
            <v>I</v>
          </cell>
          <cell r="U407" t="str">
            <v>000000000013174</v>
          </cell>
        </row>
        <row r="408">
          <cell r="M408" t="str">
            <v>T</v>
          </cell>
          <cell r="N408" t="str">
            <v>U</v>
          </cell>
          <cell r="R408">
            <v>4</v>
          </cell>
          <cell r="U408" t="str">
            <v>000000000013174</v>
          </cell>
        </row>
        <row r="409">
          <cell r="D409" t="str">
            <v>不良補填</v>
          </cell>
          <cell r="E409" t="str">
            <v>26B28-05</v>
          </cell>
          <cell r="F409">
            <v>4</v>
          </cell>
          <cell r="U409" t="str">
            <v>000000000013174</v>
          </cell>
        </row>
        <row r="410">
          <cell r="C410" t="str">
            <v>8FL281304 6110　L=1478</v>
          </cell>
          <cell r="M410">
            <v>46134</v>
          </cell>
          <cell r="N410">
            <v>7</v>
          </cell>
          <cell r="P410">
            <v>46134</v>
          </cell>
          <cell r="R410">
            <v>5</v>
          </cell>
          <cell r="U410" t="str">
            <v>000000000013179</v>
          </cell>
        </row>
        <row r="411">
          <cell r="D411">
            <v>46133</v>
          </cell>
          <cell r="E411" t="str">
            <v>26D02-02</v>
          </cell>
          <cell r="P411">
            <v>700</v>
          </cell>
          <cell r="R411">
            <v>2</v>
          </cell>
          <cell r="U411" t="str">
            <v>000000000013179</v>
          </cell>
        </row>
        <row r="412">
          <cell r="C412">
            <v>700</v>
          </cell>
          <cell r="D412">
            <v>46133</v>
          </cell>
          <cell r="E412" t="str">
            <v>26D02-02</v>
          </cell>
          <cell r="F412">
            <v>330</v>
          </cell>
          <cell r="P412">
            <v>709</v>
          </cell>
          <cell r="R412">
            <v>1</v>
          </cell>
          <cell r="U412" t="str">
            <v>000000000013179</v>
          </cell>
        </row>
        <row r="413">
          <cell r="C413">
            <v>700</v>
          </cell>
          <cell r="D413">
            <v>46133</v>
          </cell>
          <cell r="E413" t="str">
            <v>26D03-03</v>
          </cell>
          <cell r="P413">
            <v>9</v>
          </cell>
          <cell r="U413" t="str">
            <v>000000000013179</v>
          </cell>
        </row>
        <row r="414">
          <cell r="C414">
            <v>1</v>
          </cell>
          <cell r="D414">
            <v>46133</v>
          </cell>
          <cell r="E414" t="str">
            <v>26D03-03</v>
          </cell>
          <cell r="F414">
            <v>70</v>
          </cell>
          <cell r="P414">
            <v>9</v>
          </cell>
          <cell r="U414" t="str">
            <v>000000000013179</v>
          </cell>
        </row>
        <row r="415">
          <cell r="C415">
            <v>100</v>
          </cell>
          <cell r="D415">
            <v>46134</v>
          </cell>
          <cell r="E415" t="str">
            <v>26D03-03</v>
          </cell>
          <cell r="F415">
            <v>300</v>
          </cell>
          <cell r="M415" t="str">
            <v>合計</v>
          </cell>
          <cell r="N415">
            <v>7</v>
          </cell>
          <cell r="P415">
            <v>0</v>
          </cell>
          <cell r="U415" t="str">
            <v>000000000013179</v>
          </cell>
        </row>
        <row r="416">
          <cell r="C416" t="str">
            <v>LED-A1478</v>
          </cell>
          <cell r="M416" t="str">
            <v>入数</v>
          </cell>
          <cell r="N416">
            <v>700</v>
          </cell>
          <cell r="P416">
            <v>709</v>
          </cell>
          <cell r="U416" t="str">
            <v>000000000013179</v>
          </cell>
        </row>
        <row r="417">
          <cell r="M417" t="str">
            <v>作業者</v>
          </cell>
          <cell r="U417" t="str">
            <v>000000000013179</v>
          </cell>
        </row>
        <row r="418">
          <cell r="C418">
            <v>7</v>
          </cell>
          <cell r="M418" t="str">
            <v>I</v>
          </cell>
          <cell r="R418">
            <v>1</v>
          </cell>
          <cell r="U418" t="str">
            <v>000000000013179</v>
          </cell>
        </row>
        <row r="419">
          <cell r="M419" t="str">
            <v>U</v>
          </cell>
          <cell r="N419" t="str">
            <v>T</v>
          </cell>
          <cell r="R419">
            <v>9</v>
          </cell>
          <cell r="U419" t="str">
            <v>000000000013179</v>
          </cell>
        </row>
        <row r="420">
          <cell r="D420" t="str">
            <v>不良補填</v>
          </cell>
          <cell r="E420" t="str">
            <v>26C25-05</v>
          </cell>
          <cell r="F420">
            <v>9</v>
          </cell>
          <cell r="U420" t="str">
            <v>000000000013179</v>
          </cell>
        </row>
        <row r="421">
          <cell r="C421" t="str">
            <v>8FL281304 6110　L=1478</v>
          </cell>
          <cell r="M421">
            <v>46134</v>
          </cell>
          <cell r="N421">
            <v>2</v>
          </cell>
          <cell r="P421">
            <v>46135</v>
          </cell>
          <cell r="R421">
            <v>4</v>
          </cell>
          <cell r="U421" t="str">
            <v>000000000013181</v>
          </cell>
        </row>
        <row r="422">
          <cell r="D422">
            <v>46134</v>
          </cell>
          <cell r="E422" t="str">
            <v>26D03-03</v>
          </cell>
          <cell r="M422">
            <v>46135</v>
          </cell>
          <cell r="N422">
            <v>2</v>
          </cell>
          <cell r="P422">
            <v>400</v>
          </cell>
          <cell r="R422">
            <v>1</v>
          </cell>
          <cell r="U422" t="str">
            <v>000000000013181</v>
          </cell>
        </row>
        <row r="423">
          <cell r="C423">
            <v>400</v>
          </cell>
          <cell r="D423">
            <v>46134</v>
          </cell>
          <cell r="E423" t="str">
            <v>26D03-03</v>
          </cell>
          <cell r="F423">
            <v>400</v>
          </cell>
          <cell r="P423">
            <v>405</v>
          </cell>
          <cell r="U423" t="str">
            <v>000000000013181</v>
          </cell>
        </row>
        <row r="424">
          <cell r="C424">
            <v>400</v>
          </cell>
          <cell r="P424">
            <v>5</v>
          </cell>
          <cell r="U424" t="str">
            <v>000000000013181</v>
          </cell>
        </row>
        <row r="425">
          <cell r="C425">
            <v>1</v>
          </cell>
          <cell r="P425">
            <v>5</v>
          </cell>
          <cell r="U425" t="str">
            <v>000000000013181</v>
          </cell>
        </row>
        <row r="426">
          <cell r="C426">
            <v>100</v>
          </cell>
          <cell r="M426" t="str">
            <v>合計</v>
          </cell>
          <cell r="N426">
            <v>4</v>
          </cell>
          <cell r="P426">
            <v>0</v>
          </cell>
          <cell r="U426" t="str">
            <v>000000000013181</v>
          </cell>
        </row>
        <row r="427">
          <cell r="C427" t="str">
            <v>LED-A1478</v>
          </cell>
          <cell r="M427" t="str">
            <v>入数</v>
          </cell>
          <cell r="N427">
            <v>400</v>
          </cell>
          <cell r="P427">
            <v>405</v>
          </cell>
          <cell r="U427" t="str">
            <v>000000000013181</v>
          </cell>
        </row>
        <row r="428">
          <cell r="M428" t="str">
            <v>作業者</v>
          </cell>
          <cell r="U428" t="str">
            <v>000000000013181</v>
          </cell>
        </row>
        <row r="429">
          <cell r="C429">
            <v>4</v>
          </cell>
          <cell r="M429" t="str">
            <v>I</v>
          </cell>
          <cell r="U429" t="str">
            <v>000000000013181</v>
          </cell>
        </row>
        <row r="430">
          <cell r="M430" t="str">
            <v>T</v>
          </cell>
          <cell r="N430" t="str">
            <v>U</v>
          </cell>
          <cell r="R430">
            <v>5</v>
          </cell>
          <cell r="U430" t="str">
            <v>000000000013181</v>
          </cell>
        </row>
        <row r="431">
          <cell r="D431" t="str">
            <v>不良補填</v>
          </cell>
          <cell r="E431" t="str">
            <v>26C25-05</v>
          </cell>
          <cell r="F431">
            <v>5</v>
          </cell>
          <cell r="U431" t="str">
            <v>000000000013181</v>
          </cell>
        </row>
        <row r="432">
          <cell r="C432" t="str">
            <v>8FL281304 4810　L=297</v>
          </cell>
          <cell r="M432">
            <v>46135</v>
          </cell>
          <cell r="N432">
            <v>3</v>
          </cell>
          <cell r="P432">
            <v>46135</v>
          </cell>
          <cell r="R432">
            <v>1</v>
          </cell>
          <cell r="U432" t="str">
            <v>000000000013814</v>
          </cell>
        </row>
        <row r="433">
          <cell r="D433">
            <v>46134</v>
          </cell>
          <cell r="E433" t="str">
            <v>端材</v>
          </cell>
          <cell r="P433">
            <v>300</v>
          </cell>
          <cell r="R433">
            <v>1</v>
          </cell>
          <cell r="U433" t="str">
            <v>000000000013814</v>
          </cell>
        </row>
        <row r="434">
          <cell r="C434">
            <v>300</v>
          </cell>
          <cell r="D434">
            <v>46134</v>
          </cell>
          <cell r="E434" t="str">
            <v>端材</v>
          </cell>
          <cell r="F434">
            <v>104</v>
          </cell>
          <cell r="P434">
            <v>33.166666666666664</v>
          </cell>
          <cell r="R434">
            <v>1</v>
          </cell>
          <cell r="U434" t="str">
            <v>000000000013814</v>
          </cell>
        </row>
        <row r="435">
          <cell r="C435">
            <v>300</v>
          </cell>
          <cell r="D435">
            <v>46134</v>
          </cell>
          <cell r="E435" t="str">
            <v>26D03-03</v>
          </cell>
          <cell r="P435">
            <v>3</v>
          </cell>
          <cell r="U435" t="str">
            <v>000000000013814</v>
          </cell>
        </row>
        <row r="436">
          <cell r="C436">
            <v>6</v>
          </cell>
          <cell r="D436">
            <v>46134</v>
          </cell>
          <cell r="E436" t="str">
            <v>26D03-03</v>
          </cell>
          <cell r="F436">
            <v>174</v>
          </cell>
          <cell r="P436">
            <v>0.5</v>
          </cell>
          <cell r="U436" t="str">
            <v>000000000013814</v>
          </cell>
        </row>
        <row r="437">
          <cell r="C437">
            <v>100</v>
          </cell>
          <cell r="D437">
            <v>46134</v>
          </cell>
          <cell r="E437" t="str">
            <v>26D03-04</v>
          </cell>
          <cell r="F437">
            <v>22</v>
          </cell>
          <cell r="M437" t="str">
            <v>合計</v>
          </cell>
          <cell r="N437">
            <v>3</v>
          </cell>
          <cell r="P437">
            <v>104</v>
          </cell>
          <cell r="U437" t="str">
            <v>000000000013814</v>
          </cell>
        </row>
        <row r="438">
          <cell r="C438" t="str">
            <v>LED-A300</v>
          </cell>
          <cell r="M438" t="str">
            <v>入数</v>
          </cell>
          <cell r="N438">
            <v>300</v>
          </cell>
          <cell r="P438">
            <v>303</v>
          </cell>
          <cell r="U438" t="str">
            <v>000000000013814</v>
          </cell>
        </row>
        <row r="439">
          <cell r="M439" t="str">
            <v>作業者</v>
          </cell>
          <cell r="U439" t="str">
            <v>000000000013814</v>
          </cell>
        </row>
        <row r="440">
          <cell r="C440">
            <v>3</v>
          </cell>
          <cell r="M440" t="str">
            <v>I</v>
          </cell>
          <cell r="U440" t="str">
            <v>000000000013814</v>
          </cell>
        </row>
        <row r="441">
          <cell r="M441" t="str">
            <v>T</v>
          </cell>
          <cell r="N441" t="str">
            <v>U</v>
          </cell>
          <cell r="R441">
            <v>3</v>
          </cell>
          <cell r="U441" t="str">
            <v>000000000013814</v>
          </cell>
        </row>
        <row r="442">
          <cell r="D442" t="str">
            <v>不良補填</v>
          </cell>
          <cell r="E442" t="str">
            <v>26B24-01</v>
          </cell>
          <cell r="F442">
            <v>3</v>
          </cell>
          <cell r="U442" t="str">
            <v>000000000013814</v>
          </cell>
        </row>
        <row r="443">
          <cell r="C443" t="str">
            <v>8FL281304 4810　L=297</v>
          </cell>
          <cell r="M443">
            <v>46135</v>
          </cell>
          <cell r="N443">
            <v>2</v>
          </cell>
          <cell r="P443">
            <v>46135</v>
          </cell>
          <cell r="U443" t="str">
            <v>000000000013815</v>
          </cell>
        </row>
        <row r="444">
          <cell r="D444">
            <v>46134</v>
          </cell>
          <cell r="E444" t="str">
            <v>26D03-04</v>
          </cell>
          <cell r="P444">
            <v>200</v>
          </cell>
          <cell r="R444">
            <v>2</v>
          </cell>
          <cell r="U444" t="str">
            <v>000000000013815</v>
          </cell>
        </row>
        <row r="445">
          <cell r="C445">
            <v>200</v>
          </cell>
          <cell r="D445">
            <v>46076</v>
          </cell>
          <cell r="E445" t="str">
            <v>26D03-04</v>
          </cell>
          <cell r="F445">
            <v>200</v>
          </cell>
          <cell r="P445">
            <v>34</v>
          </cell>
          <cell r="R445">
            <v>1</v>
          </cell>
          <cell r="U445" t="str">
            <v>000000000013815</v>
          </cell>
        </row>
        <row r="446">
          <cell r="C446">
            <v>200</v>
          </cell>
          <cell r="P446">
            <v>4</v>
          </cell>
          <cell r="U446" t="str">
            <v>000000000013815</v>
          </cell>
        </row>
        <row r="447">
          <cell r="C447">
            <v>6</v>
          </cell>
          <cell r="P447">
            <v>0.66666666666666663</v>
          </cell>
          <cell r="U447" t="str">
            <v>000000000013815</v>
          </cell>
        </row>
        <row r="448">
          <cell r="C448">
            <v>100</v>
          </cell>
          <cell r="M448" t="str">
            <v>合計</v>
          </cell>
          <cell r="N448">
            <v>2</v>
          </cell>
          <cell r="P448">
            <v>0</v>
          </cell>
          <cell r="U448" t="str">
            <v>000000000013815</v>
          </cell>
        </row>
        <row r="449">
          <cell r="C449" t="str">
            <v>LED-A300</v>
          </cell>
          <cell r="M449" t="str">
            <v>入数</v>
          </cell>
          <cell r="N449">
            <v>200</v>
          </cell>
          <cell r="P449">
            <v>204</v>
          </cell>
          <cell r="U449" t="str">
            <v>000000000013815</v>
          </cell>
        </row>
        <row r="450">
          <cell r="M450" t="str">
            <v>作業者</v>
          </cell>
          <cell r="U450" t="str">
            <v>000000000013815</v>
          </cell>
        </row>
        <row r="451">
          <cell r="C451">
            <v>2</v>
          </cell>
          <cell r="M451" t="str">
            <v>I</v>
          </cell>
          <cell r="R451">
            <v>1</v>
          </cell>
          <cell r="U451" t="str">
            <v>000000000013815</v>
          </cell>
        </row>
        <row r="452">
          <cell r="M452" t="str">
            <v>T</v>
          </cell>
          <cell r="R452">
            <v>4</v>
          </cell>
          <cell r="U452" t="str">
            <v>000000000013815</v>
          </cell>
        </row>
        <row r="453">
          <cell r="D453" t="str">
            <v>不良補填</v>
          </cell>
          <cell r="E453" t="str">
            <v>26B24-01</v>
          </cell>
          <cell r="F453">
            <v>4</v>
          </cell>
          <cell r="U453" t="str">
            <v>000000000013815</v>
          </cell>
        </row>
        <row r="454">
          <cell r="C454" t="str">
            <v>8FL281304 4810　L=297</v>
          </cell>
          <cell r="M454">
            <v>46135</v>
          </cell>
          <cell r="N454">
            <v>3</v>
          </cell>
          <cell r="P454">
            <v>46135</v>
          </cell>
          <cell r="U454" t="str">
            <v>000000000013816</v>
          </cell>
        </row>
        <row r="455">
          <cell r="D455">
            <v>46135</v>
          </cell>
          <cell r="E455" t="str">
            <v>26D03-04</v>
          </cell>
          <cell r="P455">
            <v>300</v>
          </cell>
          <cell r="R455">
            <v>2</v>
          </cell>
          <cell r="U455" t="str">
            <v>000000000013816</v>
          </cell>
        </row>
        <row r="456">
          <cell r="C456">
            <v>300</v>
          </cell>
          <cell r="D456">
            <v>46135</v>
          </cell>
          <cell r="E456" t="str">
            <v>26D03-04</v>
          </cell>
          <cell r="F456">
            <v>300</v>
          </cell>
          <cell r="P456">
            <v>50.333333333333336</v>
          </cell>
          <cell r="U456" t="str">
            <v>000000000013816</v>
          </cell>
        </row>
        <row r="457">
          <cell r="C457">
            <v>300</v>
          </cell>
          <cell r="P457">
            <v>2</v>
          </cell>
          <cell r="U457" t="str">
            <v>000000000013816</v>
          </cell>
        </row>
        <row r="458">
          <cell r="C458">
            <v>6</v>
          </cell>
          <cell r="P458">
            <v>0.33333333333333331</v>
          </cell>
          <cell r="U458" t="str">
            <v>000000000013816</v>
          </cell>
        </row>
        <row r="459">
          <cell r="C459">
            <v>100</v>
          </cell>
          <cell r="M459" t="str">
            <v>合計</v>
          </cell>
          <cell r="N459">
            <v>3</v>
          </cell>
          <cell r="P459">
            <v>0</v>
          </cell>
          <cell r="U459" t="str">
            <v>000000000013816</v>
          </cell>
        </row>
        <row r="460">
          <cell r="C460" t="str">
            <v>LED-A300</v>
          </cell>
          <cell r="M460" t="str">
            <v>入数</v>
          </cell>
          <cell r="N460">
            <v>300</v>
          </cell>
          <cell r="P460">
            <v>302</v>
          </cell>
          <cell r="U460" t="str">
            <v>000000000013816</v>
          </cell>
        </row>
        <row r="461">
          <cell r="M461" t="str">
            <v>作業者</v>
          </cell>
          <cell r="U461" t="str">
            <v>000000000013816</v>
          </cell>
        </row>
        <row r="462">
          <cell r="C462">
            <v>3</v>
          </cell>
          <cell r="M462" t="str">
            <v>I</v>
          </cell>
          <cell r="U462" t="str">
            <v>000000000013816</v>
          </cell>
        </row>
        <row r="463">
          <cell r="M463" t="str">
            <v>T</v>
          </cell>
          <cell r="R463">
            <v>2</v>
          </cell>
          <cell r="U463" t="str">
            <v>000000000013816</v>
          </cell>
        </row>
        <row r="464">
          <cell r="D464" t="str">
            <v>不良補填</v>
          </cell>
          <cell r="E464" t="str">
            <v>26B24-01</v>
          </cell>
          <cell r="F464">
            <v>2</v>
          </cell>
          <cell r="U464" t="str">
            <v>000000000013816</v>
          </cell>
        </row>
        <row r="465">
          <cell r="C465" t="str">
            <v>8FL281304 4810　L=297</v>
          </cell>
          <cell r="M465">
            <v>46135</v>
          </cell>
          <cell r="N465">
            <v>3</v>
          </cell>
          <cell r="P465">
            <v>46135</v>
          </cell>
          <cell r="U465" t="str">
            <v>000000000014065</v>
          </cell>
        </row>
        <row r="466">
          <cell r="D466">
            <v>46135</v>
          </cell>
          <cell r="E466" t="str">
            <v>26D03-04</v>
          </cell>
          <cell r="P466">
            <v>300</v>
          </cell>
          <cell r="U466" t="str">
            <v>000000000014065</v>
          </cell>
        </row>
        <row r="467">
          <cell r="C467">
            <v>300</v>
          </cell>
          <cell r="D467">
            <v>46135</v>
          </cell>
          <cell r="E467" t="str">
            <v>26D03-04</v>
          </cell>
          <cell r="F467">
            <v>300</v>
          </cell>
          <cell r="P467">
            <v>50</v>
          </cell>
          <cell r="U467" t="str">
            <v>000000000014065</v>
          </cell>
        </row>
        <row r="468">
          <cell r="C468">
            <v>300</v>
          </cell>
          <cell r="P468">
            <v>0</v>
          </cell>
          <cell r="U468" t="str">
            <v>000000000014065</v>
          </cell>
        </row>
        <row r="469">
          <cell r="C469">
            <v>6</v>
          </cell>
          <cell r="P469">
            <v>0</v>
          </cell>
          <cell r="U469" t="str">
            <v>000000000014065</v>
          </cell>
        </row>
        <row r="470">
          <cell r="C470">
            <v>100</v>
          </cell>
          <cell r="M470" t="str">
            <v>合計</v>
          </cell>
          <cell r="N470">
            <v>3</v>
          </cell>
          <cell r="P470">
            <v>0</v>
          </cell>
          <cell r="U470" t="str">
            <v>000000000014065</v>
          </cell>
        </row>
        <row r="471">
          <cell r="C471" t="str">
            <v>LED-A300</v>
          </cell>
          <cell r="M471" t="str">
            <v>入数</v>
          </cell>
          <cell r="N471">
            <v>300</v>
          </cell>
          <cell r="P471">
            <v>300</v>
          </cell>
          <cell r="U471" t="str">
            <v>000000000014065</v>
          </cell>
        </row>
        <row r="472">
          <cell r="M472" t="str">
            <v>作業者</v>
          </cell>
          <cell r="U472" t="str">
            <v>000000000014065</v>
          </cell>
        </row>
        <row r="473">
          <cell r="C473">
            <v>3</v>
          </cell>
          <cell r="M473" t="str">
            <v>I</v>
          </cell>
          <cell r="U473" t="str">
            <v>000000000014065</v>
          </cell>
        </row>
        <row r="474">
          <cell r="M474" t="str">
            <v>T</v>
          </cell>
          <cell r="R474">
            <v>0</v>
          </cell>
          <cell r="U474" t="str">
            <v>000000000014065</v>
          </cell>
        </row>
        <row r="475">
          <cell r="D475" t="str">
            <v>不良補填</v>
          </cell>
          <cell r="F475">
            <v>0</v>
          </cell>
          <cell r="U475" t="str">
            <v>000000000014065</v>
          </cell>
        </row>
        <row r="476">
          <cell r="C476" t="str">
            <v>8FL281304 6110　L=1478</v>
          </cell>
          <cell r="D476">
            <v>46118</v>
          </cell>
          <cell r="E476" t="str">
            <v>26C25-05</v>
          </cell>
          <cell r="F476">
            <v>6</v>
          </cell>
          <cell r="M476">
            <v>46135</v>
          </cell>
          <cell r="N476">
            <v>1</v>
          </cell>
          <cell r="P476">
            <v>46135</v>
          </cell>
          <cell r="R476">
            <v>1</v>
          </cell>
          <cell r="U476" t="str">
            <v>000000000013180</v>
          </cell>
        </row>
        <row r="477">
          <cell r="D477">
            <v>46135</v>
          </cell>
          <cell r="E477" t="str">
            <v>26D03-04</v>
          </cell>
          <cell r="P477">
            <v>100</v>
          </cell>
          <cell r="U477" t="str">
            <v>000000000013180</v>
          </cell>
        </row>
        <row r="478">
          <cell r="C478">
            <v>100</v>
          </cell>
          <cell r="D478">
            <v>46135</v>
          </cell>
          <cell r="E478" t="str">
            <v>26D03-04</v>
          </cell>
          <cell r="F478">
            <v>94</v>
          </cell>
          <cell r="P478">
            <v>101</v>
          </cell>
          <cell r="U478" t="str">
            <v>000000000013180</v>
          </cell>
        </row>
        <row r="479">
          <cell r="C479">
            <v>100</v>
          </cell>
          <cell r="P479">
            <v>1</v>
          </cell>
          <cell r="U479" t="str">
            <v>000000000013180</v>
          </cell>
        </row>
        <row r="480">
          <cell r="C480">
            <v>1</v>
          </cell>
          <cell r="P480">
            <v>1</v>
          </cell>
          <cell r="U480" t="str">
            <v>000000000013180</v>
          </cell>
        </row>
        <row r="481">
          <cell r="C481">
            <v>100</v>
          </cell>
          <cell r="M481" t="str">
            <v>合計</v>
          </cell>
          <cell r="N481">
            <v>1</v>
          </cell>
          <cell r="P481">
            <v>0</v>
          </cell>
          <cell r="U481" t="str">
            <v>000000000013180</v>
          </cell>
        </row>
        <row r="482">
          <cell r="C482" t="str">
            <v>LED-A1478</v>
          </cell>
          <cell r="M482" t="str">
            <v>入数</v>
          </cell>
          <cell r="N482">
            <v>100</v>
          </cell>
          <cell r="P482">
            <v>101</v>
          </cell>
          <cell r="U482" t="str">
            <v>000000000013180</v>
          </cell>
        </row>
        <row r="483">
          <cell r="M483" t="str">
            <v>作業者</v>
          </cell>
          <cell r="U483" t="str">
            <v>000000000013180</v>
          </cell>
        </row>
        <row r="484">
          <cell r="C484">
            <v>1</v>
          </cell>
          <cell r="M484" t="str">
            <v>I</v>
          </cell>
          <cell r="U484" t="str">
            <v>000000000013180</v>
          </cell>
        </row>
        <row r="485">
          <cell r="M485" t="str">
            <v>U</v>
          </cell>
          <cell r="R485">
            <v>1</v>
          </cell>
          <cell r="U485" t="str">
            <v>000000000013180</v>
          </cell>
        </row>
        <row r="486">
          <cell r="D486" t="str">
            <v>不良補填</v>
          </cell>
          <cell r="E486" t="str">
            <v>26D03-04</v>
          </cell>
          <cell r="F486">
            <v>1</v>
          </cell>
          <cell r="U486" t="str">
            <v>000000000013180</v>
          </cell>
        </row>
        <row r="487">
          <cell r="C487" t="str">
            <v>8FL281304 6110　L=1478</v>
          </cell>
          <cell r="M487">
            <v>46136</v>
          </cell>
          <cell r="N487">
            <v>2</v>
          </cell>
          <cell r="P487">
            <v>46136</v>
          </cell>
          <cell r="R487">
            <v>1</v>
          </cell>
          <cell r="U487" t="str">
            <v>000000000013737</v>
          </cell>
        </row>
        <row r="488">
          <cell r="D488">
            <v>46135</v>
          </cell>
          <cell r="E488" t="str">
            <v>26D03-04</v>
          </cell>
          <cell r="P488">
            <v>200</v>
          </cell>
          <cell r="U488" t="str">
            <v>000000000013737</v>
          </cell>
        </row>
        <row r="489">
          <cell r="C489">
            <v>200</v>
          </cell>
          <cell r="D489">
            <v>46135</v>
          </cell>
          <cell r="E489" t="str">
            <v>26D03-04</v>
          </cell>
          <cell r="F489">
            <v>200</v>
          </cell>
          <cell r="P489">
            <v>201</v>
          </cell>
          <cell r="U489" t="str">
            <v>000000000013737</v>
          </cell>
        </row>
        <row r="490">
          <cell r="C490">
            <v>200</v>
          </cell>
          <cell r="P490">
            <v>1</v>
          </cell>
          <cell r="U490" t="str">
            <v>000000000013737</v>
          </cell>
        </row>
        <row r="491">
          <cell r="C491">
            <v>1</v>
          </cell>
          <cell r="P491">
            <v>1</v>
          </cell>
          <cell r="U491" t="str">
            <v>000000000013737</v>
          </cell>
        </row>
        <row r="492">
          <cell r="C492">
            <v>100</v>
          </cell>
          <cell r="M492" t="str">
            <v>合計</v>
          </cell>
          <cell r="N492">
            <v>2</v>
          </cell>
          <cell r="P492">
            <v>0</v>
          </cell>
          <cell r="U492" t="str">
            <v>000000000013737</v>
          </cell>
        </row>
        <row r="493">
          <cell r="C493" t="str">
            <v>LED-A1478</v>
          </cell>
          <cell r="M493" t="str">
            <v>入数</v>
          </cell>
          <cell r="N493">
            <v>200</v>
          </cell>
          <cell r="P493">
            <v>201</v>
          </cell>
          <cell r="U493" t="str">
            <v>000000000013737</v>
          </cell>
        </row>
        <row r="494">
          <cell r="M494" t="str">
            <v>作業者</v>
          </cell>
          <cell r="U494" t="str">
            <v>000000000013737</v>
          </cell>
        </row>
        <row r="495">
          <cell r="C495">
            <v>2</v>
          </cell>
          <cell r="M495" t="str">
            <v>I</v>
          </cell>
          <cell r="U495" t="str">
            <v>000000000013737</v>
          </cell>
        </row>
        <row r="496">
          <cell r="M496" t="str">
            <v>T</v>
          </cell>
          <cell r="R496">
            <v>1</v>
          </cell>
          <cell r="U496" t="str">
            <v>000000000013737</v>
          </cell>
        </row>
        <row r="497">
          <cell r="D497" t="str">
            <v>不良補填</v>
          </cell>
          <cell r="E497" t="str">
            <v>26D03-04</v>
          </cell>
          <cell r="F497">
            <v>1</v>
          </cell>
          <cell r="U497" t="str">
            <v>000000000013737</v>
          </cell>
        </row>
        <row r="498">
          <cell r="C498" t="str">
            <v>8FL281304 6110　L=1478</v>
          </cell>
          <cell r="M498">
            <v>46136</v>
          </cell>
          <cell r="N498">
            <v>3</v>
          </cell>
          <cell r="P498">
            <v>46136</v>
          </cell>
          <cell r="R498">
            <v>3</v>
          </cell>
          <cell r="U498" t="str">
            <v>000000000013738</v>
          </cell>
        </row>
        <row r="499">
          <cell r="D499">
            <v>46135</v>
          </cell>
          <cell r="E499" t="str">
            <v>26D03-04</v>
          </cell>
          <cell r="P499">
            <v>300</v>
          </cell>
          <cell r="R499">
            <v>6</v>
          </cell>
          <cell r="U499" t="str">
            <v>000000000013738</v>
          </cell>
        </row>
        <row r="500">
          <cell r="C500">
            <v>300</v>
          </cell>
          <cell r="D500">
            <v>46135</v>
          </cell>
          <cell r="E500" t="str">
            <v>26D03-04</v>
          </cell>
          <cell r="F500">
            <v>300</v>
          </cell>
          <cell r="P500">
            <v>311</v>
          </cell>
          <cell r="R500">
            <v>2</v>
          </cell>
          <cell r="U500" t="str">
            <v>000000000013738</v>
          </cell>
        </row>
        <row r="501">
          <cell r="C501">
            <v>300</v>
          </cell>
          <cell r="P501">
            <v>11</v>
          </cell>
          <cell r="U501" t="str">
            <v>000000000013738</v>
          </cell>
        </row>
        <row r="502">
          <cell r="C502">
            <v>1</v>
          </cell>
          <cell r="P502">
            <v>11</v>
          </cell>
          <cell r="U502" t="str">
            <v>000000000013738</v>
          </cell>
        </row>
        <row r="503">
          <cell r="C503">
            <v>100</v>
          </cell>
          <cell r="M503" t="str">
            <v>合計</v>
          </cell>
          <cell r="N503">
            <v>3</v>
          </cell>
          <cell r="P503">
            <v>0</v>
          </cell>
          <cell r="U503" t="str">
            <v>000000000013738</v>
          </cell>
        </row>
        <row r="504">
          <cell r="C504" t="str">
            <v>LED-A1478</v>
          </cell>
          <cell r="M504" t="str">
            <v>入数</v>
          </cell>
          <cell r="N504">
            <v>300</v>
          </cell>
          <cell r="P504">
            <v>311</v>
          </cell>
          <cell r="U504" t="str">
            <v>000000000013738</v>
          </cell>
        </row>
        <row r="505">
          <cell r="M505" t="str">
            <v>作業者</v>
          </cell>
          <cell r="U505" t="str">
            <v>000000000013738</v>
          </cell>
        </row>
        <row r="506">
          <cell r="C506">
            <v>3</v>
          </cell>
          <cell r="M506" t="str">
            <v>I</v>
          </cell>
          <cell r="N506" t="str">
            <v>T</v>
          </cell>
          <cell r="U506" t="str">
            <v>000000000013738</v>
          </cell>
        </row>
        <row r="507">
          <cell r="R507">
            <v>11</v>
          </cell>
          <cell r="U507" t="str">
            <v>000000000013738</v>
          </cell>
        </row>
        <row r="508">
          <cell r="D508" t="str">
            <v>不良補填</v>
          </cell>
          <cell r="E508" t="str">
            <v>26D03-04</v>
          </cell>
          <cell r="F508">
            <v>11</v>
          </cell>
          <cell r="U508" t="str">
            <v>000000000013738</v>
          </cell>
        </row>
        <row r="509">
          <cell r="C509" t="str">
            <v>8FL281304 8310　L=748</v>
          </cell>
          <cell r="M509">
            <v>46136</v>
          </cell>
          <cell r="N509">
            <v>2</v>
          </cell>
          <cell r="P509">
            <v>46136</v>
          </cell>
          <cell r="R509">
            <v>1</v>
          </cell>
          <cell r="U509" t="str">
            <v>000000000013739</v>
          </cell>
        </row>
        <row r="510">
          <cell r="D510">
            <v>46135</v>
          </cell>
          <cell r="E510" t="str">
            <v>26D03-04</v>
          </cell>
          <cell r="P510">
            <v>200</v>
          </cell>
          <cell r="R510">
            <v>1</v>
          </cell>
          <cell r="U510" t="str">
            <v>000000000013739</v>
          </cell>
        </row>
        <row r="511">
          <cell r="C511">
            <v>200</v>
          </cell>
          <cell r="D511">
            <v>46135</v>
          </cell>
          <cell r="E511" t="str">
            <v>26D03-04</v>
          </cell>
          <cell r="F511">
            <v>90</v>
          </cell>
          <cell r="P511">
            <v>101.5</v>
          </cell>
          <cell r="R511">
            <v>1</v>
          </cell>
          <cell r="U511" t="str">
            <v>000000000013739</v>
          </cell>
        </row>
        <row r="512">
          <cell r="C512">
            <v>200</v>
          </cell>
          <cell r="D512">
            <v>46135</v>
          </cell>
          <cell r="E512" t="str">
            <v>26D15-05</v>
          </cell>
          <cell r="P512">
            <v>3</v>
          </cell>
          <cell r="U512" t="str">
            <v>000000000013739</v>
          </cell>
        </row>
        <row r="513">
          <cell r="C513">
            <v>2</v>
          </cell>
          <cell r="D513">
            <v>46135</v>
          </cell>
          <cell r="E513" t="str">
            <v>26D15-05</v>
          </cell>
          <cell r="F513">
            <v>110</v>
          </cell>
          <cell r="P513">
            <v>1.5</v>
          </cell>
          <cell r="U513" t="str">
            <v>000000000013739</v>
          </cell>
        </row>
        <row r="514">
          <cell r="C514">
            <v>100</v>
          </cell>
          <cell r="M514" t="str">
            <v>合計</v>
          </cell>
          <cell r="N514">
            <v>2</v>
          </cell>
          <cell r="P514">
            <v>0</v>
          </cell>
          <cell r="U514" t="str">
            <v>000000000013739</v>
          </cell>
        </row>
        <row r="515">
          <cell r="C515" t="str">
            <v>LED-A888</v>
          </cell>
          <cell r="M515" t="str">
            <v>入数</v>
          </cell>
          <cell r="N515">
            <v>200</v>
          </cell>
          <cell r="P515">
            <v>203</v>
          </cell>
          <cell r="U515" t="str">
            <v>000000000013739</v>
          </cell>
        </row>
        <row r="516">
          <cell r="M516" t="str">
            <v>作業者</v>
          </cell>
          <cell r="U516" t="str">
            <v>000000000013739</v>
          </cell>
        </row>
        <row r="517">
          <cell r="C517">
            <v>2</v>
          </cell>
          <cell r="M517" t="str">
            <v>I</v>
          </cell>
          <cell r="U517" t="str">
            <v>000000000013739</v>
          </cell>
        </row>
        <row r="518">
          <cell r="M518" t="str">
            <v>T</v>
          </cell>
          <cell r="N518" t="str">
            <v>U</v>
          </cell>
          <cell r="R518">
            <v>3</v>
          </cell>
          <cell r="U518" t="str">
            <v>000000000013739</v>
          </cell>
        </row>
        <row r="519">
          <cell r="D519" t="str">
            <v>不良補填</v>
          </cell>
          <cell r="E519" t="str">
            <v>26B28-05</v>
          </cell>
          <cell r="F519">
            <v>3</v>
          </cell>
          <cell r="U519" t="str">
            <v>000000000013739</v>
          </cell>
        </row>
        <row r="520">
          <cell r="C520" t="str">
            <v>8FL281304 4910　L=592</v>
          </cell>
          <cell r="M520">
            <v>46136</v>
          </cell>
          <cell r="N520">
            <v>3</v>
          </cell>
          <cell r="P520">
            <v>46136</v>
          </cell>
          <cell r="R520">
            <v>2</v>
          </cell>
          <cell r="U520" t="str">
            <v>000000000013817</v>
          </cell>
        </row>
        <row r="521">
          <cell r="D521">
            <v>46136</v>
          </cell>
          <cell r="E521" t="str">
            <v>26D15-05</v>
          </cell>
          <cell r="P521">
            <v>300</v>
          </cell>
          <cell r="R521">
            <v>2</v>
          </cell>
          <cell r="U521" t="str">
            <v>000000000013817</v>
          </cell>
        </row>
        <row r="522">
          <cell r="C522">
            <v>300</v>
          </cell>
          <cell r="D522">
            <v>46136</v>
          </cell>
          <cell r="E522" t="str">
            <v>26D15-05</v>
          </cell>
          <cell r="F522">
            <v>300</v>
          </cell>
          <cell r="P522">
            <v>101.66666666666667</v>
          </cell>
          <cell r="R522">
            <v>1</v>
          </cell>
          <cell r="U522" t="str">
            <v>000000000013817</v>
          </cell>
        </row>
        <row r="523">
          <cell r="C523">
            <v>300</v>
          </cell>
          <cell r="P523">
            <v>5</v>
          </cell>
          <cell r="U523" t="str">
            <v>000000000013817</v>
          </cell>
        </row>
        <row r="524">
          <cell r="C524">
            <v>3</v>
          </cell>
          <cell r="P524">
            <v>1.6666666666666667</v>
          </cell>
          <cell r="U524" t="str">
            <v>000000000013817</v>
          </cell>
        </row>
        <row r="525">
          <cell r="C525">
            <v>100</v>
          </cell>
          <cell r="M525" t="str">
            <v>合計</v>
          </cell>
          <cell r="N525">
            <v>3</v>
          </cell>
          <cell r="P525">
            <v>0</v>
          </cell>
          <cell r="U525" t="str">
            <v>000000000013817</v>
          </cell>
        </row>
        <row r="526">
          <cell r="C526" t="str">
            <v>LED-A592</v>
          </cell>
          <cell r="M526" t="str">
            <v>入数</v>
          </cell>
          <cell r="N526">
            <v>300</v>
          </cell>
          <cell r="P526">
            <v>305</v>
          </cell>
          <cell r="U526" t="str">
            <v>000000000013817</v>
          </cell>
        </row>
        <row r="527">
          <cell r="M527" t="str">
            <v>作業者</v>
          </cell>
          <cell r="U527" t="str">
            <v>000000000013817</v>
          </cell>
        </row>
        <row r="528">
          <cell r="C528">
            <v>3</v>
          </cell>
          <cell r="M528" t="str">
            <v>I</v>
          </cell>
          <cell r="U528" t="str">
            <v>000000000013817</v>
          </cell>
        </row>
        <row r="529">
          <cell r="M529" t="str">
            <v>T</v>
          </cell>
          <cell r="N529" t="str">
            <v>U</v>
          </cell>
          <cell r="R529">
            <v>5</v>
          </cell>
          <cell r="U529" t="str">
            <v>000000000013817</v>
          </cell>
        </row>
        <row r="530">
          <cell r="D530" t="str">
            <v>不良補填</v>
          </cell>
          <cell r="E530" t="str">
            <v>26A23-05</v>
          </cell>
          <cell r="F530">
            <v>5</v>
          </cell>
          <cell r="U530" t="str">
            <v>000000000013817</v>
          </cell>
        </row>
        <row r="531">
          <cell r="C531" t="str">
            <v>8FL281304 4910　L=592</v>
          </cell>
          <cell r="M531">
            <v>46136</v>
          </cell>
          <cell r="N531">
            <v>1</v>
          </cell>
          <cell r="P531">
            <v>46136</v>
          </cell>
          <cell r="U531" t="str">
            <v>000000000013818</v>
          </cell>
        </row>
        <row r="532">
          <cell r="D532">
            <v>46136</v>
          </cell>
          <cell r="E532" t="str">
            <v>26D15-05</v>
          </cell>
          <cell r="P532">
            <v>100</v>
          </cell>
          <cell r="U532" t="str">
            <v>000000000013818</v>
          </cell>
        </row>
        <row r="533">
          <cell r="C533">
            <v>100</v>
          </cell>
          <cell r="D533">
            <v>46136</v>
          </cell>
          <cell r="E533" t="str">
            <v>26D15-05</v>
          </cell>
          <cell r="F533">
            <v>100</v>
          </cell>
          <cell r="P533">
            <v>33.333333333333336</v>
          </cell>
          <cell r="U533" t="str">
            <v>000000000013818</v>
          </cell>
        </row>
        <row r="534">
          <cell r="C534">
            <v>100</v>
          </cell>
          <cell r="P534">
            <v>0</v>
          </cell>
          <cell r="U534" t="str">
            <v>000000000013818</v>
          </cell>
        </row>
        <row r="535">
          <cell r="C535">
            <v>3</v>
          </cell>
          <cell r="P535">
            <v>0</v>
          </cell>
          <cell r="U535" t="str">
            <v>000000000013818</v>
          </cell>
        </row>
        <row r="536">
          <cell r="C536">
            <v>100</v>
          </cell>
          <cell r="M536" t="str">
            <v>合計</v>
          </cell>
          <cell r="N536">
            <v>1</v>
          </cell>
          <cell r="P536">
            <v>0</v>
          </cell>
          <cell r="U536" t="str">
            <v>000000000013818</v>
          </cell>
        </row>
        <row r="537">
          <cell r="C537" t="str">
            <v>LED-A592</v>
          </cell>
          <cell r="M537" t="str">
            <v>入数</v>
          </cell>
          <cell r="N537">
            <v>100</v>
          </cell>
          <cell r="P537">
            <v>100</v>
          </cell>
          <cell r="U537" t="str">
            <v>000000000013818</v>
          </cell>
        </row>
        <row r="538">
          <cell r="M538" t="str">
            <v>作業者</v>
          </cell>
          <cell r="U538" t="str">
            <v>000000000013818</v>
          </cell>
        </row>
        <row r="539">
          <cell r="C539">
            <v>1</v>
          </cell>
          <cell r="M539" t="str">
            <v>I</v>
          </cell>
          <cell r="U539" t="str">
            <v>000000000013818</v>
          </cell>
        </row>
        <row r="540">
          <cell r="M540" t="str">
            <v>U</v>
          </cell>
          <cell r="R540">
            <v>0</v>
          </cell>
          <cell r="U540" t="str">
            <v>000000000013818</v>
          </cell>
        </row>
        <row r="541">
          <cell r="D541" t="str">
            <v>不良補填</v>
          </cell>
          <cell r="F541">
            <v>0</v>
          </cell>
          <cell r="U541" t="str">
            <v>000000000013818</v>
          </cell>
        </row>
        <row r="542">
          <cell r="C542" t="str">
            <v>8FL281304 4910　L=592</v>
          </cell>
          <cell r="M542">
            <v>46139</v>
          </cell>
          <cell r="N542">
            <v>3</v>
          </cell>
          <cell r="P542">
            <v>46139</v>
          </cell>
          <cell r="U542" t="str">
            <v>000000000013848</v>
          </cell>
        </row>
        <row r="543">
          <cell r="D543">
            <v>46136</v>
          </cell>
          <cell r="E543" t="str">
            <v>26D15-05</v>
          </cell>
          <cell r="P543">
            <v>300</v>
          </cell>
          <cell r="R543">
            <v>1</v>
          </cell>
          <cell r="U543" t="str">
            <v>000000000013848</v>
          </cell>
        </row>
        <row r="544">
          <cell r="C544">
            <v>300</v>
          </cell>
          <cell r="D544">
            <v>46136</v>
          </cell>
          <cell r="E544" t="str">
            <v>26D15-05</v>
          </cell>
          <cell r="F544">
            <v>300</v>
          </cell>
          <cell r="P544">
            <v>101</v>
          </cell>
          <cell r="R544">
            <v>2</v>
          </cell>
          <cell r="U544" t="str">
            <v>000000000013848</v>
          </cell>
        </row>
        <row r="545">
          <cell r="C545">
            <v>300</v>
          </cell>
          <cell r="P545">
            <v>3</v>
          </cell>
          <cell r="U545" t="str">
            <v>000000000013848</v>
          </cell>
        </row>
        <row r="546">
          <cell r="C546">
            <v>3</v>
          </cell>
          <cell r="P546">
            <v>1</v>
          </cell>
          <cell r="U546" t="str">
            <v>000000000013848</v>
          </cell>
        </row>
        <row r="547">
          <cell r="C547">
            <v>100</v>
          </cell>
          <cell r="M547" t="str">
            <v>合計</v>
          </cell>
          <cell r="N547">
            <v>3</v>
          </cell>
          <cell r="P547">
            <v>0</v>
          </cell>
          <cell r="U547" t="str">
            <v>000000000013848</v>
          </cell>
        </row>
        <row r="548">
          <cell r="C548" t="str">
            <v>LED-A592</v>
          </cell>
          <cell r="M548" t="str">
            <v>入数</v>
          </cell>
          <cell r="N548">
            <v>300</v>
          </cell>
          <cell r="P548">
            <v>303</v>
          </cell>
          <cell r="U548" t="str">
            <v>000000000013848</v>
          </cell>
        </row>
        <row r="549">
          <cell r="M549" t="str">
            <v>作業者</v>
          </cell>
          <cell r="U549" t="str">
            <v>000000000013848</v>
          </cell>
        </row>
        <row r="550">
          <cell r="C550">
            <v>3</v>
          </cell>
          <cell r="M550" t="str">
            <v>I</v>
          </cell>
          <cell r="U550" t="str">
            <v>000000000013848</v>
          </cell>
        </row>
        <row r="551">
          <cell r="M551" t="str">
            <v>U</v>
          </cell>
          <cell r="N551" t="str">
            <v>T</v>
          </cell>
          <cell r="R551">
            <v>3</v>
          </cell>
          <cell r="U551" t="str">
            <v>000000000013848</v>
          </cell>
        </row>
        <row r="552">
          <cell r="D552" t="str">
            <v>不良補填</v>
          </cell>
          <cell r="E552" t="str">
            <v>26A23-05</v>
          </cell>
          <cell r="F552">
            <v>3</v>
          </cell>
          <cell r="U552" t="str">
            <v>000000000013848</v>
          </cell>
        </row>
        <row r="553">
          <cell r="C553" t="str">
            <v>8FL281304 5010　L=888</v>
          </cell>
          <cell r="P553">
            <v>0</v>
          </cell>
          <cell r="U553" t="str">
            <v>000000000013821</v>
          </cell>
        </row>
        <row r="554">
          <cell r="P554">
            <v>0</v>
          </cell>
          <cell r="U554" t="str">
            <v>000000000013821</v>
          </cell>
        </row>
        <row r="555">
          <cell r="C555">
            <v>100</v>
          </cell>
          <cell r="P555">
            <v>0</v>
          </cell>
          <cell r="U555" t="str">
            <v>000000000013821</v>
          </cell>
        </row>
        <row r="556">
          <cell r="C556">
            <v>100</v>
          </cell>
          <cell r="P556">
            <v>0</v>
          </cell>
          <cell r="U556" t="str">
            <v>000000000013821</v>
          </cell>
        </row>
        <row r="557">
          <cell r="C557">
            <v>2</v>
          </cell>
          <cell r="P557">
            <v>0</v>
          </cell>
          <cell r="U557" t="str">
            <v>000000000013821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000000000013821</v>
          </cell>
        </row>
        <row r="559">
          <cell r="C559" t="str">
            <v>LED-A888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000000000013821</v>
          </cell>
        </row>
        <row r="560">
          <cell r="M560" t="str">
            <v>作業者</v>
          </cell>
          <cell r="U560" t="str">
            <v>000000000013821</v>
          </cell>
        </row>
        <row r="561">
          <cell r="C561">
            <v>0</v>
          </cell>
          <cell r="U561" t="str">
            <v>000000000013821</v>
          </cell>
        </row>
        <row r="562">
          <cell r="R562">
            <v>0</v>
          </cell>
          <cell r="U562" t="str">
            <v>000000000013821</v>
          </cell>
        </row>
        <row r="563">
          <cell r="D563" t="str">
            <v>不良補填</v>
          </cell>
          <cell r="F563">
            <v>0</v>
          </cell>
          <cell r="U563" t="str">
            <v>000000000013821</v>
          </cell>
        </row>
        <row r="564">
          <cell r="C564" t="str">
            <v>8FL281304 5010　L=888</v>
          </cell>
          <cell r="P564">
            <v>0</v>
          </cell>
          <cell r="U564" t="str">
            <v>000000000013822</v>
          </cell>
        </row>
        <row r="565">
          <cell r="P565">
            <v>0</v>
          </cell>
          <cell r="U565" t="str">
            <v>000000000013822</v>
          </cell>
        </row>
        <row r="566">
          <cell r="C566">
            <v>200</v>
          </cell>
          <cell r="P566">
            <v>0</v>
          </cell>
          <cell r="U566" t="str">
            <v>000000000013822</v>
          </cell>
        </row>
        <row r="567">
          <cell r="C567">
            <v>200</v>
          </cell>
          <cell r="P567">
            <v>0</v>
          </cell>
          <cell r="U567" t="str">
            <v>000000000013822</v>
          </cell>
        </row>
        <row r="568">
          <cell r="C568">
            <v>2</v>
          </cell>
          <cell r="P568">
            <v>0</v>
          </cell>
          <cell r="U568" t="str">
            <v>000000000013822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000000000013822</v>
          </cell>
        </row>
        <row r="570">
          <cell r="C570" t="str">
            <v>LED-A888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000000000013822</v>
          </cell>
        </row>
        <row r="571">
          <cell r="M571" t="str">
            <v>作業者</v>
          </cell>
          <cell r="U571" t="str">
            <v>000000000013822</v>
          </cell>
        </row>
        <row r="572">
          <cell r="C572">
            <v>0</v>
          </cell>
          <cell r="U572" t="str">
            <v>000000000013822</v>
          </cell>
        </row>
        <row r="573">
          <cell r="R573">
            <v>0</v>
          </cell>
          <cell r="U573" t="str">
            <v>000000000013822</v>
          </cell>
        </row>
        <row r="574">
          <cell r="D574" t="str">
            <v>不良補填</v>
          </cell>
          <cell r="F574">
            <v>0</v>
          </cell>
          <cell r="U574" t="str">
            <v>000000000013822</v>
          </cell>
        </row>
        <row r="575">
          <cell r="C575" t="str">
            <v>8FL281304 5010　L=888</v>
          </cell>
          <cell r="P575">
            <v>0</v>
          </cell>
          <cell r="U575" t="str">
            <v>000000000013826</v>
          </cell>
        </row>
        <row r="576">
          <cell r="P576">
            <v>0</v>
          </cell>
          <cell r="U576" t="str">
            <v>000000000013826</v>
          </cell>
        </row>
        <row r="577">
          <cell r="C577">
            <v>700</v>
          </cell>
          <cell r="P577">
            <v>0</v>
          </cell>
          <cell r="U577" t="str">
            <v>000000000013826</v>
          </cell>
        </row>
        <row r="578">
          <cell r="C578">
            <v>2000</v>
          </cell>
          <cell r="P578">
            <v>0</v>
          </cell>
          <cell r="U578" t="str">
            <v>000000000013826</v>
          </cell>
        </row>
        <row r="579">
          <cell r="C579">
            <v>2</v>
          </cell>
          <cell r="P579">
            <v>0</v>
          </cell>
          <cell r="U579" t="str">
            <v>000000000013826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000000000013826</v>
          </cell>
        </row>
        <row r="581">
          <cell r="C581" t="str">
            <v>LED-A888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000000000013826</v>
          </cell>
        </row>
        <row r="582">
          <cell r="M582" t="str">
            <v>作業者</v>
          </cell>
          <cell r="U582" t="str">
            <v>000000000013826</v>
          </cell>
        </row>
        <row r="583">
          <cell r="C583">
            <v>0</v>
          </cell>
          <cell r="U583" t="str">
            <v>000000000013826</v>
          </cell>
        </row>
        <row r="584">
          <cell r="R584">
            <v>0</v>
          </cell>
          <cell r="U584" t="str">
            <v>000000000013826</v>
          </cell>
        </row>
        <row r="585">
          <cell r="D585" t="str">
            <v>不良補填</v>
          </cell>
          <cell r="F585">
            <v>0</v>
          </cell>
          <cell r="U585" t="str">
            <v>000000000013826</v>
          </cell>
        </row>
        <row r="586">
          <cell r="C586" t="str">
            <v>8FL281304 5010　L=888</v>
          </cell>
          <cell r="P586">
            <v>0</v>
          </cell>
          <cell r="U586" t="str">
            <v>000000000013827</v>
          </cell>
        </row>
        <row r="587">
          <cell r="P587">
            <v>0</v>
          </cell>
          <cell r="U587" t="str">
            <v>000000000013827</v>
          </cell>
        </row>
        <row r="588">
          <cell r="P588">
            <v>0</v>
          </cell>
          <cell r="U588" t="str">
            <v>000000000013827</v>
          </cell>
        </row>
        <row r="589">
          <cell r="C589">
            <v>2000</v>
          </cell>
          <cell r="P589">
            <v>0</v>
          </cell>
          <cell r="U589" t="str">
            <v>000000000013827</v>
          </cell>
        </row>
        <row r="590">
          <cell r="C590">
            <v>2</v>
          </cell>
          <cell r="P590">
            <v>0</v>
          </cell>
          <cell r="U590" t="str">
            <v>000000000013827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000000000013827</v>
          </cell>
        </row>
        <row r="592">
          <cell r="C592" t="str">
            <v>LED-A888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000000000013827</v>
          </cell>
        </row>
        <row r="593">
          <cell r="M593" t="str">
            <v>作業者</v>
          </cell>
          <cell r="U593" t="str">
            <v>000000000013827</v>
          </cell>
        </row>
        <row r="594">
          <cell r="C594">
            <v>0</v>
          </cell>
          <cell r="U594" t="str">
            <v>000000000013827</v>
          </cell>
        </row>
        <row r="595">
          <cell r="R595">
            <v>0</v>
          </cell>
          <cell r="U595" t="str">
            <v>000000000013827</v>
          </cell>
        </row>
        <row r="596">
          <cell r="D596" t="str">
            <v>不良補填</v>
          </cell>
          <cell r="F596">
            <v>0</v>
          </cell>
          <cell r="U596" t="str">
            <v>000000000013827</v>
          </cell>
        </row>
        <row r="597">
          <cell r="C597" t="str">
            <v>001EGAW　715</v>
          </cell>
          <cell r="P597">
            <v>0</v>
          </cell>
          <cell r="U597" t="str">
            <v>000000000013445</v>
          </cell>
        </row>
        <row r="598">
          <cell r="P598">
            <v>0</v>
          </cell>
          <cell r="U598" t="str">
            <v>000000000013445</v>
          </cell>
        </row>
        <row r="599">
          <cell r="P599">
            <v>0</v>
          </cell>
          <cell r="U599" t="str">
            <v>000000000013445</v>
          </cell>
        </row>
        <row r="600">
          <cell r="C600">
            <v>300</v>
          </cell>
          <cell r="P600">
            <v>0</v>
          </cell>
          <cell r="U600" t="str">
            <v>000000000013445</v>
          </cell>
        </row>
        <row r="601">
          <cell r="C601">
            <v>2</v>
          </cell>
          <cell r="P601">
            <v>0</v>
          </cell>
          <cell r="U601" t="str">
            <v>000000000013445</v>
          </cell>
        </row>
        <row r="602">
          <cell r="C602">
            <v>200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000000000013445</v>
          </cell>
        </row>
        <row r="603">
          <cell r="C603" t="str">
            <v>S-40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000000000013445</v>
          </cell>
        </row>
        <row r="604">
          <cell r="M604" t="str">
            <v>作業者</v>
          </cell>
          <cell r="U604" t="str">
            <v>000000000013445</v>
          </cell>
        </row>
        <row r="605">
          <cell r="C605">
            <v>0</v>
          </cell>
          <cell r="U605" t="str">
            <v>000000000013445</v>
          </cell>
        </row>
        <row r="606">
          <cell r="R606">
            <v>0</v>
          </cell>
          <cell r="U606" t="str">
            <v>000000000013445</v>
          </cell>
        </row>
        <row r="607">
          <cell r="D607" t="str">
            <v>不良補填</v>
          </cell>
          <cell r="F607" t="str">
            <v/>
          </cell>
          <cell r="U607" t="str">
            <v>000000000013445</v>
          </cell>
        </row>
        <row r="608">
          <cell r="C608" t="str">
            <v>001EGAW　652</v>
          </cell>
          <cell r="P608">
            <v>0</v>
          </cell>
          <cell r="U608" t="str">
            <v>000000000013444</v>
          </cell>
        </row>
        <row r="609">
          <cell r="P609">
            <v>0</v>
          </cell>
          <cell r="U609" t="str">
            <v>000000000013444</v>
          </cell>
        </row>
        <row r="610">
          <cell r="P610">
            <v>0</v>
          </cell>
          <cell r="U610" t="str">
            <v>000000000013444</v>
          </cell>
        </row>
        <row r="611">
          <cell r="C611">
            <v>3600</v>
          </cell>
          <cell r="P611">
            <v>0</v>
          </cell>
          <cell r="U611" t="str">
            <v>000000000013444</v>
          </cell>
        </row>
        <row r="612">
          <cell r="C612">
            <v>2</v>
          </cell>
          <cell r="P612">
            <v>0</v>
          </cell>
          <cell r="U612" t="str">
            <v>000000000013444</v>
          </cell>
        </row>
        <row r="613">
          <cell r="C613">
            <v>200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000000000013444</v>
          </cell>
        </row>
        <row r="614">
          <cell r="C614" t="str">
            <v>S-40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000000000013444</v>
          </cell>
        </row>
        <row r="615">
          <cell r="M615" t="str">
            <v>作業者</v>
          </cell>
          <cell r="U615" t="str">
            <v>000000000013444</v>
          </cell>
        </row>
        <row r="616">
          <cell r="C616">
            <v>0</v>
          </cell>
          <cell r="U616" t="str">
            <v>000000000013444</v>
          </cell>
        </row>
        <row r="617">
          <cell r="R617">
            <v>0</v>
          </cell>
          <cell r="U617" t="str">
            <v>000000000013444</v>
          </cell>
        </row>
        <row r="618">
          <cell r="D618" t="str">
            <v>不良補填</v>
          </cell>
          <cell r="F618" t="str">
            <v/>
          </cell>
          <cell r="U618" t="str">
            <v>000000000013444</v>
          </cell>
        </row>
        <row r="619">
          <cell r="C619" t="str">
            <v>001EGAW　565</v>
          </cell>
          <cell r="P619">
            <v>0</v>
          </cell>
          <cell r="U619" t="str">
            <v>000000000013443</v>
          </cell>
        </row>
        <row r="620">
          <cell r="P620">
            <v>0</v>
          </cell>
          <cell r="U620" t="str">
            <v>000000000013443</v>
          </cell>
        </row>
        <row r="621">
          <cell r="P621">
            <v>0</v>
          </cell>
          <cell r="U621" t="str">
            <v>000000000013443</v>
          </cell>
        </row>
        <row r="622">
          <cell r="C622">
            <v>1300</v>
          </cell>
          <cell r="P622">
            <v>0</v>
          </cell>
          <cell r="U622" t="str">
            <v>000000000013443</v>
          </cell>
        </row>
        <row r="623">
          <cell r="C623">
            <v>2</v>
          </cell>
          <cell r="P623">
            <v>0</v>
          </cell>
          <cell r="U623" t="str">
            <v>000000000013443</v>
          </cell>
        </row>
        <row r="624">
          <cell r="C624">
            <v>200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000000000013443</v>
          </cell>
        </row>
        <row r="625">
          <cell r="C625" t="str">
            <v>S-30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000000000013443</v>
          </cell>
        </row>
        <row r="626">
          <cell r="M626" t="str">
            <v>作業者</v>
          </cell>
          <cell r="U626" t="str">
            <v>000000000013443</v>
          </cell>
        </row>
        <row r="627">
          <cell r="C627">
            <v>0</v>
          </cell>
          <cell r="U627" t="str">
            <v>000000000013443</v>
          </cell>
        </row>
        <row r="628">
          <cell r="R628">
            <v>0</v>
          </cell>
          <cell r="U628" t="str">
            <v>000000000013443</v>
          </cell>
        </row>
        <row r="629">
          <cell r="D629" t="str">
            <v>不良補填</v>
          </cell>
          <cell r="F629" t="str">
            <v/>
          </cell>
          <cell r="U629" t="str">
            <v>000000000013443</v>
          </cell>
        </row>
        <row r="630">
          <cell r="C630" t="str">
            <v>001EGAW　508</v>
          </cell>
          <cell r="P630">
            <v>0</v>
          </cell>
          <cell r="U630" t="str">
            <v>000000000013442</v>
          </cell>
        </row>
        <row r="631">
          <cell r="P631">
            <v>0</v>
          </cell>
          <cell r="U631" t="str">
            <v>000000000013442</v>
          </cell>
        </row>
        <row r="632">
          <cell r="P632">
            <v>0</v>
          </cell>
          <cell r="U632" t="str">
            <v>000000000013442</v>
          </cell>
        </row>
        <row r="633">
          <cell r="C633">
            <v>1300</v>
          </cell>
          <cell r="P633">
            <v>0</v>
          </cell>
          <cell r="U633" t="str">
            <v>000000000013442</v>
          </cell>
        </row>
        <row r="634">
          <cell r="C634">
            <v>2</v>
          </cell>
          <cell r="P634">
            <v>0</v>
          </cell>
          <cell r="U634" t="str">
            <v>000000000013442</v>
          </cell>
        </row>
        <row r="635">
          <cell r="C635">
            <v>200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000000000013442</v>
          </cell>
        </row>
        <row r="636">
          <cell r="C636" t="str">
            <v>S-30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000000000013442</v>
          </cell>
        </row>
        <row r="637">
          <cell r="M637" t="str">
            <v>作業者</v>
          </cell>
          <cell r="U637" t="str">
            <v>000000000013442</v>
          </cell>
        </row>
        <row r="638">
          <cell r="C638">
            <v>0</v>
          </cell>
          <cell r="U638" t="str">
            <v>000000000013442</v>
          </cell>
        </row>
        <row r="639">
          <cell r="R639">
            <v>0</v>
          </cell>
          <cell r="U639" t="str">
            <v>000000000013442</v>
          </cell>
        </row>
        <row r="640">
          <cell r="D640" t="str">
            <v>不良補填</v>
          </cell>
          <cell r="F640" t="str">
            <v/>
          </cell>
          <cell r="U640" t="str">
            <v>000000000013442</v>
          </cell>
        </row>
        <row r="641">
          <cell r="C641" t="str">
            <v>001EGAW　415</v>
          </cell>
          <cell r="P641">
            <v>0</v>
          </cell>
          <cell r="U641" t="str">
            <v>000000000013441</v>
          </cell>
        </row>
        <row r="642">
          <cell r="P642">
            <v>0</v>
          </cell>
          <cell r="U642" t="str">
            <v>000000000013441</v>
          </cell>
        </row>
        <row r="643">
          <cell r="P643">
            <v>0</v>
          </cell>
          <cell r="U643" t="str">
            <v>000000000013441</v>
          </cell>
        </row>
        <row r="644">
          <cell r="C644">
            <v>1500</v>
          </cell>
          <cell r="P644">
            <v>0</v>
          </cell>
          <cell r="U644" t="str">
            <v>000000000013441</v>
          </cell>
        </row>
        <row r="645">
          <cell r="C645">
            <v>3</v>
          </cell>
          <cell r="P645">
            <v>0</v>
          </cell>
          <cell r="U645" t="str">
            <v>000000000013441</v>
          </cell>
        </row>
        <row r="646">
          <cell r="C646">
            <v>200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000000000013441</v>
          </cell>
        </row>
        <row r="647">
          <cell r="C647" t="str">
            <v>S-20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000000000013441</v>
          </cell>
        </row>
        <row r="648">
          <cell r="M648" t="str">
            <v>作業者</v>
          </cell>
          <cell r="U648" t="str">
            <v>000000000013441</v>
          </cell>
        </row>
        <row r="649">
          <cell r="C649">
            <v>0</v>
          </cell>
          <cell r="U649" t="str">
            <v>000000000013441</v>
          </cell>
        </row>
        <row r="650">
          <cell r="R650">
            <v>0</v>
          </cell>
          <cell r="U650" t="str">
            <v>000000000013441</v>
          </cell>
        </row>
        <row r="651">
          <cell r="D651" t="str">
            <v>不良補填</v>
          </cell>
          <cell r="F651" t="str">
            <v/>
          </cell>
          <cell r="U651" t="str">
            <v>000000000013441</v>
          </cell>
        </row>
        <row r="652">
          <cell r="C652" t="str">
            <v>001EGAW　656</v>
          </cell>
          <cell r="P652">
            <v>0</v>
          </cell>
          <cell r="U652" t="str">
            <v>000000000013444</v>
          </cell>
        </row>
        <row r="653">
          <cell r="P653">
            <v>0</v>
          </cell>
          <cell r="U653" t="str">
            <v>000000000013444</v>
          </cell>
        </row>
        <row r="654">
          <cell r="P654">
            <v>0</v>
          </cell>
          <cell r="U654" t="str">
            <v>000000000013444</v>
          </cell>
        </row>
        <row r="655">
          <cell r="C655">
            <v>-17432.666666666701</v>
          </cell>
          <cell r="P655">
            <v>0</v>
          </cell>
          <cell r="U655" t="str">
            <v>000000000013444</v>
          </cell>
        </row>
        <row r="656">
          <cell r="C656">
            <v>-19132.666666666701</v>
          </cell>
          <cell r="P656">
            <v>0</v>
          </cell>
          <cell r="U656" t="str">
            <v>000000000013444</v>
          </cell>
        </row>
        <row r="657">
          <cell r="C657">
            <v>-20832.666666666701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000000000013444</v>
          </cell>
        </row>
        <row r="658">
          <cell r="C658" t="str">
            <v>S-44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000000000013444</v>
          </cell>
        </row>
        <row r="659">
          <cell r="M659" t="str">
            <v>作業者</v>
          </cell>
          <cell r="U659" t="str">
            <v>000000000013444</v>
          </cell>
        </row>
        <row r="660">
          <cell r="C660">
            <v>0</v>
          </cell>
          <cell r="U660" t="str">
            <v>000000000013444</v>
          </cell>
        </row>
        <row r="661">
          <cell r="R661">
            <v>0</v>
          </cell>
          <cell r="U661" t="str">
            <v>000000000013444</v>
          </cell>
        </row>
        <row r="662">
          <cell r="D662" t="str">
            <v>不良補填</v>
          </cell>
          <cell r="F662" t="str">
            <v/>
          </cell>
          <cell r="U662" t="str">
            <v>000000000013444</v>
          </cell>
        </row>
        <row r="663">
          <cell r="C663" t="str">
            <v>灯具カバーPC IN 2110　L=1815</v>
          </cell>
          <cell r="P663">
            <v>0</v>
          </cell>
          <cell r="U663" t="str">
            <v>000000000013718</v>
          </cell>
        </row>
        <row r="664">
          <cell r="P664">
            <v>0</v>
          </cell>
          <cell r="U664" t="str">
            <v>000000000013718</v>
          </cell>
        </row>
        <row r="665">
          <cell r="P665">
            <v>0</v>
          </cell>
          <cell r="U665" t="str">
            <v>000000000013718</v>
          </cell>
        </row>
        <row r="666">
          <cell r="C666">
            <v>192</v>
          </cell>
          <cell r="P666">
            <v>0</v>
          </cell>
          <cell r="U666" t="str">
            <v>000000000013718</v>
          </cell>
        </row>
        <row r="667">
          <cell r="C667">
            <v>1</v>
          </cell>
          <cell r="P667">
            <v>0</v>
          </cell>
          <cell r="U667" t="str">
            <v>000000000013718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000000000013718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000000000013718</v>
          </cell>
        </row>
        <row r="670">
          <cell r="M670" t="str">
            <v>作業者</v>
          </cell>
          <cell r="U670" t="str">
            <v>000000000013718</v>
          </cell>
        </row>
        <row r="671">
          <cell r="C671">
            <v>0</v>
          </cell>
          <cell r="U671" t="str">
            <v>000000000013718</v>
          </cell>
        </row>
        <row r="672">
          <cell r="R672">
            <v>0</v>
          </cell>
          <cell r="U672" t="str">
            <v>000000000013718</v>
          </cell>
        </row>
        <row r="673">
          <cell r="D673" t="str">
            <v>不良補填</v>
          </cell>
          <cell r="F673" t="str">
            <v/>
          </cell>
          <cell r="U673" t="str">
            <v>000000000013718</v>
          </cell>
        </row>
        <row r="674">
          <cell r="C674" t="str">
            <v>灯具カバーPC IN 2100　L=1923</v>
          </cell>
          <cell r="P674">
            <v>0</v>
          </cell>
          <cell r="U674" t="str">
            <v>000000000013895</v>
          </cell>
        </row>
        <row r="675">
          <cell r="P675">
            <v>0</v>
          </cell>
          <cell r="U675" t="str">
            <v>000000000013895</v>
          </cell>
        </row>
        <row r="676">
          <cell r="P676">
            <v>0</v>
          </cell>
          <cell r="U676" t="str">
            <v>000000000013895</v>
          </cell>
        </row>
        <row r="677">
          <cell r="C677">
            <v>32</v>
          </cell>
          <cell r="P677">
            <v>0</v>
          </cell>
          <cell r="U677" t="str">
            <v>000000000013895</v>
          </cell>
        </row>
        <row r="678">
          <cell r="C678">
            <v>1</v>
          </cell>
          <cell r="P678">
            <v>0</v>
          </cell>
          <cell r="U678" t="str">
            <v>000000000013895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000000000013895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000000000013895</v>
          </cell>
        </row>
        <row r="681">
          <cell r="M681" t="str">
            <v>作業者</v>
          </cell>
          <cell r="U681" t="str">
            <v>000000000013895</v>
          </cell>
        </row>
        <row r="682">
          <cell r="C682">
            <v>0</v>
          </cell>
          <cell r="U682" t="str">
            <v>000000000013895</v>
          </cell>
        </row>
        <row r="683">
          <cell r="R683">
            <v>0</v>
          </cell>
          <cell r="U683" t="str">
            <v>000000000013895</v>
          </cell>
        </row>
        <row r="684">
          <cell r="D684" t="str">
            <v>不良補填</v>
          </cell>
          <cell r="F684" t="str">
            <v/>
          </cell>
          <cell r="U684" t="str">
            <v>000000000013895</v>
          </cell>
        </row>
        <row r="685">
          <cell r="C685" t="str">
            <v>灯具カバーPC IN 2100　L=1923</v>
          </cell>
          <cell r="P685">
            <v>0</v>
          </cell>
          <cell r="U685" t="str">
            <v>000000000013896</v>
          </cell>
        </row>
        <row r="686">
          <cell r="P686">
            <v>0</v>
          </cell>
          <cell r="U686" t="str">
            <v>000000000013896</v>
          </cell>
        </row>
        <row r="687">
          <cell r="P687">
            <v>0</v>
          </cell>
          <cell r="U687" t="str">
            <v>000000000013896</v>
          </cell>
        </row>
        <row r="688">
          <cell r="C688">
            <v>64</v>
          </cell>
          <cell r="P688">
            <v>0</v>
          </cell>
          <cell r="U688" t="str">
            <v>000000000013896</v>
          </cell>
        </row>
        <row r="689">
          <cell r="C689">
            <v>1</v>
          </cell>
          <cell r="P689">
            <v>0</v>
          </cell>
          <cell r="U689" t="str">
            <v>000000000013896</v>
          </cell>
        </row>
        <row r="690">
          <cell r="C690">
            <v>16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000000000013896</v>
          </cell>
        </row>
        <row r="691">
          <cell r="C691" t="str">
            <v>灯具-2　L＝1996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000000000013896</v>
          </cell>
        </row>
        <row r="692">
          <cell r="M692" t="str">
            <v>作業者</v>
          </cell>
          <cell r="U692" t="str">
            <v>000000000013896</v>
          </cell>
        </row>
        <row r="693">
          <cell r="C693">
            <v>0</v>
          </cell>
          <cell r="U693" t="str">
            <v>000000000013896</v>
          </cell>
        </row>
        <row r="694">
          <cell r="R694">
            <v>0</v>
          </cell>
          <cell r="U694" t="str">
            <v>000000000013896</v>
          </cell>
        </row>
        <row r="695">
          <cell r="D695" t="str">
            <v>不良補填</v>
          </cell>
          <cell r="F695" t="str">
            <v/>
          </cell>
          <cell r="U695" t="str">
            <v>000000000013896</v>
          </cell>
        </row>
        <row r="696">
          <cell r="C696" t="str">
            <v>灯具カバーPC IN 2470　L=1648</v>
          </cell>
          <cell r="P696">
            <v>0</v>
          </cell>
          <cell r="U696" t="str">
            <v>000000000013717</v>
          </cell>
        </row>
        <row r="697">
          <cell r="P697">
            <v>0</v>
          </cell>
          <cell r="U697" t="str">
            <v>000000000013717</v>
          </cell>
        </row>
        <row r="698">
          <cell r="P698">
            <v>0</v>
          </cell>
          <cell r="U698" t="str">
            <v>000000000013717</v>
          </cell>
        </row>
        <row r="699">
          <cell r="C699">
            <v>96</v>
          </cell>
          <cell r="P699">
            <v>0</v>
          </cell>
          <cell r="U699" t="str">
            <v>000000000013717</v>
          </cell>
        </row>
        <row r="700">
          <cell r="C700">
            <v>1</v>
          </cell>
          <cell r="P700">
            <v>0</v>
          </cell>
          <cell r="U700" t="str">
            <v>000000000013717</v>
          </cell>
        </row>
        <row r="701">
          <cell r="C701">
            <v>16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000000000013717</v>
          </cell>
        </row>
        <row r="702">
          <cell r="C702" t="str">
            <v>灯具-1　L=1370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000000000013717</v>
          </cell>
        </row>
        <row r="703">
          <cell r="M703" t="str">
            <v>作業者</v>
          </cell>
          <cell r="U703" t="str">
            <v>000000000013717</v>
          </cell>
        </row>
        <row r="704">
          <cell r="C704">
            <v>0</v>
          </cell>
          <cell r="U704" t="str">
            <v>000000000013717</v>
          </cell>
        </row>
        <row r="705">
          <cell r="R705">
            <v>0</v>
          </cell>
          <cell r="U705" t="str">
            <v>000000000013717</v>
          </cell>
        </row>
        <row r="706">
          <cell r="D706" t="str">
            <v>不良補填</v>
          </cell>
          <cell r="F706" t="str">
            <v/>
          </cell>
          <cell r="U706" t="str">
            <v>000000000013717</v>
          </cell>
        </row>
        <row r="707">
          <cell r="C707" t="str">
            <v>灯具カバーPC IN 2490　L=1264</v>
          </cell>
          <cell r="P707">
            <v>0</v>
          </cell>
          <cell r="U707" t="str">
            <v>000000000013714</v>
          </cell>
        </row>
        <row r="708">
          <cell r="P708">
            <v>0</v>
          </cell>
          <cell r="U708" t="str">
            <v>000000000013714</v>
          </cell>
        </row>
        <row r="709">
          <cell r="P709">
            <v>0</v>
          </cell>
          <cell r="U709" t="str">
            <v>000000000013714</v>
          </cell>
        </row>
        <row r="710">
          <cell r="C710">
            <v>96</v>
          </cell>
          <cell r="P710">
            <v>0</v>
          </cell>
          <cell r="U710" t="str">
            <v>000000000013714</v>
          </cell>
        </row>
        <row r="711">
          <cell r="C711">
            <v>1</v>
          </cell>
          <cell r="P711">
            <v>0</v>
          </cell>
          <cell r="U711" t="str">
            <v>000000000013714</v>
          </cell>
        </row>
        <row r="712">
          <cell r="C712">
            <v>16</v>
          </cell>
          <cell r="M712" t="str">
            <v>合計</v>
          </cell>
          <cell r="N712">
            <v>0</v>
          </cell>
          <cell r="P712">
            <v>0</v>
          </cell>
          <cell r="U712" t="str">
            <v>000000000013714</v>
          </cell>
        </row>
        <row r="713">
          <cell r="C713" t="str">
            <v>灯具-1　L=1370</v>
          </cell>
          <cell r="M713" t="str">
            <v>入数</v>
          </cell>
          <cell r="N713">
            <v>0</v>
          </cell>
          <cell r="P713">
            <v>0</v>
          </cell>
          <cell r="U713" t="str">
            <v>000000000013714</v>
          </cell>
        </row>
        <row r="714">
          <cell r="M714" t="str">
            <v>作業者</v>
          </cell>
          <cell r="U714" t="str">
            <v>000000000013714</v>
          </cell>
        </row>
        <row r="715">
          <cell r="C715">
            <v>0</v>
          </cell>
          <cell r="U715" t="str">
            <v>000000000013714</v>
          </cell>
        </row>
        <row r="716">
          <cell r="R716">
            <v>0</v>
          </cell>
          <cell r="U716" t="str">
            <v>000000000013714</v>
          </cell>
        </row>
        <row r="717">
          <cell r="D717" t="str">
            <v>不良補填</v>
          </cell>
          <cell r="F717" t="str">
            <v/>
          </cell>
          <cell r="U717" t="str">
            <v>000000000013714</v>
          </cell>
        </row>
        <row r="718">
          <cell r="C718" t="str">
            <v>灯具カバーPC IN 2460　L=1291</v>
          </cell>
          <cell r="P718">
            <v>0</v>
          </cell>
          <cell r="U718" t="str">
            <v>000000000013715</v>
          </cell>
        </row>
        <row r="719">
          <cell r="P719">
            <v>0</v>
          </cell>
          <cell r="U719" t="str">
            <v>000000000013715</v>
          </cell>
        </row>
        <row r="720">
          <cell r="P720">
            <v>0</v>
          </cell>
          <cell r="U720" t="str">
            <v>000000000013715</v>
          </cell>
        </row>
        <row r="721">
          <cell r="C721">
            <v>96</v>
          </cell>
          <cell r="P721">
            <v>0</v>
          </cell>
          <cell r="U721" t="str">
            <v>000000000013715</v>
          </cell>
        </row>
        <row r="722">
          <cell r="C722">
            <v>1</v>
          </cell>
          <cell r="P722">
            <v>0</v>
          </cell>
          <cell r="U722" t="str">
            <v>000000000013715</v>
          </cell>
        </row>
        <row r="723">
          <cell r="C723">
            <v>16</v>
          </cell>
          <cell r="M723" t="str">
            <v>合計</v>
          </cell>
          <cell r="N723">
            <v>0</v>
          </cell>
          <cell r="P723">
            <v>0</v>
          </cell>
          <cell r="U723" t="str">
            <v>000000000013715</v>
          </cell>
        </row>
        <row r="724">
          <cell r="C724" t="str">
            <v>灯具-1　L=1370</v>
          </cell>
          <cell r="M724" t="str">
            <v>入数</v>
          </cell>
          <cell r="N724">
            <v>0</v>
          </cell>
          <cell r="P724">
            <v>0</v>
          </cell>
          <cell r="U724" t="str">
            <v>000000000013715</v>
          </cell>
        </row>
        <row r="725">
          <cell r="M725" t="str">
            <v>作業者</v>
          </cell>
          <cell r="U725" t="str">
            <v>000000000013715</v>
          </cell>
        </row>
        <row r="726">
          <cell r="C726">
            <v>0</v>
          </cell>
          <cell r="U726" t="str">
            <v>000000000013715</v>
          </cell>
        </row>
        <row r="727">
          <cell r="R727">
            <v>0</v>
          </cell>
          <cell r="U727" t="str">
            <v>000000000013715</v>
          </cell>
        </row>
        <row r="728">
          <cell r="D728" t="str">
            <v>不良補填</v>
          </cell>
          <cell r="F728" t="str">
            <v/>
          </cell>
          <cell r="U728" t="str">
            <v>000000000013715</v>
          </cell>
        </row>
        <row r="729">
          <cell r="C729" t="str">
            <v>灯具カバーPC IN 2500　L=1238</v>
          </cell>
          <cell r="P729">
            <v>0</v>
          </cell>
          <cell r="U729" t="str">
            <v>000000000013712</v>
          </cell>
        </row>
        <row r="730">
          <cell r="P730">
            <v>0</v>
          </cell>
          <cell r="U730" t="str">
            <v>000000000013712</v>
          </cell>
        </row>
        <row r="731">
          <cell r="P731">
            <v>0</v>
          </cell>
          <cell r="U731" t="str">
            <v>000000000013712</v>
          </cell>
        </row>
        <row r="732">
          <cell r="C732">
            <v>96</v>
          </cell>
          <cell r="P732">
            <v>0</v>
          </cell>
          <cell r="U732" t="str">
            <v>000000000013712</v>
          </cell>
        </row>
        <row r="733">
          <cell r="C733">
            <v>1</v>
          </cell>
          <cell r="P733">
            <v>0</v>
          </cell>
          <cell r="U733" t="str">
            <v>000000000013712</v>
          </cell>
        </row>
        <row r="734">
          <cell r="C734">
            <v>16</v>
          </cell>
          <cell r="M734" t="str">
            <v>合計</v>
          </cell>
          <cell r="N734">
            <v>0</v>
          </cell>
          <cell r="P734">
            <v>0</v>
          </cell>
          <cell r="U734" t="str">
            <v>000000000013712</v>
          </cell>
        </row>
        <row r="735">
          <cell r="C735" t="str">
            <v>灯具-1　L=1370</v>
          </cell>
          <cell r="M735" t="str">
            <v>入数</v>
          </cell>
          <cell r="N735">
            <v>0</v>
          </cell>
          <cell r="P735">
            <v>0</v>
          </cell>
          <cell r="U735" t="str">
            <v>000000000013712</v>
          </cell>
        </row>
        <row r="736">
          <cell r="M736" t="str">
            <v>作業者</v>
          </cell>
          <cell r="U736" t="str">
            <v>000000000013712</v>
          </cell>
        </row>
        <row r="737">
          <cell r="C737">
            <v>0</v>
          </cell>
          <cell r="U737" t="str">
            <v>000000000013712</v>
          </cell>
        </row>
        <row r="738">
          <cell r="R738">
            <v>0</v>
          </cell>
          <cell r="U738" t="str">
            <v>000000000013712</v>
          </cell>
        </row>
        <row r="739">
          <cell r="D739" t="str">
            <v>不良補填</v>
          </cell>
          <cell r="F739" t="str">
            <v/>
          </cell>
          <cell r="U739" t="str">
            <v>000000000013712</v>
          </cell>
        </row>
        <row r="740">
          <cell r="C740" t="str">
            <v>灯具カバーPC IN 2060　L=1258.5</v>
          </cell>
          <cell r="P740">
            <v>0</v>
          </cell>
          <cell r="U740" t="str">
            <v>000000000013713</v>
          </cell>
        </row>
        <row r="741">
          <cell r="P741">
            <v>0</v>
          </cell>
          <cell r="U741" t="str">
            <v>000000000013713</v>
          </cell>
        </row>
        <row r="742">
          <cell r="P742">
            <v>0</v>
          </cell>
          <cell r="U742" t="str">
            <v>000000000013713</v>
          </cell>
        </row>
        <row r="743">
          <cell r="C743">
            <v>96</v>
          </cell>
          <cell r="P743">
            <v>0</v>
          </cell>
          <cell r="U743" t="str">
            <v>000000000013713</v>
          </cell>
        </row>
        <row r="744">
          <cell r="C744">
            <v>1</v>
          </cell>
          <cell r="P744">
            <v>0</v>
          </cell>
          <cell r="U744" t="str">
            <v>000000000013713</v>
          </cell>
        </row>
        <row r="745">
          <cell r="C745">
            <v>16</v>
          </cell>
          <cell r="M745" t="str">
            <v>合計</v>
          </cell>
          <cell r="N745">
            <v>0</v>
          </cell>
          <cell r="P745">
            <v>0</v>
          </cell>
          <cell r="U745" t="str">
            <v>000000000013713</v>
          </cell>
        </row>
        <row r="746">
          <cell r="C746" t="str">
            <v>灯具-1　L=1370</v>
          </cell>
          <cell r="M746" t="str">
            <v>入数</v>
          </cell>
          <cell r="N746">
            <v>0</v>
          </cell>
          <cell r="P746">
            <v>0</v>
          </cell>
          <cell r="U746" t="str">
            <v>000000000013713</v>
          </cell>
        </row>
        <row r="747">
          <cell r="M747" t="str">
            <v>作業者</v>
          </cell>
          <cell r="U747" t="str">
            <v>000000000013713</v>
          </cell>
        </row>
        <row r="748">
          <cell r="C748">
            <v>0</v>
          </cell>
          <cell r="U748" t="str">
            <v>000000000013713</v>
          </cell>
        </row>
        <row r="749">
          <cell r="R749">
            <v>0</v>
          </cell>
          <cell r="U749" t="str">
            <v>000000000013713</v>
          </cell>
        </row>
        <row r="750">
          <cell r="D750" t="str">
            <v>不良補填</v>
          </cell>
          <cell r="F750" t="str">
            <v/>
          </cell>
          <cell r="U750" t="str">
            <v>000000000013713</v>
          </cell>
        </row>
        <row r="751">
          <cell r="C751" t="str">
            <v>8FL281304 6110　L=1478</v>
          </cell>
          <cell r="P751">
            <v>0</v>
          </cell>
          <cell r="U751" t="str">
            <v>000000000013824</v>
          </cell>
        </row>
        <row r="752">
          <cell r="P752">
            <v>0</v>
          </cell>
          <cell r="U752" t="str">
            <v>000000000013824</v>
          </cell>
        </row>
        <row r="753">
          <cell r="P753">
            <v>0</v>
          </cell>
          <cell r="U753" t="str">
            <v>000000000013824</v>
          </cell>
        </row>
        <row r="754">
          <cell r="C754">
            <v>700</v>
          </cell>
          <cell r="P754">
            <v>0</v>
          </cell>
          <cell r="U754" t="str">
            <v>000000000013824</v>
          </cell>
        </row>
        <row r="755">
          <cell r="C755">
            <v>1</v>
          </cell>
          <cell r="P755">
            <v>0</v>
          </cell>
          <cell r="U755" t="str">
            <v>000000000013824</v>
          </cell>
        </row>
        <row r="756">
          <cell r="C756">
            <v>100</v>
          </cell>
          <cell r="M756" t="str">
            <v>合計</v>
          </cell>
          <cell r="N756">
            <v>0</v>
          </cell>
          <cell r="P756">
            <v>0</v>
          </cell>
          <cell r="U756" t="str">
            <v>000000000013824</v>
          </cell>
        </row>
        <row r="757">
          <cell r="C757" t="str">
            <v>LED-A1478</v>
          </cell>
          <cell r="M757" t="str">
            <v>入数</v>
          </cell>
          <cell r="N757">
            <v>0</v>
          </cell>
          <cell r="P757">
            <v>0</v>
          </cell>
          <cell r="U757" t="str">
            <v>000000000013824</v>
          </cell>
        </row>
        <row r="758">
          <cell r="M758" t="str">
            <v>作業者</v>
          </cell>
          <cell r="U758" t="str">
            <v>000000000013824</v>
          </cell>
        </row>
        <row r="759">
          <cell r="C759">
            <v>0</v>
          </cell>
          <cell r="U759" t="str">
            <v>000000000013824</v>
          </cell>
        </row>
        <row r="760">
          <cell r="R760">
            <v>0</v>
          </cell>
          <cell r="U760" t="str">
            <v>000000000013824</v>
          </cell>
        </row>
        <row r="761">
          <cell r="D761" t="str">
            <v>不良補填</v>
          </cell>
          <cell r="F761">
            <v>0</v>
          </cell>
          <cell r="U761" t="str">
            <v>000000000013824</v>
          </cell>
        </row>
        <row r="762">
          <cell r="C762" t="str">
            <v>8FL281304 6110　L=1478</v>
          </cell>
          <cell r="P762">
            <v>0</v>
          </cell>
          <cell r="U762" t="str">
            <v>000000000014225</v>
          </cell>
        </row>
        <row r="763">
          <cell r="P763">
            <v>0</v>
          </cell>
          <cell r="U763" t="str">
            <v>000000000014225</v>
          </cell>
        </row>
        <row r="764">
          <cell r="P764">
            <v>0</v>
          </cell>
          <cell r="U764" t="str">
            <v>000000000014225</v>
          </cell>
        </row>
        <row r="765">
          <cell r="C765">
            <v>200</v>
          </cell>
          <cell r="P765">
            <v>0</v>
          </cell>
          <cell r="U765" t="str">
            <v>000000000014225</v>
          </cell>
        </row>
        <row r="766">
          <cell r="C766">
            <v>1</v>
          </cell>
          <cell r="P766">
            <v>0</v>
          </cell>
          <cell r="U766" t="str">
            <v>000000000014225</v>
          </cell>
        </row>
        <row r="767">
          <cell r="C767">
            <v>100</v>
          </cell>
          <cell r="M767" t="str">
            <v>合計</v>
          </cell>
          <cell r="N767">
            <v>0</v>
          </cell>
          <cell r="P767">
            <v>0</v>
          </cell>
          <cell r="U767" t="str">
            <v>000000000014225</v>
          </cell>
        </row>
        <row r="768">
          <cell r="C768" t="str">
            <v>LED-A1478</v>
          </cell>
          <cell r="M768" t="str">
            <v>入数</v>
          </cell>
          <cell r="N768">
            <v>0</v>
          </cell>
          <cell r="P768">
            <v>0</v>
          </cell>
          <cell r="U768" t="str">
            <v>000000000014225</v>
          </cell>
        </row>
        <row r="769">
          <cell r="M769" t="str">
            <v>作業者</v>
          </cell>
          <cell r="U769" t="str">
            <v>000000000014225</v>
          </cell>
        </row>
        <row r="770">
          <cell r="C770">
            <v>0</v>
          </cell>
          <cell r="U770" t="str">
            <v>000000000014225</v>
          </cell>
        </row>
        <row r="771">
          <cell r="R771">
            <v>0</v>
          </cell>
          <cell r="U771" t="str">
            <v>000000000014225</v>
          </cell>
        </row>
        <row r="772">
          <cell r="D772" t="str">
            <v>不良補填</v>
          </cell>
          <cell r="F772">
            <v>0</v>
          </cell>
          <cell r="U772" t="str">
            <v>000000000014225</v>
          </cell>
        </row>
        <row r="773">
          <cell r="C773" t="str">
            <v>8FL281304 6110　L=1478</v>
          </cell>
          <cell r="P773">
            <v>0</v>
          </cell>
          <cell r="U773" t="str">
            <v>000000000014226</v>
          </cell>
        </row>
        <row r="774">
          <cell r="P774">
            <v>0</v>
          </cell>
          <cell r="U774" t="str">
            <v>000000000014226</v>
          </cell>
        </row>
        <row r="775">
          <cell r="P775">
            <v>0</v>
          </cell>
          <cell r="U775" t="str">
            <v>000000000014226</v>
          </cell>
        </row>
        <row r="776">
          <cell r="C776">
            <v>200</v>
          </cell>
          <cell r="P776">
            <v>0</v>
          </cell>
          <cell r="U776" t="str">
            <v>000000000014226</v>
          </cell>
        </row>
        <row r="777">
          <cell r="C777">
            <v>1</v>
          </cell>
          <cell r="P777">
            <v>0</v>
          </cell>
          <cell r="U777" t="str">
            <v>000000000014226</v>
          </cell>
        </row>
        <row r="778">
          <cell r="C778">
            <v>100</v>
          </cell>
          <cell r="M778" t="str">
            <v>合計</v>
          </cell>
          <cell r="N778">
            <v>0</v>
          </cell>
          <cell r="P778">
            <v>0</v>
          </cell>
          <cell r="U778" t="str">
            <v>000000000014226</v>
          </cell>
        </row>
        <row r="779">
          <cell r="C779" t="str">
            <v>LED-A1478</v>
          </cell>
          <cell r="M779" t="str">
            <v>入数</v>
          </cell>
          <cell r="N779">
            <v>0</v>
          </cell>
          <cell r="P779">
            <v>0</v>
          </cell>
          <cell r="U779" t="str">
            <v>000000000014226</v>
          </cell>
        </row>
        <row r="780">
          <cell r="M780" t="str">
            <v>作業者</v>
          </cell>
          <cell r="U780" t="str">
            <v>000000000014226</v>
          </cell>
        </row>
        <row r="781">
          <cell r="C781">
            <v>0</v>
          </cell>
          <cell r="U781" t="str">
            <v>000000000014226</v>
          </cell>
        </row>
        <row r="782">
          <cell r="R782">
            <v>0</v>
          </cell>
          <cell r="U782" t="str">
            <v>000000000014226</v>
          </cell>
        </row>
        <row r="783">
          <cell r="D783" t="str">
            <v>不良補填</v>
          </cell>
          <cell r="F783">
            <v>0</v>
          </cell>
          <cell r="U783" t="str">
            <v>000000000014226</v>
          </cell>
        </row>
        <row r="784">
          <cell r="C784" t="str">
            <v>8FL281304 5010　L=888</v>
          </cell>
          <cell r="P784">
            <v>0</v>
          </cell>
          <cell r="U784" t="str">
            <v>000000000013820</v>
          </cell>
        </row>
        <row r="785">
          <cell r="P785">
            <v>0</v>
          </cell>
          <cell r="U785" t="str">
            <v>000000000013820</v>
          </cell>
        </row>
        <row r="786">
          <cell r="P786">
            <v>0</v>
          </cell>
          <cell r="U786" t="str">
            <v>000000000013820</v>
          </cell>
        </row>
        <row r="787">
          <cell r="C787">
            <v>800</v>
          </cell>
          <cell r="P787">
            <v>0</v>
          </cell>
          <cell r="U787" t="str">
            <v>000000000013820</v>
          </cell>
        </row>
        <row r="788">
          <cell r="C788">
            <v>2</v>
          </cell>
          <cell r="P788">
            <v>0</v>
          </cell>
          <cell r="U788" t="str">
            <v>000000000013820</v>
          </cell>
        </row>
        <row r="789">
          <cell r="C789">
            <v>100</v>
          </cell>
          <cell r="M789" t="str">
            <v>合計</v>
          </cell>
          <cell r="N789">
            <v>0</v>
          </cell>
          <cell r="P789">
            <v>0</v>
          </cell>
          <cell r="U789" t="str">
            <v>000000000013820</v>
          </cell>
        </row>
        <row r="790">
          <cell r="C790" t="str">
            <v>LED-A888</v>
          </cell>
          <cell r="M790" t="str">
            <v>入数</v>
          </cell>
          <cell r="N790">
            <v>0</v>
          </cell>
          <cell r="P790">
            <v>0</v>
          </cell>
          <cell r="U790" t="str">
            <v>000000000013820</v>
          </cell>
        </row>
        <row r="791">
          <cell r="M791" t="str">
            <v>作業者</v>
          </cell>
          <cell r="U791" t="str">
            <v>000000000013820</v>
          </cell>
        </row>
        <row r="792">
          <cell r="C792">
            <v>0</v>
          </cell>
          <cell r="U792" t="str">
            <v>000000000013820</v>
          </cell>
        </row>
        <row r="793">
          <cell r="R793">
            <v>0</v>
          </cell>
          <cell r="U793" t="str">
            <v>000000000013820</v>
          </cell>
        </row>
        <row r="794">
          <cell r="D794" t="str">
            <v>不良補填</v>
          </cell>
          <cell r="F794">
            <v>0</v>
          </cell>
          <cell r="U794" t="str">
            <v>000000000013820</v>
          </cell>
        </row>
        <row r="795">
          <cell r="C795" t="str">
            <v>採光ルーバーパネルB　L=1996</v>
          </cell>
          <cell r="P795">
            <v>0</v>
          </cell>
          <cell r="U795" t="str">
            <v>000000000014040</v>
          </cell>
        </row>
        <row r="796">
          <cell r="P796">
            <v>0</v>
          </cell>
          <cell r="U796" t="str">
            <v>000000000014040</v>
          </cell>
        </row>
        <row r="797">
          <cell r="P797">
            <v>0</v>
          </cell>
          <cell r="U797" t="str">
            <v>000000000014040</v>
          </cell>
        </row>
        <row r="798">
          <cell r="C798">
            <v>294</v>
          </cell>
          <cell r="P798">
            <v>0</v>
          </cell>
          <cell r="U798" t="str">
            <v>000000000014040</v>
          </cell>
        </row>
        <row r="799">
          <cell r="C799">
            <v>1</v>
          </cell>
          <cell r="P799">
            <v>0</v>
          </cell>
          <cell r="U799" t="str">
            <v>000000000014040</v>
          </cell>
        </row>
        <row r="800">
          <cell r="C800">
            <v>42</v>
          </cell>
          <cell r="M800" t="str">
            <v>合計</v>
          </cell>
          <cell r="N800">
            <v>0</v>
          </cell>
          <cell r="P800">
            <v>0</v>
          </cell>
          <cell r="U800" t="str">
            <v>000000000014040</v>
          </cell>
        </row>
        <row r="801">
          <cell r="C801" t="str">
            <v>上-1</v>
          </cell>
          <cell r="M801" t="str">
            <v>入数</v>
          </cell>
          <cell r="N801">
            <v>0</v>
          </cell>
          <cell r="P801">
            <v>0</v>
          </cell>
          <cell r="U801" t="str">
            <v>000000000014040</v>
          </cell>
        </row>
        <row r="802">
          <cell r="M802" t="str">
            <v>作業者</v>
          </cell>
          <cell r="U802" t="str">
            <v>000000000014040</v>
          </cell>
        </row>
        <row r="803">
          <cell r="C803">
            <v>0</v>
          </cell>
          <cell r="U803" t="str">
            <v>000000000014040</v>
          </cell>
        </row>
        <row r="804">
          <cell r="R804">
            <v>0</v>
          </cell>
          <cell r="U804" t="str">
            <v>000000000014040</v>
          </cell>
        </row>
        <row r="805">
          <cell r="D805" t="str">
            <v>不良補填</v>
          </cell>
          <cell r="F805" t="str">
            <v/>
          </cell>
          <cell r="U805" t="str">
            <v>000000000014040</v>
          </cell>
        </row>
        <row r="806">
          <cell r="C806" t="str">
            <v>採光ルーバーパネルB　L=1996</v>
          </cell>
          <cell r="P806">
            <v>0</v>
          </cell>
          <cell r="U806" t="str">
            <v>000000000014041</v>
          </cell>
        </row>
        <row r="807">
          <cell r="P807">
            <v>0</v>
          </cell>
          <cell r="U807" t="str">
            <v>000000000014041</v>
          </cell>
        </row>
        <row r="808">
          <cell r="P808">
            <v>0</v>
          </cell>
          <cell r="U808" t="str">
            <v>000000000014041</v>
          </cell>
        </row>
        <row r="809">
          <cell r="C809">
            <v>882</v>
          </cell>
          <cell r="P809">
            <v>0</v>
          </cell>
          <cell r="U809" t="str">
            <v>000000000014041</v>
          </cell>
        </row>
        <row r="810">
          <cell r="C810">
            <v>1</v>
          </cell>
          <cell r="P810">
            <v>0</v>
          </cell>
          <cell r="U810" t="str">
            <v>000000000014041</v>
          </cell>
        </row>
        <row r="811">
          <cell r="C811">
            <v>42</v>
          </cell>
          <cell r="M811" t="str">
            <v>合計</v>
          </cell>
          <cell r="N811">
            <v>0</v>
          </cell>
          <cell r="P811">
            <v>0</v>
          </cell>
          <cell r="U811" t="str">
            <v>000000000014041</v>
          </cell>
        </row>
        <row r="812">
          <cell r="C812" t="str">
            <v>上-1</v>
          </cell>
          <cell r="M812" t="str">
            <v>入数</v>
          </cell>
          <cell r="N812">
            <v>0</v>
          </cell>
          <cell r="P812">
            <v>0</v>
          </cell>
          <cell r="U812" t="str">
            <v>000000000014041</v>
          </cell>
        </row>
        <row r="813">
          <cell r="M813" t="str">
            <v>作業者</v>
          </cell>
          <cell r="U813" t="str">
            <v>000000000014041</v>
          </cell>
        </row>
        <row r="814">
          <cell r="C814">
            <v>0</v>
          </cell>
          <cell r="U814" t="str">
            <v>000000000014041</v>
          </cell>
        </row>
        <row r="815">
          <cell r="R815">
            <v>0</v>
          </cell>
          <cell r="U815" t="str">
            <v>000000000014041</v>
          </cell>
        </row>
        <row r="816">
          <cell r="D816" t="str">
            <v>不良補填</v>
          </cell>
          <cell r="F816" t="str">
            <v/>
          </cell>
          <cell r="U816" t="str">
            <v>000000000014041</v>
          </cell>
        </row>
        <row r="817">
          <cell r="C817" t="str">
            <v>8FL281304 6110　L=1478</v>
          </cell>
          <cell r="P817">
            <v>0</v>
          </cell>
          <cell r="U817" t="str">
            <v>000000000013825</v>
          </cell>
        </row>
        <row r="818">
          <cell r="P818">
            <v>0</v>
          </cell>
          <cell r="U818" t="str">
            <v>000000000013825</v>
          </cell>
        </row>
        <row r="819">
          <cell r="P819">
            <v>0</v>
          </cell>
          <cell r="U819" t="str">
            <v>000000000013825</v>
          </cell>
        </row>
        <row r="820">
          <cell r="C820">
            <v>300</v>
          </cell>
          <cell r="P820">
            <v>0</v>
          </cell>
          <cell r="U820" t="str">
            <v>000000000013825</v>
          </cell>
        </row>
        <row r="821">
          <cell r="C821">
            <v>1</v>
          </cell>
          <cell r="P821">
            <v>0</v>
          </cell>
          <cell r="U821" t="str">
            <v>000000000013825</v>
          </cell>
        </row>
        <row r="822">
          <cell r="C822">
            <v>100</v>
          </cell>
          <cell r="M822" t="str">
            <v>合計</v>
          </cell>
          <cell r="N822">
            <v>0</v>
          </cell>
          <cell r="P822">
            <v>0</v>
          </cell>
          <cell r="U822" t="str">
            <v>000000000013825</v>
          </cell>
        </row>
        <row r="823">
          <cell r="C823" t="str">
            <v>LED-A1478</v>
          </cell>
          <cell r="M823" t="str">
            <v>入数</v>
          </cell>
          <cell r="N823">
            <v>0</v>
          </cell>
          <cell r="P823">
            <v>0</v>
          </cell>
          <cell r="U823" t="str">
            <v>000000000013825</v>
          </cell>
        </row>
        <row r="824">
          <cell r="M824" t="str">
            <v>作業者</v>
          </cell>
          <cell r="U824" t="str">
            <v>000000000013825</v>
          </cell>
        </row>
        <row r="825">
          <cell r="C825">
            <v>0</v>
          </cell>
          <cell r="U825" t="str">
            <v>000000000013825</v>
          </cell>
        </row>
        <row r="826">
          <cell r="R826">
            <v>0</v>
          </cell>
          <cell r="U826" t="str">
            <v>000000000013825</v>
          </cell>
        </row>
        <row r="827">
          <cell r="D827" t="str">
            <v>不良補填</v>
          </cell>
          <cell r="F827">
            <v>0</v>
          </cell>
          <cell r="U827" t="str">
            <v>000000000013825</v>
          </cell>
        </row>
        <row r="828">
          <cell r="C828" t="str">
            <v>8FL281304 5010　L=888</v>
          </cell>
          <cell r="P828">
            <v>0</v>
          </cell>
          <cell r="U828" t="str">
            <v>000000000013823</v>
          </cell>
        </row>
        <row r="829">
          <cell r="P829">
            <v>0</v>
          </cell>
          <cell r="U829" t="str">
            <v>000000000013823</v>
          </cell>
        </row>
        <row r="830">
          <cell r="P830">
            <v>0</v>
          </cell>
          <cell r="U830" t="str">
            <v>000000000013823</v>
          </cell>
        </row>
        <row r="831">
          <cell r="C831">
            <v>800</v>
          </cell>
          <cell r="P831">
            <v>0</v>
          </cell>
          <cell r="U831" t="str">
            <v>000000000013823</v>
          </cell>
        </row>
        <row r="832">
          <cell r="C832">
            <v>2</v>
          </cell>
          <cell r="P832">
            <v>0</v>
          </cell>
          <cell r="U832" t="str">
            <v>000000000013823</v>
          </cell>
        </row>
        <row r="833">
          <cell r="C833">
            <v>100</v>
          </cell>
          <cell r="M833" t="str">
            <v>合計</v>
          </cell>
          <cell r="N833">
            <v>0</v>
          </cell>
          <cell r="P833">
            <v>0</v>
          </cell>
          <cell r="U833" t="str">
            <v>000000000013823</v>
          </cell>
        </row>
        <row r="834">
          <cell r="C834" t="str">
            <v>LED-A888</v>
          </cell>
          <cell r="M834" t="str">
            <v>入数</v>
          </cell>
          <cell r="N834">
            <v>0</v>
          </cell>
          <cell r="P834">
            <v>0</v>
          </cell>
          <cell r="U834" t="str">
            <v>000000000013823</v>
          </cell>
        </row>
        <row r="835">
          <cell r="M835" t="str">
            <v>作業者</v>
          </cell>
          <cell r="U835" t="str">
            <v>000000000013823</v>
          </cell>
        </row>
        <row r="836">
          <cell r="C836">
            <v>0</v>
          </cell>
          <cell r="U836" t="str">
            <v>000000000013823</v>
          </cell>
        </row>
        <row r="837">
          <cell r="R837">
            <v>0</v>
          </cell>
          <cell r="U837" t="str">
            <v>000000000013823</v>
          </cell>
        </row>
        <row r="838">
          <cell r="D838" t="str">
            <v>不良補填</v>
          </cell>
          <cell r="F838">
            <v>0</v>
          </cell>
          <cell r="U838" t="str">
            <v>000000000013823</v>
          </cell>
        </row>
        <row r="839">
          <cell r="C839" t="str">
            <v>8FL281304 8310　L=748</v>
          </cell>
          <cell r="P839">
            <v>0</v>
          </cell>
          <cell r="U839" t="str">
            <v>000000000013819</v>
          </cell>
        </row>
        <row r="840">
          <cell r="P840">
            <v>0</v>
          </cell>
          <cell r="U840" t="str">
            <v>000000000013819</v>
          </cell>
        </row>
        <row r="841">
          <cell r="P841">
            <v>0</v>
          </cell>
          <cell r="U841" t="str">
            <v>000000000013819</v>
          </cell>
        </row>
        <row r="842">
          <cell r="C842">
            <v>400</v>
          </cell>
          <cell r="P842">
            <v>0</v>
          </cell>
          <cell r="U842" t="str">
            <v>000000000013819</v>
          </cell>
        </row>
        <row r="843">
          <cell r="C843">
            <v>2</v>
          </cell>
          <cell r="P843">
            <v>0</v>
          </cell>
          <cell r="U843" t="str">
            <v>000000000013819</v>
          </cell>
        </row>
        <row r="844">
          <cell r="C844">
            <v>100</v>
          </cell>
          <cell r="M844" t="str">
            <v>合計</v>
          </cell>
          <cell r="N844">
            <v>0</v>
          </cell>
          <cell r="P844">
            <v>0</v>
          </cell>
          <cell r="U844" t="str">
            <v>000000000013819</v>
          </cell>
        </row>
        <row r="845">
          <cell r="C845" t="str">
            <v>LED-A888</v>
          </cell>
          <cell r="M845" t="str">
            <v>入数</v>
          </cell>
          <cell r="N845">
            <v>0</v>
          </cell>
          <cell r="P845">
            <v>0</v>
          </cell>
          <cell r="U845" t="str">
            <v>000000000013819</v>
          </cell>
        </row>
        <row r="846">
          <cell r="M846" t="str">
            <v>作業者</v>
          </cell>
          <cell r="U846" t="str">
            <v>000000000013819</v>
          </cell>
        </row>
        <row r="847">
          <cell r="C847">
            <v>0</v>
          </cell>
          <cell r="U847" t="str">
            <v>000000000013819</v>
          </cell>
        </row>
        <row r="848">
          <cell r="R848">
            <v>0</v>
          </cell>
          <cell r="U848" t="str">
            <v>000000000013819</v>
          </cell>
        </row>
        <row r="849">
          <cell r="D849" t="str">
            <v>不良補填</v>
          </cell>
          <cell r="F849">
            <v>0</v>
          </cell>
          <cell r="U849" t="str">
            <v>000000000013819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855"/>
  <sheetViews>
    <sheetView tabSelected="1" topLeftCell="B155" workbookViewId="0">
      <selection activeCell="A551" sqref="A551:J568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6" t="s">
        <v>0</v>
      </c>
      <c r="C1" s="106"/>
      <c r="D1" s="10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6"/>
      <c r="C2" s="106"/>
      <c r="D2" s="106"/>
      <c r="E2" s="12"/>
      <c r="F2" s="12"/>
      <c r="G2" s="12"/>
      <c r="H2" s="12"/>
      <c r="I2" s="12"/>
      <c r="J2" s="12"/>
    </row>
    <row r="3" spans="1:10" ht="14.25" customHeight="1">
      <c r="A3" s="108" t="s">
        <v>1</v>
      </c>
      <c r="B3" s="108" t="s">
        <v>2</v>
      </c>
      <c r="C3" s="108" t="s">
        <v>3</v>
      </c>
      <c r="D3" s="131">
        <v>297</v>
      </c>
      <c r="E3" s="108" t="s">
        <v>4</v>
      </c>
      <c r="F3" s="109" t="s">
        <v>5</v>
      </c>
      <c r="G3" s="106"/>
      <c r="H3" s="106"/>
      <c r="I3" s="24" t="s">
        <v>6</v>
      </c>
      <c r="J3" s="24" t="s">
        <v>7</v>
      </c>
    </row>
    <row r="4" spans="1:10" ht="14.25" customHeight="1">
      <c r="A4" s="106"/>
      <c r="B4" s="106"/>
      <c r="C4" s="106"/>
      <c r="D4" s="106"/>
      <c r="E4" s="106"/>
      <c r="F4" s="106"/>
      <c r="G4" s="106"/>
      <c r="H4" s="106"/>
      <c r="I4" s="119"/>
      <c r="J4" s="119"/>
    </row>
    <row r="5" spans="1:10" ht="17.45" customHeight="1">
      <c r="A5" s="125" t="s">
        <v>8</v>
      </c>
      <c r="B5" s="125" t="s">
        <v>9</v>
      </c>
      <c r="E5" s="125" t="s">
        <v>10</v>
      </c>
      <c r="F5" s="140" t="s">
        <v>11</v>
      </c>
      <c r="G5" s="106"/>
      <c r="H5" s="106"/>
      <c r="I5" s="120"/>
      <c r="J5" s="120"/>
    </row>
    <row r="6" spans="1:10" ht="17.45" customHeight="1">
      <c r="A6" s="106"/>
      <c r="B6" s="106"/>
      <c r="E6" s="106"/>
      <c r="F6" s="106"/>
      <c r="G6" s="106"/>
      <c r="H6" s="106"/>
      <c r="I6" s="13"/>
      <c r="J6" s="13"/>
    </row>
    <row r="7" spans="1:10" ht="17.45" customHeight="1">
      <c r="A7" s="125" t="s">
        <v>12</v>
      </c>
      <c r="B7" s="125" t="s">
        <v>13</v>
      </c>
      <c r="E7" s="2" t="s">
        <v>14</v>
      </c>
      <c r="F7" s="140" t="s">
        <v>15</v>
      </c>
      <c r="G7" s="106"/>
      <c r="H7" s="21"/>
      <c r="I7" s="13"/>
      <c r="J7" s="13"/>
    </row>
    <row r="8" spans="1:10" ht="17.45" customHeight="1">
      <c r="A8" s="106"/>
      <c r="B8" s="10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46154</v>
      </c>
      <c r="E9" s="2" t="s">
        <v>19</v>
      </c>
      <c r="F9" s="141">
        <v>100</v>
      </c>
      <c r="G9" s="106"/>
      <c r="H9" s="21"/>
    </row>
    <row r="10" spans="1:10" ht="17.45" customHeight="1">
      <c r="A10" s="2" t="s">
        <v>20</v>
      </c>
      <c r="B10" s="4">
        <v>46154</v>
      </c>
      <c r="E10" s="2" t="s">
        <v>21</v>
      </c>
      <c r="F10" s="21">
        <v>3</v>
      </c>
      <c r="G10" s="133" t="s">
        <v>22</v>
      </c>
      <c r="H10" s="112">
        <v>300</v>
      </c>
      <c r="I10" s="113"/>
      <c r="J10" s="114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5"/>
      <c r="H11" s="115"/>
      <c r="I11" s="116"/>
      <c r="J11" s="117"/>
    </row>
    <row r="12" spans="1:10" ht="13.5" customHeight="1">
      <c r="A12" s="118" t="s">
        <v>25</v>
      </c>
      <c r="B12" s="106"/>
      <c r="C12" s="106"/>
      <c r="D12" s="20"/>
      <c r="F12" s="3"/>
      <c r="G12" s="132" t="s">
        <v>26</v>
      </c>
      <c r="H12" s="110" t="s">
        <v>27</v>
      </c>
      <c r="I12" s="129" t="s">
        <v>28</v>
      </c>
      <c r="J12" s="130"/>
    </row>
    <row r="13" spans="1:10" ht="13.5" customHeight="1">
      <c r="A13" s="106"/>
      <c r="B13" s="106"/>
      <c r="C13" s="106"/>
      <c r="D13" s="20"/>
      <c r="F13" s="3"/>
      <c r="G13" s="111"/>
      <c r="H13" s="111"/>
      <c r="I13" s="116"/>
      <c r="J13" s="117"/>
    </row>
    <row r="14" spans="1:10" ht="13.5" customHeight="1">
      <c r="A14" s="1" t="s">
        <v>29</v>
      </c>
    </row>
    <row r="15" spans="1:10" ht="63" customHeight="1" thickBot="1">
      <c r="A15" s="123"/>
      <c r="B15" s="124"/>
      <c r="C15" s="124"/>
      <c r="D15" s="124"/>
      <c r="E15" s="124"/>
      <c r="F15" s="124"/>
      <c r="G15" s="124"/>
      <c r="H15" s="124"/>
      <c r="I15" s="124"/>
      <c r="J15" s="124"/>
    </row>
    <row r="16" spans="1:10" ht="18.75">
      <c r="A16" s="23" t="s">
        <v>30</v>
      </c>
      <c r="B16" s="16" t="s">
        <v>31</v>
      </c>
      <c r="C16" s="134" t="s">
        <v>32</v>
      </c>
      <c r="D16" s="128"/>
      <c r="E16" s="16" t="s">
        <v>33</v>
      </c>
      <c r="F16" s="134" t="s">
        <v>34</v>
      </c>
      <c r="G16" s="128"/>
      <c r="H16" s="128"/>
      <c r="I16" s="127" t="s">
        <v>35</v>
      </c>
      <c r="J16" s="12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5" t="s">
        <v>37</v>
      </c>
      <c r="D18" s="142"/>
      <c r="E18" s="25" t="s">
        <v>38</v>
      </c>
      <c r="F18" s="105" t="s">
        <v>39</v>
      </c>
      <c r="G18" s="142"/>
      <c r="H18" s="142"/>
      <c r="I18" s="135"/>
      <c r="J18" s="142"/>
    </row>
    <row r="19" spans="1:10" s="7" customFormat="1" ht="16.5" customHeight="1">
      <c r="A19" s="22">
        <v>1</v>
      </c>
      <c r="B19" s="26" t="s">
        <v>36</v>
      </c>
      <c r="C19" s="105" t="s">
        <v>37</v>
      </c>
      <c r="D19" s="142"/>
      <c r="E19" s="25" t="s">
        <v>40</v>
      </c>
      <c r="F19" s="105" t="s">
        <v>41</v>
      </c>
      <c r="G19" s="142"/>
      <c r="H19" s="142"/>
      <c r="I19" s="135"/>
      <c r="J19" s="142"/>
    </row>
    <row r="20" spans="1:10" s="7" customFormat="1" ht="16.5" customHeight="1">
      <c r="A20" s="22"/>
      <c r="B20" s="26"/>
      <c r="C20" s="105"/>
      <c r="D20" s="142"/>
      <c r="E20" s="25"/>
      <c r="F20" s="105"/>
      <c r="G20" s="142"/>
      <c r="H20" s="142"/>
      <c r="I20" s="135"/>
      <c r="J20" s="142"/>
    </row>
    <row r="21" spans="1:10" s="7" customFormat="1" ht="16.5" customHeight="1">
      <c r="A21" s="22"/>
      <c r="B21" s="26"/>
      <c r="C21" s="105"/>
      <c r="D21" s="142"/>
      <c r="E21" s="25"/>
      <c r="F21" s="105"/>
      <c r="G21" s="142"/>
      <c r="H21" s="142"/>
      <c r="I21" s="135"/>
      <c r="J21" s="142"/>
    </row>
    <row r="22" spans="1:10" s="7" customFormat="1" ht="16.5" customHeight="1">
      <c r="A22" s="22"/>
      <c r="B22" s="26"/>
      <c r="C22" s="105"/>
      <c r="D22" s="142"/>
      <c r="E22" s="25"/>
      <c r="F22" s="105"/>
      <c r="G22" s="142"/>
      <c r="H22" s="142"/>
      <c r="I22" s="135"/>
      <c r="J22" s="142"/>
    </row>
    <row r="23" spans="1:10" s="7" customFormat="1" ht="16.5" customHeight="1">
      <c r="A23" s="22"/>
      <c r="B23" s="26"/>
      <c r="C23" s="105"/>
      <c r="D23" s="142"/>
      <c r="E23" s="25"/>
      <c r="F23" s="105"/>
      <c r="G23" s="142"/>
      <c r="H23" s="142"/>
      <c r="I23" s="135"/>
      <c r="J23" s="142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1" t="s">
        <v>42</v>
      </c>
      <c r="B25" s="122"/>
      <c r="C25" s="121" t="s">
        <v>43</v>
      </c>
      <c r="D25" s="122"/>
      <c r="E25" s="122"/>
      <c r="F25" s="17" t="s">
        <v>44</v>
      </c>
      <c r="G25" s="121" t="s">
        <v>45</v>
      </c>
      <c r="H25" s="122"/>
      <c r="I25" s="121" t="s">
        <v>46</v>
      </c>
      <c r="J25" s="122"/>
    </row>
    <row r="26" spans="1:10" ht="14.25" customHeight="1">
      <c r="A26" s="8"/>
      <c r="B26" s="18"/>
      <c r="C26" s="143" t="s">
        <v>47</v>
      </c>
      <c r="D26" s="116"/>
      <c r="E26" s="18"/>
      <c r="F26" s="143" t="s">
        <v>29</v>
      </c>
      <c r="G26" s="116"/>
      <c r="H26" s="116"/>
      <c r="I26" s="116"/>
      <c r="J26" s="116"/>
    </row>
    <row r="27" spans="1:10">
      <c r="A27" s="9"/>
      <c r="C27" s="7"/>
      <c r="D27" s="7"/>
      <c r="E27" s="7"/>
    </row>
    <row r="28" spans="1:10" s="5" customFormat="1" ht="14.25" customHeight="1">
      <c r="A28" s="105" t="s">
        <v>48</v>
      </c>
      <c r="B28" s="139"/>
      <c r="C28" s="105" t="s">
        <v>49</v>
      </c>
      <c r="D28" s="139"/>
      <c r="E28" s="139"/>
      <c r="F28" s="27" t="s">
        <v>50</v>
      </c>
      <c r="G28" s="107">
        <v>50.1</v>
      </c>
      <c r="H28" s="139"/>
      <c r="I28" s="107">
        <v>0.501</v>
      </c>
      <c r="J28" s="139"/>
    </row>
    <row r="29" spans="1:10" s="7" customFormat="1" ht="24.95" customHeight="1">
      <c r="A29" s="126" t="s">
        <v>51</v>
      </c>
      <c r="B29" s="142"/>
      <c r="C29" s="105"/>
      <c r="D29" s="142"/>
      <c r="E29" s="142"/>
      <c r="F29" s="105"/>
      <c r="G29" s="142"/>
      <c r="H29" s="142"/>
      <c r="I29" s="142"/>
      <c r="J29" s="142"/>
    </row>
    <row r="30" spans="1:10" s="5" customFormat="1" ht="14.25" customHeight="1">
      <c r="A30" s="105" t="s">
        <v>52</v>
      </c>
      <c r="B30" s="139"/>
      <c r="C30" s="105" t="s">
        <v>53</v>
      </c>
      <c r="D30" s="139"/>
      <c r="E30" s="139"/>
      <c r="F30" s="27" t="s">
        <v>54</v>
      </c>
      <c r="G30" s="107">
        <v>3</v>
      </c>
      <c r="H30" s="139"/>
      <c r="I30" s="107">
        <v>0.03</v>
      </c>
      <c r="J30" s="139"/>
    </row>
    <row r="31" spans="1:10" s="7" customFormat="1" ht="24.95" customHeight="1">
      <c r="A31" s="126" t="s">
        <v>55</v>
      </c>
      <c r="B31" s="142"/>
      <c r="C31" s="105" t="s">
        <v>56</v>
      </c>
      <c r="D31" s="142"/>
      <c r="E31" s="142"/>
      <c r="F31" s="105"/>
      <c r="G31" s="142"/>
      <c r="H31" s="142"/>
      <c r="I31" s="142"/>
      <c r="J31" s="142"/>
    </row>
    <row r="32" spans="1:10" s="5" customFormat="1" ht="14.25" customHeight="1">
      <c r="A32" s="105" t="s">
        <v>57</v>
      </c>
      <c r="B32" s="139"/>
      <c r="C32" s="105" t="s">
        <v>58</v>
      </c>
      <c r="D32" s="139"/>
      <c r="E32" s="139"/>
      <c r="F32" s="27"/>
      <c r="G32" s="107">
        <v>0.3</v>
      </c>
      <c r="H32" s="139"/>
      <c r="I32" s="107">
        <v>3.0000000000000001E-3</v>
      </c>
      <c r="J32" s="139"/>
    </row>
    <row r="33" spans="1:14" s="7" customFormat="1" ht="24.95" customHeight="1">
      <c r="A33" s="126" t="s">
        <v>59</v>
      </c>
      <c r="B33" s="142"/>
      <c r="C33" s="105" t="s">
        <v>60</v>
      </c>
      <c r="D33" s="142"/>
      <c r="E33" s="142"/>
      <c r="F33" s="105"/>
      <c r="G33" s="142"/>
      <c r="H33" s="142"/>
      <c r="I33" s="142"/>
      <c r="J33" s="142"/>
    </row>
    <row r="34" spans="1:14" s="5" customFormat="1" ht="14.25" customHeight="1">
      <c r="A34" s="105" t="s">
        <v>61</v>
      </c>
      <c r="B34" s="139"/>
      <c r="C34" s="105" t="s">
        <v>62</v>
      </c>
      <c r="D34" s="139"/>
      <c r="E34" s="139"/>
      <c r="F34" s="27"/>
      <c r="G34" s="107">
        <v>0.3</v>
      </c>
      <c r="H34" s="139"/>
      <c r="I34" s="107">
        <v>3.0000000000000001E-3</v>
      </c>
      <c r="J34" s="139"/>
    </row>
    <row r="35" spans="1:14" s="7" customFormat="1" ht="24.95" customHeight="1">
      <c r="A35" s="126" t="s">
        <v>63</v>
      </c>
      <c r="B35" s="142"/>
      <c r="C35" s="105" t="s">
        <v>64</v>
      </c>
      <c r="D35" s="142"/>
      <c r="E35" s="142"/>
      <c r="F35" s="105"/>
      <c r="G35" s="142"/>
      <c r="H35" s="142"/>
      <c r="I35" s="142"/>
      <c r="J35" s="142"/>
    </row>
    <row r="36" spans="1:14" s="5" customFormat="1" ht="14.25" customHeight="1">
      <c r="A36" s="105"/>
      <c r="B36" s="139"/>
      <c r="C36" s="105"/>
      <c r="D36" s="139"/>
      <c r="E36" s="139"/>
      <c r="F36" s="27"/>
      <c r="G36" s="107"/>
      <c r="H36" s="139"/>
      <c r="I36" s="107"/>
      <c r="J36" s="139"/>
    </row>
    <row r="37" spans="1:14" s="7" customFormat="1" ht="24.95" customHeight="1" thickBot="1">
      <c r="A37" s="126"/>
      <c r="B37" s="142"/>
      <c r="C37" s="105"/>
      <c r="D37" s="142"/>
      <c r="E37" s="142"/>
      <c r="F37" s="105"/>
      <c r="G37" s="142"/>
      <c r="H37" s="142"/>
      <c r="I37" s="142"/>
      <c r="J37" s="142"/>
    </row>
    <row r="38" spans="1:14" s="5" customFormat="1" ht="18" customHeight="1">
      <c r="A38" s="28" t="s">
        <v>124</v>
      </c>
      <c r="B38" s="29" t="s">
        <v>125</v>
      </c>
      <c r="C38" s="148" t="s">
        <v>126</v>
      </c>
      <c r="D38" s="149"/>
      <c r="E38" s="30" t="s">
        <v>127</v>
      </c>
      <c r="F38" s="31" t="s">
        <v>128</v>
      </c>
      <c r="G38" s="32" t="s">
        <v>129</v>
      </c>
      <c r="H38" s="33" t="s">
        <v>130</v>
      </c>
      <c r="I38" s="137" t="s">
        <v>131</v>
      </c>
      <c r="J38" s="138"/>
    </row>
    <row r="39" spans="1:14" s="7" customFormat="1" ht="18" customHeight="1">
      <c r="A39" s="34" t="str">
        <f>_xlfn.XLOOKUP(B3,[1]VFDB2!$A:$A,[1]VFDB2!$J:$J)</f>
        <v>〇</v>
      </c>
      <c r="B39" s="35">
        <f>D3</f>
        <v>297</v>
      </c>
      <c r="C39" s="150" t="str">
        <f>_xlfn.XLOOKUP(B3,[1]VFDB2!$A:$A,[1]VFDB2!$Z:$Z)</f>
        <v>LED-A300</v>
      </c>
      <c r="D39" s="151"/>
      <c r="E39" s="146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132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133</v>
      </c>
      <c r="B40" s="45" t="s">
        <v>134</v>
      </c>
      <c r="C40" s="150"/>
      <c r="D40" s="151"/>
      <c r="E40" s="146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135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+0.5</v>
      </c>
      <c r="B41" s="49" t="str">
        <f>_xlfn.XLOOKUP(B3,[1]VFDB2!$A:$A,[1]VFDB2!$AC:$AC)</f>
        <v>換算表確認</v>
      </c>
      <c r="C41" s="147" t="s">
        <v>136</v>
      </c>
      <c r="D41" s="144" t="str">
        <f>_xlfn.XLOOKUP(B3,[1]VFDB2!$A:$A,[1]VFDB2!$W:$W)</f>
        <v>クラフト紙：592型　1/2</v>
      </c>
      <c r="E41" s="144"/>
      <c r="F41" s="145"/>
      <c r="G41" s="37"/>
      <c r="H41" s="38"/>
      <c r="I41" s="39" t="s">
        <v>137</v>
      </c>
      <c r="J41" s="41" t="str">
        <v/>
      </c>
      <c r="K41" s="50"/>
    </row>
    <row r="42" spans="1:14" s="5" customFormat="1" ht="18" customHeight="1">
      <c r="A42" s="51" t="s">
        <v>138</v>
      </c>
      <c r="B42" s="52" t="s">
        <v>139</v>
      </c>
      <c r="C42" s="147"/>
      <c r="D42" s="144" t="str">
        <f>_xlfn.XLOOKUP(B3,[1]VFDB2!$A:$A,[1]VFDB2!$R:$R)</f>
        <v>ラベル１枚　長手無　鉢巻１回</v>
      </c>
      <c r="E42" s="144"/>
      <c r="F42" s="145"/>
      <c r="G42" s="37"/>
      <c r="H42" s="38"/>
      <c r="I42" s="39" t="s">
        <v>140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－0.5</v>
      </c>
      <c r="B43" s="54">
        <f>_xlfn.XLOOKUP(B3,[1]VFDB2!$A:$A,[1]VFDB2!$P:$P)</f>
        <v>6</v>
      </c>
      <c r="C43" s="55" t="s">
        <v>141</v>
      </c>
      <c r="D43" s="152" t="str">
        <f>_xlfn.XLOOKUP(B3,[1]VFDB2!$A:$A,[1]VFDB2!$V:$V)</f>
        <v>1箱目の梱包数 目視確認　以降、重量測定</v>
      </c>
      <c r="E43" s="152"/>
      <c r="F43" s="153"/>
      <c r="G43" s="56"/>
      <c r="H43" s="57"/>
      <c r="I43" s="39" t="s">
        <v>142</v>
      </c>
      <c r="J43" s="42" t="str">
        <v/>
      </c>
      <c r="K43" s="50"/>
    </row>
    <row r="44" spans="1:14" s="5" customFormat="1" ht="18" customHeight="1" thickBot="1">
      <c r="A44" s="58" t="s">
        <v>143</v>
      </c>
      <c r="B44" s="59" t="str" cm="1">
        <f t="array" ref="B44">IF(SUM(--(ISTEXT(B45:B55)*(B45:B55&lt;&gt;"")))=0,"計測Lot","計測Lot・加工数")</f>
        <v>計測Lot</v>
      </c>
      <c r="C44" s="60" t="s">
        <v>144</v>
      </c>
      <c r="D44" s="61" t="s">
        <v>145</v>
      </c>
      <c r="E44" s="62" t="s">
        <v>146</v>
      </c>
      <c r="F44" s="63" t="str" cm="1">
        <f t="array" ref="F44">IF(SUM(--(ISTEXT(B45:B55)*(B45:B55&lt;&gt;"")))=0,"記入不要","使用Lot")</f>
        <v>記入不要</v>
      </c>
      <c r="G44" s="64" t="s">
        <v>147</v>
      </c>
      <c r="H44" s="65" t="s">
        <v>148</v>
      </c>
      <c r="I44" s="66" t="s">
        <v>149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54" t="s">
        <v>150</v>
      </c>
      <c r="J45" s="155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151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152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153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154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155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156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157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158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159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160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36" t="s">
        <v>0</v>
      </c>
      <c r="C58" s="106"/>
      <c r="D58" s="106"/>
      <c r="E58" s="11"/>
      <c r="F58" s="11"/>
      <c r="G58" s="11"/>
      <c r="H58" s="11"/>
      <c r="I58" s="11"/>
      <c r="J58" s="11"/>
    </row>
    <row r="59" spans="1:14" ht="14.25" customHeight="1">
      <c r="A59" s="12"/>
      <c r="B59" s="106"/>
      <c r="C59" s="106"/>
      <c r="D59" s="106"/>
      <c r="E59" s="12"/>
      <c r="F59" s="12"/>
      <c r="G59" s="12"/>
      <c r="H59" s="12"/>
      <c r="I59" s="12"/>
      <c r="J59" s="12"/>
    </row>
    <row r="60" spans="1:14" ht="14.25" customHeight="1">
      <c r="A60" s="108" t="s">
        <v>1</v>
      </c>
      <c r="B60" s="108" t="s">
        <v>2</v>
      </c>
      <c r="C60" s="108" t="s">
        <v>3</v>
      </c>
      <c r="D60" s="131">
        <v>297</v>
      </c>
      <c r="E60" s="108" t="s">
        <v>4</v>
      </c>
      <c r="F60" s="109" t="s">
        <v>5</v>
      </c>
      <c r="G60" s="106"/>
      <c r="H60" s="106"/>
      <c r="I60" s="24" t="s">
        <v>6</v>
      </c>
      <c r="J60" s="24" t="s">
        <v>7</v>
      </c>
    </row>
    <row r="61" spans="1:14" ht="14.25" customHeight="1">
      <c r="A61" s="106"/>
      <c r="B61" s="106"/>
      <c r="C61" s="106"/>
      <c r="D61" s="106"/>
      <c r="E61" s="106"/>
      <c r="F61" s="106"/>
      <c r="G61" s="106"/>
      <c r="H61" s="106"/>
      <c r="I61" s="119"/>
      <c r="J61" s="119"/>
    </row>
    <row r="62" spans="1:14" ht="17.45" customHeight="1">
      <c r="A62" s="125" t="s">
        <v>8</v>
      </c>
      <c r="B62" s="125" t="s">
        <v>65</v>
      </c>
      <c r="E62" s="125" t="s">
        <v>10</v>
      </c>
      <c r="F62" s="140" t="s">
        <v>11</v>
      </c>
      <c r="G62" s="106"/>
      <c r="H62" s="106"/>
      <c r="I62" s="120"/>
      <c r="J62" s="120"/>
    </row>
    <row r="63" spans="1:14" ht="17.45" customHeight="1">
      <c r="A63" s="106"/>
      <c r="B63" s="106"/>
      <c r="E63" s="106"/>
      <c r="F63" s="106"/>
      <c r="G63" s="106"/>
      <c r="H63" s="106"/>
      <c r="I63" s="13"/>
      <c r="J63" s="13"/>
    </row>
    <row r="64" spans="1:14" ht="17.45" customHeight="1">
      <c r="A64" s="125" t="s">
        <v>12</v>
      </c>
      <c r="B64" s="125" t="s">
        <v>66</v>
      </c>
      <c r="E64" s="2" t="s">
        <v>14</v>
      </c>
      <c r="F64" s="140" t="s">
        <v>15</v>
      </c>
      <c r="G64" s="106"/>
      <c r="H64" s="21"/>
      <c r="I64" s="13"/>
      <c r="J64" s="13"/>
    </row>
    <row r="65" spans="1:10" ht="17.45" customHeight="1">
      <c r="A65" s="106"/>
      <c r="B65" s="106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46154</v>
      </c>
      <c r="E66" s="2" t="s">
        <v>19</v>
      </c>
      <c r="F66" s="141">
        <v>100</v>
      </c>
      <c r="G66" s="106"/>
      <c r="H66" s="21"/>
    </row>
    <row r="67" spans="1:10" ht="17.45" customHeight="1">
      <c r="A67" s="2" t="s">
        <v>20</v>
      </c>
      <c r="B67" s="4">
        <v>46154</v>
      </c>
      <c r="E67" s="2" t="s">
        <v>21</v>
      </c>
      <c r="F67" s="21">
        <v>2</v>
      </c>
      <c r="G67" s="133" t="s">
        <v>22</v>
      </c>
      <c r="H67" s="112">
        <v>200</v>
      </c>
      <c r="I67" s="113"/>
      <c r="J67" s="114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15"/>
      <c r="H68" s="115"/>
      <c r="I68" s="116"/>
      <c r="J68" s="117"/>
    </row>
    <row r="69" spans="1:10" ht="13.5" customHeight="1">
      <c r="A69" s="118" t="s">
        <v>25</v>
      </c>
      <c r="B69" s="106"/>
      <c r="C69" s="106"/>
      <c r="D69" s="20"/>
      <c r="F69" s="3"/>
      <c r="G69" s="132" t="s">
        <v>26</v>
      </c>
      <c r="H69" s="110" t="s">
        <v>27</v>
      </c>
      <c r="I69" s="129" t="s">
        <v>28</v>
      </c>
      <c r="J69" s="130"/>
    </row>
    <row r="70" spans="1:10" ht="13.5" customHeight="1">
      <c r="A70" s="106"/>
      <c r="B70" s="106"/>
      <c r="C70" s="106"/>
      <c r="D70" s="20"/>
      <c r="F70" s="3"/>
      <c r="G70" s="111"/>
      <c r="H70" s="111"/>
      <c r="I70" s="116"/>
      <c r="J70" s="117"/>
    </row>
    <row r="71" spans="1:10" ht="13.5" customHeight="1">
      <c r="A71" s="1" t="s">
        <v>29</v>
      </c>
    </row>
    <row r="72" spans="1:10" ht="63" customHeight="1">
      <c r="A72" s="123"/>
      <c r="B72" s="124"/>
      <c r="C72" s="124"/>
      <c r="D72" s="124"/>
      <c r="E72" s="124"/>
      <c r="F72" s="124"/>
      <c r="G72" s="124"/>
      <c r="H72" s="124"/>
      <c r="I72" s="124"/>
      <c r="J72" s="124"/>
    </row>
    <row r="73" spans="1:10" ht="18.75">
      <c r="A73" s="23" t="s">
        <v>30</v>
      </c>
      <c r="B73" s="16" t="s">
        <v>31</v>
      </c>
      <c r="C73" s="134" t="s">
        <v>32</v>
      </c>
      <c r="D73" s="128"/>
      <c r="E73" s="16" t="s">
        <v>33</v>
      </c>
      <c r="F73" s="134" t="s">
        <v>34</v>
      </c>
      <c r="G73" s="128"/>
      <c r="H73" s="128"/>
      <c r="I73" s="127" t="s">
        <v>35</v>
      </c>
      <c r="J73" s="128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05" t="s">
        <v>37</v>
      </c>
      <c r="D75" s="106"/>
      <c r="E75" s="25" t="s">
        <v>38</v>
      </c>
      <c r="F75" s="105" t="s">
        <v>39</v>
      </c>
      <c r="G75" s="106"/>
      <c r="H75" s="106"/>
      <c r="I75" s="135"/>
      <c r="J75" s="106"/>
    </row>
    <row r="76" spans="1:10" ht="16.5" customHeight="1">
      <c r="A76" s="22">
        <v>1</v>
      </c>
      <c r="B76" s="26" t="s">
        <v>36</v>
      </c>
      <c r="C76" s="105" t="s">
        <v>37</v>
      </c>
      <c r="D76" s="106"/>
      <c r="E76" s="25" t="s">
        <v>40</v>
      </c>
      <c r="F76" s="105" t="s">
        <v>41</v>
      </c>
      <c r="G76" s="106"/>
      <c r="H76" s="106"/>
      <c r="I76" s="135"/>
      <c r="J76" s="106"/>
    </row>
    <row r="77" spans="1:10" ht="16.5" customHeight="1">
      <c r="A77" s="22"/>
      <c r="B77" s="26"/>
      <c r="C77" s="105"/>
      <c r="D77" s="106"/>
      <c r="E77" s="25"/>
      <c r="F77" s="105"/>
      <c r="G77" s="106"/>
      <c r="H77" s="106"/>
      <c r="I77" s="135"/>
      <c r="J77" s="106"/>
    </row>
    <row r="78" spans="1:10" ht="16.5" customHeight="1">
      <c r="A78" s="22"/>
      <c r="B78" s="26"/>
      <c r="C78" s="105"/>
      <c r="D78" s="106"/>
      <c r="E78" s="25"/>
      <c r="F78" s="105"/>
      <c r="G78" s="106"/>
      <c r="H78" s="106"/>
      <c r="I78" s="135"/>
      <c r="J78" s="106"/>
    </row>
    <row r="79" spans="1:10" ht="16.5" customHeight="1">
      <c r="A79" s="22"/>
      <c r="B79" s="26"/>
      <c r="C79" s="105"/>
      <c r="D79" s="106"/>
      <c r="E79" s="25"/>
      <c r="F79" s="105"/>
      <c r="G79" s="106"/>
      <c r="H79" s="106"/>
      <c r="I79" s="135"/>
      <c r="J79" s="106"/>
    </row>
    <row r="80" spans="1:10" ht="16.5" customHeight="1">
      <c r="A80" s="22"/>
      <c r="B80" s="26"/>
      <c r="C80" s="105"/>
      <c r="D80" s="106"/>
      <c r="E80" s="25"/>
      <c r="F80" s="105"/>
      <c r="G80" s="106"/>
      <c r="H80" s="106"/>
      <c r="I80" s="135"/>
      <c r="J80" s="106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21" t="s">
        <v>42</v>
      </c>
      <c r="B82" s="122"/>
      <c r="C82" s="121" t="s">
        <v>43</v>
      </c>
      <c r="D82" s="122"/>
      <c r="E82" s="122"/>
      <c r="F82" s="17" t="s">
        <v>44</v>
      </c>
      <c r="G82" s="121" t="s">
        <v>45</v>
      </c>
      <c r="H82" s="122"/>
      <c r="I82" s="121" t="s">
        <v>46</v>
      </c>
      <c r="J82" s="122"/>
    </row>
    <row r="83" spans="1:10" ht="14.25" customHeight="1">
      <c r="A83" s="8"/>
      <c r="B83" s="18"/>
      <c r="C83" s="143" t="s">
        <v>47</v>
      </c>
      <c r="D83" s="116"/>
      <c r="E83" s="18"/>
      <c r="F83" s="143" t="s">
        <v>29</v>
      </c>
      <c r="G83" s="116"/>
      <c r="H83" s="116"/>
      <c r="I83" s="116"/>
      <c r="J83" s="116"/>
    </row>
    <row r="84" spans="1:10">
      <c r="A84" s="9"/>
      <c r="C84" s="7"/>
      <c r="D84" s="7"/>
      <c r="E84" s="7"/>
    </row>
    <row r="85" spans="1:10" ht="14.25" customHeight="1">
      <c r="A85" s="105" t="s">
        <v>48</v>
      </c>
      <c r="B85" s="106"/>
      <c r="C85" s="105" t="s">
        <v>49</v>
      </c>
      <c r="D85" s="106"/>
      <c r="E85" s="106"/>
      <c r="F85" s="27" t="s">
        <v>50</v>
      </c>
      <c r="G85" s="107">
        <v>33.4</v>
      </c>
      <c r="H85" s="106"/>
      <c r="I85" s="107">
        <v>0.33400000000000002</v>
      </c>
      <c r="J85" s="106"/>
    </row>
    <row r="86" spans="1:10" ht="24.95" customHeight="1">
      <c r="A86" s="126" t="s">
        <v>51</v>
      </c>
      <c r="B86" s="106"/>
      <c r="C86" s="105"/>
      <c r="D86" s="106"/>
      <c r="E86" s="106"/>
      <c r="F86" s="105"/>
      <c r="G86" s="106"/>
      <c r="H86" s="106"/>
      <c r="I86" s="106"/>
      <c r="J86" s="106"/>
    </row>
    <row r="87" spans="1:10" ht="14.25" customHeight="1">
      <c r="A87" s="105" t="s">
        <v>52</v>
      </c>
      <c r="B87" s="106"/>
      <c r="C87" s="105" t="s">
        <v>53</v>
      </c>
      <c r="D87" s="106"/>
      <c r="E87" s="106"/>
      <c r="F87" s="27" t="s">
        <v>54</v>
      </c>
      <c r="G87" s="107">
        <v>2</v>
      </c>
      <c r="H87" s="106"/>
      <c r="I87" s="107">
        <v>0.02</v>
      </c>
      <c r="J87" s="106"/>
    </row>
    <row r="88" spans="1:10" ht="24.95" customHeight="1">
      <c r="A88" s="126" t="s">
        <v>55</v>
      </c>
      <c r="B88" s="106"/>
      <c r="C88" s="105" t="s">
        <v>56</v>
      </c>
      <c r="D88" s="106"/>
      <c r="E88" s="106"/>
      <c r="F88" s="105"/>
      <c r="G88" s="106"/>
      <c r="H88" s="106"/>
      <c r="I88" s="106"/>
      <c r="J88" s="106"/>
    </row>
    <row r="89" spans="1:10" ht="14.25" customHeight="1">
      <c r="A89" s="105" t="s">
        <v>57</v>
      </c>
      <c r="B89" s="106"/>
      <c r="C89" s="105" t="s">
        <v>58</v>
      </c>
      <c r="D89" s="106"/>
      <c r="E89" s="106"/>
      <c r="F89" s="27"/>
      <c r="G89" s="107">
        <v>0.2</v>
      </c>
      <c r="H89" s="106"/>
      <c r="I89" s="107">
        <v>2E-3</v>
      </c>
      <c r="J89" s="106"/>
    </row>
    <row r="90" spans="1:10" ht="24.95" customHeight="1">
      <c r="A90" s="126" t="s">
        <v>59</v>
      </c>
      <c r="B90" s="106"/>
      <c r="C90" s="105" t="s">
        <v>60</v>
      </c>
      <c r="D90" s="106"/>
      <c r="E90" s="106"/>
      <c r="F90" s="105"/>
      <c r="G90" s="106"/>
      <c r="H90" s="106"/>
      <c r="I90" s="106"/>
      <c r="J90" s="106"/>
    </row>
    <row r="91" spans="1:10" ht="14.25" customHeight="1">
      <c r="A91" s="105" t="s">
        <v>61</v>
      </c>
      <c r="B91" s="106"/>
      <c r="C91" s="105" t="s">
        <v>62</v>
      </c>
      <c r="D91" s="106"/>
      <c r="E91" s="106"/>
      <c r="F91" s="27"/>
      <c r="G91" s="107">
        <v>0.2</v>
      </c>
      <c r="H91" s="106"/>
      <c r="I91" s="107">
        <v>2E-3</v>
      </c>
      <c r="J91" s="106"/>
    </row>
    <row r="92" spans="1:10" ht="24.95" customHeight="1">
      <c r="A92" s="126" t="s">
        <v>63</v>
      </c>
      <c r="B92" s="106"/>
      <c r="C92" s="105" t="s">
        <v>64</v>
      </c>
      <c r="D92" s="106"/>
      <c r="E92" s="106"/>
      <c r="F92" s="105"/>
      <c r="G92" s="106"/>
      <c r="H92" s="106"/>
      <c r="I92" s="106"/>
      <c r="J92" s="106"/>
    </row>
    <row r="93" spans="1:10" ht="14.25" customHeight="1">
      <c r="A93" s="105"/>
      <c r="B93" s="106"/>
      <c r="C93" s="105"/>
      <c r="D93" s="106"/>
      <c r="E93" s="106"/>
      <c r="F93" s="27"/>
      <c r="G93" s="107"/>
      <c r="H93" s="106"/>
      <c r="I93" s="107"/>
      <c r="J93" s="106"/>
    </row>
    <row r="94" spans="1:10" ht="24.95" customHeight="1" thickBot="1">
      <c r="A94" s="126"/>
      <c r="B94" s="106"/>
      <c r="C94" s="105"/>
      <c r="D94" s="106"/>
      <c r="E94" s="106"/>
      <c r="F94" s="105"/>
      <c r="G94" s="106"/>
      <c r="H94" s="106"/>
      <c r="I94" s="106"/>
      <c r="J94" s="106"/>
    </row>
    <row r="95" spans="1:10" s="5" customFormat="1" ht="18" customHeight="1">
      <c r="A95" s="28" t="s">
        <v>124</v>
      </c>
      <c r="B95" s="29" t="s">
        <v>125</v>
      </c>
      <c r="C95" s="148" t="s">
        <v>126</v>
      </c>
      <c r="D95" s="149"/>
      <c r="E95" s="30" t="s">
        <v>127</v>
      </c>
      <c r="F95" s="31" t="s">
        <v>128</v>
      </c>
      <c r="G95" s="32" t="s">
        <v>129</v>
      </c>
      <c r="H95" s="33" t="s">
        <v>130</v>
      </c>
      <c r="I95" s="137" t="s">
        <v>131</v>
      </c>
      <c r="J95" s="138"/>
    </row>
    <row r="96" spans="1:10" s="7" customFormat="1" ht="18" customHeight="1">
      <c r="A96" s="34" t="str">
        <f>_xlfn.XLOOKUP(B60,[3]VFDB2!$A:$A,[3]VFDB2!$J:$J)</f>
        <v>〇</v>
      </c>
      <c r="B96" s="35">
        <f>D60</f>
        <v>297</v>
      </c>
      <c r="C96" s="150" t="str">
        <f>_xlfn.XLOOKUP(B60,[3]VFDB2!$A:$A,[3]VFDB2!$Z:$Z)</f>
        <v>LED-A300</v>
      </c>
      <c r="D96" s="151"/>
      <c r="E96" s="146" cm="1">
        <f t="array" ref="E96">IFERROR(INDEX(_xlfn._xlws.FILTER([4]加工記録２!C:C,[4]加工記録２!U:U=B62),9),"")</f>
        <v>2</v>
      </c>
      <c r="F96" s="36" t="str" cm="1">
        <f t="array" ref="F96">IFERROR("切断加工：" &amp;_xlfn.TEXTJOIN(" / ",TRUE,INDEX(_xlfn._xlws.FILTER([4]加工記録２!M:M,[4]加工記録２!U:U=B62),9),INDEX(_xlfn._xlws.FILTER([4]加工記録２!N:N,[4]加工記録２!U:U=B62),9)),"")</f>
        <v>切断加工：I</v>
      </c>
      <c r="G96" s="37" cm="1">
        <f t="array" ref="G96:H100">IFERROR(IF(_xlfn.TAKE(_xlfn._xlws.FILTER([4]加工記録２!$M:$N,[4]加工記録２!$U:$U=B62),5)=0,"",_xlfn.TAKE(_xlfn._xlws.FILTER([4]加工記録２!$M:$N,[4]加工記録２!$U:$U=B62),5)),"")</f>
        <v>46135</v>
      </c>
      <c r="H96" s="38">
        <v>2</v>
      </c>
      <c r="I96" s="39" t="s">
        <v>132</v>
      </c>
      <c r="J96" s="40" cm="1">
        <f t="array" ref="J96:J101">IFERROR(INDEX(_xlfn._xlws.FILTER([4]加工記録２!P:P, [4]加工記録２!U:U=B62),_xlfn.SEQUENCE(6)),"")</f>
        <v>46135</v>
      </c>
    </row>
    <row r="97" spans="1:14" s="5" customFormat="1" ht="18" customHeight="1">
      <c r="A97" s="44" t="s">
        <v>133</v>
      </c>
      <c r="B97" s="45" t="s">
        <v>134</v>
      </c>
      <c r="C97" s="150"/>
      <c r="D97" s="151"/>
      <c r="E97" s="146"/>
      <c r="F97" s="46" t="str" cm="1">
        <f t="array" ref="F97">IFERROR("外観検査：" &amp;_xlfn.TEXTJOIN(" / ",TRUE,INDEX(_xlfn._xlws.FILTER([4]加工記録２!M:M,[4]加工記録２!U:U=B62),10),INDEX(_xlfn._xlws.FILTER([4]加工記録２!N:N,[4]加工記録２!U:U=B62),10)),"")</f>
        <v>外観検査：T</v>
      </c>
      <c r="G97" s="37" t="str">
        <v/>
      </c>
      <c r="H97" s="38" t="str">
        <v/>
      </c>
      <c r="I97" s="39" t="s">
        <v>135</v>
      </c>
      <c r="J97" s="41">
        <v>200</v>
      </c>
      <c r="K97" s="47"/>
    </row>
    <row r="98" spans="1:14" s="7" customFormat="1" ht="18" customHeight="1">
      <c r="A98" s="48" t="str">
        <f>_xlfn.XLOOKUP(B60,[3]VFDB2!$A:$A,[3]VFDB2!$L:$L)</f>
        <v>+0.5</v>
      </c>
      <c r="B98" s="49" t="str">
        <f>_xlfn.XLOOKUP(B60,[3]VFDB2!$A:$A,[3]VFDB2!$AC:$AC)</f>
        <v>換算表確認</v>
      </c>
      <c r="C98" s="147" t="s">
        <v>136</v>
      </c>
      <c r="D98" s="144" t="str">
        <f>_xlfn.XLOOKUP(B60,[3]VFDB2!$A:$A,[3]VFDB2!$W:$W)</f>
        <v>クラフト紙：592型　1/2</v>
      </c>
      <c r="E98" s="144"/>
      <c r="F98" s="145"/>
      <c r="G98" s="37" t="str">
        <v/>
      </c>
      <c r="H98" s="38" t="str">
        <v/>
      </c>
      <c r="I98" s="39" t="s">
        <v>137</v>
      </c>
      <c r="J98" s="41">
        <v>34</v>
      </c>
      <c r="K98" s="50"/>
    </row>
    <row r="99" spans="1:14" s="5" customFormat="1" ht="18" customHeight="1">
      <c r="A99" s="51" t="s">
        <v>138</v>
      </c>
      <c r="B99" s="52" t="s">
        <v>139</v>
      </c>
      <c r="C99" s="147"/>
      <c r="D99" s="144" t="str">
        <f>_xlfn.XLOOKUP(B60,[3]VFDB2!$A:$A,[3]VFDB2!$R:$R)</f>
        <v>ラベル１枚　長手無　鉢巻１回</v>
      </c>
      <c r="E99" s="144"/>
      <c r="F99" s="145"/>
      <c r="G99" s="37" t="str">
        <v/>
      </c>
      <c r="H99" s="38" t="str">
        <v/>
      </c>
      <c r="I99" s="39" t="s">
        <v>140</v>
      </c>
      <c r="J99" s="41">
        <v>4</v>
      </c>
      <c r="K99" s="47"/>
    </row>
    <row r="100" spans="1:14" s="7" customFormat="1" ht="18" customHeight="1" thickBot="1">
      <c r="A100" s="53" t="str">
        <f>_xlfn.XLOOKUP(B60,[3]VFDB2!$A:$A,[3]VFDB2!$K:$K)</f>
        <v>－0.5</v>
      </c>
      <c r="B100" s="54">
        <f>_xlfn.XLOOKUP(B60,[3]VFDB2!$A:$A,[3]VFDB2!$P:$P)</f>
        <v>6</v>
      </c>
      <c r="C100" s="55" t="s">
        <v>141</v>
      </c>
      <c r="D100" s="152" t="str">
        <f>_xlfn.XLOOKUP(B60,[3]VFDB2!$A:$A,[3]VFDB2!$V:$V)</f>
        <v>1箱目の梱包数 目視確認　以降、重量測定</v>
      </c>
      <c r="E100" s="152"/>
      <c r="F100" s="153"/>
      <c r="G100" s="56" t="str">
        <v/>
      </c>
      <c r="H100" s="57" t="str">
        <v/>
      </c>
      <c r="I100" s="39" t="s">
        <v>142</v>
      </c>
      <c r="J100" s="42">
        <v>0.66666666666666663</v>
      </c>
      <c r="K100" s="50"/>
    </row>
    <row r="101" spans="1:14" s="5" customFormat="1" ht="18" customHeight="1" thickBot="1">
      <c r="A101" s="58" t="s">
        <v>143</v>
      </c>
      <c r="B101" s="59" t="str" cm="1">
        <f t="array" ref="B101">IF(SUM(--(ISTEXT(B102:B112)*(B102:B112&lt;&gt;"")))=0,"計測Lot","計測Lot・加工数")</f>
        <v>計測Lot・加工数</v>
      </c>
      <c r="C101" s="60" t="s">
        <v>144</v>
      </c>
      <c r="D101" s="61" t="s">
        <v>145</v>
      </c>
      <c r="E101" s="62" t="s">
        <v>146</v>
      </c>
      <c r="F101" s="63" t="str" cm="1">
        <f t="array" ref="F101">IF(SUM(--(ISTEXT(B102:B112)*(B102:B112&lt;&gt;"")))=0,"記入不要","使用Lot")</f>
        <v>使用Lot</v>
      </c>
      <c r="G101" s="64" t="s">
        <v>147</v>
      </c>
      <c r="H101" s="65" t="s">
        <v>148</v>
      </c>
      <c r="I101" s="66" t="s">
        <v>149</v>
      </c>
      <c r="J101" s="43">
        <v>0</v>
      </c>
      <c r="K101" s="47"/>
    </row>
    <row r="102" spans="1:14" s="7" customFormat="1" ht="18" customHeight="1">
      <c r="A102" s="67" cm="1">
        <f t="array" ref="A102:A112">IFERROR(INDEX(_xlfn._xlws.FILTER([4]加工記録２!$D:$D,[4]加工記録２!$U:$U=B62),_xlfn.SEQUENCE(11),0),"")</f>
        <v>0</v>
      </c>
      <c r="B102" s="71" t="str" cm="1">
        <f t="array" ref="B102:B112">IFERROR(IF(INDEX(_xlfn._xlws.FILTER([4]加工記録２!$E:$E,[4]加工記録２!$U:$U=B62),_xlfn.SEQUENCE(11))="","",INDEX(_xlfn._xlws.FILTER([4]加工記録２!$E:$E,[4]加工記録２!$U:$U=B62),_xlfn.SEQUENCE(11)) &amp; IF(INDEX(_xlfn._xlws.FILTER([4]加工記録２!$F:$F,[4]加工記録２!$U:$U=B62),_xlfn.SEQUENCE(11))="","", " × " &amp; INDEX(_xlfn._xlws.FILTER([4]加工記録２!$F:$F,[4]加工記録２!$U:$U=B62),_xlfn.SEQUENCE(11)))),"")</f>
        <v/>
      </c>
      <c r="C102" s="74"/>
      <c r="D102" s="75"/>
      <c r="E102" s="76"/>
      <c r="F102" s="77"/>
      <c r="G102" s="78"/>
      <c r="H102" s="79"/>
      <c r="I102" s="154" t="s">
        <v>150</v>
      </c>
      <c r="J102" s="155"/>
      <c r="K102" s="80"/>
    </row>
    <row r="103" spans="1:14" s="5" customFormat="1" ht="18" customHeight="1">
      <c r="A103" s="68">
        <v>46134</v>
      </c>
      <c r="B103" s="72" t="str">
        <v>26D03-04</v>
      </c>
      <c r="C103" s="81"/>
      <c r="D103" s="82"/>
      <c r="E103" s="83"/>
      <c r="F103" s="84"/>
      <c r="G103" s="81"/>
      <c r="H103" s="85"/>
      <c r="I103" s="86" t="s">
        <v>151</v>
      </c>
      <c r="J103" s="85" cm="1">
        <f t="array" ref="J103:J112">IFERROR(INDEX(_xlfn._xlws.FILTER([4]加工記録２!R:R, [4]加工記録２!U:U=B62),_xlfn.SEQUENCE(10)),"")</f>
        <v>0</v>
      </c>
      <c r="K103" s="80"/>
    </row>
    <row r="104" spans="1:14" s="91" customFormat="1" ht="18.95" customHeight="1">
      <c r="A104" s="69">
        <v>46076</v>
      </c>
      <c r="B104" s="72" t="str">
        <v>26D03-04 × 200</v>
      </c>
      <c r="C104" s="81"/>
      <c r="D104" s="82"/>
      <c r="E104" s="83"/>
      <c r="F104" s="84"/>
      <c r="G104" s="81"/>
      <c r="H104" s="85"/>
      <c r="I104" s="86" t="s">
        <v>152</v>
      </c>
      <c r="J104" s="85">
        <v>2</v>
      </c>
      <c r="K104" s="89"/>
      <c r="L104" s="90"/>
      <c r="M104" s="90"/>
      <c r="N104" s="90"/>
    </row>
    <row r="105" spans="1:14" s="94" customFormat="1" ht="18.95" customHeight="1">
      <c r="A105" s="69">
        <v>0</v>
      </c>
      <c r="B105" s="72" t="str">
        <v/>
      </c>
      <c r="C105" s="81"/>
      <c r="D105" s="82"/>
      <c r="E105" s="83"/>
      <c r="F105" s="84"/>
      <c r="G105" s="81"/>
      <c r="H105" s="85"/>
      <c r="I105" s="86" t="s">
        <v>153</v>
      </c>
      <c r="J105" s="85">
        <v>1</v>
      </c>
      <c r="K105" s="92"/>
      <c r="L105" s="93"/>
      <c r="M105" s="93"/>
      <c r="N105" s="93"/>
    </row>
    <row r="106" spans="1:14" s="94" customFormat="1" ht="18.95" customHeight="1">
      <c r="A106" s="69">
        <v>0</v>
      </c>
      <c r="B106" s="72" t="str">
        <v/>
      </c>
      <c r="C106" s="81"/>
      <c r="D106" s="82"/>
      <c r="E106" s="83"/>
      <c r="F106" s="84"/>
      <c r="G106" s="81"/>
      <c r="H106" s="85"/>
      <c r="I106" s="86" t="s">
        <v>154</v>
      </c>
      <c r="J106" s="85">
        <v>0</v>
      </c>
      <c r="K106" s="92"/>
      <c r="L106" s="93"/>
      <c r="M106" s="93"/>
      <c r="N106" s="93"/>
    </row>
    <row r="107" spans="1:14" s="94" customFormat="1" ht="18.95" customHeight="1">
      <c r="A107" s="69">
        <v>0</v>
      </c>
      <c r="B107" s="72" t="str">
        <v/>
      </c>
      <c r="C107" s="81"/>
      <c r="D107" s="82"/>
      <c r="E107" s="83"/>
      <c r="F107" s="84"/>
      <c r="G107" s="81"/>
      <c r="H107" s="85"/>
      <c r="I107" s="86" t="s">
        <v>155</v>
      </c>
      <c r="J107" s="85">
        <v>0</v>
      </c>
      <c r="K107" s="92"/>
      <c r="L107" s="93"/>
      <c r="M107" s="93"/>
      <c r="N107" s="93"/>
    </row>
    <row r="108" spans="1:14" s="94" customFormat="1" ht="18.95" customHeight="1">
      <c r="A108" s="69">
        <v>0</v>
      </c>
      <c r="B108" s="72" t="str">
        <v/>
      </c>
      <c r="C108" s="81"/>
      <c r="D108" s="82"/>
      <c r="E108" s="83"/>
      <c r="F108" s="84"/>
      <c r="G108" s="81"/>
      <c r="H108" s="85"/>
      <c r="I108" s="86" t="s">
        <v>156</v>
      </c>
      <c r="J108" s="85">
        <v>0</v>
      </c>
      <c r="K108" s="92"/>
      <c r="L108" s="93"/>
      <c r="M108" s="93"/>
      <c r="N108" s="93"/>
    </row>
    <row r="109" spans="1:14" s="94" customFormat="1" ht="18.95" customHeight="1">
      <c r="A109" s="69">
        <v>0</v>
      </c>
      <c r="B109" s="72" t="str">
        <v/>
      </c>
      <c r="C109" s="81"/>
      <c r="D109" s="82"/>
      <c r="E109" s="83"/>
      <c r="F109" s="84"/>
      <c r="G109" s="81"/>
      <c r="H109" s="85"/>
      <c r="I109" s="95" t="s">
        <v>157</v>
      </c>
      <c r="J109" s="85">
        <v>0</v>
      </c>
      <c r="K109" s="92"/>
      <c r="L109" s="93"/>
      <c r="M109" s="93"/>
      <c r="N109" s="93"/>
    </row>
    <row r="110" spans="1:14" s="94" customFormat="1" ht="18.95" customHeight="1">
      <c r="A110" s="69">
        <v>0</v>
      </c>
      <c r="B110" s="72" t="str">
        <v/>
      </c>
      <c r="C110" s="81"/>
      <c r="D110" s="82"/>
      <c r="E110" s="83"/>
      <c r="F110" s="84"/>
      <c r="G110" s="81"/>
      <c r="H110" s="85"/>
      <c r="I110" s="95" t="s">
        <v>158</v>
      </c>
      <c r="J110" s="85">
        <v>0</v>
      </c>
      <c r="K110" s="92"/>
      <c r="L110" s="93"/>
      <c r="M110" s="93"/>
      <c r="N110" s="93"/>
    </row>
    <row r="111" spans="1:14" s="94" customFormat="1" ht="18.95" customHeight="1">
      <c r="A111" s="69">
        <v>0</v>
      </c>
      <c r="B111" s="72" t="str">
        <v/>
      </c>
      <c r="C111" s="81"/>
      <c r="D111" s="82"/>
      <c r="E111" s="83"/>
      <c r="F111" s="84"/>
      <c r="G111" s="81"/>
      <c r="H111" s="85"/>
      <c r="I111" s="86" t="s">
        <v>159</v>
      </c>
      <c r="J111" s="87">
        <v>1</v>
      </c>
      <c r="K111" s="92"/>
      <c r="L111" s="93"/>
      <c r="M111" s="93"/>
      <c r="N111" s="93"/>
    </row>
    <row r="112" spans="1:14" s="94" customFormat="1" ht="18.95" customHeight="1" thickBot="1">
      <c r="A112" s="70" t="str">
        <v>不良補填</v>
      </c>
      <c r="B112" s="73" t="str">
        <v>26B24-01 × 4</v>
      </c>
      <c r="C112" s="96"/>
      <c r="D112" s="97"/>
      <c r="E112" s="98"/>
      <c r="F112" s="99"/>
      <c r="G112" s="100"/>
      <c r="H112" s="101"/>
      <c r="I112" s="102" t="s">
        <v>160</v>
      </c>
      <c r="J112" s="88">
        <v>4</v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36" t="s">
        <v>0</v>
      </c>
      <c r="C115" s="106"/>
      <c r="D115" s="106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06"/>
      <c r="C116" s="106"/>
      <c r="D116" s="106"/>
      <c r="E116" s="12"/>
      <c r="F116" s="12"/>
      <c r="G116" s="12"/>
      <c r="H116" s="12"/>
      <c r="I116" s="12"/>
      <c r="J116" s="12"/>
    </row>
    <row r="117" spans="1:10" ht="14.25" customHeight="1">
      <c r="A117" s="108" t="s">
        <v>1</v>
      </c>
      <c r="B117" s="108" t="s">
        <v>2</v>
      </c>
      <c r="C117" s="108" t="s">
        <v>3</v>
      </c>
      <c r="D117" s="131">
        <v>297</v>
      </c>
      <c r="E117" s="108" t="s">
        <v>4</v>
      </c>
      <c r="F117" s="109" t="s">
        <v>5</v>
      </c>
      <c r="G117" s="106"/>
      <c r="H117" s="106"/>
      <c r="I117" s="24" t="s">
        <v>6</v>
      </c>
      <c r="J117" s="24" t="s">
        <v>7</v>
      </c>
    </row>
    <row r="118" spans="1:10" ht="14.25" customHeight="1">
      <c r="A118" s="106"/>
      <c r="B118" s="106"/>
      <c r="C118" s="106"/>
      <c r="D118" s="106"/>
      <c r="E118" s="106"/>
      <c r="F118" s="106"/>
      <c r="G118" s="106"/>
      <c r="H118" s="106"/>
      <c r="I118" s="119"/>
      <c r="J118" s="119"/>
    </row>
    <row r="119" spans="1:10" ht="17.45" customHeight="1">
      <c r="A119" s="125" t="s">
        <v>8</v>
      </c>
      <c r="B119" s="125" t="s">
        <v>67</v>
      </c>
      <c r="E119" s="125" t="s">
        <v>10</v>
      </c>
      <c r="F119" s="140" t="s">
        <v>11</v>
      </c>
      <c r="G119" s="106"/>
      <c r="H119" s="106"/>
      <c r="I119" s="120"/>
      <c r="J119" s="120"/>
    </row>
    <row r="120" spans="1:10" ht="17.45" customHeight="1">
      <c r="A120" s="106"/>
      <c r="B120" s="106"/>
      <c r="E120" s="106"/>
      <c r="F120" s="106"/>
      <c r="G120" s="106"/>
      <c r="H120" s="106"/>
      <c r="I120" s="13"/>
      <c r="J120" s="13"/>
    </row>
    <row r="121" spans="1:10" ht="17.45" customHeight="1">
      <c r="A121" s="125" t="s">
        <v>12</v>
      </c>
      <c r="B121" s="125" t="s">
        <v>68</v>
      </c>
      <c r="E121" s="2" t="s">
        <v>14</v>
      </c>
      <c r="F121" s="140" t="s">
        <v>15</v>
      </c>
      <c r="G121" s="106"/>
      <c r="H121" s="21"/>
      <c r="I121" s="13"/>
      <c r="J121" s="13"/>
    </row>
    <row r="122" spans="1:10" ht="17.45" customHeight="1">
      <c r="A122" s="106"/>
      <c r="B122" s="106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46160</v>
      </c>
      <c r="E123" s="2" t="s">
        <v>19</v>
      </c>
      <c r="F123" s="141">
        <v>100</v>
      </c>
      <c r="G123" s="106"/>
      <c r="H123" s="21"/>
    </row>
    <row r="124" spans="1:10" ht="17.45" customHeight="1">
      <c r="A124" s="2" t="s">
        <v>20</v>
      </c>
      <c r="B124" s="4">
        <v>46160</v>
      </c>
      <c r="E124" s="2" t="s">
        <v>21</v>
      </c>
      <c r="F124" s="21">
        <v>3</v>
      </c>
      <c r="G124" s="133" t="s">
        <v>22</v>
      </c>
      <c r="H124" s="112">
        <v>300</v>
      </c>
      <c r="I124" s="113"/>
      <c r="J124" s="114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15"/>
      <c r="H125" s="115"/>
      <c r="I125" s="116"/>
      <c r="J125" s="117"/>
    </row>
    <row r="126" spans="1:10" ht="13.5" customHeight="1">
      <c r="A126" s="118" t="s">
        <v>25</v>
      </c>
      <c r="B126" s="106"/>
      <c r="C126" s="106"/>
      <c r="D126" s="20"/>
      <c r="F126" s="3"/>
      <c r="G126" s="132" t="s">
        <v>26</v>
      </c>
      <c r="H126" s="110" t="s">
        <v>27</v>
      </c>
      <c r="I126" s="129" t="s">
        <v>28</v>
      </c>
      <c r="J126" s="130"/>
    </row>
    <row r="127" spans="1:10" ht="13.5" customHeight="1">
      <c r="A127" s="106"/>
      <c r="B127" s="106"/>
      <c r="C127" s="106"/>
      <c r="D127" s="20"/>
      <c r="F127" s="3"/>
      <c r="G127" s="111"/>
      <c r="H127" s="111"/>
      <c r="I127" s="116"/>
      <c r="J127" s="117"/>
    </row>
    <row r="128" spans="1:10" ht="13.5" customHeight="1">
      <c r="A128" s="1" t="s">
        <v>29</v>
      </c>
    </row>
    <row r="129" spans="1:10" ht="63" customHeight="1">
      <c r="A129" s="123"/>
      <c r="B129" s="124"/>
      <c r="C129" s="124"/>
      <c r="D129" s="124"/>
      <c r="E129" s="124"/>
      <c r="F129" s="124"/>
      <c r="G129" s="124"/>
      <c r="H129" s="124"/>
      <c r="I129" s="124"/>
      <c r="J129" s="124"/>
    </row>
    <row r="130" spans="1:10" ht="18.75">
      <c r="A130" s="23" t="s">
        <v>30</v>
      </c>
      <c r="B130" s="16" t="s">
        <v>31</v>
      </c>
      <c r="C130" s="134" t="s">
        <v>32</v>
      </c>
      <c r="D130" s="128"/>
      <c r="E130" s="16" t="s">
        <v>33</v>
      </c>
      <c r="F130" s="134" t="s">
        <v>34</v>
      </c>
      <c r="G130" s="128"/>
      <c r="H130" s="128"/>
      <c r="I130" s="127" t="s">
        <v>35</v>
      </c>
      <c r="J130" s="128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05" t="s">
        <v>37</v>
      </c>
      <c r="D132" s="106"/>
      <c r="E132" s="25" t="s">
        <v>38</v>
      </c>
      <c r="F132" s="105" t="s">
        <v>39</v>
      </c>
      <c r="G132" s="106"/>
      <c r="H132" s="106"/>
      <c r="I132" s="135"/>
      <c r="J132" s="106"/>
    </row>
    <row r="133" spans="1:10" ht="16.5" customHeight="1">
      <c r="A133" s="22">
        <v>1</v>
      </c>
      <c r="B133" s="26" t="s">
        <v>36</v>
      </c>
      <c r="C133" s="105" t="s">
        <v>37</v>
      </c>
      <c r="D133" s="106"/>
      <c r="E133" s="25" t="s">
        <v>40</v>
      </c>
      <c r="F133" s="105" t="s">
        <v>41</v>
      </c>
      <c r="G133" s="106"/>
      <c r="H133" s="106"/>
      <c r="I133" s="135"/>
      <c r="J133" s="106"/>
    </row>
    <row r="134" spans="1:10" ht="16.5" customHeight="1">
      <c r="A134" s="22"/>
      <c r="B134" s="26"/>
      <c r="C134" s="105"/>
      <c r="D134" s="106"/>
      <c r="E134" s="25"/>
      <c r="F134" s="105"/>
      <c r="G134" s="106"/>
      <c r="H134" s="106"/>
      <c r="I134" s="135"/>
      <c r="J134" s="106"/>
    </row>
    <row r="135" spans="1:10" ht="16.5" customHeight="1">
      <c r="A135" s="22"/>
      <c r="B135" s="26"/>
      <c r="C135" s="105"/>
      <c r="D135" s="106"/>
      <c r="E135" s="25"/>
      <c r="F135" s="105"/>
      <c r="G135" s="106"/>
      <c r="H135" s="106"/>
      <c r="I135" s="135"/>
      <c r="J135" s="106"/>
    </row>
    <row r="136" spans="1:10" ht="16.5" customHeight="1">
      <c r="A136" s="22"/>
      <c r="B136" s="26"/>
      <c r="C136" s="105"/>
      <c r="D136" s="106"/>
      <c r="E136" s="25"/>
      <c r="F136" s="105"/>
      <c r="G136" s="106"/>
      <c r="H136" s="106"/>
      <c r="I136" s="135"/>
      <c r="J136" s="106"/>
    </row>
    <row r="137" spans="1:10" ht="16.5" customHeight="1">
      <c r="A137" s="22"/>
      <c r="B137" s="26"/>
      <c r="C137" s="105"/>
      <c r="D137" s="106"/>
      <c r="E137" s="25"/>
      <c r="F137" s="105"/>
      <c r="G137" s="106"/>
      <c r="H137" s="106"/>
      <c r="I137" s="135"/>
      <c r="J137" s="106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21" t="s">
        <v>42</v>
      </c>
      <c r="B139" s="122"/>
      <c r="C139" s="121" t="s">
        <v>43</v>
      </c>
      <c r="D139" s="122"/>
      <c r="E139" s="122"/>
      <c r="F139" s="17" t="s">
        <v>44</v>
      </c>
      <c r="G139" s="121" t="s">
        <v>45</v>
      </c>
      <c r="H139" s="122"/>
      <c r="I139" s="121" t="s">
        <v>46</v>
      </c>
      <c r="J139" s="122"/>
    </row>
    <row r="140" spans="1:10" ht="14.25" customHeight="1">
      <c r="A140" s="8"/>
      <c r="B140" s="18"/>
      <c r="C140" s="143" t="s">
        <v>47</v>
      </c>
      <c r="D140" s="116"/>
      <c r="E140" s="18"/>
      <c r="F140" s="143" t="s">
        <v>29</v>
      </c>
      <c r="G140" s="116"/>
      <c r="H140" s="116"/>
      <c r="I140" s="116"/>
      <c r="J140" s="116"/>
    </row>
    <row r="141" spans="1:10">
      <c r="A141" s="9"/>
      <c r="C141" s="7"/>
      <c r="D141" s="7"/>
      <c r="E141" s="7"/>
    </row>
    <row r="142" spans="1:10" ht="14.25" customHeight="1">
      <c r="A142" s="105" t="s">
        <v>48</v>
      </c>
      <c r="B142" s="106"/>
      <c r="C142" s="105" t="s">
        <v>49</v>
      </c>
      <c r="D142" s="106"/>
      <c r="E142" s="106"/>
      <c r="F142" s="27" t="s">
        <v>50</v>
      </c>
      <c r="G142" s="107">
        <v>50.1</v>
      </c>
      <c r="H142" s="106"/>
      <c r="I142" s="107">
        <v>0.501</v>
      </c>
      <c r="J142" s="106"/>
    </row>
    <row r="143" spans="1:10" ht="24.95" customHeight="1">
      <c r="A143" s="126" t="s">
        <v>51</v>
      </c>
      <c r="B143" s="106"/>
      <c r="C143" s="105"/>
      <c r="D143" s="106"/>
      <c r="E143" s="106"/>
      <c r="F143" s="105"/>
      <c r="G143" s="106"/>
      <c r="H143" s="106"/>
      <c r="I143" s="106"/>
      <c r="J143" s="106"/>
    </row>
    <row r="144" spans="1:10" ht="14.25" customHeight="1">
      <c r="A144" s="105" t="s">
        <v>52</v>
      </c>
      <c r="B144" s="106"/>
      <c r="C144" s="105" t="s">
        <v>53</v>
      </c>
      <c r="D144" s="106"/>
      <c r="E144" s="106"/>
      <c r="F144" s="27" t="s">
        <v>54</v>
      </c>
      <c r="G144" s="107">
        <v>3</v>
      </c>
      <c r="H144" s="106"/>
      <c r="I144" s="107">
        <v>0.03</v>
      </c>
      <c r="J144" s="106"/>
    </row>
    <row r="145" spans="1:11" ht="24.95" customHeight="1">
      <c r="A145" s="126" t="s">
        <v>55</v>
      </c>
      <c r="B145" s="106"/>
      <c r="C145" s="105" t="s">
        <v>56</v>
      </c>
      <c r="D145" s="106"/>
      <c r="E145" s="106"/>
      <c r="F145" s="105"/>
      <c r="G145" s="106"/>
      <c r="H145" s="106"/>
      <c r="I145" s="106"/>
      <c r="J145" s="106"/>
    </row>
    <row r="146" spans="1:11" ht="14.25" customHeight="1">
      <c r="A146" s="105" t="s">
        <v>57</v>
      </c>
      <c r="B146" s="106"/>
      <c r="C146" s="105" t="s">
        <v>58</v>
      </c>
      <c r="D146" s="106"/>
      <c r="E146" s="106"/>
      <c r="F146" s="27"/>
      <c r="G146" s="107">
        <v>0.3</v>
      </c>
      <c r="H146" s="106"/>
      <c r="I146" s="107">
        <v>3.0000000000000001E-3</v>
      </c>
      <c r="J146" s="106"/>
    </row>
    <row r="147" spans="1:11" ht="24.95" customHeight="1">
      <c r="A147" s="126" t="s">
        <v>59</v>
      </c>
      <c r="B147" s="106"/>
      <c r="C147" s="105" t="s">
        <v>60</v>
      </c>
      <c r="D147" s="106"/>
      <c r="E147" s="106"/>
      <c r="F147" s="105"/>
      <c r="G147" s="106"/>
      <c r="H147" s="106"/>
      <c r="I147" s="106"/>
      <c r="J147" s="106"/>
    </row>
    <row r="148" spans="1:11" ht="14.25" customHeight="1">
      <c r="A148" s="105" t="s">
        <v>61</v>
      </c>
      <c r="B148" s="106"/>
      <c r="C148" s="105" t="s">
        <v>62</v>
      </c>
      <c r="D148" s="106"/>
      <c r="E148" s="106"/>
      <c r="F148" s="27"/>
      <c r="G148" s="107">
        <v>0.3</v>
      </c>
      <c r="H148" s="106"/>
      <c r="I148" s="107">
        <v>3.0000000000000001E-3</v>
      </c>
      <c r="J148" s="106"/>
    </row>
    <row r="149" spans="1:11" ht="24.95" customHeight="1">
      <c r="A149" s="126" t="s">
        <v>63</v>
      </c>
      <c r="B149" s="106"/>
      <c r="C149" s="105" t="s">
        <v>64</v>
      </c>
      <c r="D149" s="106"/>
      <c r="E149" s="106"/>
      <c r="F149" s="105"/>
      <c r="G149" s="106"/>
      <c r="H149" s="106"/>
      <c r="I149" s="106"/>
      <c r="J149" s="106"/>
    </row>
    <row r="150" spans="1:11" ht="14.25" customHeight="1">
      <c r="A150" s="105"/>
      <c r="B150" s="106"/>
      <c r="C150" s="105"/>
      <c r="D150" s="106"/>
      <c r="E150" s="106"/>
      <c r="F150" s="27"/>
      <c r="G150" s="107"/>
      <c r="H150" s="106"/>
      <c r="I150" s="107"/>
      <c r="J150" s="106"/>
    </row>
    <row r="151" spans="1:11" ht="24.95" customHeight="1" thickBot="1">
      <c r="A151" s="126"/>
      <c r="B151" s="106"/>
      <c r="C151" s="105"/>
      <c r="D151" s="106"/>
      <c r="E151" s="106"/>
      <c r="F151" s="105"/>
      <c r="G151" s="106"/>
      <c r="H151" s="106"/>
      <c r="I151" s="106"/>
      <c r="J151" s="106"/>
    </row>
    <row r="152" spans="1:11" s="5" customFormat="1" ht="18" customHeight="1">
      <c r="A152" s="28" t="s">
        <v>124</v>
      </c>
      <c r="B152" s="29" t="s">
        <v>125</v>
      </c>
      <c r="C152" s="148" t="s">
        <v>126</v>
      </c>
      <c r="D152" s="149"/>
      <c r="E152" s="30" t="s">
        <v>127</v>
      </c>
      <c r="F152" s="31" t="s">
        <v>128</v>
      </c>
      <c r="G152" s="32" t="s">
        <v>129</v>
      </c>
      <c r="H152" s="33" t="s">
        <v>130</v>
      </c>
      <c r="I152" s="137" t="s">
        <v>131</v>
      </c>
      <c r="J152" s="138"/>
    </row>
    <row r="153" spans="1:11" s="7" customFormat="1" ht="18" customHeight="1">
      <c r="A153" s="34" t="str">
        <f>_xlfn.XLOOKUP(B117,[3]VFDB2!$A:$A,[3]VFDB2!$J:$J)</f>
        <v>〇</v>
      </c>
      <c r="B153" s="35">
        <f>D117</f>
        <v>297</v>
      </c>
      <c r="C153" s="150" t="str">
        <f>_xlfn.XLOOKUP(B117,[3]VFDB2!$A:$A,[3]VFDB2!$Z:$Z)</f>
        <v>LED-A300</v>
      </c>
      <c r="D153" s="151"/>
      <c r="E153" s="146" cm="1">
        <f t="array" ref="E153">IFERROR(INDEX(_xlfn._xlws.FILTER([4]加工記録２!C:C,[4]加工記録２!U:U=B119),9),"")</f>
        <v>3</v>
      </c>
      <c r="F153" s="36" t="str" cm="1">
        <f t="array" ref="F153">IFERROR("切断加工：" &amp;_xlfn.TEXTJOIN(" / ",TRUE,INDEX(_xlfn._xlws.FILTER([4]加工記録２!M:M,[4]加工記録２!U:U=B119),9),INDEX(_xlfn._xlws.FILTER([4]加工記録２!N:N,[4]加工記録２!U:U=B119),9)),"")</f>
        <v>切断加工：I</v>
      </c>
      <c r="G153" s="37" cm="1">
        <f t="array" ref="G153:H157">IFERROR(IF(_xlfn.TAKE(_xlfn._xlws.FILTER([4]加工記録２!$M:$N,[4]加工記録２!$U:$U=B119),5)=0,"",_xlfn.TAKE(_xlfn._xlws.FILTER([4]加工記録２!$M:$N,[4]加工記録２!$U:$U=B119),5)),"")</f>
        <v>46135</v>
      </c>
      <c r="H153" s="38">
        <v>3</v>
      </c>
      <c r="I153" s="39" t="s">
        <v>132</v>
      </c>
      <c r="J153" s="40" cm="1">
        <f t="array" ref="J153:J158">IFERROR(INDEX(_xlfn._xlws.FILTER([4]加工記録２!P:P, [4]加工記録２!U:U=B119),_xlfn.SEQUENCE(6)),"")</f>
        <v>46135</v>
      </c>
    </row>
    <row r="154" spans="1:11" s="5" customFormat="1" ht="18" customHeight="1">
      <c r="A154" s="44" t="s">
        <v>133</v>
      </c>
      <c r="B154" s="45" t="s">
        <v>134</v>
      </c>
      <c r="C154" s="150"/>
      <c r="D154" s="151"/>
      <c r="E154" s="146"/>
      <c r="F154" s="46" t="str" cm="1">
        <f t="array" ref="F154">IFERROR("外観検査：" &amp;_xlfn.TEXTJOIN(" / ",TRUE,INDEX(_xlfn._xlws.FILTER([4]加工記録２!M:M,[4]加工記録２!U:U=B119),10),INDEX(_xlfn._xlws.FILTER([4]加工記録２!N:N,[4]加工記録２!U:U=B119),10)),"")</f>
        <v>外観検査：T</v>
      </c>
      <c r="G154" s="37" t="str">
        <v/>
      </c>
      <c r="H154" s="38" t="str">
        <v/>
      </c>
      <c r="I154" s="39" t="s">
        <v>135</v>
      </c>
      <c r="J154" s="41">
        <v>300</v>
      </c>
      <c r="K154" s="47"/>
    </row>
    <row r="155" spans="1:11" s="7" customFormat="1" ht="18" customHeight="1">
      <c r="A155" s="48" t="str">
        <f>_xlfn.XLOOKUP(B117,[3]VFDB2!$A:$A,[3]VFDB2!$L:$L)</f>
        <v>+0.5</v>
      </c>
      <c r="B155" s="49" t="str">
        <f>_xlfn.XLOOKUP(B117,[3]VFDB2!$A:$A,[3]VFDB2!$AC:$AC)</f>
        <v>換算表確認</v>
      </c>
      <c r="C155" s="147" t="s">
        <v>136</v>
      </c>
      <c r="D155" s="144" t="str">
        <f>_xlfn.XLOOKUP(B117,[3]VFDB2!$A:$A,[3]VFDB2!$W:$W)</f>
        <v>クラフト紙：592型　1/2</v>
      </c>
      <c r="E155" s="144"/>
      <c r="F155" s="145"/>
      <c r="G155" s="37" t="str">
        <v/>
      </c>
      <c r="H155" s="38" t="str">
        <v/>
      </c>
      <c r="I155" s="39" t="s">
        <v>137</v>
      </c>
      <c r="J155" s="41">
        <v>50.333333333333336</v>
      </c>
      <c r="K155" s="50"/>
    </row>
    <row r="156" spans="1:11" s="5" customFormat="1" ht="18" customHeight="1">
      <c r="A156" s="51" t="s">
        <v>138</v>
      </c>
      <c r="B156" s="52" t="s">
        <v>139</v>
      </c>
      <c r="C156" s="147"/>
      <c r="D156" s="144" t="str">
        <f>_xlfn.XLOOKUP(B117,[3]VFDB2!$A:$A,[3]VFDB2!$R:$R)</f>
        <v>ラベル１枚　長手無　鉢巻１回</v>
      </c>
      <c r="E156" s="144"/>
      <c r="F156" s="145"/>
      <c r="G156" s="37" t="str">
        <v/>
      </c>
      <c r="H156" s="38" t="str">
        <v/>
      </c>
      <c r="I156" s="39" t="s">
        <v>140</v>
      </c>
      <c r="J156" s="41">
        <v>2</v>
      </c>
      <c r="K156" s="47"/>
    </row>
    <row r="157" spans="1:11" s="7" customFormat="1" ht="18" customHeight="1" thickBot="1">
      <c r="A157" s="53" t="str">
        <f>_xlfn.XLOOKUP(B117,[3]VFDB2!$A:$A,[3]VFDB2!$K:$K)</f>
        <v>－0.5</v>
      </c>
      <c r="B157" s="54">
        <f>_xlfn.XLOOKUP(B117,[3]VFDB2!$A:$A,[3]VFDB2!$P:$P)</f>
        <v>6</v>
      </c>
      <c r="C157" s="55" t="s">
        <v>141</v>
      </c>
      <c r="D157" s="152" t="str">
        <f>_xlfn.XLOOKUP(B117,[3]VFDB2!$A:$A,[3]VFDB2!$V:$V)</f>
        <v>1箱目の梱包数 目視確認　以降、重量測定</v>
      </c>
      <c r="E157" s="152"/>
      <c r="F157" s="153"/>
      <c r="G157" s="56" t="str">
        <v/>
      </c>
      <c r="H157" s="57" t="str">
        <v/>
      </c>
      <c r="I157" s="39" t="s">
        <v>142</v>
      </c>
      <c r="J157" s="42">
        <v>0.33333333333333331</v>
      </c>
      <c r="K157" s="50"/>
    </row>
    <row r="158" spans="1:11" s="5" customFormat="1" ht="18" customHeight="1" thickBot="1">
      <c r="A158" s="58" t="s">
        <v>143</v>
      </c>
      <c r="B158" s="59" t="str" cm="1">
        <f t="array" ref="B158">IF(SUM(--(ISTEXT(B159:B169)*(B159:B169&lt;&gt;"")))=0,"計測Lot","計測Lot・加工数")</f>
        <v>計測Lot・加工数</v>
      </c>
      <c r="C158" s="60" t="s">
        <v>144</v>
      </c>
      <c r="D158" s="61" t="s">
        <v>145</v>
      </c>
      <c r="E158" s="62" t="s">
        <v>146</v>
      </c>
      <c r="F158" s="63" t="str" cm="1">
        <f t="array" ref="F158">IF(SUM(--(ISTEXT(B159:B169)*(B159:B169&lt;&gt;"")))=0,"記入不要","使用Lot")</f>
        <v>使用Lot</v>
      </c>
      <c r="G158" s="64" t="s">
        <v>147</v>
      </c>
      <c r="H158" s="65" t="s">
        <v>148</v>
      </c>
      <c r="I158" s="66" t="s">
        <v>149</v>
      </c>
      <c r="J158" s="43">
        <v>0</v>
      </c>
      <c r="K158" s="47"/>
    </row>
    <row r="159" spans="1:11" s="7" customFormat="1" ht="18" customHeight="1">
      <c r="A159" s="67" cm="1">
        <f t="array" ref="A159:A169">IFERROR(INDEX(_xlfn._xlws.FILTER([4]加工記録２!$D:$D,[4]加工記録２!$U:$U=B119),_xlfn.SEQUENCE(11),0),"")</f>
        <v>0</v>
      </c>
      <c r="B159" s="71" t="str" cm="1">
        <f t="array" ref="B159:B169">IFERROR(IF(INDEX(_xlfn._xlws.FILTER([4]加工記録２!$E:$E,[4]加工記録２!$U:$U=B119),_xlfn.SEQUENCE(11))="","",INDEX(_xlfn._xlws.FILTER([4]加工記録２!$E:$E,[4]加工記録２!$U:$U=B119),_xlfn.SEQUENCE(11)) &amp; IF(INDEX(_xlfn._xlws.FILTER([4]加工記録２!$F:$F,[4]加工記録２!$U:$U=B119),_xlfn.SEQUENCE(11))="","", " × " &amp; INDEX(_xlfn._xlws.FILTER([4]加工記録２!$F:$F,[4]加工記録２!$U:$U=B119),_xlfn.SEQUENCE(11)))),"")</f>
        <v/>
      </c>
      <c r="C159" s="74"/>
      <c r="D159" s="75"/>
      <c r="E159" s="76"/>
      <c r="F159" s="77"/>
      <c r="G159" s="78"/>
      <c r="H159" s="79"/>
      <c r="I159" s="154" t="s">
        <v>150</v>
      </c>
      <c r="J159" s="155"/>
      <c r="K159" s="80"/>
    </row>
    <row r="160" spans="1:11" s="5" customFormat="1" ht="18" customHeight="1">
      <c r="A160" s="68">
        <v>46135</v>
      </c>
      <c r="B160" s="72" t="str">
        <v>26D03-04</v>
      </c>
      <c r="C160" s="81"/>
      <c r="D160" s="82"/>
      <c r="E160" s="83"/>
      <c r="F160" s="84"/>
      <c r="G160" s="81"/>
      <c r="H160" s="85"/>
      <c r="I160" s="86" t="s">
        <v>151</v>
      </c>
      <c r="J160" s="85" cm="1">
        <f t="array" ref="J160:J169">IFERROR(INDEX(_xlfn._xlws.FILTER([4]加工記録２!R:R, [4]加工記録２!U:U=B119),_xlfn.SEQUENCE(10)),"")</f>
        <v>0</v>
      </c>
      <c r="K160" s="80"/>
    </row>
    <row r="161" spans="1:14" s="91" customFormat="1" ht="18.95" customHeight="1">
      <c r="A161" s="69">
        <v>46135</v>
      </c>
      <c r="B161" s="72" t="str">
        <v>26D03-04 × 300</v>
      </c>
      <c r="C161" s="81"/>
      <c r="D161" s="82"/>
      <c r="E161" s="83"/>
      <c r="F161" s="84"/>
      <c r="G161" s="81"/>
      <c r="H161" s="85"/>
      <c r="I161" s="86" t="s">
        <v>152</v>
      </c>
      <c r="J161" s="85">
        <v>2</v>
      </c>
      <c r="K161" s="89"/>
      <c r="L161" s="90"/>
      <c r="M161" s="90"/>
      <c r="N161" s="90"/>
    </row>
    <row r="162" spans="1:14" s="94" customFormat="1" ht="18.95" customHeight="1">
      <c r="A162" s="69">
        <v>0</v>
      </c>
      <c r="B162" s="72" t="str">
        <v/>
      </c>
      <c r="C162" s="81"/>
      <c r="D162" s="82"/>
      <c r="E162" s="83"/>
      <c r="F162" s="84"/>
      <c r="G162" s="81"/>
      <c r="H162" s="85"/>
      <c r="I162" s="86" t="s">
        <v>153</v>
      </c>
      <c r="J162" s="85">
        <v>0</v>
      </c>
      <c r="K162" s="92"/>
      <c r="L162" s="93"/>
      <c r="M162" s="93"/>
      <c r="N162" s="93"/>
    </row>
    <row r="163" spans="1:14" s="94" customFormat="1" ht="18.95" customHeight="1">
      <c r="A163" s="69">
        <v>0</v>
      </c>
      <c r="B163" s="72" t="str">
        <v/>
      </c>
      <c r="C163" s="81"/>
      <c r="D163" s="82"/>
      <c r="E163" s="83"/>
      <c r="F163" s="84"/>
      <c r="G163" s="81"/>
      <c r="H163" s="85"/>
      <c r="I163" s="86" t="s">
        <v>154</v>
      </c>
      <c r="J163" s="85">
        <v>0</v>
      </c>
      <c r="K163" s="92"/>
      <c r="L163" s="93"/>
      <c r="M163" s="93"/>
      <c r="N163" s="93"/>
    </row>
    <row r="164" spans="1:14" s="94" customFormat="1" ht="18.95" customHeight="1">
      <c r="A164" s="69">
        <v>0</v>
      </c>
      <c r="B164" s="72" t="str">
        <v/>
      </c>
      <c r="C164" s="81"/>
      <c r="D164" s="82"/>
      <c r="E164" s="83"/>
      <c r="F164" s="84"/>
      <c r="G164" s="81"/>
      <c r="H164" s="85"/>
      <c r="I164" s="86" t="s">
        <v>155</v>
      </c>
      <c r="J164" s="85">
        <v>0</v>
      </c>
      <c r="K164" s="92"/>
      <c r="L164" s="93"/>
      <c r="M164" s="93"/>
      <c r="N164" s="93"/>
    </row>
    <row r="165" spans="1:14" s="94" customFormat="1" ht="18.95" customHeight="1">
      <c r="A165" s="69">
        <v>0</v>
      </c>
      <c r="B165" s="72" t="str">
        <v/>
      </c>
      <c r="C165" s="81"/>
      <c r="D165" s="82"/>
      <c r="E165" s="83"/>
      <c r="F165" s="84"/>
      <c r="G165" s="81"/>
      <c r="H165" s="85"/>
      <c r="I165" s="86" t="s">
        <v>156</v>
      </c>
      <c r="J165" s="85">
        <v>0</v>
      </c>
      <c r="K165" s="92"/>
      <c r="L165" s="93"/>
      <c r="M165" s="93"/>
      <c r="N165" s="93"/>
    </row>
    <row r="166" spans="1:14" s="94" customFormat="1" ht="18.95" customHeight="1">
      <c r="A166" s="69">
        <v>0</v>
      </c>
      <c r="B166" s="72" t="str">
        <v/>
      </c>
      <c r="C166" s="81"/>
      <c r="D166" s="82"/>
      <c r="E166" s="83"/>
      <c r="F166" s="84"/>
      <c r="G166" s="81"/>
      <c r="H166" s="85"/>
      <c r="I166" s="95" t="s">
        <v>157</v>
      </c>
      <c r="J166" s="85">
        <v>0</v>
      </c>
      <c r="K166" s="92"/>
      <c r="L166" s="93"/>
      <c r="M166" s="93"/>
      <c r="N166" s="93"/>
    </row>
    <row r="167" spans="1:14" s="94" customFormat="1" ht="18.95" customHeight="1">
      <c r="A167" s="69">
        <v>0</v>
      </c>
      <c r="B167" s="72" t="str">
        <v/>
      </c>
      <c r="C167" s="81"/>
      <c r="D167" s="82"/>
      <c r="E167" s="83"/>
      <c r="F167" s="84"/>
      <c r="G167" s="81"/>
      <c r="H167" s="85"/>
      <c r="I167" s="95" t="s">
        <v>158</v>
      </c>
      <c r="J167" s="85">
        <v>0</v>
      </c>
      <c r="K167" s="92"/>
      <c r="L167" s="93"/>
      <c r="M167" s="93"/>
      <c r="N167" s="93"/>
    </row>
    <row r="168" spans="1:14" s="94" customFormat="1" ht="18.95" customHeight="1">
      <c r="A168" s="69">
        <v>0</v>
      </c>
      <c r="B168" s="72" t="str">
        <v/>
      </c>
      <c r="C168" s="81"/>
      <c r="D168" s="82"/>
      <c r="E168" s="83"/>
      <c r="F168" s="84"/>
      <c r="G168" s="81"/>
      <c r="H168" s="85"/>
      <c r="I168" s="86" t="s">
        <v>159</v>
      </c>
      <c r="J168" s="87">
        <v>0</v>
      </c>
      <c r="K168" s="92"/>
      <c r="L168" s="93"/>
      <c r="M168" s="93"/>
      <c r="N168" s="93"/>
    </row>
    <row r="169" spans="1:14" s="94" customFormat="1" ht="18.95" customHeight="1" thickBot="1">
      <c r="A169" s="70" t="str">
        <v>不良補填</v>
      </c>
      <c r="B169" s="73" t="str">
        <v>26B24-01 × 2</v>
      </c>
      <c r="C169" s="96"/>
      <c r="D169" s="97"/>
      <c r="E169" s="98"/>
      <c r="F169" s="99"/>
      <c r="G169" s="100"/>
      <c r="H169" s="101"/>
      <c r="I169" s="102" t="s">
        <v>160</v>
      </c>
      <c r="J169" s="88">
        <v>2</v>
      </c>
      <c r="K169" s="92"/>
      <c r="L169" s="93"/>
      <c r="M169" s="93"/>
      <c r="N169" s="93"/>
    </row>
    <row r="170" spans="1:14" ht="6" customHeight="1" thickBot="1">
      <c r="A170" s="103"/>
      <c r="B170" s="104"/>
      <c r="C170" s="104"/>
      <c r="D170" s="103"/>
      <c r="E170" s="104"/>
      <c r="F170" s="104"/>
      <c r="G170" s="104"/>
      <c r="H170" s="104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36" t="s">
        <v>0</v>
      </c>
      <c r="C172" s="106"/>
      <c r="D172" s="106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06"/>
      <c r="C173" s="106"/>
      <c r="D173" s="106"/>
      <c r="E173" s="12"/>
      <c r="F173" s="12"/>
      <c r="G173" s="12"/>
      <c r="H173" s="12"/>
      <c r="I173" s="12"/>
      <c r="J173" s="12"/>
    </row>
    <row r="174" spans="1:14" ht="14.25" customHeight="1">
      <c r="A174" s="108" t="s">
        <v>1</v>
      </c>
      <c r="B174" s="108" t="s">
        <v>69</v>
      </c>
      <c r="C174" s="108" t="s">
        <v>3</v>
      </c>
      <c r="D174" s="131">
        <v>592</v>
      </c>
      <c r="E174" s="108" t="s">
        <v>4</v>
      </c>
      <c r="F174" s="109" t="s">
        <v>70</v>
      </c>
      <c r="G174" s="106"/>
      <c r="H174" s="106"/>
      <c r="I174" s="24" t="s">
        <v>6</v>
      </c>
      <c r="J174" s="24" t="s">
        <v>7</v>
      </c>
    </row>
    <row r="175" spans="1:14" ht="14.25" customHeight="1">
      <c r="A175" s="106"/>
      <c r="B175" s="106"/>
      <c r="C175" s="106"/>
      <c r="D175" s="106"/>
      <c r="E175" s="106"/>
      <c r="F175" s="106"/>
      <c r="G175" s="106"/>
      <c r="H175" s="106"/>
      <c r="I175" s="119"/>
      <c r="J175" s="119"/>
    </row>
    <row r="176" spans="1:14" ht="17.45" customHeight="1">
      <c r="A176" s="125" t="s">
        <v>8</v>
      </c>
      <c r="B176" s="125" t="s">
        <v>71</v>
      </c>
      <c r="E176" s="125" t="s">
        <v>10</v>
      </c>
      <c r="F176" s="140" t="s">
        <v>72</v>
      </c>
      <c r="G176" s="106"/>
      <c r="H176" s="106"/>
      <c r="I176" s="120"/>
      <c r="J176" s="120"/>
    </row>
    <row r="177" spans="1:10" ht="17.45" customHeight="1">
      <c r="A177" s="106"/>
      <c r="B177" s="106"/>
      <c r="E177" s="106"/>
      <c r="F177" s="106"/>
      <c r="G177" s="106"/>
      <c r="H177" s="106"/>
      <c r="I177" s="13"/>
      <c r="J177" s="13"/>
    </row>
    <row r="178" spans="1:10" ht="17.45" customHeight="1">
      <c r="A178" s="125" t="s">
        <v>12</v>
      </c>
      <c r="B178" s="125" t="s">
        <v>73</v>
      </c>
      <c r="E178" s="2" t="s">
        <v>14</v>
      </c>
      <c r="F178" s="140" t="s">
        <v>15</v>
      </c>
      <c r="G178" s="106"/>
      <c r="H178" s="21"/>
      <c r="I178" s="13"/>
      <c r="J178" s="13"/>
    </row>
    <row r="179" spans="1:10" ht="17.45" customHeight="1">
      <c r="A179" s="106"/>
      <c r="B179" s="106"/>
      <c r="E179" s="2" t="s">
        <v>16</v>
      </c>
      <c r="F179" s="21" t="s">
        <v>17</v>
      </c>
      <c r="G179" s="21"/>
      <c r="H179" s="21"/>
      <c r="I179" s="14"/>
      <c r="J179" s="14"/>
    </row>
    <row r="180" spans="1:10" ht="17.45" customHeight="1">
      <c r="A180" s="2" t="s">
        <v>18</v>
      </c>
      <c r="B180" s="4">
        <v>46154</v>
      </c>
      <c r="E180" s="2" t="s">
        <v>19</v>
      </c>
      <c r="F180" s="141">
        <v>100</v>
      </c>
      <c r="G180" s="106"/>
      <c r="H180" s="21"/>
    </row>
    <row r="181" spans="1:10" ht="17.45" customHeight="1">
      <c r="A181" s="2" t="s">
        <v>20</v>
      </c>
      <c r="B181" s="4">
        <v>46154</v>
      </c>
      <c r="E181" s="2" t="s">
        <v>21</v>
      </c>
      <c r="F181" s="21">
        <v>3</v>
      </c>
      <c r="G181" s="133" t="s">
        <v>22</v>
      </c>
      <c r="H181" s="112">
        <v>300</v>
      </c>
      <c r="I181" s="113"/>
      <c r="J181" s="114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15"/>
      <c r="H182" s="115"/>
      <c r="I182" s="116"/>
      <c r="J182" s="117"/>
    </row>
    <row r="183" spans="1:10" ht="13.5" customHeight="1">
      <c r="A183" s="118" t="s">
        <v>74</v>
      </c>
      <c r="B183" s="106"/>
      <c r="C183" s="106"/>
      <c r="D183" s="20"/>
      <c r="F183" s="3"/>
      <c r="G183" s="132" t="s">
        <v>26</v>
      </c>
      <c r="H183" s="110" t="s">
        <v>27</v>
      </c>
      <c r="I183" s="129" t="s">
        <v>28</v>
      </c>
      <c r="J183" s="130"/>
    </row>
    <row r="184" spans="1:10" ht="13.5" customHeight="1">
      <c r="A184" s="106"/>
      <c r="B184" s="106"/>
      <c r="C184" s="106"/>
      <c r="D184" s="20"/>
      <c r="F184" s="3"/>
      <c r="G184" s="111"/>
      <c r="H184" s="111"/>
      <c r="I184" s="116"/>
      <c r="J184" s="117"/>
    </row>
    <row r="185" spans="1:10" ht="13.5" customHeight="1">
      <c r="A185" s="1" t="s">
        <v>29</v>
      </c>
    </row>
    <row r="186" spans="1:10" ht="63" customHeight="1">
      <c r="A186" s="123"/>
      <c r="B186" s="124"/>
      <c r="C186" s="124"/>
      <c r="D186" s="124"/>
      <c r="E186" s="124"/>
      <c r="F186" s="124"/>
      <c r="G186" s="124"/>
      <c r="H186" s="124"/>
      <c r="I186" s="124"/>
      <c r="J186" s="124"/>
    </row>
    <row r="187" spans="1:10" ht="18.75">
      <c r="A187" s="23" t="s">
        <v>30</v>
      </c>
      <c r="B187" s="16" t="s">
        <v>31</v>
      </c>
      <c r="C187" s="134" t="s">
        <v>32</v>
      </c>
      <c r="D187" s="128"/>
      <c r="E187" s="16" t="s">
        <v>33</v>
      </c>
      <c r="F187" s="134" t="s">
        <v>34</v>
      </c>
      <c r="G187" s="128"/>
      <c r="H187" s="128"/>
      <c r="I187" s="127" t="s">
        <v>35</v>
      </c>
      <c r="J187" s="128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5" t="s">
        <v>36</v>
      </c>
      <c r="C189" s="105" t="s">
        <v>37</v>
      </c>
      <c r="D189" s="106"/>
      <c r="E189" s="25" t="s">
        <v>38</v>
      </c>
      <c r="F189" s="105" t="s">
        <v>39</v>
      </c>
      <c r="G189" s="106"/>
      <c r="H189" s="106"/>
      <c r="I189" s="135"/>
      <c r="J189" s="106"/>
    </row>
    <row r="190" spans="1:10" ht="16.5" customHeight="1">
      <c r="A190" s="22">
        <v>1</v>
      </c>
      <c r="B190" s="26" t="s">
        <v>36</v>
      </c>
      <c r="C190" s="105" t="s">
        <v>37</v>
      </c>
      <c r="D190" s="106"/>
      <c r="E190" s="25" t="s">
        <v>40</v>
      </c>
      <c r="F190" s="105" t="s">
        <v>41</v>
      </c>
      <c r="G190" s="106"/>
      <c r="H190" s="106"/>
      <c r="I190" s="135"/>
      <c r="J190" s="106"/>
    </row>
    <row r="191" spans="1:10" ht="16.5" customHeight="1">
      <c r="A191" s="22"/>
      <c r="B191" s="26"/>
      <c r="C191" s="105"/>
      <c r="D191" s="106"/>
      <c r="E191" s="25"/>
      <c r="F191" s="105"/>
      <c r="G191" s="106"/>
      <c r="H191" s="106"/>
      <c r="I191" s="135"/>
      <c r="J191" s="106"/>
    </row>
    <row r="192" spans="1:10" ht="16.5" customHeight="1">
      <c r="A192" s="22"/>
      <c r="B192" s="26"/>
      <c r="C192" s="105"/>
      <c r="D192" s="106"/>
      <c r="E192" s="25"/>
      <c r="F192" s="105"/>
      <c r="G192" s="106"/>
      <c r="H192" s="106"/>
      <c r="I192" s="135"/>
      <c r="J192" s="106"/>
    </row>
    <row r="193" spans="1:10" ht="16.5" customHeight="1">
      <c r="A193" s="22"/>
      <c r="B193" s="26"/>
      <c r="C193" s="105"/>
      <c r="D193" s="106"/>
      <c r="E193" s="25"/>
      <c r="F193" s="105"/>
      <c r="G193" s="106"/>
      <c r="H193" s="106"/>
      <c r="I193" s="135"/>
      <c r="J193" s="106"/>
    </row>
    <row r="194" spans="1:10" ht="16.5" customHeight="1">
      <c r="A194" s="22"/>
      <c r="B194" s="26"/>
      <c r="C194" s="105"/>
      <c r="D194" s="106"/>
      <c r="E194" s="25"/>
      <c r="F194" s="105"/>
      <c r="G194" s="106"/>
      <c r="H194" s="106"/>
      <c r="I194" s="135"/>
      <c r="J194" s="106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21" t="s">
        <v>42</v>
      </c>
      <c r="B196" s="122"/>
      <c r="C196" s="121" t="s">
        <v>43</v>
      </c>
      <c r="D196" s="122"/>
      <c r="E196" s="122"/>
      <c r="F196" s="17" t="s">
        <v>44</v>
      </c>
      <c r="G196" s="121" t="s">
        <v>45</v>
      </c>
      <c r="H196" s="122"/>
      <c r="I196" s="121" t="s">
        <v>46</v>
      </c>
      <c r="J196" s="122"/>
    </row>
    <row r="197" spans="1:10" ht="14.25" customHeight="1">
      <c r="A197" s="8"/>
      <c r="B197" s="18"/>
      <c r="C197" s="143" t="s">
        <v>47</v>
      </c>
      <c r="D197" s="116"/>
      <c r="E197" s="18"/>
      <c r="F197" s="143" t="s">
        <v>29</v>
      </c>
      <c r="G197" s="116"/>
      <c r="H197" s="116"/>
      <c r="I197" s="116"/>
      <c r="J197" s="116"/>
    </row>
    <row r="198" spans="1:10">
      <c r="A198" s="9"/>
      <c r="C198" s="7"/>
      <c r="D198" s="7"/>
      <c r="E198" s="7"/>
    </row>
    <row r="199" spans="1:10" ht="14.25" customHeight="1">
      <c r="A199" s="105" t="s">
        <v>48</v>
      </c>
      <c r="B199" s="106"/>
      <c r="C199" s="105" t="s">
        <v>49</v>
      </c>
      <c r="D199" s="106"/>
      <c r="E199" s="106"/>
      <c r="F199" s="27" t="s">
        <v>50</v>
      </c>
      <c r="G199" s="107">
        <v>99.9</v>
      </c>
      <c r="H199" s="106"/>
      <c r="I199" s="107">
        <v>0.999</v>
      </c>
      <c r="J199" s="106"/>
    </row>
    <row r="200" spans="1:10" ht="24.95" customHeight="1">
      <c r="A200" s="126" t="s">
        <v>51</v>
      </c>
      <c r="B200" s="106"/>
      <c r="C200" s="105"/>
      <c r="D200" s="106"/>
      <c r="E200" s="106"/>
      <c r="F200" s="105"/>
      <c r="G200" s="106"/>
      <c r="H200" s="106"/>
      <c r="I200" s="106"/>
      <c r="J200" s="106"/>
    </row>
    <row r="201" spans="1:10" ht="14.25" customHeight="1">
      <c r="A201" s="105" t="s">
        <v>75</v>
      </c>
      <c r="B201" s="106"/>
      <c r="C201" s="105" t="s">
        <v>76</v>
      </c>
      <c r="D201" s="106"/>
      <c r="E201" s="106"/>
      <c r="F201" s="27" t="s">
        <v>54</v>
      </c>
      <c r="G201" s="107">
        <v>3</v>
      </c>
      <c r="H201" s="106"/>
      <c r="I201" s="107">
        <v>0.03</v>
      </c>
      <c r="J201" s="106"/>
    </row>
    <row r="202" spans="1:10" ht="24.95" customHeight="1">
      <c r="A202" s="126" t="s">
        <v>77</v>
      </c>
      <c r="B202" s="106"/>
      <c r="C202" s="105" t="s">
        <v>78</v>
      </c>
      <c r="D202" s="106"/>
      <c r="E202" s="106"/>
      <c r="F202" s="105"/>
      <c r="G202" s="106"/>
      <c r="H202" s="106"/>
      <c r="I202" s="106"/>
      <c r="J202" s="106"/>
    </row>
    <row r="203" spans="1:10" ht="14.25" customHeight="1">
      <c r="A203" s="105" t="s">
        <v>57</v>
      </c>
      <c r="B203" s="106"/>
      <c r="C203" s="105" t="s">
        <v>58</v>
      </c>
      <c r="D203" s="106"/>
      <c r="E203" s="106"/>
      <c r="F203" s="27"/>
      <c r="G203" s="107">
        <v>0.3</v>
      </c>
      <c r="H203" s="106"/>
      <c r="I203" s="107">
        <v>3.0000000000000001E-3</v>
      </c>
      <c r="J203" s="106"/>
    </row>
    <row r="204" spans="1:10" ht="24.95" customHeight="1">
      <c r="A204" s="126" t="s">
        <v>59</v>
      </c>
      <c r="B204" s="106"/>
      <c r="C204" s="105" t="s">
        <v>60</v>
      </c>
      <c r="D204" s="106"/>
      <c r="E204" s="106"/>
      <c r="F204" s="105"/>
      <c r="G204" s="106"/>
      <c r="H204" s="106"/>
      <c r="I204" s="106"/>
      <c r="J204" s="106"/>
    </row>
    <row r="205" spans="1:10" ht="14.25" customHeight="1">
      <c r="A205" s="105" t="s">
        <v>61</v>
      </c>
      <c r="B205" s="106"/>
      <c r="C205" s="105" t="s">
        <v>62</v>
      </c>
      <c r="D205" s="106"/>
      <c r="E205" s="106"/>
      <c r="F205" s="27"/>
      <c r="G205" s="107">
        <v>0.3</v>
      </c>
      <c r="H205" s="106"/>
      <c r="I205" s="107">
        <v>3.0000000000000001E-3</v>
      </c>
      <c r="J205" s="106"/>
    </row>
    <row r="206" spans="1:10" ht="24.95" customHeight="1">
      <c r="A206" s="126" t="s">
        <v>63</v>
      </c>
      <c r="B206" s="106"/>
      <c r="C206" s="105" t="s">
        <v>64</v>
      </c>
      <c r="D206" s="106"/>
      <c r="E206" s="106"/>
      <c r="F206" s="105"/>
      <c r="G206" s="106"/>
      <c r="H206" s="106"/>
      <c r="I206" s="106"/>
      <c r="J206" s="106"/>
    </row>
    <row r="207" spans="1:10" ht="14.25" customHeight="1">
      <c r="A207" s="105"/>
      <c r="B207" s="106"/>
      <c r="C207" s="105"/>
      <c r="D207" s="106"/>
      <c r="E207" s="106"/>
      <c r="F207" s="27"/>
      <c r="G207" s="107"/>
      <c r="H207" s="106"/>
      <c r="I207" s="107"/>
      <c r="J207" s="106"/>
    </row>
    <row r="208" spans="1:10" ht="24.95" customHeight="1" thickBot="1">
      <c r="A208" s="126"/>
      <c r="B208" s="106"/>
      <c r="C208" s="105"/>
      <c r="D208" s="106"/>
      <c r="E208" s="106"/>
      <c r="F208" s="105"/>
      <c r="G208" s="106"/>
      <c r="H208" s="106"/>
      <c r="I208" s="106"/>
      <c r="J208" s="106"/>
    </row>
    <row r="209" spans="1:14" s="5" customFormat="1" ht="18" customHeight="1">
      <c r="A209" s="28" t="s">
        <v>124</v>
      </c>
      <c r="B209" s="29" t="s">
        <v>125</v>
      </c>
      <c r="C209" s="148" t="s">
        <v>126</v>
      </c>
      <c r="D209" s="149"/>
      <c r="E209" s="30" t="s">
        <v>127</v>
      </c>
      <c r="F209" s="31" t="s">
        <v>128</v>
      </c>
      <c r="G209" s="32" t="s">
        <v>129</v>
      </c>
      <c r="H209" s="33" t="s">
        <v>130</v>
      </c>
      <c r="I209" s="137" t="s">
        <v>131</v>
      </c>
      <c r="J209" s="138"/>
    </row>
    <row r="210" spans="1:14" s="7" customFormat="1" ht="18" customHeight="1">
      <c r="A210" s="34" t="str">
        <f>_xlfn.XLOOKUP(B174,[3]VFDB2!$A:$A,[3]VFDB2!$J:$J)</f>
        <v>〇</v>
      </c>
      <c r="B210" s="35">
        <f>D174</f>
        <v>592</v>
      </c>
      <c r="C210" s="150" t="str">
        <f>_xlfn.XLOOKUP(B174,[3]VFDB2!$A:$A,[3]VFDB2!$Z:$Z)</f>
        <v>LED-A592</v>
      </c>
      <c r="D210" s="151"/>
      <c r="E210" s="146" cm="1">
        <f t="array" ref="E210">IFERROR(INDEX(_xlfn._xlws.FILTER([4]加工記録２!C:C,[4]加工記録２!U:U=B176),9),"")</f>
        <v>3</v>
      </c>
      <c r="F210" s="36" t="str" cm="1">
        <f t="array" ref="F210">IFERROR("切断加工：" &amp;_xlfn.TEXTJOIN(" / ",TRUE,INDEX(_xlfn._xlws.FILTER([4]加工記録２!M:M,[4]加工記録２!U:U=B176),9),INDEX(_xlfn._xlws.FILTER([4]加工記録２!N:N,[4]加工記録２!U:U=B176),9)),"")</f>
        <v>切断加工：I</v>
      </c>
      <c r="G210" s="37" cm="1">
        <f t="array" ref="G210:H214">IFERROR(IF(_xlfn.TAKE(_xlfn._xlws.FILTER([4]加工記録２!$M:$N,[4]加工記録２!$U:$U=B176),5)=0,"",_xlfn.TAKE(_xlfn._xlws.FILTER([4]加工記録２!$M:$N,[4]加工記録２!$U:$U=B176),5)),"")</f>
        <v>46136</v>
      </c>
      <c r="H210" s="38">
        <v>3</v>
      </c>
      <c r="I210" s="39" t="s">
        <v>132</v>
      </c>
      <c r="J210" s="40" cm="1">
        <f t="array" ref="J210:J215">IFERROR(INDEX(_xlfn._xlws.FILTER([4]加工記録２!P:P, [4]加工記録２!U:U=B176),_xlfn.SEQUENCE(6)),"")</f>
        <v>46136</v>
      </c>
    </row>
    <row r="211" spans="1:14" s="5" customFormat="1" ht="18" customHeight="1">
      <c r="A211" s="44" t="s">
        <v>133</v>
      </c>
      <c r="B211" s="45" t="s">
        <v>134</v>
      </c>
      <c r="C211" s="150"/>
      <c r="D211" s="151"/>
      <c r="E211" s="146"/>
      <c r="F211" s="46" t="str" cm="1">
        <f t="array" ref="F211">IFERROR("外観検査：" &amp;_xlfn.TEXTJOIN(" / ",TRUE,INDEX(_xlfn._xlws.FILTER([4]加工記録２!M:M,[4]加工記録２!U:U=B176),10),INDEX(_xlfn._xlws.FILTER([4]加工記録２!N:N,[4]加工記録２!U:U=B176),10)),"")</f>
        <v>外観検査：T / U</v>
      </c>
      <c r="G211" s="37" t="str">
        <v/>
      </c>
      <c r="H211" s="38" t="str">
        <v/>
      </c>
      <c r="I211" s="39" t="s">
        <v>135</v>
      </c>
      <c r="J211" s="41">
        <v>300</v>
      </c>
      <c r="K211" s="47"/>
    </row>
    <row r="212" spans="1:14" s="7" customFormat="1" ht="18" customHeight="1">
      <c r="A212" s="48" t="str">
        <f>_xlfn.XLOOKUP(B174,[3]VFDB2!$A:$A,[3]VFDB2!$L:$L)</f>
        <v>+0.5</v>
      </c>
      <c r="B212" s="49" t="str">
        <f>_xlfn.XLOOKUP(B174,[3]VFDB2!$A:$A,[3]VFDB2!$AC:$AC)</f>
        <v>換算表確認</v>
      </c>
      <c r="C212" s="147" t="s">
        <v>136</v>
      </c>
      <c r="D212" s="144" t="str">
        <f>_xlfn.XLOOKUP(B174,[3]VFDB2!$A:$A,[3]VFDB2!$W:$W)</f>
        <v>クラフト紙：592型</v>
      </c>
      <c r="E212" s="144"/>
      <c r="F212" s="145"/>
      <c r="G212" s="37" t="str">
        <v/>
      </c>
      <c r="H212" s="38" t="str">
        <v/>
      </c>
      <c r="I212" s="39" t="s">
        <v>137</v>
      </c>
      <c r="J212" s="41">
        <v>101.66666666666667</v>
      </c>
      <c r="K212" s="50"/>
    </row>
    <row r="213" spans="1:14" s="5" customFormat="1" ht="18" customHeight="1">
      <c r="A213" s="51" t="s">
        <v>138</v>
      </c>
      <c r="B213" s="52" t="s">
        <v>139</v>
      </c>
      <c r="C213" s="147"/>
      <c r="D213" s="144" t="str">
        <f>_xlfn.XLOOKUP(B174,[3]VFDB2!$A:$A,[3]VFDB2!$R:$R)</f>
        <v>ラベル１枚　長手無　鉢巻１回</v>
      </c>
      <c r="E213" s="144"/>
      <c r="F213" s="145"/>
      <c r="G213" s="37" t="str">
        <v/>
      </c>
      <c r="H213" s="38" t="str">
        <v/>
      </c>
      <c r="I213" s="39" t="s">
        <v>140</v>
      </c>
      <c r="J213" s="41">
        <v>5</v>
      </c>
      <c r="K213" s="47"/>
    </row>
    <row r="214" spans="1:14" s="7" customFormat="1" ht="18" customHeight="1" thickBot="1">
      <c r="A214" s="53" t="str">
        <f>_xlfn.XLOOKUP(B174,[3]VFDB2!$A:$A,[3]VFDB2!$K:$K)</f>
        <v>-0.5</v>
      </c>
      <c r="B214" s="54">
        <f>_xlfn.XLOOKUP(B174,[3]VFDB2!$A:$A,[3]VFDB2!$P:$P)</f>
        <v>3</v>
      </c>
      <c r="C214" s="55" t="s">
        <v>141</v>
      </c>
      <c r="D214" s="152" t="str">
        <f>_xlfn.XLOOKUP(B174,[3]VFDB2!$A:$A,[3]VFDB2!$V:$V)</f>
        <v>1箱目の梱包数 目視確認　以降、重量測定</v>
      </c>
      <c r="E214" s="152"/>
      <c r="F214" s="153"/>
      <c r="G214" s="56" t="str">
        <v/>
      </c>
      <c r="H214" s="57" t="str">
        <v/>
      </c>
      <c r="I214" s="39" t="s">
        <v>142</v>
      </c>
      <c r="J214" s="42">
        <v>1.6666666666666667</v>
      </c>
      <c r="K214" s="50"/>
    </row>
    <row r="215" spans="1:14" s="5" customFormat="1" ht="18" customHeight="1" thickBot="1">
      <c r="A215" s="58" t="s">
        <v>143</v>
      </c>
      <c r="B215" s="59" t="str" cm="1">
        <f t="array" ref="B215">IF(SUM(--(ISTEXT(B216:B226)*(B216:B226&lt;&gt;"")))=0,"計測Lot","計測Lot・加工数")</f>
        <v>計測Lot・加工数</v>
      </c>
      <c r="C215" s="60" t="s">
        <v>144</v>
      </c>
      <c r="D215" s="61" t="s">
        <v>145</v>
      </c>
      <c r="E215" s="62" t="s">
        <v>146</v>
      </c>
      <c r="F215" s="63" t="str" cm="1">
        <f t="array" ref="F215">IF(SUM(--(ISTEXT(B216:B226)*(B216:B226&lt;&gt;"")))=0,"記入不要","使用Lot")</f>
        <v>使用Lot</v>
      </c>
      <c r="G215" s="64" t="s">
        <v>147</v>
      </c>
      <c r="H215" s="65" t="s">
        <v>148</v>
      </c>
      <c r="I215" s="66" t="s">
        <v>149</v>
      </c>
      <c r="J215" s="43">
        <v>0</v>
      </c>
      <c r="K215" s="47"/>
    </row>
    <row r="216" spans="1:14" s="7" customFormat="1" ht="18" customHeight="1">
      <c r="A216" s="67" cm="1">
        <f t="array" ref="A216:A226">IFERROR(INDEX(_xlfn._xlws.FILTER([4]加工記録２!$D:$D,[4]加工記録２!$U:$U=B176),_xlfn.SEQUENCE(11),0),"")</f>
        <v>0</v>
      </c>
      <c r="B216" s="71" t="str" cm="1">
        <f t="array" ref="B216:B226">IFERROR(IF(INDEX(_xlfn._xlws.FILTER([4]加工記録２!$E:$E,[4]加工記録２!$U:$U=B176),_xlfn.SEQUENCE(11))="","",INDEX(_xlfn._xlws.FILTER([4]加工記録２!$E:$E,[4]加工記録２!$U:$U=B176),_xlfn.SEQUENCE(11)) &amp; IF(INDEX(_xlfn._xlws.FILTER([4]加工記録２!$F:$F,[4]加工記録２!$U:$U=B176),_xlfn.SEQUENCE(11))="","", " × " &amp; INDEX(_xlfn._xlws.FILTER([4]加工記録２!$F:$F,[4]加工記録２!$U:$U=B176),_xlfn.SEQUENCE(11)))),"")</f>
        <v/>
      </c>
      <c r="C216" s="74"/>
      <c r="D216" s="75"/>
      <c r="E216" s="76"/>
      <c r="F216" s="77"/>
      <c r="G216" s="78"/>
      <c r="H216" s="79"/>
      <c r="I216" s="154" t="s">
        <v>150</v>
      </c>
      <c r="J216" s="155"/>
      <c r="K216" s="80"/>
    </row>
    <row r="217" spans="1:14" s="5" customFormat="1" ht="18" customHeight="1">
      <c r="A217" s="68">
        <v>46136</v>
      </c>
      <c r="B217" s="72" t="str">
        <v>26D15-05</v>
      </c>
      <c r="C217" s="81"/>
      <c r="D217" s="82"/>
      <c r="E217" s="83"/>
      <c r="F217" s="84"/>
      <c r="G217" s="81"/>
      <c r="H217" s="85"/>
      <c r="I217" s="86" t="s">
        <v>151</v>
      </c>
      <c r="J217" s="85" cm="1">
        <f t="array" ref="J217:J226">IFERROR(INDEX(_xlfn._xlws.FILTER([4]加工記録２!R:R, [4]加工記録２!U:U=B176),_xlfn.SEQUENCE(10)),"")</f>
        <v>2</v>
      </c>
      <c r="K217" s="80"/>
    </row>
    <row r="218" spans="1:14" s="91" customFormat="1" ht="18.95" customHeight="1">
      <c r="A218" s="69">
        <v>46136</v>
      </c>
      <c r="B218" s="72" t="str">
        <v>26D15-05 × 300</v>
      </c>
      <c r="C218" s="81"/>
      <c r="D218" s="82"/>
      <c r="E218" s="83"/>
      <c r="F218" s="84"/>
      <c r="G218" s="81"/>
      <c r="H218" s="85"/>
      <c r="I218" s="86" t="s">
        <v>152</v>
      </c>
      <c r="J218" s="85">
        <v>2</v>
      </c>
      <c r="K218" s="89"/>
      <c r="L218" s="90"/>
      <c r="M218" s="90"/>
      <c r="N218" s="90"/>
    </row>
    <row r="219" spans="1:14" s="94" customFormat="1" ht="18.95" customHeight="1">
      <c r="A219" s="69">
        <v>0</v>
      </c>
      <c r="B219" s="72" t="str">
        <v/>
      </c>
      <c r="C219" s="81"/>
      <c r="D219" s="82"/>
      <c r="E219" s="83"/>
      <c r="F219" s="84"/>
      <c r="G219" s="81"/>
      <c r="H219" s="85"/>
      <c r="I219" s="86" t="s">
        <v>153</v>
      </c>
      <c r="J219" s="85">
        <v>1</v>
      </c>
      <c r="K219" s="92"/>
      <c r="L219" s="93"/>
      <c r="M219" s="93"/>
      <c r="N219" s="93"/>
    </row>
    <row r="220" spans="1:14" s="94" customFormat="1" ht="18.95" customHeight="1">
      <c r="A220" s="69">
        <v>0</v>
      </c>
      <c r="B220" s="72" t="str">
        <v/>
      </c>
      <c r="C220" s="81"/>
      <c r="D220" s="82"/>
      <c r="E220" s="83"/>
      <c r="F220" s="84"/>
      <c r="G220" s="81"/>
      <c r="H220" s="85"/>
      <c r="I220" s="86" t="s">
        <v>154</v>
      </c>
      <c r="J220" s="85">
        <v>0</v>
      </c>
      <c r="K220" s="92"/>
      <c r="L220" s="93"/>
      <c r="M220" s="93"/>
      <c r="N220" s="93"/>
    </row>
    <row r="221" spans="1:14" s="94" customFormat="1" ht="18.95" customHeight="1">
      <c r="A221" s="69">
        <v>0</v>
      </c>
      <c r="B221" s="72" t="str">
        <v/>
      </c>
      <c r="C221" s="81"/>
      <c r="D221" s="82"/>
      <c r="E221" s="83"/>
      <c r="F221" s="84"/>
      <c r="G221" s="81"/>
      <c r="H221" s="85"/>
      <c r="I221" s="86" t="s">
        <v>155</v>
      </c>
      <c r="J221" s="85">
        <v>0</v>
      </c>
      <c r="K221" s="92"/>
      <c r="L221" s="93"/>
      <c r="M221" s="93"/>
      <c r="N221" s="93"/>
    </row>
    <row r="222" spans="1:14" s="94" customFormat="1" ht="18.95" customHeight="1">
      <c r="A222" s="69">
        <v>0</v>
      </c>
      <c r="B222" s="72" t="str">
        <v/>
      </c>
      <c r="C222" s="81"/>
      <c r="D222" s="82"/>
      <c r="E222" s="83"/>
      <c r="F222" s="84"/>
      <c r="G222" s="81"/>
      <c r="H222" s="85"/>
      <c r="I222" s="86" t="s">
        <v>156</v>
      </c>
      <c r="J222" s="85">
        <v>0</v>
      </c>
      <c r="K222" s="92"/>
      <c r="L222" s="93"/>
      <c r="M222" s="93"/>
      <c r="N222" s="93"/>
    </row>
    <row r="223" spans="1:14" s="94" customFormat="1" ht="18.95" customHeight="1">
      <c r="A223" s="69">
        <v>0</v>
      </c>
      <c r="B223" s="72" t="str">
        <v/>
      </c>
      <c r="C223" s="81"/>
      <c r="D223" s="82"/>
      <c r="E223" s="83"/>
      <c r="F223" s="84"/>
      <c r="G223" s="81"/>
      <c r="H223" s="85"/>
      <c r="I223" s="95" t="s">
        <v>157</v>
      </c>
      <c r="J223" s="85">
        <v>0</v>
      </c>
      <c r="K223" s="92"/>
      <c r="L223" s="93"/>
      <c r="M223" s="93"/>
      <c r="N223" s="93"/>
    </row>
    <row r="224" spans="1:14" s="94" customFormat="1" ht="18.95" customHeight="1">
      <c r="A224" s="69">
        <v>0</v>
      </c>
      <c r="B224" s="72" t="str">
        <v/>
      </c>
      <c r="C224" s="81"/>
      <c r="D224" s="82"/>
      <c r="E224" s="83"/>
      <c r="F224" s="84"/>
      <c r="G224" s="81"/>
      <c r="H224" s="85"/>
      <c r="I224" s="95" t="s">
        <v>158</v>
      </c>
      <c r="J224" s="85">
        <v>0</v>
      </c>
      <c r="K224" s="92"/>
      <c r="L224" s="93"/>
      <c r="M224" s="93"/>
      <c r="N224" s="93"/>
    </row>
    <row r="225" spans="1:14" s="94" customFormat="1" ht="18.95" customHeight="1">
      <c r="A225" s="69">
        <v>0</v>
      </c>
      <c r="B225" s="72" t="str">
        <v/>
      </c>
      <c r="C225" s="81"/>
      <c r="D225" s="82"/>
      <c r="E225" s="83"/>
      <c r="F225" s="84"/>
      <c r="G225" s="81"/>
      <c r="H225" s="85"/>
      <c r="I225" s="86" t="s">
        <v>159</v>
      </c>
      <c r="J225" s="87">
        <v>0</v>
      </c>
      <c r="K225" s="92"/>
      <c r="L225" s="93"/>
      <c r="M225" s="93"/>
      <c r="N225" s="93"/>
    </row>
    <row r="226" spans="1:14" s="94" customFormat="1" ht="18.95" customHeight="1" thickBot="1">
      <c r="A226" s="70" t="str">
        <v>不良補填</v>
      </c>
      <c r="B226" s="73" t="str">
        <v>26A23-05 × 5</v>
      </c>
      <c r="C226" s="96"/>
      <c r="D226" s="97"/>
      <c r="E226" s="98"/>
      <c r="F226" s="99"/>
      <c r="G226" s="100"/>
      <c r="H226" s="101"/>
      <c r="I226" s="102" t="s">
        <v>160</v>
      </c>
      <c r="J226" s="88">
        <v>5</v>
      </c>
      <c r="K226" s="92"/>
      <c r="L226" s="93"/>
      <c r="M226" s="93"/>
      <c r="N226" s="93"/>
    </row>
    <row r="227" spans="1:14" ht="6" customHeight="1" thickBot="1">
      <c r="A227" s="103"/>
      <c r="B227" s="104"/>
      <c r="C227" s="104"/>
      <c r="D227" s="103"/>
      <c r="E227" s="104"/>
      <c r="F227" s="104"/>
      <c r="G227" s="104"/>
      <c r="H227" s="104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36" t="s">
        <v>0</v>
      </c>
      <c r="C229" s="106"/>
      <c r="D229" s="106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06"/>
      <c r="C230" s="106"/>
      <c r="D230" s="106"/>
      <c r="E230" s="12"/>
      <c r="F230" s="12"/>
      <c r="G230" s="12"/>
      <c r="H230" s="12"/>
      <c r="I230" s="12"/>
      <c r="J230" s="12"/>
    </row>
    <row r="231" spans="1:14" ht="14.25" customHeight="1">
      <c r="A231" s="108" t="s">
        <v>1</v>
      </c>
      <c r="B231" s="108" t="s">
        <v>69</v>
      </c>
      <c r="C231" s="108" t="s">
        <v>3</v>
      </c>
      <c r="D231" s="131">
        <v>592</v>
      </c>
      <c r="E231" s="108" t="s">
        <v>4</v>
      </c>
      <c r="F231" s="109" t="s">
        <v>70</v>
      </c>
      <c r="G231" s="106"/>
      <c r="H231" s="106"/>
      <c r="I231" s="24" t="s">
        <v>6</v>
      </c>
      <c r="J231" s="24" t="s">
        <v>7</v>
      </c>
    </row>
    <row r="232" spans="1:14" ht="14.25" customHeight="1">
      <c r="A232" s="106"/>
      <c r="B232" s="106"/>
      <c r="C232" s="106"/>
      <c r="D232" s="106"/>
      <c r="E232" s="106"/>
      <c r="F232" s="106"/>
      <c r="G232" s="106"/>
      <c r="H232" s="106"/>
      <c r="I232" s="119"/>
      <c r="J232" s="119"/>
    </row>
    <row r="233" spans="1:14" ht="17.45" customHeight="1">
      <c r="A233" s="125" t="s">
        <v>8</v>
      </c>
      <c r="B233" s="125" t="s">
        <v>79</v>
      </c>
      <c r="E233" s="125" t="s">
        <v>10</v>
      </c>
      <c r="F233" s="140" t="s">
        <v>72</v>
      </c>
      <c r="G233" s="106"/>
      <c r="H233" s="106"/>
      <c r="I233" s="120"/>
      <c r="J233" s="120"/>
    </row>
    <row r="234" spans="1:14" ht="17.45" customHeight="1">
      <c r="A234" s="106"/>
      <c r="B234" s="106"/>
      <c r="E234" s="106"/>
      <c r="F234" s="106"/>
      <c r="G234" s="106"/>
      <c r="H234" s="106"/>
      <c r="I234" s="13"/>
      <c r="J234" s="13"/>
    </row>
    <row r="235" spans="1:14" ht="17.45" customHeight="1">
      <c r="A235" s="125" t="s">
        <v>12</v>
      </c>
      <c r="B235" s="125" t="s">
        <v>80</v>
      </c>
      <c r="E235" s="2" t="s">
        <v>14</v>
      </c>
      <c r="F235" s="140" t="s">
        <v>15</v>
      </c>
      <c r="G235" s="106"/>
      <c r="H235" s="21"/>
      <c r="I235" s="13"/>
      <c r="J235" s="13"/>
    </row>
    <row r="236" spans="1:14" ht="17.45" customHeight="1">
      <c r="A236" s="106"/>
      <c r="B236" s="106"/>
      <c r="E236" s="2" t="s">
        <v>16</v>
      </c>
      <c r="F236" s="21" t="s">
        <v>17</v>
      </c>
      <c r="G236" s="21"/>
      <c r="H236" s="21"/>
      <c r="I236" s="14"/>
      <c r="J236" s="14"/>
    </row>
    <row r="237" spans="1:14" ht="17.45" customHeight="1">
      <c r="A237" s="2" t="s">
        <v>18</v>
      </c>
      <c r="B237" s="4">
        <v>46154</v>
      </c>
      <c r="E237" s="2" t="s">
        <v>19</v>
      </c>
      <c r="F237" s="141">
        <v>100</v>
      </c>
      <c r="G237" s="106"/>
      <c r="H237" s="21"/>
    </row>
    <row r="238" spans="1:14" ht="17.45" customHeight="1">
      <c r="A238" s="2" t="s">
        <v>20</v>
      </c>
      <c r="B238" s="4">
        <v>46154</v>
      </c>
      <c r="E238" s="2" t="s">
        <v>21</v>
      </c>
      <c r="F238" s="21">
        <v>1</v>
      </c>
      <c r="G238" s="133" t="s">
        <v>22</v>
      </c>
      <c r="H238" s="112">
        <v>100</v>
      </c>
      <c r="I238" s="113"/>
      <c r="J238" s="114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15"/>
      <c r="H239" s="115"/>
      <c r="I239" s="116"/>
      <c r="J239" s="117"/>
    </row>
    <row r="240" spans="1:14" ht="13.5" customHeight="1">
      <c r="A240" s="118" t="s">
        <v>74</v>
      </c>
      <c r="B240" s="106"/>
      <c r="C240" s="106"/>
      <c r="D240" s="20"/>
      <c r="F240" s="3"/>
      <c r="G240" s="132" t="s">
        <v>26</v>
      </c>
      <c r="H240" s="110" t="s">
        <v>27</v>
      </c>
      <c r="I240" s="129" t="s">
        <v>28</v>
      </c>
      <c r="J240" s="130"/>
    </row>
    <row r="241" spans="1:10" ht="13.5" customHeight="1">
      <c r="A241" s="106"/>
      <c r="B241" s="106"/>
      <c r="C241" s="106"/>
      <c r="D241" s="20"/>
      <c r="F241" s="3"/>
      <c r="G241" s="111"/>
      <c r="H241" s="111"/>
      <c r="I241" s="116"/>
      <c r="J241" s="117"/>
    </row>
    <row r="242" spans="1:10" ht="13.5" customHeight="1">
      <c r="A242" s="1" t="s">
        <v>29</v>
      </c>
    </row>
    <row r="243" spans="1:10" ht="63" customHeight="1">
      <c r="A243" s="123"/>
      <c r="B243" s="124"/>
      <c r="C243" s="124"/>
      <c r="D243" s="124"/>
      <c r="E243" s="124"/>
      <c r="F243" s="124"/>
      <c r="G243" s="124"/>
      <c r="H243" s="124"/>
      <c r="I243" s="124"/>
      <c r="J243" s="124"/>
    </row>
    <row r="244" spans="1:10" ht="18.75">
      <c r="A244" s="23" t="s">
        <v>30</v>
      </c>
      <c r="B244" s="16" t="s">
        <v>31</v>
      </c>
      <c r="C244" s="134" t="s">
        <v>32</v>
      </c>
      <c r="D244" s="128"/>
      <c r="E244" s="16" t="s">
        <v>33</v>
      </c>
      <c r="F244" s="134" t="s">
        <v>34</v>
      </c>
      <c r="G244" s="128"/>
      <c r="H244" s="128"/>
      <c r="I244" s="127" t="s">
        <v>35</v>
      </c>
      <c r="J244" s="128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5" t="s">
        <v>36</v>
      </c>
      <c r="C246" s="105" t="s">
        <v>37</v>
      </c>
      <c r="D246" s="106"/>
      <c r="E246" s="25" t="s">
        <v>38</v>
      </c>
      <c r="F246" s="105" t="s">
        <v>39</v>
      </c>
      <c r="G246" s="106"/>
      <c r="H246" s="106"/>
      <c r="I246" s="135"/>
      <c r="J246" s="106"/>
    </row>
    <row r="247" spans="1:10" ht="16.5" customHeight="1">
      <c r="A247" s="22">
        <v>1</v>
      </c>
      <c r="B247" s="26" t="s">
        <v>36</v>
      </c>
      <c r="C247" s="105" t="s">
        <v>37</v>
      </c>
      <c r="D247" s="106"/>
      <c r="E247" s="25" t="s">
        <v>40</v>
      </c>
      <c r="F247" s="105" t="s">
        <v>41</v>
      </c>
      <c r="G247" s="106"/>
      <c r="H247" s="106"/>
      <c r="I247" s="135"/>
      <c r="J247" s="106"/>
    </row>
    <row r="248" spans="1:10" ht="16.5" customHeight="1">
      <c r="A248" s="22"/>
      <c r="B248" s="26"/>
      <c r="C248" s="105"/>
      <c r="D248" s="106"/>
      <c r="E248" s="25"/>
      <c r="F248" s="105"/>
      <c r="G248" s="106"/>
      <c r="H248" s="106"/>
      <c r="I248" s="135"/>
      <c r="J248" s="106"/>
    </row>
    <row r="249" spans="1:10" ht="16.5" customHeight="1">
      <c r="A249" s="22"/>
      <c r="B249" s="26"/>
      <c r="C249" s="105"/>
      <c r="D249" s="106"/>
      <c r="E249" s="25"/>
      <c r="F249" s="105"/>
      <c r="G249" s="106"/>
      <c r="H249" s="106"/>
      <c r="I249" s="135"/>
      <c r="J249" s="106"/>
    </row>
    <row r="250" spans="1:10" ht="16.5" customHeight="1">
      <c r="A250" s="22"/>
      <c r="B250" s="26"/>
      <c r="C250" s="105"/>
      <c r="D250" s="106"/>
      <c r="E250" s="25"/>
      <c r="F250" s="105"/>
      <c r="G250" s="106"/>
      <c r="H250" s="106"/>
      <c r="I250" s="135"/>
      <c r="J250" s="106"/>
    </row>
    <row r="251" spans="1:10" ht="16.5" customHeight="1">
      <c r="A251" s="22"/>
      <c r="B251" s="26"/>
      <c r="C251" s="105"/>
      <c r="D251" s="106"/>
      <c r="E251" s="25"/>
      <c r="F251" s="105"/>
      <c r="G251" s="106"/>
      <c r="H251" s="106"/>
      <c r="I251" s="135"/>
      <c r="J251" s="106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21" t="s">
        <v>42</v>
      </c>
      <c r="B253" s="122"/>
      <c r="C253" s="121" t="s">
        <v>43</v>
      </c>
      <c r="D253" s="122"/>
      <c r="E253" s="122"/>
      <c r="F253" s="17" t="s">
        <v>44</v>
      </c>
      <c r="G253" s="121" t="s">
        <v>45</v>
      </c>
      <c r="H253" s="122"/>
      <c r="I253" s="121" t="s">
        <v>46</v>
      </c>
      <c r="J253" s="122"/>
    </row>
    <row r="254" spans="1:10" ht="14.25" customHeight="1">
      <c r="A254" s="8"/>
      <c r="B254" s="18"/>
      <c r="C254" s="143" t="s">
        <v>47</v>
      </c>
      <c r="D254" s="116"/>
      <c r="E254" s="18"/>
      <c r="F254" s="143" t="s">
        <v>29</v>
      </c>
      <c r="G254" s="116"/>
      <c r="H254" s="116"/>
      <c r="I254" s="116"/>
      <c r="J254" s="116"/>
    </row>
    <row r="255" spans="1:10">
      <c r="A255" s="9"/>
      <c r="C255" s="7"/>
      <c r="D255" s="7"/>
      <c r="E255" s="7"/>
    </row>
    <row r="256" spans="1:10" ht="14.25" customHeight="1">
      <c r="A256" s="105" t="s">
        <v>48</v>
      </c>
      <c r="B256" s="106"/>
      <c r="C256" s="105" t="s">
        <v>49</v>
      </c>
      <c r="D256" s="106"/>
      <c r="E256" s="106"/>
      <c r="F256" s="27" t="s">
        <v>50</v>
      </c>
      <c r="G256" s="107">
        <v>33.299999999999997</v>
      </c>
      <c r="H256" s="106"/>
      <c r="I256" s="107">
        <v>0.33300000000000002</v>
      </c>
      <c r="J256" s="106"/>
    </row>
    <row r="257" spans="1:11" ht="24.95" customHeight="1">
      <c r="A257" s="126" t="s">
        <v>51</v>
      </c>
      <c r="B257" s="106"/>
      <c r="C257" s="105"/>
      <c r="D257" s="106"/>
      <c r="E257" s="106"/>
      <c r="F257" s="105"/>
      <c r="G257" s="106"/>
      <c r="H257" s="106"/>
      <c r="I257" s="106"/>
      <c r="J257" s="106"/>
    </row>
    <row r="258" spans="1:11" ht="14.25" customHeight="1">
      <c r="A258" s="105" t="s">
        <v>75</v>
      </c>
      <c r="B258" s="106"/>
      <c r="C258" s="105" t="s">
        <v>76</v>
      </c>
      <c r="D258" s="106"/>
      <c r="E258" s="106"/>
      <c r="F258" s="27" t="s">
        <v>54</v>
      </c>
      <c r="G258" s="107">
        <v>1</v>
      </c>
      <c r="H258" s="106"/>
      <c r="I258" s="107">
        <v>0.01</v>
      </c>
      <c r="J258" s="106"/>
    </row>
    <row r="259" spans="1:11" ht="24.95" customHeight="1">
      <c r="A259" s="126" t="s">
        <v>77</v>
      </c>
      <c r="B259" s="106"/>
      <c r="C259" s="105" t="s">
        <v>78</v>
      </c>
      <c r="D259" s="106"/>
      <c r="E259" s="106"/>
      <c r="F259" s="105"/>
      <c r="G259" s="106"/>
      <c r="H259" s="106"/>
      <c r="I259" s="106"/>
      <c r="J259" s="106"/>
    </row>
    <row r="260" spans="1:11" ht="14.25" customHeight="1">
      <c r="A260" s="105" t="s">
        <v>57</v>
      </c>
      <c r="B260" s="106"/>
      <c r="C260" s="105" t="s">
        <v>58</v>
      </c>
      <c r="D260" s="106"/>
      <c r="E260" s="106"/>
      <c r="F260" s="27"/>
      <c r="G260" s="107">
        <v>0.1</v>
      </c>
      <c r="H260" s="106"/>
      <c r="I260" s="107">
        <v>1E-3</v>
      </c>
      <c r="J260" s="106"/>
    </row>
    <row r="261" spans="1:11" ht="24.95" customHeight="1">
      <c r="A261" s="126" t="s">
        <v>59</v>
      </c>
      <c r="B261" s="106"/>
      <c r="C261" s="105" t="s">
        <v>60</v>
      </c>
      <c r="D261" s="106"/>
      <c r="E261" s="106"/>
      <c r="F261" s="105"/>
      <c r="G261" s="106"/>
      <c r="H261" s="106"/>
      <c r="I261" s="106"/>
      <c r="J261" s="106"/>
    </row>
    <row r="262" spans="1:11" ht="14.25" customHeight="1">
      <c r="A262" s="105" t="s">
        <v>61</v>
      </c>
      <c r="B262" s="106"/>
      <c r="C262" s="105" t="s">
        <v>62</v>
      </c>
      <c r="D262" s="106"/>
      <c r="E262" s="106"/>
      <c r="F262" s="27"/>
      <c r="G262" s="107">
        <v>0.1</v>
      </c>
      <c r="H262" s="106"/>
      <c r="I262" s="107">
        <v>1E-3</v>
      </c>
      <c r="J262" s="106"/>
    </row>
    <row r="263" spans="1:11" ht="24.95" customHeight="1">
      <c r="A263" s="126" t="s">
        <v>63</v>
      </c>
      <c r="B263" s="106"/>
      <c r="C263" s="105" t="s">
        <v>64</v>
      </c>
      <c r="D263" s="106"/>
      <c r="E263" s="106"/>
      <c r="F263" s="105"/>
      <c r="G263" s="106"/>
      <c r="H263" s="106"/>
      <c r="I263" s="106"/>
      <c r="J263" s="106"/>
    </row>
    <row r="264" spans="1:11" ht="14.25" customHeight="1">
      <c r="A264" s="105"/>
      <c r="B264" s="106"/>
      <c r="C264" s="105"/>
      <c r="D264" s="106"/>
      <c r="E264" s="106"/>
      <c r="F264" s="27"/>
      <c r="G264" s="107"/>
      <c r="H264" s="106"/>
      <c r="I264" s="107"/>
      <c r="J264" s="106"/>
    </row>
    <row r="265" spans="1:11" ht="24.95" customHeight="1" thickBot="1">
      <c r="A265" s="126"/>
      <c r="B265" s="106"/>
      <c r="C265" s="105"/>
      <c r="D265" s="106"/>
      <c r="E265" s="106"/>
      <c r="F265" s="105"/>
      <c r="G265" s="106"/>
      <c r="H265" s="106"/>
      <c r="I265" s="106"/>
      <c r="J265" s="106"/>
    </row>
    <row r="266" spans="1:11" s="5" customFormat="1" ht="18" customHeight="1">
      <c r="A266" s="28" t="s">
        <v>124</v>
      </c>
      <c r="B266" s="29" t="s">
        <v>125</v>
      </c>
      <c r="C266" s="148" t="s">
        <v>126</v>
      </c>
      <c r="D266" s="149"/>
      <c r="E266" s="30" t="s">
        <v>127</v>
      </c>
      <c r="F266" s="31" t="s">
        <v>128</v>
      </c>
      <c r="G266" s="32" t="s">
        <v>129</v>
      </c>
      <c r="H266" s="33" t="s">
        <v>130</v>
      </c>
      <c r="I266" s="137" t="s">
        <v>131</v>
      </c>
      <c r="J266" s="138"/>
    </row>
    <row r="267" spans="1:11" s="7" customFormat="1" ht="18" customHeight="1">
      <c r="A267" s="34" t="str">
        <f>_xlfn.XLOOKUP(B231,[3]VFDB2!$A:$A,[3]VFDB2!$J:$J)</f>
        <v>〇</v>
      </c>
      <c r="B267" s="35">
        <f>D231</f>
        <v>592</v>
      </c>
      <c r="C267" s="150" t="str">
        <f>_xlfn.XLOOKUP(B231,[3]VFDB2!$A:$A,[3]VFDB2!$Z:$Z)</f>
        <v>LED-A592</v>
      </c>
      <c r="D267" s="151"/>
      <c r="E267" s="146" cm="1">
        <f t="array" ref="E267">IFERROR(INDEX(_xlfn._xlws.FILTER([4]加工記録２!C:C,[4]加工記録２!U:U=B233),9),"")</f>
        <v>1</v>
      </c>
      <c r="F267" s="36" t="str" cm="1">
        <f t="array" ref="F267">IFERROR("切断加工：" &amp;_xlfn.TEXTJOIN(" / ",TRUE,INDEX(_xlfn._xlws.FILTER([4]加工記録２!M:M,[4]加工記録２!U:U=B233),9),INDEX(_xlfn._xlws.FILTER([4]加工記録２!N:N,[4]加工記録２!U:U=B233),9)),"")</f>
        <v>切断加工：I</v>
      </c>
      <c r="G267" s="37" cm="1">
        <f t="array" ref="G267:H271">IFERROR(IF(_xlfn.TAKE(_xlfn._xlws.FILTER([4]加工記録２!$M:$N,[4]加工記録２!$U:$U=B233),5)=0,"",_xlfn.TAKE(_xlfn._xlws.FILTER([4]加工記録２!$M:$N,[4]加工記録２!$U:$U=B233),5)),"")</f>
        <v>46136</v>
      </c>
      <c r="H267" s="38">
        <v>1</v>
      </c>
      <c r="I267" s="39" t="s">
        <v>132</v>
      </c>
      <c r="J267" s="40" cm="1">
        <f t="array" ref="J267:J272">IFERROR(INDEX(_xlfn._xlws.FILTER([4]加工記録２!P:P, [4]加工記録２!U:U=B233),_xlfn.SEQUENCE(6)),"")</f>
        <v>46136</v>
      </c>
    </row>
    <row r="268" spans="1:11" s="5" customFormat="1" ht="18" customHeight="1">
      <c r="A268" s="44" t="s">
        <v>133</v>
      </c>
      <c r="B268" s="45" t="s">
        <v>134</v>
      </c>
      <c r="C268" s="150"/>
      <c r="D268" s="151"/>
      <c r="E268" s="146"/>
      <c r="F268" s="46" t="str" cm="1">
        <f t="array" ref="F268">IFERROR("外観検査：" &amp;_xlfn.TEXTJOIN(" / ",TRUE,INDEX(_xlfn._xlws.FILTER([4]加工記録２!M:M,[4]加工記録２!U:U=B233),10),INDEX(_xlfn._xlws.FILTER([4]加工記録２!N:N,[4]加工記録２!U:U=B233),10)),"")</f>
        <v>外観検査：U</v>
      </c>
      <c r="G268" s="37" t="str">
        <v/>
      </c>
      <c r="H268" s="38" t="str">
        <v/>
      </c>
      <c r="I268" s="39" t="s">
        <v>135</v>
      </c>
      <c r="J268" s="41">
        <v>100</v>
      </c>
      <c r="K268" s="47"/>
    </row>
    <row r="269" spans="1:11" s="7" customFormat="1" ht="18" customHeight="1">
      <c r="A269" s="48" t="str">
        <f>_xlfn.XLOOKUP(B231,[3]VFDB2!$A:$A,[3]VFDB2!$L:$L)</f>
        <v>+0.5</v>
      </c>
      <c r="B269" s="49" t="str">
        <f>_xlfn.XLOOKUP(B231,[3]VFDB2!$A:$A,[3]VFDB2!$AC:$AC)</f>
        <v>換算表確認</v>
      </c>
      <c r="C269" s="147" t="s">
        <v>136</v>
      </c>
      <c r="D269" s="144" t="str">
        <f>_xlfn.XLOOKUP(B231,[3]VFDB2!$A:$A,[3]VFDB2!$W:$W)</f>
        <v>クラフト紙：592型</v>
      </c>
      <c r="E269" s="144"/>
      <c r="F269" s="145"/>
      <c r="G269" s="37" t="str">
        <v/>
      </c>
      <c r="H269" s="38" t="str">
        <v/>
      </c>
      <c r="I269" s="39" t="s">
        <v>137</v>
      </c>
      <c r="J269" s="41">
        <v>33.333333333333336</v>
      </c>
      <c r="K269" s="50"/>
    </row>
    <row r="270" spans="1:11" s="5" customFormat="1" ht="18" customHeight="1">
      <c r="A270" s="51" t="s">
        <v>138</v>
      </c>
      <c r="B270" s="52" t="s">
        <v>139</v>
      </c>
      <c r="C270" s="147"/>
      <c r="D270" s="144" t="str">
        <f>_xlfn.XLOOKUP(B231,[3]VFDB2!$A:$A,[3]VFDB2!$R:$R)</f>
        <v>ラベル１枚　長手無　鉢巻１回</v>
      </c>
      <c r="E270" s="144"/>
      <c r="F270" s="145"/>
      <c r="G270" s="37" t="str">
        <v/>
      </c>
      <c r="H270" s="38" t="str">
        <v/>
      </c>
      <c r="I270" s="39" t="s">
        <v>140</v>
      </c>
      <c r="J270" s="41">
        <v>0</v>
      </c>
      <c r="K270" s="47"/>
    </row>
    <row r="271" spans="1:11" s="7" customFormat="1" ht="18" customHeight="1" thickBot="1">
      <c r="A271" s="53" t="str">
        <f>_xlfn.XLOOKUP(B231,[3]VFDB2!$A:$A,[3]VFDB2!$K:$K)</f>
        <v>-0.5</v>
      </c>
      <c r="B271" s="54">
        <f>_xlfn.XLOOKUP(B231,[3]VFDB2!$A:$A,[3]VFDB2!$P:$P)</f>
        <v>3</v>
      </c>
      <c r="C271" s="55" t="s">
        <v>141</v>
      </c>
      <c r="D271" s="152" t="str">
        <f>_xlfn.XLOOKUP(B231,[3]VFDB2!$A:$A,[3]VFDB2!$V:$V)</f>
        <v>1箱目の梱包数 目視確認　以降、重量測定</v>
      </c>
      <c r="E271" s="152"/>
      <c r="F271" s="153"/>
      <c r="G271" s="56" t="str">
        <v/>
      </c>
      <c r="H271" s="57" t="str">
        <v/>
      </c>
      <c r="I271" s="39" t="s">
        <v>142</v>
      </c>
      <c r="J271" s="42">
        <v>0</v>
      </c>
      <c r="K271" s="50"/>
    </row>
    <row r="272" spans="1:11" s="5" customFormat="1" ht="18" customHeight="1" thickBot="1">
      <c r="A272" s="58" t="s">
        <v>143</v>
      </c>
      <c r="B272" s="59" t="str" cm="1">
        <f t="array" ref="B272">IF(SUM(--(ISTEXT(B273:B283)*(B273:B283&lt;&gt;"")))=0,"計測Lot","計測Lot・加工数")</f>
        <v>計測Lot・加工数</v>
      </c>
      <c r="C272" s="60" t="s">
        <v>144</v>
      </c>
      <c r="D272" s="61" t="s">
        <v>145</v>
      </c>
      <c r="E272" s="62" t="s">
        <v>146</v>
      </c>
      <c r="F272" s="63" t="str" cm="1">
        <f t="array" ref="F272">IF(SUM(--(ISTEXT(B273:B283)*(B273:B283&lt;&gt;"")))=0,"記入不要","使用Lot")</f>
        <v>使用Lot</v>
      </c>
      <c r="G272" s="64" t="s">
        <v>147</v>
      </c>
      <c r="H272" s="65" t="s">
        <v>148</v>
      </c>
      <c r="I272" s="66" t="s">
        <v>149</v>
      </c>
      <c r="J272" s="43">
        <v>0</v>
      </c>
      <c r="K272" s="47"/>
    </row>
    <row r="273" spans="1:14" s="7" customFormat="1" ht="18" customHeight="1">
      <c r="A273" s="67" cm="1">
        <f t="array" ref="A273:A283">IFERROR(INDEX(_xlfn._xlws.FILTER([4]加工記録２!$D:$D,[4]加工記録２!$U:$U=B233),_xlfn.SEQUENCE(11),0),"")</f>
        <v>0</v>
      </c>
      <c r="B273" s="71" t="str" cm="1">
        <f t="array" ref="B273:B283">IFERROR(IF(INDEX(_xlfn._xlws.FILTER([4]加工記録２!$E:$E,[4]加工記録２!$U:$U=B233),_xlfn.SEQUENCE(11))="","",INDEX(_xlfn._xlws.FILTER([4]加工記録２!$E:$E,[4]加工記録２!$U:$U=B233),_xlfn.SEQUENCE(11)) &amp; IF(INDEX(_xlfn._xlws.FILTER([4]加工記録２!$F:$F,[4]加工記録２!$U:$U=B233),_xlfn.SEQUENCE(11))="","", " × " &amp; INDEX(_xlfn._xlws.FILTER([4]加工記録２!$F:$F,[4]加工記録２!$U:$U=B233),_xlfn.SEQUENCE(11)))),"")</f>
        <v/>
      </c>
      <c r="C273" s="74"/>
      <c r="D273" s="75"/>
      <c r="E273" s="76"/>
      <c r="F273" s="77"/>
      <c r="G273" s="78"/>
      <c r="H273" s="79"/>
      <c r="I273" s="154" t="s">
        <v>150</v>
      </c>
      <c r="J273" s="155"/>
      <c r="K273" s="80"/>
    </row>
    <row r="274" spans="1:14" s="5" customFormat="1" ht="18" customHeight="1">
      <c r="A274" s="68">
        <v>46136</v>
      </c>
      <c r="B274" s="72" t="str">
        <v>26D15-05</v>
      </c>
      <c r="C274" s="81"/>
      <c r="D274" s="82"/>
      <c r="E274" s="83"/>
      <c r="F274" s="84"/>
      <c r="G274" s="81"/>
      <c r="H274" s="85"/>
      <c r="I274" s="86" t="s">
        <v>151</v>
      </c>
      <c r="J274" s="85" cm="1">
        <f t="array" ref="J274:J283">IFERROR(INDEX(_xlfn._xlws.FILTER([4]加工記録２!R:R, [4]加工記録２!U:U=B233),_xlfn.SEQUENCE(10)),"")</f>
        <v>0</v>
      </c>
      <c r="K274" s="80"/>
    </row>
    <row r="275" spans="1:14" s="91" customFormat="1" ht="18.95" customHeight="1">
      <c r="A275" s="69">
        <v>46136</v>
      </c>
      <c r="B275" s="72" t="str">
        <v>26D15-05 × 100</v>
      </c>
      <c r="C275" s="81"/>
      <c r="D275" s="82"/>
      <c r="E275" s="83"/>
      <c r="F275" s="84"/>
      <c r="G275" s="81"/>
      <c r="H275" s="85"/>
      <c r="I275" s="86" t="s">
        <v>152</v>
      </c>
      <c r="J275" s="85">
        <v>0</v>
      </c>
      <c r="K275" s="89"/>
      <c r="L275" s="90"/>
      <c r="M275" s="90"/>
      <c r="N275" s="90"/>
    </row>
    <row r="276" spans="1:14" s="94" customFormat="1" ht="18.95" customHeight="1">
      <c r="A276" s="69">
        <v>0</v>
      </c>
      <c r="B276" s="72" t="str">
        <v/>
      </c>
      <c r="C276" s="81"/>
      <c r="D276" s="82"/>
      <c r="E276" s="83"/>
      <c r="F276" s="84"/>
      <c r="G276" s="81"/>
      <c r="H276" s="85"/>
      <c r="I276" s="86" t="s">
        <v>153</v>
      </c>
      <c r="J276" s="85">
        <v>0</v>
      </c>
      <c r="K276" s="92"/>
      <c r="L276" s="93"/>
      <c r="M276" s="93"/>
      <c r="N276" s="93"/>
    </row>
    <row r="277" spans="1:14" s="94" customFormat="1" ht="18.95" customHeight="1">
      <c r="A277" s="69">
        <v>0</v>
      </c>
      <c r="B277" s="72" t="str">
        <v/>
      </c>
      <c r="C277" s="81"/>
      <c r="D277" s="82"/>
      <c r="E277" s="83"/>
      <c r="F277" s="84"/>
      <c r="G277" s="81"/>
      <c r="H277" s="85"/>
      <c r="I277" s="86" t="s">
        <v>154</v>
      </c>
      <c r="J277" s="85">
        <v>0</v>
      </c>
      <c r="K277" s="92"/>
      <c r="L277" s="93"/>
      <c r="M277" s="93"/>
      <c r="N277" s="93"/>
    </row>
    <row r="278" spans="1:14" s="94" customFormat="1" ht="18.95" customHeight="1">
      <c r="A278" s="69">
        <v>0</v>
      </c>
      <c r="B278" s="72" t="str">
        <v/>
      </c>
      <c r="C278" s="81"/>
      <c r="D278" s="82"/>
      <c r="E278" s="83"/>
      <c r="F278" s="84"/>
      <c r="G278" s="81"/>
      <c r="H278" s="85"/>
      <c r="I278" s="86" t="s">
        <v>155</v>
      </c>
      <c r="J278" s="85">
        <v>0</v>
      </c>
      <c r="K278" s="92"/>
      <c r="L278" s="93"/>
      <c r="M278" s="93"/>
      <c r="N278" s="93"/>
    </row>
    <row r="279" spans="1:14" s="94" customFormat="1" ht="18.95" customHeight="1">
      <c r="A279" s="69">
        <v>0</v>
      </c>
      <c r="B279" s="72" t="str">
        <v/>
      </c>
      <c r="C279" s="81"/>
      <c r="D279" s="82"/>
      <c r="E279" s="83"/>
      <c r="F279" s="84"/>
      <c r="G279" s="81"/>
      <c r="H279" s="85"/>
      <c r="I279" s="86" t="s">
        <v>156</v>
      </c>
      <c r="J279" s="85">
        <v>0</v>
      </c>
      <c r="K279" s="92"/>
      <c r="L279" s="93"/>
      <c r="M279" s="93"/>
      <c r="N279" s="93"/>
    </row>
    <row r="280" spans="1:14" s="94" customFormat="1" ht="18.95" customHeight="1">
      <c r="A280" s="69">
        <v>0</v>
      </c>
      <c r="B280" s="72" t="str">
        <v/>
      </c>
      <c r="C280" s="81"/>
      <c r="D280" s="82"/>
      <c r="E280" s="83"/>
      <c r="F280" s="84"/>
      <c r="G280" s="81"/>
      <c r="H280" s="85"/>
      <c r="I280" s="95" t="s">
        <v>157</v>
      </c>
      <c r="J280" s="85">
        <v>0</v>
      </c>
      <c r="K280" s="92"/>
      <c r="L280" s="93"/>
      <c r="M280" s="93"/>
      <c r="N280" s="93"/>
    </row>
    <row r="281" spans="1:14" s="94" customFormat="1" ht="18.95" customHeight="1">
      <c r="A281" s="69">
        <v>0</v>
      </c>
      <c r="B281" s="72" t="str">
        <v/>
      </c>
      <c r="C281" s="81"/>
      <c r="D281" s="82"/>
      <c r="E281" s="83"/>
      <c r="F281" s="84"/>
      <c r="G281" s="81"/>
      <c r="H281" s="85"/>
      <c r="I281" s="95" t="s">
        <v>158</v>
      </c>
      <c r="J281" s="85">
        <v>0</v>
      </c>
      <c r="K281" s="92"/>
      <c r="L281" s="93"/>
      <c r="M281" s="93"/>
      <c r="N281" s="93"/>
    </row>
    <row r="282" spans="1:14" s="94" customFormat="1" ht="18.95" customHeight="1">
      <c r="A282" s="69">
        <v>0</v>
      </c>
      <c r="B282" s="72" t="str">
        <v/>
      </c>
      <c r="C282" s="81"/>
      <c r="D282" s="82"/>
      <c r="E282" s="83"/>
      <c r="F282" s="84"/>
      <c r="G282" s="81"/>
      <c r="H282" s="85"/>
      <c r="I282" s="86" t="s">
        <v>159</v>
      </c>
      <c r="J282" s="87">
        <v>0</v>
      </c>
      <c r="K282" s="92"/>
      <c r="L282" s="93"/>
      <c r="M282" s="93"/>
      <c r="N282" s="93"/>
    </row>
    <row r="283" spans="1:14" s="94" customFormat="1" ht="18.95" customHeight="1" thickBot="1">
      <c r="A283" s="70" t="str">
        <v>不良補填</v>
      </c>
      <c r="B283" s="73" t="str">
        <v/>
      </c>
      <c r="C283" s="96"/>
      <c r="D283" s="97"/>
      <c r="E283" s="98"/>
      <c r="F283" s="99"/>
      <c r="G283" s="100"/>
      <c r="H283" s="101"/>
      <c r="I283" s="102" t="s">
        <v>160</v>
      </c>
      <c r="J283" s="88">
        <v>0</v>
      </c>
      <c r="K283" s="92"/>
      <c r="L283" s="93"/>
      <c r="M283" s="93"/>
      <c r="N283" s="93"/>
    </row>
    <row r="284" spans="1:14" ht="6" customHeight="1" thickBot="1">
      <c r="A284" s="103"/>
      <c r="B284" s="104"/>
      <c r="C284" s="104"/>
      <c r="D284" s="103"/>
      <c r="E284" s="104"/>
      <c r="F284" s="104"/>
      <c r="G284" s="104"/>
      <c r="H284" s="104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36" t="s">
        <v>0</v>
      </c>
      <c r="C286" s="106"/>
      <c r="D286" s="106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06"/>
      <c r="C287" s="106"/>
      <c r="D287" s="106"/>
      <c r="E287" s="12"/>
      <c r="F287" s="12"/>
      <c r="G287" s="12"/>
      <c r="H287" s="12"/>
      <c r="I287" s="12"/>
      <c r="J287" s="12"/>
    </row>
    <row r="288" spans="1:14" ht="14.25" customHeight="1">
      <c r="A288" s="108" t="s">
        <v>1</v>
      </c>
      <c r="B288" s="108" t="s">
        <v>81</v>
      </c>
      <c r="C288" s="108" t="s">
        <v>3</v>
      </c>
      <c r="D288" s="131">
        <v>748</v>
      </c>
      <c r="E288" s="108" t="s">
        <v>4</v>
      </c>
      <c r="F288" s="109" t="s">
        <v>82</v>
      </c>
      <c r="G288" s="106"/>
      <c r="H288" s="106"/>
      <c r="I288" s="24" t="s">
        <v>6</v>
      </c>
      <c r="J288" s="24" t="s">
        <v>7</v>
      </c>
    </row>
    <row r="289" spans="1:10" ht="14.25" customHeight="1">
      <c r="A289" s="106"/>
      <c r="B289" s="106"/>
      <c r="C289" s="106"/>
      <c r="D289" s="106"/>
      <c r="E289" s="106"/>
      <c r="F289" s="106"/>
      <c r="G289" s="106"/>
      <c r="H289" s="106"/>
      <c r="I289" s="119"/>
      <c r="J289" s="119"/>
    </row>
    <row r="290" spans="1:10" ht="17.45" customHeight="1">
      <c r="A290" s="125" t="s">
        <v>8</v>
      </c>
      <c r="B290" s="125" t="s">
        <v>83</v>
      </c>
      <c r="E290" s="125" t="s">
        <v>10</v>
      </c>
      <c r="F290" s="140" t="s">
        <v>84</v>
      </c>
      <c r="G290" s="106"/>
      <c r="H290" s="106"/>
      <c r="I290" s="120"/>
      <c r="J290" s="120"/>
    </row>
    <row r="291" spans="1:10" ht="17.45" customHeight="1">
      <c r="A291" s="106"/>
      <c r="B291" s="106"/>
      <c r="E291" s="106"/>
      <c r="F291" s="106"/>
      <c r="G291" s="106"/>
      <c r="H291" s="106"/>
      <c r="I291" s="13"/>
      <c r="J291" s="13"/>
    </row>
    <row r="292" spans="1:10" ht="17.45" customHeight="1">
      <c r="A292" s="125" t="s">
        <v>12</v>
      </c>
      <c r="B292" s="125" t="s">
        <v>85</v>
      </c>
      <c r="E292" s="2" t="s">
        <v>14</v>
      </c>
      <c r="F292" s="140" t="s">
        <v>15</v>
      </c>
      <c r="G292" s="106"/>
      <c r="H292" s="21"/>
      <c r="I292" s="13"/>
      <c r="J292" s="13"/>
    </row>
    <row r="293" spans="1:10" ht="17.45" customHeight="1">
      <c r="A293" s="106"/>
      <c r="B293" s="106"/>
      <c r="E293" s="2" t="s">
        <v>16</v>
      </c>
      <c r="F293" s="21" t="s">
        <v>17</v>
      </c>
      <c r="G293" s="21"/>
      <c r="H293" s="21"/>
      <c r="I293" s="14"/>
      <c r="J293" s="14"/>
    </row>
    <row r="294" spans="1:10" ht="17.45" customHeight="1">
      <c r="A294" s="2" t="s">
        <v>18</v>
      </c>
      <c r="B294" s="4">
        <v>46163</v>
      </c>
      <c r="E294" s="2" t="s">
        <v>19</v>
      </c>
      <c r="F294" s="141">
        <v>100</v>
      </c>
      <c r="G294" s="106"/>
      <c r="H294" s="21"/>
    </row>
    <row r="295" spans="1:10" ht="17.45" customHeight="1">
      <c r="A295" s="2" t="s">
        <v>20</v>
      </c>
      <c r="B295" s="4">
        <v>46163</v>
      </c>
      <c r="E295" s="2" t="s">
        <v>21</v>
      </c>
      <c r="F295" s="21">
        <v>4</v>
      </c>
      <c r="G295" s="133" t="s">
        <v>22</v>
      </c>
      <c r="H295" s="112">
        <v>400</v>
      </c>
      <c r="I295" s="113"/>
      <c r="J295" s="114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15"/>
      <c r="H296" s="115"/>
      <c r="I296" s="116"/>
      <c r="J296" s="117"/>
    </row>
    <row r="297" spans="1:10" ht="13.5" customHeight="1">
      <c r="A297" s="118" t="s">
        <v>86</v>
      </c>
      <c r="B297" s="106"/>
      <c r="C297" s="106"/>
      <c r="D297" s="20"/>
      <c r="F297" s="3"/>
      <c r="G297" s="132" t="s">
        <v>26</v>
      </c>
      <c r="H297" s="110" t="s">
        <v>27</v>
      </c>
      <c r="I297" s="129" t="s">
        <v>28</v>
      </c>
      <c r="J297" s="130"/>
    </row>
    <row r="298" spans="1:10" ht="13.5" customHeight="1">
      <c r="A298" s="106"/>
      <c r="B298" s="106"/>
      <c r="C298" s="106"/>
      <c r="D298" s="20"/>
      <c r="F298" s="3"/>
      <c r="G298" s="111"/>
      <c r="H298" s="111"/>
      <c r="I298" s="116"/>
      <c r="J298" s="117"/>
    </row>
    <row r="299" spans="1:10" ht="13.5" customHeight="1">
      <c r="A299" s="1" t="s">
        <v>29</v>
      </c>
    </row>
    <row r="300" spans="1:10" ht="63" customHeight="1">
      <c r="A300" s="123"/>
      <c r="B300" s="124"/>
      <c r="C300" s="124"/>
      <c r="D300" s="124"/>
      <c r="E300" s="124"/>
      <c r="F300" s="124"/>
      <c r="G300" s="124"/>
      <c r="H300" s="124"/>
      <c r="I300" s="124"/>
      <c r="J300" s="124"/>
    </row>
    <row r="301" spans="1:10" ht="18.75">
      <c r="A301" s="23" t="s">
        <v>30</v>
      </c>
      <c r="B301" s="16" t="s">
        <v>31</v>
      </c>
      <c r="C301" s="134" t="s">
        <v>32</v>
      </c>
      <c r="D301" s="128"/>
      <c r="E301" s="16" t="s">
        <v>33</v>
      </c>
      <c r="F301" s="134" t="s">
        <v>34</v>
      </c>
      <c r="G301" s="128"/>
      <c r="H301" s="128"/>
      <c r="I301" s="127" t="s">
        <v>35</v>
      </c>
      <c r="J301" s="128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5" t="s">
        <v>36</v>
      </c>
      <c r="C303" s="105" t="s">
        <v>37</v>
      </c>
      <c r="D303" s="106"/>
      <c r="E303" s="25" t="s">
        <v>38</v>
      </c>
      <c r="F303" s="105" t="s">
        <v>39</v>
      </c>
      <c r="G303" s="106"/>
      <c r="H303" s="106"/>
      <c r="I303" s="135"/>
      <c r="J303" s="106"/>
    </row>
    <row r="304" spans="1:10" ht="16.5" customHeight="1">
      <c r="A304" s="22">
        <v>1</v>
      </c>
      <c r="B304" s="26" t="s">
        <v>36</v>
      </c>
      <c r="C304" s="105" t="s">
        <v>37</v>
      </c>
      <c r="D304" s="106"/>
      <c r="E304" s="25" t="s">
        <v>40</v>
      </c>
      <c r="F304" s="105" t="s">
        <v>41</v>
      </c>
      <c r="G304" s="106"/>
      <c r="H304" s="106"/>
      <c r="I304" s="135"/>
      <c r="J304" s="106"/>
    </row>
    <row r="305" spans="1:10" ht="16.5" customHeight="1">
      <c r="A305" s="22"/>
      <c r="B305" s="26"/>
      <c r="C305" s="105"/>
      <c r="D305" s="106"/>
      <c r="E305" s="25"/>
      <c r="F305" s="105"/>
      <c r="G305" s="106"/>
      <c r="H305" s="106"/>
      <c r="I305" s="135"/>
      <c r="J305" s="106"/>
    </row>
    <row r="306" spans="1:10" ht="16.5" customHeight="1">
      <c r="A306" s="22"/>
      <c r="B306" s="26"/>
      <c r="C306" s="105"/>
      <c r="D306" s="106"/>
      <c r="E306" s="25"/>
      <c r="F306" s="105"/>
      <c r="G306" s="106"/>
      <c r="H306" s="106"/>
      <c r="I306" s="135"/>
      <c r="J306" s="106"/>
    </row>
    <row r="307" spans="1:10" ht="16.5" customHeight="1">
      <c r="A307" s="22"/>
      <c r="B307" s="26"/>
      <c r="C307" s="105"/>
      <c r="D307" s="106"/>
      <c r="E307" s="25"/>
      <c r="F307" s="105"/>
      <c r="G307" s="106"/>
      <c r="H307" s="106"/>
      <c r="I307" s="135"/>
      <c r="J307" s="106"/>
    </row>
    <row r="308" spans="1:10" ht="16.5" customHeight="1">
      <c r="A308" s="22"/>
      <c r="B308" s="26"/>
      <c r="C308" s="105"/>
      <c r="D308" s="106"/>
      <c r="E308" s="25"/>
      <c r="F308" s="105"/>
      <c r="G308" s="106"/>
      <c r="H308" s="106"/>
      <c r="I308" s="135"/>
      <c r="J308" s="106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21" t="s">
        <v>42</v>
      </c>
      <c r="B310" s="122"/>
      <c r="C310" s="121" t="s">
        <v>43</v>
      </c>
      <c r="D310" s="122"/>
      <c r="E310" s="122"/>
      <c r="F310" s="17" t="s">
        <v>44</v>
      </c>
      <c r="G310" s="121" t="s">
        <v>45</v>
      </c>
      <c r="H310" s="122"/>
      <c r="I310" s="121" t="s">
        <v>46</v>
      </c>
      <c r="J310" s="122"/>
    </row>
    <row r="311" spans="1:10" ht="14.25" customHeight="1">
      <c r="A311" s="8"/>
      <c r="B311" s="18"/>
      <c r="C311" s="143" t="s">
        <v>47</v>
      </c>
      <c r="D311" s="116"/>
      <c r="E311" s="18"/>
      <c r="F311" s="143" t="s">
        <v>29</v>
      </c>
      <c r="G311" s="116"/>
      <c r="H311" s="116"/>
      <c r="I311" s="116"/>
      <c r="J311" s="116"/>
    </row>
    <row r="312" spans="1:10">
      <c r="A312" s="9"/>
      <c r="C312" s="7"/>
      <c r="D312" s="7"/>
      <c r="E312" s="7"/>
    </row>
    <row r="313" spans="1:10" ht="14.25" customHeight="1">
      <c r="A313" s="105" t="s">
        <v>48</v>
      </c>
      <c r="B313" s="106"/>
      <c r="C313" s="105" t="s">
        <v>49</v>
      </c>
      <c r="D313" s="106"/>
      <c r="E313" s="106"/>
      <c r="F313" s="27" t="s">
        <v>50</v>
      </c>
      <c r="G313" s="107">
        <v>200</v>
      </c>
      <c r="H313" s="106"/>
      <c r="I313" s="107">
        <v>2</v>
      </c>
      <c r="J313" s="106"/>
    </row>
    <row r="314" spans="1:10" ht="24.95" customHeight="1">
      <c r="A314" s="126" t="s">
        <v>51</v>
      </c>
      <c r="B314" s="106"/>
      <c r="C314" s="105"/>
      <c r="D314" s="106"/>
      <c r="E314" s="106"/>
      <c r="F314" s="105"/>
      <c r="G314" s="106"/>
      <c r="H314" s="106"/>
      <c r="I314" s="106"/>
      <c r="J314" s="106"/>
    </row>
    <row r="315" spans="1:10" ht="14.25" customHeight="1">
      <c r="A315" s="105" t="s">
        <v>87</v>
      </c>
      <c r="B315" s="106"/>
      <c r="C315" s="105" t="s">
        <v>88</v>
      </c>
      <c r="D315" s="106"/>
      <c r="E315" s="106"/>
      <c r="F315" s="27" t="s">
        <v>36</v>
      </c>
      <c r="G315" s="107">
        <v>4</v>
      </c>
      <c r="H315" s="106"/>
      <c r="I315" s="107">
        <v>0.04</v>
      </c>
      <c r="J315" s="106"/>
    </row>
    <row r="316" spans="1:10" ht="24.95" customHeight="1">
      <c r="A316" s="126" t="s">
        <v>89</v>
      </c>
      <c r="B316" s="106"/>
      <c r="C316" s="105" t="s">
        <v>90</v>
      </c>
      <c r="D316" s="106"/>
      <c r="E316" s="106"/>
      <c r="F316" s="105"/>
      <c r="G316" s="106"/>
      <c r="H316" s="106"/>
      <c r="I316" s="106"/>
      <c r="J316" s="106"/>
    </row>
    <row r="317" spans="1:10" ht="14.25" customHeight="1">
      <c r="A317" s="105" t="s">
        <v>57</v>
      </c>
      <c r="B317" s="106"/>
      <c r="C317" s="105" t="s">
        <v>58</v>
      </c>
      <c r="D317" s="106"/>
      <c r="E317" s="106"/>
      <c r="F317" s="27"/>
      <c r="G317" s="107">
        <v>0.4</v>
      </c>
      <c r="H317" s="106"/>
      <c r="I317" s="107">
        <v>4.0000000000000001E-3</v>
      </c>
      <c r="J317" s="106"/>
    </row>
    <row r="318" spans="1:10" ht="24.95" customHeight="1">
      <c r="A318" s="126" t="s">
        <v>59</v>
      </c>
      <c r="B318" s="106"/>
      <c r="C318" s="105" t="s">
        <v>60</v>
      </c>
      <c r="D318" s="106"/>
      <c r="E318" s="106"/>
      <c r="F318" s="105"/>
      <c r="G318" s="106"/>
      <c r="H318" s="106"/>
      <c r="I318" s="106"/>
      <c r="J318" s="106"/>
    </row>
    <row r="319" spans="1:10" ht="14.25" customHeight="1">
      <c r="A319" s="105" t="s">
        <v>61</v>
      </c>
      <c r="B319" s="106"/>
      <c r="C319" s="105" t="s">
        <v>62</v>
      </c>
      <c r="D319" s="106"/>
      <c r="E319" s="106"/>
      <c r="F319" s="27"/>
      <c r="G319" s="107">
        <v>0.4</v>
      </c>
      <c r="H319" s="106"/>
      <c r="I319" s="107">
        <v>4.0000000000000001E-3</v>
      </c>
      <c r="J319" s="106"/>
    </row>
    <row r="320" spans="1:10" ht="24.95" customHeight="1">
      <c r="A320" s="126" t="s">
        <v>63</v>
      </c>
      <c r="B320" s="106"/>
      <c r="C320" s="105" t="s">
        <v>64</v>
      </c>
      <c r="D320" s="106"/>
      <c r="E320" s="106"/>
      <c r="F320" s="105"/>
      <c r="G320" s="106"/>
      <c r="H320" s="106"/>
      <c r="I320" s="106"/>
      <c r="J320" s="106"/>
    </row>
    <row r="321" spans="1:14" ht="14.25" customHeight="1">
      <c r="A321" s="105"/>
      <c r="B321" s="106"/>
      <c r="C321" s="105"/>
      <c r="D321" s="106"/>
      <c r="E321" s="106"/>
      <c r="F321" s="27"/>
      <c r="G321" s="107"/>
      <c r="H321" s="106"/>
      <c r="I321" s="107"/>
      <c r="J321" s="106"/>
    </row>
    <row r="322" spans="1:14" ht="24.95" customHeight="1" thickBot="1">
      <c r="A322" s="126"/>
      <c r="B322" s="106"/>
      <c r="C322" s="105"/>
      <c r="D322" s="106"/>
      <c r="E322" s="106"/>
      <c r="F322" s="105"/>
      <c r="G322" s="106"/>
      <c r="H322" s="106"/>
      <c r="I322" s="106"/>
      <c r="J322" s="106"/>
    </row>
    <row r="323" spans="1:14" s="5" customFormat="1" ht="18" customHeight="1">
      <c r="A323" s="28" t="s">
        <v>124</v>
      </c>
      <c r="B323" s="29" t="s">
        <v>125</v>
      </c>
      <c r="C323" s="148" t="s">
        <v>126</v>
      </c>
      <c r="D323" s="149"/>
      <c r="E323" s="30" t="s">
        <v>127</v>
      </c>
      <c r="F323" s="31" t="s">
        <v>128</v>
      </c>
      <c r="G323" s="32" t="s">
        <v>129</v>
      </c>
      <c r="H323" s="33" t="s">
        <v>130</v>
      </c>
      <c r="I323" s="137" t="s">
        <v>131</v>
      </c>
      <c r="J323" s="138"/>
    </row>
    <row r="324" spans="1:14" s="7" customFormat="1" ht="18" customHeight="1">
      <c r="A324" s="34" t="s">
        <v>161</v>
      </c>
      <c r="B324" s="35">
        <v>748</v>
      </c>
      <c r="C324" s="150" t="s">
        <v>163</v>
      </c>
      <c r="D324" s="151"/>
      <c r="E324" s="146">
        <v>4</v>
      </c>
      <c r="F324" s="36" t="s">
        <v>173</v>
      </c>
      <c r="G324" s="37">
        <v>46162</v>
      </c>
      <c r="H324" s="38">
        <v>4</v>
      </c>
      <c r="I324" s="39" t="s">
        <v>132</v>
      </c>
      <c r="J324" s="40">
        <v>46162</v>
      </c>
    </row>
    <row r="325" spans="1:14" s="5" customFormat="1" ht="18" customHeight="1">
      <c r="A325" s="44" t="s">
        <v>133</v>
      </c>
      <c r="B325" s="45" t="s">
        <v>134</v>
      </c>
      <c r="C325" s="150"/>
      <c r="D325" s="151"/>
      <c r="E325" s="146"/>
      <c r="F325" s="46" t="s">
        <v>174</v>
      </c>
      <c r="G325" s="37"/>
      <c r="H325" s="38"/>
      <c r="I325" s="39" t="s">
        <v>135</v>
      </c>
      <c r="J325" s="41">
        <v>400</v>
      </c>
      <c r="K325" s="47"/>
    </row>
    <row r="326" spans="1:14" s="7" customFormat="1" ht="18" customHeight="1">
      <c r="A326" s="48">
        <v>0.5</v>
      </c>
      <c r="B326" s="49" t="s">
        <v>162</v>
      </c>
      <c r="C326" s="147" t="s">
        <v>136</v>
      </c>
      <c r="D326" s="144" t="s">
        <v>164</v>
      </c>
      <c r="E326" s="144"/>
      <c r="F326" s="145"/>
      <c r="G326" s="37"/>
      <c r="H326" s="38"/>
      <c r="I326" s="39" t="s">
        <v>137</v>
      </c>
      <c r="J326" s="41">
        <v>202</v>
      </c>
      <c r="K326" s="50"/>
    </row>
    <row r="327" spans="1:14" s="5" customFormat="1" ht="18" customHeight="1">
      <c r="A327" s="51" t="s">
        <v>138</v>
      </c>
      <c r="B327" s="52" t="s">
        <v>139</v>
      </c>
      <c r="C327" s="147"/>
      <c r="D327" s="144" t="s">
        <v>165</v>
      </c>
      <c r="E327" s="144"/>
      <c r="F327" s="145"/>
      <c r="G327" s="37"/>
      <c r="H327" s="38"/>
      <c r="I327" s="39" t="s">
        <v>140</v>
      </c>
      <c r="J327" s="41">
        <v>4</v>
      </c>
      <c r="K327" s="47"/>
    </row>
    <row r="328" spans="1:14" s="7" customFormat="1" ht="18" customHeight="1" thickBot="1">
      <c r="A328" s="53">
        <v>-0.5</v>
      </c>
      <c r="B328" s="54">
        <v>2</v>
      </c>
      <c r="C328" s="55" t="s">
        <v>141</v>
      </c>
      <c r="D328" s="152" t="s">
        <v>166</v>
      </c>
      <c r="E328" s="152"/>
      <c r="F328" s="153"/>
      <c r="G328" s="56"/>
      <c r="H328" s="57"/>
      <c r="I328" s="39" t="s">
        <v>142</v>
      </c>
      <c r="J328" s="42">
        <v>2</v>
      </c>
      <c r="K328" s="50"/>
    </row>
    <row r="329" spans="1:14" s="5" customFormat="1" ht="18" customHeight="1" thickBot="1">
      <c r="A329" s="58" t="s">
        <v>143</v>
      </c>
      <c r="B329" s="59" t="str" cm="1">
        <f t="array" ref="B329">IF(SUM(--(ISTEXT(B330:B340)*(B330:B340&lt;&gt;"")))=0,"計測Lot","計測Lot・加工数")</f>
        <v>計測Lot・加工数</v>
      </c>
      <c r="C329" s="60" t="s">
        <v>144</v>
      </c>
      <c r="D329" s="61" t="s">
        <v>145</v>
      </c>
      <c r="E329" s="62" t="s">
        <v>146</v>
      </c>
      <c r="F329" s="63" t="str" cm="1">
        <f t="array" ref="F329">IF(SUM(--(ISTEXT(B330:B340)*(B330:B340&lt;&gt;"")))=0,"記入不要","使用Lot")</f>
        <v>使用Lot</v>
      </c>
      <c r="G329" s="64" t="s">
        <v>147</v>
      </c>
      <c r="H329" s="65" t="s">
        <v>148</v>
      </c>
      <c r="I329" s="66" t="s">
        <v>149</v>
      </c>
      <c r="J329" s="43">
        <v>0</v>
      </c>
      <c r="K329" s="47"/>
    </row>
    <row r="330" spans="1:14" s="7" customFormat="1" ht="18" customHeight="1">
      <c r="A330" s="67"/>
      <c r="B330" s="71"/>
      <c r="C330" s="74"/>
      <c r="D330" s="75"/>
      <c r="E330" s="76"/>
      <c r="F330" s="77">
        <v>0</v>
      </c>
      <c r="G330" s="78">
        <v>0</v>
      </c>
      <c r="H330" s="79"/>
      <c r="I330" s="154" t="s">
        <v>150</v>
      </c>
      <c r="J330" s="155"/>
      <c r="K330" s="80"/>
    </row>
    <row r="331" spans="1:14" s="5" customFormat="1" ht="18" customHeight="1">
      <c r="A331" s="68">
        <v>46161</v>
      </c>
      <c r="B331" s="72" t="s">
        <v>205</v>
      </c>
      <c r="C331" s="81">
        <v>28</v>
      </c>
      <c r="D331" s="82">
        <v>748.39</v>
      </c>
      <c r="E331" s="83">
        <v>748.4</v>
      </c>
      <c r="F331" s="84" t="s">
        <v>205</v>
      </c>
      <c r="G331" s="81">
        <v>208</v>
      </c>
      <c r="H331" s="85">
        <v>208</v>
      </c>
      <c r="I331" s="86" t="s">
        <v>151</v>
      </c>
      <c r="J331" s="85">
        <v>1</v>
      </c>
      <c r="K331" s="80"/>
    </row>
    <row r="332" spans="1:14" s="91" customFormat="1" ht="18.95" customHeight="1">
      <c r="A332" s="69">
        <v>46161</v>
      </c>
      <c r="B332" s="72" t="s">
        <v>208</v>
      </c>
      <c r="C332" s="81">
        <v>28</v>
      </c>
      <c r="D332" s="82">
        <v>748.39</v>
      </c>
      <c r="E332" s="83">
        <v>748.41</v>
      </c>
      <c r="F332" s="84" t="s">
        <v>209</v>
      </c>
      <c r="G332" s="81">
        <v>192</v>
      </c>
      <c r="H332" s="85">
        <v>192</v>
      </c>
      <c r="I332" s="86" t="s">
        <v>152</v>
      </c>
      <c r="J332" s="85"/>
      <c r="K332" s="89"/>
      <c r="L332" s="90"/>
      <c r="M332" s="90"/>
      <c r="N332" s="90"/>
    </row>
    <row r="333" spans="1:14" s="94" customFormat="1" ht="18.95" customHeight="1">
      <c r="A333" s="69">
        <v>46161</v>
      </c>
      <c r="B333" s="72" t="s">
        <v>209</v>
      </c>
      <c r="C333" s="81">
        <v>28</v>
      </c>
      <c r="D333" s="82">
        <v>748.39</v>
      </c>
      <c r="E333" s="83">
        <v>748.36</v>
      </c>
      <c r="F333" s="84" t="s">
        <v>168</v>
      </c>
      <c r="G333" s="81">
        <v>4</v>
      </c>
      <c r="H333" s="85">
        <v>4</v>
      </c>
      <c r="I333" s="86" t="s">
        <v>153</v>
      </c>
      <c r="J333" s="85">
        <v>3</v>
      </c>
      <c r="K333" s="92"/>
      <c r="L333" s="93"/>
      <c r="M333" s="93"/>
      <c r="N333" s="93"/>
    </row>
    <row r="334" spans="1:14" s="94" customFormat="1" ht="18.95" customHeight="1">
      <c r="A334" s="69">
        <v>46162</v>
      </c>
      <c r="B334" s="72" t="s">
        <v>209</v>
      </c>
      <c r="C334" s="81">
        <v>24</v>
      </c>
      <c r="D334" s="82">
        <v>748.19</v>
      </c>
      <c r="E334" s="83">
        <v>748.18</v>
      </c>
      <c r="F334" s="84"/>
      <c r="G334" s="81">
        <v>0</v>
      </c>
      <c r="H334" s="85"/>
      <c r="I334" s="86" t="s">
        <v>154</v>
      </c>
      <c r="J334" s="85"/>
      <c r="K334" s="92"/>
      <c r="L334" s="93"/>
      <c r="M334" s="93"/>
      <c r="N334" s="93"/>
    </row>
    <row r="335" spans="1:14" s="94" customFormat="1" ht="18.95" customHeight="1">
      <c r="A335" s="69">
        <v>46162</v>
      </c>
      <c r="B335" s="72" t="s">
        <v>210</v>
      </c>
      <c r="C335" s="81">
        <v>26</v>
      </c>
      <c r="D335" s="82">
        <v>748.29</v>
      </c>
      <c r="E335" s="83">
        <v>748.26</v>
      </c>
      <c r="F335" s="84"/>
      <c r="G335" s="81">
        <v>0</v>
      </c>
      <c r="H335" s="85"/>
      <c r="I335" s="86" t="s">
        <v>155</v>
      </c>
      <c r="J335" s="85"/>
      <c r="K335" s="92"/>
      <c r="L335" s="93"/>
      <c r="M335" s="93"/>
      <c r="N335" s="93"/>
    </row>
    <row r="336" spans="1:14" s="94" customFormat="1" ht="18.95" customHeight="1">
      <c r="A336" s="69"/>
      <c r="B336" s="72" t="s">
        <v>171</v>
      </c>
      <c r="C336" s="81"/>
      <c r="D336" s="82"/>
      <c r="E336" s="83"/>
      <c r="F336" s="84"/>
      <c r="G336" s="81">
        <v>0</v>
      </c>
      <c r="H336" s="85"/>
      <c r="I336" s="86" t="s">
        <v>156</v>
      </c>
      <c r="J336" s="85"/>
      <c r="K336" s="92"/>
      <c r="L336" s="93"/>
      <c r="M336" s="93"/>
      <c r="N336" s="93"/>
    </row>
    <row r="337" spans="1:14" s="94" customFormat="1" ht="18.95" customHeight="1">
      <c r="A337" s="69"/>
      <c r="B337" s="72" t="s">
        <v>171</v>
      </c>
      <c r="C337" s="81"/>
      <c r="D337" s="82"/>
      <c r="E337" s="83"/>
      <c r="F337" s="84"/>
      <c r="G337" s="81">
        <v>0</v>
      </c>
      <c r="H337" s="85"/>
      <c r="I337" s="95" t="s">
        <v>157</v>
      </c>
      <c r="J337" s="85"/>
      <c r="K337" s="92"/>
      <c r="L337" s="93"/>
      <c r="M337" s="93"/>
      <c r="N337" s="93"/>
    </row>
    <row r="338" spans="1:14" s="94" customFormat="1" ht="18.95" customHeight="1">
      <c r="A338" s="69"/>
      <c r="B338" s="72" t="s">
        <v>171</v>
      </c>
      <c r="C338" s="81"/>
      <c r="D338" s="82"/>
      <c r="E338" s="83"/>
      <c r="F338" s="84"/>
      <c r="G338" s="81">
        <v>0</v>
      </c>
      <c r="H338" s="85"/>
      <c r="I338" s="95" t="s">
        <v>158</v>
      </c>
      <c r="J338" s="85"/>
      <c r="K338" s="92"/>
      <c r="L338" s="93"/>
      <c r="M338" s="93"/>
      <c r="N338" s="93"/>
    </row>
    <row r="339" spans="1:14" s="94" customFormat="1" ht="18.95" customHeight="1">
      <c r="A339" s="69"/>
      <c r="B339" s="72" t="s">
        <v>171</v>
      </c>
      <c r="C339" s="81"/>
      <c r="D339" s="82"/>
      <c r="E339" s="83"/>
      <c r="F339" s="84"/>
      <c r="G339" s="81">
        <v>0</v>
      </c>
      <c r="H339" s="85"/>
      <c r="I339" s="86" t="s">
        <v>159</v>
      </c>
      <c r="J339" s="87"/>
      <c r="K339" s="92"/>
      <c r="L339" s="93"/>
      <c r="M339" s="93"/>
      <c r="N339" s="93"/>
    </row>
    <row r="340" spans="1:14" s="94" customFormat="1" ht="18.95" customHeight="1" thickBot="1">
      <c r="A340" s="70" t="s">
        <v>172</v>
      </c>
      <c r="B340" s="73" t="s">
        <v>167</v>
      </c>
      <c r="C340" s="96"/>
      <c r="D340" s="97"/>
      <c r="E340" s="98"/>
      <c r="F340" s="99"/>
      <c r="G340" s="100"/>
      <c r="H340" s="101"/>
      <c r="I340" s="102" t="s">
        <v>160</v>
      </c>
      <c r="J340" s="88">
        <v>4</v>
      </c>
      <c r="K340" s="92"/>
      <c r="L340" s="93"/>
      <c r="M340" s="93"/>
      <c r="N340" s="93"/>
    </row>
    <row r="341" spans="1:14" ht="6" customHeight="1" thickBot="1">
      <c r="A341" s="103"/>
      <c r="B341" s="104"/>
      <c r="C341" s="104"/>
      <c r="D341" s="103"/>
      <c r="E341" s="104"/>
      <c r="F341" s="104"/>
      <c r="G341" s="104"/>
      <c r="H341" s="104"/>
    </row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36" t="s">
        <v>0</v>
      </c>
      <c r="C343" s="106"/>
      <c r="D343" s="106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06"/>
      <c r="C344" s="106"/>
      <c r="D344" s="106"/>
      <c r="E344" s="12"/>
      <c r="F344" s="12"/>
      <c r="G344" s="12"/>
      <c r="H344" s="12"/>
      <c r="I344" s="12"/>
      <c r="J344" s="12"/>
    </row>
    <row r="345" spans="1:14" ht="14.25" customHeight="1">
      <c r="A345" s="108" t="s">
        <v>1</v>
      </c>
      <c r="B345" s="108" t="s">
        <v>91</v>
      </c>
      <c r="C345" s="108" t="s">
        <v>3</v>
      </c>
      <c r="D345" s="131">
        <v>888</v>
      </c>
      <c r="E345" s="108" t="s">
        <v>4</v>
      </c>
      <c r="F345" s="109" t="s">
        <v>92</v>
      </c>
      <c r="G345" s="106"/>
      <c r="H345" s="106"/>
      <c r="I345" s="24" t="s">
        <v>6</v>
      </c>
      <c r="J345" s="24" t="s">
        <v>7</v>
      </c>
    </row>
    <row r="346" spans="1:14" ht="14.25" customHeight="1">
      <c r="A346" s="106"/>
      <c r="B346" s="106"/>
      <c r="C346" s="106"/>
      <c r="D346" s="106"/>
      <c r="E346" s="106"/>
      <c r="F346" s="106"/>
      <c r="G346" s="106"/>
      <c r="H346" s="106"/>
      <c r="I346" s="119"/>
      <c r="J346" s="119"/>
    </row>
    <row r="347" spans="1:14" ht="17.45" customHeight="1">
      <c r="A347" s="125" t="s">
        <v>8</v>
      </c>
      <c r="B347" s="125" t="s">
        <v>93</v>
      </c>
      <c r="E347" s="125" t="s">
        <v>10</v>
      </c>
      <c r="F347" s="140" t="s">
        <v>94</v>
      </c>
      <c r="G347" s="106"/>
      <c r="H347" s="106"/>
      <c r="I347" s="120"/>
      <c r="J347" s="120"/>
    </row>
    <row r="348" spans="1:14" ht="17.45" customHeight="1">
      <c r="A348" s="106"/>
      <c r="B348" s="106"/>
      <c r="E348" s="106"/>
      <c r="F348" s="106"/>
      <c r="G348" s="106"/>
      <c r="H348" s="106"/>
      <c r="I348" s="13"/>
      <c r="J348" s="13"/>
    </row>
    <row r="349" spans="1:14" ht="17.45" customHeight="1">
      <c r="A349" s="125" t="s">
        <v>12</v>
      </c>
      <c r="B349" s="125" t="s">
        <v>95</v>
      </c>
      <c r="E349" s="2" t="s">
        <v>14</v>
      </c>
      <c r="F349" s="140" t="s">
        <v>15</v>
      </c>
      <c r="G349" s="106"/>
      <c r="H349" s="21"/>
      <c r="I349" s="13"/>
      <c r="J349" s="13"/>
    </row>
    <row r="350" spans="1:14" ht="17.45" customHeight="1">
      <c r="A350" s="106"/>
      <c r="B350" s="106"/>
      <c r="E350" s="2" t="s">
        <v>16</v>
      </c>
      <c r="F350" s="21" t="s">
        <v>17</v>
      </c>
      <c r="G350" s="21"/>
      <c r="H350" s="21"/>
      <c r="I350" s="14"/>
      <c r="J350" s="14"/>
    </row>
    <row r="351" spans="1:14" ht="17.45" customHeight="1">
      <c r="A351" s="2" t="s">
        <v>18</v>
      </c>
      <c r="B351" s="4">
        <v>46154</v>
      </c>
      <c r="E351" s="2" t="s">
        <v>19</v>
      </c>
      <c r="F351" s="141">
        <v>100</v>
      </c>
      <c r="G351" s="106"/>
      <c r="H351" s="21"/>
    </row>
    <row r="352" spans="1:14" ht="17.45" customHeight="1">
      <c r="A352" s="2" t="s">
        <v>20</v>
      </c>
      <c r="B352" s="4">
        <v>46154</v>
      </c>
      <c r="E352" s="2" t="s">
        <v>21</v>
      </c>
      <c r="F352" s="21">
        <v>8</v>
      </c>
      <c r="G352" s="133" t="s">
        <v>22</v>
      </c>
      <c r="H352" s="112">
        <v>800</v>
      </c>
      <c r="I352" s="113"/>
      <c r="J352" s="114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15"/>
      <c r="H353" s="115"/>
      <c r="I353" s="116"/>
      <c r="J353" s="117"/>
    </row>
    <row r="354" spans="1:10" ht="13.5" customHeight="1">
      <c r="A354" s="118" t="s">
        <v>96</v>
      </c>
      <c r="B354" s="106"/>
      <c r="C354" s="106"/>
      <c r="D354" s="20"/>
      <c r="F354" s="3"/>
      <c r="G354" s="132" t="s">
        <v>26</v>
      </c>
      <c r="H354" s="110" t="s">
        <v>27</v>
      </c>
      <c r="I354" s="129" t="s">
        <v>28</v>
      </c>
      <c r="J354" s="130"/>
    </row>
    <row r="355" spans="1:10" ht="13.5" customHeight="1">
      <c r="A355" s="106"/>
      <c r="B355" s="106"/>
      <c r="C355" s="106"/>
      <c r="D355" s="20"/>
      <c r="F355" s="3"/>
      <c r="G355" s="111"/>
      <c r="H355" s="111"/>
      <c r="I355" s="116"/>
      <c r="J355" s="117"/>
    </row>
    <row r="356" spans="1:10" ht="13.5" customHeight="1">
      <c r="A356" s="1" t="s">
        <v>29</v>
      </c>
    </row>
    <row r="357" spans="1:10" ht="63" customHeight="1">
      <c r="A357" s="123"/>
      <c r="B357" s="124"/>
      <c r="C357" s="124"/>
      <c r="D357" s="124"/>
      <c r="E357" s="124"/>
      <c r="F357" s="124"/>
      <c r="G357" s="124"/>
      <c r="H357" s="124"/>
      <c r="I357" s="124"/>
      <c r="J357" s="124"/>
    </row>
    <row r="358" spans="1:10" ht="18.75">
      <c r="A358" s="23" t="s">
        <v>30</v>
      </c>
      <c r="B358" s="16" t="s">
        <v>31</v>
      </c>
      <c r="C358" s="134" t="s">
        <v>32</v>
      </c>
      <c r="D358" s="128"/>
      <c r="E358" s="16" t="s">
        <v>33</v>
      </c>
      <c r="F358" s="134" t="s">
        <v>34</v>
      </c>
      <c r="G358" s="128"/>
      <c r="H358" s="128"/>
      <c r="I358" s="127" t="s">
        <v>35</v>
      </c>
      <c r="J358" s="128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5" t="s">
        <v>36</v>
      </c>
      <c r="C360" s="105" t="s">
        <v>37</v>
      </c>
      <c r="D360" s="106"/>
      <c r="E360" s="25" t="s">
        <v>38</v>
      </c>
      <c r="F360" s="105" t="s">
        <v>39</v>
      </c>
      <c r="G360" s="106"/>
      <c r="H360" s="106"/>
      <c r="I360" s="135"/>
      <c r="J360" s="106"/>
    </row>
    <row r="361" spans="1:10" ht="16.5" customHeight="1">
      <c r="A361" s="22">
        <v>1</v>
      </c>
      <c r="B361" s="26" t="s">
        <v>36</v>
      </c>
      <c r="C361" s="105" t="s">
        <v>37</v>
      </c>
      <c r="D361" s="106"/>
      <c r="E361" s="25" t="s">
        <v>40</v>
      </c>
      <c r="F361" s="105" t="s">
        <v>41</v>
      </c>
      <c r="G361" s="106"/>
      <c r="H361" s="106"/>
      <c r="I361" s="135"/>
      <c r="J361" s="106"/>
    </row>
    <row r="362" spans="1:10" ht="16.5" customHeight="1">
      <c r="A362" s="22"/>
      <c r="B362" s="26"/>
      <c r="C362" s="105"/>
      <c r="D362" s="106"/>
      <c r="E362" s="25"/>
      <c r="F362" s="105"/>
      <c r="G362" s="106"/>
      <c r="H362" s="106"/>
      <c r="I362" s="135"/>
      <c r="J362" s="106"/>
    </row>
    <row r="363" spans="1:10" ht="16.5" customHeight="1">
      <c r="A363" s="22"/>
      <c r="B363" s="26"/>
      <c r="C363" s="105"/>
      <c r="D363" s="106"/>
      <c r="E363" s="25"/>
      <c r="F363" s="105"/>
      <c r="G363" s="106"/>
      <c r="H363" s="106"/>
      <c r="I363" s="135"/>
      <c r="J363" s="106"/>
    </row>
    <row r="364" spans="1:10" ht="16.5" customHeight="1">
      <c r="A364" s="22"/>
      <c r="B364" s="26"/>
      <c r="C364" s="105"/>
      <c r="D364" s="106"/>
      <c r="E364" s="25"/>
      <c r="F364" s="105"/>
      <c r="G364" s="106"/>
      <c r="H364" s="106"/>
      <c r="I364" s="135"/>
      <c r="J364" s="106"/>
    </row>
    <row r="365" spans="1:10" ht="16.5" customHeight="1">
      <c r="A365" s="22"/>
      <c r="B365" s="26"/>
      <c r="C365" s="105"/>
      <c r="D365" s="106"/>
      <c r="E365" s="25"/>
      <c r="F365" s="105"/>
      <c r="G365" s="106"/>
      <c r="H365" s="106"/>
      <c r="I365" s="135"/>
      <c r="J365" s="106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21" t="s">
        <v>42</v>
      </c>
      <c r="B367" s="122"/>
      <c r="C367" s="121" t="s">
        <v>43</v>
      </c>
      <c r="D367" s="122"/>
      <c r="E367" s="122"/>
      <c r="F367" s="17" t="s">
        <v>44</v>
      </c>
      <c r="G367" s="121" t="s">
        <v>45</v>
      </c>
      <c r="H367" s="122"/>
      <c r="I367" s="121" t="s">
        <v>46</v>
      </c>
      <c r="J367" s="122"/>
    </row>
    <row r="368" spans="1:10" ht="14.25" customHeight="1">
      <c r="A368" s="8"/>
      <c r="B368" s="18"/>
      <c r="C368" s="143" t="s">
        <v>47</v>
      </c>
      <c r="D368" s="116"/>
      <c r="E368" s="18"/>
      <c r="F368" s="143" t="s">
        <v>29</v>
      </c>
      <c r="G368" s="116"/>
      <c r="H368" s="116"/>
      <c r="I368" s="116"/>
      <c r="J368" s="116"/>
    </row>
    <row r="369" spans="1:11">
      <c r="A369" s="9"/>
      <c r="C369" s="7"/>
      <c r="D369" s="7"/>
      <c r="E369" s="7"/>
    </row>
    <row r="370" spans="1:11" ht="14.25" customHeight="1">
      <c r="A370" s="105" t="s">
        <v>48</v>
      </c>
      <c r="B370" s="106"/>
      <c r="C370" s="105" t="s">
        <v>49</v>
      </c>
      <c r="D370" s="106"/>
      <c r="E370" s="106"/>
      <c r="F370" s="27" t="s">
        <v>50</v>
      </c>
      <c r="G370" s="107">
        <v>400</v>
      </c>
      <c r="H370" s="106"/>
      <c r="I370" s="107">
        <v>4</v>
      </c>
      <c r="J370" s="106"/>
    </row>
    <row r="371" spans="1:11" ht="24.95" customHeight="1">
      <c r="A371" s="126" t="s">
        <v>51</v>
      </c>
      <c r="B371" s="106"/>
      <c r="C371" s="105"/>
      <c r="D371" s="106"/>
      <c r="E371" s="106"/>
      <c r="F371" s="105"/>
      <c r="G371" s="106"/>
      <c r="H371" s="106"/>
      <c r="I371" s="106"/>
      <c r="J371" s="106"/>
    </row>
    <row r="372" spans="1:11" ht="14.25" customHeight="1">
      <c r="A372" s="105" t="s">
        <v>87</v>
      </c>
      <c r="B372" s="106"/>
      <c r="C372" s="105" t="s">
        <v>88</v>
      </c>
      <c r="D372" s="106"/>
      <c r="E372" s="106"/>
      <c r="F372" s="27" t="s">
        <v>36</v>
      </c>
      <c r="G372" s="107">
        <v>8</v>
      </c>
      <c r="H372" s="106"/>
      <c r="I372" s="107">
        <v>0.08</v>
      </c>
      <c r="J372" s="106"/>
    </row>
    <row r="373" spans="1:11" ht="24.95" customHeight="1">
      <c r="A373" s="126" t="s">
        <v>89</v>
      </c>
      <c r="B373" s="106"/>
      <c r="C373" s="105" t="s">
        <v>90</v>
      </c>
      <c r="D373" s="106"/>
      <c r="E373" s="106"/>
      <c r="F373" s="105"/>
      <c r="G373" s="106"/>
      <c r="H373" s="106"/>
      <c r="I373" s="106"/>
      <c r="J373" s="106"/>
    </row>
    <row r="374" spans="1:11" ht="14.25" customHeight="1">
      <c r="A374" s="105" t="s">
        <v>97</v>
      </c>
      <c r="B374" s="106"/>
      <c r="C374" s="105" t="s">
        <v>58</v>
      </c>
      <c r="D374" s="106"/>
      <c r="E374" s="106"/>
      <c r="F374" s="27"/>
      <c r="G374" s="107">
        <v>88</v>
      </c>
      <c r="H374" s="106"/>
      <c r="I374" s="107">
        <v>0.88</v>
      </c>
      <c r="J374" s="106"/>
    </row>
    <row r="375" spans="1:11" ht="24.95" customHeight="1">
      <c r="A375" s="126" t="s">
        <v>98</v>
      </c>
      <c r="B375" s="106"/>
      <c r="C375" s="105" t="s">
        <v>99</v>
      </c>
      <c r="D375" s="106"/>
      <c r="E375" s="106"/>
      <c r="F375" s="105"/>
      <c r="G375" s="106"/>
      <c r="H375" s="106"/>
      <c r="I375" s="106"/>
      <c r="J375" s="106"/>
    </row>
    <row r="376" spans="1:11" ht="14.25" customHeight="1">
      <c r="A376" s="105" t="s">
        <v>61</v>
      </c>
      <c r="B376" s="106"/>
      <c r="C376" s="105" t="s">
        <v>62</v>
      </c>
      <c r="D376" s="106"/>
      <c r="E376" s="106"/>
      <c r="F376" s="27"/>
      <c r="G376" s="107">
        <v>0.8</v>
      </c>
      <c r="H376" s="106"/>
      <c r="I376" s="107">
        <v>8.0000000000000002E-3</v>
      </c>
      <c r="J376" s="106"/>
    </row>
    <row r="377" spans="1:11" ht="24.95" customHeight="1">
      <c r="A377" s="126" t="s">
        <v>63</v>
      </c>
      <c r="B377" s="106"/>
      <c r="C377" s="105" t="s">
        <v>64</v>
      </c>
      <c r="D377" s="106"/>
      <c r="E377" s="106"/>
      <c r="F377" s="105"/>
      <c r="G377" s="106"/>
      <c r="H377" s="106"/>
      <c r="I377" s="106"/>
      <c r="J377" s="106"/>
    </row>
    <row r="378" spans="1:11" ht="14.25" customHeight="1">
      <c r="A378" s="105"/>
      <c r="B378" s="106"/>
      <c r="C378" s="105"/>
      <c r="D378" s="106"/>
      <c r="E378" s="106"/>
      <c r="F378" s="27"/>
      <c r="G378" s="107"/>
      <c r="H378" s="106"/>
      <c r="I378" s="107"/>
      <c r="J378" s="106"/>
    </row>
    <row r="379" spans="1:11" ht="24.95" customHeight="1" thickBot="1">
      <c r="A379" s="126"/>
      <c r="B379" s="106"/>
      <c r="C379" s="105"/>
      <c r="D379" s="106"/>
      <c r="E379" s="106"/>
      <c r="F379" s="105"/>
      <c r="G379" s="106"/>
      <c r="H379" s="106"/>
      <c r="I379" s="106"/>
      <c r="J379" s="106"/>
    </row>
    <row r="380" spans="1:11" s="5" customFormat="1" ht="18" customHeight="1">
      <c r="A380" s="28" t="s">
        <v>124</v>
      </c>
      <c r="B380" s="29" t="s">
        <v>125</v>
      </c>
      <c r="C380" s="148" t="s">
        <v>126</v>
      </c>
      <c r="D380" s="149"/>
      <c r="E380" s="30" t="s">
        <v>127</v>
      </c>
      <c r="F380" s="31" t="s">
        <v>128</v>
      </c>
      <c r="G380" s="32" t="s">
        <v>129</v>
      </c>
      <c r="H380" s="33" t="s">
        <v>130</v>
      </c>
      <c r="I380" s="137" t="s">
        <v>131</v>
      </c>
      <c r="J380" s="138"/>
    </row>
    <row r="381" spans="1:11" s="7" customFormat="1" ht="18" customHeight="1">
      <c r="A381" s="34" t="s">
        <v>161</v>
      </c>
      <c r="B381" s="35">
        <v>888</v>
      </c>
      <c r="C381" s="150" t="s">
        <v>163</v>
      </c>
      <c r="D381" s="151"/>
      <c r="E381" s="146">
        <v>8</v>
      </c>
      <c r="F381" s="36" t="s">
        <v>173</v>
      </c>
      <c r="G381" s="37">
        <v>46157</v>
      </c>
      <c r="H381" s="38">
        <v>8</v>
      </c>
      <c r="I381" s="39" t="s">
        <v>132</v>
      </c>
      <c r="J381" s="40">
        <v>46157</v>
      </c>
    </row>
    <row r="382" spans="1:11" s="5" customFormat="1" ht="18" customHeight="1">
      <c r="A382" s="44" t="s">
        <v>133</v>
      </c>
      <c r="B382" s="45" t="s">
        <v>134</v>
      </c>
      <c r="C382" s="150"/>
      <c r="D382" s="151"/>
      <c r="E382" s="146"/>
      <c r="F382" s="46" t="s">
        <v>174</v>
      </c>
      <c r="G382" s="37"/>
      <c r="H382" s="38"/>
      <c r="I382" s="39" t="s">
        <v>135</v>
      </c>
      <c r="J382" s="41">
        <v>800</v>
      </c>
      <c r="K382" s="47"/>
    </row>
    <row r="383" spans="1:11" s="7" customFormat="1" ht="18" customHeight="1">
      <c r="A383" s="48">
        <v>0.5</v>
      </c>
      <c r="B383" s="49" t="s">
        <v>162</v>
      </c>
      <c r="C383" s="147" t="s">
        <v>136</v>
      </c>
      <c r="D383" s="144" t="s">
        <v>164</v>
      </c>
      <c r="E383" s="144"/>
      <c r="F383" s="145"/>
      <c r="G383" s="37"/>
      <c r="H383" s="38"/>
      <c r="I383" s="39" t="s">
        <v>137</v>
      </c>
      <c r="J383" s="41">
        <v>401</v>
      </c>
      <c r="K383" s="50"/>
    </row>
    <row r="384" spans="1:11" s="5" customFormat="1" ht="18" customHeight="1">
      <c r="A384" s="51" t="s">
        <v>138</v>
      </c>
      <c r="B384" s="52" t="s">
        <v>139</v>
      </c>
      <c r="C384" s="147"/>
      <c r="D384" s="144" t="s">
        <v>165</v>
      </c>
      <c r="E384" s="144"/>
      <c r="F384" s="145"/>
      <c r="G384" s="37"/>
      <c r="H384" s="38"/>
      <c r="I384" s="39" t="s">
        <v>140</v>
      </c>
      <c r="J384" s="41">
        <v>2</v>
      </c>
      <c r="K384" s="47"/>
    </row>
    <row r="385" spans="1:14" s="7" customFormat="1" ht="18" customHeight="1" thickBot="1">
      <c r="A385" s="53">
        <v>-0.5</v>
      </c>
      <c r="B385" s="54">
        <v>2</v>
      </c>
      <c r="C385" s="55" t="s">
        <v>141</v>
      </c>
      <c r="D385" s="152" t="s">
        <v>166</v>
      </c>
      <c r="E385" s="152"/>
      <c r="F385" s="153"/>
      <c r="G385" s="56"/>
      <c r="H385" s="57"/>
      <c r="I385" s="39" t="s">
        <v>142</v>
      </c>
      <c r="J385" s="42">
        <v>1</v>
      </c>
      <c r="K385" s="50"/>
    </row>
    <row r="386" spans="1:14" s="5" customFormat="1" ht="18" customHeight="1" thickBot="1">
      <c r="A386" s="58" t="s">
        <v>143</v>
      </c>
      <c r="B386" s="59" t="str" cm="1">
        <f t="array" ref="B386">IF(SUM(--(ISTEXT(B387:B397)*(B387:B397&lt;&gt;"")))=0,"計測Lot","計測Lot・加工数")</f>
        <v>計測Lot・加工数</v>
      </c>
      <c r="C386" s="60" t="s">
        <v>144</v>
      </c>
      <c r="D386" s="61" t="s">
        <v>145</v>
      </c>
      <c r="E386" s="62" t="s">
        <v>146</v>
      </c>
      <c r="F386" s="63" t="str" cm="1">
        <f t="array" ref="F386">IF(SUM(--(ISTEXT(B387:B397)*(B387:B397&lt;&gt;"")))=0,"記入不要","使用Lot")</f>
        <v>使用Lot</v>
      </c>
      <c r="G386" s="64" t="s">
        <v>147</v>
      </c>
      <c r="H386" s="65" t="s">
        <v>148</v>
      </c>
      <c r="I386" s="66" t="s">
        <v>149</v>
      </c>
      <c r="J386" s="43">
        <v>0</v>
      </c>
      <c r="K386" s="47"/>
    </row>
    <row r="387" spans="1:14" s="7" customFormat="1" ht="18" customHeight="1">
      <c r="A387" s="67">
        <v>46136</v>
      </c>
      <c r="B387" s="71" t="s">
        <v>192</v>
      </c>
      <c r="C387" s="74"/>
      <c r="D387" s="75"/>
      <c r="E387" s="76"/>
      <c r="F387" s="77" t="s">
        <v>169</v>
      </c>
      <c r="G387" s="78">
        <v>8</v>
      </c>
      <c r="H387" s="79">
        <v>8</v>
      </c>
      <c r="I387" s="154" t="s">
        <v>150</v>
      </c>
      <c r="J387" s="155"/>
      <c r="K387" s="80"/>
    </row>
    <row r="388" spans="1:14" s="5" customFormat="1" ht="18" customHeight="1">
      <c r="A388" s="68">
        <v>46156</v>
      </c>
      <c r="B388" s="72" t="s">
        <v>193</v>
      </c>
      <c r="C388" s="81"/>
      <c r="D388" s="82"/>
      <c r="E388" s="83"/>
      <c r="F388" s="84" t="s">
        <v>193</v>
      </c>
      <c r="G388" s="81">
        <v>794</v>
      </c>
      <c r="H388" s="85">
        <v>794</v>
      </c>
      <c r="I388" s="86" t="s">
        <v>151</v>
      </c>
      <c r="J388" s="85">
        <v>2</v>
      </c>
      <c r="K388" s="80"/>
    </row>
    <row r="389" spans="1:14" s="91" customFormat="1" ht="18.95" customHeight="1">
      <c r="A389" s="69">
        <v>46156</v>
      </c>
      <c r="B389" s="72" t="s">
        <v>194</v>
      </c>
      <c r="C389" s="81"/>
      <c r="D389" s="82"/>
      <c r="E389" s="83"/>
      <c r="F389" s="84"/>
      <c r="G389" s="81">
        <v>0</v>
      </c>
      <c r="H389" s="85"/>
      <c r="I389" s="86" t="s">
        <v>152</v>
      </c>
      <c r="J389" s="85"/>
      <c r="K389" s="89"/>
      <c r="L389" s="90"/>
      <c r="M389" s="90"/>
      <c r="N389" s="90"/>
    </row>
    <row r="390" spans="1:14" s="94" customFormat="1" ht="18.95" customHeight="1">
      <c r="A390" s="69">
        <v>46156</v>
      </c>
      <c r="B390" s="72" t="s">
        <v>195</v>
      </c>
      <c r="C390" s="81"/>
      <c r="D390" s="82"/>
      <c r="E390" s="83"/>
      <c r="F390" s="84"/>
      <c r="G390" s="81">
        <v>0</v>
      </c>
      <c r="H390" s="85"/>
      <c r="I390" s="86" t="s">
        <v>153</v>
      </c>
      <c r="J390" s="85"/>
      <c r="K390" s="92"/>
      <c r="L390" s="93"/>
      <c r="M390" s="93"/>
      <c r="N390" s="93"/>
    </row>
    <row r="391" spans="1:14" s="94" customFormat="1" ht="18.95" customHeight="1">
      <c r="A391" s="69"/>
      <c r="B391" s="72" t="s">
        <v>171</v>
      </c>
      <c r="C391" s="81"/>
      <c r="D391" s="82"/>
      <c r="E391" s="83"/>
      <c r="F391" s="84"/>
      <c r="G391" s="81">
        <v>0</v>
      </c>
      <c r="H391" s="85"/>
      <c r="I391" s="86" t="s">
        <v>154</v>
      </c>
      <c r="J391" s="85"/>
      <c r="K391" s="92"/>
      <c r="L391" s="93"/>
      <c r="M391" s="93"/>
      <c r="N391" s="93"/>
    </row>
    <row r="392" spans="1:14" s="94" customFormat="1" ht="18.95" customHeight="1">
      <c r="A392" s="69"/>
      <c r="B392" s="72" t="s">
        <v>171</v>
      </c>
      <c r="C392" s="81"/>
      <c r="D392" s="82"/>
      <c r="E392" s="83"/>
      <c r="F392" s="84"/>
      <c r="G392" s="81">
        <v>0</v>
      </c>
      <c r="H392" s="85"/>
      <c r="I392" s="86" t="s">
        <v>155</v>
      </c>
      <c r="J392" s="85"/>
      <c r="K392" s="92"/>
      <c r="L392" s="93"/>
      <c r="M392" s="93"/>
      <c r="N392" s="93"/>
    </row>
    <row r="393" spans="1:14" s="94" customFormat="1" ht="18.95" customHeight="1">
      <c r="A393" s="69"/>
      <c r="B393" s="72" t="s">
        <v>171</v>
      </c>
      <c r="C393" s="81"/>
      <c r="D393" s="82"/>
      <c r="E393" s="83"/>
      <c r="F393" s="84"/>
      <c r="G393" s="81">
        <v>0</v>
      </c>
      <c r="H393" s="85"/>
      <c r="I393" s="86" t="s">
        <v>156</v>
      </c>
      <c r="J393" s="85"/>
      <c r="K393" s="92"/>
      <c r="L393" s="93"/>
      <c r="M393" s="93"/>
      <c r="N393" s="93"/>
    </row>
    <row r="394" spans="1:14" s="94" customFormat="1" ht="18.95" customHeight="1">
      <c r="A394" s="69"/>
      <c r="B394" s="72" t="s">
        <v>171</v>
      </c>
      <c r="C394" s="81"/>
      <c r="D394" s="82"/>
      <c r="E394" s="83"/>
      <c r="F394" s="84"/>
      <c r="G394" s="81">
        <v>0</v>
      </c>
      <c r="H394" s="85"/>
      <c r="I394" s="95" t="s">
        <v>157</v>
      </c>
      <c r="J394" s="85"/>
      <c r="K394" s="92"/>
      <c r="L394" s="93"/>
      <c r="M394" s="93"/>
      <c r="N394" s="93"/>
    </row>
    <row r="395" spans="1:14" s="94" customFormat="1" ht="18.95" customHeight="1">
      <c r="A395" s="69"/>
      <c r="B395" s="72" t="s">
        <v>171</v>
      </c>
      <c r="C395" s="81"/>
      <c r="D395" s="82"/>
      <c r="E395" s="83"/>
      <c r="F395" s="84"/>
      <c r="G395" s="81">
        <v>0</v>
      </c>
      <c r="H395" s="85"/>
      <c r="I395" s="95" t="s">
        <v>158</v>
      </c>
      <c r="J395" s="85"/>
      <c r="K395" s="92"/>
      <c r="L395" s="93"/>
      <c r="M395" s="93"/>
      <c r="N395" s="93"/>
    </row>
    <row r="396" spans="1:14" s="94" customFormat="1" ht="18.95" customHeight="1">
      <c r="A396" s="69"/>
      <c r="B396" s="72" t="s">
        <v>171</v>
      </c>
      <c r="C396" s="81"/>
      <c r="D396" s="82"/>
      <c r="E396" s="83"/>
      <c r="F396" s="84"/>
      <c r="G396" s="81">
        <v>0</v>
      </c>
      <c r="H396" s="85"/>
      <c r="I396" s="86" t="s">
        <v>159</v>
      </c>
      <c r="J396" s="87"/>
      <c r="K396" s="92"/>
      <c r="L396" s="93"/>
      <c r="M396" s="93"/>
      <c r="N396" s="93"/>
    </row>
    <row r="397" spans="1:14" s="94" customFormat="1" ht="18.95" customHeight="1" thickBot="1">
      <c r="A397" s="70" t="s">
        <v>172</v>
      </c>
      <c r="B397" s="73" t="s">
        <v>196</v>
      </c>
      <c r="C397" s="96"/>
      <c r="D397" s="97"/>
      <c r="E397" s="98"/>
      <c r="F397" s="99"/>
      <c r="G397" s="100"/>
      <c r="H397" s="101"/>
      <c r="I397" s="102" t="s">
        <v>160</v>
      </c>
      <c r="J397" s="88">
        <v>2</v>
      </c>
      <c r="K397" s="92"/>
      <c r="L397" s="93"/>
      <c r="M397" s="93"/>
      <c r="N397" s="93"/>
    </row>
    <row r="398" spans="1:14" ht="6" customHeight="1" thickBot="1">
      <c r="A398" s="103"/>
      <c r="B398" s="104"/>
      <c r="C398" s="104"/>
      <c r="D398" s="103"/>
      <c r="E398" s="104"/>
      <c r="F398" s="104"/>
      <c r="G398" s="104"/>
      <c r="H398" s="104"/>
    </row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36" t="s">
        <v>0</v>
      </c>
      <c r="C400" s="106"/>
      <c r="D400" s="106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06"/>
      <c r="C401" s="106"/>
      <c r="D401" s="106"/>
      <c r="E401" s="12"/>
      <c r="F401" s="12"/>
      <c r="G401" s="12"/>
      <c r="H401" s="12"/>
      <c r="I401" s="12"/>
      <c r="J401" s="12"/>
    </row>
    <row r="402" spans="1:10" ht="14.25" customHeight="1">
      <c r="A402" s="108" t="s">
        <v>1</v>
      </c>
      <c r="B402" s="108" t="s">
        <v>91</v>
      </c>
      <c r="C402" s="108" t="s">
        <v>3</v>
      </c>
      <c r="D402" s="131">
        <v>888</v>
      </c>
      <c r="E402" s="108" t="s">
        <v>4</v>
      </c>
      <c r="F402" s="109" t="s">
        <v>92</v>
      </c>
      <c r="G402" s="106"/>
      <c r="H402" s="106"/>
      <c r="I402" s="24" t="s">
        <v>6</v>
      </c>
      <c r="J402" s="24" t="s">
        <v>7</v>
      </c>
    </row>
    <row r="403" spans="1:10" ht="14.25" customHeight="1">
      <c r="A403" s="106"/>
      <c r="B403" s="106"/>
      <c r="C403" s="106"/>
      <c r="D403" s="106"/>
      <c r="E403" s="106"/>
      <c r="F403" s="106"/>
      <c r="G403" s="106"/>
      <c r="H403" s="106"/>
      <c r="I403" s="119"/>
      <c r="J403" s="119"/>
    </row>
    <row r="404" spans="1:10" ht="17.45" customHeight="1">
      <c r="A404" s="125" t="s">
        <v>8</v>
      </c>
      <c r="B404" s="125" t="s">
        <v>100</v>
      </c>
      <c r="E404" s="125" t="s">
        <v>10</v>
      </c>
      <c r="F404" s="140" t="s">
        <v>94</v>
      </c>
      <c r="G404" s="106"/>
      <c r="H404" s="106"/>
      <c r="I404" s="120"/>
      <c r="J404" s="120"/>
    </row>
    <row r="405" spans="1:10" ht="17.45" customHeight="1">
      <c r="A405" s="106"/>
      <c r="B405" s="106"/>
      <c r="E405" s="106"/>
      <c r="F405" s="106"/>
      <c r="G405" s="106"/>
      <c r="H405" s="106"/>
      <c r="I405" s="13"/>
      <c r="J405" s="13"/>
    </row>
    <row r="406" spans="1:10" ht="17.45" customHeight="1">
      <c r="A406" s="125" t="s">
        <v>12</v>
      </c>
      <c r="B406" s="125" t="s">
        <v>101</v>
      </c>
      <c r="E406" s="2" t="s">
        <v>14</v>
      </c>
      <c r="F406" s="140" t="s">
        <v>15</v>
      </c>
      <c r="G406" s="106"/>
      <c r="H406" s="21"/>
      <c r="I406" s="13"/>
      <c r="J406" s="13"/>
    </row>
    <row r="407" spans="1:10" ht="17.45" customHeight="1">
      <c r="A407" s="106"/>
      <c r="B407" s="106"/>
      <c r="E407" s="2" t="s">
        <v>16</v>
      </c>
      <c r="F407" s="21" t="s">
        <v>17</v>
      </c>
      <c r="G407" s="21"/>
      <c r="H407" s="21"/>
      <c r="I407" s="14"/>
      <c r="J407" s="14"/>
    </row>
    <row r="408" spans="1:10" ht="17.45" customHeight="1">
      <c r="A408" s="2" t="s">
        <v>18</v>
      </c>
      <c r="B408" s="4">
        <v>46154</v>
      </c>
      <c r="E408" s="2" t="s">
        <v>19</v>
      </c>
      <c r="F408" s="141">
        <v>100</v>
      </c>
      <c r="G408" s="106"/>
      <c r="H408" s="21"/>
    </row>
    <row r="409" spans="1:10" ht="17.45" customHeight="1">
      <c r="A409" s="2" t="s">
        <v>20</v>
      </c>
      <c r="B409" s="4">
        <v>46154</v>
      </c>
      <c r="E409" s="2" t="s">
        <v>21</v>
      </c>
      <c r="F409" s="21">
        <v>1</v>
      </c>
      <c r="G409" s="133" t="s">
        <v>22</v>
      </c>
      <c r="H409" s="112">
        <v>100</v>
      </c>
      <c r="I409" s="113"/>
      <c r="J409" s="114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15"/>
      <c r="H410" s="115"/>
      <c r="I410" s="116"/>
      <c r="J410" s="117"/>
    </row>
    <row r="411" spans="1:10" ht="13.5" customHeight="1">
      <c r="A411" s="118" t="s">
        <v>96</v>
      </c>
      <c r="B411" s="106"/>
      <c r="C411" s="106"/>
      <c r="D411" s="20"/>
      <c r="F411" s="3"/>
      <c r="G411" s="132" t="s">
        <v>26</v>
      </c>
      <c r="H411" s="110" t="s">
        <v>27</v>
      </c>
      <c r="I411" s="129" t="s">
        <v>28</v>
      </c>
      <c r="J411" s="130"/>
    </row>
    <row r="412" spans="1:10" ht="13.5" customHeight="1">
      <c r="A412" s="106"/>
      <c r="B412" s="106"/>
      <c r="C412" s="106"/>
      <c r="D412" s="20"/>
      <c r="F412" s="3"/>
      <c r="G412" s="111"/>
      <c r="H412" s="111"/>
      <c r="I412" s="116"/>
      <c r="J412" s="117"/>
    </row>
    <row r="413" spans="1:10" ht="13.5" customHeight="1">
      <c r="A413" s="1" t="s">
        <v>29</v>
      </c>
    </row>
    <row r="414" spans="1:10" ht="63" customHeight="1">
      <c r="A414" s="123"/>
      <c r="B414" s="124"/>
      <c r="C414" s="124"/>
      <c r="D414" s="124"/>
      <c r="E414" s="124"/>
      <c r="F414" s="124"/>
      <c r="G414" s="124"/>
      <c r="H414" s="124"/>
      <c r="I414" s="124"/>
      <c r="J414" s="124"/>
    </row>
    <row r="415" spans="1:10" ht="18.75">
      <c r="A415" s="23" t="s">
        <v>30</v>
      </c>
      <c r="B415" s="16" t="s">
        <v>31</v>
      </c>
      <c r="C415" s="134" t="s">
        <v>32</v>
      </c>
      <c r="D415" s="128"/>
      <c r="E415" s="16" t="s">
        <v>33</v>
      </c>
      <c r="F415" s="134" t="s">
        <v>34</v>
      </c>
      <c r="G415" s="128"/>
      <c r="H415" s="128"/>
      <c r="I415" s="127" t="s">
        <v>35</v>
      </c>
      <c r="J415" s="128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5" t="s">
        <v>36</v>
      </c>
      <c r="C417" s="105" t="s">
        <v>37</v>
      </c>
      <c r="D417" s="106"/>
      <c r="E417" s="25" t="s">
        <v>38</v>
      </c>
      <c r="F417" s="105" t="s">
        <v>39</v>
      </c>
      <c r="G417" s="106"/>
      <c r="H417" s="106"/>
      <c r="I417" s="135"/>
      <c r="J417" s="106"/>
    </row>
    <row r="418" spans="1:10" ht="16.5" customHeight="1">
      <c r="A418" s="22">
        <v>1</v>
      </c>
      <c r="B418" s="26" t="s">
        <v>36</v>
      </c>
      <c r="C418" s="105" t="s">
        <v>37</v>
      </c>
      <c r="D418" s="106"/>
      <c r="E418" s="25" t="s">
        <v>40</v>
      </c>
      <c r="F418" s="105" t="s">
        <v>41</v>
      </c>
      <c r="G418" s="106"/>
      <c r="H418" s="106"/>
      <c r="I418" s="135"/>
      <c r="J418" s="106"/>
    </row>
    <row r="419" spans="1:10" ht="16.5" customHeight="1">
      <c r="A419" s="22"/>
      <c r="B419" s="26"/>
      <c r="C419" s="105"/>
      <c r="D419" s="106"/>
      <c r="E419" s="25"/>
      <c r="F419" s="105"/>
      <c r="G419" s="106"/>
      <c r="H419" s="106"/>
      <c r="I419" s="135"/>
      <c r="J419" s="106"/>
    </row>
    <row r="420" spans="1:10" ht="16.5" customHeight="1">
      <c r="A420" s="22"/>
      <c r="B420" s="26"/>
      <c r="C420" s="105"/>
      <c r="D420" s="106"/>
      <c r="E420" s="25"/>
      <c r="F420" s="105"/>
      <c r="G420" s="106"/>
      <c r="H420" s="106"/>
      <c r="I420" s="135"/>
      <c r="J420" s="106"/>
    </row>
    <row r="421" spans="1:10" ht="16.5" customHeight="1">
      <c r="A421" s="22"/>
      <c r="B421" s="26"/>
      <c r="C421" s="105"/>
      <c r="D421" s="106"/>
      <c r="E421" s="25"/>
      <c r="F421" s="105"/>
      <c r="G421" s="106"/>
      <c r="H421" s="106"/>
      <c r="I421" s="135"/>
      <c r="J421" s="106"/>
    </row>
    <row r="422" spans="1:10" ht="16.5" customHeight="1">
      <c r="A422" s="22"/>
      <c r="B422" s="26"/>
      <c r="C422" s="105"/>
      <c r="D422" s="106"/>
      <c r="E422" s="25"/>
      <c r="F422" s="105"/>
      <c r="G422" s="106"/>
      <c r="H422" s="106"/>
      <c r="I422" s="135"/>
      <c r="J422" s="106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21" t="s">
        <v>42</v>
      </c>
      <c r="B424" s="122"/>
      <c r="C424" s="121" t="s">
        <v>43</v>
      </c>
      <c r="D424" s="122"/>
      <c r="E424" s="122"/>
      <c r="F424" s="17" t="s">
        <v>44</v>
      </c>
      <c r="G424" s="121" t="s">
        <v>45</v>
      </c>
      <c r="H424" s="122"/>
      <c r="I424" s="121" t="s">
        <v>46</v>
      </c>
      <c r="J424" s="122"/>
    </row>
    <row r="425" spans="1:10" ht="14.25" customHeight="1">
      <c r="A425" s="8"/>
      <c r="B425" s="18"/>
      <c r="C425" s="143" t="s">
        <v>47</v>
      </c>
      <c r="D425" s="116"/>
      <c r="E425" s="18"/>
      <c r="F425" s="143" t="s">
        <v>29</v>
      </c>
      <c r="G425" s="116"/>
      <c r="H425" s="116"/>
      <c r="I425" s="116"/>
      <c r="J425" s="116"/>
    </row>
    <row r="426" spans="1:10">
      <c r="A426" s="9"/>
      <c r="C426" s="7"/>
      <c r="D426" s="7"/>
      <c r="E426" s="7"/>
    </row>
    <row r="427" spans="1:10" ht="14.25" customHeight="1">
      <c r="A427" s="105" t="s">
        <v>48</v>
      </c>
      <c r="B427" s="106"/>
      <c r="C427" s="105" t="s">
        <v>49</v>
      </c>
      <c r="D427" s="106"/>
      <c r="E427" s="106"/>
      <c r="F427" s="27" t="s">
        <v>50</v>
      </c>
      <c r="G427" s="107">
        <v>50</v>
      </c>
      <c r="H427" s="106"/>
      <c r="I427" s="107">
        <v>0.5</v>
      </c>
      <c r="J427" s="106"/>
    </row>
    <row r="428" spans="1:10" ht="24.95" customHeight="1">
      <c r="A428" s="126" t="s">
        <v>51</v>
      </c>
      <c r="B428" s="106"/>
      <c r="C428" s="105"/>
      <c r="D428" s="106"/>
      <c r="E428" s="106"/>
      <c r="F428" s="105"/>
      <c r="G428" s="106"/>
      <c r="H428" s="106"/>
      <c r="I428" s="106"/>
      <c r="J428" s="106"/>
    </row>
    <row r="429" spans="1:10" ht="14.25" customHeight="1">
      <c r="A429" s="105" t="s">
        <v>87</v>
      </c>
      <c r="B429" s="106"/>
      <c r="C429" s="105" t="s">
        <v>88</v>
      </c>
      <c r="D429" s="106"/>
      <c r="E429" s="106"/>
      <c r="F429" s="27" t="s">
        <v>36</v>
      </c>
      <c r="G429" s="107">
        <v>1</v>
      </c>
      <c r="H429" s="106"/>
      <c r="I429" s="107">
        <v>0.01</v>
      </c>
      <c r="J429" s="106"/>
    </row>
    <row r="430" spans="1:10" ht="24.95" customHeight="1">
      <c r="A430" s="126" t="s">
        <v>89</v>
      </c>
      <c r="B430" s="106"/>
      <c r="C430" s="105" t="s">
        <v>90</v>
      </c>
      <c r="D430" s="106"/>
      <c r="E430" s="106"/>
      <c r="F430" s="105"/>
      <c r="G430" s="106"/>
      <c r="H430" s="106"/>
      <c r="I430" s="106"/>
      <c r="J430" s="106"/>
    </row>
    <row r="431" spans="1:10" ht="14.25" customHeight="1">
      <c r="A431" s="105" t="s">
        <v>97</v>
      </c>
      <c r="B431" s="106"/>
      <c r="C431" s="105" t="s">
        <v>58</v>
      </c>
      <c r="D431" s="106"/>
      <c r="E431" s="106"/>
      <c r="F431" s="27"/>
      <c r="G431" s="107">
        <v>11</v>
      </c>
      <c r="H431" s="106"/>
      <c r="I431" s="107">
        <v>0.11</v>
      </c>
      <c r="J431" s="106"/>
    </row>
    <row r="432" spans="1:10" ht="24.95" customHeight="1">
      <c r="A432" s="126" t="s">
        <v>98</v>
      </c>
      <c r="B432" s="106"/>
      <c r="C432" s="105" t="s">
        <v>99</v>
      </c>
      <c r="D432" s="106"/>
      <c r="E432" s="106"/>
      <c r="F432" s="105"/>
      <c r="G432" s="106"/>
      <c r="H432" s="106"/>
      <c r="I432" s="106"/>
      <c r="J432" s="106"/>
    </row>
    <row r="433" spans="1:14" ht="14.25" customHeight="1">
      <c r="A433" s="105" t="s">
        <v>61</v>
      </c>
      <c r="B433" s="106"/>
      <c r="C433" s="105" t="s">
        <v>62</v>
      </c>
      <c r="D433" s="106"/>
      <c r="E433" s="106"/>
      <c r="F433" s="27"/>
      <c r="G433" s="107">
        <v>0.1</v>
      </c>
      <c r="H433" s="106"/>
      <c r="I433" s="107">
        <v>1E-3</v>
      </c>
      <c r="J433" s="106"/>
    </row>
    <row r="434" spans="1:14" ht="24.95" customHeight="1">
      <c r="A434" s="126" t="s">
        <v>63</v>
      </c>
      <c r="B434" s="106"/>
      <c r="C434" s="105" t="s">
        <v>64</v>
      </c>
      <c r="D434" s="106"/>
      <c r="E434" s="106"/>
      <c r="F434" s="105"/>
      <c r="G434" s="106"/>
      <c r="H434" s="106"/>
      <c r="I434" s="106"/>
      <c r="J434" s="106"/>
    </row>
    <row r="435" spans="1:14" ht="14.25" customHeight="1">
      <c r="A435" s="105"/>
      <c r="B435" s="106"/>
      <c r="C435" s="105"/>
      <c r="D435" s="106"/>
      <c r="E435" s="106"/>
      <c r="F435" s="27"/>
      <c r="G435" s="107"/>
      <c r="H435" s="106"/>
      <c r="I435" s="107"/>
      <c r="J435" s="106"/>
    </row>
    <row r="436" spans="1:14" ht="24.95" customHeight="1" thickBot="1">
      <c r="A436" s="126"/>
      <c r="B436" s="106"/>
      <c r="C436" s="105"/>
      <c r="D436" s="106"/>
      <c r="E436" s="106"/>
      <c r="F436" s="105"/>
      <c r="G436" s="106"/>
      <c r="H436" s="106"/>
      <c r="I436" s="106"/>
      <c r="J436" s="106"/>
    </row>
    <row r="437" spans="1:14" s="5" customFormat="1" ht="18" customHeight="1">
      <c r="A437" s="28" t="s">
        <v>124</v>
      </c>
      <c r="B437" s="29" t="s">
        <v>125</v>
      </c>
      <c r="C437" s="148" t="s">
        <v>126</v>
      </c>
      <c r="D437" s="149"/>
      <c r="E437" s="30" t="s">
        <v>127</v>
      </c>
      <c r="F437" s="31" t="s">
        <v>128</v>
      </c>
      <c r="G437" s="32" t="s">
        <v>129</v>
      </c>
      <c r="H437" s="33" t="s">
        <v>130</v>
      </c>
      <c r="I437" s="137" t="s">
        <v>131</v>
      </c>
      <c r="J437" s="138"/>
    </row>
    <row r="438" spans="1:14" s="7" customFormat="1" ht="18" customHeight="1">
      <c r="A438" s="34" t="s">
        <v>161</v>
      </c>
      <c r="B438" s="35">
        <v>888</v>
      </c>
      <c r="C438" s="150" t="s">
        <v>163</v>
      </c>
      <c r="D438" s="151"/>
      <c r="E438" s="146">
        <v>1</v>
      </c>
      <c r="F438" s="36" t="s">
        <v>173</v>
      </c>
      <c r="G438" s="37">
        <v>46139</v>
      </c>
      <c r="H438" s="38">
        <v>1</v>
      </c>
      <c r="I438" s="39" t="s">
        <v>132</v>
      </c>
      <c r="J438" s="40">
        <v>46139</v>
      </c>
    </row>
    <row r="439" spans="1:14" s="5" customFormat="1" ht="18" customHeight="1">
      <c r="A439" s="44" t="s">
        <v>133</v>
      </c>
      <c r="B439" s="45" t="s">
        <v>134</v>
      </c>
      <c r="C439" s="150"/>
      <c r="D439" s="151"/>
      <c r="E439" s="146"/>
      <c r="F439" s="46" t="s">
        <v>174</v>
      </c>
      <c r="G439" s="37"/>
      <c r="H439" s="38"/>
      <c r="I439" s="39" t="s">
        <v>135</v>
      </c>
      <c r="J439" s="41">
        <v>100</v>
      </c>
      <c r="K439" s="47"/>
    </row>
    <row r="440" spans="1:14" s="7" customFormat="1" ht="18" customHeight="1">
      <c r="A440" s="48">
        <v>0.5</v>
      </c>
      <c r="B440" s="49" t="s">
        <v>162</v>
      </c>
      <c r="C440" s="147" t="s">
        <v>136</v>
      </c>
      <c r="D440" s="144" t="s">
        <v>164</v>
      </c>
      <c r="E440" s="144"/>
      <c r="F440" s="145"/>
      <c r="G440" s="37"/>
      <c r="H440" s="38"/>
      <c r="I440" s="39" t="s">
        <v>137</v>
      </c>
      <c r="J440" s="41">
        <v>50</v>
      </c>
      <c r="K440" s="50"/>
    </row>
    <row r="441" spans="1:14" s="5" customFormat="1" ht="18" customHeight="1">
      <c r="A441" s="51" t="s">
        <v>138</v>
      </c>
      <c r="B441" s="52" t="s">
        <v>139</v>
      </c>
      <c r="C441" s="147"/>
      <c r="D441" s="144" t="s">
        <v>165</v>
      </c>
      <c r="E441" s="144"/>
      <c r="F441" s="145"/>
      <c r="G441" s="37"/>
      <c r="H441" s="38"/>
      <c r="I441" s="39" t="s">
        <v>140</v>
      </c>
      <c r="J441" s="41">
        <v>0</v>
      </c>
      <c r="K441" s="47"/>
    </row>
    <row r="442" spans="1:14" s="7" customFormat="1" ht="18" customHeight="1" thickBot="1">
      <c r="A442" s="53">
        <v>-0.5</v>
      </c>
      <c r="B442" s="54">
        <v>2</v>
      </c>
      <c r="C442" s="55" t="s">
        <v>141</v>
      </c>
      <c r="D442" s="152" t="s">
        <v>166</v>
      </c>
      <c r="E442" s="152"/>
      <c r="F442" s="153"/>
      <c r="G442" s="56"/>
      <c r="H442" s="57"/>
      <c r="I442" s="39" t="s">
        <v>142</v>
      </c>
      <c r="J442" s="42">
        <v>0</v>
      </c>
      <c r="K442" s="50"/>
    </row>
    <row r="443" spans="1:14" s="5" customFormat="1" ht="18" customHeight="1" thickBot="1">
      <c r="A443" s="58" t="s">
        <v>143</v>
      </c>
      <c r="B443" s="59" t="str" cm="1">
        <f t="array" ref="B443">IF(SUM(--(ISTEXT(B444:B454)*(B444:B454&lt;&gt;"")))=0,"計測Lot","計測Lot・加工数")</f>
        <v>計測Lot・加工数</v>
      </c>
      <c r="C443" s="60" t="s">
        <v>144</v>
      </c>
      <c r="D443" s="61" t="s">
        <v>145</v>
      </c>
      <c r="E443" s="62" t="s">
        <v>146</v>
      </c>
      <c r="F443" s="63" t="str" cm="1">
        <f t="array" ref="F443">IF(SUM(--(ISTEXT(B444:B454)*(B444:B454&lt;&gt;"")))=0,"記入不要","使用Lot")</f>
        <v>使用Lot</v>
      </c>
      <c r="G443" s="64" t="s">
        <v>147</v>
      </c>
      <c r="H443" s="65" t="s">
        <v>148</v>
      </c>
      <c r="I443" s="66" t="s">
        <v>149</v>
      </c>
      <c r="J443" s="43">
        <v>0</v>
      </c>
      <c r="K443" s="47"/>
    </row>
    <row r="444" spans="1:14" s="7" customFormat="1" ht="18" customHeight="1">
      <c r="A444" s="67">
        <v>46099</v>
      </c>
      <c r="B444" s="71" t="s">
        <v>167</v>
      </c>
      <c r="C444" s="74"/>
      <c r="D444" s="75"/>
      <c r="E444" s="76"/>
      <c r="F444" s="77" t="s">
        <v>168</v>
      </c>
      <c r="G444" s="78">
        <v>4</v>
      </c>
      <c r="H444" s="79">
        <v>2</v>
      </c>
      <c r="I444" s="154" t="s">
        <v>150</v>
      </c>
      <c r="J444" s="155"/>
      <c r="K444" s="80"/>
    </row>
    <row r="445" spans="1:14" s="5" customFormat="1" ht="18" customHeight="1">
      <c r="A445" s="68">
        <v>46136</v>
      </c>
      <c r="B445" s="72" t="s">
        <v>169</v>
      </c>
      <c r="C445" s="81">
        <v>20</v>
      </c>
      <c r="D445" s="82">
        <v>888</v>
      </c>
      <c r="E445" s="83">
        <v>888.07</v>
      </c>
      <c r="F445" s="84" t="s">
        <v>169</v>
      </c>
      <c r="G445" s="81">
        <v>96</v>
      </c>
      <c r="H445" s="85">
        <v>48</v>
      </c>
      <c r="I445" s="86" t="s">
        <v>151</v>
      </c>
      <c r="J445" s="85"/>
      <c r="K445" s="80"/>
    </row>
    <row r="446" spans="1:14" s="91" customFormat="1" ht="18.95" customHeight="1">
      <c r="A446" s="69">
        <v>46136</v>
      </c>
      <c r="B446" s="72" t="s">
        <v>170</v>
      </c>
      <c r="C446" s="81">
        <v>20</v>
      </c>
      <c r="D446" s="82">
        <v>888</v>
      </c>
      <c r="E446" s="83">
        <v>887.96</v>
      </c>
      <c r="F446" s="84"/>
      <c r="G446" s="81">
        <v>0</v>
      </c>
      <c r="H446" s="85"/>
      <c r="I446" s="86" t="s">
        <v>152</v>
      </c>
      <c r="J446" s="85"/>
      <c r="K446" s="89"/>
      <c r="L446" s="90"/>
      <c r="M446" s="90"/>
      <c r="N446" s="90"/>
    </row>
    <row r="447" spans="1:14" s="94" customFormat="1" ht="18.95" customHeight="1">
      <c r="A447" s="69"/>
      <c r="B447" s="72" t="s">
        <v>171</v>
      </c>
      <c r="C447" s="81"/>
      <c r="D447" s="82"/>
      <c r="E447" s="83"/>
      <c r="F447" s="84"/>
      <c r="G447" s="81">
        <v>0</v>
      </c>
      <c r="H447" s="85"/>
      <c r="I447" s="86" t="s">
        <v>153</v>
      </c>
      <c r="J447" s="85"/>
      <c r="K447" s="92"/>
      <c r="L447" s="93"/>
      <c r="M447" s="93"/>
      <c r="N447" s="93"/>
    </row>
    <row r="448" spans="1:14" s="94" customFormat="1" ht="18.95" customHeight="1">
      <c r="A448" s="69"/>
      <c r="B448" s="72" t="s">
        <v>171</v>
      </c>
      <c r="C448" s="81"/>
      <c r="D448" s="82"/>
      <c r="E448" s="83"/>
      <c r="F448" s="84"/>
      <c r="G448" s="81">
        <v>0</v>
      </c>
      <c r="H448" s="85"/>
      <c r="I448" s="86" t="s">
        <v>154</v>
      </c>
      <c r="J448" s="85"/>
      <c r="K448" s="92"/>
      <c r="L448" s="93"/>
      <c r="M448" s="93"/>
      <c r="N448" s="93"/>
    </row>
    <row r="449" spans="1:14" s="94" customFormat="1" ht="18.95" customHeight="1">
      <c r="A449" s="69"/>
      <c r="B449" s="72" t="s">
        <v>171</v>
      </c>
      <c r="C449" s="81"/>
      <c r="D449" s="82"/>
      <c r="E449" s="83"/>
      <c r="F449" s="84"/>
      <c r="G449" s="81">
        <v>0</v>
      </c>
      <c r="H449" s="85"/>
      <c r="I449" s="86" t="s">
        <v>155</v>
      </c>
      <c r="J449" s="85"/>
      <c r="K449" s="92"/>
      <c r="L449" s="93"/>
      <c r="M449" s="93"/>
      <c r="N449" s="93"/>
    </row>
    <row r="450" spans="1:14" s="94" customFormat="1" ht="18.95" customHeight="1">
      <c r="A450" s="69"/>
      <c r="B450" s="72" t="s">
        <v>171</v>
      </c>
      <c r="C450" s="81"/>
      <c r="D450" s="82"/>
      <c r="E450" s="83"/>
      <c r="F450" s="84"/>
      <c r="G450" s="81">
        <v>0</v>
      </c>
      <c r="H450" s="85"/>
      <c r="I450" s="86" t="s">
        <v>156</v>
      </c>
      <c r="J450" s="85"/>
      <c r="K450" s="92"/>
      <c r="L450" s="93"/>
      <c r="M450" s="93"/>
      <c r="N450" s="93"/>
    </row>
    <row r="451" spans="1:14" s="94" customFormat="1" ht="18.95" customHeight="1">
      <c r="A451" s="69"/>
      <c r="B451" s="72" t="s">
        <v>171</v>
      </c>
      <c r="C451" s="81"/>
      <c r="D451" s="82"/>
      <c r="E451" s="83"/>
      <c r="F451" s="84"/>
      <c r="G451" s="81">
        <v>0</v>
      </c>
      <c r="H451" s="85"/>
      <c r="I451" s="95" t="s">
        <v>157</v>
      </c>
      <c r="J451" s="85"/>
      <c r="K451" s="92"/>
      <c r="L451" s="93"/>
      <c r="M451" s="93"/>
      <c r="N451" s="93"/>
    </row>
    <row r="452" spans="1:14" s="94" customFormat="1" ht="18.95" customHeight="1">
      <c r="A452" s="69"/>
      <c r="B452" s="72" t="s">
        <v>171</v>
      </c>
      <c r="C452" s="81"/>
      <c r="D452" s="82"/>
      <c r="E452" s="83"/>
      <c r="F452" s="84"/>
      <c r="G452" s="81">
        <v>0</v>
      </c>
      <c r="H452" s="85"/>
      <c r="I452" s="95" t="s">
        <v>158</v>
      </c>
      <c r="J452" s="85"/>
      <c r="K452" s="92"/>
      <c r="L452" s="93"/>
      <c r="M452" s="93"/>
      <c r="N452" s="93"/>
    </row>
    <row r="453" spans="1:14" s="94" customFormat="1" ht="18.95" customHeight="1">
      <c r="A453" s="69"/>
      <c r="B453" s="72" t="s">
        <v>171</v>
      </c>
      <c r="C453" s="81"/>
      <c r="D453" s="82"/>
      <c r="E453" s="83"/>
      <c r="F453" s="84"/>
      <c r="G453" s="81">
        <v>0</v>
      </c>
      <c r="H453" s="85"/>
      <c r="I453" s="86" t="s">
        <v>159</v>
      </c>
      <c r="J453" s="87"/>
      <c r="K453" s="92"/>
      <c r="L453" s="93"/>
      <c r="M453" s="93"/>
      <c r="N453" s="93"/>
    </row>
    <row r="454" spans="1:14" s="94" customFormat="1" ht="18.95" customHeight="1" thickBot="1">
      <c r="A454" s="70" t="s">
        <v>172</v>
      </c>
      <c r="B454" s="73">
        <v>0</v>
      </c>
      <c r="C454" s="96"/>
      <c r="D454" s="97"/>
      <c r="E454" s="98"/>
      <c r="F454" s="99"/>
      <c r="G454" s="100"/>
      <c r="H454" s="101"/>
      <c r="I454" s="102" t="s">
        <v>160</v>
      </c>
      <c r="J454" s="88">
        <v>0</v>
      </c>
      <c r="K454" s="92"/>
      <c r="L454" s="93"/>
      <c r="M454" s="93"/>
      <c r="N454" s="93"/>
    </row>
    <row r="455" spans="1:14" ht="6" customHeight="1" thickBot="1">
      <c r="A455" s="103"/>
      <c r="B455" s="104"/>
      <c r="C455" s="104"/>
      <c r="D455" s="103"/>
      <c r="E455" s="104"/>
      <c r="F455" s="104"/>
      <c r="G455" s="104"/>
      <c r="H455" s="104"/>
    </row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36" t="s">
        <v>0</v>
      </c>
      <c r="C457" s="106"/>
      <c r="D457" s="106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06"/>
      <c r="C458" s="106"/>
      <c r="D458" s="106"/>
      <c r="E458" s="12"/>
      <c r="F458" s="12"/>
      <c r="G458" s="12"/>
      <c r="H458" s="12"/>
      <c r="I458" s="12"/>
      <c r="J458" s="12"/>
    </row>
    <row r="459" spans="1:14" ht="14.25" customHeight="1">
      <c r="A459" s="108" t="s">
        <v>1</v>
      </c>
      <c r="B459" s="108" t="s">
        <v>91</v>
      </c>
      <c r="C459" s="108" t="s">
        <v>3</v>
      </c>
      <c r="D459" s="131">
        <v>888</v>
      </c>
      <c r="E459" s="108" t="s">
        <v>4</v>
      </c>
      <c r="F459" s="109" t="s">
        <v>92</v>
      </c>
      <c r="G459" s="106"/>
      <c r="H459" s="106"/>
      <c r="I459" s="24" t="s">
        <v>6</v>
      </c>
      <c r="J459" s="24" t="s">
        <v>7</v>
      </c>
    </row>
    <row r="460" spans="1:14" ht="14.25" customHeight="1">
      <c r="A460" s="106"/>
      <c r="B460" s="106"/>
      <c r="C460" s="106"/>
      <c r="D460" s="106"/>
      <c r="E460" s="106"/>
      <c r="F460" s="106"/>
      <c r="G460" s="106"/>
      <c r="H460" s="106"/>
      <c r="I460" s="119"/>
      <c r="J460" s="119"/>
    </row>
    <row r="461" spans="1:14" ht="17.45" customHeight="1">
      <c r="A461" s="125" t="s">
        <v>8</v>
      </c>
      <c r="B461" s="125" t="s">
        <v>102</v>
      </c>
      <c r="E461" s="125" t="s">
        <v>10</v>
      </c>
      <c r="F461" s="140" t="s">
        <v>94</v>
      </c>
      <c r="G461" s="106"/>
      <c r="H461" s="106"/>
      <c r="I461" s="120"/>
      <c r="J461" s="120"/>
    </row>
    <row r="462" spans="1:14" ht="17.45" customHeight="1">
      <c r="A462" s="106"/>
      <c r="B462" s="106"/>
      <c r="E462" s="106"/>
      <c r="F462" s="106"/>
      <c r="G462" s="106"/>
      <c r="H462" s="106"/>
      <c r="I462" s="13"/>
      <c r="J462" s="13"/>
    </row>
    <row r="463" spans="1:14" ht="17.45" customHeight="1">
      <c r="A463" s="125" t="s">
        <v>12</v>
      </c>
      <c r="B463" s="125" t="s">
        <v>103</v>
      </c>
      <c r="E463" s="2" t="s">
        <v>14</v>
      </c>
      <c r="F463" s="140" t="s">
        <v>15</v>
      </c>
      <c r="G463" s="106"/>
      <c r="H463" s="21"/>
      <c r="I463" s="13"/>
      <c r="J463" s="13"/>
    </row>
    <row r="464" spans="1:14" ht="17.45" customHeight="1">
      <c r="A464" s="106"/>
      <c r="B464" s="106"/>
      <c r="E464" s="2" t="s">
        <v>16</v>
      </c>
      <c r="F464" s="21" t="s">
        <v>17</v>
      </c>
      <c r="G464" s="21"/>
      <c r="H464" s="21"/>
      <c r="I464" s="14"/>
      <c r="J464" s="14"/>
    </row>
    <row r="465" spans="1:10" ht="17.45" customHeight="1">
      <c r="A465" s="2" t="s">
        <v>18</v>
      </c>
      <c r="B465" s="4">
        <v>46154</v>
      </c>
      <c r="E465" s="2" t="s">
        <v>19</v>
      </c>
      <c r="F465" s="141">
        <v>100</v>
      </c>
      <c r="G465" s="106"/>
      <c r="H465" s="21"/>
    </row>
    <row r="466" spans="1:10" ht="17.45" customHeight="1">
      <c r="A466" s="2" t="s">
        <v>20</v>
      </c>
      <c r="B466" s="4">
        <v>46154</v>
      </c>
      <c r="E466" s="2" t="s">
        <v>21</v>
      </c>
      <c r="F466" s="21">
        <v>2</v>
      </c>
      <c r="G466" s="133" t="s">
        <v>22</v>
      </c>
      <c r="H466" s="112">
        <v>200</v>
      </c>
      <c r="I466" s="113"/>
      <c r="J466" s="114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15"/>
      <c r="H467" s="115"/>
      <c r="I467" s="116"/>
      <c r="J467" s="117"/>
    </row>
    <row r="468" spans="1:10" ht="13.5" customHeight="1">
      <c r="A468" s="118" t="s">
        <v>96</v>
      </c>
      <c r="B468" s="106"/>
      <c r="C468" s="106"/>
      <c r="D468" s="20"/>
      <c r="F468" s="3"/>
      <c r="G468" s="132" t="s">
        <v>26</v>
      </c>
      <c r="H468" s="110" t="s">
        <v>27</v>
      </c>
      <c r="I468" s="129" t="s">
        <v>28</v>
      </c>
      <c r="J468" s="130"/>
    </row>
    <row r="469" spans="1:10" ht="13.5" customHeight="1">
      <c r="A469" s="106"/>
      <c r="B469" s="106"/>
      <c r="C469" s="106"/>
      <c r="D469" s="20"/>
      <c r="F469" s="3"/>
      <c r="G469" s="111"/>
      <c r="H469" s="111"/>
      <c r="I469" s="116"/>
      <c r="J469" s="117"/>
    </row>
    <row r="470" spans="1:10" ht="13.5" customHeight="1">
      <c r="A470" s="1" t="s">
        <v>29</v>
      </c>
    </row>
    <row r="471" spans="1:10" ht="63" customHeight="1">
      <c r="A471" s="123"/>
      <c r="B471" s="124"/>
      <c r="C471" s="124"/>
      <c r="D471" s="124"/>
      <c r="E471" s="124"/>
      <c r="F471" s="124"/>
      <c r="G471" s="124"/>
      <c r="H471" s="124"/>
      <c r="I471" s="124"/>
      <c r="J471" s="124"/>
    </row>
    <row r="472" spans="1:10" ht="18.75">
      <c r="A472" s="23" t="s">
        <v>30</v>
      </c>
      <c r="B472" s="16" t="s">
        <v>31</v>
      </c>
      <c r="C472" s="134" t="s">
        <v>32</v>
      </c>
      <c r="D472" s="128"/>
      <c r="E472" s="16" t="s">
        <v>33</v>
      </c>
      <c r="F472" s="134" t="s">
        <v>34</v>
      </c>
      <c r="G472" s="128"/>
      <c r="H472" s="128"/>
      <c r="I472" s="127" t="s">
        <v>35</v>
      </c>
      <c r="J472" s="128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5" t="s">
        <v>36</v>
      </c>
      <c r="C474" s="105" t="s">
        <v>37</v>
      </c>
      <c r="D474" s="106"/>
      <c r="E474" s="25" t="s">
        <v>38</v>
      </c>
      <c r="F474" s="105" t="s">
        <v>39</v>
      </c>
      <c r="G474" s="106"/>
      <c r="H474" s="106"/>
      <c r="I474" s="135"/>
      <c r="J474" s="106"/>
    </row>
    <row r="475" spans="1:10" ht="16.5" customHeight="1">
      <c r="A475" s="22">
        <v>1</v>
      </c>
      <c r="B475" s="26" t="s">
        <v>36</v>
      </c>
      <c r="C475" s="105" t="s">
        <v>37</v>
      </c>
      <c r="D475" s="106"/>
      <c r="E475" s="25" t="s">
        <v>40</v>
      </c>
      <c r="F475" s="105" t="s">
        <v>41</v>
      </c>
      <c r="G475" s="106"/>
      <c r="H475" s="106"/>
      <c r="I475" s="135"/>
      <c r="J475" s="106"/>
    </row>
    <row r="476" spans="1:10" ht="16.5" customHeight="1">
      <c r="A476" s="22"/>
      <c r="B476" s="26"/>
      <c r="C476" s="105"/>
      <c r="D476" s="106"/>
      <c r="E476" s="25"/>
      <c r="F476" s="105"/>
      <c r="G476" s="106"/>
      <c r="H476" s="106"/>
      <c r="I476" s="135"/>
      <c r="J476" s="106"/>
    </row>
    <row r="477" spans="1:10" ht="16.5" customHeight="1">
      <c r="A477" s="22"/>
      <c r="B477" s="26"/>
      <c r="C477" s="105"/>
      <c r="D477" s="106"/>
      <c r="E477" s="25"/>
      <c r="F477" s="105"/>
      <c r="G477" s="106"/>
      <c r="H477" s="106"/>
      <c r="I477" s="135"/>
      <c r="J477" s="106"/>
    </row>
    <row r="478" spans="1:10" ht="16.5" customHeight="1">
      <c r="A478" s="22"/>
      <c r="B478" s="26"/>
      <c r="C478" s="105"/>
      <c r="D478" s="106"/>
      <c r="E478" s="25"/>
      <c r="F478" s="105"/>
      <c r="G478" s="106"/>
      <c r="H478" s="106"/>
      <c r="I478" s="135"/>
      <c r="J478" s="106"/>
    </row>
    <row r="479" spans="1:10" ht="16.5" customHeight="1">
      <c r="A479" s="22"/>
      <c r="B479" s="26"/>
      <c r="C479" s="105"/>
      <c r="D479" s="106"/>
      <c r="E479" s="25"/>
      <c r="F479" s="105"/>
      <c r="G479" s="106"/>
      <c r="H479" s="106"/>
      <c r="I479" s="135"/>
      <c r="J479" s="106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21" t="s">
        <v>42</v>
      </c>
      <c r="B481" s="122"/>
      <c r="C481" s="121" t="s">
        <v>43</v>
      </c>
      <c r="D481" s="122"/>
      <c r="E481" s="122"/>
      <c r="F481" s="17" t="s">
        <v>44</v>
      </c>
      <c r="G481" s="121" t="s">
        <v>45</v>
      </c>
      <c r="H481" s="122"/>
      <c r="I481" s="121" t="s">
        <v>46</v>
      </c>
      <c r="J481" s="122"/>
    </row>
    <row r="482" spans="1:11" ht="14.25" customHeight="1">
      <c r="A482" s="8"/>
      <c r="B482" s="18"/>
      <c r="C482" s="143" t="s">
        <v>47</v>
      </c>
      <c r="D482" s="116"/>
      <c r="E482" s="18"/>
      <c r="F482" s="143" t="s">
        <v>29</v>
      </c>
      <c r="G482" s="116"/>
      <c r="H482" s="116"/>
      <c r="I482" s="116"/>
      <c r="J482" s="116"/>
    </row>
    <row r="483" spans="1:11">
      <c r="A483" s="9"/>
      <c r="C483" s="7"/>
      <c r="D483" s="7"/>
      <c r="E483" s="7"/>
    </row>
    <row r="484" spans="1:11" ht="14.25" customHeight="1">
      <c r="A484" s="105" t="s">
        <v>48</v>
      </c>
      <c r="B484" s="106"/>
      <c r="C484" s="105" t="s">
        <v>49</v>
      </c>
      <c r="D484" s="106"/>
      <c r="E484" s="106"/>
      <c r="F484" s="27" t="s">
        <v>50</v>
      </c>
      <c r="G484" s="107">
        <v>100</v>
      </c>
      <c r="H484" s="106"/>
      <c r="I484" s="107">
        <v>1</v>
      </c>
      <c r="J484" s="106"/>
    </row>
    <row r="485" spans="1:11" ht="24.95" customHeight="1">
      <c r="A485" s="126" t="s">
        <v>51</v>
      </c>
      <c r="B485" s="106"/>
      <c r="C485" s="105"/>
      <c r="D485" s="106"/>
      <c r="E485" s="106"/>
      <c r="F485" s="105"/>
      <c r="G485" s="106"/>
      <c r="H485" s="106"/>
      <c r="I485" s="106"/>
      <c r="J485" s="106"/>
    </row>
    <row r="486" spans="1:11" ht="14.25" customHeight="1">
      <c r="A486" s="105" t="s">
        <v>87</v>
      </c>
      <c r="B486" s="106"/>
      <c r="C486" s="105" t="s">
        <v>88</v>
      </c>
      <c r="D486" s="106"/>
      <c r="E486" s="106"/>
      <c r="F486" s="27" t="s">
        <v>36</v>
      </c>
      <c r="G486" s="107">
        <v>2</v>
      </c>
      <c r="H486" s="106"/>
      <c r="I486" s="107">
        <v>0.02</v>
      </c>
      <c r="J486" s="106"/>
    </row>
    <row r="487" spans="1:11" ht="24.95" customHeight="1">
      <c r="A487" s="126" t="s">
        <v>89</v>
      </c>
      <c r="B487" s="106"/>
      <c r="C487" s="105" t="s">
        <v>90</v>
      </c>
      <c r="D487" s="106"/>
      <c r="E487" s="106"/>
      <c r="F487" s="105"/>
      <c r="G487" s="106"/>
      <c r="H487" s="106"/>
      <c r="I487" s="106"/>
      <c r="J487" s="106"/>
    </row>
    <row r="488" spans="1:11" ht="14.25" customHeight="1">
      <c r="A488" s="105" t="s">
        <v>97</v>
      </c>
      <c r="B488" s="106"/>
      <c r="C488" s="105" t="s">
        <v>58</v>
      </c>
      <c r="D488" s="106"/>
      <c r="E488" s="106"/>
      <c r="F488" s="27"/>
      <c r="G488" s="107">
        <v>22</v>
      </c>
      <c r="H488" s="106"/>
      <c r="I488" s="107">
        <v>0.22</v>
      </c>
      <c r="J488" s="106"/>
    </row>
    <row r="489" spans="1:11" ht="24.95" customHeight="1">
      <c r="A489" s="126" t="s">
        <v>98</v>
      </c>
      <c r="B489" s="106"/>
      <c r="C489" s="105" t="s">
        <v>99</v>
      </c>
      <c r="D489" s="106"/>
      <c r="E489" s="106"/>
      <c r="F489" s="105"/>
      <c r="G489" s="106"/>
      <c r="H489" s="106"/>
      <c r="I489" s="106"/>
      <c r="J489" s="106"/>
    </row>
    <row r="490" spans="1:11" ht="14.25" customHeight="1">
      <c r="A490" s="105" t="s">
        <v>61</v>
      </c>
      <c r="B490" s="106"/>
      <c r="C490" s="105" t="s">
        <v>62</v>
      </c>
      <c r="D490" s="106"/>
      <c r="E490" s="106"/>
      <c r="F490" s="27"/>
      <c r="G490" s="107">
        <v>0.2</v>
      </c>
      <c r="H490" s="106"/>
      <c r="I490" s="107">
        <v>2E-3</v>
      </c>
      <c r="J490" s="106"/>
    </row>
    <row r="491" spans="1:11" ht="24.95" customHeight="1">
      <c r="A491" s="126" t="s">
        <v>63</v>
      </c>
      <c r="B491" s="106"/>
      <c r="C491" s="105" t="s">
        <v>64</v>
      </c>
      <c r="D491" s="106"/>
      <c r="E491" s="106"/>
      <c r="F491" s="105"/>
      <c r="G491" s="106"/>
      <c r="H491" s="106"/>
      <c r="I491" s="106"/>
      <c r="J491" s="106"/>
    </row>
    <row r="492" spans="1:11" ht="14.25" customHeight="1">
      <c r="A492" s="105"/>
      <c r="B492" s="106"/>
      <c r="C492" s="105"/>
      <c r="D492" s="106"/>
      <c r="E492" s="106"/>
      <c r="F492" s="27"/>
      <c r="G492" s="107"/>
      <c r="H492" s="106"/>
      <c r="I492" s="107"/>
      <c r="J492" s="106"/>
    </row>
    <row r="493" spans="1:11" ht="24.95" customHeight="1" thickBot="1">
      <c r="A493" s="126"/>
      <c r="B493" s="106"/>
      <c r="C493" s="105"/>
      <c r="D493" s="106"/>
      <c r="E493" s="106"/>
      <c r="F493" s="105"/>
      <c r="G493" s="106"/>
      <c r="H493" s="106"/>
      <c r="I493" s="106"/>
      <c r="J493" s="106"/>
    </row>
    <row r="494" spans="1:11" s="5" customFormat="1" ht="18" customHeight="1">
      <c r="A494" s="28" t="s">
        <v>124</v>
      </c>
      <c r="B494" s="29" t="s">
        <v>125</v>
      </c>
      <c r="C494" s="148" t="s">
        <v>126</v>
      </c>
      <c r="D494" s="149"/>
      <c r="E494" s="30" t="s">
        <v>127</v>
      </c>
      <c r="F494" s="31" t="s">
        <v>128</v>
      </c>
      <c r="G494" s="32" t="s">
        <v>129</v>
      </c>
      <c r="H494" s="33" t="s">
        <v>130</v>
      </c>
      <c r="I494" s="137" t="s">
        <v>131</v>
      </c>
      <c r="J494" s="138"/>
    </row>
    <row r="495" spans="1:11" s="7" customFormat="1" ht="18" customHeight="1">
      <c r="A495" s="34" t="s">
        <v>161</v>
      </c>
      <c r="B495" s="35">
        <v>888</v>
      </c>
      <c r="C495" s="150" t="s">
        <v>163</v>
      </c>
      <c r="D495" s="151"/>
      <c r="E495" s="146">
        <v>2</v>
      </c>
      <c r="F495" s="36" t="s">
        <v>173</v>
      </c>
      <c r="G495" s="37">
        <v>46139</v>
      </c>
      <c r="H495" s="38">
        <v>2</v>
      </c>
      <c r="I495" s="39" t="s">
        <v>132</v>
      </c>
      <c r="J495" s="40">
        <v>46139</v>
      </c>
    </row>
    <row r="496" spans="1:11" s="5" customFormat="1" ht="18" customHeight="1">
      <c r="A496" s="44" t="s">
        <v>133</v>
      </c>
      <c r="B496" s="45" t="s">
        <v>134</v>
      </c>
      <c r="C496" s="150"/>
      <c r="D496" s="151"/>
      <c r="E496" s="146"/>
      <c r="F496" s="46" t="s">
        <v>174</v>
      </c>
      <c r="G496" s="37"/>
      <c r="H496" s="38"/>
      <c r="I496" s="39" t="s">
        <v>135</v>
      </c>
      <c r="J496" s="41">
        <v>200</v>
      </c>
      <c r="K496" s="47"/>
    </row>
    <row r="497" spans="1:14" s="7" customFormat="1" ht="18" customHeight="1">
      <c r="A497" s="48">
        <v>0.5</v>
      </c>
      <c r="B497" s="49" t="s">
        <v>162</v>
      </c>
      <c r="C497" s="147" t="s">
        <v>136</v>
      </c>
      <c r="D497" s="144" t="s">
        <v>164</v>
      </c>
      <c r="E497" s="144"/>
      <c r="F497" s="145"/>
      <c r="G497" s="37"/>
      <c r="H497" s="38"/>
      <c r="I497" s="39" t="s">
        <v>137</v>
      </c>
      <c r="J497" s="41">
        <v>101.5</v>
      </c>
      <c r="K497" s="50"/>
    </row>
    <row r="498" spans="1:14" s="5" customFormat="1" ht="18" customHeight="1">
      <c r="A498" s="51" t="s">
        <v>138</v>
      </c>
      <c r="B498" s="52" t="s">
        <v>139</v>
      </c>
      <c r="C498" s="147"/>
      <c r="D498" s="144" t="s">
        <v>165</v>
      </c>
      <c r="E498" s="144"/>
      <c r="F498" s="145"/>
      <c r="G498" s="37"/>
      <c r="H498" s="38"/>
      <c r="I498" s="39" t="s">
        <v>140</v>
      </c>
      <c r="J498" s="41">
        <v>3</v>
      </c>
      <c r="K498" s="47"/>
    </row>
    <row r="499" spans="1:14" s="7" customFormat="1" ht="18" customHeight="1" thickBot="1">
      <c r="A499" s="53">
        <v>-0.5</v>
      </c>
      <c r="B499" s="54">
        <v>2</v>
      </c>
      <c r="C499" s="55" t="s">
        <v>141</v>
      </c>
      <c r="D499" s="152" t="s">
        <v>166</v>
      </c>
      <c r="E499" s="152"/>
      <c r="F499" s="153"/>
      <c r="G499" s="56"/>
      <c r="H499" s="57"/>
      <c r="I499" s="39" t="s">
        <v>142</v>
      </c>
      <c r="J499" s="42">
        <v>1.5</v>
      </c>
      <c r="K499" s="50"/>
    </row>
    <row r="500" spans="1:14" s="5" customFormat="1" ht="18" customHeight="1" thickBot="1">
      <c r="A500" s="58" t="s">
        <v>143</v>
      </c>
      <c r="B500" s="59" t="str" cm="1">
        <f t="array" ref="B500">IF(SUM(--(ISTEXT(B501:B511)*(B501:B511&lt;&gt;"")))=0,"計測Lot","計測Lot・加工数")</f>
        <v>計測Lot・加工数</v>
      </c>
      <c r="C500" s="60" t="s">
        <v>144</v>
      </c>
      <c r="D500" s="61" t="s">
        <v>145</v>
      </c>
      <c r="E500" s="62" t="s">
        <v>146</v>
      </c>
      <c r="F500" s="63" t="str" cm="1">
        <f t="array" ref="F500">IF(SUM(--(ISTEXT(B501:B511)*(B501:B511&lt;&gt;"")))=0,"記入不要","使用Lot")</f>
        <v>使用Lot</v>
      </c>
      <c r="G500" s="64" t="s">
        <v>147</v>
      </c>
      <c r="H500" s="65" t="s">
        <v>148</v>
      </c>
      <c r="I500" s="66" t="s">
        <v>149</v>
      </c>
      <c r="J500" s="43">
        <v>0</v>
      </c>
      <c r="K500" s="47"/>
    </row>
    <row r="501" spans="1:14" s="7" customFormat="1" ht="18" customHeight="1">
      <c r="A501" s="67"/>
      <c r="B501" s="71"/>
      <c r="C501" s="74"/>
      <c r="D501" s="75"/>
      <c r="E501" s="76"/>
      <c r="F501" s="77">
        <v>0</v>
      </c>
      <c r="G501" s="78">
        <v>0</v>
      </c>
      <c r="H501" s="79"/>
      <c r="I501" s="154" t="s">
        <v>150</v>
      </c>
      <c r="J501" s="155"/>
      <c r="K501" s="80"/>
    </row>
    <row r="502" spans="1:14" s="5" customFormat="1" ht="18" customHeight="1">
      <c r="A502" s="68">
        <v>46136</v>
      </c>
      <c r="B502" s="72" t="s">
        <v>169</v>
      </c>
      <c r="C502" s="81">
        <v>20</v>
      </c>
      <c r="D502" s="82">
        <v>888</v>
      </c>
      <c r="E502" s="83"/>
      <c r="F502" s="84" t="s">
        <v>169</v>
      </c>
      <c r="G502" s="81">
        <v>203</v>
      </c>
      <c r="H502" s="85">
        <v>101.5</v>
      </c>
      <c r="I502" s="86" t="s">
        <v>151</v>
      </c>
      <c r="J502" s="85"/>
      <c r="K502" s="80"/>
    </row>
    <row r="503" spans="1:14" s="91" customFormat="1" ht="18.95" customHeight="1">
      <c r="A503" s="69">
        <v>46136</v>
      </c>
      <c r="B503" s="72" t="s">
        <v>175</v>
      </c>
      <c r="C503" s="81">
        <v>20</v>
      </c>
      <c r="D503" s="82">
        <v>888</v>
      </c>
      <c r="E503" s="83"/>
      <c r="F503" s="84"/>
      <c r="G503" s="81">
        <v>0</v>
      </c>
      <c r="H503" s="85"/>
      <c r="I503" s="86" t="s">
        <v>152</v>
      </c>
      <c r="J503" s="85">
        <v>2</v>
      </c>
      <c r="K503" s="89"/>
      <c r="L503" s="90"/>
      <c r="M503" s="90"/>
      <c r="N503" s="90"/>
    </row>
    <row r="504" spans="1:14" s="94" customFormat="1" ht="18.95" customHeight="1">
      <c r="A504" s="69"/>
      <c r="B504" s="72" t="s">
        <v>171</v>
      </c>
      <c r="C504" s="81"/>
      <c r="D504" s="82"/>
      <c r="E504" s="83"/>
      <c r="F504" s="84"/>
      <c r="G504" s="81">
        <v>0</v>
      </c>
      <c r="H504" s="85"/>
      <c r="I504" s="86" t="s">
        <v>153</v>
      </c>
      <c r="J504" s="85"/>
      <c r="K504" s="92"/>
      <c r="L504" s="93"/>
      <c r="M504" s="93"/>
      <c r="N504" s="93"/>
    </row>
    <row r="505" spans="1:14" s="94" customFormat="1" ht="18.95" customHeight="1">
      <c r="A505" s="69"/>
      <c r="B505" s="72" t="s">
        <v>171</v>
      </c>
      <c r="C505" s="81"/>
      <c r="D505" s="82"/>
      <c r="E505" s="83"/>
      <c r="F505" s="84"/>
      <c r="G505" s="81">
        <v>0</v>
      </c>
      <c r="H505" s="85"/>
      <c r="I505" s="86" t="s">
        <v>154</v>
      </c>
      <c r="J505" s="85"/>
      <c r="K505" s="92"/>
      <c r="L505" s="93"/>
      <c r="M505" s="93"/>
      <c r="N505" s="93"/>
    </row>
    <row r="506" spans="1:14" s="94" customFormat="1" ht="18.95" customHeight="1">
      <c r="A506" s="69"/>
      <c r="B506" s="72" t="s">
        <v>171</v>
      </c>
      <c r="C506" s="81"/>
      <c r="D506" s="82"/>
      <c r="E506" s="83"/>
      <c r="F506" s="84"/>
      <c r="G506" s="81">
        <v>0</v>
      </c>
      <c r="H506" s="85"/>
      <c r="I506" s="86" t="s">
        <v>155</v>
      </c>
      <c r="J506" s="85"/>
      <c r="K506" s="92"/>
      <c r="L506" s="93"/>
      <c r="M506" s="93"/>
      <c r="N506" s="93"/>
    </row>
    <row r="507" spans="1:14" s="94" customFormat="1" ht="18.95" customHeight="1">
      <c r="A507" s="69"/>
      <c r="B507" s="72" t="s">
        <v>171</v>
      </c>
      <c r="C507" s="81"/>
      <c r="D507" s="82"/>
      <c r="E507" s="83"/>
      <c r="F507" s="84"/>
      <c r="G507" s="81">
        <v>0</v>
      </c>
      <c r="H507" s="85"/>
      <c r="I507" s="86" t="s">
        <v>156</v>
      </c>
      <c r="J507" s="85"/>
      <c r="K507" s="92"/>
      <c r="L507" s="93"/>
      <c r="M507" s="93"/>
      <c r="N507" s="93"/>
    </row>
    <row r="508" spans="1:14" s="94" customFormat="1" ht="18.95" customHeight="1">
      <c r="A508" s="69"/>
      <c r="B508" s="72" t="s">
        <v>171</v>
      </c>
      <c r="C508" s="81"/>
      <c r="D508" s="82"/>
      <c r="E508" s="83"/>
      <c r="F508" s="84"/>
      <c r="G508" s="81">
        <v>0</v>
      </c>
      <c r="H508" s="85"/>
      <c r="I508" s="95" t="s">
        <v>157</v>
      </c>
      <c r="J508" s="85"/>
      <c r="K508" s="92"/>
      <c r="L508" s="93"/>
      <c r="M508" s="93"/>
      <c r="N508" s="93"/>
    </row>
    <row r="509" spans="1:14" s="94" customFormat="1" ht="18.95" customHeight="1">
      <c r="A509" s="69"/>
      <c r="B509" s="72" t="s">
        <v>171</v>
      </c>
      <c r="C509" s="81"/>
      <c r="D509" s="82"/>
      <c r="E509" s="83"/>
      <c r="F509" s="84"/>
      <c r="G509" s="81">
        <v>0</v>
      </c>
      <c r="H509" s="85"/>
      <c r="I509" s="95" t="s">
        <v>158</v>
      </c>
      <c r="J509" s="85"/>
      <c r="K509" s="92"/>
      <c r="L509" s="93"/>
      <c r="M509" s="93"/>
      <c r="N509" s="93"/>
    </row>
    <row r="510" spans="1:14" s="94" customFormat="1" ht="18.95" customHeight="1">
      <c r="A510" s="69"/>
      <c r="B510" s="72" t="s">
        <v>171</v>
      </c>
      <c r="C510" s="81"/>
      <c r="D510" s="82"/>
      <c r="E510" s="83"/>
      <c r="F510" s="84"/>
      <c r="G510" s="81">
        <v>0</v>
      </c>
      <c r="H510" s="85"/>
      <c r="I510" s="86" t="s">
        <v>159</v>
      </c>
      <c r="J510" s="87">
        <v>1</v>
      </c>
      <c r="K510" s="92"/>
      <c r="L510" s="93"/>
      <c r="M510" s="93"/>
      <c r="N510" s="93"/>
    </row>
    <row r="511" spans="1:14" s="94" customFormat="1" ht="18.95" customHeight="1" thickBot="1">
      <c r="A511" s="70" t="s">
        <v>172</v>
      </c>
      <c r="B511" s="73" t="s">
        <v>176</v>
      </c>
      <c r="C511" s="96"/>
      <c r="D511" s="97"/>
      <c r="E511" s="98"/>
      <c r="F511" s="99"/>
      <c r="G511" s="100"/>
      <c r="H511" s="101"/>
      <c r="I511" s="102" t="s">
        <v>160</v>
      </c>
      <c r="J511" s="88">
        <v>3</v>
      </c>
      <c r="K511" s="92"/>
      <c r="L511" s="93"/>
      <c r="M511" s="93"/>
      <c r="N511" s="93"/>
    </row>
    <row r="512" spans="1:14" ht="6" customHeight="1" thickBot="1">
      <c r="A512" s="103"/>
      <c r="B512" s="104"/>
      <c r="C512" s="104"/>
      <c r="D512" s="103"/>
      <c r="E512" s="104"/>
      <c r="F512" s="104"/>
      <c r="G512" s="104"/>
      <c r="H512" s="104"/>
    </row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36" t="s">
        <v>0</v>
      </c>
      <c r="C514" s="106"/>
      <c r="D514" s="106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106"/>
      <c r="C515" s="106"/>
      <c r="D515" s="106"/>
      <c r="E515" s="12"/>
      <c r="F515" s="12"/>
      <c r="G515" s="12"/>
      <c r="H515" s="12"/>
      <c r="I515" s="12"/>
      <c r="J515" s="12"/>
    </row>
    <row r="516" spans="1:10" ht="14.25" customHeight="1">
      <c r="A516" s="108" t="s">
        <v>1</v>
      </c>
      <c r="B516" s="108" t="s">
        <v>91</v>
      </c>
      <c r="C516" s="108" t="s">
        <v>3</v>
      </c>
      <c r="D516" s="131">
        <v>888</v>
      </c>
      <c r="E516" s="108" t="s">
        <v>4</v>
      </c>
      <c r="F516" s="109" t="s">
        <v>92</v>
      </c>
      <c r="G516" s="106"/>
      <c r="H516" s="106"/>
      <c r="I516" s="24" t="s">
        <v>6</v>
      </c>
      <c r="J516" s="24" t="s">
        <v>7</v>
      </c>
    </row>
    <row r="517" spans="1:10" ht="14.25" customHeight="1">
      <c r="A517" s="106"/>
      <c r="B517" s="106"/>
      <c r="C517" s="106"/>
      <c r="D517" s="106"/>
      <c r="E517" s="106"/>
      <c r="F517" s="106"/>
      <c r="G517" s="106"/>
      <c r="H517" s="106"/>
      <c r="I517" s="119"/>
      <c r="J517" s="119"/>
    </row>
    <row r="518" spans="1:10" ht="17.45" customHeight="1">
      <c r="A518" s="125" t="s">
        <v>8</v>
      </c>
      <c r="B518" s="125" t="s">
        <v>104</v>
      </c>
      <c r="E518" s="125" t="s">
        <v>10</v>
      </c>
      <c r="F518" s="140" t="s">
        <v>94</v>
      </c>
      <c r="G518" s="106"/>
      <c r="H518" s="106"/>
      <c r="I518" s="120"/>
      <c r="J518" s="120"/>
    </row>
    <row r="519" spans="1:10" ht="17.45" customHeight="1">
      <c r="A519" s="106"/>
      <c r="B519" s="106"/>
      <c r="E519" s="106"/>
      <c r="F519" s="106"/>
      <c r="G519" s="106"/>
      <c r="H519" s="106"/>
      <c r="I519" s="13"/>
      <c r="J519" s="13"/>
    </row>
    <row r="520" spans="1:10" ht="17.45" customHeight="1">
      <c r="A520" s="125" t="s">
        <v>12</v>
      </c>
      <c r="B520" s="125" t="s">
        <v>105</v>
      </c>
      <c r="E520" s="2" t="s">
        <v>14</v>
      </c>
      <c r="F520" s="140" t="s">
        <v>15</v>
      </c>
      <c r="G520" s="106"/>
      <c r="H520" s="21"/>
      <c r="I520" s="13"/>
      <c r="J520" s="13"/>
    </row>
    <row r="521" spans="1:10" ht="17.45" customHeight="1">
      <c r="A521" s="106"/>
      <c r="B521" s="106"/>
      <c r="E521" s="2" t="s">
        <v>16</v>
      </c>
      <c r="F521" s="21" t="s">
        <v>17</v>
      </c>
      <c r="G521" s="21"/>
      <c r="H521" s="21"/>
      <c r="I521" s="14"/>
      <c r="J521" s="14"/>
    </row>
    <row r="522" spans="1:10" ht="17.45" customHeight="1">
      <c r="A522" s="2" t="s">
        <v>18</v>
      </c>
      <c r="B522" s="4">
        <v>46163</v>
      </c>
      <c r="E522" s="2" t="s">
        <v>19</v>
      </c>
      <c r="F522" s="141">
        <v>100</v>
      </c>
      <c r="G522" s="106"/>
      <c r="H522" s="21"/>
    </row>
    <row r="523" spans="1:10" ht="17.45" customHeight="1">
      <c r="A523" s="2" t="s">
        <v>20</v>
      </c>
      <c r="B523" s="4">
        <v>46163</v>
      </c>
      <c r="E523" s="2" t="s">
        <v>21</v>
      </c>
      <c r="F523" s="21">
        <v>8</v>
      </c>
      <c r="G523" s="133" t="s">
        <v>22</v>
      </c>
      <c r="H523" s="112">
        <v>800</v>
      </c>
      <c r="I523" s="113"/>
      <c r="J523" s="114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15"/>
      <c r="H524" s="115"/>
      <c r="I524" s="116"/>
      <c r="J524" s="117"/>
    </row>
    <row r="525" spans="1:10" ht="13.5" customHeight="1">
      <c r="A525" s="118" t="s">
        <v>96</v>
      </c>
      <c r="B525" s="106"/>
      <c r="C525" s="106"/>
      <c r="D525" s="20"/>
      <c r="F525" s="3"/>
      <c r="G525" s="132" t="s">
        <v>26</v>
      </c>
      <c r="H525" s="110" t="s">
        <v>27</v>
      </c>
      <c r="I525" s="129" t="s">
        <v>28</v>
      </c>
      <c r="J525" s="130"/>
    </row>
    <row r="526" spans="1:10" ht="13.5" customHeight="1">
      <c r="A526" s="106"/>
      <c r="B526" s="106"/>
      <c r="C526" s="106"/>
      <c r="D526" s="20"/>
      <c r="F526" s="3"/>
      <c r="G526" s="111"/>
      <c r="H526" s="111"/>
      <c r="I526" s="116"/>
      <c r="J526" s="117"/>
    </row>
    <row r="527" spans="1:10" ht="13.5" customHeight="1">
      <c r="A527" s="1" t="s">
        <v>29</v>
      </c>
    </row>
    <row r="528" spans="1:10" ht="63" customHeight="1">
      <c r="A528" s="123"/>
      <c r="B528" s="124"/>
      <c r="C528" s="124"/>
      <c r="D528" s="124"/>
      <c r="E528" s="124"/>
      <c r="F528" s="124"/>
      <c r="G528" s="124"/>
      <c r="H528" s="124"/>
      <c r="I528" s="124"/>
      <c r="J528" s="124"/>
    </row>
    <row r="529" spans="1:10" ht="18.75">
      <c r="A529" s="23" t="s">
        <v>30</v>
      </c>
      <c r="B529" s="16" t="s">
        <v>31</v>
      </c>
      <c r="C529" s="134" t="s">
        <v>32</v>
      </c>
      <c r="D529" s="128"/>
      <c r="E529" s="16" t="s">
        <v>33</v>
      </c>
      <c r="F529" s="134" t="s">
        <v>34</v>
      </c>
      <c r="G529" s="128"/>
      <c r="H529" s="128"/>
      <c r="I529" s="127" t="s">
        <v>35</v>
      </c>
      <c r="J529" s="128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5" t="s">
        <v>36</v>
      </c>
      <c r="C531" s="105" t="s">
        <v>37</v>
      </c>
      <c r="D531" s="106"/>
      <c r="E531" s="25" t="s">
        <v>38</v>
      </c>
      <c r="F531" s="105" t="s">
        <v>39</v>
      </c>
      <c r="G531" s="106"/>
      <c r="H531" s="106"/>
      <c r="I531" s="135"/>
      <c r="J531" s="106"/>
    </row>
    <row r="532" spans="1:10" ht="16.5" customHeight="1">
      <c r="A532" s="22">
        <v>1</v>
      </c>
      <c r="B532" s="26" t="s">
        <v>36</v>
      </c>
      <c r="C532" s="105" t="s">
        <v>37</v>
      </c>
      <c r="D532" s="106"/>
      <c r="E532" s="25" t="s">
        <v>40</v>
      </c>
      <c r="F532" s="105" t="s">
        <v>41</v>
      </c>
      <c r="G532" s="106"/>
      <c r="H532" s="106"/>
      <c r="I532" s="135"/>
      <c r="J532" s="106"/>
    </row>
    <row r="533" spans="1:10" ht="16.5" customHeight="1">
      <c r="A533" s="22"/>
      <c r="B533" s="26"/>
      <c r="C533" s="105"/>
      <c r="D533" s="106"/>
      <c r="E533" s="25"/>
      <c r="F533" s="105"/>
      <c r="G533" s="106"/>
      <c r="H533" s="106"/>
      <c r="I533" s="135"/>
      <c r="J533" s="106"/>
    </row>
    <row r="534" spans="1:10" ht="16.5" customHeight="1">
      <c r="A534" s="22"/>
      <c r="B534" s="26"/>
      <c r="C534" s="105"/>
      <c r="D534" s="106"/>
      <c r="E534" s="25"/>
      <c r="F534" s="105"/>
      <c r="G534" s="106"/>
      <c r="H534" s="106"/>
      <c r="I534" s="135"/>
      <c r="J534" s="106"/>
    </row>
    <row r="535" spans="1:10" ht="16.5" customHeight="1">
      <c r="A535" s="22"/>
      <c r="B535" s="26"/>
      <c r="C535" s="105"/>
      <c r="D535" s="106"/>
      <c r="E535" s="25"/>
      <c r="F535" s="105"/>
      <c r="G535" s="106"/>
      <c r="H535" s="106"/>
      <c r="I535" s="135"/>
      <c r="J535" s="106"/>
    </row>
    <row r="536" spans="1:10" ht="16.5" customHeight="1">
      <c r="A536" s="22"/>
      <c r="B536" s="26"/>
      <c r="C536" s="105"/>
      <c r="D536" s="106"/>
      <c r="E536" s="25"/>
      <c r="F536" s="105"/>
      <c r="G536" s="106"/>
      <c r="H536" s="106"/>
      <c r="I536" s="135"/>
      <c r="J536" s="106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21" t="s">
        <v>42</v>
      </c>
      <c r="B538" s="122"/>
      <c r="C538" s="121" t="s">
        <v>43</v>
      </c>
      <c r="D538" s="122"/>
      <c r="E538" s="122"/>
      <c r="F538" s="17" t="s">
        <v>44</v>
      </c>
      <c r="G538" s="121" t="s">
        <v>45</v>
      </c>
      <c r="H538" s="122"/>
      <c r="I538" s="121" t="s">
        <v>46</v>
      </c>
      <c r="J538" s="122"/>
    </row>
    <row r="539" spans="1:10" ht="14.25" customHeight="1">
      <c r="A539" s="8"/>
      <c r="B539" s="18"/>
      <c r="C539" s="143" t="s">
        <v>47</v>
      </c>
      <c r="D539" s="116"/>
      <c r="E539" s="18"/>
      <c r="F539" s="143" t="s">
        <v>29</v>
      </c>
      <c r="G539" s="116"/>
      <c r="H539" s="116"/>
      <c r="I539" s="116"/>
      <c r="J539" s="116"/>
    </row>
    <row r="540" spans="1:10">
      <c r="A540" s="9"/>
      <c r="C540" s="7"/>
      <c r="D540" s="7"/>
      <c r="E540" s="7"/>
    </row>
    <row r="541" spans="1:10" ht="14.25" customHeight="1">
      <c r="A541" s="105" t="s">
        <v>48</v>
      </c>
      <c r="B541" s="106"/>
      <c r="C541" s="105" t="s">
        <v>49</v>
      </c>
      <c r="D541" s="106"/>
      <c r="E541" s="106"/>
      <c r="F541" s="27" t="s">
        <v>50</v>
      </c>
      <c r="G541" s="107">
        <v>400</v>
      </c>
      <c r="H541" s="106"/>
      <c r="I541" s="107">
        <v>4</v>
      </c>
      <c r="J541" s="106"/>
    </row>
    <row r="542" spans="1:10" ht="24.95" customHeight="1">
      <c r="A542" s="126" t="s">
        <v>51</v>
      </c>
      <c r="B542" s="106"/>
      <c r="C542" s="105"/>
      <c r="D542" s="106"/>
      <c r="E542" s="106"/>
      <c r="F542" s="105"/>
      <c r="G542" s="106"/>
      <c r="H542" s="106"/>
      <c r="I542" s="106"/>
      <c r="J542" s="106"/>
    </row>
    <row r="543" spans="1:10" ht="14.25" customHeight="1">
      <c r="A543" s="105" t="s">
        <v>87</v>
      </c>
      <c r="B543" s="106"/>
      <c r="C543" s="105" t="s">
        <v>88</v>
      </c>
      <c r="D543" s="106"/>
      <c r="E543" s="106"/>
      <c r="F543" s="27" t="s">
        <v>36</v>
      </c>
      <c r="G543" s="107">
        <v>8</v>
      </c>
      <c r="H543" s="106"/>
      <c r="I543" s="107">
        <v>0.08</v>
      </c>
      <c r="J543" s="106"/>
    </row>
    <row r="544" spans="1:10" ht="24.95" customHeight="1">
      <c r="A544" s="126" t="s">
        <v>89</v>
      </c>
      <c r="B544" s="106"/>
      <c r="C544" s="105" t="s">
        <v>90</v>
      </c>
      <c r="D544" s="106"/>
      <c r="E544" s="106"/>
      <c r="F544" s="105"/>
      <c r="G544" s="106"/>
      <c r="H544" s="106"/>
      <c r="I544" s="106"/>
      <c r="J544" s="106"/>
    </row>
    <row r="545" spans="1:14" ht="14.25" customHeight="1">
      <c r="A545" s="105" t="s">
        <v>97</v>
      </c>
      <c r="B545" s="106"/>
      <c r="C545" s="105" t="s">
        <v>58</v>
      </c>
      <c r="D545" s="106"/>
      <c r="E545" s="106"/>
      <c r="F545" s="27"/>
      <c r="G545" s="107">
        <v>88</v>
      </c>
      <c r="H545" s="106"/>
      <c r="I545" s="107">
        <v>0.88</v>
      </c>
      <c r="J545" s="106"/>
    </row>
    <row r="546" spans="1:14" ht="24.95" customHeight="1">
      <c r="A546" s="126" t="s">
        <v>98</v>
      </c>
      <c r="B546" s="106"/>
      <c r="C546" s="105" t="s">
        <v>99</v>
      </c>
      <c r="D546" s="106"/>
      <c r="E546" s="106"/>
      <c r="F546" s="105"/>
      <c r="G546" s="106"/>
      <c r="H546" s="106"/>
      <c r="I546" s="106"/>
      <c r="J546" s="106"/>
    </row>
    <row r="547" spans="1:14" ht="14.25" customHeight="1">
      <c r="A547" s="105" t="s">
        <v>61</v>
      </c>
      <c r="B547" s="106"/>
      <c r="C547" s="105" t="s">
        <v>62</v>
      </c>
      <c r="D547" s="106"/>
      <c r="E547" s="106"/>
      <c r="F547" s="27"/>
      <c r="G547" s="107">
        <v>0.8</v>
      </c>
      <c r="H547" s="106"/>
      <c r="I547" s="107">
        <v>8.0000000000000002E-3</v>
      </c>
      <c r="J547" s="106"/>
    </row>
    <row r="548" spans="1:14" ht="24.95" customHeight="1">
      <c r="A548" s="126" t="s">
        <v>63</v>
      </c>
      <c r="B548" s="106"/>
      <c r="C548" s="105" t="s">
        <v>64</v>
      </c>
      <c r="D548" s="106"/>
      <c r="E548" s="106"/>
      <c r="F548" s="105"/>
      <c r="G548" s="106"/>
      <c r="H548" s="106"/>
      <c r="I548" s="106"/>
      <c r="J548" s="106"/>
    </row>
    <row r="549" spans="1:14" ht="14.25" customHeight="1">
      <c r="A549" s="105"/>
      <c r="B549" s="106"/>
      <c r="C549" s="105"/>
      <c r="D549" s="106"/>
      <c r="E549" s="106"/>
      <c r="F549" s="27"/>
      <c r="G549" s="107"/>
      <c r="H549" s="106"/>
      <c r="I549" s="107"/>
      <c r="J549" s="106"/>
    </row>
    <row r="550" spans="1:14" ht="24.95" customHeight="1" thickBot="1">
      <c r="A550" s="126"/>
      <c r="B550" s="106"/>
      <c r="C550" s="105"/>
      <c r="D550" s="106"/>
      <c r="E550" s="106"/>
      <c r="F550" s="105"/>
      <c r="G550" s="106"/>
      <c r="H550" s="106"/>
      <c r="I550" s="106"/>
      <c r="J550" s="106"/>
    </row>
    <row r="551" spans="1:14" s="5" customFormat="1" ht="18" customHeight="1">
      <c r="A551" s="28" t="s">
        <v>124</v>
      </c>
      <c r="B551" s="29" t="s">
        <v>125</v>
      </c>
      <c r="C551" s="148" t="s">
        <v>126</v>
      </c>
      <c r="D551" s="149"/>
      <c r="E551" s="30" t="s">
        <v>127</v>
      </c>
      <c r="F551" s="31" t="s">
        <v>128</v>
      </c>
      <c r="G551" s="32" t="s">
        <v>129</v>
      </c>
      <c r="H551" s="33" t="s">
        <v>130</v>
      </c>
      <c r="I551" s="137" t="s">
        <v>131</v>
      </c>
      <c r="J551" s="138"/>
    </row>
    <row r="552" spans="1:14" s="7" customFormat="1" ht="18" customHeight="1">
      <c r="A552" s="34" t="s">
        <v>161</v>
      </c>
      <c r="B552" s="35">
        <v>888</v>
      </c>
      <c r="C552" s="150" t="s">
        <v>163</v>
      </c>
      <c r="D552" s="151"/>
      <c r="E552" s="146">
        <v>8</v>
      </c>
      <c r="F552" s="36" t="s">
        <v>173</v>
      </c>
      <c r="G552" s="37">
        <v>46161</v>
      </c>
      <c r="H552" s="38">
        <v>2</v>
      </c>
      <c r="I552" s="39" t="s">
        <v>132</v>
      </c>
      <c r="J552" s="40">
        <v>46162</v>
      </c>
    </row>
    <row r="553" spans="1:14" s="5" customFormat="1" ht="18" customHeight="1">
      <c r="A553" s="44" t="s">
        <v>133</v>
      </c>
      <c r="B553" s="45" t="s">
        <v>134</v>
      </c>
      <c r="C553" s="150"/>
      <c r="D553" s="151"/>
      <c r="E553" s="146"/>
      <c r="F553" s="46" t="s">
        <v>213</v>
      </c>
      <c r="G553" s="37">
        <v>46162</v>
      </c>
      <c r="H553" s="38">
        <v>6</v>
      </c>
      <c r="I553" s="39" t="s">
        <v>135</v>
      </c>
      <c r="J553" s="41">
        <v>800</v>
      </c>
      <c r="K553" s="47"/>
    </row>
    <row r="554" spans="1:14" s="7" customFormat="1" ht="18" customHeight="1">
      <c r="A554" s="48">
        <v>0.5</v>
      </c>
      <c r="B554" s="49" t="s">
        <v>162</v>
      </c>
      <c r="C554" s="147" t="s">
        <v>136</v>
      </c>
      <c r="D554" s="144" t="s">
        <v>164</v>
      </c>
      <c r="E554" s="144"/>
      <c r="F554" s="145"/>
      <c r="G554" s="37"/>
      <c r="H554" s="38"/>
      <c r="I554" s="39" t="s">
        <v>137</v>
      </c>
      <c r="J554" s="41">
        <v>402</v>
      </c>
      <c r="K554" s="50"/>
    </row>
    <row r="555" spans="1:14" s="5" customFormat="1" ht="18" customHeight="1">
      <c r="A555" s="51" t="s">
        <v>138</v>
      </c>
      <c r="B555" s="52" t="s">
        <v>139</v>
      </c>
      <c r="C555" s="147"/>
      <c r="D555" s="144" t="s">
        <v>165</v>
      </c>
      <c r="E555" s="144"/>
      <c r="F555" s="145"/>
      <c r="G555" s="37"/>
      <c r="H555" s="38"/>
      <c r="I555" s="39" t="s">
        <v>140</v>
      </c>
      <c r="J555" s="41">
        <v>4</v>
      </c>
      <c r="K555" s="47"/>
    </row>
    <row r="556" spans="1:14" s="7" customFormat="1" ht="18" customHeight="1" thickBot="1">
      <c r="A556" s="53">
        <v>-0.5</v>
      </c>
      <c r="B556" s="54">
        <v>2</v>
      </c>
      <c r="C556" s="55" t="s">
        <v>141</v>
      </c>
      <c r="D556" s="152" t="s">
        <v>166</v>
      </c>
      <c r="E556" s="152"/>
      <c r="F556" s="153"/>
      <c r="G556" s="56"/>
      <c r="H556" s="57"/>
      <c r="I556" s="39" t="s">
        <v>142</v>
      </c>
      <c r="J556" s="42">
        <v>2</v>
      </c>
      <c r="K556" s="50"/>
    </row>
    <row r="557" spans="1:14" s="5" customFormat="1" ht="18" customHeight="1" thickBot="1">
      <c r="A557" s="58" t="s">
        <v>143</v>
      </c>
      <c r="B557" s="59" t="str" cm="1">
        <f t="array" ref="B557">IF(SUM(--(ISTEXT(B558:B568)*(B558:B568&lt;&gt;"")))=0,"計測Lot","計測Lot・加工数")</f>
        <v>計測Lot・加工数</v>
      </c>
      <c r="C557" s="60" t="s">
        <v>144</v>
      </c>
      <c r="D557" s="61" t="s">
        <v>145</v>
      </c>
      <c r="E557" s="62" t="s">
        <v>146</v>
      </c>
      <c r="F557" s="63" t="str" cm="1">
        <f t="array" ref="F557">IF(SUM(--(ISTEXT(B558:B568)*(B558:B568&lt;&gt;"")))=0,"記入不要","使用Lot")</f>
        <v>使用Lot</v>
      </c>
      <c r="G557" s="64" t="s">
        <v>147</v>
      </c>
      <c r="H557" s="65" t="s">
        <v>148</v>
      </c>
      <c r="I557" s="66" t="s">
        <v>149</v>
      </c>
      <c r="J557" s="43">
        <v>0</v>
      </c>
      <c r="K557" s="47"/>
    </row>
    <row r="558" spans="1:14" s="7" customFormat="1" ht="18" customHeight="1">
      <c r="A558" s="67"/>
      <c r="B558" s="71"/>
      <c r="C558" s="74"/>
      <c r="D558" s="75"/>
      <c r="E558" s="76"/>
      <c r="F558" s="77">
        <v>0</v>
      </c>
      <c r="G558" s="78">
        <v>0</v>
      </c>
      <c r="H558" s="79"/>
      <c r="I558" s="154" t="s">
        <v>150</v>
      </c>
      <c r="J558" s="155"/>
      <c r="K558" s="80"/>
    </row>
    <row r="559" spans="1:14" s="5" customFormat="1" ht="18" customHeight="1">
      <c r="A559" s="68">
        <v>46161</v>
      </c>
      <c r="B559" s="72" t="s">
        <v>205</v>
      </c>
      <c r="C559" s="81">
        <v>28</v>
      </c>
      <c r="D559" s="82">
        <v>888.46</v>
      </c>
      <c r="E559" s="83">
        <v>888.48</v>
      </c>
      <c r="F559" s="84" t="s">
        <v>205</v>
      </c>
      <c r="G559" s="81">
        <v>800</v>
      </c>
      <c r="H559" s="85">
        <v>400</v>
      </c>
      <c r="I559" s="86" t="s">
        <v>151</v>
      </c>
      <c r="J559" s="85">
        <v>1</v>
      </c>
      <c r="K559" s="80"/>
    </row>
    <row r="560" spans="1:14" s="91" customFormat="1" ht="18.95" customHeight="1">
      <c r="A560" s="69">
        <v>46161</v>
      </c>
      <c r="B560" s="72" t="s">
        <v>211</v>
      </c>
      <c r="C560" s="81">
        <v>28</v>
      </c>
      <c r="D560" s="82">
        <v>888.46</v>
      </c>
      <c r="E560" s="83">
        <v>888.48</v>
      </c>
      <c r="F560" s="84" t="s">
        <v>193</v>
      </c>
      <c r="G560" s="81">
        <v>4</v>
      </c>
      <c r="H560" s="85">
        <v>2</v>
      </c>
      <c r="I560" s="86" t="s">
        <v>152</v>
      </c>
      <c r="J560" s="85"/>
      <c r="K560" s="89"/>
      <c r="L560" s="90"/>
      <c r="M560" s="90"/>
      <c r="N560" s="90"/>
    </row>
    <row r="561" spans="1:14" s="94" customFormat="1" ht="18.95" customHeight="1">
      <c r="A561" s="69">
        <v>46161</v>
      </c>
      <c r="B561" s="72" t="s">
        <v>211</v>
      </c>
      <c r="C561" s="81">
        <v>28</v>
      </c>
      <c r="D561" s="82">
        <v>888.46</v>
      </c>
      <c r="E561" s="83">
        <v>888.51</v>
      </c>
      <c r="F561" s="84"/>
      <c r="G561" s="81">
        <v>0</v>
      </c>
      <c r="H561" s="85"/>
      <c r="I561" s="86" t="s">
        <v>153</v>
      </c>
      <c r="J561" s="85">
        <v>3</v>
      </c>
      <c r="K561" s="92"/>
      <c r="L561" s="93"/>
      <c r="M561" s="93"/>
      <c r="N561" s="93"/>
    </row>
    <row r="562" spans="1:14" s="94" customFormat="1" ht="18.95" customHeight="1">
      <c r="A562" s="69"/>
      <c r="B562" s="72" t="s">
        <v>171</v>
      </c>
      <c r="C562" s="81"/>
      <c r="D562" s="82"/>
      <c r="E562" s="83"/>
      <c r="F562" s="84"/>
      <c r="G562" s="81">
        <v>0</v>
      </c>
      <c r="H562" s="85"/>
      <c r="I562" s="86" t="s">
        <v>154</v>
      </c>
      <c r="J562" s="85"/>
      <c r="K562" s="92"/>
      <c r="L562" s="93"/>
      <c r="M562" s="93"/>
      <c r="N562" s="93"/>
    </row>
    <row r="563" spans="1:14" s="94" customFormat="1" ht="18.95" customHeight="1">
      <c r="A563" s="69"/>
      <c r="B563" s="72" t="s">
        <v>171</v>
      </c>
      <c r="C563" s="81"/>
      <c r="D563" s="82"/>
      <c r="E563" s="83"/>
      <c r="F563" s="84"/>
      <c r="G563" s="81">
        <v>0</v>
      </c>
      <c r="H563" s="85"/>
      <c r="I563" s="86" t="s">
        <v>155</v>
      </c>
      <c r="J563" s="85"/>
      <c r="K563" s="92"/>
      <c r="L563" s="93"/>
      <c r="M563" s="93"/>
      <c r="N563" s="93"/>
    </row>
    <row r="564" spans="1:14" s="94" customFormat="1" ht="18.95" customHeight="1">
      <c r="A564" s="69"/>
      <c r="B564" s="72" t="s">
        <v>171</v>
      </c>
      <c r="C564" s="81"/>
      <c r="D564" s="82"/>
      <c r="E564" s="83"/>
      <c r="F564" s="84"/>
      <c r="G564" s="81">
        <v>0</v>
      </c>
      <c r="H564" s="85"/>
      <c r="I564" s="86" t="s">
        <v>156</v>
      </c>
      <c r="J564" s="85"/>
      <c r="K564" s="92"/>
      <c r="L564" s="93"/>
      <c r="M564" s="93"/>
      <c r="N564" s="93"/>
    </row>
    <row r="565" spans="1:14" s="94" customFormat="1" ht="18.95" customHeight="1">
      <c r="A565" s="69"/>
      <c r="B565" s="72" t="s">
        <v>171</v>
      </c>
      <c r="C565" s="81"/>
      <c r="D565" s="82"/>
      <c r="E565" s="83"/>
      <c r="F565" s="84"/>
      <c r="G565" s="81">
        <v>0</v>
      </c>
      <c r="H565" s="85"/>
      <c r="I565" s="95" t="s">
        <v>157</v>
      </c>
      <c r="J565" s="85"/>
      <c r="K565" s="92"/>
      <c r="L565" s="93"/>
      <c r="M565" s="93"/>
      <c r="N565" s="93"/>
    </row>
    <row r="566" spans="1:14" s="94" customFormat="1" ht="18.95" customHeight="1">
      <c r="A566" s="69"/>
      <c r="B566" s="72" t="s">
        <v>171</v>
      </c>
      <c r="C566" s="81"/>
      <c r="D566" s="82"/>
      <c r="E566" s="83"/>
      <c r="F566" s="84"/>
      <c r="G566" s="81">
        <v>0</v>
      </c>
      <c r="H566" s="85"/>
      <c r="I566" s="95" t="s">
        <v>158</v>
      </c>
      <c r="J566" s="85"/>
      <c r="K566" s="92"/>
      <c r="L566" s="93"/>
      <c r="M566" s="93"/>
      <c r="N566" s="93"/>
    </row>
    <row r="567" spans="1:14" s="94" customFormat="1" ht="18.95" customHeight="1">
      <c r="A567" s="69"/>
      <c r="B567" s="72" t="s">
        <v>171</v>
      </c>
      <c r="C567" s="81"/>
      <c r="D567" s="82"/>
      <c r="E567" s="83"/>
      <c r="F567" s="84"/>
      <c r="G567" s="81">
        <v>0</v>
      </c>
      <c r="H567" s="85"/>
      <c r="I567" s="86" t="s">
        <v>159</v>
      </c>
      <c r="J567" s="87"/>
      <c r="K567" s="92"/>
      <c r="L567" s="93"/>
      <c r="M567" s="93"/>
      <c r="N567" s="93"/>
    </row>
    <row r="568" spans="1:14" s="94" customFormat="1" ht="18.95" customHeight="1" thickBot="1">
      <c r="A568" s="70" t="s">
        <v>172</v>
      </c>
      <c r="B568" s="73" t="s">
        <v>212</v>
      </c>
      <c r="C568" s="96"/>
      <c r="D568" s="97"/>
      <c r="E568" s="98"/>
      <c r="F568" s="99"/>
      <c r="G568" s="100"/>
      <c r="H568" s="101"/>
      <c r="I568" s="102" t="s">
        <v>160</v>
      </c>
      <c r="J568" s="88">
        <v>4</v>
      </c>
      <c r="K568" s="92"/>
      <c r="L568" s="93"/>
      <c r="M568" s="93"/>
      <c r="N568" s="93"/>
    </row>
    <row r="569" spans="1:14" ht="6" customHeight="1" thickBot="1">
      <c r="A569" s="103"/>
      <c r="B569" s="104"/>
      <c r="C569" s="104"/>
      <c r="D569" s="103"/>
      <c r="E569" s="104"/>
      <c r="F569" s="104"/>
      <c r="G569" s="104"/>
      <c r="H569" s="104"/>
    </row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1"/>
      <c r="B571" s="136" t="s">
        <v>0</v>
      </c>
      <c r="C571" s="106"/>
      <c r="D571" s="106"/>
      <c r="E571" s="11"/>
      <c r="F571" s="11"/>
      <c r="G571" s="11"/>
      <c r="H571" s="11"/>
      <c r="I571" s="11"/>
      <c r="J571" s="11"/>
    </row>
    <row r="572" spans="1:14" ht="14.25" customHeight="1">
      <c r="A572" s="12"/>
      <c r="B572" s="106"/>
      <c r="C572" s="106"/>
      <c r="D572" s="106"/>
      <c r="E572" s="12"/>
      <c r="F572" s="12"/>
      <c r="G572" s="12"/>
      <c r="H572" s="12"/>
      <c r="I572" s="12"/>
      <c r="J572" s="12"/>
    </row>
    <row r="573" spans="1:14" ht="14.25" customHeight="1">
      <c r="A573" s="108" t="s">
        <v>1</v>
      </c>
      <c r="B573" s="108" t="s">
        <v>106</v>
      </c>
      <c r="C573" s="108" t="s">
        <v>3</v>
      </c>
      <c r="D573" s="131">
        <v>1478</v>
      </c>
      <c r="E573" s="108" t="s">
        <v>4</v>
      </c>
      <c r="F573" s="109" t="s">
        <v>107</v>
      </c>
      <c r="G573" s="106"/>
      <c r="H573" s="106"/>
      <c r="I573" s="24" t="s">
        <v>6</v>
      </c>
      <c r="J573" s="24" t="s">
        <v>7</v>
      </c>
    </row>
    <row r="574" spans="1:14" ht="14.25" customHeight="1">
      <c r="A574" s="106"/>
      <c r="B574" s="106"/>
      <c r="C574" s="106"/>
      <c r="D574" s="106"/>
      <c r="E574" s="106"/>
      <c r="F574" s="106"/>
      <c r="G574" s="106"/>
      <c r="H574" s="106"/>
      <c r="I574" s="119"/>
      <c r="J574" s="119"/>
    </row>
    <row r="575" spans="1:14" ht="17.45" customHeight="1">
      <c r="A575" s="125" t="s">
        <v>8</v>
      </c>
      <c r="B575" s="125" t="s">
        <v>108</v>
      </c>
      <c r="E575" s="125" t="s">
        <v>10</v>
      </c>
      <c r="F575" s="140" t="s">
        <v>109</v>
      </c>
      <c r="G575" s="106"/>
      <c r="H575" s="106"/>
      <c r="I575" s="120"/>
      <c r="J575" s="120"/>
    </row>
    <row r="576" spans="1:14" ht="17.45" customHeight="1">
      <c r="A576" s="106"/>
      <c r="B576" s="106"/>
      <c r="E576" s="106"/>
      <c r="F576" s="106"/>
      <c r="G576" s="106"/>
      <c r="H576" s="106"/>
      <c r="I576" s="13"/>
      <c r="J576" s="13"/>
    </row>
    <row r="577" spans="1:10" ht="17.45" customHeight="1">
      <c r="A577" s="125" t="s">
        <v>12</v>
      </c>
      <c r="B577" s="125" t="s">
        <v>110</v>
      </c>
      <c r="E577" s="2" t="s">
        <v>14</v>
      </c>
      <c r="F577" s="140" t="s">
        <v>15</v>
      </c>
      <c r="G577" s="106"/>
      <c r="H577" s="21"/>
      <c r="I577" s="13"/>
      <c r="J577" s="13"/>
    </row>
    <row r="578" spans="1:10" ht="17.45" customHeight="1">
      <c r="A578" s="106"/>
      <c r="B578" s="106"/>
      <c r="E578" s="2" t="s">
        <v>16</v>
      </c>
      <c r="F578" s="21" t="s">
        <v>17</v>
      </c>
      <c r="G578" s="21"/>
      <c r="H578" s="21"/>
      <c r="I578" s="14"/>
      <c r="J578" s="14"/>
    </row>
    <row r="579" spans="1:10" ht="17.45" customHeight="1">
      <c r="A579" s="2" t="s">
        <v>18</v>
      </c>
      <c r="B579" s="4">
        <v>46154</v>
      </c>
      <c r="E579" s="2" t="s">
        <v>19</v>
      </c>
      <c r="F579" s="141">
        <v>100</v>
      </c>
      <c r="G579" s="106"/>
      <c r="H579" s="21"/>
    </row>
    <row r="580" spans="1:10" ht="17.45" customHeight="1">
      <c r="A580" s="2" t="s">
        <v>20</v>
      </c>
      <c r="B580" s="4">
        <v>46154</v>
      </c>
      <c r="E580" s="2" t="s">
        <v>21</v>
      </c>
      <c r="F580" s="21">
        <v>7</v>
      </c>
      <c r="G580" s="133" t="s">
        <v>22</v>
      </c>
      <c r="H580" s="112">
        <v>700</v>
      </c>
      <c r="I580" s="113"/>
      <c r="J580" s="114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15"/>
      <c r="H581" s="115"/>
      <c r="I581" s="116"/>
      <c r="J581" s="117"/>
    </row>
    <row r="582" spans="1:10" ht="13.5" customHeight="1">
      <c r="A582" s="118" t="s">
        <v>111</v>
      </c>
      <c r="B582" s="106"/>
      <c r="C582" s="106"/>
      <c r="D582" s="20"/>
      <c r="F582" s="3"/>
      <c r="G582" s="132" t="s">
        <v>26</v>
      </c>
      <c r="H582" s="110" t="s">
        <v>27</v>
      </c>
      <c r="I582" s="129" t="s">
        <v>28</v>
      </c>
      <c r="J582" s="130"/>
    </row>
    <row r="583" spans="1:10" ht="13.5" customHeight="1">
      <c r="A583" s="106"/>
      <c r="B583" s="106"/>
      <c r="C583" s="106"/>
      <c r="D583" s="20"/>
      <c r="F583" s="3"/>
      <c r="G583" s="111"/>
      <c r="H583" s="111"/>
      <c r="I583" s="116"/>
      <c r="J583" s="117"/>
    </row>
    <row r="584" spans="1:10" ht="13.5" customHeight="1">
      <c r="A584" s="1" t="s">
        <v>29</v>
      </c>
    </row>
    <row r="585" spans="1:10" ht="63" customHeight="1">
      <c r="A585" s="123"/>
      <c r="B585" s="124"/>
      <c r="C585" s="124"/>
      <c r="D585" s="124"/>
      <c r="E585" s="124"/>
      <c r="F585" s="124"/>
      <c r="G585" s="124"/>
      <c r="H585" s="124"/>
      <c r="I585" s="124"/>
      <c r="J585" s="124"/>
    </row>
    <row r="586" spans="1:10" ht="18.75">
      <c r="A586" s="23" t="s">
        <v>30</v>
      </c>
      <c r="B586" s="16" t="s">
        <v>31</v>
      </c>
      <c r="C586" s="134" t="s">
        <v>32</v>
      </c>
      <c r="D586" s="128"/>
      <c r="E586" s="16" t="s">
        <v>33</v>
      </c>
      <c r="F586" s="134" t="s">
        <v>34</v>
      </c>
      <c r="G586" s="128"/>
      <c r="H586" s="128"/>
      <c r="I586" s="127" t="s">
        <v>35</v>
      </c>
      <c r="J586" s="128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5" t="s">
        <v>36</v>
      </c>
      <c r="C588" s="105" t="s">
        <v>37</v>
      </c>
      <c r="D588" s="106"/>
      <c r="E588" s="25" t="s">
        <v>38</v>
      </c>
      <c r="F588" s="105" t="s">
        <v>39</v>
      </c>
      <c r="G588" s="106"/>
      <c r="H588" s="106"/>
      <c r="I588" s="135"/>
      <c r="J588" s="106"/>
    </row>
    <row r="589" spans="1:10" ht="16.5" customHeight="1">
      <c r="A589" s="22">
        <v>1</v>
      </c>
      <c r="B589" s="26" t="s">
        <v>36</v>
      </c>
      <c r="C589" s="105" t="s">
        <v>37</v>
      </c>
      <c r="D589" s="106"/>
      <c r="E589" s="25" t="s">
        <v>40</v>
      </c>
      <c r="F589" s="105" t="s">
        <v>41</v>
      </c>
      <c r="G589" s="106"/>
      <c r="H589" s="106"/>
      <c r="I589" s="135"/>
      <c r="J589" s="106"/>
    </row>
    <row r="590" spans="1:10" ht="16.5" customHeight="1">
      <c r="A590" s="22"/>
      <c r="B590" s="26"/>
      <c r="C590" s="105"/>
      <c r="D590" s="106"/>
      <c r="E590" s="25"/>
      <c r="F590" s="105"/>
      <c r="G590" s="106"/>
      <c r="H590" s="106"/>
      <c r="I590" s="135"/>
      <c r="J590" s="106"/>
    </row>
    <row r="591" spans="1:10" ht="16.5" customHeight="1">
      <c r="A591" s="22"/>
      <c r="B591" s="26"/>
      <c r="C591" s="105"/>
      <c r="D591" s="106"/>
      <c r="E591" s="25"/>
      <c r="F591" s="105"/>
      <c r="G591" s="106"/>
      <c r="H591" s="106"/>
      <c r="I591" s="135"/>
      <c r="J591" s="106"/>
    </row>
    <row r="592" spans="1:10" ht="16.5" customHeight="1">
      <c r="A592" s="22"/>
      <c r="B592" s="26"/>
      <c r="C592" s="105"/>
      <c r="D592" s="106"/>
      <c r="E592" s="25"/>
      <c r="F592" s="105"/>
      <c r="G592" s="106"/>
      <c r="H592" s="106"/>
      <c r="I592" s="135"/>
      <c r="J592" s="106"/>
    </row>
    <row r="593" spans="1:10" ht="16.5" customHeight="1">
      <c r="A593" s="22"/>
      <c r="B593" s="26"/>
      <c r="C593" s="105"/>
      <c r="D593" s="106"/>
      <c r="E593" s="25"/>
      <c r="F593" s="105"/>
      <c r="G593" s="106"/>
      <c r="H593" s="106"/>
      <c r="I593" s="135"/>
      <c r="J593" s="106"/>
    </row>
    <row r="594" spans="1:10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21" t="s">
        <v>42</v>
      </c>
      <c r="B595" s="122"/>
      <c r="C595" s="121" t="s">
        <v>43</v>
      </c>
      <c r="D595" s="122"/>
      <c r="E595" s="122"/>
      <c r="F595" s="17" t="s">
        <v>44</v>
      </c>
      <c r="G595" s="121" t="s">
        <v>45</v>
      </c>
      <c r="H595" s="122"/>
      <c r="I595" s="121" t="s">
        <v>46</v>
      </c>
      <c r="J595" s="122"/>
    </row>
    <row r="596" spans="1:10" ht="14.25" customHeight="1">
      <c r="A596" s="8"/>
      <c r="B596" s="18"/>
      <c r="C596" s="143" t="s">
        <v>47</v>
      </c>
      <c r="D596" s="116"/>
      <c r="E596" s="18"/>
      <c r="F596" s="143" t="s">
        <v>29</v>
      </c>
      <c r="G596" s="116"/>
      <c r="H596" s="116"/>
      <c r="I596" s="116"/>
      <c r="J596" s="116"/>
    </row>
    <row r="597" spans="1:10">
      <c r="A597" s="9"/>
      <c r="C597" s="7"/>
      <c r="D597" s="7"/>
      <c r="E597" s="7"/>
    </row>
    <row r="598" spans="1:10" ht="14.25" customHeight="1">
      <c r="A598" s="105" t="s">
        <v>48</v>
      </c>
      <c r="B598" s="106"/>
      <c r="C598" s="105" t="s">
        <v>49</v>
      </c>
      <c r="D598" s="106"/>
      <c r="E598" s="106"/>
      <c r="F598" s="27" t="s">
        <v>50</v>
      </c>
      <c r="G598" s="107">
        <v>700</v>
      </c>
      <c r="H598" s="106"/>
      <c r="I598" s="107">
        <v>7</v>
      </c>
      <c r="J598" s="106"/>
    </row>
    <row r="599" spans="1:10" ht="24.95" customHeight="1">
      <c r="A599" s="126" t="s">
        <v>51</v>
      </c>
      <c r="B599" s="106"/>
      <c r="C599" s="105"/>
      <c r="D599" s="106"/>
      <c r="E599" s="106"/>
      <c r="F599" s="105"/>
      <c r="G599" s="106"/>
      <c r="H599" s="106"/>
      <c r="I599" s="106"/>
      <c r="J599" s="106"/>
    </row>
    <row r="600" spans="1:10" ht="14.25" customHeight="1">
      <c r="A600" s="105" t="s">
        <v>112</v>
      </c>
      <c r="B600" s="106"/>
      <c r="C600" s="105" t="s">
        <v>113</v>
      </c>
      <c r="D600" s="106"/>
      <c r="E600" s="106"/>
      <c r="F600" s="27" t="s">
        <v>54</v>
      </c>
      <c r="G600" s="107">
        <v>7</v>
      </c>
      <c r="H600" s="106"/>
      <c r="I600" s="107">
        <v>7.0000000000000007E-2</v>
      </c>
      <c r="J600" s="106"/>
    </row>
    <row r="601" spans="1:10" ht="24.95" customHeight="1">
      <c r="A601" s="126" t="s">
        <v>114</v>
      </c>
      <c r="B601" s="106"/>
      <c r="C601" s="105" t="s">
        <v>115</v>
      </c>
      <c r="D601" s="106"/>
      <c r="E601" s="106"/>
      <c r="F601" s="105"/>
      <c r="G601" s="106"/>
      <c r="H601" s="106"/>
      <c r="I601" s="106"/>
      <c r="J601" s="106"/>
    </row>
    <row r="602" spans="1:10" ht="14.25" customHeight="1">
      <c r="A602" s="105" t="s">
        <v>57</v>
      </c>
      <c r="B602" s="106"/>
      <c r="C602" s="105" t="s">
        <v>58</v>
      </c>
      <c r="D602" s="106"/>
      <c r="E602" s="106"/>
      <c r="F602" s="27"/>
      <c r="G602" s="107">
        <v>1.4</v>
      </c>
      <c r="H602" s="106"/>
      <c r="I602" s="107">
        <v>1.4E-2</v>
      </c>
      <c r="J602" s="106"/>
    </row>
    <row r="603" spans="1:10" ht="24.95" customHeight="1">
      <c r="A603" s="126" t="s">
        <v>59</v>
      </c>
      <c r="B603" s="106"/>
      <c r="C603" s="105" t="s">
        <v>60</v>
      </c>
      <c r="D603" s="106"/>
      <c r="E603" s="106"/>
      <c r="F603" s="105"/>
      <c r="G603" s="106"/>
      <c r="H603" s="106"/>
      <c r="I603" s="106"/>
      <c r="J603" s="106"/>
    </row>
    <row r="604" spans="1:10" ht="14.25" customHeight="1">
      <c r="A604" s="105" t="s">
        <v>61</v>
      </c>
      <c r="B604" s="106"/>
      <c r="C604" s="105" t="s">
        <v>62</v>
      </c>
      <c r="D604" s="106"/>
      <c r="E604" s="106"/>
      <c r="F604" s="27"/>
      <c r="G604" s="107">
        <v>0.7</v>
      </c>
      <c r="H604" s="106"/>
      <c r="I604" s="107">
        <v>7.0000000000000001E-3</v>
      </c>
      <c r="J604" s="106"/>
    </row>
    <row r="605" spans="1:10" ht="24.95" customHeight="1">
      <c r="A605" s="126" t="s">
        <v>63</v>
      </c>
      <c r="B605" s="106"/>
      <c r="C605" s="105" t="s">
        <v>64</v>
      </c>
      <c r="D605" s="106"/>
      <c r="E605" s="106"/>
      <c r="F605" s="105"/>
      <c r="G605" s="106"/>
      <c r="H605" s="106"/>
      <c r="I605" s="106"/>
      <c r="J605" s="106"/>
    </row>
    <row r="606" spans="1:10" ht="14.25" customHeight="1">
      <c r="A606" s="105"/>
      <c r="B606" s="106"/>
      <c r="C606" s="105"/>
      <c r="D606" s="106"/>
      <c r="E606" s="106"/>
      <c r="F606" s="27"/>
      <c r="G606" s="107"/>
      <c r="H606" s="106"/>
      <c r="I606" s="107"/>
      <c r="J606" s="106"/>
    </row>
    <row r="607" spans="1:10" ht="24.95" customHeight="1" thickBot="1">
      <c r="A607" s="126"/>
      <c r="B607" s="106"/>
      <c r="C607" s="105"/>
      <c r="D607" s="106"/>
      <c r="E607" s="106"/>
      <c r="F607" s="105"/>
      <c r="G607" s="106"/>
      <c r="H607" s="106"/>
      <c r="I607" s="106"/>
      <c r="J607" s="106"/>
    </row>
    <row r="608" spans="1:10" s="5" customFormat="1" ht="18" customHeight="1">
      <c r="A608" s="28" t="s">
        <v>124</v>
      </c>
      <c r="B608" s="29" t="s">
        <v>125</v>
      </c>
      <c r="C608" s="148" t="s">
        <v>126</v>
      </c>
      <c r="D608" s="149"/>
      <c r="E608" s="30" t="s">
        <v>127</v>
      </c>
      <c r="F608" s="31" t="s">
        <v>128</v>
      </c>
      <c r="G608" s="32" t="s">
        <v>129</v>
      </c>
      <c r="H608" s="33" t="s">
        <v>130</v>
      </c>
      <c r="I608" s="137" t="s">
        <v>131</v>
      </c>
      <c r="J608" s="138"/>
    </row>
    <row r="609" spans="1:14" s="7" customFormat="1" ht="18" customHeight="1">
      <c r="A609" s="34" t="s">
        <v>161</v>
      </c>
      <c r="B609" s="35">
        <v>1478</v>
      </c>
      <c r="C609" s="150" t="s">
        <v>197</v>
      </c>
      <c r="D609" s="151"/>
      <c r="E609" s="146">
        <v>7</v>
      </c>
      <c r="F609" s="36" t="s">
        <v>173</v>
      </c>
      <c r="G609" s="37">
        <v>46153</v>
      </c>
      <c r="H609" s="38">
        <v>7</v>
      </c>
      <c r="I609" s="39" t="s">
        <v>132</v>
      </c>
      <c r="J609" s="40">
        <v>46153</v>
      </c>
    </row>
    <row r="610" spans="1:14" s="5" customFormat="1" ht="18" customHeight="1">
      <c r="A610" s="44" t="s">
        <v>133</v>
      </c>
      <c r="B610" s="45" t="s">
        <v>134</v>
      </c>
      <c r="C610" s="150"/>
      <c r="D610" s="151"/>
      <c r="E610" s="146"/>
      <c r="F610" s="46" t="s">
        <v>174</v>
      </c>
      <c r="G610" s="37"/>
      <c r="H610" s="38"/>
      <c r="I610" s="39" t="s">
        <v>135</v>
      </c>
      <c r="J610" s="41">
        <v>700</v>
      </c>
      <c r="K610" s="47"/>
    </row>
    <row r="611" spans="1:14" s="7" customFormat="1" ht="18" customHeight="1">
      <c r="A611" s="48">
        <v>0.5</v>
      </c>
      <c r="B611" s="49" t="s">
        <v>162</v>
      </c>
      <c r="C611" s="147" t="s">
        <v>136</v>
      </c>
      <c r="D611" s="144" t="s">
        <v>198</v>
      </c>
      <c r="E611" s="144"/>
      <c r="F611" s="145"/>
      <c r="G611" s="37"/>
      <c r="H611" s="38"/>
      <c r="I611" s="39" t="s">
        <v>137</v>
      </c>
      <c r="J611" s="41">
        <v>710</v>
      </c>
      <c r="K611" s="50"/>
    </row>
    <row r="612" spans="1:14" s="5" customFormat="1" ht="18" customHeight="1">
      <c r="A612" s="51" t="s">
        <v>138</v>
      </c>
      <c r="B612" s="52" t="s">
        <v>139</v>
      </c>
      <c r="C612" s="147"/>
      <c r="D612" s="144" t="s">
        <v>165</v>
      </c>
      <c r="E612" s="144"/>
      <c r="F612" s="145"/>
      <c r="G612" s="37"/>
      <c r="H612" s="38"/>
      <c r="I612" s="39" t="s">
        <v>140</v>
      </c>
      <c r="J612" s="41">
        <v>10</v>
      </c>
      <c r="K612" s="47"/>
    </row>
    <row r="613" spans="1:14" s="7" customFormat="1" ht="18" customHeight="1" thickBot="1">
      <c r="A613" s="53">
        <v>-0.5</v>
      </c>
      <c r="B613" s="54">
        <v>1</v>
      </c>
      <c r="C613" s="55" t="s">
        <v>141</v>
      </c>
      <c r="D613" s="152" t="s">
        <v>166</v>
      </c>
      <c r="E613" s="152"/>
      <c r="F613" s="153"/>
      <c r="G613" s="56"/>
      <c r="H613" s="57"/>
      <c r="I613" s="39" t="s">
        <v>142</v>
      </c>
      <c r="J613" s="42">
        <v>10</v>
      </c>
      <c r="K613" s="50"/>
    </row>
    <row r="614" spans="1:14" s="5" customFormat="1" ht="18" customHeight="1" thickBot="1">
      <c r="A614" s="58" t="s">
        <v>143</v>
      </c>
      <c r="B614" s="59" t="str" cm="1">
        <f t="array" ref="B614">IF(SUM(--(ISTEXT(B615:B625)*(B615:B625&lt;&gt;"")))=0,"計測Lot","計測Lot・加工数")</f>
        <v>計測Lot・加工数</v>
      </c>
      <c r="C614" s="60" t="s">
        <v>144</v>
      </c>
      <c r="D614" s="61" t="s">
        <v>145</v>
      </c>
      <c r="E614" s="62" t="s">
        <v>146</v>
      </c>
      <c r="F614" s="63" t="str" cm="1">
        <f t="array" ref="F614">IF(SUM(--(ISTEXT(B615:B625)*(B615:B625&lt;&gt;"")))=0,"記入不要","使用Lot")</f>
        <v>使用Lot</v>
      </c>
      <c r="G614" s="64" t="s">
        <v>147</v>
      </c>
      <c r="H614" s="65" t="s">
        <v>148</v>
      </c>
      <c r="I614" s="66" t="s">
        <v>149</v>
      </c>
      <c r="J614" s="43">
        <v>0</v>
      </c>
      <c r="K614" s="47"/>
    </row>
    <row r="615" spans="1:14" s="7" customFormat="1" ht="18" customHeight="1">
      <c r="A615" s="67">
        <v>46135</v>
      </c>
      <c r="B615" s="71" t="s">
        <v>199</v>
      </c>
      <c r="C615" s="74"/>
      <c r="D615" s="75"/>
      <c r="E615" s="76"/>
      <c r="F615" s="77" t="s">
        <v>200</v>
      </c>
      <c r="G615" s="78">
        <v>11</v>
      </c>
      <c r="H615" s="79">
        <v>11</v>
      </c>
      <c r="I615" s="154" t="s">
        <v>150</v>
      </c>
      <c r="J615" s="155"/>
      <c r="K615" s="80"/>
    </row>
    <row r="616" spans="1:14" s="5" customFormat="1" ht="18" customHeight="1">
      <c r="A616" s="68">
        <v>46154</v>
      </c>
      <c r="B616" s="72" t="s">
        <v>187</v>
      </c>
      <c r="C616" s="81">
        <v>26</v>
      </c>
      <c r="D616" s="82">
        <v>1478.58</v>
      </c>
      <c r="E616" s="83">
        <v>1478.48</v>
      </c>
      <c r="F616" s="84" t="s">
        <v>187</v>
      </c>
      <c r="G616" s="81">
        <v>699</v>
      </c>
      <c r="H616" s="85">
        <v>699</v>
      </c>
      <c r="I616" s="86" t="s">
        <v>151</v>
      </c>
      <c r="J616" s="85">
        <v>5</v>
      </c>
      <c r="K616" s="80"/>
    </row>
    <row r="617" spans="1:14" s="91" customFormat="1" ht="18.95" customHeight="1">
      <c r="A617" s="69">
        <v>46154</v>
      </c>
      <c r="B617" s="72" t="s">
        <v>187</v>
      </c>
      <c r="C617" s="81">
        <v>26</v>
      </c>
      <c r="D617" s="82">
        <v>1478.58</v>
      </c>
      <c r="E617" s="83">
        <v>1478.42</v>
      </c>
      <c r="F617" s="84"/>
      <c r="G617" s="81">
        <v>0</v>
      </c>
      <c r="H617" s="85"/>
      <c r="I617" s="86" t="s">
        <v>152</v>
      </c>
      <c r="J617" s="85">
        <v>1</v>
      </c>
      <c r="K617" s="89"/>
      <c r="L617" s="90"/>
      <c r="M617" s="90"/>
      <c r="N617" s="90"/>
    </row>
    <row r="618" spans="1:14" s="94" customFormat="1" ht="18.95" customHeight="1">
      <c r="A618" s="69">
        <v>46154</v>
      </c>
      <c r="B618" s="72" t="s">
        <v>201</v>
      </c>
      <c r="C618" s="81">
        <v>24</v>
      </c>
      <c r="D618" s="82">
        <v>1478.38</v>
      </c>
      <c r="E618" s="83">
        <v>1478.39</v>
      </c>
      <c r="F618" s="84"/>
      <c r="G618" s="81">
        <v>0</v>
      </c>
      <c r="H618" s="85"/>
      <c r="I618" s="86" t="s">
        <v>153</v>
      </c>
      <c r="J618" s="85">
        <v>1</v>
      </c>
      <c r="K618" s="92"/>
      <c r="L618" s="93"/>
      <c r="M618" s="93"/>
      <c r="N618" s="93"/>
    </row>
    <row r="619" spans="1:14" s="94" customFormat="1" ht="18.95" customHeight="1">
      <c r="A619" s="69">
        <v>46154</v>
      </c>
      <c r="B619" s="72" t="s">
        <v>202</v>
      </c>
      <c r="C619" s="81">
        <v>24</v>
      </c>
      <c r="D619" s="82">
        <v>1478.38</v>
      </c>
      <c r="E619" s="83">
        <v>1478.34</v>
      </c>
      <c r="F619" s="84"/>
      <c r="G619" s="81">
        <v>0</v>
      </c>
      <c r="H619" s="85"/>
      <c r="I619" s="86" t="s">
        <v>154</v>
      </c>
      <c r="J619" s="85"/>
      <c r="K619" s="92"/>
      <c r="L619" s="93"/>
      <c r="M619" s="93"/>
      <c r="N619" s="93"/>
    </row>
    <row r="620" spans="1:14" s="94" customFormat="1" ht="18.95" customHeight="1">
      <c r="A620" s="69"/>
      <c r="B620" s="72" t="s">
        <v>171</v>
      </c>
      <c r="C620" s="81"/>
      <c r="D620" s="82"/>
      <c r="E620" s="83"/>
      <c r="F620" s="84"/>
      <c r="G620" s="81">
        <v>0</v>
      </c>
      <c r="H620" s="85"/>
      <c r="I620" s="86" t="s">
        <v>155</v>
      </c>
      <c r="J620" s="85"/>
      <c r="K620" s="92"/>
      <c r="L620" s="93"/>
      <c r="M620" s="93"/>
      <c r="N620" s="93"/>
    </row>
    <row r="621" spans="1:14" s="94" customFormat="1" ht="18.95" customHeight="1">
      <c r="A621" s="69"/>
      <c r="B621" s="72" t="s">
        <v>171</v>
      </c>
      <c r="C621" s="81"/>
      <c r="D621" s="82"/>
      <c r="E621" s="83"/>
      <c r="F621" s="84"/>
      <c r="G621" s="81">
        <v>0</v>
      </c>
      <c r="H621" s="85"/>
      <c r="I621" s="86" t="s">
        <v>156</v>
      </c>
      <c r="J621" s="85"/>
      <c r="K621" s="92"/>
      <c r="L621" s="93"/>
      <c r="M621" s="93"/>
      <c r="N621" s="93"/>
    </row>
    <row r="622" spans="1:14" s="94" customFormat="1" ht="18.95" customHeight="1">
      <c r="A622" s="69"/>
      <c r="B622" s="72" t="s">
        <v>171</v>
      </c>
      <c r="C622" s="81"/>
      <c r="D622" s="82"/>
      <c r="E622" s="83"/>
      <c r="F622" s="84"/>
      <c r="G622" s="81">
        <v>0</v>
      </c>
      <c r="H622" s="85"/>
      <c r="I622" s="95" t="s">
        <v>157</v>
      </c>
      <c r="J622" s="85"/>
      <c r="K622" s="92"/>
      <c r="L622" s="93"/>
      <c r="M622" s="93"/>
      <c r="N622" s="93"/>
    </row>
    <row r="623" spans="1:14" s="94" customFormat="1" ht="18.95" customHeight="1">
      <c r="A623" s="69"/>
      <c r="B623" s="72" t="s">
        <v>171</v>
      </c>
      <c r="C623" s="81"/>
      <c r="D623" s="82"/>
      <c r="E623" s="83"/>
      <c r="F623" s="84"/>
      <c r="G623" s="81">
        <v>0</v>
      </c>
      <c r="H623" s="85"/>
      <c r="I623" s="95" t="s">
        <v>158</v>
      </c>
      <c r="J623" s="85"/>
      <c r="K623" s="92"/>
      <c r="L623" s="93"/>
      <c r="M623" s="93"/>
      <c r="N623" s="93"/>
    </row>
    <row r="624" spans="1:14" s="94" customFormat="1" ht="18.95" customHeight="1">
      <c r="A624" s="69"/>
      <c r="B624" s="72" t="s">
        <v>171</v>
      </c>
      <c r="C624" s="81"/>
      <c r="D624" s="82"/>
      <c r="E624" s="83"/>
      <c r="F624" s="84"/>
      <c r="G624" s="81">
        <v>0</v>
      </c>
      <c r="H624" s="85"/>
      <c r="I624" s="86" t="s">
        <v>159</v>
      </c>
      <c r="J624" s="87">
        <v>3</v>
      </c>
      <c r="K624" s="92"/>
      <c r="L624" s="93"/>
      <c r="M624" s="93"/>
      <c r="N624" s="93"/>
    </row>
    <row r="625" spans="1:14" s="94" customFormat="1" ht="18.95" customHeight="1" thickBot="1">
      <c r="A625" s="70" t="s">
        <v>172</v>
      </c>
      <c r="B625" s="73" t="s">
        <v>203</v>
      </c>
      <c r="C625" s="96"/>
      <c r="D625" s="97"/>
      <c r="E625" s="98"/>
      <c r="F625" s="99"/>
      <c r="G625" s="100"/>
      <c r="H625" s="101"/>
      <c r="I625" s="102" t="s">
        <v>160</v>
      </c>
      <c r="J625" s="88">
        <v>10</v>
      </c>
      <c r="K625" s="92"/>
      <c r="L625" s="93"/>
      <c r="M625" s="93"/>
      <c r="N625" s="93"/>
    </row>
    <row r="626" spans="1:14" ht="6" customHeight="1" thickBot="1">
      <c r="A626" s="103"/>
      <c r="B626" s="104"/>
      <c r="C626" s="104"/>
      <c r="D626" s="103"/>
      <c r="E626" s="104"/>
      <c r="F626" s="104"/>
      <c r="G626" s="104"/>
      <c r="H626" s="104"/>
    </row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>
      <c r="A628" s="11"/>
      <c r="B628" s="136" t="s">
        <v>0</v>
      </c>
      <c r="C628" s="106"/>
      <c r="D628" s="106"/>
      <c r="E628" s="11"/>
      <c r="F628" s="11"/>
      <c r="G628" s="11"/>
      <c r="H628" s="11"/>
      <c r="I628" s="11"/>
      <c r="J628" s="11"/>
    </row>
    <row r="629" spans="1:14" ht="14.25" customHeight="1">
      <c r="A629" s="12"/>
      <c r="B629" s="106"/>
      <c r="C629" s="106"/>
      <c r="D629" s="106"/>
      <c r="E629" s="12"/>
      <c r="F629" s="12"/>
      <c r="G629" s="12"/>
      <c r="H629" s="12"/>
      <c r="I629" s="12"/>
      <c r="J629" s="12"/>
    </row>
    <row r="630" spans="1:14" ht="14.25" customHeight="1">
      <c r="A630" s="108" t="s">
        <v>1</v>
      </c>
      <c r="B630" s="108" t="s">
        <v>106</v>
      </c>
      <c r="C630" s="108" t="s">
        <v>3</v>
      </c>
      <c r="D630" s="131">
        <v>1478</v>
      </c>
      <c r="E630" s="108" t="s">
        <v>4</v>
      </c>
      <c r="F630" s="109" t="s">
        <v>107</v>
      </c>
      <c r="G630" s="106"/>
      <c r="H630" s="106"/>
      <c r="I630" s="24" t="s">
        <v>6</v>
      </c>
      <c r="J630" s="24" t="s">
        <v>7</v>
      </c>
    </row>
    <row r="631" spans="1:14" ht="14.25" customHeight="1">
      <c r="A631" s="106"/>
      <c r="B631" s="106"/>
      <c r="C631" s="106"/>
      <c r="D631" s="106"/>
      <c r="E631" s="106"/>
      <c r="F631" s="106"/>
      <c r="G631" s="106"/>
      <c r="H631" s="106"/>
      <c r="I631" s="119"/>
      <c r="J631" s="119"/>
    </row>
    <row r="632" spans="1:14" ht="17.45" customHeight="1">
      <c r="A632" s="125" t="s">
        <v>8</v>
      </c>
      <c r="B632" s="125" t="s">
        <v>116</v>
      </c>
      <c r="E632" s="125" t="s">
        <v>10</v>
      </c>
      <c r="F632" s="140" t="s">
        <v>109</v>
      </c>
      <c r="G632" s="106"/>
      <c r="H632" s="106"/>
      <c r="I632" s="120"/>
      <c r="J632" s="120"/>
    </row>
    <row r="633" spans="1:14" ht="17.45" customHeight="1">
      <c r="A633" s="106"/>
      <c r="B633" s="106"/>
      <c r="E633" s="106"/>
      <c r="F633" s="106"/>
      <c r="G633" s="106"/>
      <c r="H633" s="106"/>
      <c r="I633" s="13"/>
      <c r="J633" s="13"/>
    </row>
    <row r="634" spans="1:14" ht="17.45" customHeight="1">
      <c r="A634" s="125" t="s">
        <v>12</v>
      </c>
      <c r="B634" s="125" t="s">
        <v>117</v>
      </c>
      <c r="E634" s="2" t="s">
        <v>14</v>
      </c>
      <c r="F634" s="140" t="s">
        <v>15</v>
      </c>
      <c r="G634" s="106"/>
      <c r="H634" s="21"/>
      <c r="I634" s="13"/>
      <c r="J634" s="13"/>
    </row>
    <row r="635" spans="1:14" ht="17.45" customHeight="1">
      <c r="A635" s="106"/>
      <c r="B635" s="106"/>
      <c r="E635" s="2" t="s">
        <v>16</v>
      </c>
      <c r="F635" s="21" t="s">
        <v>17</v>
      </c>
      <c r="G635" s="21"/>
      <c r="H635" s="21"/>
      <c r="I635" s="14"/>
      <c r="J635" s="14"/>
    </row>
    <row r="636" spans="1:14" ht="17.45" customHeight="1">
      <c r="A636" s="2" t="s">
        <v>18</v>
      </c>
      <c r="B636" s="4">
        <v>46163</v>
      </c>
      <c r="E636" s="2" t="s">
        <v>19</v>
      </c>
      <c r="F636" s="141">
        <v>100</v>
      </c>
      <c r="G636" s="106"/>
      <c r="H636" s="21"/>
    </row>
    <row r="637" spans="1:14" ht="17.45" customHeight="1">
      <c r="A637" s="2" t="s">
        <v>20</v>
      </c>
      <c r="B637" s="4">
        <v>46163</v>
      </c>
      <c r="E637" s="2" t="s">
        <v>21</v>
      </c>
      <c r="F637" s="21">
        <v>3</v>
      </c>
      <c r="G637" s="133" t="s">
        <v>22</v>
      </c>
      <c r="H637" s="112">
        <v>300</v>
      </c>
      <c r="I637" s="113"/>
      <c r="J637" s="114"/>
    </row>
    <row r="638" spans="1:14" ht="17.45" customHeight="1">
      <c r="A638" s="19"/>
      <c r="B638" s="20"/>
      <c r="C638" s="20"/>
      <c r="D638" s="20"/>
      <c r="E638" s="2" t="s">
        <v>23</v>
      </c>
      <c r="F638" s="21" t="s">
        <v>24</v>
      </c>
      <c r="G638" s="115"/>
      <c r="H638" s="115"/>
      <c r="I638" s="116"/>
      <c r="J638" s="117"/>
    </row>
    <row r="639" spans="1:14" ht="13.5" customHeight="1">
      <c r="A639" s="118" t="s">
        <v>111</v>
      </c>
      <c r="B639" s="106"/>
      <c r="C639" s="106"/>
      <c r="D639" s="20"/>
      <c r="F639" s="3"/>
      <c r="G639" s="132" t="s">
        <v>26</v>
      </c>
      <c r="H639" s="110" t="s">
        <v>27</v>
      </c>
      <c r="I639" s="129" t="s">
        <v>28</v>
      </c>
      <c r="J639" s="130"/>
    </row>
    <row r="640" spans="1:14" ht="13.5" customHeight="1">
      <c r="A640" s="106"/>
      <c r="B640" s="106"/>
      <c r="C640" s="106"/>
      <c r="D640" s="20"/>
      <c r="F640" s="3"/>
      <c r="G640" s="111"/>
      <c r="H640" s="111"/>
      <c r="I640" s="116"/>
      <c r="J640" s="117"/>
    </row>
    <row r="641" spans="1:10" ht="13.5" customHeight="1">
      <c r="A641" s="1" t="s">
        <v>29</v>
      </c>
    </row>
    <row r="642" spans="1:10" ht="63" customHeight="1">
      <c r="A642" s="123"/>
      <c r="B642" s="124"/>
      <c r="C642" s="124"/>
      <c r="D642" s="124"/>
      <c r="E642" s="124"/>
      <c r="F642" s="124"/>
      <c r="G642" s="124"/>
      <c r="H642" s="124"/>
      <c r="I642" s="124"/>
      <c r="J642" s="124"/>
    </row>
    <row r="643" spans="1:10" ht="18.75">
      <c r="A643" s="23" t="s">
        <v>30</v>
      </c>
      <c r="B643" s="16" t="s">
        <v>31</v>
      </c>
      <c r="C643" s="134" t="s">
        <v>32</v>
      </c>
      <c r="D643" s="128"/>
      <c r="E643" s="16" t="s">
        <v>33</v>
      </c>
      <c r="F643" s="134" t="s">
        <v>34</v>
      </c>
      <c r="G643" s="128"/>
      <c r="H643" s="128"/>
      <c r="I643" s="127" t="s">
        <v>35</v>
      </c>
      <c r="J643" s="128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2">
        <v>1</v>
      </c>
      <c r="B645" s="25" t="s">
        <v>36</v>
      </c>
      <c r="C645" s="105" t="s">
        <v>37</v>
      </c>
      <c r="D645" s="106"/>
      <c r="E645" s="25" t="s">
        <v>38</v>
      </c>
      <c r="F645" s="105" t="s">
        <v>39</v>
      </c>
      <c r="G645" s="106"/>
      <c r="H645" s="106"/>
      <c r="I645" s="135"/>
      <c r="J645" s="106"/>
    </row>
    <row r="646" spans="1:10" ht="16.5" customHeight="1">
      <c r="A646" s="22">
        <v>1</v>
      </c>
      <c r="B646" s="26" t="s">
        <v>36</v>
      </c>
      <c r="C646" s="105" t="s">
        <v>37</v>
      </c>
      <c r="D646" s="106"/>
      <c r="E646" s="25" t="s">
        <v>40</v>
      </c>
      <c r="F646" s="105" t="s">
        <v>41</v>
      </c>
      <c r="G646" s="106"/>
      <c r="H646" s="106"/>
      <c r="I646" s="135"/>
      <c r="J646" s="106"/>
    </row>
    <row r="647" spans="1:10" ht="16.5" customHeight="1">
      <c r="A647" s="22"/>
      <c r="B647" s="26"/>
      <c r="C647" s="105"/>
      <c r="D647" s="106"/>
      <c r="E647" s="25"/>
      <c r="F647" s="105"/>
      <c r="G647" s="106"/>
      <c r="H647" s="106"/>
      <c r="I647" s="135"/>
      <c r="J647" s="106"/>
    </row>
    <row r="648" spans="1:10" ht="16.5" customHeight="1">
      <c r="A648" s="22"/>
      <c r="B648" s="26"/>
      <c r="C648" s="105"/>
      <c r="D648" s="106"/>
      <c r="E648" s="25"/>
      <c r="F648" s="105"/>
      <c r="G648" s="106"/>
      <c r="H648" s="106"/>
      <c r="I648" s="135"/>
      <c r="J648" s="106"/>
    </row>
    <row r="649" spans="1:10" ht="16.5" customHeight="1">
      <c r="A649" s="22"/>
      <c r="B649" s="26"/>
      <c r="C649" s="105"/>
      <c r="D649" s="106"/>
      <c r="E649" s="25"/>
      <c r="F649" s="105"/>
      <c r="G649" s="106"/>
      <c r="H649" s="106"/>
      <c r="I649" s="135"/>
      <c r="J649" s="106"/>
    </row>
    <row r="650" spans="1:10" ht="16.5" customHeight="1">
      <c r="A650" s="22"/>
      <c r="B650" s="26"/>
      <c r="C650" s="105"/>
      <c r="D650" s="106"/>
      <c r="E650" s="25"/>
      <c r="F650" s="105"/>
      <c r="G650" s="106"/>
      <c r="H650" s="106"/>
      <c r="I650" s="135"/>
      <c r="J650" s="106"/>
    </row>
    <row r="651" spans="1:10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1:10" ht="18.75">
      <c r="A652" s="121" t="s">
        <v>42</v>
      </c>
      <c r="B652" s="122"/>
      <c r="C652" s="121" t="s">
        <v>43</v>
      </c>
      <c r="D652" s="122"/>
      <c r="E652" s="122"/>
      <c r="F652" s="17" t="s">
        <v>44</v>
      </c>
      <c r="G652" s="121" t="s">
        <v>45</v>
      </c>
      <c r="H652" s="122"/>
      <c r="I652" s="121" t="s">
        <v>46</v>
      </c>
      <c r="J652" s="122"/>
    </row>
    <row r="653" spans="1:10" ht="14.25" customHeight="1">
      <c r="A653" s="8"/>
      <c r="B653" s="18"/>
      <c r="C653" s="143" t="s">
        <v>47</v>
      </c>
      <c r="D653" s="116"/>
      <c r="E653" s="18"/>
      <c r="F653" s="143" t="s">
        <v>29</v>
      </c>
      <c r="G653" s="116"/>
      <c r="H653" s="116"/>
      <c r="I653" s="116"/>
      <c r="J653" s="116"/>
    </row>
    <row r="654" spans="1:10">
      <c r="A654" s="9"/>
      <c r="C654" s="7"/>
      <c r="D654" s="7"/>
      <c r="E654" s="7"/>
    </row>
    <row r="655" spans="1:10" ht="14.25" customHeight="1">
      <c r="A655" s="105" t="s">
        <v>48</v>
      </c>
      <c r="B655" s="106"/>
      <c r="C655" s="105" t="s">
        <v>49</v>
      </c>
      <c r="D655" s="106"/>
      <c r="E655" s="106"/>
      <c r="F655" s="27" t="s">
        <v>50</v>
      </c>
      <c r="G655" s="107">
        <v>300</v>
      </c>
      <c r="H655" s="106"/>
      <c r="I655" s="107">
        <v>3</v>
      </c>
      <c r="J655" s="106"/>
    </row>
    <row r="656" spans="1:10" ht="24.95" customHeight="1">
      <c r="A656" s="126" t="s">
        <v>51</v>
      </c>
      <c r="B656" s="106"/>
      <c r="C656" s="105"/>
      <c r="D656" s="106"/>
      <c r="E656" s="106"/>
      <c r="F656" s="105"/>
      <c r="G656" s="106"/>
      <c r="H656" s="106"/>
      <c r="I656" s="106"/>
      <c r="J656" s="106"/>
    </row>
    <row r="657" spans="1:11" ht="14.25" customHeight="1">
      <c r="A657" s="105" t="s">
        <v>112</v>
      </c>
      <c r="B657" s="106"/>
      <c r="C657" s="105" t="s">
        <v>113</v>
      </c>
      <c r="D657" s="106"/>
      <c r="E657" s="106"/>
      <c r="F657" s="27" t="s">
        <v>54</v>
      </c>
      <c r="G657" s="107">
        <v>3</v>
      </c>
      <c r="H657" s="106"/>
      <c r="I657" s="107">
        <v>0.03</v>
      </c>
      <c r="J657" s="106"/>
    </row>
    <row r="658" spans="1:11" ht="24.95" customHeight="1">
      <c r="A658" s="126" t="s">
        <v>114</v>
      </c>
      <c r="B658" s="106"/>
      <c r="C658" s="105" t="s">
        <v>115</v>
      </c>
      <c r="D658" s="106"/>
      <c r="E658" s="106"/>
      <c r="F658" s="105"/>
      <c r="G658" s="106"/>
      <c r="H658" s="106"/>
      <c r="I658" s="106"/>
      <c r="J658" s="106"/>
    </row>
    <row r="659" spans="1:11" ht="14.25" customHeight="1">
      <c r="A659" s="105" t="s">
        <v>57</v>
      </c>
      <c r="B659" s="106"/>
      <c r="C659" s="105" t="s">
        <v>58</v>
      </c>
      <c r="D659" s="106"/>
      <c r="E659" s="106"/>
      <c r="F659" s="27"/>
      <c r="G659" s="107">
        <v>0.6</v>
      </c>
      <c r="H659" s="106"/>
      <c r="I659" s="107">
        <v>6.0000000000000001E-3</v>
      </c>
      <c r="J659" s="106"/>
    </row>
    <row r="660" spans="1:11" ht="24.95" customHeight="1">
      <c r="A660" s="126" t="s">
        <v>59</v>
      </c>
      <c r="B660" s="106"/>
      <c r="C660" s="105" t="s">
        <v>60</v>
      </c>
      <c r="D660" s="106"/>
      <c r="E660" s="106"/>
      <c r="F660" s="105"/>
      <c r="G660" s="106"/>
      <c r="H660" s="106"/>
      <c r="I660" s="106"/>
      <c r="J660" s="106"/>
    </row>
    <row r="661" spans="1:11" ht="14.25" customHeight="1">
      <c r="A661" s="105" t="s">
        <v>61</v>
      </c>
      <c r="B661" s="106"/>
      <c r="C661" s="105" t="s">
        <v>62</v>
      </c>
      <c r="D661" s="106"/>
      <c r="E661" s="106"/>
      <c r="F661" s="27"/>
      <c r="G661" s="107">
        <v>0.3</v>
      </c>
      <c r="H661" s="106"/>
      <c r="I661" s="107">
        <v>3.0000000000000001E-3</v>
      </c>
      <c r="J661" s="106"/>
    </row>
    <row r="662" spans="1:11" ht="24.95" customHeight="1">
      <c r="A662" s="126" t="s">
        <v>63</v>
      </c>
      <c r="B662" s="106"/>
      <c r="C662" s="105" t="s">
        <v>64</v>
      </c>
      <c r="D662" s="106"/>
      <c r="E662" s="106"/>
      <c r="F662" s="105"/>
      <c r="G662" s="106"/>
      <c r="H662" s="106"/>
      <c r="I662" s="106"/>
      <c r="J662" s="106"/>
    </row>
    <row r="663" spans="1:11" ht="14.25" customHeight="1">
      <c r="A663" s="105"/>
      <c r="B663" s="106"/>
      <c r="C663" s="105"/>
      <c r="D663" s="106"/>
      <c r="E663" s="106"/>
      <c r="F663" s="27"/>
      <c r="G663" s="107"/>
      <c r="H663" s="106"/>
      <c r="I663" s="107"/>
      <c r="J663" s="106"/>
    </row>
    <row r="664" spans="1:11" ht="24.95" customHeight="1" thickBot="1">
      <c r="A664" s="126"/>
      <c r="B664" s="106"/>
      <c r="C664" s="105"/>
      <c r="D664" s="106"/>
      <c r="E664" s="106"/>
      <c r="F664" s="105"/>
      <c r="G664" s="106"/>
      <c r="H664" s="106"/>
      <c r="I664" s="106"/>
      <c r="J664" s="106"/>
    </row>
    <row r="665" spans="1:11" s="5" customFormat="1" ht="18" customHeight="1">
      <c r="A665" s="28" t="s">
        <v>124</v>
      </c>
      <c r="B665" s="29" t="s">
        <v>125</v>
      </c>
      <c r="C665" s="148" t="s">
        <v>126</v>
      </c>
      <c r="D665" s="149"/>
      <c r="E665" s="30" t="s">
        <v>127</v>
      </c>
      <c r="F665" s="31" t="s">
        <v>128</v>
      </c>
      <c r="G665" s="32" t="s">
        <v>129</v>
      </c>
      <c r="H665" s="33" t="s">
        <v>130</v>
      </c>
      <c r="I665" s="137" t="s">
        <v>131</v>
      </c>
      <c r="J665" s="138"/>
    </row>
    <row r="666" spans="1:11" s="7" customFormat="1" ht="18" customHeight="1">
      <c r="A666" s="34" t="s">
        <v>161</v>
      </c>
      <c r="B666" s="35">
        <v>1478</v>
      </c>
      <c r="C666" s="150" t="s">
        <v>197</v>
      </c>
      <c r="D666" s="151"/>
      <c r="E666" s="146">
        <v>3</v>
      </c>
      <c r="F666" s="36" t="s">
        <v>173</v>
      </c>
      <c r="G666" s="37">
        <v>46160</v>
      </c>
      <c r="H666" s="38">
        <v>3</v>
      </c>
      <c r="I666" s="39" t="s">
        <v>132</v>
      </c>
      <c r="J666" s="40">
        <v>46160</v>
      </c>
    </row>
    <row r="667" spans="1:11" s="5" customFormat="1" ht="18" customHeight="1">
      <c r="A667" s="44" t="s">
        <v>133</v>
      </c>
      <c r="B667" s="45" t="s">
        <v>134</v>
      </c>
      <c r="C667" s="150"/>
      <c r="D667" s="151"/>
      <c r="E667" s="146"/>
      <c r="F667" s="46" t="s">
        <v>174</v>
      </c>
      <c r="G667" s="37"/>
      <c r="H667" s="38"/>
      <c r="I667" s="39" t="s">
        <v>135</v>
      </c>
      <c r="J667" s="41">
        <v>300</v>
      </c>
      <c r="K667" s="47"/>
    </row>
    <row r="668" spans="1:11" s="7" customFormat="1" ht="18" customHeight="1">
      <c r="A668" s="48">
        <v>0.5</v>
      </c>
      <c r="B668" s="49" t="s">
        <v>162</v>
      </c>
      <c r="C668" s="147" t="s">
        <v>136</v>
      </c>
      <c r="D668" s="144" t="s">
        <v>198</v>
      </c>
      <c r="E668" s="144"/>
      <c r="F668" s="145"/>
      <c r="G668" s="37"/>
      <c r="H668" s="38"/>
      <c r="I668" s="39" t="s">
        <v>137</v>
      </c>
      <c r="J668" s="41">
        <v>303</v>
      </c>
      <c r="K668" s="50"/>
    </row>
    <row r="669" spans="1:11" s="5" customFormat="1" ht="18" customHeight="1">
      <c r="A669" s="51" t="s">
        <v>138</v>
      </c>
      <c r="B669" s="52" t="s">
        <v>139</v>
      </c>
      <c r="C669" s="147"/>
      <c r="D669" s="144" t="s">
        <v>165</v>
      </c>
      <c r="E669" s="144"/>
      <c r="F669" s="145"/>
      <c r="G669" s="37"/>
      <c r="H669" s="38"/>
      <c r="I669" s="39" t="s">
        <v>140</v>
      </c>
      <c r="J669" s="41">
        <v>3</v>
      </c>
      <c r="K669" s="47"/>
    </row>
    <row r="670" spans="1:11" s="7" customFormat="1" ht="18" customHeight="1" thickBot="1">
      <c r="A670" s="53">
        <v>-0.5</v>
      </c>
      <c r="B670" s="54">
        <v>1</v>
      </c>
      <c r="C670" s="55" t="s">
        <v>141</v>
      </c>
      <c r="D670" s="152" t="s">
        <v>166</v>
      </c>
      <c r="E670" s="152"/>
      <c r="F670" s="153"/>
      <c r="G670" s="56"/>
      <c r="H670" s="57"/>
      <c r="I670" s="39" t="s">
        <v>142</v>
      </c>
      <c r="J670" s="42">
        <v>3</v>
      </c>
      <c r="K670" s="50"/>
    </row>
    <row r="671" spans="1:11" s="5" customFormat="1" ht="18" customHeight="1" thickBot="1">
      <c r="A671" s="58" t="s">
        <v>143</v>
      </c>
      <c r="B671" s="59" t="str" cm="1">
        <f t="array" ref="B671">IF(SUM(--(ISTEXT(B672:B682)*(B672:B682&lt;&gt;"")))=0,"計測Lot","計測Lot・加工数")</f>
        <v>計測Lot・加工数</v>
      </c>
      <c r="C671" s="60" t="s">
        <v>144</v>
      </c>
      <c r="D671" s="61" t="s">
        <v>145</v>
      </c>
      <c r="E671" s="62" t="s">
        <v>146</v>
      </c>
      <c r="F671" s="63" t="str" cm="1">
        <f t="array" ref="F671">IF(SUM(--(ISTEXT(B672:B682)*(B672:B682&lt;&gt;"")))=0,"記入不要","使用Lot")</f>
        <v>使用Lot</v>
      </c>
      <c r="G671" s="64" t="s">
        <v>147</v>
      </c>
      <c r="H671" s="65" t="s">
        <v>148</v>
      </c>
      <c r="I671" s="66" t="s">
        <v>149</v>
      </c>
      <c r="J671" s="43">
        <v>0</v>
      </c>
      <c r="K671" s="47"/>
    </row>
    <row r="672" spans="1:11" s="7" customFormat="1" ht="18" customHeight="1">
      <c r="A672" s="67"/>
      <c r="B672" s="71"/>
      <c r="C672" s="74"/>
      <c r="D672" s="75"/>
      <c r="E672" s="76"/>
      <c r="F672" s="77">
        <v>0</v>
      </c>
      <c r="G672" s="78">
        <v>0</v>
      </c>
      <c r="H672" s="79"/>
      <c r="I672" s="154" t="s">
        <v>150</v>
      </c>
      <c r="J672" s="155"/>
      <c r="K672" s="80"/>
    </row>
    <row r="673" spans="1:14" s="5" customFormat="1" ht="18" customHeight="1">
      <c r="A673" s="68">
        <v>46156</v>
      </c>
      <c r="B673" s="72" t="s">
        <v>193</v>
      </c>
      <c r="C673" s="81">
        <v>22</v>
      </c>
      <c r="D673" s="82">
        <v>1478.19</v>
      </c>
      <c r="E673" s="83">
        <v>1478.12</v>
      </c>
      <c r="F673" s="84" t="s">
        <v>193</v>
      </c>
      <c r="G673" s="81">
        <v>6</v>
      </c>
      <c r="H673" s="85">
        <v>6</v>
      </c>
      <c r="I673" s="86" t="s">
        <v>151</v>
      </c>
      <c r="J673" s="85">
        <v>1</v>
      </c>
      <c r="K673" s="80"/>
    </row>
    <row r="674" spans="1:14" s="91" customFormat="1" ht="18.95" customHeight="1">
      <c r="A674" s="69">
        <v>46156</v>
      </c>
      <c r="B674" s="72" t="s">
        <v>204</v>
      </c>
      <c r="C674" s="81">
        <v>22</v>
      </c>
      <c r="D674" s="82">
        <v>1478.19</v>
      </c>
      <c r="E674" s="83">
        <v>1478.22</v>
      </c>
      <c r="F674" s="84" t="s">
        <v>205</v>
      </c>
      <c r="G674" s="81">
        <v>294</v>
      </c>
      <c r="H674" s="85">
        <v>294</v>
      </c>
      <c r="I674" s="86" t="s">
        <v>152</v>
      </c>
      <c r="J674" s="85"/>
      <c r="K674" s="89"/>
      <c r="L674" s="90"/>
      <c r="M674" s="90"/>
      <c r="N674" s="90"/>
    </row>
    <row r="675" spans="1:14" s="94" customFormat="1" ht="18.95" customHeight="1">
      <c r="A675" s="69">
        <v>46156</v>
      </c>
      <c r="B675" s="72" t="s">
        <v>205</v>
      </c>
      <c r="C675" s="81">
        <v>22</v>
      </c>
      <c r="D675" s="82">
        <v>1478.19</v>
      </c>
      <c r="E675" s="83">
        <v>1478.19</v>
      </c>
      <c r="F675" s="84" t="s">
        <v>187</v>
      </c>
      <c r="G675" s="81">
        <v>3</v>
      </c>
      <c r="H675" s="85">
        <v>3</v>
      </c>
      <c r="I675" s="86" t="s">
        <v>153</v>
      </c>
      <c r="J675" s="85"/>
      <c r="K675" s="92"/>
      <c r="L675" s="93"/>
      <c r="M675" s="93"/>
      <c r="N675" s="93"/>
    </row>
    <row r="676" spans="1:14" s="94" customFormat="1" ht="18.95" customHeight="1">
      <c r="A676" s="69">
        <v>46156</v>
      </c>
      <c r="B676" s="72" t="s">
        <v>206</v>
      </c>
      <c r="C676" s="81">
        <v>22</v>
      </c>
      <c r="D676" s="82">
        <v>1478.19</v>
      </c>
      <c r="E676" s="83">
        <v>1478.18</v>
      </c>
      <c r="F676" s="84"/>
      <c r="G676" s="81">
        <v>0</v>
      </c>
      <c r="H676" s="85"/>
      <c r="I676" s="86" t="s">
        <v>154</v>
      </c>
      <c r="J676" s="85"/>
      <c r="K676" s="92"/>
      <c r="L676" s="93"/>
      <c r="M676" s="93"/>
      <c r="N676" s="93"/>
    </row>
    <row r="677" spans="1:14" s="94" customFormat="1" ht="18.95" customHeight="1">
      <c r="A677" s="69"/>
      <c r="B677" s="72" t="s">
        <v>171</v>
      </c>
      <c r="C677" s="81"/>
      <c r="D677" s="82"/>
      <c r="E677" s="83"/>
      <c r="F677" s="84"/>
      <c r="G677" s="81">
        <v>0</v>
      </c>
      <c r="H677" s="85"/>
      <c r="I677" s="86" t="s">
        <v>155</v>
      </c>
      <c r="J677" s="85"/>
      <c r="K677" s="92"/>
      <c r="L677" s="93"/>
      <c r="M677" s="93"/>
      <c r="N677" s="93"/>
    </row>
    <row r="678" spans="1:14" s="94" customFormat="1" ht="18.95" customHeight="1">
      <c r="A678" s="69"/>
      <c r="B678" s="72" t="s">
        <v>171</v>
      </c>
      <c r="C678" s="81"/>
      <c r="D678" s="82"/>
      <c r="E678" s="83"/>
      <c r="F678" s="84"/>
      <c r="G678" s="81">
        <v>0</v>
      </c>
      <c r="H678" s="85"/>
      <c r="I678" s="86" t="s">
        <v>156</v>
      </c>
      <c r="J678" s="85"/>
      <c r="K678" s="92"/>
      <c r="L678" s="93"/>
      <c r="M678" s="93"/>
      <c r="N678" s="93"/>
    </row>
    <row r="679" spans="1:14" s="94" customFormat="1" ht="18.95" customHeight="1">
      <c r="A679" s="69"/>
      <c r="B679" s="72" t="s">
        <v>171</v>
      </c>
      <c r="C679" s="81"/>
      <c r="D679" s="82"/>
      <c r="E679" s="83"/>
      <c r="F679" s="84"/>
      <c r="G679" s="81">
        <v>0</v>
      </c>
      <c r="H679" s="85"/>
      <c r="I679" s="95" t="s">
        <v>157</v>
      </c>
      <c r="J679" s="85"/>
      <c r="K679" s="92"/>
      <c r="L679" s="93"/>
      <c r="M679" s="93"/>
      <c r="N679" s="93"/>
    </row>
    <row r="680" spans="1:14" s="94" customFormat="1" ht="18.95" customHeight="1">
      <c r="A680" s="69"/>
      <c r="B680" s="72" t="s">
        <v>171</v>
      </c>
      <c r="C680" s="81"/>
      <c r="D680" s="82"/>
      <c r="E680" s="83"/>
      <c r="F680" s="84"/>
      <c r="G680" s="81">
        <v>0</v>
      </c>
      <c r="H680" s="85"/>
      <c r="I680" s="95" t="s">
        <v>158</v>
      </c>
      <c r="J680" s="85"/>
      <c r="K680" s="92"/>
      <c r="L680" s="93"/>
      <c r="M680" s="93"/>
      <c r="N680" s="93"/>
    </row>
    <row r="681" spans="1:14" s="94" customFormat="1" ht="18.95" customHeight="1">
      <c r="A681" s="69"/>
      <c r="B681" s="72" t="s">
        <v>171</v>
      </c>
      <c r="C681" s="81"/>
      <c r="D681" s="82"/>
      <c r="E681" s="83"/>
      <c r="F681" s="84"/>
      <c r="G681" s="81">
        <v>0</v>
      </c>
      <c r="H681" s="85"/>
      <c r="I681" s="86" t="s">
        <v>159</v>
      </c>
      <c r="J681" s="87">
        <v>2</v>
      </c>
      <c r="K681" s="92"/>
      <c r="L681" s="93"/>
      <c r="M681" s="93"/>
      <c r="N681" s="93"/>
    </row>
    <row r="682" spans="1:14" s="94" customFormat="1" ht="18.95" customHeight="1" thickBot="1">
      <c r="A682" s="70" t="s">
        <v>172</v>
      </c>
      <c r="B682" s="73" t="s">
        <v>207</v>
      </c>
      <c r="C682" s="96"/>
      <c r="D682" s="97"/>
      <c r="E682" s="98"/>
      <c r="F682" s="99"/>
      <c r="G682" s="100"/>
      <c r="H682" s="101"/>
      <c r="I682" s="102" t="s">
        <v>160</v>
      </c>
      <c r="J682" s="88">
        <v>3</v>
      </c>
      <c r="K682" s="92"/>
      <c r="L682" s="93"/>
      <c r="M682" s="93"/>
      <c r="N682" s="93"/>
    </row>
    <row r="683" spans="1:14" ht="6" customHeight="1" thickBot="1">
      <c r="A683" s="103"/>
      <c r="B683" s="104"/>
      <c r="C683" s="104"/>
      <c r="D683" s="103"/>
      <c r="E683" s="104"/>
      <c r="F683" s="104"/>
      <c r="G683" s="104"/>
      <c r="H683" s="104"/>
    </row>
    <row r="684" spans="1:14" ht="6" customHeight="1" thickTop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4" ht="14.25" customHeight="1">
      <c r="A685" s="11"/>
      <c r="B685" s="136" t="s">
        <v>0</v>
      </c>
      <c r="C685" s="106"/>
      <c r="D685" s="106"/>
      <c r="E685" s="11"/>
      <c r="F685" s="11"/>
      <c r="G685" s="11"/>
      <c r="H685" s="11"/>
      <c r="I685" s="11"/>
      <c r="J685" s="11"/>
    </row>
    <row r="686" spans="1:14" ht="14.25" customHeight="1">
      <c r="A686" s="12"/>
      <c r="B686" s="106"/>
      <c r="C686" s="106"/>
      <c r="D686" s="106"/>
      <c r="E686" s="12"/>
      <c r="F686" s="12"/>
      <c r="G686" s="12"/>
      <c r="H686" s="12"/>
      <c r="I686" s="12"/>
      <c r="J686" s="12"/>
    </row>
    <row r="687" spans="1:14" ht="14.25" customHeight="1">
      <c r="A687" s="108" t="s">
        <v>1</v>
      </c>
      <c r="B687" s="108" t="s">
        <v>91</v>
      </c>
      <c r="C687" s="108" t="s">
        <v>3</v>
      </c>
      <c r="D687" s="131">
        <v>888</v>
      </c>
      <c r="E687" s="108" t="s">
        <v>4</v>
      </c>
      <c r="F687" s="109" t="s">
        <v>92</v>
      </c>
      <c r="G687" s="106"/>
      <c r="H687" s="106"/>
      <c r="I687" s="24" t="s">
        <v>6</v>
      </c>
      <c r="J687" s="24" t="s">
        <v>7</v>
      </c>
    </row>
    <row r="688" spans="1:14" ht="14.25" customHeight="1">
      <c r="A688" s="106"/>
      <c r="B688" s="106"/>
      <c r="C688" s="106"/>
      <c r="D688" s="106"/>
      <c r="E688" s="106"/>
      <c r="F688" s="106"/>
      <c r="G688" s="106"/>
      <c r="H688" s="106"/>
      <c r="I688" s="119"/>
      <c r="J688" s="119"/>
    </row>
    <row r="689" spans="1:10" ht="17.45" customHeight="1">
      <c r="A689" s="125" t="s">
        <v>8</v>
      </c>
      <c r="B689" s="125" t="s">
        <v>118</v>
      </c>
      <c r="E689" s="125" t="s">
        <v>10</v>
      </c>
      <c r="F689" s="140" t="s">
        <v>94</v>
      </c>
      <c r="G689" s="106"/>
      <c r="H689" s="106"/>
      <c r="I689" s="120"/>
      <c r="J689" s="120"/>
    </row>
    <row r="690" spans="1:10" ht="17.45" customHeight="1">
      <c r="A690" s="106"/>
      <c r="B690" s="106"/>
      <c r="E690" s="106"/>
      <c r="F690" s="106"/>
      <c r="G690" s="106"/>
      <c r="H690" s="106"/>
      <c r="I690" s="13"/>
      <c r="J690" s="13"/>
    </row>
    <row r="691" spans="1:10" ht="17.45" customHeight="1">
      <c r="A691" s="125" t="s">
        <v>12</v>
      </c>
      <c r="B691" s="125" t="s">
        <v>119</v>
      </c>
      <c r="E691" s="2" t="s">
        <v>14</v>
      </c>
      <c r="F691" s="140" t="s">
        <v>15</v>
      </c>
      <c r="G691" s="106"/>
      <c r="H691" s="21"/>
      <c r="I691" s="13"/>
      <c r="J691" s="13"/>
    </row>
    <row r="692" spans="1:10" ht="17.45" customHeight="1">
      <c r="A692" s="106"/>
      <c r="B692" s="106"/>
      <c r="E692" s="2" t="s">
        <v>16</v>
      </c>
      <c r="F692" s="21" t="s">
        <v>17</v>
      </c>
      <c r="G692" s="21"/>
      <c r="H692" s="21"/>
      <c r="I692" s="14"/>
      <c r="J692" s="14"/>
    </row>
    <row r="693" spans="1:10" ht="17.45" customHeight="1">
      <c r="A693" s="2" t="s">
        <v>18</v>
      </c>
      <c r="B693" s="4">
        <v>46154</v>
      </c>
      <c r="E693" s="2" t="s">
        <v>19</v>
      </c>
      <c r="F693" s="141">
        <v>100</v>
      </c>
      <c r="G693" s="106"/>
      <c r="H693" s="21"/>
    </row>
    <row r="694" spans="1:10" ht="17.45" customHeight="1">
      <c r="A694" s="2" t="s">
        <v>20</v>
      </c>
      <c r="B694" s="4">
        <v>46154</v>
      </c>
      <c r="E694" s="2" t="s">
        <v>21</v>
      </c>
      <c r="F694" s="21">
        <v>20</v>
      </c>
      <c r="G694" s="133" t="s">
        <v>22</v>
      </c>
      <c r="H694" s="112">
        <v>2000</v>
      </c>
      <c r="I694" s="113"/>
      <c r="J694" s="114"/>
    </row>
    <row r="695" spans="1:10" ht="17.45" customHeight="1">
      <c r="A695" s="19"/>
      <c r="B695" s="20"/>
      <c r="C695" s="20"/>
      <c r="D695" s="20"/>
      <c r="E695" s="2" t="s">
        <v>23</v>
      </c>
      <c r="F695" s="21" t="s">
        <v>24</v>
      </c>
      <c r="G695" s="115"/>
      <c r="H695" s="115"/>
      <c r="I695" s="116"/>
      <c r="J695" s="117"/>
    </row>
    <row r="696" spans="1:10" ht="13.5" customHeight="1">
      <c r="A696" s="118" t="s">
        <v>96</v>
      </c>
      <c r="B696" s="106"/>
      <c r="C696" s="106"/>
      <c r="D696" s="20"/>
      <c r="F696" s="3"/>
      <c r="G696" s="132" t="s">
        <v>26</v>
      </c>
      <c r="H696" s="110" t="s">
        <v>27</v>
      </c>
      <c r="I696" s="129" t="s">
        <v>28</v>
      </c>
      <c r="J696" s="130"/>
    </row>
    <row r="697" spans="1:10" ht="13.5" customHeight="1">
      <c r="A697" s="106"/>
      <c r="B697" s="106"/>
      <c r="C697" s="106"/>
      <c r="D697" s="20"/>
      <c r="F697" s="3"/>
      <c r="G697" s="111"/>
      <c r="H697" s="111"/>
      <c r="I697" s="116"/>
      <c r="J697" s="117"/>
    </row>
    <row r="698" spans="1:10" ht="13.5" customHeight="1">
      <c r="A698" s="1" t="s">
        <v>29</v>
      </c>
    </row>
    <row r="699" spans="1:10" ht="63" customHeight="1">
      <c r="A699" s="123"/>
      <c r="B699" s="124"/>
      <c r="C699" s="124"/>
      <c r="D699" s="124"/>
      <c r="E699" s="124"/>
      <c r="F699" s="124"/>
      <c r="G699" s="124"/>
      <c r="H699" s="124"/>
      <c r="I699" s="124"/>
      <c r="J699" s="124"/>
    </row>
    <row r="700" spans="1:10" ht="18.75">
      <c r="A700" s="23" t="s">
        <v>30</v>
      </c>
      <c r="B700" s="16" t="s">
        <v>31</v>
      </c>
      <c r="C700" s="134" t="s">
        <v>32</v>
      </c>
      <c r="D700" s="128"/>
      <c r="E700" s="16" t="s">
        <v>33</v>
      </c>
      <c r="F700" s="134" t="s">
        <v>34</v>
      </c>
      <c r="G700" s="128"/>
      <c r="H700" s="128"/>
      <c r="I700" s="127" t="s">
        <v>35</v>
      </c>
      <c r="J700" s="128"/>
    </row>
    <row r="701" spans="1:10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22">
        <v>1</v>
      </c>
      <c r="B702" s="25" t="s">
        <v>36</v>
      </c>
      <c r="C702" s="105" t="s">
        <v>37</v>
      </c>
      <c r="D702" s="106"/>
      <c r="E702" s="25" t="s">
        <v>38</v>
      </c>
      <c r="F702" s="105" t="s">
        <v>39</v>
      </c>
      <c r="G702" s="106"/>
      <c r="H702" s="106"/>
      <c r="I702" s="135"/>
      <c r="J702" s="106"/>
    </row>
    <row r="703" spans="1:10" ht="16.5" customHeight="1">
      <c r="A703" s="22">
        <v>1</v>
      </c>
      <c r="B703" s="26" t="s">
        <v>36</v>
      </c>
      <c r="C703" s="105" t="s">
        <v>37</v>
      </c>
      <c r="D703" s="106"/>
      <c r="E703" s="25" t="s">
        <v>40</v>
      </c>
      <c r="F703" s="105" t="s">
        <v>41</v>
      </c>
      <c r="G703" s="106"/>
      <c r="H703" s="106"/>
      <c r="I703" s="135"/>
      <c r="J703" s="106"/>
    </row>
    <row r="704" spans="1:10" ht="16.5" customHeight="1">
      <c r="A704" s="22"/>
      <c r="B704" s="26"/>
      <c r="C704" s="105"/>
      <c r="D704" s="106"/>
      <c r="E704" s="25"/>
      <c r="F704" s="105"/>
      <c r="G704" s="106"/>
      <c r="H704" s="106"/>
      <c r="I704" s="135"/>
      <c r="J704" s="106"/>
    </row>
    <row r="705" spans="1:10" ht="16.5" customHeight="1">
      <c r="A705" s="22"/>
      <c r="B705" s="26"/>
      <c r="C705" s="105"/>
      <c r="D705" s="106"/>
      <c r="E705" s="25"/>
      <c r="F705" s="105"/>
      <c r="G705" s="106"/>
      <c r="H705" s="106"/>
      <c r="I705" s="135"/>
      <c r="J705" s="106"/>
    </row>
    <row r="706" spans="1:10" ht="16.5" customHeight="1">
      <c r="A706" s="22"/>
      <c r="B706" s="26"/>
      <c r="C706" s="105"/>
      <c r="D706" s="106"/>
      <c r="E706" s="25"/>
      <c r="F706" s="105"/>
      <c r="G706" s="106"/>
      <c r="H706" s="106"/>
      <c r="I706" s="135"/>
      <c r="J706" s="106"/>
    </row>
    <row r="707" spans="1:10" ht="16.5" customHeight="1">
      <c r="A707" s="22"/>
      <c r="B707" s="26"/>
      <c r="C707" s="105"/>
      <c r="D707" s="106"/>
      <c r="E707" s="25"/>
      <c r="F707" s="105"/>
      <c r="G707" s="106"/>
      <c r="H707" s="106"/>
      <c r="I707" s="135"/>
      <c r="J707" s="106"/>
    </row>
    <row r="708" spans="1:10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 spans="1:10" ht="18.75">
      <c r="A709" s="121" t="s">
        <v>42</v>
      </c>
      <c r="B709" s="122"/>
      <c r="C709" s="121" t="s">
        <v>43</v>
      </c>
      <c r="D709" s="122"/>
      <c r="E709" s="122"/>
      <c r="F709" s="17" t="s">
        <v>44</v>
      </c>
      <c r="G709" s="121" t="s">
        <v>45</v>
      </c>
      <c r="H709" s="122"/>
      <c r="I709" s="121" t="s">
        <v>46</v>
      </c>
      <c r="J709" s="122"/>
    </row>
    <row r="710" spans="1:10" ht="14.25" customHeight="1">
      <c r="A710" s="8"/>
      <c r="B710" s="18"/>
      <c r="C710" s="143" t="s">
        <v>47</v>
      </c>
      <c r="D710" s="116"/>
      <c r="E710" s="18"/>
      <c r="F710" s="143" t="s">
        <v>29</v>
      </c>
      <c r="G710" s="116"/>
      <c r="H710" s="116"/>
      <c r="I710" s="116"/>
      <c r="J710" s="116"/>
    </row>
    <row r="711" spans="1:10">
      <c r="A711" s="9"/>
      <c r="C711" s="7"/>
      <c r="D711" s="7"/>
      <c r="E711" s="7"/>
    </row>
    <row r="712" spans="1:10" ht="14.25" customHeight="1">
      <c r="A712" s="105" t="s">
        <v>48</v>
      </c>
      <c r="B712" s="106"/>
      <c r="C712" s="105" t="s">
        <v>49</v>
      </c>
      <c r="D712" s="106"/>
      <c r="E712" s="106"/>
      <c r="F712" s="27" t="s">
        <v>50</v>
      </c>
      <c r="G712" s="107">
        <v>1000</v>
      </c>
      <c r="H712" s="106"/>
      <c r="I712" s="107">
        <v>10</v>
      </c>
      <c r="J712" s="106"/>
    </row>
    <row r="713" spans="1:10" ht="24.95" customHeight="1">
      <c r="A713" s="126" t="s">
        <v>51</v>
      </c>
      <c r="B713" s="106"/>
      <c r="C713" s="105"/>
      <c r="D713" s="106"/>
      <c r="E713" s="106"/>
      <c r="F713" s="105"/>
      <c r="G713" s="106"/>
      <c r="H713" s="106"/>
      <c r="I713" s="106"/>
      <c r="J713" s="106"/>
    </row>
    <row r="714" spans="1:10" ht="14.25" customHeight="1">
      <c r="A714" s="105" t="s">
        <v>87</v>
      </c>
      <c r="B714" s="106"/>
      <c r="C714" s="105" t="s">
        <v>88</v>
      </c>
      <c r="D714" s="106"/>
      <c r="E714" s="106"/>
      <c r="F714" s="27" t="s">
        <v>36</v>
      </c>
      <c r="G714" s="107">
        <v>20</v>
      </c>
      <c r="H714" s="106"/>
      <c r="I714" s="107">
        <v>0.2</v>
      </c>
      <c r="J714" s="106"/>
    </row>
    <row r="715" spans="1:10" ht="24.95" customHeight="1">
      <c r="A715" s="126" t="s">
        <v>89</v>
      </c>
      <c r="B715" s="106"/>
      <c r="C715" s="105" t="s">
        <v>90</v>
      </c>
      <c r="D715" s="106"/>
      <c r="E715" s="106"/>
      <c r="F715" s="105"/>
      <c r="G715" s="106"/>
      <c r="H715" s="106"/>
      <c r="I715" s="106"/>
      <c r="J715" s="106"/>
    </row>
    <row r="716" spans="1:10" ht="14.25" customHeight="1">
      <c r="A716" s="105" t="s">
        <v>97</v>
      </c>
      <c r="B716" s="106"/>
      <c r="C716" s="105" t="s">
        <v>58</v>
      </c>
      <c r="D716" s="106"/>
      <c r="E716" s="106"/>
      <c r="F716" s="27"/>
      <c r="G716" s="107">
        <v>220</v>
      </c>
      <c r="H716" s="106"/>
      <c r="I716" s="107">
        <v>2.2000000000000002</v>
      </c>
      <c r="J716" s="106"/>
    </row>
    <row r="717" spans="1:10" ht="24.95" customHeight="1">
      <c r="A717" s="126" t="s">
        <v>98</v>
      </c>
      <c r="B717" s="106"/>
      <c r="C717" s="105" t="s">
        <v>99</v>
      </c>
      <c r="D717" s="106"/>
      <c r="E717" s="106"/>
      <c r="F717" s="105"/>
      <c r="G717" s="106"/>
      <c r="H717" s="106"/>
      <c r="I717" s="106"/>
      <c r="J717" s="106"/>
    </row>
    <row r="718" spans="1:10" ht="14.25" customHeight="1">
      <c r="A718" s="105" t="s">
        <v>61</v>
      </c>
      <c r="B718" s="106"/>
      <c r="C718" s="105" t="s">
        <v>62</v>
      </c>
      <c r="D718" s="106"/>
      <c r="E718" s="106"/>
      <c r="F718" s="27"/>
      <c r="G718" s="107">
        <v>2</v>
      </c>
      <c r="H718" s="106"/>
      <c r="I718" s="107">
        <v>0.02</v>
      </c>
      <c r="J718" s="106"/>
    </row>
    <row r="719" spans="1:10" ht="24.95" customHeight="1">
      <c r="A719" s="126" t="s">
        <v>63</v>
      </c>
      <c r="B719" s="106"/>
      <c r="C719" s="105" t="s">
        <v>64</v>
      </c>
      <c r="D719" s="106"/>
      <c r="E719" s="106"/>
      <c r="F719" s="105"/>
      <c r="G719" s="106"/>
      <c r="H719" s="106"/>
      <c r="I719" s="106"/>
      <c r="J719" s="106"/>
    </row>
    <row r="720" spans="1:10" ht="14.25" customHeight="1">
      <c r="A720" s="105"/>
      <c r="B720" s="106"/>
      <c r="C720" s="105"/>
      <c r="D720" s="106"/>
      <c r="E720" s="106"/>
      <c r="F720" s="27"/>
      <c r="G720" s="107"/>
      <c r="H720" s="106"/>
      <c r="I720" s="107"/>
      <c r="J720" s="106"/>
    </row>
    <row r="721" spans="1:14" ht="24.95" customHeight="1" thickBot="1">
      <c r="A721" s="126"/>
      <c r="B721" s="106"/>
      <c r="C721" s="105"/>
      <c r="D721" s="106"/>
      <c r="E721" s="106"/>
      <c r="F721" s="105"/>
      <c r="G721" s="106"/>
      <c r="H721" s="106"/>
      <c r="I721" s="106"/>
      <c r="J721" s="106"/>
    </row>
    <row r="722" spans="1:14" s="5" customFormat="1" ht="18" customHeight="1">
      <c r="A722" s="28" t="s">
        <v>124</v>
      </c>
      <c r="B722" s="29" t="s">
        <v>125</v>
      </c>
      <c r="C722" s="148" t="s">
        <v>126</v>
      </c>
      <c r="D722" s="149"/>
      <c r="E722" s="30" t="s">
        <v>127</v>
      </c>
      <c r="F722" s="31" t="s">
        <v>128</v>
      </c>
      <c r="G722" s="32" t="s">
        <v>129</v>
      </c>
      <c r="H722" s="33" t="s">
        <v>130</v>
      </c>
      <c r="I722" s="137" t="s">
        <v>131</v>
      </c>
      <c r="J722" s="138"/>
    </row>
    <row r="723" spans="1:14" s="7" customFormat="1" ht="18" customHeight="1">
      <c r="A723" s="34" t="s">
        <v>161</v>
      </c>
      <c r="B723" s="35">
        <v>888</v>
      </c>
      <c r="C723" s="150" t="s">
        <v>163</v>
      </c>
      <c r="D723" s="151"/>
      <c r="E723" s="146">
        <v>20</v>
      </c>
      <c r="F723" s="36" t="s">
        <v>173</v>
      </c>
      <c r="G723" s="37">
        <v>46139</v>
      </c>
      <c r="H723" s="38">
        <v>7</v>
      </c>
      <c r="I723" s="39" t="s">
        <v>132</v>
      </c>
      <c r="J723" s="40">
        <v>46140</v>
      </c>
    </row>
    <row r="724" spans="1:14" s="5" customFormat="1" ht="18" customHeight="1">
      <c r="A724" s="44" t="s">
        <v>133</v>
      </c>
      <c r="B724" s="45" t="s">
        <v>134</v>
      </c>
      <c r="C724" s="150"/>
      <c r="D724" s="151"/>
      <c r="E724" s="146"/>
      <c r="F724" s="46" t="s">
        <v>183</v>
      </c>
      <c r="G724" s="37">
        <v>46140</v>
      </c>
      <c r="H724" s="38">
        <v>13</v>
      </c>
      <c r="I724" s="39" t="s">
        <v>135</v>
      </c>
      <c r="J724" s="41">
        <v>2000</v>
      </c>
      <c r="K724" s="47"/>
    </row>
    <row r="725" spans="1:14" s="7" customFormat="1" ht="18" customHeight="1">
      <c r="A725" s="48">
        <v>0.5</v>
      </c>
      <c r="B725" s="49" t="s">
        <v>162</v>
      </c>
      <c r="C725" s="147" t="s">
        <v>136</v>
      </c>
      <c r="D725" s="144" t="s">
        <v>164</v>
      </c>
      <c r="E725" s="144"/>
      <c r="F725" s="145"/>
      <c r="G725" s="37"/>
      <c r="H725" s="38"/>
      <c r="I725" s="39" t="s">
        <v>137</v>
      </c>
      <c r="J725" s="41">
        <v>1002</v>
      </c>
      <c r="K725" s="50"/>
    </row>
    <row r="726" spans="1:14" s="5" customFormat="1" ht="18" customHeight="1">
      <c r="A726" s="51" t="s">
        <v>138</v>
      </c>
      <c r="B726" s="52" t="s">
        <v>139</v>
      </c>
      <c r="C726" s="147"/>
      <c r="D726" s="144" t="s">
        <v>165</v>
      </c>
      <c r="E726" s="144"/>
      <c r="F726" s="145"/>
      <c r="G726" s="37"/>
      <c r="H726" s="38"/>
      <c r="I726" s="39" t="s">
        <v>140</v>
      </c>
      <c r="J726" s="41">
        <v>4</v>
      </c>
      <c r="K726" s="47"/>
    </row>
    <row r="727" spans="1:14" s="7" customFormat="1" ht="18" customHeight="1" thickBot="1">
      <c r="A727" s="53">
        <v>-0.5</v>
      </c>
      <c r="B727" s="54">
        <v>2</v>
      </c>
      <c r="C727" s="55" t="s">
        <v>141</v>
      </c>
      <c r="D727" s="152" t="s">
        <v>166</v>
      </c>
      <c r="E727" s="152"/>
      <c r="F727" s="153"/>
      <c r="G727" s="56"/>
      <c r="H727" s="57"/>
      <c r="I727" s="39" t="s">
        <v>142</v>
      </c>
      <c r="J727" s="42">
        <v>2</v>
      </c>
      <c r="K727" s="50"/>
    </row>
    <row r="728" spans="1:14" s="5" customFormat="1" ht="18" customHeight="1" thickBot="1">
      <c r="A728" s="58" t="s">
        <v>143</v>
      </c>
      <c r="B728" s="59" t="str" cm="1">
        <f t="array" ref="B728">IF(SUM(--(ISTEXT(B729:B739)*(B729:B739&lt;&gt;"")))=0,"計測Lot","計測Lot・加工数")</f>
        <v>計測Lot・加工数</v>
      </c>
      <c r="C728" s="60" t="s">
        <v>144</v>
      </c>
      <c r="D728" s="61" t="s">
        <v>145</v>
      </c>
      <c r="E728" s="62" t="s">
        <v>146</v>
      </c>
      <c r="F728" s="63" t="str" cm="1">
        <f t="array" ref="F728">IF(SUM(--(ISTEXT(B729:B739)*(B729:B739&lt;&gt;"")))=0,"記入不要","使用Lot")</f>
        <v>使用Lot</v>
      </c>
      <c r="G728" s="64" t="s">
        <v>147</v>
      </c>
      <c r="H728" s="65" t="s">
        <v>148</v>
      </c>
      <c r="I728" s="66" t="s">
        <v>149</v>
      </c>
      <c r="J728" s="43">
        <v>0</v>
      </c>
      <c r="K728" s="47"/>
    </row>
    <row r="729" spans="1:14" s="7" customFormat="1" ht="18" customHeight="1">
      <c r="A729" s="67"/>
      <c r="B729" s="71"/>
      <c r="C729" s="74"/>
      <c r="D729" s="75"/>
      <c r="E729" s="76"/>
      <c r="F729" s="77">
        <v>0</v>
      </c>
      <c r="G729" s="78">
        <v>0</v>
      </c>
      <c r="H729" s="79"/>
      <c r="I729" s="154" t="s">
        <v>150</v>
      </c>
      <c r="J729" s="155"/>
      <c r="K729" s="80"/>
    </row>
    <row r="730" spans="1:14" s="5" customFormat="1" ht="18" customHeight="1">
      <c r="A730" s="68">
        <v>46136</v>
      </c>
      <c r="B730" s="72" t="s">
        <v>169</v>
      </c>
      <c r="C730" s="81">
        <v>20</v>
      </c>
      <c r="D730" s="82">
        <v>888</v>
      </c>
      <c r="E730" s="83">
        <v>887.96</v>
      </c>
      <c r="F730" s="84" t="s">
        <v>169</v>
      </c>
      <c r="G730" s="81">
        <v>694</v>
      </c>
      <c r="H730" s="85">
        <v>347</v>
      </c>
      <c r="I730" s="86" t="s">
        <v>151</v>
      </c>
      <c r="J730" s="85">
        <v>1</v>
      </c>
      <c r="K730" s="80"/>
    </row>
    <row r="731" spans="1:14" s="91" customFormat="1" ht="18.95" customHeight="1">
      <c r="A731" s="69">
        <v>46139</v>
      </c>
      <c r="B731" s="72" t="s">
        <v>177</v>
      </c>
      <c r="C731" s="81">
        <v>20</v>
      </c>
      <c r="D731" s="82">
        <v>888</v>
      </c>
      <c r="E731" s="83">
        <v>888.07</v>
      </c>
      <c r="F731" s="84" t="s">
        <v>178</v>
      </c>
      <c r="G731" s="81">
        <v>1310</v>
      </c>
      <c r="H731" s="85">
        <v>655</v>
      </c>
      <c r="I731" s="86" t="s">
        <v>152</v>
      </c>
      <c r="J731" s="85">
        <v>1</v>
      </c>
      <c r="K731" s="89"/>
      <c r="L731" s="90"/>
      <c r="M731" s="90"/>
      <c r="N731" s="90"/>
    </row>
    <row r="732" spans="1:14" s="94" customFormat="1" ht="18.95" customHeight="1">
      <c r="A732" s="69">
        <v>46139</v>
      </c>
      <c r="B732" s="72" t="s">
        <v>179</v>
      </c>
      <c r="C732" s="81">
        <v>20</v>
      </c>
      <c r="D732" s="82">
        <v>888</v>
      </c>
      <c r="E732" s="83">
        <v>887.97</v>
      </c>
      <c r="F732" s="84"/>
      <c r="G732" s="81">
        <v>0</v>
      </c>
      <c r="H732" s="85"/>
      <c r="I732" s="86" t="s">
        <v>153</v>
      </c>
      <c r="J732" s="85">
        <v>1</v>
      </c>
      <c r="K732" s="92"/>
      <c r="L732" s="93"/>
      <c r="M732" s="93"/>
      <c r="N732" s="93"/>
    </row>
    <row r="733" spans="1:14" s="94" customFormat="1" ht="18.95" customHeight="1">
      <c r="A733" s="69">
        <v>46139</v>
      </c>
      <c r="B733" s="72" t="s">
        <v>178</v>
      </c>
      <c r="C733" s="81">
        <v>20</v>
      </c>
      <c r="D733" s="82">
        <v>888</v>
      </c>
      <c r="E733" s="83">
        <v>888.02</v>
      </c>
      <c r="F733" s="84"/>
      <c r="G733" s="81">
        <v>0</v>
      </c>
      <c r="H733" s="85"/>
      <c r="I733" s="86" t="s">
        <v>154</v>
      </c>
      <c r="J733" s="85"/>
      <c r="K733" s="92"/>
      <c r="L733" s="93"/>
      <c r="M733" s="93"/>
      <c r="N733" s="93"/>
    </row>
    <row r="734" spans="1:14" s="94" customFormat="1" ht="18.95" customHeight="1">
      <c r="A734" s="69">
        <v>46139</v>
      </c>
      <c r="B734" s="72" t="s">
        <v>180</v>
      </c>
      <c r="C734" s="81">
        <v>20</v>
      </c>
      <c r="D734" s="82">
        <v>888</v>
      </c>
      <c r="E734" s="83">
        <v>888.06</v>
      </c>
      <c r="F734" s="84"/>
      <c r="G734" s="81">
        <v>0</v>
      </c>
      <c r="H734" s="85"/>
      <c r="I734" s="86" t="s">
        <v>155</v>
      </c>
      <c r="J734" s="85"/>
      <c r="K734" s="92"/>
      <c r="L734" s="93"/>
      <c r="M734" s="93"/>
      <c r="N734" s="93"/>
    </row>
    <row r="735" spans="1:14" s="94" customFormat="1" ht="18.95" customHeight="1">
      <c r="A735" s="69">
        <v>46139</v>
      </c>
      <c r="B735" s="72" t="s">
        <v>181</v>
      </c>
      <c r="C735" s="81">
        <v>22</v>
      </c>
      <c r="D735" s="82">
        <v>888.12</v>
      </c>
      <c r="E735" s="83">
        <v>888.12</v>
      </c>
      <c r="F735" s="84"/>
      <c r="G735" s="81">
        <v>0</v>
      </c>
      <c r="H735" s="85"/>
      <c r="I735" s="86" t="s">
        <v>156</v>
      </c>
      <c r="J735" s="85"/>
      <c r="K735" s="92"/>
      <c r="L735" s="93"/>
      <c r="M735" s="93"/>
      <c r="N735" s="93"/>
    </row>
    <row r="736" spans="1:14" s="94" customFormat="1" ht="18.95" customHeight="1">
      <c r="A736" s="69">
        <v>46139</v>
      </c>
      <c r="B736" s="72" t="s">
        <v>181</v>
      </c>
      <c r="C736" s="81">
        <v>22</v>
      </c>
      <c r="D736" s="82">
        <v>888.12</v>
      </c>
      <c r="E736" s="83">
        <v>888.11</v>
      </c>
      <c r="F736" s="84"/>
      <c r="G736" s="81">
        <v>0</v>
      </c>
      <c r="H736" s="85"/>
      <c r="I736" s="95" t="s">
        <v>157</v>
      </c>
      <c r="J736" s="85"/>
      <c r="K736" s="92"/>
      <c r="L736" s="93"/>
      <c r="M736" s="93"/>
      <c r="N736" s="93"/>
    </row>
    <row r="737" spans="1:14" s="94" customFormat="1" ht="18.95" customHeight="1">
      <c r="A737" s="69">
        <v>46140</v>
      </c>
      <c r="B737" s="72" t="s">
        <v>181</v>
      </c>
      <c r="C737" s="81">
        <v>26</v>
      </c>
      <c r="D737" s="82">
        <v>888.35</v>
      </c>
      <c r="E737" s="83">
        <v>888.29</v>
      </c>
      <c r="F737" s="84"/>
      <c r="G737" s="81">
        <v>0</v>
      </c>
      <c r="H737" s="85"/>
      <c r="I737" s="95" t="s">
        <v>158</v>
      </c>
      <c r="J737" s="85"/>
      <c r="K737" s="92"/>
      <c r="L737" s="93"/>
      <c r="M737" s="93"/>
      <c r="N737" s="93"/>
    </row>
    <row r="738" spans="1:14" s="94" customFormat="1" ht="18.95" customHeight="1">
      <c r="A738" s="69"/>
      <c r="B738" s="72" t="s">
        <v>171</v>
      </c>
      <c r="C738" s="81"/>
      <c r="D738" s="82"/>
      <c r="E738" s="83"/>
      <c r="F738" s="84"/>
      <c r="G738" s="81">
        <v>0</v>
      </c>
      <c r="H738" s="85"/>
      <c r="I738" s="86" t="s">
        <v>159</v>
      </c>
      <c r="J738" s="87">
        <v>1</v>
      </c>
      <c r="K738" s="92"/>
      <c r="L738" s="93"/>
      <c r="M738" s="93"/>
      <c r="N738" s="93"/>
    </row>
    <row r="739" spans="1:14" s="94" customFormat="1" ht="18.95" customHeight="1" thickBot="1">
      <c r="A739" s="70" t="s">
        <v>172</v>
      </c>
      <c r="B739" s="73" t="s">
        <v>182</v>
      </c>
      <c r="C739" s="96"/>
      <c r="D739" s="97"/>
      <c r="E739" s="98"/>
      <c r="F739" s="99"/>
      <c r="G739" s="100"/>
      <c r="H739" s="101"/>
      <c r="I739" s="102" t="s">
        <v>160</v>
      </c>
      <c r="J739" s="88">
        <v>4</v>
      </c>
      <c r="K739" s="92"/>
      <c r="L739" s="93"/>
      <c r="M739" s="93"/>
      <c r="N739" s="93"/>
    </row>
    <row r="740" spans="1:14" ht="6" customHeight="1" thickBot="1">
      <c r="A740" s="103"/>
      <c r="B740" s="104"/>
      <c r="C740" s="104"/>
      <c r="D740" s="103"/>
      <c r="E740" s="104"/>
      <c r="F740" s="104"/>
      <c r="G740" s="104"/>
      <c r="H740" s="104"/>
    </row>
    <row r="741" spans="1:14" ht="6" customHeight="1" thickTop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1:14" ht="14.25" customHeight="1">
      <c r="A742" s="11"/>
      <c r="B742" s="136" t="s">
        <v>0</v>
      </c>
      <c r="C742" s="106"/>
      <c r="D742" s="106"/>
      <c r="E742" s="11"/>
      <c r="F742" s="11"/>
      <c r="G742" s="11"/>
      <c r="H742" s="11"/>
      <c r="I742" s="11"/>
      <c r="J742" s="11"/>
    </row>
    <row r="743" spans="1:14" ht="14.25" customHeight="1">
      <c r="A743" s="12"/>
      <c r="B743" s="106"/>
      <c r="C743" s="106"/>
      <c r="D743" s="106"/>
      <c r="E743" s="12"/>
      <c r="F743" s="12"/>
      <c r="G743" s="12"/>
      <c r="H743" s="12"/>
      <c r="I743" s="12"/>
      <c r="J743" s="12"/>
    </row>
    <row r="744" spans="1:14" ht="14.25" customHeight="1">
      <c r="A744" s="108" t="s">
        <v>1</v>
      </c>
      <c r="B744" s="108" t="s">
        <v>91</v>
      </c>
      <c r="C744" s="108" t="s">
        <v>3</v>
      </c>
      <c r="D744" s="131">
        <v>888</v>
      </c>
      <c r="E744" s="108" t="s">
        <v>4</v>
      </c>
      <c r="F744" s="109" t="s">
        <v>92</v>
      </c>
      <c r="G744" s="106"/>
      <c r="H744" s="106"/>
      <c r="I744" s="24" t="s">
        <v>6</v>
      </c>
      <c r="J744" s="24" t="s">
        <v>7</v>
      </c>
    </row>
    <row r="745" spans="1:14" ht="14.25" customHeight="1">
      <c r="A745" s="106"/>
      <c r="B745" s="106"/>
      <c r="C745" s="106"/>
      <c r="D745" s="106"/>
      <c r="E745" s="106"/>
      <c r="F745" s="106"/>
      <c r="G745" s="106"/>
      <c r="H745" s="106"/>
      <c r="I745" s="119"/>
      <c r="J745" s="119"/>
    </row>
    <row r="746" spans="1:14" ht="17.45" customHeight="1">
      <c r="A746" s="125" t="s">
        <v>8</v>
      </c>
      <c r="B746" s="125" t="s">
        <v>120</v>
      </c>
      <c r="E746" s="125" t="s">
        <v>10</v>
      </c>
      <c r="F746" s="140" t="s">
        <v>94</v>
      </c>
      <c r="G746" s="106"/>
      <c r="H746" s="106"/>
      <c r="I746" s="120"/>
      <c r="J746" s="120"/>
    </row>
    <row r="747" spans="1:14" ht="17.45" customHeight="1">
      <c r="A747" s="106"/>
      <c r="B747" s="106"/>
      <c r="E747" s="106"/>
      <c r="F747" s="106"/>
      <c r="G747" s="106"/>
      <c r="H747" s="106"/>
      <c r="I747" s="13"/>
      <c r="J747" s="13"/>
    </row>
    <row r="748" spans="1:14" ht="17.45" customHeight="1">
      <c r="A748" s="125" t="s">
        <v>12</v>
      </c>
      <c r="B748" s="125" t="s">
        <v>121</v>
      </c>
      <c r="E748" s="2" t="s">
        <v>14</v>
      </c>
      <c r="F748" s="140" t="s">
        <v>15</v>
      </c>
      <c r="G748" s="106"/>
      <c r="H748" s="21"/>
      <c r="I748" s="13"/>
      <c r="J748" s="13"/>
    </row>
    <row r="749" spans="1:14" ht="17.45" customHeight="1">
      <c r="A749" s="106"/>
      <c r="B749" s="106"/>
      <c r="E749" s="2" t="s">
        <v>16</v>
      </c>
      <c r="F749" s="21" t="s">
        <v>17</v>
      </c>
      <c r="G749" s="21"/>
      <c r="H749" s="21"/>
      <c r="I749" s="14"/>
      <c r="J749" s="14"/>
    </row>
    <row r="750" spans="1:14" ht="17.45" customHeight="1">
      <c r="A750" s="2" t="s">
        <v>18</v>
      </c>
      <c r="B750" s="4">
        <v>46154</v>
      </c>
      <c r="E750" s="2" t="s">
        <v>19</v>
      </c>
      <c r="F750" s="141">
        <v>100</v>
      </c>
      <c r="G750" s="106"/>
      <c r="H750" s="21"/>
    </row>
    <row r="751" spans="1:14" ht="17.45" customHeight="1">
      <c r="A751" s="2" t="s">
        <v>20</v>
      </c>
      <c r="B751" s="4">
        <v>46154</v>
      </c>
      <c r="E751" s="2" t="s">
        <v>21</v>
      </c>
      <c r="F751" s="21">
        <v>20</v>
      </c>
      <c r="G751" s="133" t="s">
        <v>22</v>
      </c>
      <c r="H751" s="112">
        <v>2000</v>
      </c>
      <c r="I751" s="113"/>
      <c r="J751" s="114"/>
    </row>
    <row r="752" spans="1:14" ht="17.45" customHeight="1">
      <c r="A752" s="19"/>
      <c r="B752" s="20"/>
      <c r="C752" s="20"/>
      <c r="D752" s="20"/>
      <c r="E752" s="2" t="s">
        <v>23</v>
      </c>
      <c r="F752" s="21" t="s">
        <v>24</v>
      </c>
      <c r="G752" s="115"/>
      <c r="H752" s="115"/>
      <c r="I752" s="116"/>
      <c r="J752" s="117"/>
    </row>
    <row r="753" spans="1:10" ht="13.5" customHeight="1">
      <c r="A753" s="118" t="s">
        <v>96</v>
      </c>
      <c r="B753" s="106"/>
      <c r="C753" s="106"/>
      <c r="D753" s="20"/>
      <c r="F753" s="3"/>
      <c r="G753" s="132" t="s">
        <v>26</v>
      </c>
      <c r="H753" s="110" t="s">
        <v>27</v>
      </c>
      <c r="I753" s="129" t="s">
        <v>28</v>
      </c>
      <c r="J753" s="130"/>
    </row>
    <row r="754" spans="1:10" ht="13.5" customHeight="1">
      <c r="A754" s="106"/>
      <c r="B754" s="106"/>
      <c r="C754" s="106"/>
      <c r="D754" s="20"/>
      <c r="F754" s="3"/>
      <c r="G754" s="111"/>
      <c r="H754" s="111"/>
      <c r="I754" s="116"/>
      <c r="J754" s="117"/>
    </row>
    <row r="755" spans="1:10" ht="13.5" customHeight="1">
      <c r="A755" s="1" t="s">
        <v>29</v>
      </c>
    </row>
    <row r="756" spans="1:10" ht="63" customHeight="1">
      <c r="A756" s="123"/>
      <c r="B756" s="124"/>
      <c r="C756" s="124"/>
      <c r="D756" s="124"/>
      <c r="E756" s="124"/>
      <c r="F756" s="124"/>
      <c r="G756" s="124"/>
      <c r="H756" s="124"/>
      <c r="I756" s="124"/>
      <c r="J756" s="124"/>
    </row>
    <row r="757" spans="1:10" ht="18.75">
      <c r="A757" s="23" t="s">
        <v>30</v>
      </c>
      <c r="B757" s="16" t="s">
        <v>31</v>
      </c>
      <c r="C757" s="134" t="s">
        <v>32</v>
      </c>
      <c r="D757" s="128"/>
      <c r="E757" s="16" t="s">
        <v>33</v>
      </c>
      <c r="F757" s="134" t="s">
        <v>34</v>
      </c>
      <c r="G757" s="128"/>
      <c r="H757" s="128"/>
      <c r="I757" s="127" t="s">
        <v>35</v>
      </c>
      <c r="J757" s="128"/>
    </row>
    <row r="758" spans="1:10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22">
        <v>1</v>
      </c>
      <c r="B759" s="25" t="s">
        <v>36</v>
      </c>
      <c r="C759" s="105" t="s">
        <v>37</v>
      </c>
      <c r="D759" s="106"/>
      <c r="E759" s="25" t="s">
        <v>38</v>
      </c>
      <c r="F759" s="105" t="s">
        <v>39</v>
      </c>
      <c r="G759" s="106"/>
      <c r="H759" s="106"/>
      <c r="I759" s="135"/>
      <c r="J759" s="106"/>
    </row>
    <row r="760" spans="1:10" ht="16.5" customHeight="1">
      <c r="A760" s="22">
        <v>1</v>
      </c>
      <c r="B760" s="26" t="s">
        <v>36</v>
      </c>
      <c r="C760" s="105" t="s">
        <v>37</v>
      </c>
      <c r="D760" s="106"/>
      <c r="E760" s="25" t="s">
        <v>40</v>
      </c>
      <c r="F760" s="105" t="s">
        <v>41</v>
      </c>
      <c r="G760" s="106"/>
      <c r="H760" s="106"/>
      <c r="I760" s="135"/>
      <c r="J760" s="106"/>
    </row>
    <row r="761" spans="1:10" ht="16.5" customHeight="1">
      <c r="A761" s="22"/>
      <c r="B761" s="26"/>
      <c r="C761" s="105"/>
      <c r="D761" s="106"/>
      <c r="E761" s="25"/>
      <c r="F761" s="105"/>
      <c r="G761" s="106"/>
      <c r="H761" s="106"/>
      <c r="I761" s="135"/>
      <c r="J761" s="106"/>
    </row>
    <row r="762" spans="1:10" ht="16.5" customHeight="1">
      <c r="A762" s="22"/>
      <c r="B762" s="26"/>
      <c r="C762" s="105"/>
      <c r="D762" s="106"/>
      <c r="E762" s="25"/>
      <c r="F762" s="105"/>
      <c r="G762" s="106"/>
      <c r="H762" s="106"/>
      <c r="I762" s="135"/>
      <c r="J762" s="106"/>
    </row>
    <row r="763" spans="1:10" ht="16.5" customHeight="1">
      <c r="A763" s="22"/>
      <c r="B763" s="26"/>
      <c r="C763" s="105"/>
      <c r="D763" s="106"/>
      <c r="E763" s="25"/>
      <c r="F763" s="105"/>
      <c r="G763" s="106"/>
      <c r="H763" s="106"/>
      <c r="I763" s="135"/>
      <c r="J763" s="106"/>
    </row>
    <row r="764" spans="1:10" ht="16.5" customHeight="1">
      <c r="A764" s="22"/>
      <c r="B764" s="26"/>
      <c r="C764" s="105"/>
      <c r="D764" s="106"/>
      <c r="E764" s="25"/>
      <c r="F764" s="105"/>
      <c r="G764" s="106"/>
      <c r="H764" s="106"/>
      <c r="I764" s="135"/>
      <c r="J764" s="106"/>
    </row>
    <row r="765" spans="1:10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</row>
    <row r="766" spans="1:10" ht="18.75">
      <c r="A766" s="121" t="s">
        <v>42</v>
      </c>
      <c r="B766" s="122"/>
      <c r="C766" s="121" t="s">
        <v>43</v>
      </c>
      <c r="D766" s="122"/>
      <c r="E766" s="122"/>
      <c r="F766" s="17" t="s">
        <v>44</v>
      </c>
      <c r="G766" s="121" t="s">
        <v>45</v>
      </c>
      <c r="H766" s="122"/>
      <c r="I766" s="121" t="s">
        <v>46</v>
      </c>
      <c r="J766" s="122"/>
    </row>
    <row r="767" spans="1:10" ht="14.25" customHeight="1">
      <c r="A767" s="8"/>
      <c r="B767" s="18"/>
      <c r="C767" s="143" t="s">
        <v>47</v>
      </c>
      <c r="D767" s="116"/>
      <c r="E767" s="18"/>
      <c r="F767" s="143" t="s">
        <v>29</v>
      </c>
      <c r="G767" s="116"/>
      <c r="H767" s="116"/>
      <c r="I767" s="116"/>
      <c r="J767" s="116"/>
    </row>
    <row r="768" spans="1:10">
      <c r="A768" s="9"/>
      <c r="C768" s="7"/>
      <c r="D768" s="7"/>
      <c r="E768" s="7"/>
    </row>
    <row r="769" spans="1:11" ht="14.25" customHeight="1">
      <c r="A769" s="105" t="s">
        <v>48</v>
      </c>
      <c r="B769" s="106"/>
      <c r="C769" s="105" t="s">
        <v>49</v>
      </c>
      <c r="D769" s="106"/>
      <c r="E769" s="106"/>
      <c r="F769" s="27" t="s">
        <v>50</v>
      </c>
      <c r="G769" s="107">
        <v>1000</v>
      </c>
      <c r="H769" s="106"/>
      <c r="I769" s="107">
        <v>10</v>
      </c>
      <c r="J769" s="106"/>
    </row>
    <row r="770" spans="1:11" ht="24.95" customHeight="1">
      <c r="A770" s="126" t="s">
        <v>51</v>
      </c>
      <c r="B770" s="106"/>
      <c r="C770" s="105"/>
      <c r="D770" s="106"/>
      <c r="E770" s="106"/>
      <c r="F770" s="105"/>
      <c r="G770" s="106"/>
      <c r="H770" s="106"/>
      <c r="I770" s="106"/>
      <c r="J770" s="106"/>
    </row>
    <row r="771" spans="1:11" ht="14.25" customHeight="1">
      <c r="A771" s="105" t="s">
        <v>87</v>
      </c>
      <c r="B771" s="106"/>
      <c r="C771" s="105" t="s">
        <v>88</v>
      </c>
      <c r="D771" s="106"/>
      <c r="E771" s="106"/>
      <c r="F771" s="27" t="s">
        <v>36</v>
      </c>
      <c r="G771" s="107">
        <v>20</v>
      </c>
      <c r="H771" s="106"/>
      <c r="I771" s="107">
        <v>0.2</v>
      </c>
      <c r="J771" s="106"/>
    </row>
    <row r="772" spans="1:11" ht="24.95" customHeight="1">
      <c r="A772" s="126" t="s">
        <v>89</v>
      </c>
      <c r="B772" s="106"/>
      <c r="C772" s="105" t="s">
        <v>90</v>
      </c>
      <c r="D772" s="106"/>
      <c r="E772" s="106"/>
      <c r="F772" s="105"/>
      <c r="G772" s="106"/>
      <c r="H772" s="106"/>
      <c r="I772" s="106"/>
      <c r="J772" s="106"/>
    </row>
    <row r="773" spans="1:11" ht="14.25" customHeight="1">
      <c r="A773" s="105" t="s">
        <v>97</v>
      </c>
      <c r="B773" s="106"/>
      <c r="C773" s="105" t="s">
        <v>58</v>
      </c>
      <c r="D773" s="106"/>
      <c r="E773" s="106"/>
      <c r="F773" s="27"/>
      <c r="G773" s="107">
        <v>220</v>
      </c>
      <c r="H773" s="106"/>
      <c r="I773" s="107">
        <v>2.2000000000000002</v>
      </c>
      <c r="J773" s="106"/>
    </row>
    <row r="774" spans="1:11" ht="24.95" customHeight="1">
      <c r="A774" s="126" t="s">
        <v>98</v>
      </c>
      <c r="B774" s="106"/>
      <c r="C774" s="105" t="s">
        <v>99</v>
      </c>
      <c r="D774" s="106"/>
      <c r="E774" s="106"/>
      <c r="F774" s="105"/>
      <c r="G774" s="106"/>
      <c r="H774" s="106"/>
      <c r="I774" s="106"/>
      <c r="J774" s="106"/>
    </row>
    <row r="775" spans="1:11" ht="14.25" customHeight="1">
      <c r="A775" s="105" t="s">
        <v>61</v>
      </c>
      <c r="B775" s="106"/>
      <c r="C775" s="105" t="s">
        <v>62</v>
      </c>
      <c r="D775" s="106"/>
      <c r="E775" s="106"/>
      <c r="F775" s="27"/>
      <c r="G775" s="107">
        <v>2</v>
      </c>
      <c r="H775" s="106"/>
      <c r="I775" s="107">
        <v>0.02</v>
      </c>
      <c r="J775" s="106"/>
    </row>
    <row r="776" spans="1:11" ht="24.95" customHeight="1">
      <c r="A776" s="126" t="s">
        <v>63</v>
      </c>
      <c r="B776" s="106"/>
      <c r="C776" s="105" t="s">
        <v>64</v>
      </c>
      <c r="D776" s="106"/>
      <c r="E776" s="106"/>
      <c r="F776" s="105"/>
      <c r="G776" s="106"/>
      <c r="H776" s="106"/>
      <c r="I776" s="106"/>
      <c r="J776" s="106"/>
    </row>
    <row r="777" spans="1:11" ht="14.25" customHeight="1">
      <c r="A777" s="105"/>
      <c r="B777" s="106"/>
      <c r="C777" s="105"/>
      <c r="D777" s="106"/>
      <c r="E777" s="106"/>
      <c r="F777" s="27"/>
      <c r="G777" s="107"/>
      <c r="H777" s="106"/>
      <c r="I777" s="107"/>
      <c r="J777" s="106"/>
    </row>
    <row r="778" spans="1:11" ht="24.95" customHeight="1" thickBot="1">
      <c r="A778" s="126"/>
      <c r="B778" s="106"/>
      <c r="C778" s="105"/>
      <c r="D778" s="106"/>
      <c r="E778" s="106"/>
      <c r="F778" s="105"/>
      <c r="G778" s="106"/>
      <c r="H778" s="106"/>
      <c r="I778" s="106"/>
      <c r="J778" s="106"/>
    </row>
    <row r="779" spans="1:11" s="5" customFormat="1" ht="18" customHeight="1">
      <c r="A779" s="28" t="s">
        <v>124</v>
      </c>
      <c r="B779" s="29" t="s">
        <v>125</v>
      </c>
      <c r="C779" s="148" t="s">
        <v>126</v>
      </c>
      <c r="D779" s="149"/>
      <c r="E779" s="30" t="s">
        <v>127</v>
      </c>
      <c r="F779" s="31" t="s">
        <v>128</v>
      </c>
      <c r="G779" s="32" t="s">
        <v>129</v>
      </c>
      <c r="H779" s="33" t="s">
        <v>130</v>
      </c>
      <c r="I779" s="137" t="s">
        <v>131</v>
      </c>
      <c r="J779" s="138"/>
    </row>
    <row r="780" spans="1:11" s="7" customFormat="1" ht="18" customHeight="1">
      <c r="A780" s="34" t="s">
        <v>161</v>
      </c>
      <c r="B780" s="35">
        <v>888</v>
      </c>
      <c r="C780" s="150" t="s">
        <v>163</v>
      </c>
      <c r="D780" s="151"/>
      <c r="E780" s="146">
        <v>20</v>
      </c>
      <c r="F780" s="36" t="s">
        <v>173</v>
      </c>
      <c r="G780" s="37">
        <v>46142</v>
      </c>
      <c r="H780" s="38">
        <v>13</v>
      </c>
      <c r="I780" s="39" t="s">
        <v>132</v>
      </c>
      <c r="J780" s="40">
        <v>46143</v>
      </c>
    </row>
    <row r="781" spans="1:11" s="5" customFormat="1" ht="18" customHeight="1">
      <c r="A781" s="44" t="s">
        <v>133</v>
      </c>
      <c r="B781" s="45" t="s">
        <v>134</v>
      </c>
      <c r="C781" s="150"/>
      <c r="D781" s="151"/>
      <c r="E781" s="146"/>
      <c r="F781" s="46" t="s">
        <v>183</v>
      </c>
      <c r="G781" s="37">
        <v>46143</v>
      </c>
      <c r="H781" s="38">
        <v>7</v>
      </c>
      <c r="I781" s="39" t="s">
        <v>135</v>
      </c>
      <c r="J781" s="41">
        <v>2000</v>
      </c>
      <c r="K781" s="47"/>
    </row>
    <row r="782" spans="1:11" s="7" customFormat="1" ht="18" customHeight="1">
      <c r="A782" s="48">
        <v>0.5</v>
      </c>
      <c r="B782" s="49" t="s">
        <v>162</v>
      </c>
      <c r="C782" s="147" t="s">
        <v>136</v>
      </c>
      <c r="D782" s="144" t="s">
        <v>164</v>
      </c>
      <c r="E782" s="144"/>
      <c r="F782" s="145"/>
      <c r="G782" s="37"/>
      <c r="H782" s="38"/>
      <c r="I782" s="39" t="s">
        <v>137</v>
      </c>
      <c r="J782" s="41">
        <v>1011</v>
      </c>
      <c r="K782" s="50"/>
    </row>
    <row r="783" spans="1:11" s="5" customFormat="1" ht="18" customHeight="1">
      <c r="A783" s="51" t="s">
        <v>138</v>
      </c>
      <c r="B783" s="52" t="s">
        <v>139</v>
      </c>
      <c r="C783" s="147"/>
      <c r="D783" s="144" t="s">
        <v>165</v>
      </c>
      <c r="E783" s="144"/>
      <c r="F783" s="145"/>
      <c r="G783" s="37"/>
      <c r="H783" s="38"/>
      <c r="I783" s="39" t="s">
        <v>140</v>
      </c>
      <c r="J783" s="41">
        <v>22</v>
      </c>
      <c r="K783" s="47"/>
    </row>
    <row r="784" spans="1:11" s="7" customFormat="1" ht="18" customHeight="1" thickBot="1">
      <c r="A784" s="53">
        <v>-0.5</v>
      </c>
      <c r="B784" s="54">
        <v>2</v>
      </c>
      <c r="C784" s="55" t="s">
        <v>141</v>
      </c>
      <c r="D784" s="152" t="s">
        <v>166</v>
      </c>
      <c r="E784" s="152"/>
      <c r="F784" s="153"/>
      <c r="G784" s="56"/>
      <c r="H784" s="57"/>
      <c r="I784" s="39" t="s">
        <v>142</v>
      </c>
      <c r="J784" s="42">
        <v>11</v>
      </c>
      <c r="K784" s="50"/>
    </row>
    <row r="785" spans="1:14" s="5" customFormat="1" ht="18" customHeight="1" thickBot="1">
      <c r="A785" s="58" t="s">
        <v>143</v>
      </c>
      <c r="B785" s="59" t="str" cm="1">
        <f t="array" ref="B785">IF(SUM(--(ISTEXT(B786:B796)*(B786:B796&lt;&gt;"")))=0,"計測Lot","計測Lot・加工数")</f>
        <v>計測Lot・加工数</v>
      </c>
      <c r="C785" s="60" t="s">
        <v>144</v>
      </c>
      <c r="D785" s="61" t="s">
        <v>145</v>
      </c>
      <c r="E785" s="62" t="s">
        <v>146</v>
      </c>
      <c r="F785" s="63" t="str" cm="1">
        <f t="array" ref="F785">IF(SUM(--(ISTEXT(B786:B796)*(B786:B796&lt;&gt;"")))=0,"記入不要","使用Lot")</f>
        <v>使用Lot</v>
      </c>
      <c r="G785" s="64" t="s">
        <v>147</v>
      </c>
      <c r="H785" s="65" t="s">
        <v>148</v>
      </c>
      <c r="I785" s="66" t="s">
        <v>149</v>
      </c>
      <c r="J785" s="43">
        <v>0</v>
      </c>
      <c r="K785" s="47"/>
    </row>
    <row r="786" spans="1:14" s="7" customFormat="1" ht="18" customHeight="1">
      <c r="A786" s="67"/>
      <c r="B786" s="71"/>
      <c r="C786" s="74"/>
      <c r="D786" s="75"/>
      <c r="E786" s="76"/>
      <c r="F786" s="77">
        <v>0</v>
      </c>
      <c r="G786" s="78">
        <v>0</v>
      </c>
      <c r="H786" s="79"/>
      <c r="I786" s="154" t="s">
        <v>150</v>
      </c>
      <c r="J786" s="155"/>
      <c r="K786" s="80"/>
    </row>
    <row r="787" spans="1:14" s="5" customFormat="1" ht="18" customHeight="1">
      <c r="A787" s="68">
        <v>46140</v>
      </c>
      <c r="B787" s="72" t="s">
        <v>178</v>
      </c>
      <c r="C787" s="81">
        <v>26</v>
      </c>
      <c r="D787" s="82">
        <v>888.35</v>
      </c>
      <c r="E787" s="83">
        <v>888.29</v>
      </c>
      <c r="F787" s="84" t="s">
        <v>178</v>
      </c>
      <c r="G787" s="81">
        <v>288</v>
      </c>
      <c r="H787" s="85">
        <v>144</v>
      </c>
      <c r="I787" s="86" t="s">
        <v>151</v>
      </c>
      <c r="J787" s="85">
        <v>8</v>
      </c>
      <c r="K787" s="80"/>
    </row>
    <row r="788" spans="1:14" s="91" customFormat="1" ht="18.95" customHeight="1">
      <c r="A788" s="69">
        <v>46140</v>
      </c>
      <c r="B788" s="72" t="s">
        <v>184</v>
      </c>
      <c r="C788" s="81">
        <v>26</v>
      </c>
      <c r="D788" s="82">
        <v>888.35</v>
      </c>
      <c r="E788" s="83">
        <v>888.24</v>
      </c>
      <c r="F788" s="84" t="s">
        <v>185</v>
      </c>
      <c r="G788" s="81">
        <v>1599</v>
      </c>
      <c r="H788" s="85">
        <v>799.5</v>
      </c>
      <c r="I788" s="86" t="s">
        <v>152</v>
      </c>
      <c r="J788" s="85">
        <v>4</v>
      </c>
      <c r="K788" s="89"/>
      <c r="L788" s="90"/>
      <c r="M788" s="90"/>
      <c r="N788" s="90"/>
    </row>
    <row r="789" spans="1:14" s="94" customFormat="1" ht="18.95" customHeight="1">
      <c r="A789" s="69">
        <v>46140</v>
      </c>
      <c r="B789" s="72" t="s">
        <v>186</v>
      </c>
      <c r="C789" s="81">
        <v>26</v>
      </c>
      <c r="D789" s="82">
        <v>888.35</v>
      </c>
      <c r="E789" s="83">
        <v>888.26</v>
      </c>
      <c r="F789" s="84" t="s">
        <v>187</v>
      </c>
      <c r="G789" s="81">
        <v>113</v>
      </c>
      <c r="H789" s="85">
        <v>56.5</v>
      </c>
      <c r="I789" s="86" t="s">
        <v>153</v>
      </c>
      <c r="J789" s="85">
        <v>7</v>
      </c>
      <c r="K789" s="92"/>
      <c r="L789" s="93"/>
      <c r="M789" s="93"/>
      <c r="N789" s="93"/>
    </row>
    <row r="790" spans="1:14" s="94" customFormat="1" ht="18.95" customHeight="1">
      <c r="A790" s="69">
        <v>46140</v>
      </c>
      <c r="B790" s="72" t="s">
        <v>188</v>
      </c>
      <c r="C790" s="81">
        <v>26</v>
      </c>
      <c r="D790" s="82">
        <v>888.35</v>
      </c>
      <c r="E790" s="83">
        <v>888.29</v>
      </c>
      <c r="F790" s="84" t="s">
        <v>169</v>
      </c>
      <c r="G790" s="81">
        <v>22</v>
      </c>
      <c r="H790" s="85">
        <v>11</v>
      </c>
      <c r="I790" s="86" t="s">
        <v>154</v>
      </c>
      <c r="J790" s="85"/>
      <c r="K790" s="92"/>
      <c r="L790" s="93"/>
      <c r="M790" s="93"/>
      <c r="N790" s="93"/>
    </row>
    <row r="791" spans="1:14" s="94" customFormat="1" ht="18.95" customHeight="1">
      <c r="A791" s="69">
        <v>46142</v>
      </c>
      <c r="B791" s="72" t="s">
        <v>188</v>
      </c>
      <c r="C791" s="81">
        <v>26</v>
      </c>
      <c r="D791" s="82">
        <v>888.35</v>
      </c>
      <c r="E791" s="83">
        <v>888.28</v>
      </c>
      <c r="F791" s="84"/>
      <c r="G791" s="81">
        <v>0</v>
      </c>
      <c r="H791" s="85"/>
      <c r="I791" s="86" t="s">
        <v>155</v>
      </c>
      <c r="J791" s="85"/>
      <c r="K791" s="92"/>
      <c r="L791" s="93"/>
      <c r="M791" s="93"/>
      <c r="N791" s="93"/>
    </row>
    <row r="792" spans="1:14" s="94" customFormat="1" ht="18.95" customHeight="1">
      <c r="A792" s="69">
        <v>46142</v>
      </c>
      <c r="B792" s="72" t="s">
        <v>188</v>
      </c>
      <c r="C792" s="81">
        <v>20</v>
      </c>
      <c r="D792" s="82">
        <v>888</v>
      </c>
      <c r="E792" s="83">
        <v>888.04</v>
      </c>
      <c r="F792" s="84"/>
      <c r="G792" s="81">
        <v>0</v>
      </c>
      <c r="H792" s="85"/>
      <c r="I792" s="86" t="s">
        <v>156</v>
      </c>
      <c r="J792" s="85"/>
      <c r="K792" s="92"/>
      <c r="L792" s="93"/>
      <c r="M792" s="93"/>
      <c r="N792" s="93"/>
    </row>
    <row r="793" spans="1:14" s="94" customFormat="1" ht="18.95" customHeight="1">
      <c r="A793" s="69">
        <v>46142</v>
      </c>
      <c r="B793" s="72" t="s">
        <v>189</v>
      </c>
      <c r="C793" s="81">
        <v>22</v>
      </c>
      <c r="D793" s="82">
        <v>888.12</v>
      </c>
      <c r="E793" s="83">
        <v>888.11</v>
      </c>
      <c r="F793" s="84"/>
      <c r="G793" s="81">
        <v>0</v>
      </c>
      <c r="H793" s="85"/>
      <c r="I793" s="95" t="s">
        <v>157</v>
      </c>
      <c r="J793" s="85"/>
      <c r="K793" s="92"/>
      <c r="L793" s="93"/>
      <c r="M793" s="93"/>
      <c r="N793" s="93"/>
    </row>
    <row r="794" spans="1:14" s="94" customFormat="1" ht="18.95" customHeight="1">
      <c r="A794" s="69">
        <v>46142</v>
      </c>
      <c r="B794" s="72" t="s">
        <v>190</v>
      </c>
      <c r="C794" s="81">
        <v>22</v>
      </c>
      <c r="D794" s="82">
        <v>888.12</v>
      </c>
      <c r="E794" s="83">
        <v>888.08</v>
      </c>
      <c r="F794" s="84"/>
      <c r="G794" s="81">
        <v>0</v>
      </c>
      <c r="H794" s="85"/>
      <c r="I794" s="95" t="s">
        <v>158</v>
      </c>
      <c r="J794" s="85"/>
      <c r="K794" s="92"/>
      <c r="L794" s="93"/>
      <c r="M794" s="93"/>
      <c r="N794" s="93"/>
    </row>
    <row r="795" spans="1:14" s="94" customFormat="1" ht="18.95" customHeight="1">
      <c r="A795" s="69"/>
      <c r="B795" s="72" t="s">
        <v>171</v>
      </c>
      <c r="C795" s="81"/>
      <c r="D795" s="82"/>
      <c r="E795" s="83"/>
      <c r="F795" s="84"/>
      <c r="G795" s="81">
        <v>0</v>
      </c>
      <c r="H795" s="85"/>
      <c r="I795" s="86" t="s">
        <v>159</v>
      </c>
      <c r="J795" s="87">
        <v>3</v>
      </c>
      <c r="K795" s="92"/>
      <c r="L795" s="93"/>
      <c r="M795" s="93"/>
      <c r="N795" s="93"/>
    </row>
    <row r="796" spans="1:14" s="94" customFormat="1" ht="18.95" customHeight="1" thickBot="1">
      <c r="A796" s="70" t="s">
        <v>172</v>
      </c>
      <c r="B796" s="73" t="s">
        <v>191</v>
      </c>
      <c r="C796" s="96"/>
      <c r="D796" s="97"/>
      <c r="E796" s="98"/>
      <c r="F796" s="99"/>
      <c r="G796" s="100"/>
      <c r="H796" s="101"/>
      <c r="I796" s="102" t="s">
        <v>160</v>
      </c>
      <c r="J796" s="88">
        <v>22</v>
      </c>
      <c r="K796" s="92"/>
      <c r="L796" s="93"/>
      <c r="M796" s="93"/>
      <c r="N796" s="93"/>
    </row>
    <row r="797" spans="1:14" ht="6" customHeight="1" thickBot="1">
      <c r="A797" s="103"/>
      <c r="B797" s="104"/>
      <c r="C797" s="104"/>
      <c r="D797" s="103"/>
      <c r="E797" s="104"/>
      <c r="F797" s="104"/>
      <c r="G797" s="104"/>
      <c r="H797" s="104"/>
    </row>
    <row r="798" spans="1:14" ht="6" customHeight="1" thickTop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spans="1:14" ht="14.25" customHeight="1">
      <c r="A799" s="11"/>
      <c r="B799" s="136" t="s">
        <v>0</v>
      </c>
      <c r="C799" s="106"/>
      <c r="D799" s="106"/>
      <c r="E799" s="11"/>
      <c r="F799" s="11"/>
      <c r="G799" s="11"/>
      <c r="H799" s="11"/>
      <c r="I799" s="11"/>
      <c r="J799" s="11"/>
    </row>
    <row r="800" spans="1:14" ht="14.25" customHeight="1">
      <c r="A800" s="12"/>
      <c r="B800" s="106"/>
      <c r="C800" s="106"/>
      <c r="D800" s="106"/>
      <c r="E800" s="12"/>
      <c r="F800" s="12"/>
      <c r="G800" s="12"/>
      <c r="H800" s="12"/>
      <c r="I800" s="12"/>
      <c r="J800" s="12"/>
    </row>
    <row r="801" spans="1:10" ht="14.25" customHeight="1">
      <c r="A801" s="108" t="s">
        <v>1</v>
      </c>
      <c r="B801" s="108" t="s">
        <v>69</v>
      </c>
      <c r="C801" s="108" t="s">
        <v>3</v>
      </c>
      <c r="D801" s="131">
        <v>592</v>
      </c>
      <c r="E801" s="108" t="s">
        <v>4</v>
      </c>
      <c r="F801" s="109" t="s">
        <v>70</v>
      </c>
      <c r="G801" s="106"/>
      <c r="H801" s="106"/>
      <c r="I801" s="24" t="s">
        <v>6</v>
      </c>
      <c r="J801" s="24" t="s">
        <v>7</v>
      </c>
    </row>
    <row r="802" spans="1:10" ht="14.25" customHeight="1">
      <c r="A802" s="106"/>
      <c r="B802" s="106"/>
      <c r="C802" s="106"/>
      <c r="D802" s="106"/>
      <c r="E802" s="106"/>
      <c r="F802" s="106"/>
      <c r="G802" s="106"/>
      <c r="H802" s="106"/>
      <c r="I802" s="119"/>
      <c r="J802" s="119"/>
    </row>
    <row r="803" spans="1:10" ht="17.45" customHeight="1">
      <c r="A803" s="125" t="s">
        <v>8</v>
      </c>
      <c r="B803" s="125" t="s">
        <v>122</v>
      </c>
      <c r="E803" s="125" t="s">
        <v>10</v>
      </c>
      <c r="F803" s="140" t="s">
        <v>72</v>
      </c>
      <c r="G803" s="106"/>
      <c r="H803" s="106"/>
      <c r="I803" s="120"/>
      <c r="J803" s="120"/>
    </row>
    <row r="804" spans="1:10" ht="17.45" customHeight="1">
      <c r="A804" s="106"/>
      <c r="B804" s="106"/>
      <c r="E804" s="106"/>
      <c r="F804" s="106"/>
      <c r="G804" s="106"/>
      <c r="H804" s="106"/>
      <c r="I804" s="13"/>
      <c r="J804" s="13"/>
    </row>
    <row r="805" spans="1:10" ht="17.45" customHeight="1">
      <c r="A805" s="125" t="s">
        <v>12</v>
      </c>
      <c r="B805" s="125" t="s">
        <v>123</v>
      </c>
      <c r="E805" s="2" t="s">
        <v>14</v>
      </c>
      <c r="F805" s="140" t="s">
        <v>15</v>
      </c>
      <c r="G805" s="106"/>
      <c r="H805" s="21"/>
      <c r="I805" s="13"/>
      <c r="J805" s="13"/>
    </row>
    <row r="806" spans="1:10" ht="17.45" customHeight="1">
      <c r="A806" s="106"/>
      <c r="B806" s="106"/>
      <c r="E806" s="2" t="s">
        <v>16</v>
      </c>
      <c r="F806" s="21" t="s">
        <v>17</v>
      </c>
      <c r="G806" s="21"/>
      <c r="H806" s="21"/>
      <c r="I806" s="14"/>
      <c r="J806" s="14"/>
    </row>
    <row r="807" spans="1:10" ht="17.45" customHeight="1">
      <c r="A807" s="2" t="s">
        <v>18</v>
      </c>
      <c r="B807" s="4">
        <v>46154</v>
      </c>
      <c r="E807" s="2" t="s">
        <v>19</v>
      </c>
      <c r="F807" s="141">
        <v>100</v>
      </c>
      <c r="G807" s="106"/>
      <c r="H807" s="21"/>
    </row>
    <row r="808" spans="1:10" ht="17.45" customHeight="1">
      <c r="A808" s="2" t="s">
        <v>20</v>
      </c>
      <c r="B808" s="4">
        <v>46154</v>
      </c>
      <c r="E808" s="2" t="s">
        <v>21</v>
      </c>
      <c r="F808" s="21">
        <v>3</v>
      </c>
      <c r="G808" s="133" t="s">
        <v>22</v>
      </c>
      <c r="H808" s="112">
        <v>300</v>
      </c>
      <c r="I808" s="113"/>
      <c r="J808" s="114"/>
    </row>
    <row r="809" spans="1:10" ht="17.45" customHeight="1">
      <c r="A809" s="19"/>
      <c r="B809" s="20"/>
      <c r="C809" s="20"/>
      <c r="D809" s="20"/>
      <c r="E809" s="2" t="s">
        <v>23</v>
      </c>
      <c r="F809" s="21" t="s">
        <v>24</v>
      </c>
      <c r="G809" s="115"/>
      <c r="H809" s="115"/>
      <c r="I809" s="116"/>
      <c r="J809" s="117"/>
    </row>
    <row r="810" spans="1:10" ht="13.5" customHeight="1">
      <c r="A810" s="118" t="s">
        <v>74</v>
      </c>
      <c r="B810" s="106"/>
      <c r="C810" s="106"/>
      <c r="D810" s="20"/>
      <c r="F810" s="3"/>
      <c r="G810" s="132" t="s">
        <v>26</v>
      </c>
      <c r="H810" s="110" t="s">
        <v>27</v>
      </c>
      <c r="I810" s="129" t="s">
        <v>28</v>
      </c>
      <c r="J810" s="130"/>
    </row>
    <row r="811" spans="1:10" ht="13.5" customHeight="1">
      <c r="A811" s="106"/>
      <c r="B811" s="106"/>
      <c r="C811" s="106"/>
      <c r="D811" s="20"/>
      <c r="F811" s="3"/>
      <c r="G811" s="111"/>
      <c r="H811" s="111"/>
      <c r="I811" s="116"/>
      <c r="J811" s="117"/>
    </row>
    <row r="812" spans="1:10" ht="13.5" customHeight="1">
      <c r="A812" s="1" t="s">
        <v>29</v>
      </c>
    </row>
    <row r="813" spans="1:10" ht="63" customHeight="1">
      <c r="A813" s="123"/>
      <c r="B813" s="124"/>
      <c r="C813" s="124"/>
      <c r="D813" s="124"/>
      <c r="E813" s="124"/>
      <c r="F813" s="124"/>
      <c r="G813" s="124"/>
      <c r="H813" s="124"/>
      <c r="I813" s="124"/>
      <c r="J813" s="124"/>
    </row>
    <row r="814" spans="1:10" ht="18.75">
      <c r="A814" s="23" t="s">
        <v>30</v>
      </c>
      <c r="B814" s="16" t="s">
        <v>31</v>
      </c>
      <c r="C814" s="134" t="s">
        <v>32</v>
      </c>
      <c r="D814" s="128"/>
      <c r="E814" s="16" t="s">
        <v>33</v>
      </c>
      <c r="F814" s="134" t="s">
        <v>34</v>
      </c>
      <c r="G814" s="128"/>
      <c r="H814" s="128"/>
      <c r="I814" s="127" t="s">
        <v>35</v>
      </c>
      <c r="J814" s="128"/>
    </row>
    <row r="815" spans="1:10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22">
        <v>1</v>
      </c>
      <c r="B816" s="25" t="s">
        <v>36</v>
      </c>
      <c r="C816" s="105" t="s">
        <v>37</v>
      </c>
      <c r="D816" s="106"/>
      <c r="E816" s="25" t="s">
        <v>38</v>
      </c>
      <c r="F816" s="105" t="s">
        <v>39</v>
      </c>
      <c r="G816" s="106"/>
      <c r="H816" s="106"/>
      <c r="I816" s="135"/>
      <c r="J816" s="106"/>
    </row>
    <row r="817" spans="1:10" ht="16.5" customHeight="1">
      <c r="A817" s="22">
        <v>1</v>
      </c>
      <c r="B817" s="26" t="s">
        <v>36</v>
      </c>
      <c r="C817" s="105" t="s">
        <v>37</v>
      </c>
      <c r="D817" s="106"/>
      <c r="E817" s="25" t="s">
        <v>40</v>
      </c>
      <c r="F817" s="105" t="s">
        <v>41</v>
      </c>
      <c r="G817" s="106"/>
      <c r="H817" s="106"/>
      <c r="I817" s="135"/>
      <c r="J817" s="106"/>
    </row>
    <row r="818" spans="1:10" ht="16.5" customHeight="1">
      <c r="A818" s="22"/>
      <c r="B818" s="26"/>
      <c r="C818" s="105"/>
      <c r="D818" s="106"/>
      <c r="E818" s="25"/>
      <c r="F818" s="105"/>
      <c r="G818" s="106"/>
      <c r="H818" s="106"/>
      <c r="I818" s="135"/>
      <c r="J818" s="106"/>
    </row>
    <row r="819" spans="1:10" ht="16.5" customHeight="1">
      <c r="A819" s="22"/>
      <c r="B819" s="26"/>
      <c r="C819" s="105"/>
      <c r="D819" s="106"/>
      <c r="E819" s="25"/>
      <c r="F819" s="105"/>
      <c r="G819" s="106"/>
      <c r="H819" s="106"/>
      <c r="I819" s="135"/>
      <c r="J819" s="106"/>
    </row>
    <row r="820" spans="1:10" ht="16.5" customHeight="1">
      <c r="A820" s="22"/>
      <c r="B820" s="26"/>
      <c r="C820" s="105"/>
      <c r="D820" s="106"/>
      <c r="E820" s="25"/>
      <c r="F820" s="105"/>
      <c r="G820" s="106"/>
      <c r="H820" s="106"/>
      <c r="I820" s="135"/>
      <c r="J820" s="106"/>
    </row>
    <row r="821" spans="1:10" ht="16.5" customHeight="1">
      <c r="A821" s="22"/>
      <c r="B821" s="26"/>
      <c r="C821" s="105"/>
      <c r="D821" s="106"/>
      <c r="E821" s="25"/>
      <c r="F821" s="105"/>
      <c r="G821" s="106"/>
      <c r="H821" s="106"/>
      <c r="I821" s="135"/>
      <c r="J821" s="106"/>
    </row>
    <row r="822" spans="1:10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</row>
    <row r="823" spans="1:10" ht="18.75">
      <c r="A823" s="121" t="s">
        <v>42</v>
      </c>
      <c r="B823" s="122"/>
      <c r="C823" s="121" t="s">
        <v>43</v>
      </c>
      <c r="D823" s="122"/>
      <c r="E823" s="122"/>
      <c r="F823" s="17" t="s">
        <v>44</v>
      </c>
      <c r="G823" s="121" t="s">
        <v>45</v>
      </c>
      <c r="H823" s="122"/>
      <c r="I823" s="121" t="s">
        <v>46</v>
      </c>
      <c r="J823" s="122"/>
    </row>
    <row r="824" spans="1:10" ht="14.25" customHeight="1">
      <c r="A824" s="8"/>
      <c r="B824" s="18"/>
      <c r="C824" s="143" t="s">
        <v>47</v>
      </c>
      <c r="D824" s="116"/>
      <c r="E824" s="18"/>
      <c r="F824" s="143" t="s">
        <v>29</v>
      </c>
      <c r="G824" s="116"/>
      <c r="H824" s="116"/>
      <c r="I824" s="116"/>
      <c r="J824" s="116"/>
    </row>
    <row r="825" spans="1:10">
      <c r="A825" s="9"/>
      <c r="C825" s="7"/>
      <c r="D825" s="7"/>
      <c r="E825" s="7"/>
    </row>
    <row r="826" spans="1:10" ht="14.25" customHeight="1">
      <c r="A826" s="105" t="s">
        <v>48</v>
      </c>
      <c r="B826" s="106"/>
      <c r="C826" s="105" t="s">
        <v>49</v>
      </c>
      <c r="D826" s="106"/>
      <c r="E826" s="106"/>
      <c r="F826" s="27" t="s">
        <v>50</v>
      </c>
      <c r="G826" s="107">
        <v>99.9</v>
      </c>
      <c r="H826" s="106"/>
      <c r="I826" s="107">
        <v>0.999</v>
      </c>
      <c r="J826" s="106"/>
    </row>
    <row r="827" spans="1:10" ht="24.95" customHeight="1">
      <c r="A827" s="126" t="s">
        <v>51</v>
      </c>
      <c r="B827" s="106"/>
      <c r="C827" s="105"/>
      <c r="D827" s="106"/>
      <c r="E827" s="106"/>
      <c r="F827" s="105"/>
      <c r="G827" s="106"/>
      <c r="H827" s="106"/>
      <c r="I827" s="106"/>
      <c r="J827" s="106"/>
    </row>
    <row r="828" spans="1:10" ht="14.25" customHeight="1">
      <c r="A828" s="105" t="s">
        <v>75</v>
      </c>
      <c r="B828" s="106"/>
      <c r="C828" s="105" t="s">
        <v>76</v>
      </c>
      <c r="D828" s="106"/>
      <c r="E828" s="106"/>
      <c r="F828" s="27" t="s">
        <v>54</v>
      </c>
      <c r="G828" s="107">
        <v>3</v>
      </c>
      <c r="H828" s="106"/>
      <c r="I828" s="107">
        <v>0.03</v>
      </c>
      <c r="J828" s="106"/>
    </row>
    <row r="829" spans="1:10" ht="24.95" customHeight="1">
      <c r="A829" s="126" t="s">
        <v>77</v>
      </c>
      <c r="B829" s="106"/>
      <c r="C829" s="105" t="s">
        <v>78</v>
      </c>
      <c r="D829" s="106"/>
      <c r="E829" s="106"/>
      <c r="F829" s="105"/>
      <c r="G829" s="106"/>
      <c r="H829" s="106"/>
      <c r="I829" s="106"/>
      <c r="J829" s="106"/>
    </row>
    <row r="830" spans="1:10" ht="14.25" customHeight="1">
      <c r="A830" s="105" t="s">
        <v>57</v>
      </c>
      <c r="B830" s="106"/>
      <c r="C830" s="105" t="s">
        <v>58</v>
      </c>
      <c r="D830" s="106"/>
      <c r="E830" s="106"/>
      <c r="F830" s="27"/>
      <c r="G830" s="107">
        <v>0.3</v>
      </c>
      <c r="H830" s="106"/>
      <c r="I830" s="107">
        <v>3.0000000000000001E-3</v>
      </c>
      <c r="J830" s="106"/>
    </row>
    <row r="831" spans="1:10" ht="24.95" customHeight="1">
      <c r="A831" s="126" t="s">
        <v>59</v>
      </c>
      <c r="B831" s="106"/>
      <c r="C831" s="105" t="s">
        <v>60</v>
      </c>
      <c r="D831" s="106"/>
      <c r="E831" s="106"/>
      <c r="F831" s="105"/>
      <c r="G831" s="106"/>
      <c r="H831" s="106"/>
      <c r="I831" s="106"/>
      <c r="J831" s="106"/>
    </row>
    <row r="832" spans="1:10" ht="14.25" customHeight="1">
      <c r="A832" s="105" t="s">
        <v>61</v>
      </c>
      <c r="B832" s="106"/>
      <c r="C832" s="105" t="s">
        <v>62</v>
      </c>
      <c r="D832" s="106"/>
      <c r="E832" s="106"/>
      <c r="F832" s="27"/>
      <c r="G832" s="107">
        <v>0.3</v>
      </c>
      <c r="H832" s="106"/>
      <c r="I832" s="107">
        <v>3.0000000000000001E-3</v>
      </c>
      <c r="J832" s="106"/>
    </row>
    <row r="833" spans="1:14" ht="24.95" customHeight="1">
      <c r="A833" s="126" t="s">
        <v>63</v>
      </c>
      <c r="B833" s="106"/>
      <c r="C833" s="105" t="s">
        <v>64</v>
      </c>
      <c r="D833" s="106"/>
      <c r="E833" s="106"/>
      <c r="F833" s="105"/>
      <c r="G833" s="106"/>
      <c r="H833" s="106"/>
      <c r="I833" s="106"/>
      <c r="J833" s="106"/>
    </row>
    <row r="834" spans="1:14" ht="14.25" customHeight="1">
      <c r="A834" s="105"/>
      <c r="B834" s="106"/>
      <c r="C834" s="105"/>
      <c r="D834" s="106"/>
      <c r="E834" s="106"/>
      <c r="F834" s="27"/>
      <c r="G834" s="107"/>
      <c r="H834" s="106"/>
      <c r="I834" s="107"/>
      <c r="J834" s="106"/>
    </row>
    <row r="835" spans="1:14" ht="24.95" customHeight="1" thickBot="1">
      <c r="A835" s="126"/>
      <c r="B835" s="106"/>
      <c r="C835" s="105"/>
      <c r="D835" s="106"/>
      <c r="E835" s="106"/>
      <c r="F835" s="105"/>
      <c r="G835" s="106"/>
      <c r="H835" s="106"/>
      <c r="I835" s="106"/>
      <c r="J835" s="106"/>
    </row>
    <row r="836" spans="1:14" s="5" customFormat="1" ht="18" customHeight="1">
      <c r="A836" s="28" t="s">
        <v>124</v>
      </c>
      <c r="B836" s="29" t="s">
        <v>125</v>
      </c>
      <c r="C836" s="148" t="s">
        <v>126</v>
      </c>
      <c r="D836" s="149"/>
      <c r="E836" s="30" t="s">
        <v>127</v>
      </c>
      <c r="F836" s="31" t="s">
        <v>128</v>
      </c>
      <c r="G836" s="32" t="s">
        <v>129</v>
      </c>
      <c r="H836" s="33" t="s">
        <v>130</v>
      </c>
      <c r="I836" s="137" t="s">
        <v>131</v>
      </c>
      <c r="J836" s="138"/>
    </row>
    <row r="837" spans="1:14" s="7" customFormat="1" ht="18" customHeight="1">
      <c r="A837" s="34" t="str">
        <f>_xlfn.XLOOKUP(B801,[3]VFDB2!$A:$A,[3]VFDB2!$J:$J)</f>
        <v>〇</v>
      </c>
      <c r="B837" s="35">
        <f>D801</f>
        <v>592</v>
      </c>
      <c r="C837" s="150" t="str">
        <f>_xlfn.XLOOKUP(B801,[3]VFDB2!$A:$A,[3]VFDB2!$Z:$Z)</f>
        <v>LED-A592</v>
      </c>
      <c r="D837" s="151"/>
      <c r="E837" s="146" cm="1">
        <f t="array" ref="E837">IFERROR(INDEX(_xlfn._xlws.FILTER([4]加工記録２!C:C,[4]加工記録２!U:U=B803),9),"")</f>
        <v>3</v>
      </c>
      <c r="F837" s="36" t="str" cm="1">
        <f t="array" ref="F837">IFERROR("切断加工：" &amp;_xlfn.TEXTJOIN(" / ",TRUE,INDEX(_xlfn._xlws.FILTER([4]加工記録２!M:M,[4]加工記録２!U:U=B803),9),INDEX(_xlfn._xlws.FILTER([4]加工記録２!N:N,[4]加工記録２!U:U=B803),9)),"")</f>
        <v>切断加工：I</v>
      </c>
      <c r="G837" s="37" cm="1">
        <f t="array" ref="G837:H841">IFERROR(IF(_xlfn.TAKE(_xlfn._xlws.FILTER([4]加工記録２!$M:$N,[4]加工記録２!$U:$U=B803),5)=0,"",_xlfn.TAKE(_xlfn._xlws.FILTER([4]加工記録２!$M:$N,[4]加工記録２!$U:$U=B803),5)),"")</f>
        <v>46139</v>
      </c>
      <c r="H837" s="38">
        <v>3</v>
      </c>
      <c r="I837" s="39" t="s">
        <v>132</v>
      </c>
      <c r="J837" s="40" cm="1">
        <f t="array" ref="J837:J842">IFERROR(INDEX(_xlfn._xlws.FILTER([4]加工記録２!P:P, [4]加工記録２!U:U=B803),_xlfn.SEQUENCE(6)),"")</f>
        <v>46139</v>
      </c>
    </row>
    <row r="838" spans="1:14" s="5" customFormat="1" ht="18" customHeight="1">
      <c r="A838" s="44" t="s">
        <v>133</v>
      </c>
      <c r="B838" s="45" t="s">
        <v>134</v>
      </c>
      <c r="C838" s="150"/>
      <c r="D838" s="151"/>
      <c r="E838" s="146"/>
      <c r="F838" s="46" t="str" cm="1">
        <f t="array" ref="F838">IFERROR("外観検査：" &amp;_xlfn.TEXTJOIN(" / ",TRUE,INDEX(_xlfn._xlws.FILTER([4]加工記録２!M:M,[4]加工記録２!U:U=B803),10),INDEX(_xlfn._xlws.FILTER([4]加工記録２!N:N,[4]加工記録２!U:U=B803),10)),"")</f>
        <v>外観検査：U / T</v>
      </c>
      <c r="G838" s="37" t="str">
        <v/>
      </c>
      <c r="H838" s="38" t="str">
        <v/>
      </c>
      <c r="I838" s="39" t="s">
        <v>135</v>
      </c>
      <c r="J838" s="41">
        <v>300</v>
      </c>
      <c r="K838" s="47"/>
    </row>
    <row r="839" spans="1:14" s="7" customFormat="1" ht="18" customHeight="1">
      <c r="A839" s="48" t="str">
        <f>_xlfn.XLOOKUP(B801,[3]VFDB2!$A:$A,[3]VFDB2!$L:$L)</f>
        <v>+0.5</v>
      </c>
      <c r="B839" s="49" t="str">
        <f>_xlfn.XLOOKUP(B801,[3]VFDB2!$A:$A,[3]VFDB2!$AC:$AC)</f>
        <v>換算表確認</v>
      </c>
      <c r="C839" s="147" t="s">
        <v>136</v>
      </c>
      <c r="D839" s="144" t="str">
        <f>_xlfn.XLOOKUP(B801,[3]VFDB2!$A:$A,[3]VFDB2!$W:$W)</f>
        <v>クラフト紙：592型</v>
      </c>
      <c r="E839" s="144"/>
      <c r="F839" s="145"/>
      <c r="G839" s="37" t="str">
        <v/>
      </c>
      <c r="H839" s="38" t="str">
        <v/>
      </c>
      <c r="I839" s="39" t="s">
        <v>137</v>
      </c>
      <c r="J839" s="41">
        <v>101</v>
      </c>
      <c r="K839" s="50"/>
    </row>
    <row r="840" spans="1:14" s="5" customFormat="1" ht="18" customHeight="1">
      <c r="A840" s="51" t="s">
        <v>138</v>
      </c>
      <c r="B840" s="52" t="s">
        <v>139</v>
      </c>
      <c r="C840" s="147"/>
      <c r="D840" s="144" t="str">
        <f>_xlfn.XLOOKUP(B801,[3]VFDB2!$A:$A,[3]VFDB2!$R:$R)</f>
        <v>ラベル１枚　長手無　鉢巻１回</v>
      </c>
      <c r="E840" s="144"/>
      <c r="F840" s="145"/>
      <c r="G840" s="37" t="str">
        <v/>
      </c>
      <c r="H840" s="38" t="str">
        <v/>
      </c>
      <c r="I840" s="39" t="s">
        <v>140</v>
      </c>
      <c r="J840" s="41">
        <v>3</v>
      </c>
      <c r="K840" s="47"/>
    </row>
    <row r="841" spans="1:14" s="7" customFormat="1" ht="18" customHeight="1" thickBot="1">
      <c r="A841" s="53" t="str">
        <f>_xlfn.XLOOKUP(B801,[3]VFDB2!$A:$A,[3]VFDB2!$K:$K)</f>
        <v>-0.5</v>
      </c>
      <c r="B841" s="54">
        <f>_xlfn.XLOOKUP(B801,[3]VFDB2!$A:$A,[3]VFDB2!$P:$P)</f>
        <v>3</v>
      </c>
      <c r="C841" s="55" t="s">
        <v>141</v>
      </c>
      <c r="D841" s="152" t="str">
        <f>_xlfn.XLOOKUP(B801,[3]VFDB2!$A:$A,[3]VFDB2!$V:$V)</f>
        <v>1箱目の梱包数 目視確認　以降、重量測定</v>
      </c>
      <c r="E841" s="152"/>
      <c r="F841" s="153"/>
      <c r="G841" s="56" t="str">
        <v/>
      </c>
      <c r="H841" s="57" t="str">
        <v/>
      </c>
      <c r="I841" s="39" t="s">
        <v>142</v>
      </c>
      <c r="J841" s="42">
        <v>1</v>
      </c>
      <c r="K841" s="50"/>
    </row>
    <row r="842" spans="1:14" s="5" customFormat="1" ht="18" customHeight="1" thickBot="1">
      <c r="A842" s="58" t="s">
        <v>143</v>
      </c>
      <c r="B842" s="59" t="str" cm="1">
        <f t="array" ref="B842">IF(SUM(--(ISTEXT(B843:B853)*(B843:B853&lt;&gt;"")))=0,"計測Lot","計測Lot・加工数")</f>
        <v>計測Lot・加工数</v>
      </c>
      <c r="C842" s="60" t="s">
        <v>144</v>
      </c>
      <c r="D842" s="61" t="s">
        <v>145</v>
      </c>
      <c r="E842" s="62" t="s">
        <v>146</v>
      </c>
      <c r="F842" s="63" t="str" cm="1">
        <f t="array" ref="F842">IF(SUM(--(ISTEXT(B843:B853)*(B843:B853&lt;&gt;"")))=0,"記入不要","使用Lot")</f>
        <v>使用Lot</v>
      </c>
      <c r="G842" s="64" t="s">
        <v>147</v>
      </c>
      <c r="H842" s="65" t="s">
        <v>148</v>
      </c>
      <c r="I842" s="66" t="s">
        <v>149</v>
      </c>
      <c r="J842" s="43">
        <v>0</v>
      </c>
      <c r="K842" s="47"/>
    </row>
    <row r="843" spans="1:14" s="7" customFormat="1" ht="18" customHeight="1">
      <c r="A843" s="67" cm="1">
        <f t="array" ref="A843:A853">IFERROR(INDEX(_xlfn._xlws.FILTER([4]加工記録２!$D:$D,[4]加工記録２!$U:$U=B803),_xlfn.SEQUENCE(11),0),"")</f>
        <v>0</v>
      </c>
      <c r="B843" s="71" t="str" cm="1">
        <f t="array" ref="B843:B853">IFERROR(IF(INDEX(_xlfn._xlws.FILTER([4]加工記録２!$E:$E,[4]加工記録２!$U:$U=B803),_xlfn.SEQUENCE(11))="","",INDEX(_xlfn._xlws.FILTER([4]加工記録２!$E:$E,[4]加工記録２!$U:$U=B803),_xlfn.SEQUENCE(11)) &amp; IF(INDEX(_xlfn._xlws.FILTER([4]加工記録２!$F:$F,[4]加工記録２!$U:$U=B803),_xlfn.SEQUENCE(11))="","", " × " &amp; INDEX(_xlfn._xlws.FILTER([4]加工記録２!$F:$F,[4]加工記録２!$U:$U=B803),_xlfn.SEQUENCE(11)))),"")</f>
        <v/>
      </c>
      <c r="C843" s="74"/>
      <c r="D843" s="75"/>
      <c r="E843" s="76"/>
      <c r="F843" s="77"/>
      <c r="G843" s="78"/>
      <c r="H843" s="79"/>
      <c r="I843" s="154" t="s">
        <v>150</v>
      </c>
      <c r="J843" s="155"/>
      <c r="K843" s="80"/>
    </row>
    <row r="844" spans="1:14" s="5" customFormat="1" ht="18" customHeight="1">
      <c r="A844" s="68">
        <v>46136</v>
      </c>
      <c r="B844" s="72" t="str">
        <v>26D15-05</v>
      </c>
      <c r="C844" s="81"/>
      <c r="D844" s="82"/>
      <c r="E844" s="83"/>
      <c r="F844" s="84"/>
      <c r="G844" s="81"/>
      <c r="H844" s="85"/>
      <c r="I844" s="86" t="s">
        <v>151</v>
      </c>
      <c r="J844" s="85" cm="1">
        <f t="array" ref="J844:J853">IFERROR(INDEX(_xlfn._xlws.FILTER([4]加工記録２!R:R, [4]加工記録２!U:U=B803),_xlfn.SEQUENCE(10)),"")</f>
        <v>0</v>
      </c>
      <c r="K844" s="80"/>
    </row>
    <row r="845" spans="1:14" s="91" customFormat="1" ht="18.95" customHeight="1">
      <c r="A845" s="69">
        <v>46136</v>
      </c>
      <c r="B845" s="72" t="str">
        <v>26D15-05 × 300</v>
      </c>
      <c r="C845" s="81"/>
      <c r="D845" s="82"/>
      <c r="E845" s="83"/>
      <c r="F845" s="84"/>
      <c r="G845" s="81"/>
      <c r="H845" s="85"/>
      <c r="I845" s="86" t="s">
        <v>152</v>
      </c>
      <c r="J845" s="85">
        <v>1</v>
      </c>
      <c r="K845" s="89"/>
      <c r="L845" s="90"/>
      <c r="M845" s="90"/>
      <c r="N845" s="90"/>
    </row>
    <row r="846" spans="1:14" s="94" customFormat="1" ht="18.95" customHeight="1">
      <c r="A846" s="69">
        <v>0</v>
      </c>
      <c r="B846" s="72" t="str">
        <v/>
      </c>
      <c r="C846" s="81"/>
      <c r="D846" s="82"/>
      <c r="E846" s="83"/>
      <c r="F846" s="84"/>
      <c r="G846" s="81"/>
      <c r="H846" s="85"/>
      <c r="I846" s="86" t="s">
        <v>153</v>
      </c>
      <c r="J846" s="85">
        <v>2</v>
      </c>
      <c r="K846" s="92"/>
      <c r="L846" s="93"/>
      <c r="M846" s="93"/>
      <c r="N846" s="93"/>
    </row>
    <row r="847" spans="1:14" s="94" customFormat="1" ht="18.95" customHeight="1">
      <c r="A847" s="69">
        <v>0</v>
      </c>
      <c r="B847" s="72" t="str">
        <v/>
      </c>
      <c r="C847" s="81"/>
      <c r="D847" s="82"/>
      <c r="E847" s="83"/>
      <c r="F847" s="84"/>
      <c r="G847" s="81"/>
      <c r="H847" s="85"/>
      <c r="I847" s="86" t="s">
        <v>154</v>
      </c>
      <c r="J847" s="85">
        <v>0</v>
      </c>
      <c r="K847" s="92"/>
      <c r="L847" s="93"/>
      <c r="M847" s="93"/>
      <c r="N847" s="93"/>
    </row>
    <row r="848" spans="1:14" s="94" customFormat="1" ht="18.95" customHeight="1">
      <c r="A848" s="69">
        <v>0</v>
      </c>
      <c r="B848" s="72" t="str">
        <v/>
      </c>
      <c r="C848" s="81"/>
      <c r="D848" s="82"/>
      <c r="E848" s="83"/>
      <c r="F848" s="84"/>
      <c r="G848" s="81"/>
      <c r="H848" s="85"/>
      <c r="I848" s="86" t="s">
        <v>155</v>
      </c>
      <c r="J848" s="85">
        <v>0</v>
      </c>
      <c r="K848" s="92"/>
      <c r="L848" s="93"/>
      <c r="M848" s="93"/>
      <c r="N848" s="93"/>
    </row>
    <row r="849" spans="1:14" s="94" customFormat="1" ht="18.95" customHeight="1">
      <c r="A849" s="69">
        <v>0</v>
      </c>
      <c r="B849" s="72" t="str">
        <v/>
      </c>
      <c r="C849" s="81"/>
      <c r="D849" s="82"/>
      <c r="E849" s="83"/>
      <c r="F849" s="84"/>
      <c r="G849" s="81"/>
      <c r="H849" s="85"/>
      <c r="I849" s="86" t="s">
        <v>156</v>
      </c>
      <c r="J849" s="85">
        <v>0</v>
      </c>
      <c r="K849" s="92"/>
      <c r="L849" s="93"/>
      <c r="M849" s="93"/>
      <c r="N849" s="93"/>
    </row>
    <row r="850" spans="1:14" s="94" customFormat="1" ht="18.95" customHeight="1">
      <c r="A850" s="69">
        <v>0</v>
      </c>
      <c r="B850" s="72" t="str">
        <v/>
      </c>
      <c r="C850" s="81"/>
      <c r="D850" s="82"/>
      <c r="E850" s="83"/>
      <c r="F850" s="84"/>
      <c r="G850" s="81"/>
      <c r="H850" s="85"/>
      <c r="I850" s="95" t="s">
        <v>157</v>
      </c>
      <c r="J850" s="85">
        <v>0</v>
      </c>
      <c r="K850" s="92"/>
      <c r="L850" s="93"/>
      <c r="M850" s="93"/>
      <c r="N850" s="93"/>
    </row>
    <row r="851" spans="1:14" s="94" customFormat="1" ht="18.95" customHeight="1">
      <c r="A851" s="69">
        <v>0</v>
      </c>
      <c r="B851" s="72" t="str">
        <v/>
      </c>
      <c r="C851" s="81"/>
      <c r="D851" s="82"/>
      <c r="E851" s="83"/>
      <c r="F851" s="84"/>
      <c r="G851" s="81"/>
      <c r="H851" s="85"/>
      <c r="I851" s="95" t="s">
        <v>158</v>
      </c>
      <c r="J851" s="85">
        <v>0</v>
      </c>
      <c r="K851" s="92"/>
      <c r="L851" s="93"/>
      <c r="M851" s="93"/>
      <c r="N851" s="93"/>
    </row>
    <row r="852" spans="1:14" s="94" customFormat="1" ht="18.95" customHeight="1">
      <c r="A852" s="69">
        <v>0</v>
      </c>
      <c r="B852" s="72" t="str">
        <v/>
      </c>
      <c r="C852" s="81"/>
      <c r="D852" s="82"/>
      <c r="E852" s="83"/>
      <c r="F852" s="84"/>
      <c r="G852" s="81"/>
      <c r="H852" s="85"/>
      <c r="I852" s="86" t="s">
        <v>159</v>
      </c>
      <c r="J852" s="87">
        <v>0</v>
      </c>
      <c r="K852" s="92"/>
      <c r="L852" s="93"/>
      <c r="M852" s="93"/>
      <c r="N852" s="93"/>
    </row>
    <row r="853" spans="1:14" s="94" customFormat="1" ht="18.95" customHeight="1" thickBot="1">
      <c r="A853" s="70" t="str">
        <v>不良補填</v>
      </c>
      <c r="B853" s="73" t="str">
        <v>26A23-05 × 3</v>
      </c>
      <c r="C853" s="96"/>
      <c r="D853" s="97"/>
      <c r="E853" s="98"/>
      <c r="F853" s="99"/>
      <c r="G853" s="100"/>
      <c r="H853" s="101"/>
      <c r="I853" s="102" t="s">
        <v>160</v>
      </c>
      <c r="J853" s="88">
        <v>3</v>
      </c>
      <c r="K853" s="92"/>
      <c r="L853" s="93"/>
      <c r="M853" s="93"/>
      <c r="N853" s="93"/>
    </row>
    <row r="854" spans="1:14" ht="6" customHeight="1" thickBot="1">
      <c r="A854" s="103"/>
      <c r="B854" s="104"/>
      <c r="C854" s="104"/>
      <c r="D854" s="103"/>
      <c r="E854" s="104"/>
      <c r="F854" s="104"/>
      <c r="G854" s="104"/>
      <c r="H854" s="104"/>
    </row>
    <row r="855" spans="1:14" ht="6" customHeight="1" thickTop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</sheetData>
  <mergeCells count="1425">
    <mergeCell ref="D841:F841"/>
    <mergeCell ref="I843:J843"/>
    <mergeCell ref="F827:J827"/>
    <mergeCell ref="F829:J829"/>
    <mergeCell ref="I760:J760"/>
    <mergeCell ref="I769:J769"/>
    <mergeCell ref="C834:E834"/>
    <mergeCell ref="C835:E835"/>
    <mergeCell ref="F748:G748"/>
    <mergeCell ref="F778:J778"/>
    <mergeCell ref="I773:J773"/>
    <mergeCell ref="I775:J775"/>
    <mergeCell ref="E801:E802"/>
    <mergeCell ref="H810:H811"/>
    <mergeCell ref="F821:H821"/>
    <mergeCell ref="C818:D818"/>
    <mergeCell ref="G810:G811"/>
    <mergeCell ref="F774:J774"/>
    <mergeCell ref="G777:H777"/>
    <mergeCell ref="C760:D760"/>
    <mergeCell ref="F772:J772"/>
    <mergeCell ref="A756:J756"/>
    <mergeCell ref="G766:H766"/>
    <mergeCell ref="A830:B830"/>
    <mergeCell ref="A778:B778"/>
    <mergeCell ref="A828:B828"/>
    <mergeCell ref="C819:D819"/>
    <mergeCell ref="C814:D814"/>
    <mergeCell ref="A801:A802"/>
    <mergeCell ref="E803:E804"/>
    <mergeCell ref="A826:B826"/>
    <mergeCell ref="B801:B802"/>
    <mergeCell ref="C573:C574"/>
    <mergeCell ref="F715:J715"/>
    <mergeCell ref="I543:J543"/>
    <mergeCell ref="F704:H704"/>
    <mergeCell ref="I729:J729"/>
    <mergeCell ref="C779:D779"/>
    <mergeCell ref="C780:D781"/>
    <mergeCell ref="E780:E781"/>
    <mergeCell ref="C782:C783"/>
    <mergeCell ref="D782:F782"/>
    <mergeCell ref="D783:F783"/>
    <mergeCell ref="D784:F784"/>
    <mergeCell ref="I786:J786"/>
    <mergeCell ref="C836:D836"/>
    <mergeCell ref="C837:D838"/>
    <mergeCell ref="E837:E838"/>
    <mergeCell ref="C839:C840"/>
    <mergeCell ref="D839:F839"/>
    <mergeCell ref="D840:F840"/>
    <mergeCell ref="C608:D608"/>
    <mergeCell ref="C609:D610"/>
    <mergeCell ref="E609:E610"/>
    <mergeCell ref="C611:C612"/>
    <mergeCell ref="D611:F611"/>
    <mergeCell ref="D612:F612"/>
    <mergeCell ref="D613:F613"/>
    <mergeCell ref="I615:J615"/>
    <mergeCell ref="C722:D722"/>
    <mergeCell ref="C723:D724"/>
    <mergeCell ref="E723:E724"/>
    <mergeCell ref="C725:C726"/>
    <mergeCell ref="D725:F725"/>
    <mergeCell ref="F361:H361"/>
    <mergeCell ref="D726:F726"/>
    <mergeCell ref="D727:F727"/>
    <mergeCell ref="D670:F670"/>
    <mergeCell ref="I672:J672"/>
    <mergeCell ref="C665:D665"/>
    <mergeCell ref="C666:D667"/>
    <mergeCell ref="E666:E667"/>
    <mergeCell ref="C668:C669"/>
    <mergeCell ref="D668:F668"/>
    <mergeCell ref="D669:F669"/>
    <mergeCell ref="F703:H703"/>
    <mergeCell ref="C700:D700"/>
    <mergeCell ref="I652:J652"/>
    <mergeCell ref="C88:E88"/>
    <mergeCell ref="I75:J75"/>
    <mergeCell ref="I76:J76"/>
    <mergeCell ref="E267:E268"/>
    <mergeCell ref="C269:C270"/>
    <mergeCell ref="D269:F269"/>
    <mergeCell ref="D270:F270"/>
    <mergeCell ref="D271:F271"/>
    <mergeCell ref="I273:J273"/>
    <mergeCell ref="C380:D380"/>
    <mergeCell ref="C381:D382"/>
    <mergeCell ref="E381:E382"/>
    <mergeCell ref="C383:C384"/>
    <mergeCell ref="D383:F383"/>
    <mergeCell ref="D384:F384"/>
    <mergeCell ref="D385:F385"/>
    <mergeCell ref="C246:D246"/>
    <mergeCell ref="J232:J233"/>
    <mergeCell ref="C267:D268"/>
    <mergeCell ref="C152:D152"/>
    <mergeCell ref="C153:D154"/>
    <mergeCell ref="E153:E154"/>
    <mergeCell ref="C155:C156"/>
    <mergeCell ref="D155:F155"/>
    <mergeCell ref="D156:F156"/>
    <mergeCell ref="D157:F157"/>
    <mergeCell ref="I159:J159"/>
    <mergeCell ref="D328:F328"/>
    <mergeCell ref="I330:J330"/>
    <mergeCell ref="F191:H191"/>
    <mergeCell ref="F174:H175"/>
    <mergeCell ref="C247:D247"/>
    <mergeCell ref="D212:F212"/>
    <mergeCell ref="D213:F213"/>
    <mergeCell ref="D327:F327"/>
    <mergeCell ref="C202:E202"/>
    <mergeCell ref="F200:J200"/>
    <mergeCell ref="C244:D244"/>
    <mergeCell ref="I323:J323"/>
    <mergeCell ref="G256:H256"/>
    <mergeCell ref="F193:H193"/>
    <mergeCell ref="F305:H305"/>
    <mergeCell ref="C38:D38"/>
    <mergeCell ref="C39:D40"/>
    <mergeCell ref="E39:E40"/>
    <mergeCell ref="C41:C42"/>
    <mergeCell ref="D41:F41"/>
    <mergeCell ref="D42:F42"/>
    <mergeCell ref="D43:F43"/>
    <mergeCell ref="I45:J45"/>
    <mergeCell ref="C95:D95"/>
    <mergeCell ref="C96:D97"/>
    <mergeCell ref="E96:E97"/>
    <mergeCell ref="C98:C99"/>
    <mergeCell ref="D98:F98"/>
    <mergeCell ref="D99:F99"/>
    <mergeCell ref="D100:F100"/>
    <mergeCell ref="I102:J102"/>
    <mergeCell ref="F149:J149"/>
    <mergeCell ref="F77:H77"/>
    <mergeCell ref="F134:H134"/>
    <mergeCell ref="C89:E89"/>
    <mergeCell ref="C79:D79"/>
    <mergeCell ref="C73:D73"/>
    <mergeCell ref="I80:J80"/>
    <mergeCell ref="C90:E90"/>
    <mergeCell ref="C91:E91"/>
    <mergeCell ref="A129:J129"/>
    <mergeCell ref="A117:A118"/>
    <mergeCell ref="F140:J140"/>
    <mergeCell ref="F145:J145"/>
    <mergeCell ref="F133:H133"/>
    <mergeCell ref="F62:H63"/>
    <mergeCell ref="J118:J119"/>
    <mergeCell ref="D555:F555"/>
    <mergeCell ref="D556:F556"/>
    <mergeCell ref="I558:J558"/>
    <mergeCell ref="I387:J387"/>
    <mergeCell ref="C437:D437"/>
    <mergeCell ref="C438:D439"/>
    <mergeCell ref="E438:E439"/>
    <mergeCell ref="C440:C441"/>
    <mergeCell ref="D440:F440"/>
    <mergeCell ref="D441:F441"/>
    <mergeCell ref="D442:F442"/>
    <mergeCell ref="I444:J444"/>
    <mergeCell ref="C494:D494"/>
    <mergeCell ref="C495:D496"/>
    <mergeCell ref="E495:E496"/>
    <mergeCell ref="C497:C498"/>
    <mergeCell ref="D497:F497"/>
    <mergeCell ref="D498:F498"/>
    <mergeCell ref="D499:F499"/>
    <mergeCell ref="I501:J501"/>
    <mergeCell ref="C547:E547"/>
    <mergeCell ref="I479:J479"/>
    <mergeCell ref="D402:D403"/>
    <mergeCell ref="G547:H547"/>
    <mergeCell ref="F489:J489"/>
    <mergeCell ref="F18:H18"/>
    <mergeCell ref="A257:B257"/>
    <mergeCell ref="G297:G298"/>
    <mergeCell ref="C321:E321"/>
    <mergeCell ref="C191:D191"/>
    <mergeCell ref="A549:B549"/>
    <mergeCell ref="F474:H474"/>
    <mergeCell ref="I536:J536"/>
    <mergeCell ref="F60:H61"/>
    <mergeCell ref="C492:E492"/>
    <mergeCell ref="C606:E606"/>
    <mergeCell ref="C311:D311"/>
    <mergeCell ref="C26:D26"/>
    <mergeCell ref="I20:J20"/>
    <mergeCell ref="C60:C61"/>
    <mergeCell ref="G25:H25"/>
    <mergeCell ref="I420:J420"/>
    <mergeCell ref="F22:H22"/>
    <mergeCell ref="C18:D18"/>
    <mergeCell ref="I25:J25"/>
    <mergeCell ref="F432:J432"/>
    <mergeCell ref="F311:J311"/>
    <mergeCell ref="G139:H139"/>
    <mergeCell ref="B64:B65"/>
    <mergeCell ref="A582:C583"/>
    <mergeCell ref="C34:E34"/>
    <mergeCell ref="A262:B262"/>
    <mergeCell ref="G490:H490"/>
    <mergeCell ref="I248:J248"/>
    <mergeCell ref="B406:B407"/>
    <mergeCell ref="C427:E427"/>
    <mergeCell ref="C551:D551"/>
    <mergeCell ref="A34:B34"/>
    <mergeCell ref="A36:B36"/>
    <mergeCell ref="F428:J428"/>
    <mergeCell ref="C630:C631"/>
    <mergeCell ref="A655:B655"/>
    <mergeCell ref="A753:C754"/>
    <mergeCell ref="A657:B657"/>
    <mergeCell ref="C415:D415"/>
    <mergeCell ref="C258:E258"/>
    <mergeCell ref="F417:H417"/>
    <mergeCell ref="C714:E714"/>
    <mergeCell ref="G201:H201"/>
    <mergeCell ref="J403:J404"/>
    <mergeCell ref="C260:E260"/>
    <mergeCell ref="F419:H419"/>
    <mergeCell ref="C716:E716"/>
    <mergeCell ref="G203:H203"/>
    <mergeCell ref="C259:E259"/>
    <mergeCell ref="G659:H659"/>
    <mergeCell ref="C261:E261"/>
    <mergeCell ref="B742:D743"/>
    <mergeCell ref="I207:J207"/>
    <mergeCell ref="A370:B370"/>
    <mergeCell ref="C209:D209"/>
    <mergeCell ref="C210:D211"/>
    <mergeCell ref="E210:E211"/>
    <mergeCell ref="C212:C213"/>
    <mergeCell ref="H295:J296"/>
    <mergeCell ref="F136:H136"/>
    <mergeCell ref="B459:B460"/>
    <mergeCell ref="A205:B205"/>
    <mergeCell ref="B461:B462"/>
    <mergeCell ref="F37:J37"/>
    <mergeCell ref="I647:J647"/>
    <mergeCell ref="A721:B721"/>
    <mergeCell ref="A258:B258"/>
    <mergeCell ref="I649:J649"/>
    <mergeCell ref="F197:J197"/>
    <mergeCell ref="H411:H412"/>
    <mergeCell ref="E347:E348"/>
    <mergeCell ref="I192:J192"/>
    <mergeCell ref="A696:C697"/>
    <mergeCell ref="A260:B260"/>
    <mergeCell ref="B630:B631"/>
    <mergeCell ref="C201:E201"/>
    <mergeCell ref="C482:D482"/>
    <mergeCell ref="B632:B633"/>
    <mergeCell ref="C203:E203"/>
    <mergeCell ref="G146:H146"/>
    <mergeCell ref="G602:H602"/>
    <mergeCell ref="A434:B434"/>
    <mergeCell ref="C661:E661"/>
    <mergeCell ref="C133:D133"/>
    <mergeCell ref="C433:E433"/>
    <mergeCell ref="A528:J528"/>
    <mergeCell ref="I600:J600"/>
    <mergeCell ref="F532:H532"/>
    <mergeCell ref="B685:D686"/>
    <mergeCell ref="I525:J526"/>
    <mergeCell ref="C368:D368"/>
    <mergeCell ref="C552:D553"/>
    <mergeCell ref="E552:E553"/>
    <mergeCell ref="C554:C555"/>
    <mergeCell ref="D554:F554"/>
    <mergeCell ref="A834:B834"/>
    <mergeCell ref="I244:J244"/>
    <mergeCell ref="C592:D592"/>
    <mergeCell ref="A371:B371"/>
    <mergeCell ref="J745:J746"/>
    <mergeCell ref="C769:E769"/>
    <mergeCell ref="A827:B827"/>
    <mergeCell ref="I762:J762"/>
    <mergeCell ref="F206:J206"/>
    <mergeCell ref="B233:B234"/>
    <mergeCell ref="C77:D77"/>
    <mergeCell ref="A829:B829"/>
    <mergeCell ref="B347:B348"/>
    <mergeCell ref="F79:H79"/>
    <mergeCell ref="F632:H633"/>
    <mergeCell ref="B235:B236"/>
    <mergeCell ref="A573:A574"/>
    <mergeCell ref="A770:B770"/>
    <mergeCell ref="F817:H817"/>
    <mergeCell ref="G655:H655"/>
    <mergeCell ref="I720:J720"/>
    <mergeCell ref="E687:E688"/>
    <mergeCell ref="C257:E257"/>
    <mergeCell ref="G657:H657"/>
    <mergeCell ref="B286:D287"/>
    <mergeCell ref="C371:E371"/>
    <mergeCell ref="I592:J592"/>
    <mergeCell ref="I142:J142"/>
    <mergeCell ref="G378:H378"/>
    <mergeCell ref="C490:E490"/>
    <mergeCell ref="G433:H433"/>
    <mergeCell ref="I191:J191"/>
    <mergeCell ref="A744:A745"/>
    <mergeCell ref="G712:H712"/>
    <mergeCell ref="F322:J322"/>
    <mergeCell ref="B3:B4"/>
    <mergeCell ref="C539:D539"/>
    <mergeCell ref="F461:H462"/>
    <mergeCell ref="F577:G577"/>
    <mergeCell ref="H69:H70"/>
    <mergeCell ref="A376:B376"/>
    <mergeCell ref="B58:D59"/>
    <mergeCell ref="A235:A236"/>
    <mergeCell ref="E60:E61"/>
    <mergeCell ref="C36:E36"/>
    <mergeCell ref="A545:B545"/>
    <mergeCell ref="C25:E25"/>
    <mergeCell ref="F493:J493"/>
    <mergeCell ref="D3:D4"/>
    <mergeCell ref="A145:B145"/>
    <mergeCell ref="A139:B139"/>
    <mergeCell ref="C425:D425"/>
    <mergeCell ref="B575:B576"/>
    <mergeCell ref="I361:J361"/>
    <mergeCell ref="C370:E370"/>
    <mergeCell ref="G199:H199"/>
    <mergeCell ref="A547:B547"/>
    <mergeCell ref="A406:A407"/>
    <mergeCell ref="A321:B321"/>
    <mergeCell ref="H126:H127"/>
    <mergeCell ref="G12:G13"/>
    <mergeCell ref="F248:H248"/>
    <mergeCell ref="C205:E205"/>
    <mergeCell ref="C92:E92"/>
    <mergeCell ref="A32:B32"/>
    <mergeCell ref="C367:E367"/>
    <mergeCell ref="A601:B601"/>
    <mergeCell ref="C823:E823"/>
    <mergeCell ref="C824:D824"/>
    <mergeCell ref="F520:G520"/>
    <mergeCell ref="C817:D817"/>
    <mergeCell ref="C93:E93"/>
    <mergeCell ref="I826:J826"/>
    <mergeCell ref="G36:H36"/>
    <mergeCell ref="A777:B777"/>
    <mergeCell ref="C535:D535"/>
    <mergeCell ref="A575:A576"/>
    <mergeCell ref="J688:J689"/>
    <mergeCell ref="C82:E82"/>
    <mergeCell ref="C538:E538"/>
    <mergeCell ref="A772:B772"/>
    <mergeCell ref="C532:D532"/>
    <mergeCell ref="I247:J247"/>
    <mergeCell ref="A347:A348"/>
    <mergeCell ref="D60:D61"/>
    <mergeCell ref="A142:B142"/>
    <mergeCell ref="I422:J422"/>
    <mergeCell ref="F717:J717"/>
    <mergeCell ref="A367:B367"/>
    <mergeCell ref="I424:J424"/>
    <mergeCell ref="F719:J719"/>
    <mergeCell ref="A82:B82"/>
    <mergeCell ref="C146:E146"/>
    <mergeCell ref="I139:J139"/>
    <mergeCell ref="F645:H645"/>
    <mergeCell ref="F88:J88"/>
    <mergeCell ref="C149:E149"/>
    <mergeCell ref="A424:B424"/>
    <mergeCell ref="F647:H647"/>
    <mergeCell ref="A538:B538"/>
    <mergeCell ref="C190:D190"/>
    <mergeCell ref="F349:G349"/>
    <mergeCell ref="F347:H348"/>
    <mergeCell ref="F649:H649"/>
    <mergeCell ref="C304:D304"/>
    <mergeCell ref="F192:H192"/>
    <mergeCell ref="I232:I233"/>
    <mergeCell ref="F371:J371"/>
    <mergeCell ref="I199:J199"/>
    <mergeCell ref="F194:H194"/>
    <mergeCell ref="I549:J549"/>
    <mergeCell ref="F487:J487"/>
    <mergeCell ref="C373:E373"/>
    <mergeCell ref="B577:B578"/>
    <mergeCell ref="F362:H362"/>
    <mergeCell ref="C643:D643"/>
    <mergeCell ref="I378:J378"/>
    <mergeCell ref="G376:H376"/>
    <mergeCell ref="C435:E435"/>
    <mergeCell ref="A543:B543"/>
    <mergeCell ref="F257:J257"/>
    <mergeCell ref="C364:D364"/>
    <mergeCell ref="D214:F214"/>
    <mergeCell ref="I216:J216"/>
    <mergeCell ref="C266:D266"/>
    <mergeCell ref="I468:J469"/>
    <mergeCell ref="C151:E151"/>
    <mergeCell ref="H352:J353"/>
    <mergeCell ref="A832:B832"/>
    <mergeCell ref="C590:D590"/>
    <mergeCell ref="C778:E778"/>
    <mergeCell ref="I365:J365"/>
    <mergeCell ref="F592:H592"/>
    <mergeCell ref="A661:B661"/>
    <mergeCell ref="F601:J601"/>
    <mergeCell ref="H694:J695"/>
    <mergeCell ref="G604:H604"/>
    <mergeCell ref="H580:J581"/>
    <mergeCell ref="F702:H702"/>
    <mergeCell ref="A595:B595"/>
    <mergeCell ref="C659:E659"/>
    <mergeCell ref="A748:A749"/>
    <mergeCell ref="G834:H834"/>
    <mergeCell ref="F770:J770"/>
    <mergeCell ref="I137:J137"/>
    <mergeCell ref="E459:E460"/>
    <mergeCell ref="G435:H435"/>
    <mergeCell ref="A357:J357"/>
    <mergeCell ref="C475:D475"/>
    <mergeCell ref="F546:J546"/>
    <mergeCell ref="A300:J300"/>
    <mergeCell ref="G310:H310"/>
    <mergeCell ref="I190:J190"/>
    <mergeCell ref="F491:J491"/>
    <mergeCell ref="F360:H360"/>
    <mergeCell ref="C591:D591"/>
    <mergeCell ref="C536:D536"/>
    <mergeCell ref="A315:B315"/>
    <mergeCell ref="C379:E379"/>
    <mergeCell ref="I541:J541"/>
    <mergeCell ref="A30:B30"/>
    <mergeCell ref="C94:E94"/>
    <mergeCell ref="C428:E428"/>
    <mergeCell ref="A718:B718"/>
    <mergeCell ref="A516:A517"/>
    <mergeCell ref="G150:H150"/>
    <mergeCell ref="F807:G807"/>
    <mergeCell ref="G830:H830"/>
    <mergeCell ref="C432:E432"/>
    <mergeCell ref="A603:B603"/>
    <mergeCell ref="G832:H832"/>
    <mergeCell ref="C546:E546"/>
    <mergeCell ref="I133:J133"/>
    <mergeCell ref="F314:J314"/>
    <mergeCell ref="C402:C403"/>
    <mergeCell ref="F436:J436"/>
    <mergeCell ref="I598:J598"/>
    <mergeCell ref="E290:E291"/>
    <mergeCell ref="I135:J135"/>
    <mergeCell ref="I591:J591"/>
    <mergeCell ref="F705:H705"/>
    <mergeCell ref="C660:E660"/>
    <mergeCell ref="G354:G355"/>
    <mergeCell ref="I435:J435"/>
    <mergeCell ref="E233:E234"/>
    <mergeCell ref="E461:E462"/>
    <mergeCell ref="I608:J608"/>
    <mergeCell ref="C145:E145"/>
    <mergeCell ref="A322:B322"/>
    <mergeCell ref="G545:H545"/>
    <mergeCell ref="G481:H481"/>
    <mergeCell ref="A349:A350"/>
    <mergeCell ref="E3:E4"/>
    <mergeCell ref="F151:J151"/>
    <mergeCell ref="F301:H301"/>
    <mergeCell ref="F750:G750"/>
    <mergeCell ref="E5:E6"/>
    <mergeCell ref="G67:G68"/>
    <mergeCell ref="G69:G70"/>
    <mergeCell ref="F596:J596"/>
    <mergeCell ref="C767:D767"/>
    <mergeCell ref="G694:G695"/>
    <mergeCell ref="C314:E314"/>
    <mergeCell ref="F16:H16"/>
    <mergeCell ref="C762:D762"/>
    <mergeCell ref="B516:B517"/>
    <mergeCell ref="C307:D307"/>
    <mergeCell ref="F522:G522"/>
    <mergeCell ref="G488:H488"/>
    <mergeCell ref="F94:J94"/>
    <mergeCell ref="I264:J264"/>
    <mergeCell ref="C656:E656"/>
    <mergeCell ref="F693:G693"/>
    <mergeCell ref="C658:E658"/>
    <mergeCell ref="A318:B318"/>
    <mergeCell ref="I551:J551"/>
    <mergeCell ref="F539:J539"/>
    <mergeCell ref="I709:J709"/>
    <mergeCell ref="A28:B28"/>
    <mergeCell ref="A33:B33"/>
    <mergeCell ref="A489:B489"/>
    <mergeCell ref="I722:J722"/>
    <mergeCell ref="A35:B35"/>
    <mergeCell ref="I126:J127"/>
    <mergeCell ref="F33:J33"/>
    <mergeCell ref="C87:E87"/>
    <mergeCell ref="I136:J136"/>
    <mergeCell ref="G91:H91"/>
    <mergeCell ref="G196:H196"/>
    <mergeCell ref="C703:D703"/>
    <mergeCell ref="B457:D458"/>
    <mergeCell ref="C763:D763"/>
    <mergeCell ref="I703:J703"/>
    <mergeCell ref="I246:J246"/>
    <mergeCell ref="F123:G123"/>
    <mergeCell ref="A320:B320"/>
    <mergeCell ref="C78:D78"/>
    <mergeCell ref="A314:B314"/>
    <mergeCell ref="I411:J412"/>
    <mergeCell ref="F135:H135"/>
    <mergeCell ref="D459:D460"/>
    <mergeCell ref="I484:J484"/>
    <mergeCell ref="F664:J664"/>
    <mergeCell ref="F658:J658"/>
    <mergeCell ref="A233:A234"/>
    <mergeCell ref="C322:E322"/>
    <mergeCell ref="I374:J374"/>
    <mergeCell ref="F78:H78"/>
    <mergeCell ref="C375:E375"/>
    <mergeCell ref="C489:E489"/>
    <mergeCell ref="F630:H631"/>
    <mergeCell ref="C377:E377"/>
    <mergeCell ref="C709:E709"/>
    <mergeCell ref="I87:J87"/>
    <mergeCell ref="G582:G583"/>
    <mergeCell ref="D573:D574"/>
    <mergeCell ref="A769:B769"/>
    <mergeCell ref="F202:J202"/>
    <mergeCell ref="I175:I176"/>
    <mergeCell ref="I258:J258"/>
    <mergeCell ref="A598:B598"/>
    <mergeCell ref="A433:B433"/>
    <mergeCell ref="C142:E142"/>
    <mergeCell ref="A178:A179"/>
    <mergeCell ref="B573:B574"/>
    <mergeCell ref="I606:J606"/>
    <mergeCell ref="F176:H177"/>
    <mergeCell ref="F292:G292"/>
    <mergeCell ref="F660:J660"/>
    <mergeCell ref="A143:B143"/>
    <mergeCell ref="G126:G127"/>
    <mergeCell ref="C80:D80"/>
    <mergeCell ref="F263:J263"/>
    <mergeCell ref="F377:J377"/>
    <mergeCell ref="H409:J410"/>
    <mergeCell ref="E231:E232"/>
    <mergeCell ref="C601:E601"/>
    <mergeCell ref="C207:E207"/>
    <mergeCell ref="I547:J547"/>
    <mergeCell ref="G484:H484"/>
    <mergeCell ref="A435:B435"/>
    <mergeCell ref="I716:J716"/>
    <mergeCell ref="F364:H364"/>
    <mergeCell ref="F478:H478"/>
    <mergeCell ref="I589:J589"/>
    <mergeCell ref="C713:E713"/>
    <mergeCell ref="C705:D705"/>
    <mergeCell ref="F579:G579"/>
    <mergeCell ref="A720:B720"/>
    <mergeCell ref="C478:D478"/>
    <mergeCell ref="F66:G66"/>
    <mergeCell ref="I134:J134"/>
    <mergeCell ref="A208:B208"/>
    <mergeCell ref="A243:J243"/>
    <mergeCell ref="I437:J437"/>
    <mergeCell ref="F425:J425"/>
    <mergeCell ref="C424:E424"/>
    <mergeCell ref="I132:J132"/>
    <mergeCell ref="I588:J588"/>
    <mergeCell ref="A662:B662"/>
    <mergeCell ref="C422:D422"/>
    <mergeCell ref="G543:H543"/>
    <mergeCell ref="I301:J301"/>
    <mergeCell ref="A375:B375"/>
    <mergeCell ref="H523:J524"/>
    <mergeCell ref="F132:H132"/>
    <mergeCell ref="C76:D76"/>
    <mergeCell ref="F415:H415"/>
    <mergeCell ref="I477:J477"/>
    <mergeCell ref="A146:B146"/>
    <mergeCell ref="B402:B403"/>
    <mergeCell ref="I593:J593"/>
    <mergeCell ref="F318:J318"/>
    <mergeCell ref="C310:E310"/>
    <mergeCell ref="F208:J208"/>
    <mergeCell ref="G652:H652"/>
    <mergeCell ref="C534:D534"/>
    <mergeCell ref="G696:G697"/>
    <mergeCell ref="F83:J83"/>
    <mergeCell ref="I209:J209"/>
    <mergeCell ref="A3:A4"/>
    <mergeCell ref="I317:J317"/>
    <mergeCell ref="A5:A6"/>
    <mergeCell ref="A86:B86"/>
    <mergeCell ref="H468:H469"/>
    <mergeCell ref="A632:A633"/>
    <mergeCell ref="F459:H460"/>
    <mergeCell ref="I745:I746"/>
    <mergeCell ref="I69:J70"/>
    <mergeCell ref="I700:J700"/>
    <mergeCell ref="F534:H534"/>
    <mergeCell ref="F516:H517"/>
    <mergeCell ref="F3:H4"/>
    <mergeCell ref="I665:J665"/>
    <mergeCell ref="C37:E37"/>
    <mergeCell ref="C326:C327"/>
    <mergeCell ref="A699:J699"/>
    <mergeCell ref="A600:B600"/>
    <mergeCell ref="C358:D358"/>
    <mergeCell ref="F536:H536"/>
    <mergeCell ref="I418:J418"/>
    <mergeCell ref="F721:J721"/>
    <mergeCell ref="A290:A291"/>
    <mergeCell ref="A459:A460"/>
    <mergeCell ref="I718:J718"/>
    <mergeCell ref="I712:J712"/>
    <mergeCell ref="H637:J638"/>
    <mergeCell ref="C715:E715"/>
    <mergeCell ref="G148:H148"/>
    <mergeCell ref="I688:I689"/>
    <mergeCell ref="C323:D323"/>
    <mergeCell ref="C324:D325"/>
    <mergeCell ref="A766:B766"/>
    <mergeCell ref="C345:C346"/>
    <mergeCell ref="F713:J713"/>
    <mergeCell ref="G370:H370"/>
    <mergeCell ref="C32:E32"/>
    <mergeCell ref="F26:J26"/>
    <mergeCell ref="E176:E177"/>
    <mergeCell ref="I95:J95"/>
    <mergeCell ref="I89:J89"/>
    <mergeCell ref="F244:H244"/>
    <mergeCell ref="F646:H646"/>
    <mergeCell ref="C301:D301"/>
    <mergeCell ref="C303:D303"/>
    <mergeCell ref="A664:B664"/>
    <mergeCell ref="C707:D707"/>
    <mergeCell ref="F805:G805"/>
    <mergeCell ref="C664:E664"/>
    <mergeCell ref="I802:I803"/>
    <mergeCell ref="C420:D420"/>
    <mergeCell ref="A199:B199"/>
    <mergeCell ref="F422:H422"/>
    <mergeCell ref="I771:J771"/>
    <mergeCell ref="E324:E325"/>
    <mergeCell ref="I478:J478"/>
    <mergeCell ref="A525:C526"/>
    <mergeCell ref="I380:J380"/>
    <mergeCell ref="A639:C640"/>
    <mergeCell ref="A642:J642"/>
    <mergeCell ref="C487:E487"/>
    <mergeCell ref="F320:J320"/>
    <mergeCell ref="C761:D761"/>
    <mergeCell ref="F763:H763"/>
    <mergeCell ref="F29:J29"/>
    <mergeCell ref="I766:J766"/>
    <mergeCell ref="G523:G524"/>
    <mergeCell ref="G637:G638"/>
    <mergeCell ref="I289:I290"/>
    <mergeCell ref="I150:J150"/>
    <mergeCell ref="D326:F326"/>
    <mergeCell ref="G253:H253"/>
    <mergeCell ref="A658:B658"/>
    <mergeCell ref="F434:J434"/>
    <mergeCell ref="F246:H246"/>
    <mergeCell ref="I308:J308"/>
    <mergeCell ref="I310:J310"/>
    <mergeCell ref="F404:H405"/>
    <mergeCell ref="I590:J590"/>
    <mergeCell ref="C721:E721"/>
    <mergeCell ref="F64:G64"/>
    <mergeCell ref="I187:J187"/>
    <mergeCell ref="A261:B261"/>
    <mergeCell ref="I130:J130"/>
    <mergeCell ref="F233:H234"/>
    <mergeCell ref="J631:J632"/>
    <mergeCell ref="A402:A403"/>
    <mergeCell ref="I661:J661"/>
    <mergeCell ref="G598:H598"/>
    <mergeCell ref="I631:I632"/>
    <mergeCell ref="C712:E712"/>
    <mergeCell ref="C757:D757"/>
    <mergeCell ref="I205:J205"/>
    <mergeCell ref="C199:E199"/>
    <mergeCell ref="F358:H358"/>
    <mergeCell ref="C655:E655"/>
    <mergeCell ref="G775:H775"/>
    <mergeCell ref="I533:J533"/>
    <mergeCell ref="A607:B607"/>
    <mergeCell ref="A805:A806"/>
    <mergeCell ref="I645:J645"/>
    <mergeCell ref="I12:J13"/>
    <mergeCell ref="F178:G178"/>
    <mergeCell ref="I643:J643"/>
    <mergeCell ref="G431:H431"/>
    <mergeCell ref="I189:J189"/>
    <mergeCell ref="A432:B432"/>
    <mergeCell ref="I21:J21"/>
    <mergeCell ref="I152:J152"/>
    <mergeCell ref="I486:J486"/>
    <mergeCell ref="I757:J757"/>
    <mergeCell ref="I23:J23"/>
    <mergeCell ref="I582:J583"/>
    <mergeCell ref="C588:D588"/>
    <mergeCell ref="J61:J62"/>
    <mergeCell ref="I481:J481"/>
    <mergeCell ref="A411:C412"/>
    <mergeCell ref="C645:D645"/>
    <mergeCell ref="C602:E602"/>
    <mergeCell ref="C86:E86"/>
    <mergeCell ref="A263:B263"/>
    <mergeCell ref="A126:C127"/>
    <mergeCell ref="G580:G581"/>
    <mergeCell ref="C604:E604"/>
    <mergeCell ref="A265:B265"/>
    <mergeCell ref="B404:B405"/>
    <mergeCell ref="C248:D248"/>
    <mergeCell ref="A490:B490"/>
    <mergeCell ref="D801:D802"/>
    <mergeCell ref="A771:B771"/>
    <mergeCell ref="C766:E766"/>
    <mergeCell ref="B748:B749"/>
    <mergeCell ref="G10:G11"/>
    <mergeCell ref="F700:H700"/>
    <mergeCell ref="C831:E831"/>
    <mergeCell ref="J4:J5"/>
    <mergeCell ref="B805:B806"/>
    <mergeCell ref="C833:E833"/>
    <mergeCell ref="B229:D230"/>
    <mergeCell ref="C251:D251"/>
    <mergeCell ref="I421:J421"/>
    <mergeCell ref="C828:E828"/>
    <mergeCell ref="A468:C469"/>
    <mergeCell ref="I535:J535"/>
    <mergeCell ref="E174:E175"/>
    <mergeCell ref="G238:G239"/>
    <mergeCell ref="C256:E256"/>
    <mergeCell ref="C254:D254"/>
    <mergeCell ref="H12:H13"/>
    <mergeCell ref="H354:H355"/>
    <mergeCell ref="A203:B203"/>
    <mergeCell ref="F643:H643"/>
    <mergeCell ref="I492:J492"/>
    <mergeCell ref="C600:E600"/>
    <mergeCell ref="G429:H429"/>
    <mergeCell ref="C830:E830"/>
    <mergeCell ref="C832:E832"/>
    <mergeCell ref="C801:C802"/>
    <mergeCell ref="A484:B484"/>
    <mergeCell ref="A264:B264"/>
    <mergeCell ref="F818:H818"/>
    <mergeCell ref="F820:H820"/>
    <mergeCell ref="G372:H372"/>
    <mergeCell ref="E404:E405"/>
    <mergeCell ref="C431:E431"/>
    <mergeCell ref="F590:H590"/>
    <mergeCell ref="A481:B481"/>
    <mergeCell ref="G374:H374"/>
    <mergeCell ref="C545:E545"/>
    <mergeCell ref="C776:E776"/>
    <mergeCell ref="A689:A690"/>
    <mergeCell ref="C777:E777"/>
    <mergeCell ref="D516:D517"/>
    <mergeCell ref="F542:J542"/>
    <mergeCell ref="F588:H588"/>
    <mergeCell ref="C543:E543"/>
    <mergeCell ref="I818:J818"/>
    <mergeCell ref="G720:H720"/>
    <mergeCell ref="B803:B804"/>
    <mergeCell ref="F586:H586"/>
    <mergeCell ref="C541:E541"/>
    <mergeCell ref="E402:E403"/>
    <mergeCell ref="A709:B709"/>
    <mergeCell ref="D744:D745"/>
    <mergeCell ref="A776:B776"/>
    <mergeCell ref="H753:H754"/>
    <mergeCell ref="E689:E690"/>
    <mergeCell ref="C481:E481"/>
    <mergeCell ref="F544:J544"/>
    <mergeCell ref="C529:D529"/>
    <mergeCell ref="F746:H747"/>
    <mergeCell ref="F479:H479"/>
    <mergeCell ref="C3:C4"/>
    <mergeCell ref="F231:H232"/>
    <mergeCell ref="C820:D820"/>
    <mergeCell ref="A599:B599"/>
    <mergeCell ref="I256:J256"/>
    <mergeCell ref="F402:H403"/>
    <mergeCell ref="A174:A175"/>
    <mergeCell ref="A317:B317"/>
    <mergeCell ref="C75:D75"/>
    <mergeCell ref="F607:J607"/>
    <mergeCell ref="A773:B773"/>
    <mergeCell ref="C531:D531"/>
    <mergeCell ref="C264:E264"/>
    <mergeCell ref="A775:B775"/>
    <mergeCell ref="C533:D533"/>
    <mergeCell ref="A354:C355"/>
    <mergeCell ref="C376:E376"/>
    <mergeCell ref="F535:H535"/>
    <mergeCell ref="F20:H20"/>
    <mergeCell ref="F573:H574"/>
    <mergeCell ref="A488:B488"/>
    <mergeCell ref="F23:H23"/>
    <mergeCell ref="C20:D20"/>
    <mergeCell ref="B176:B177"/>
    <mergeCell ref="A256:B256"/>
    <mergeCell ref="B178:B179"/>
    <mergeCell ref="C22:D22"/>
    <mergeCell ref="I372:J372"/>
    <mergeCell ref="A715:B715"/>
    <mergeCell ref="A630:A631"/>
    <mergeCell ref="A186:J186"/>
    <mergeCell ref="E516:E517"/>
    <mergeCell ref="I823:J823"/>
    <mergeCell ref="I820:J820"/>
    <mergeCell ref="J802:J803"/>
    <mergeCell ref="C265:E265"/>
    <mergeCell ref="A176:A177"/>
    <mergeCell ref="B121:B122"/>
    <mergeCell ref="A207:B207"/>
    <mergeCell ref="I763:J763"/>
    <mergeCell ref="C516:C517"/>
    <mergeCell ref="A810:C811"/>
    <mergeCell ref="C150:E150"/>
    <mergeCell ref="C144:E144"/>
    <mergeCell ref="A378:B378"/>
    <mergeCell ref="B746:B747"/>
    <mergeCell ref="G87:H87"/>
    <mergeCell ref="F86:J86"/>
    <mergeCell ref="C488:E488"/>
    <mergeCell ref="G317:H317"/>
    <mergeCell ref="A149:B149"/>
    <mergeCell ref="G773:H773"/>
    <mergeCell ref="A121:A122"/>
    <mergeCell ref="C360:D360"/>
    <mergeCell ref="I253:J253"/>
    <mergeCell ref="C362:D362"/>
    <mergeCell ref="C378:E378"/>
    <mergeCell ref="C372:E372"/>
    <mergeCell ref="G183:G184"/>
    <mergeCell ref="F531:H531"/>
    <mergeCell ref="C374:E374"/>
    <mergeCell ref="F533:H533"/>
    <mergeCell ref="G142:H142"/>
    <mergeCell ref="A404:A405"/>
    <mergeCell ref="F80:H80"/>
    <mergeCell ref="C288:C289"/>
    <mergeCell ref="I364:J364"/>
    <mergeCell ref="F656:J656"/>
    <mergeCell ref="H240:H241"/>
    <mergeCell ref="I363:J363"/>
    <mergeCell ref="B345:B346"/>
    <mergeCell ref="A431:B431"/>
    <mergeCell ref="F482:J482"/>
    <mergeCell ref="F75:H75"/>
    <mergeCell ref="C197:D197"/>
    <mergeCell ref="I663:J663"/>
    <mergeCell ref="C657:E657"/>
    <mergeCell ref="G144:H144"/>
    <mergeCell ref="G600:H600"/>
    <mergeCell ref="H124:J125"/>
    <mergeCell ref="I358:J358"/>
    <mergeCell ref="F465:G465"/>
    <mergeCell ref="G319:H319"/>
    <mergeCell ref="A151:B151"/>
    <mergeCell ref="A259:B259"/>
    <mergeCell ref="A253:B253"/>
    <mergeCell ref="F476:H476"/>
    <mergeCell ref="C174:C175"/>
    <mergeCell ref="F130:H130"/>
    <mergeCell ref="G264:H264"/>
    <mergeCell ref="A87:B87"/>
    <mergeCell ref="I144:J144"/>
    <mergeCell ref="B290:B291"/>
    <mergeCell ref="C430:E430"/>
    <mergeCell ref="A89:B89"/>
    <mergeCell ref="A461:A462"/>
    <mergeCell ref="F9:G9"/>
    <mergeCell ref="A542:B542"/>
    <mergeCell ref="H238:J239"/>
    <mergeCell ref="G771:H771"/>
    <mergeCell ref="I529:J529"/>
    <mergeCell ref="J574:J575"/>
    <mergeCell ref="A656:B656"/>
    <mergeCell ref="C308:D308"/>
    <mergeCell ref="F345:H346"/>
    <mergeCell ref="A544:B544"/>
    <mergeCell ref="C773:E773"/>
    <mergeCell ref="G89:H89"/>
    <mergeCell ref="B172:D173"/>
    <mergeCell ref="I362:J362"/>
    <mergeCell ref="A436:B436"/>
    <mergeCell ref="C710:D710"/>
    <mergeCell ref="G718:H718"/>
    <mergeCell ref="I476:J476"/>
    <mergeCell ref="B628:D629"/>
    <mergeCell ref="A25:B25"/>
    <mergeCell ref="I22:J22"/>
    <mergeCell ref="A69:C70"/>
    <mergeCell ref="I38:J38"/>
    <mergeCell ref="G709:H709"/>
    <mergeCell ref="A144:B144"/>
    <mergeCell ref="C459:C460"/>
    <mergeCell ref="F21:H21"/>
    <mergeCell ref="C196:E196"/>
    <mergeCell ref="C318:E318"/>
    <mergeCell ref="C477:D477"/>
    <mergeCell ref="I517:I518"/>
    <mergeCell ref="C320:E320"/>
    <mergeCell ref="B1:D2"/>
    <mergeCell ref="G85:H85"/>
    <mergeCell ref="G541:H541"/>
    <mergeCell ref="E573:E574"/>
    <mergeCell ref="C143:E143"/>
    <mergeCell ref="F147:J147"/>
    <mergeCell ref="F5:H6"/>
    <mergeCell ref="B5:B6"/>
    <mergeCell ref="A541:B541"/>
    <mergeCell ref="F189:H189"/>
    <mergeCell ref="C476:D476"/>
    <mergeCell ref="A712:B712"/>
    <mergeCell ref="I307:J307"/>
    <mergeCell ref="H466:J467"/>
    <mergeCell ref="B288:B289"/>
    <mergeCell ref="A374:B374"/>
    <mergeCell ref="I431:J431"/>
    <mergeCell ref="D687:D688"/>
    <mergeCell ref="F375:J375"/>
    <mergeCell ref="A652:B652"/>
    <mergeCell ref="C262:E262"/>
    <mergeCell ref="G466:G467"/>
    <mergeCell ref="B117:B118"/>
    <mergeCell ref="B115:D116"/>
    <mergeCell ref="B571:D572"/>
    <mergeCell ref="B119:B120"/>
    <mergeCell ref="I148:J148"/>
    <mergeCell ref="A62:A63"/>
    <mergeCell ref="I78:J78"/>
    <mergeCell ref="G34:H34"/>
    <mergeCell ref="I602:J602"/>
    <mergeCell ref="C19:D19"/>
    <mergeCell ref="F833:J833"/>
    <mergeCell ref="F259:J259"/>
    <mergeCell ref="F706:H706"/>
    <mergeCell ref="C33:E33"/>
    <mergeCell ref="C549:E549"/>
    <mergeCell ref="F261:J261"/>
    <mergeCell ref="G492:H492"/>
    <mergeCell ref="C35:E35"/>
    <mergeCell ref="F254:J254"/>
    <mergeCell ref="F430:J430"/>
    <mergeCell ref="I714:J714"/>
    <mergeCell ref="G828:H828"/>
    <mergeCell ref="I251:J251"/>
    <mergeCell ref="I810:J811"/>
    <mergeCell ref="A659:B659"/>
    <mergeCell ref="C417:D417"/>
    <mergeCell ref="C21:D21"/>
    <mergeCell ref="F824:J824"/>
    <mergeCell ref="G486:H486"/>
    <mergeCell ref="F180:G180"/>
    <mergeCell ref="F90:J90"/>
    <mergeCell ref="C23:D23"/>
    <mergeCell ref="C652:E652"/>
    <mergeCell ref="F691:G691"/>
    <mergeCell ref="C646:D646"/>
    <mergeCell ref="D174:D175"/>
    <mergeCell ref="C648:D648"/>
    <mergeCell ref="A492:B492"/>
    <mergeCell ref="C250:D250"/>
    <mergeCell ref="F143:J143"/>
    <mergeCell ref="C706:D706"/>
    <mergeCell ref="F119:H120"/>
    <mergeCell ref="A29:B29"/>
    <mergeCell ref="I262:J262"/>
    <mergeCell ref="D231:D232"/>
    <mergeCell ref="A64:A65"/>
    <mergeCell ref="A31:B31"/>
    <mergeCell ref="G663:H663"/>
    <mergeCell ref="I315:J315"/>
    <mergeCell ref="A372:B372"/>
    <mergeCell ref="I429:J429"/>
    <mergeCell ref="C140:D140"/>
    <mergeCell ref="F603:J603"/>
    <mergeCell ref="F662:J662"/>
    <mergeCell ref="G595:H595"/>
    <mergeCell ref="A231:A232"/>
    <mergeCell ref="F589:H589"/>
    <mergeCell ref="F73:H73"/>
    <mergeCell ref="E345:E346"/>
    <mergeCell ref="G321:H321"/>
    <mergeCell ref="B634:B635"/>
    <mergeCell ref="E632:E633"/>
    <mergeCell ref="G262:H262"/>
    <mergeCell ref="C316:E316"/>
    <mergeCell ref="F204:J204"/>
    <mergeCell ref="C134:D134"/>
    <mergeCell ref="A240:C241"/>
    <mergeCell ref="F593:H593"/>
    <mergeCell ref="C192:D192"/>
    <mergeCell ref="I183:J184"/>
    <mergeCell ref="G124:G125"/>
    <mergeCell ref="C130:D130"/>
    <mergeCell ref="C136:D136"/>
    <mergeCell ref="F35:J35"/>
    <mergeCell ref="F819:H819"/>
    <mergeCell ref="I707:J707"/>
    <mergeCell ref="E575:E576"/>
    <mergeCell ref="I819:J819"/>
    <mergeCell ref="F814:H814"/>
    <mergeCell ref="C605:E605"/>
    <mergeCell ref="I657:J657"/>
    <mergeCell ref="I194:J194"/>
    <mergeCell ref="I753:J754"/>
    <mergeCell ref="C305:D305"/>
    <mergeCell ref="I650:J650"/>
    <mergeCell ref="C231:C232"/>
    <mergeCell ref="G352:G353"/>
    <mergeCell ref="A200:B200"/>
    <mergeCell ref="I433:J433"/>
    <mergeCell ref="A288:A289"/>
    <mergeCell ref="A202:B202"/>
    <mergeCell ref="G411:G412"/>
    <mergeCell ref="I403:I404"/>
    <mergeCell ref="A313:B313"/>
    <mergeCell ref="I816:J816"/>
    <mergeCell ref="C775:E775"/>
    <mergeCell ref="F421:H421"/>
    <mergeCell ref="C418:D418"/>
    <mergeCell ref="C718:E718"/>
    <mergeCell ref="G205:H205"/>
    <mergeCell ref="G606:H606"/>
    <mergeCell ref="F368:J368"/>
    <mergeCell ref="C744:C745"/>
    <mergeCell ref="I817:J817"/>
    <mergeCell ref="A428:B428"/>
    <mergeCell ref="F351:G351"/>
    <mergeCell ref="A803:A804"/>
    <mergeCell ref="B174:B175"/>
    <mergeCell ref="C194:D194"/>
    <mergeCell ref="I201:J201"/>
    <mergeCell ref="C650:D650"/>
    <mergeCell ref="C493:E493"/>
    <mergeCell ref="C485:E485"/>
    <mergeCell ref="B799:D800"/>
    <mergeCell ref="C772:E772"/>
    <mergeCell ref="F776:J776"/>
    <mergeCell ref="F650:H650"/>
    <mergeCell ref="F379:J379"/>
    <mergeCell ref="A663:B663"/>
    <mergeCell ref="F307:H307"/>
    <mergeCell ref="C421:D421"/>
    <mergeCell ref="A485:B485"/>
    <mergeCell ref="D288:D289"/>
    <mergeCell ref="J517:J518"/>
    <mergeCell ref="F235:G235"/>
    <mergeCell ref="H181:J182"/>
    <mergeCell ref="I354:J355"/>
    <mergeCell ref="I494:J494"/>
    <mergeCell ref="I313:J313"/>
    <mergeCell ref="C253:E253"/>
    <mergeCell ref="A487:B487"/>
    <mergeCell ref="C607:E607"/>
    <mergeCell ref="A714:B714"/>
    <mergeCell ref="C764:D764"/>
    <mergeCell ref="C474:D474"/>
    <mergeCell ref="C774:E774"/>
    <mergeCell ref="C317:E317"/>
    <mergeCell ref="F689:H690"/>
    <mergeCell ref="I19:J19"/>
    <mergeCell ref="B7:B8"/>
    <mergeCell ref="A93:B93"/>
    <mergeCell ref="I319:J319"/>
    <mergeCell ref="C586:D586"/>
    <mergeCell ref="F7:G7"/>
    <mergeCell ref="F767:J767"/>
    <mergeCell ref="A634:A635"/>
    <mergeCell ref="I764:J764"/>
    <mergeCell ref="F31:J31"/>
    <mergeCell ref="C593:D593"/>
    <mergeCell ref="I30:J30"/>
    <mergeCell ref="C596:D596"/>
    <mergeCell ref="F373:J373"/>
    <mergeCell ref="F634:G634"/>
    <mergeCell ref="F121:G121"/>
    <mergeCell ref="I193:J193"/>
    <mergeCell ref="I490:J490"/>
    <mergeCell ref="A345:A346"/>
    <mergeCell ref="C598:E598"/>
    <mergeCell ref="H639:H640"/>
    <mergeCell ref="A15:J15"/>
    <mergeCell ref="E630:E631"/>
    <mergeCell ref="C29:E29"/>
    <mergeCell ref="G409:G410"/>
    <mergeCell ref="F76:H76"/>
    <mergeCell ref="C31:E31"/>
    <mergeCell ref="C599:E599"/>
    <mergeCell ref="A12:C13"/>
    <mergeCell ref="F19:H19"/>
    <mergeCell ref="C491:E491"/>
    <mergeCell ref="I655:J655"/>
    <mergeCell ref="A833:B833"/>
    <mergeCell ref="G32:H32"/>
    <mergeCell ref="J289:J290"/>
    <mergeCell ref="H67:J68"/>
    <mergeCell ref="A430:B430"/>
    <mergeCell ref="A605:B605"/>
    <mergeCell ref="A486:B486"/>
    <mergeCell ref="A204:B204"/>
    <mergeCell ref="A206:B206"/>
    <mergeCell ref="I91:J91"/>
    <mergeCell ref="I85:J85"/>
    <mergeCell ref="I93:J93"/>
    <mergeCell ref="C827:E827"/>
    <mergeCell ref="E119:E120"/>
    <mergeCell ref="C829:E829"/>
    <mergeCell ref="C821:D821"/>
    <mergeCell ref="F710:J710"/>
    <mergeCell ref="E744:E745"/>
    <mergeCell ref="C249:D249"/>
    <mergeCell ref="F408:G408"/>
    <mergeCell ref="I531:J531"/>
    <mergeCell ref="C363:D363"/>
    <mergeCell ref="F251:H251"/>
    <mergeCell ref="I419:J419"/>
    <mergeCell ref="C542:E542"/>
    <mergeCell ref="C544:E544"/>
    <mergeCell ref="G427:H427"/>
    <mergeCell ref="A823:B823"/>
    <mergeCell ref="G260:H260"/>
    <mergeCell ref="E746:E747"/>
    <mergeCell ref="A91:B91"/>
    <mergeCell ref="I604:J604"/>
    <mergeCell ref="F835:J835"/>
    <mergeCell ref="C189:D189"/>
    <mergeCell ref="I659:J659"/>
    <mergeCell ref="F648:H648"/>
    <mergeCell ref="I196:J196"/>
    <mergeCell ref="A72:J72"/>
    <mergeCell ref="F247:H247"/>
    <mergeCell ref="I532:J532"/>
    <mergeCell ref="I240:J241"/>
    <mergeCell ref="F406:G406"/>
    <mergeCell ref="F249:H249"/>
    <mergeCell ref="G367:H367"/>
    <mergeCell ref="F801:H802"/>
    <mergeCell ref="C365:D365"/>
    <mergeCell ref="G823:H823"/>
    <mergeCell ref="C548:E548"/>
    <mergeCell ref="C208:E208"/>
    <mergeCell ref="F707:H707"/>
    <mergeCell ref="F803:H804"/>
    <mergeCell ref="F550:J550"/>
    <mergeCell ref="A297:C298"/>
    <mergeCell ref="F418:H418"/>
    <mergeCell ref="A746:A747"/>
    <mergeCell ref="I586:J586"/>
    <mergeCell ref="D630:D631"/>
    <mergeCell ref="C139:E139"/>
    <mergeCell ref="F420:H420"/>
    <mergeCell ref="G82:H82"/>
    <mergeCell ref="F605:J605"/>
    <mergeCell ref="G538:H538"/>
    <mergeCell ref="I146:J146"/>
    <mergeCell ref="A831:B831"/>
    <mergeCell ref="I828:J828"/>
    <mergeCell ref="C361:D361"/>
    <mergeCell ref="C204:E204"/>
    <mergeCell ref="F363:H363"/>
    <mergeCell ref="F92:J92"/>
    <mergeCell ref="C206:E206"/>
    <mergeCell ref="I370:J370"/>
    <mergeCell ref="F365:H365"/>
    <mergeCell ref="C662:E662"/>
    <mergeCell ref="A813:J813"/>
    <mergeCell ref="A119:A120"/>
    <mergeCell ref="C816:D816"/>
    <mergeCell ref="F316:J316"/>
    <mergeCell ref="G808:G809"/>
    <mergeCell ref="I118:I119"/>
    <mergeCell ref="I321:J321"/>
    <mergeCell ref="I574:I575"/>
    <mergeCell ref="G751:G752"/>
    <mergeCell ref="I821:J821"/>
    <mergeCell ref="G661:H661"/>
    <mergeCell ref="E117:E118"/>
    <mergeCell ref="F265:J265"/>
    <mergeCell ref="I304:J304"/>
    <mergeCell ref="B292:B293"/>
    <mergeCell ref="F599:J599"/>
    <mergeCell ref="C687:C688"/>
    <mergeCell ref="I427:J427"/>
    <mergeCell ref="I306:J306"/>
    <mergeCell ref="E288:E289"/>
    <mergeCell ref="C429:E429"/>
    <mergeCell ref="G258:H258"/>
    <mergeCell ref="I488:J488"/>
    <mergeCell ref="A835:B835"/>
    <mergeCell ref="F485:J485"/>
    <mergeCell ref="I36:J36"/>
    <mergeCell ref="A518:A519"/>
    <mergeCell ref="I777:J777"/>
    <mergeCell ref="C771:E771"/>
    <mergeCell ref="A92:B92"/>
    <mergeCell ref="G714:H714"/>
    <mergeCell ref="I472:J472"/>
    <mergeCell ref="F653:J653"/>
    <mergeCell ref="A546:B546"/>
    <mergeCell ref="C589:D589"/>
    <mergeCell ref="A316:B316"/>
    <mergeCell ref="C436:E436"/>
    <mergeCell ref="F744:H745"/>
    <mergeCell ref="H525:H526"/>
    <mergeCell ref="A687:A688"/>
    <mergeCell ref="I346:I347"/>
    <mergeCell ref="I460:I461"/>
    <mergeCell ref="C759:D759"/>
    <mergeCell ref="J460:J461"/>
    <mergeCell ref="H696:H697"/>
    <mergeCell ref="C649:D649"/>
    <mergeCell ref="F757:H757"/>
    <mergeCell ref="E518:E519"/>
    <mergeCell ref="B744:B745"/>
    <mergeCell ref="C315:E315"/>
    <mergeCell ref="G753:G754"/>
    <mergeCell ref="I266:J266"/>
    <mergeCell ref="I260:J260"/>
    <mergeCell ref="C187:D187"/>
    <mergeCell ref="E62:E63"/>
    <mergeCell ref="F816:H816"/>
    <mergeCell ref="G207:H207"/>
    <mergeCell ref="G295:G296"/>
    <mergeCell ref="C319:E319"/>
    <mergeCell ref="A550:B550"/>
    <mergeCell ref="C132:D132"/>
    <mergeCell ref="C770:E770"/>
    <mergeCell ref="C313:E313"/>
    <mergeCell ref="F472:H472"/>
    <mergeCell ref="F764:H764"/>
    <mergeCell ref="A577:A578"/>
    <mergeCell ref="B514:D515"/>
    <mergeCell ref="A774:B774"/>
    <mergeCell ref="C419:D419"/>
    <mergeCell ref="A319:B319"/>
    <mergeCell ref="B689:B690"/>
    <mergeCell ref="C717:E717"/>
    <mergeCell ref="B691:B692"/>
    <mergeCell ref="C719:E719"/>
    <mergeCell ref="A310:B310"/>
    <mergeCell ref="F477:H477"/>
    <mergeCell ref="A585:J585"/>
    <mergeCell ref="F187:H187"/>
    <mergeCell ref="I249:J249"/>
    <mergeCell ref="J175:J176"/>
    <mergeCell ref="B520:B521"/>
    <mergeCell ref="B463:B464"/>
    <mergeCell ref="I376:J376"/>
    <mergeCell ref="A719:B719"/>
    <mergeCell ref="F137:H137"/>
    <mergeCell ref="C653:D653"/>
    <mergeCell ref="I761:J761"/>
    <mergeCell ref="H10:J11"/>
    <mergeCell ref="I32:J32"/>
    <mergeCell ref="I305:J305"/>
    <mergeCell ref="A37:B37"/>
    <mergeCell ref="C137:D137"/>
    <mergeCell ref="A379:B379"/>
    <mergeCell ref="F636:G636"/>
    <mergeCell ref="I759:J759"/>
    <mergeCell ref="A493:B493"/>
    <mergeCell ref="F575:H576"/>
    <mergeCell ref="H183:H184"/>
    <mergeCell ref="B343:D344"/>
    <mergeCell ref="A520:A521"/>
    <mergeCell ref="A90:B90"/>
    <mergeCell ref="I18:J18"/>
    <mergeCell ref="A85:B85"/>
    <mergeCell ref="I77:J77"/>
    <mergeCell ref="I61:I62"/>
    <mergeCell ref="C16:D16"/>
    <mergeCell ref="F548:J548"/>
    <mergeCell ref="F475:H475"/>
    <mergeCell ref="C472:D472"/>
    <mergeCell ref="I250:J250"/>
    <mergeCell ref="I706:J706"/>
    <mergeCell ref="C85:E85"/>
    <mergeCell ref="C83:D83"/>
    <mergeCell ref="I696:J697"/>
    <mergeCell ref="F117:H118"/>
    <mergeCell ref="I595:J595"/>
    <mergeCell ref="I34:J34"/>
    <mergeCell ref="I28:J28"/>
    <mergeCell ref="C720:E720"/>
    <mergeCell ref="I367:J367"/>
    <mergeCell ref="A463:A464"/>
    <mergeCell ref="A606:B606"/>
    <mergeCell ref="A373:B373"/>
    <mergeCell ref="G549:H549"/>
    <mergeCell ref="C263:E263"/>
    <mergeCell ref="I475:J475"/>
    <mergeCell ref="A716:B716"/>
    <mergeCell ref="A150:B150"/>
    <mergeCell ref="C550:E550"/>
    <mergeCell ref="G240:G241"/>
    <mergeCell ref="I297:J298"/>
    <mergeCell ref="F463:G463"/>
    <mergeCell ref="F290:H291"/>
    <mergeCell ref="C306:D306"/>
    <mergeCell ref="F308:H308"/>
    <mergeCell ref="A713:B713"/>
    <mergeCell ref="I648:J648"/>
    <mergeCell ref="C479:D479"/>
    <mergeCell ref="A429:B429"/>
    <mergeCell ref="D345:D346"/>
    <mergeCell ref="G468:G469"/>
    <mergeCell ref="I415:J415"/>
    <mergeCell ref="I646:J646"/>
    <mergeCell ref="A471:J471"/>
    <mergeCell ref="I203:J203"/>
    <mergeCell ref="F190:H190"/>
    <mergeCell ref="A660:B660"/>
    <mergeCell ref="C200:E200"/>
    <mergeCell ref="A491:B491"/>
    <mergeCell ref="F237:G237"/>
    <mergeCell ref="C434:E434"/>
    <mergeCell ref="I836:J836"/>
    <mergeCell ref="J346:J347"/>
    <mergeCell ref="H808:J809"/>
    <mergeCell ref="I830:J830"/>
    <mergeCell ref="I832:J832"/>
    <mergeCell ref="C28:E28"/>
    <mergeCell ref="I534:J534"/>
    <mergeCell ref="C484:E484"/>
    <mergeCell ref="G313:H313"/>
    <mergeCell ref="C30:E30"/>
    <mergeCell ref="I834:J834"/>
    <mergeCell ref="I79:J79"/>
    <mergeCell ref="C486:E486"/>
    <mergeCell ref="G315:H315"/>
    <mergeCell ref="I73:J73"/>
    <mergeCell ref="A147:B147"/>
    <mergeCell ref="I702:J702"/>
    <mergeCell ref="A691:A692"/>
    <mergeCell ref="B62:B63"/>
    <mergeCell ref="A148:B148"/>
    <mergeCell ref="F518:H519"/>
    <mergeCell ref="I704:J704"/>
    <mergeCell ref="A292:A293"/>
    <mergeCell ref="B687:B688"/>
    <mergeCell ref="G28:H28"/>
    <mergeCell ref="G30:H30"/>
    <mergeCell ref="H582:H583"/>
    <mergeCell ref="I303:J303"/>
    <mergeCell ref="A377:B377"/>
    <mergeCell ref="C135:D135"/>
    <mergeCell ref="F294:G294"/>
    <mergeCell ref="I417:J417"/>
    <mergeCell ref="I814:J814"/>
    <mergeCell ref="I639:J640"/>
    <mergeCell ref="D117:D118"/>
    <mergeCell ref="I545:J545"/>
    <mergeCell ref="I82:J82"/>
    <mergeCell ref="I538:J538"/>
    <mergeCell ref="C647:D647"/>
    <mergeCell ref="F304:H304"/>
    <mergeCell ref="G525:G526"/>
    <mergeCell ref="G639:G640"/>
    <mergeCell ref="C663:E663"/>
    <mergeCell ref="C147:E147"/>
    <mergeCell ref="F306:H306"/>
    <mergeCell ref="F760:H760"/>
    <mergeCell ref="C603:E603"/>
    <mergeCell ref="F762:H762"/>
    <mergeCell ref="B518:B519"/>
    <mergeCell ref="G181:G182"/>
    <mergeCell ref="F529:H529"/>
    <mergeCell ref="I705:J705"/>
    <mergeCell ref="B400:D401"/>
    <mergeCell ref="I779:J779"/>
    <mergeCell ref="I360:J360"/>
    <mergeCell ref="A94:B94"/>
    <mergeCell ref="F288:H289"/>
    <mergeCell ref="G716:H716"/>
    <mergeCell ref="I474:J474"/>
    <mergeCell ref="A548:B548"/>
    <mergeCell ref="A427:B427"/>
    <mergeCell ref="A717:B717"/>
    <mergeCell ref="B349:B350"/>
    <mergeCell ref="C193:D193"/>
    <mergeCell ref="C826:E826"/>
    <mergeCell ref="F591:H591"/>
    <mergeCell ref="G769:H769"/>
    <mergeCell ref="B231:B232"/>
    <mergeCell ref="F687:H688"/>
    <mergeCell ref="H297:H298"/>
    <mergeCell ref="H751:J752"/>
    <mergeCell ref="F831:J831"/>
    <mergeCell ref="A602:B602"/>
    <mergeCell ref="C702:D702"/>
    <mergeCell ref="A604:B604"/>
    <mergeCell ref="C704:D704"/>
    <mergeCell ref="F250:H250"/>
    <mergeCell ref="A183:C184"/>
    <mergeCell ref="I4:I5"/>
    <mergeCell ref="C595:E595"/>
    <mergeCell ref="G424:H424"/>
    <mergeCell ref="G826:H826"/>
    <mergeCell ref="A201:B201"/>
    <mergeCell ref="A414:J414"/>
    <mergeCell ref="A60:A61"/>
    <mergeCell ref="C148:E148"/>
    <mergeCell ref="F303:H303"/>
    <mergeCell ref="A196:B196"/>
    <mergeCell ref="F759:H759"/>
    <mergeCell ref="C117:C118"/>
    <mergeCell ref="G93:H93"/>
    <mergeCell ref="F761:H761"/>
    <mergeCell ref="B60:B61"/>
    <mergeCell ref="A7:A8"/>
    <mergeCell ref="A88:B88"/>
    <mergeCell ref="I16:J16"/>
  </mergeCells>
  <phoneticPr fontId="2"/>
  <conditionalFormatting sqref="A102:B112 C103:E112 D102:E102">
    <cfRule type="cellIs" dxfId="30" priority="56" operator="between">
      <formula>0</formula>
      <formula>0</formula>
    </cfRule>
  </conditionalFormatting>
  <conditionalFormatting sqref="A159:B169 C160:E169 D159:E159">
    <cfRule type="cellIs" dxfId="29" priority="60" operator="between">
      <formula>0</formula>
      <formula>0</formula>
    </cfRule>
  </conditionalFormatting>
  <conditionalFormatting sqref="A216:B226 C217:E226 D216:E216">
    <cfRule type="cellIs" dxfId="28" priority="54" operator="between">
      <formula>0</formula>
      <formula>0</formula>
    </cfRule>
  </conditionalFormatting>
  <conditionalFormatting sqref="A273:B283 C274:E283 D273:E273">
    <cfRule type="cellIs" dxfId="27" priority="52" operator="between">
      <formula>0</formula>
      <formula>0</formula>
    </cfRule>
  </conditionalFormatting>
  <conditionalFormatting sqref="A330:B340 C331:E340 D330:E330">
    <cfRule type="cellIs" dxfId="26" priority="10" operator="between">
      <formula>0</formula>
      <formula>0</formula>
    </cfRule>
  </conditionalFormatting>
  <conditionalFormatting sqref="A387:B397 C388:E397 D387:E387">
    <cfRule type="cellIs" dxfId="25" priority="16" operator="between">
      <formula>0</formula>
      <formula>0</formula>
    </cfRule>
  </conditionalFormatting>
  <conditionalFormatting sqref="A444:B454 C445:E454 D444:E444">
    <cfRule type="cellIs" dxfId="24" priority="24" operator="between">
      <formula>0</formula>
      <formula>0</formula>
    </cfRule>
  </conditionalFormatting>
  <conditionalFormatting sqref="A501:B511 C502:E511 D501:E501">
    <cfRule type="cellIs" dxfId="23" priority="22" operator="between">
      <formula>0</formula>
      <formula>0</formula>
    </cfRule>
  </conditionalFormatting>
  <conditionalFormatting sqref="A558:B568 C559:E568 D558:E558">
    <cfRule type="cellIs" dxfId="22" priority="8" operator="between">
      <formula>0</formula>
      <formula>0</formula>
    </cfRule>
  </conditionalFormatting>
  <conditionalFormatting sqref="A615:B625 C616:E625 D615:E615">
    <cfRule type="cellIs" dxfId="21" priority="14" operator="between">
      <formula>0</formula>
      <formula>0</formula>
    </cfRule>
  </conditionalFormatting>
  <conditionalFormatting sqref="A672:B682 C673:E682 D672:E672">
    <cfRule type="cellIs" dxfId="20" priority="12" operator="between">
      <formula>0</formula>
      <formula>0</formula>
    </cfRule>
  </conditionalFormatting>
  <conditionalFormatting sqref="A729:B739 C730:E739 D729:E729">
    <cfRule type="cellIs" dxfId="19" priority="20" operator="between">
      <formula>0</formula>
      <formula>0</formula>
    </cfRule>
  </conditionalFormatting>
  <conditionalFormatting sqref="A786:B796 C787:E796 D786:E786">
    <cfRule type="cellIs" dxfId="18" priority="18" operator="between">
      <formula>0</formula>
      <formula>0</formula>
    </cfRule>
  </conditionalFormatting>
  <conditionalFormatting sqref="A843:B853 C844:E853 D843:E843">
    <cfRule type="cellIs" dxfId="17" priority="50" operator="between">
      <formula>0</formula>
      <formula>0</formula>
    </cfRule>
  </conditionalFormatting>
  <conditionalFormatting sqref="A112:H112">
    <cfRule type="expression" dxfId="15" priority="55">
      <formula>ISNUMBER(SEARCH("灯具",$F60))</formula>
    </cfRule>
  </conditionalFormatting>
  <conditionalFormatting sqref="A169:H169">
    <cfRule type="expression" dxfId="14" priority="59">
      <formula>ISNUMBER(SEARCH("灯具",$F117))</formula>
    </cfRule>
  </conditionalFormatting>
  <conditionalFormatting sqref="A226:H226">
    <cfRule type="expression" dxfId="13" priority="53">
      <formula>ISNUMBER(SEARCH("灯具",$F174))</formula>
    </cfRule>
  </conditionalFormatting>
  <conditionalFormatting sqref="A283:H283">
    <cfRule type="expression" dxfId="12" priority="51">
      <formula>ISNUMBER(SEARCH("灯具",$F231))</formula>
    </cfRule>
  </conditionalFormatting>
  <conditionalFormatting sqref="A340:H340">
    <cfRule type="expression" dxfId="11" priority="9">
      <formula>ISNUMBER(SEARCH("灯具",$F288))</formula>
    </cfRule>
  </conditionalFormatting>
  <conditionalFormatting sqref="A397:H397">
    <cfRule type="expression" dxfId="10" priority="15">
      <formula>ISNUMBER(SEARCH("灯具",$F345))</formula>
    </cfRule>
  </conditionalFormatting>
  <conditionalFormatting sqref="A454:H454">
    <cfRule type="expression" dxfId="9" priority="23">
      <formula>ISNUMBER(SEARCH("灯具",$F402))</formula>
    </cfRule>
  </conditionalFormatting>
  <conditionalFormatting sqref="A511:H511">
    <cfRule type="expression" dxfId="8" priority="21">
      <formula>ISNUMBER(SEARCH("灯具",$F459))</formula>
    </cfRule>
  </conditionalFormatting>
  <conditionalFormatting sqref="A568:H568">
    <cfRule type="expression" dxfId="7" priority="7">
      <formula>ISNUMBER(SEARCH("灯具",$F516))</formula>
    </cfRule>
  </conditionalFormatting>
  <conditionalFormatting sqref="A625:H625">
    <cfRule type="expression" dxfId="6" priority="13">
      <formula>ISNUMBER(SEARCH("灯具",$F573))</formula>
    </cfRule>
  </conditionalFormatting>
  <conditionalFormatting sqref="A682:H682">
    <cfRule type="expression" dxfId="5" priority="11">
      <formula>ISNUMBER(SEARCH("灯具",$F630))</formula>
    </cfRule>
  </conditionalFormatting>
  <conditionalFormatting sqref="A739:H739">
    <cfRule type="expression" dxfId="4" priority="19">
      <formula>ISNUMBER(SEARCH("灯具",$F687))</formula>
    </cfRule>
  </conditionalFormatting>
  <conditionalFormatting sqref="A796:H796">
    <cfRule type="expression" dxfId="3" priority="17">
      <formula>ISNUMBER(SEARCH("灯具",$F744))</formula>
    </cfRule>
  </conditionalFormatting>
  <conditionalFormatting sqref="A853:H853">
    <cfRule type="expression" dxfId="2" priority="49">
      <formula>ISNUMBER(SEARCH("灯具",$F801))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4" manualBreakCount="14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  <brk id="741" max="16383" man="1"/>
    <brk id="79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2026-04-23T02:57:03Z</cp:lastPrinted>
  <dcterms:created xsi:type="dcterms:W3CDTF">2024-07-11T02:08:33Z</dcterms:created>
  <dcterms:modified xsi:type="dcterms:W3CDTF">2026-06-05T10:17:09Z</dcterms:modified>
</cp:coreProperties>
</file>