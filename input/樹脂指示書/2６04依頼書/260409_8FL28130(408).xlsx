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A30160EE-92E2-4A5A-82CB-EB2DA6CA9100}" xr6:coauthVersionLast="47" xr6:coauthVersionMax="47" xr10:uidLastSave="{812D5273-BA37-464F-8A13-382BD93AD5C6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60" i="1" a="1"/>
  <c r="J160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/>
  <c r="E153" i="1" a="1"/>
  <c r="C153" i="1"/>
  <c r="B153" i="1"/>
  <c r="A153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/>
  <c r="G96" i="1" a="1"/>
  <c r="F96" i="1" a="1"/>
  <c r="F96" i="1" s="1"/>
  <c r="E96" i="1" a="1"/>
  <c r="E96" i="1" s="1"/>
  <c r="C96" i="1"/>
  <c r="B96" i="1"/>
  <c r="A96" i="1"/>
  <c r="F44" i="1" l="1" a="1"/>
  <c r="F44" i="1" s="1"/>
  <c r="B44" i="1" a="1"/>
  <c r="B44" i="1" s="1"/>
  <c r="F101" i="1" a="1"/>
  <c r="F101" i="1" s="1"/>
  <c r="B101" i="1" a="1"/>
  <c r="B101" i="1" s="1"/>
  <c r="F158" i="1" a="1"/>
  <c r="F158" i="1" s="1"/>
  <c r="B158" i="1" a="1"/>
  <c r="B15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<sst xmlns="http://schemas.openxmlformats.org/spreadsheetml/2006/main" count="315" uniqueCount="114">
  <si>
    <t>検査梱包指示書</t>
  </si>
  <si>
    <t>品目番号</t>
  </si>
  <si>
    <t>J1JAZZB10814780</t>
  </si>
  <si>
    <t>Ｌ寸</t>
  </si>
  <si>
    <t>名称</t>
  </si>
  <si>
    <t>8FL2813046110</t>
  </si>
  <si>
    <t>上長</t>
  </si>
  <si>
    <t>係員</t>
  </si>
  <si>
    <t>製造指図№</t>
  </si>
  <si>
    <t>000000000013737</t>
  </si>
  <si>
    <t>原料名</t>
  </si>
  <si>
    <t>(CASE 1478MILK-W4)</t>
  </si>
  <si>
    <t>発注明細№</t>
  </si>
  <si>
    <t>000000000848050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</si>
  <si>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</si>
  <si>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</si>
  <si>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</si>
  <si>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</si>
  <si>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</si>
  <si>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</si>
  <si>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</si>
  <si>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</si>
  <si>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</si>
  <si>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</si>
  <si>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</si>
  <si>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*J1JAZZB10814780*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</si>
  <si>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</si>
  <si>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</si>
  <si>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</si>
  <si>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</si>
  <si>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</si>
  <si>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</si>
  <si>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</si>
  <si>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</si>
  <si>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</si>
  <si>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</si>
  <si>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</si>
  <si>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</si>
  <si>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</si>
  <si>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</si>
  <si>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</si>
  <si>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</si>
  <si>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</si>
  <si>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</si>
  <si>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</si>
  <si>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</si>
  <si>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</si>
  <si>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</si>
  <si>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</si>
  <si>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</si>
  <si>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</si>
  <si>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</si>
  <si>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J6DW0092</t>
  </si>
  <si>
    <t>LED-A1478　1488X275X166</t>
  </si>
  <si>
    <t>V3W04</t>
  </si>
  <si>
    <t>*J6DW0092*</t>
  </si>
  <si>
    <t>L1478×W275×H166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</si>
  <si>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</si>
  <si>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</si>
  <si>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</si>
  <si>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</si>
  <si>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</si>
  <si>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</si>
  <si>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</si>
  <si>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</si>
  <si>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000000000013738</t>
  </si>
  <si>
    <t>000000000848051</t>
  </si>
  <si>
    <t>J1JAZZB10807480</t>
  </si>
  <si>
    <t>8FL2813048310</t>
  </si>
  <si>
    <t>000000000013739</t>
  </si>
  <si>
    <t>(CASE 748MILK-W4)</t>
  </si>
  <si>
    <t>000000000848052</t>
  </si>
  <si>
    <t>*J1JAZZB10807480*</t>
  </si>
  <si>
    <t>J6DW0089</t>
  </si>
  <si>
    <t>LED-A888　898X275X166</t>
  </si>
  <si>
    <t>*J6DW0089*</t>
  </si>
  <si>
    <t>L888×W275×H166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</si>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</sst>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" fillId="0" borderId="0" xfId="1" applyNumberForma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49" fontId="11" fillId="0" borderId="0" xfId="1" applyNumberFormat="1" applyFont="1" applyAlignment="1">
      <alignment horizontal="left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5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71031898-36E3-47BB-9431-72B53EB83193}"/>
  </cellStyles>
  <dxfs count="8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66545</xdr:colOff>
      <xdr:row>4</xdr:row>
      <xdr:rowOff>38100</xdr:rowOff>
    </xdr:from>
    <xdr:to>
      <xdr:col>9</xdr:col>
      <xdr:colOff>761870</xdr:colOff>
      <xdr:row>7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8BC6DC-55B9-AD57-D6C7-C4E29DA4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420" y="7620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57020</xdr:colOff>
      <xdr:row>4</xdr:row>
      <xdr:rowOff>38100</xdr:rowOff>
    </xdr:from>
    <xdr:to>
      <xdr:col>8</xdr:col>
      <xdr:colOff>752345</xdr:colOff>
      <xdr:row>7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CC6BF08-DCA5-4514-0AB7-7801DBEBA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270" y="7620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60</xdr:row>
      <xdr:rowOff>171450</xdr:rowOff>
    </xdr:from>
    <xdr:to>
      <xdr:col>9</xdr:col>
      <xdr:colOff>771525</xdr:colOff>
      <xdr:row>64</xdr:row>
      <xdr:rowOff>28575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8CFAC6D-BB0C-46AF-86E7-16ABE1330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139446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60</xdr:row>
      <xdr:rowOff>171450</xdr:rowOff>
    </xdr:from>
    <xdr:to>
      <xdr:col>8</xdr:col>
      <xdr:colOff>762000</xdr:colOff>
      <xdr:row>64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CB83B59-AF4F-4DFB-B5EB-AEE86D0F1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39446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118</xdr:row>
      <xdr:rowOff>9525</xdr:rowOff>
    </xdr:from>
    <xdr:to>
      <xdr:col>9</xdr:col>
      <xdr:colOff>752475</xdr:colOff>
      <xdr:row>121</xdr:row>
      <xdr:rowOff>47625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251C669-8F89-47DF-BA3D-1E056BF44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27193875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118</xdr:row>
      <xdr:rowOff>9525</xdr:rowOff>
    </xdr:from>
    <xdr:to>
      <xdr:col>8</xdr:col>
      <xdr:colOff>742950</xdr:colOff>
      <xdr:row>121</xdr:row>
      <xdr:rowOff>47625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CCB3FE3-8306-48EC-B5B6-D2AD3CFC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27193875"/>
          <a:ext cx="695325" cy="69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1"/>
  <sheetViews>
    <sheetView tabSelected="1" topLeftCell="A34" workbookViewId="0">
      <selection activeCell="B96" sqref="B96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5" t="s">
        <v>0</v>
      </c>
      <c r="C1" s="120"/>
      <c r="D1" s="120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0"/>
      <c r="C2" s="120"/>
      <c r="D2" s="120"/>
      <c r="E2" s="12"/>
      <c r="F2" s="12"/>
      <c r="G2" s="12"/>
      <c r="H2" s="12"/>
      <c r="I2" s="12"/>
      <c r="J2" s="12"/>
    </row>
    <row r="3" spans="1:10" ht="14.25" customHeight="1">
      <c r="A3" s="151" t="s">
        <v>1</v>
      </c>
      <c r="B3" s="151" t="s">
        <v>2</v>
      </c>
      <c r="C3" s="151" t="s">
        <v>3</v>
      </c>
      <c r="D3" s="153">
        <v>1478</v>
      </c>
      <c r="E3" s="151" t="s">
        <v>4</v>
      </c>
      <c r="F3" s="150" t="s">
        <v>5</v>
      </c>
      <c r="G3" s="120"/>
      <c r="H3" s="120"/>
      <c r="I3" s="24" t="s">
        <v>6</v>
      </c>
      <c r="J3" s="24" t="s">
        <v>7</v>
      </c>
    </row>
    <row r="4" spans="1:10" ht="14.25" customHeight="1">
      <c r="A4" s="120"/>
      <c r="B4" s="120"/>
      <c r="C4" s="120"/>
      <c r="D4" s="120"/>
      <c r="E4" s="120"/>
      <c r="F4" s="120"/>
      <c r="G4" s="120"/>
      <c r="H4" s="120"/>
      <c r="I4" s="131"/>
      <c r="J4" s="131"/>
    </row>
    <row r="5" spans="1:10" ht="17.45" customHeight="1">
      <c r="A5" s="141" t="s">
        <v>8</v>
      </c>
      <c r="B5" s="141" t="s">
        <v>9</v>
      </c>
      <c r="E5" s="141" t="s">
        <v>10</v>
      </c>
      <c r="F5" s="144" t="s">
        <v>11</v>
      </c>
      <c r="G5" s="120"/>
      <c r="H5" s="120"/>
      <c r="I5" s="132"/>
      <c r="J5" s="132"/>
    </row>
    <row r="6" spans="1:10" ht="17.45" customHeight="1">
      <c r="A6" s="120"/>
      <c r="B6" s="120"/>
      <c r="E6" s="120"/>
      <c r="F6" s="120"/>
      <c r="G6" s="120"/>
      <c r="H6" s="120"/>
      <c r="I6" s="13"/>
      <c r="J6" s="13"/>
    </row>
    <row r="7" spans="1:10" ht="17.45" customHeight="1">
      <c r="A7" s="141" t="s">
        <v>12</v>
      </c>
      <c r="B7" s="141" t="s">
        <v>13</v>
      </c>
      <c r="E7" s="2" t="s">
        <v>14</v>
      </c>
      <c r="F7" s="144" t="s">
        <v>15</v>
      </c>
      <c r="G7" s="120"/>
      <c r="H7" s="21"/>
      <c r="I7" s="13"/>
      <c r="J7" s="13"/>
    </row>
    <row r="8" spans="1:10" ht="17.45" customHeight="1">
      <c r="A8" s="120"/>
      <c r="B8" s="120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46153</v>
      </c>
      <c r="E9" s="2" t="s">
        <v>19</v>
      </c>
      <c r="F9" s="138">
        <v>100</v>
      </c>
      <c r="G9" s="120"/>
      <c r="H9" s="21"/>
    </row>
    <row r="10" spans="1:10" ht="17.45" customHeight="1">
      <c r="A10" s="2" t="s">
        <v>20</v>
      </c>
      <c r="B10" s="4">
        <v>46153</v>
      </c>
      <c r="E10" s="2" t="s">
        <v>21</v>
      </c>
      <c r="F10" s="21">
        <v>2</v>
      </c>
      <c r="G10" s="142" t="s">
        <v>22</v>
      </c>
      <c r="H10" s="145">
        <v>200</v>
      </c>
      <c r="I10" s="146"/>
      <c r="J10" s="14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3"/>
      <c r="H11" s="143"/>
      <c r="I11" s="126"/>
      <c r="J11" s="127"/>
    </row>
    <row r="12" spans="1:10" ht="13.5" customHeight="1">
      <c r="A12" s="152" t="s">
        <v>25</v>
      </c>
      <c r="B12" s="120"/>
      <c r="C12" s="120"/>
      <c r="D12" s="20"/>
      <c r="F12" s="3"/>
      <c r="G12" s="128" t="s">
        <v>26</v>
      </c>
      <c r="H12" s="154" t="s">
        <v>27</v>
      </c>
      <c r="I12" s="124" t="s">
        <v>28</v>
      </c>
      <c r="J12" s="125"/>
    </row>
    <row r="13" spans="1:10" ht="13.5" customHeight="1">
      <c r="A13" s="120"/>
      <c r="B13" s="120"/>
      <c r="C13" s="120"/>
      <c r="D13" s="20"/>
      <c r="F13" s="3"/>
      <c r="G13" s="129"/>
      <c r="H13" s="129"/>
      <c r="I13" s="126"/>
      <c r="J13" s="127"/>
    </row>
    <row r="14" spans="1:10" ht="13.5" customHeight="1">
      <c r="A14" s="1" t="s">
        <v>29</v>
      </c>
    </row>
    <row r="15" spans="1:10" ht="63" customHeight="1" thickBot="1">
      <c r="A15" s="134"/>
      <c r="B15" s="135"/>
      <c r="C15" s="135"/>
      <c r="D15" s="135"/>
      <c r="E15" s="135"/>
      <c r="F15" s="135"/>
      <c r="G15" s="135"/>
      <c r="H15" s="135"/>
      <c r="I15" s="135"/>
      <c r="J15" s="135"/>
    </row>
    <row r="16" spans="1:10" ht="18.75">
      <c r="A16" s="23" t="s">
        <v>30</v>
      </c>
      <c r="B16" s="16" t="s">
        <v>31</v>
      </c>
      <c r="C16" s="136" t="s">
        <v>32</v>
      </c>
      <c r="D16" s="137"/>
      <c r="E16" s="16" t="s">
        <v>33</v>
      </c>
      <c r="F16" s="136" t="s">
        <v>34</v>
      </c>
      <c r="G16" s="137"/>
      <c r="H16" s="137"/>
      <c r="I16" s="140" t="s">
        <v>35</v>
      </c>
      <c r="J16" s="137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9" t="s">
        <v>37</v>
      </c>
      <c r="D18" s="133"/>
      <c r="E18" s="25" t="s">
        <v>38</v>
      </c>
      <c r="F18" s="119" t="s">
        <v>39</v>
      </c>
      <c r="G18" s="133"/>
      <c r="H18" s="133"/>
      <c r="I18" s="148"/>
      <c r="J18" s="133"/>
    </row>
    <row r="19" spans="1:10" s="7" customFormat="1" ht="16.5" customHeight="1">
      <c r="A19" s="22">
        <v>1</v>
      </c>
      <c r="B19" s="26" t="s">
        <v>36</v>
      </c>
      <c r="C19" s="119" t="s">
        <v>37</v>
      </c>
      <c r="D19" s="133"/>
      <c r="E19" s="25" t="s">
        <v>40</v>
      </c>
      <c r="F19" s="119" t="s">
        <v>41</v>
      </c>
      <c r="G19" s="133"/>
      <c r="H19" s="133"/>
      <c r="I19" s="148"/>
      <c r="J19" s="133"/>
    </row>
    <row r="20" spans="1:10" s="7" customFormat="1" ht="16.5" customHeight="1">
      <c r="A20" s="22"/>
      <c r="B20" s="26"/>
      <c r="C20" s="119"/>
      <c r="D20" s="133"/>
      <c r="E20" s="25"/>
      <c r="F20" s="119"/>
      <c r="G20" s="133"/>
      <c r="H20" s="133"/>
      <c r="I20" s="148"/>
      <c r="J20" s="133"/>
    </row>
    <row r="21" spans="1:10" s="7" customFormat="1" ht="16.5" customHeight="1">
      <c r="A21" s="22"/>
      <c r="B21" s="26"/>
      <c r="C21" s="119"/>
      <c r="D21" s="133"/>
      <c r="E21" s="25"/>
      <c r="F21" s="119"/>
      <c r="G21" s="133"/>
      <c r="H21" s="133"/>
      <c r="I21" s="148"/>
      <c r="J21" s="133"/>
    </row>
    <row r="22" spans="1:10" s="7" customFormat="1" ht="16.5" customHeight="1">
      <c r="A22" s="22"/>
      <c r="B22" s="26"/>
      <c r="C22" s="119"/>
      <c r="D22" s="133"/>
      <c r="E22" s="25"/>
      <c r="F22" s="119"/>
      <c r="G22" s="133"/>
      <c r="H22" s="133"/>
      <c r="I22" s="148"/>
      <c r="J22" s="133"/>
    </row>
    <row r="23" spans="1:10" s="7" customFormat="1" ht="16.5" customHeight="1">
      <c r="A23" s="22"/>
      <c r="B23" s="26"/>
      <c r="C23" s="119"/>
      <c r="D23" s="133"/>
      <c r="E23" s="25"/>
      <c r="F23" s="119"/>
      <c r="G23" s="133"/>
      <c r="H23" s="133"/>
      <c r="I23" s="148"/>
      <c r="J23" s="133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7" t="s">
        <v>42</v>
      </c>
      <c r="B25" s="118"/>
      <c r="C25" s="117" t="s">
        <v>43</v>
      </c>
      <c r="D25" s="118"/>
      <c r="E25" s="118"/>
      <c r="F25" s="17" t="s">
        <v>44</v>
      </c>
      <c r="G25" s="117" t="s">
        <v>45</v>
      </c>
      <c r="H25" s="118"/>
      <c r="I25" s="117" t="s">
        <v>46</v>
      </c>
      <c r="J25" s="118"/>
    </row>
    <row r="26" spans="1:10" ht="14.25" customHeight="1">
      <c r="A26" s="8"/>
      <c r="B26" s="18"/>
      <c r="C26" s="149" t="s">
        <v>47</v>
      </c>
      <c r="D26" s="126"/>
      <c r="E26" s="18"/>
      <c r="F26" s="149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48</v>
      </c>
      <c r="B28" s="130"/>
      <c r="C28" s="119" t="s">
        <v>49</v>
      </c>
      <c r="D28" s="130"/>
      <c r="E28" s="130"/>
      <c r="F28" s="27" t="s">
        <v>50</v>
      </c>
      <c r="G28" s="121">
        <v>200</v>
      </c>
      <c r="H28" s="130"/>
      <c r="I28" s="121">
        <v>2</v>
      </c>
      <c r="J28" s="130"/>
    </row>
    <row r="29" spans="1:10" s="7" customFormat="1" ht="24.95" customHeight="1">
      <c r="A29" s="139" t="s">
        <v>51</v>
      </c>
      <c r="B29" s="133"/>
      <c r="C29" s="119"/>
      <c r="D29" s="133"/>
      <c r="E29" s="133"/>
      <c r="F29" s="119"/>
      <c r="G29" s="133"/>
      <c r="H29" s="133"/>
      <c r="I29" s="133"/>
      <c r="J29" s="133"/>
    </row>
    <row r="30" spans="1:10" s="5" customFormat="1" ht="14.25" customHeight="1">
      <c r="A30" s="119" t="s">
        <v>52</v>
      </c>
      <c r="B30" s="130"/>
      <c r="C30" s="119" t="s">
        <v>53</v>
      </c>
      <c r="D30" s="130"/>
      <c r="E30" s="130"/>
      <c r="F30" s="27" t="s">
        <v>54</v>
      </c>
      <c r="G30" s="121">
        <v>2</v>
      </c>
      <c r="H30" s="130"/>
      <c r="I30" s="121">
        <v>0.02</v>
      </c>
      <c r="J30" s="130"/>
    </row>
    <row r="31" spans="1:10" s="7" customFormat="1" ht="24.95" customHeight="1">
      <c r="A31" s="139" t="s">
        <v>55</v>
      </c>
      <c r="B31" s="133"/>
      <c r="C31" s="119" t="s">
        <v>56</v>
      </c>
      <c r="D31" s="133"/>
      <c r="E31" s="133"/>
      <c r="F31" s="119"/>
      <c r="G31" s="133"/>
      <c r="H31" s="133"/>
      <c r="I31" s="133"/>
      <c r="J31" s="133"/>
    </row>
    <row r="32" spans="1:10" s="5" customFormat="1" ht="14.25" customHeight="1">
      <c r="A32" s="119" t="s">
        <v>57</v>
      </c>
      <c r="B32" s="130"/>
      <c r="C32" s="119" t="s">
        <v>58</v>
      </c>
      <c r="D32" s="130"/>
      <c r="E32" s="130"/>
      <c r="F32" s="27"/>
      <c r="G32" s="121">
        <v>0.4</v>
      </c>
      <c r="H32" s="130"/>
      <c r="I32" s="121">
        <v>4.0000000000000001E-3</v>
      </c>
      <c r="J32" s="130"/>
    </row>
    <row r="33" spans="1:14" s="7" customFormat="1" ht="24.95" customHeight="1">
      <c r="A33" s="139" t="s">
        <v>59</v>
      </c>
      <c r="B33" s="133"/>
      <c r="C33" s="119" t="s">
        <v>60</v>
      </c>
      <c r="D33" s="133"/>
      <c r="E33" s="133"/>
      <c r="F33" s="119"/>
      <c r="G33" s="133"/>
      <c r="H33" s="133"/>
      <c r="I33" s="133"/>
      <c r="J33" s="133"/>
    </row>
    <row r="34" spans="1:14" s="5" customFormat="1" ht="14.25" customHeight="1">
      <c r="A34" s="119" t="s">
        <v>61</v>
      </c>
      <c r="B34" s="130"/>
      <c r="C34" s="119" t="s">
        <v>62</v>
      </c>
      <c r="D34" s="130"/>
      <c r="E34" s="130"/>
      <c r="F34" s="27"/>
      <c r="G34" s="121">
        <v>0.2</v>
      </c>
      <c r="H34" s="130"/>
      <c r="I34" s="121">
        <v>2E-3</v>
      </c>
      <c r="J34" s="130"/>
    </row>
    <row r="35" spans="1:14" s="7" customFormat="1" ht="24.95" customHeight="1">
      <c r="A35" s="139" t="s">
        <v>63</v>
      </c>
      <c r="B35" s="133"/>
      <c r="C35" s="119" t="s">
        <v>64</v>
      </c>
      <c r="D35" s="133"/>
      <c r="E35" s="133"/>
      <c r="F35" s="119"/>
      <c r="G35" s="133"/>
      <c r="H35" s="133"/>
      <c r="I35" s="133"/>
      <c r="J35" s="133"/>
    </row>
    <row r="36" spans="1:14" s="5" customFormat="1" ht="14.25" customHeight="1">
      <c r="A36" s="119"/>
      <c r="B36" s="130"/>
      <c r="C36" s="119"/>
      <c r="D36" s="130"/>
      <c r="E36" s="130"/>
      <c r="F36" s="27"/>
      <c r="G36" s="121"/>
      <c r="H36" s="130"/>
      <c r="I36" s="121"/>
      <c r="J36" s="130"/>
    </row>
    <row r="37" spans="1:14" s="7" customFormat="1" ht="24.95" customHeight="1" thickBot="1">
      <c r="A37" s="139"/>
      <c r="B37" s="133"/>
      <c r="C37" s="119"/>
      <c r="D37" s="133"/>
      <c r="E37" s="133"/>
      <c r="F37" s="119"/>
      <c r="G37" s="133"/>
      <c r="H37" s="133"/>
      <c r="I37" s="133"/>
      <c r="J37" s="133"/>
    </row>
    <row r="38" spans="1:14" s="5" customFormat="1" ht="18" customHeight="1">
      <c r="A38" s="28" t="s">
        <v>77</v>
      </c>
      <c r="B38" s="29" t="s">
        <v>78</v>
      </c>
      <c r="C38" s="115" t="s">
        <v>79</v>
      </c>
      <c r="D38" s="116"/>
      <c r="E38" s="30" t="s">
        <v>80</v>
      </c>
      <c r="F38" s="31" t="s">
        <v>81</v>
      </c>
      <c r="G38" s="32" t="s">
        <v>82</v>
      </c>
      <c r="H38" s="33" t="s">
        <v>83</v>
      </c>
      <c r="I38" s="122" t="s">
        <v>84</v>
      </c>
      <c r="J38" s="123"/>
    </row>
    <row r="39" spans="1:14" s="7" customFormat="1" ht="18" customHeight="1">
      <c r="A39" s="34" t="str">
        <f>_xlfn.XLOOKUP(B3,[1]VFDB2!$A:$A,[1]VFDB2!$J:$J)</f>
        <v>〇</v>
      </c>
      <c r="B39" s="35">
        <f>D3</f>
        <v>1478</v>
      </c>
      <c r="C39" s="109" t="str">
        <f>_xlfn.XLOOKUP(B3,[1]VFDB2!$A:$A,[1]VFDB2!$Z:$Z)</f>
        <v>LED-A1478</v>
      </c>
      <c r="D39" s="110"/>
      <c r="E39" s="111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85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86</v>
      </c>
      <c r="B40" s="45" t="s">
        <v>87</v>
      </c>
      <c r="C40" s="109"/>
      <c r="D40" s="110"/>
      <c r="E40" s="111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88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12" t="s">
        <v>89</v>
      </c>
      <c r="D41" s="113" t="str">
        <f>_xlfn.XLOOKUP(B3,[1]VFDB2!$A:$A,[1]VFDB2!$W:$W)</f>
        <v>クラフト紙：1478型</v>
      </c>
      <c r="E41" s="113"/>
      <c r="F41" s="114"/>
      <c r="G41" s="37"/>
      <c r="H41" s="38"/>
      <c r="I41" s="39" t="s">
        <v>90</v>
      </c>
      <c r="J41" s="41" t="str">
        <v/>
      </c>
      <c r="K41" s="50"/>
    </row>
    <row r="42" spans="1:14" s="5" customFormat="1" ht="18" customHeight="1">
      <c r="A42" s="51" t="s">
        <v>91</v>
      </c>
      <c r="B42" s="52" t="s">
        <v>92</v>
      </c>
      <c r="C42" s="112"/>
      <c r="D42" s="113" t="str">
        <f>_xlfn.XLOOKUP(B3,[1]VFDB2!$A:$A,[1]VFDB2!$R:$R)</f>
        <v>ラベル１枚　長手無　鉢巻１回</v>
      </c>
      <c r="E42" s="113"/>
      <c r="F42" s="114"/>
      <c r="G42" s="37"/>
      <c r="H42" s="38"/>
      <c r="I42" s="39" t="s">
        <v>93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1</v>
      </c>
      <c r="C43" s="55" t="s">
        <v>94</v>
      </c>
      <c r="D43" s="105" t="str">
        <f>_xlfn.XLOOKUP(B3,[1]VFDB2!$A:$A,[1]VFDB2!$V:$V)</f>
        <v>1箱目の梱包数 目視確認　以降、重量測定</v>
      </c>
      <c r="E43" s="105"/>
      <c r="F43" s="106"/>
      <c r="G43" s="56"/>
      <c r="H43" s="57"/>
      <c r="I43" s="39" t="s">
        <v>95</v>
      </c>
      <c r="J43" s="42" t="str">
        <v/>
      </c>
      <c r="K43" s="50"/>
    </row>
    <row r="44" spans="1:14" s="5" customFormat="1" ht="18" customHeight="1" thickBot="1">
      <c r="A44" s="58" t="s">
        <v>96</v>
      </c>
      <c r="B44" s="59" t="str" cm="1">
        <f t="array" ref="B44">IF(SUM(--(ISTEXT(B45:B55)*(B45:B55&lt;&gt;"")))=0,"計測Lot","計測Lot・加工数")</f>
        <v>計測Lot</v>
      </c>
      <c r="C44" s="60" t="s">
        <v>97</v>
      </c>
      <c r="D44" s="61" t="s">
        <v>98</v>
      </c>
      <c r="E44" s="62" t="s">
        <v>99</v>
      </c>
      <c r="F44" s="63" t="str" cm="1">
        <f t="array" ref="F44">IF(SUM(--(ISTEXT(B45:B55)*(B45:B55&lt;&gt;"")))=0,"記入不要","使用Lot")</f>
        <v>記入不要</v>
      </c>
      <c r="G44" s="64" t="s">
        <v>100</v>
      </c>
      <c r="H44" s="65" t="s">
        <v>101</v>
      </c>
      <c r="I44" s="66" t="s">
        <v>102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7" t="s">
        <v>103</v>
      </c>
      <c r="J45" s="108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104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105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106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107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108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109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110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111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112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113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5" t="s">
        <v>0</v>
      </c>
      <c r="C58" s="120"/>
      <c r="D58" s="120"/>
      <c r="E58" s="11"/>
      <c r="F58" s="11"/>
      <c r="G58" s="11"/>
      <c r="H58" s="11"/>
      <c r="I58" s="11"/>
      <c r="J58" s="11"/>
    </row>
    <row r="59" spans="1:14" ht="14.25" customHeight="1">
      <c r="A59" s="12"/>
      <c r="B59" s="120"/>
      <c r="C59" s="120"/>
      <c r="D59" s="120"/>
      <c r="E59" s="12"/>
      <c r="F59" s="12"/>
      <c r="G59" s="12"/>
      <c r="H59" s="12"/>
      <c r="I59" s="12"/>
      <c r="J59" s="12"/>
    </row>
    <row r="60" spans="1:14" ht="14.25" customHeight="1">
      <c r="A60" s="151" t="s">
        <v>1</v>
      </c>
      <c r="B60" s="151" t="s">
        <v>2</v>
      </c>
      <c r="C60" s="151" t="s">
        <v>3</v>
      </c>
      <c r="D60" s="153">
        <v>1478</v>
      </c>
      <c r="E60" s="151" t="s">
        <v>4</v>
      </c>
      <c r="F60" s="150" t="s">
        <v>5</v>
      </c>
      <c r="G60" s="120"/>
      <c r="H60" s="120"/>
      <c r="I60" s="24" t="s">
        <v>6</v>
      </c>
      <c r="J60" s="24" t="s">
        <v>7</v>
      </c>
    </row>
    <row r="61" spans="1:14" ht="14.25" customHeight="1">
      <c r="A61" s="120"/>
      <c r="B61" s="120"/>
      <c r="C61" s="120"/>
      <c r="D61" s="120"/>
      <c r="E61" s="120"/>
      <c r="F61" s="120"/>
      <c r="G61" s="120"/>
      <c r="H61" s="120"/>
      <c r="I61" s="131"/>
      <c r="J61" s="131"/>
    </row>
    <row r="62" spans="1:14" ht="17.45" customHeight="1">
      <c r="A62" s="141" t="s">
        <v>8</v>
      </c>
      <c r="B62" s="141" t="s">
        <v>65</v>
      </c>
      <c r="E62" s="141" t="s">
        <v>10</v>
      </c>
      <c r="F62" s="144" t="s">
        <v>11</v>
      </c>
      <c r="G62" s="120"/>
      <c r="H62" s="120"/>
      <c r="I62" s="132"/>
      <c r="J62" s="132"/>
    </row>
    <row r="63" spans="1:14" ht="17.45" customHeight="1">
      <c r="A63" s="120"/>
      <c r="B63" s="120"/>
      <c r="E63" s="120"/>
      <c r="F63" s="120"/>
      <c r="G63" s="120"/>
      <c r="H63" s="120"/>
      <c r="I63" s="13"/>
      <c r="J63" s="13"/>
    </row>
    <row r="64" spans="1:14" ht="17.45" customHeight="1">
      <c r="A64" s="141" t="s">
        <v>12</v>
      </c>
      <c r="B64" s="141" t="s">
        <v>66</v>
      </c>
      <c r="E64" s="2" t="s">
        <v>14</v>
      </c>
      <c r="F64" s="144" t="s">
        <v>15</v>
      </c>
      <c r="G64" s="120"/>
      <c r="H64" s="21"/>
      <c r="I64" s="13"/>
      <c r="J64" s="13"/>
    </row>
    <row r="65" spans="1:10" ht="17.45" customHeight="1">
      <c r="A65" s="120"/>
      <c r="B65" s="120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46153</v>
      </c>
      <c r="E66" s="2" t="s">
        <v>19</v>
      </c>
      <c r="F66" s="138">
        <v>100</v>
      </c>
      <c r="G66" s="120"/>
      <c r="H66" s="21"/>
    </row>
    <row r="67" spans="1:10" ht="17.45" customHeight="1">
      <c r="A67" s="2" t="s">
        <v>20</v>
      </c>
      <c r="B67" s="4">
        <v>46153</v>
      </c>
      <c r="E67" s="2" t="s">
        <v>21</v>
      </c>
      <c r="F67" s="21">
        <v>3</v>
      </c>
      <c r="G67" s="142" t="s">
        <v>22</v>
      </c>
      <c r="H67" s="145">
        <v>300</v>
      </c>
      <c r="I67" s="146"/>
      <c r="J67" s="147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3"/>
      <c r="H68" s="143"/>
      <c r="I68" s="126"/>
      <c r="J68" s="127"/>
    </row>
    <row r="69" spans="1:10" ht="13.5" customHeight="1">
      <c r="A69" s="152" t="s">
        <v>25</v>
      </c>
      <c r="B69" s="120"/>
      <c r="C69" s="120"/>
      <c r="D69" s="20"/>
      <c r="F69" s="3"/>
      <c r="G69" s="128" t="s">
        <v>26</v>
      </c>
      <c r="H69" s="154" t="s">
        <v>27</v>
      </c>
      <c r="I69" s="124" t="s">
        <v>28</v>
      </c>
      <c r="J69" s="125"/>
    </row>
    <row r="70" spans="1:10" ht="13.5" customHeight="1">
      <c r="A70" s="120"/>
      <c r="B70" s="120"/>
      <c r="C70" s="120"/>
      <c r="D70" s="20"/>
      <c r="F70" s="3"/>
      <c r="G70" s="129"/>
      <c r="H70" s="129"/>
      <c r="I70" s="126"/>
      <c r="J70" s="127"/>
    </row>
    <row r="71" spans="1:10" ht="13.5" customHeight="1">
      <c r="A71" s="1" t="s">
        <v>29</v>
      </c>
    </row>
    <row r="72" spans="1:10" ht="63" customHeight="1">
      <c r="A72" s="134"/>
      <c r="B72" s="135"/>
      <c r="C72" s="135"/>
      <c r="D72" s="135"/>
      <c r="E72" s="135"/>
      <c r="F72" s="135"/>
      <c r="G72" s="135"/>
      <c r="H72" s="135"/>
      <c r="I72" s="135"/>
      <c r="J72" s="135"/>
    </row>
    <row r="73" spans="1:10" ht="18.75">
      <c r="A73" s="23" t="s">
        <v>30</v>
      </c>
      <c r="B73" s="16" t="s">
        <v>31</v>
      </c>
      <c r="C73" s="136" t="s">
        <v>32</v>
      </c>
      <c r="D73" s="137"/>
      <c r="E73" s="16" t="s">
        <v>33</v>
      </c>
      <c r="F73" s="136" t="s">
        <v>34</v>
      </c>
      <c r="G73" s="137"/>
      <c r="H73" s="137"/>
      <c r="I73" s="140" t="s">
        <v>35</v>
      </c>
      <c r="J73" s="137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9" t="s">
        <v>37</v>
      </c>
      <c r="D75" s="120"/>
      <c r="E75" s="25" t="s">
        <v>38</v>
      </c>
      <c r="F75" s="119" t="s">
        <v>39</v>
      </c>
      <c r="G75" s="120"/>
      <c r="H75" s="120"/>
      <c r="I75" s="148"/>
      <c r="J75" s="120"/>
    </row>
    <row r="76" spans="1:10" ht="16.5" customHeight="1">
      <c r="A76" s="22">
        <v>1</v>
      </c>
      <c r="B76" s="26" t="s">
        <v>36</v>
      </c>
      <c r="C76" s="119" t="s">
        <v>37</v>
      </c>
      <c r="D76" s="120"/>
      <c r="E76" s="25" t="s">
        <v>40</v>
      </c>
      <c r="F76" s="119" t="s">
        <v>41</v>
      </c>
      <c r="G76" s="120"/>
      <c r="H76" s="120"/>
      <c r="I76" s="148"/>
      <c r="J76" s="120"/>
    </row>
    <row r="77" spans="1:10" ht="16.5" customHeight="1">
      <c r="A77" s="22"/>
      <c r="B77" s="26"/>
      <c r="C77" s="119"/>
      <c r="D77" s="120"/>
      <c r="E77" s="25"/>
      <c r="F77" s="119"/>
      <c r="G77" s="120"/>
      <c r="H77" s="120"/>
      <c r="I77" s="148"/>
      <c r="J77" s="120"/>
    </row>
    <row r="78" spans="1:10" ht="16.5" customHeight="1">
      <c r="A78" s="22"/>
      <c r="B78" s="26"/>
      <c r="C78" s="119"/>
      <c r="D78" s="120"/>
      <c r="E78" s="25"/>
      <c r="F78" s="119"/>
      <c r="G78" s="120"/>
      <c r="H78" s="120"/>
      <c r="I78" s="148"/>
      <c r="J78" s="120"/>
    </row>
    <row r="79" spans="1:10" ht="16.5" customHeight="1">
      <c r="A79" s="22"/>
      <c r="B79" s="26"/>
      <c r="C79" s="119"/>
      <c r="D79" s="120"/>
      <c r="E79" s="25"/>
      <c r="F79" s="119"/>
      <c r="G79" s="120"/>
      <c r="H79" s="120"/>
      <c r="I79" s="148"/>
      <c r="J79" s="120"/>
    </row>
    <row r="80" spans="1:10" ht="16.5" customHeight="1">
      <c r="A80" s="22"/>
      <c r="B80" s="26"/>
      <c r="C80" s="119"/>
      <c r="D80" s="120"/>
      <c r="E80" s="25"/>
      <c r="F80" s="119"/>
      <c r="G80" s="120"/>
      <c r="H80" s="120"/>
      <c r="I80" s="148"/>
      <c r="J80" s="120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7" t="s">
        <v>42</v>
      </c>
      <c r="B82" s="118"/>
      <c r="C82" s="117" t="s">
        <v>43</v>
      </c>
      <c r="D82" s="118"/>
      <c r="E82" s="118"/>
      <c r="F82" s="17" t="s">
        <v>44</v>
      </c>
      <c r="G82" s="117" t="s">
        <v>45</v>
      </c>
      <c r="H82" s="118"/>
      <c r="I82" s="117" t="s">
        <v>46</v>
      </c>
      <c r="J82" s="118"/>
    </row>
    <row r="83" spans="1:10" ht="14.25" customHeight="1">
      <c r="A83" s="8"/>
      <c r="B83" s="18"/>
      <c r="C83" s="149" t="s">
        <v>47</v>
      </c>
      <c r="D83" s="126"/>
      <c r="E83" s="18"/>
      <c r="F83" s="149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19" t="s">
        <v>48</v>
      </c>
      <c r="B85" s="120"/>
      <c r="C85" s="119" t="s">
        <v>49</v>
      </c>
      <c r="D85" s="120"/>
      <c r="E85" s="120"/>
      <c r="F85" s="27" t="s">
        <v>50</v>
      </c>
      <c r="G85" s="121">
        <v>300</v>
      </c>
      <c r="H85" s="120"/>
      <c r="I85" s="121">
        <v>3</v>
      </c>
      <c r="J85" s="120"/>
    </row>
    <row r="86" spans="1:10" ht="24.95" customHeight="1">
      <c r="A86" s="139" t="s">
        <v>51</v>
      </c>
      <c r="B86" s="120"/>
      <c r="C86" s="119"/>
      <c r="D86" s="120"/>
      <c r="E86" s="120"/>
      <c r="F86" s="119"/>
      <c r="G86" s="120"/>
      <c r="H86" s="120"/>
      <c r="I86" s="120"/>
      <c r="J86" s="120"/>
    </row>
    <row r="87" spans="1:10" ht="14.25" customHeight="1">
      <c r="A87" s="119" t="s">
        <v>52</v>
      </c>
      <c r="B87" s="120"/>
      <c r="C87" s="119" t="s">
        <v>53</v>
      </c>
      <c r="D87" s="120"/>
      <c r="E87" s="120"/>
      <c r="F87" s="27" t="s">
        <v>54</v>
      </c>
      <c r="G87" s="121">
        <v>3</v>
      </c>
      <c r="H87" s="120"/>
      <c r="I87" s="121">
        <v>0.03</v>
      </c>
      <c r="J87" s="120"/>
    </row>
    <row r="88" spans="1:10" ht="24.95" customHeight="1">
      <c r="A88" s="139" t="s">
        <v>55</v>
      </c>
      <c r="B88" s="120"/>
      <c r="C88" s="119" t="s">
        <v>56</v>
      </c>
      <c r="D88" s="120"/>
      <c r="E88" s="120"/>
      <c r="F88" s="119"/>
      <c r="G88" s="120"/>
      <c r="H88" s="120"/>
      <c r="I88" s="120"/>
      <c r="J88" s="120"/>
    </row>
    <row r="89" spans="1:10" ht="14.25" customHeight="1">
      <c r="A89" s="119" t="s">
        <v>57</v>
      </c>
      <c r="B89" s="120"/>
      <c r="C89" s="119" t="s">
        <v>58</v>
      </c>
      <c r="D89" s="120"/>
      <c r="E89" s="120"/>
      <c r="F89" s="27"/>
      <c r="G89" s="121">
        <v>0.6</v>
      </c>
      <c r="H89" s="120"/>
      <c r="I89" s="121">
        <v>6.0000000000000001E-3</v>
      </c>
      <c r="J89" s="120"/>
    </row>
    <row r="90" spans="1:10" ht="24.95" customHeight="1">
      <c r="A90" s="139" t="s">
        <v>59</v>
      </c>
      <c r="B90" s="120"/>
      <c r="C90" s="119" t="s">
        <v>60</v>
      </c>
      <c r="D90" s="120"/>
      <c r="E90" s="120"/>
      <c r="F90" s="119"/>
      <c r="G90" s="120"/>
      <c r="H90" s="120"/>
      <c r="I90" s="120"/>
      <c r="J90" s="120"/>
    </row>
    <row r="91" spans="1:10" ht="14.25" customHeight="1">
      <c r="A91" s="119" t="s">
        <v>61</v>
      </c>
      <c r="B91" s="120"/>
      <c r="C91" s="119" t="s">
        <v>62</v>
      </c>
      <c r="D91" s="120"/>
      <c r="E91" s="120"/>
      <c r="F91" s="27"/>
      <c r="G91" s="121">
        <v>0.3</v>
      </c>
      <c r="H91" s="120"/>
      <c r="I91" s="121">
        <v>3.0000000000000001E-3</v>
      </c>
      <c r="J91" s="120"/>
    </row>
    <row r="92" spans="1:10" ht="24.95" customHeight="1">
      <c r="A92" s="139" t="s">
        <v>63</v>
      </c>
      <c r="B92" s="120"/>
      <c r="C92" s="119" t="s">
        <v>64</v>
      </c>
      <c r="D92" s="120"/>
      <c r="E92" s="120"/>
      <c r="F92" s="119"/>
      <c r="G92" s="120"/>
      <c r="H92" s="120"/>
      <c r="I92" s="120"/>
      <c r="J92" s="120"/>
    </row>
    <row r="93" spans="1:10" ht="14.25" customHeight="1">
      <c r="A93" s="119"/>
      <c r="B93" s="120"/>
      <c r="C93" s="119"/>
      <c r="D93" s="120"/>
      <c r="E93" s="120"/>
      <c r="F93" s="27"/>
      <c r="G93" s="121"/>
      <c r="H93" s="120"/>
      <c r="I93" s="121"/>
      <c r="J93" s="120"/>
    </row>
    <row r="94" spans="1:10" ht="24.95" customHeight="1" thickBot="1">
      <c r="A94" s="139"/>
      <c r="B94" s="120"/>
      <c r="C94" s="119"/>
      <c r="D94" s="120"/>
      <c r="E94" s="120"/>
      <c r="F94" s="119"/>
      <c r="G94" s="120"/>
      <c r="H94" s="120"/>
      <c r="I94" s="120"/>
      <c r="J94" s="120"/>
    </row>
    <row r="95" spans="1:10" s="5" customFormat="1" ht="18" customHeight="1">
      <c r="A95" s="28" t="s">
        <v>77</v>
      </c>
      <c r="B95" s="29" t="s">
        <v>78</v>
      </c>
      <c r="C95" s="115" t="s">
        <v>79</v>
      </c>
      <c r="D95" s="116"/>
      <c r="E95" s="30" t="s">
        <v>80</v>
      </c>
      <c r="F95" s="31" t="s">
        <v>81</v>
      </c>
      <c r="G95" s="32" t="s">
        <v>82</v>
      </c>
      <c r="H95" s="33" t="s">
        <v>83</v>
      </c>
      <c r="I95" s="122" t="s">
        <v>84</v>
      </c>
      <c r="J95" s="123"/>
    </row>
    <row r="96" spans="1:10" s="7" customFormat="1" ht="18" customHeight="1">
      <c r="A96" s="34" t="str">
        <f>_xlfn.XLOOKUP(B60,[3]VFDB2!$A:$A,[3]VFDB2!$J:$J)</f>
        <v>〇</v>
      </c>
      <c r="B96" s="35">
        <f>D60</f>
        <v>1478</v>
      </c>
      <c r="C96" s="109" t="str">
        <f>_xlfn.XLOOKUP(B60,[3]VFDB2!$A:$A,[3]VFDB2!$Z:$Z)</f>
        <v>LED-A1478</v>
      </c>
      <c r="D96" s="110"/>
      <c r="E96" s="111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85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86</v>
      </c>
      <c r="B97" s="45" t="s">
        <v>87</v>
      </c>
      <c r="C97" s="109"/>
      <c r="D97" s="110"/>
      <c r="E97" s="111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88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+0.5</v>
      </c>
      <c r="B98" s="49" t="str">
        <f>_xlfn.XLOOKUP(B60,[3]VFDB2!$A:$A,[3]VFDB2!$AC:$AC)</f>
        <v>換算表確認</v>
      </c>
      <c r="C98" s="112" t="s">
        <v>89</v>
      </c>
      <c r="D98" s="113" t="str">
        <f>_xlfn.XLOOKUP(B60,[3]VFDB2!$A:$A,[3]VFDB2!$W:$W)</f>
        <v>クラフト紙：1478型</v>
      </c>
      <c r="E98" s="113"/>
      <c r="F98" s="114"/>
      <c r="G98" s="37"/>
      <c r="H98" s="38"/>
      <c r="I98" s="39" t="s">
        <v>90</v>
      </c>
      <c r="J98" s="41" t="str">
        <v/>
      </c>
      <c r="K98" s="50"/>
    </row>
    <row r="99" spans="1:14" s="5" customFormat="1" ht="18" customHeight="1">
      <c r="A99" s="51" t="s">
        <v>91</v>
      </c>
      <c r="B99" s="52" t="s">
        <v>92</v>
      </c>
      <c r="C99" s="112"/>
      <c r="D99" s="113" t="str">
        <f>_xlfn.XLOOKUP(B60,[3]VFDB2!$A:$A,[3]VFDB2!$R:$R)</f>
        <v>ラベル１枚　長手無　鉢巻１回</v>
      </c>
      <c r="E99" s="113"/>
      <c r="F99" s="114"/>
      <c r="G99" s="37"/>
      <c r="H99" s="38"/>
      <c r="I99" s="39" t="s">
        <v>93</v>
      </c>
      <c r="J99" s="41" t="str">
        <v/>
      </c>
      <c r="K99" s="47"/>
    </row>
    <row r="100" spans="1:14" s="7" customFormat="1" ht="18" customHeight="1" thickBot="1">
      <c r="A100" s="53" t="str">
        <f>_xlfn.XLOOKUP(B60,[3]VFDB2!$A:$A,[3]VFDB2!$K:$K)</f>
        <v>－0.5</v>
      </c>
      <c r="B100" s="54">
        <f>_xlfn.XLOOKUP(B60,[3]VFDB2!$A:$A,[3]VFDB2!$P:$P)</f>
        <v>1</v>
      </c>
      <c r="C100" s="55" t="s">
        <v>94</v>
      </c>
      <c r="D100" s="105" t="str">
        <f>_xlfn.XLOOKUP(B60,[3]VFDB2!$A:$A,[3]VFDB2!$V:$V)</f>
        <v>1箱目の梱包数 目視確認　以降、重量測定</v>
      </c>
      <c r="E100" s="105"/>
      <c r="F100" s="106"/>
      <c r="G100" s="56"/>
      <c r="H100" s="57"/>
      <c r="I100" s="39" t="s">
        <v>95</v>
      </c>
      <c r="J100" s="42" t="str">
        <v/>
      </c>
      <c r="K100" s="50"/>
    </row>
    <row r="101" spans="1:14" s="5" customFormat="1" ht="18" customHeight="1" thickBot="1">
      <c r="A101" s="58" t="s">
        <v>96</v>
      </c>
      <c r="B101" s="59" t="str" cm="1">
        <f t="array" ref="B101">IF(SUM(--(ISTEXT(B102:B112)*(B102:B112&lt;&gt;"")))=0,"計測Lot","計測Lot・加工数")</f>
        <v>計測Lot</v>
      </c>
      <c r="C101" s="60" t="s">
        <v>97</v>
      </c>
      <c r="D101" s="61" t="s">
        <v>98</v>
      </c>
      <c r="E101" s="62" t="s">
        <v>99</v>
      </c>
      <c r="F101" s="63" t="str" cm="1">
        <f t="array" ref="F101">IF(SUM(--(ISTEXT(B102:B112)*(B102:B112&lt;&gt;"")))=0,"記入不要","使用Lot")</f>
        <v>記入不要</v>
      </c>
      <c r="G101" s="64" t="s">
        <v>100</v>
      </c>
      <c r="H101" s="65" t="s">
        <v>101</v>
      </c>
      <c r="I101" s="66" t="s">
        <v>102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7" t="s">
        <v>103</v>
      </c>
      <c r="J102" s="108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104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105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106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107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108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109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110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111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112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113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5" t="s">
        <v>0</v>
      </c>
      <c r="C115" s="120"/>
      <c r="D115" s="120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20"/>
      <c r="C116" s="120"/>
      <c r="D116" s="120"/>
      <c r="E116" s="12"/>
      <c r="F116" s="12"/>
      <c r="G116" s="12"/>
      <c r="H116" s="12"/>
      <c r="I116" s="12"/>
      <c r="J116" s="12"/>
    </row>
    <row r="117" spans="1:10" ht="14.25" customHeight="1">
      <c r="A117" s="151" t="s">
        <v>1</v>
      </c>
      <c r="B117" s="151" t="s">
        <v>67</v>
      </c>
      <c r="C117" s="151" t="s">
        <v>3</v>
      </c>
      <c r="D117" s="153">
        <v>748</v>
      </c>
      <c r="E117" s="151" t="s">
        <v>4</v>
      </c>
      <c r="F117" s="150" t="s">
        <v>68</v>
      </c>
      <c r="G117" s="120"/>
      <c r="H117" s="120"/>
      <c r="I117" s="24" t="s">
        <v>6</v>
      </c>
      <c r="J117" s="24" t="s">
        <v>7</v>
      </c>
    </row>
    <row r="118" spans="1:10" ht="14.25" customHeight="1">
      <c r="A118" s="120"/>
      <c r="B118" s="120"/>
      <c r="C118" s="120"/>
      <c r="D118" s="120"/>
      <c r="E118" s="120"/>
      <c r="F118" s="120"/>
      <c r="G118" s="120"/>
      <c r="H118" s="120"/>
      <c r="I118" s="131"/>
      <c r="J118" s="131"/>
    </row>
    <row r="119" spans="1:10" ht="17.45" customHeight="1">
      <c r="A119" s="141" t="s">
        <v>8</v>
      </c>
      <c r="B119" s="141" t="s">
        <v>69</v>
      </c>
      <c r="E119" s="141" t="s">
        <v>10</v>
      </c>
      <c r="F119" s="144" t="s">
        <v>70</v>
      </c>
      <c r="G119" s="120"/>
      <c r="H119" s="120"/>
      <c r="I119" s="132"/>
      <c r="J119" s="132"/>
    </row>
    <row r="120" spans="1:10" ht="17.45" customHeight="1">
      <c r="A120" s="120"/>
      <c r="B120" s="120"/>
      <c r="E120" s="120"/>
      <c r="F120" s="120"/>
      <c r="G120" s="120"/>
      <c r="H120" s="120"/>
      <c r="I120" s="13"/>
      <c r="J120" s="13"/>
    </row>
    <row r="121" spans="1:10" ht="17.45" customHeight="1">
      <c r="A121" s="141" t="s">
        <v>12</v>
      </c>
      <c r="B121" s="141" t="s">
        <v>71</v>
      </c>
      <c r="E121" s="2" t="s">
        <v>14</v>
      </c>
      <c r="F121" s="144" t="s">
        <v>15</v>
      </c>
      <c r="G121" s="120"/>
      <c r="H121" s="21"/>
      <c r="I121" s="13"/>
      <c r="J121" s="13"/>
    </row>
    <row r="122" spans="1:10" ht="17.45" customHeight="1">
      <c r="A122" s="120"/>
      <c r="B122" s="120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46153</v>
      </c>
      <c r="E123" s="2" t="s">
        <v>19</v>
      </c>
      <c r="F123" s="138">
        <v>100</v>
      </c>
      <c r="G123" s="120"/>
      <c r="H123" s="21"/>
    </row>
    <row r="124" spans="1:10" ht="17.45" customHeight="1">
      <c r="A124" s="2" t="s">
        <v>20</v>
      </c>
      <c r="B124" s="4">
        <v>46153</v>
      </c>
      <c r="E124" s="2" t="s">
        <v>21</v>
      </c>
      <c r="F124" s="21">
        <v>2</v>
      </c>
      <c r="G124" s="142" t="s">
        <v>22</v>
      </c>
      <c r="H124" s="145">
        <v>200</v>
      </c>
      <c r="I124" s="146"/>
      <c r="J124" s="147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3"/>
      <c r="H125" s="143"/>
      <c r="I125" s="126"/>
      <c r="J125" s="127"/>
    </row>
    <row r="126" spans="1:10" ht="13.5" customHeight="1">
      <c r="A126" s="152" t="s">
        <v>72</v>
      </c>
      <c r="B126" s="120"/>
      <c r="C126" s="120"/>
      <c r="D126" s="20"/>
      <c r="F126" s="3"/>
      <c r="G126" s="128" t="s">
        <v>26</v>
      </c>
      <c r="H126" s="154" t="s">
        <v>27</v>
      </c>
      <c r="I126" s="124" t="s">
        <v>28</v>
      </c>
      <c r="J126" s="125"/>
    </row>
    <row r="127" spans="1:10" ht="13.5" customHeight="1">
      <c r="A127" s="120"/>
      <c r="B127" s="120"/>
      <c r="C127" s="120"/>
      <c r="D127" s="20"/>
      <c r="F127" s="3"/>
      <c r="G127" s="129"/>
      <c r="H127" s="129"/>
      <c r="I127" s="126"/>
      <c r="J127" s="127"/>
    </row>
    <row r="128" spans="1:10" ht="13.5" customHeight="1">
      <c r="A128" s="1" t="s">
        <v>29</v>
      </c>
    </row>
    <row r="129" spans="1:10" ht="63" customHeight="1">
      <c r="A129" s="134"/>
      <c r="B129" s="135"/>
      <c r="C129" s="135"/>
      <c r="D129" s="135"/>
      <c r="E129" s="135"/>
      <c r="F129" s="135"/>
      <c r="G129" s="135"/>
      <c r="H129" s="135"/>
      <c r="I129" s="135"/>
      <c r="J129" s="135"/>
    </row>
    <row r="130" spans="1:10" ht="18.75">
      <c r="A130" s="23" t="s">
        <v>30</v>
      </c>
      <c r="B130" s="16" t="s">
        <v>31</v>
      </c>
      <c r="C130" s="136" t="s">
        <v>32</v>
      </c>
      <c r="D130" s="137"/>
      <c r="E130" s="16" t="s">
        <v>33</v>
      </c>
      <c r="F130" s="136" t="s">
        <v>34</v>
      </c>
      <c r="G130" s="137"/>
      <c r="H130" s="137"/>
      <c r="I130" s="140" t="s">
        <v>35</v>
      </c>
      <c r="J130" s="137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9" t="s">
        <v>37</v>
      </c>
      <c r="D132" s="120"/>
      <c r="E132" s="25" t="s">
        <v>38</v>
      </c>
      <c r="F132" s="119" t="s">
        <v>39</v>
      </c>
      <c r="G132" s="120"/>
      <c r="H132" s="120"/>
      <c r="I132" s="148"/>
      <c r="J132" s="120"/>
    </row>
    <row r="133" spans="1:10" ht="16.5" customHeight="1">
      <c r="A133" s="22">
        <v>1</v>
      </c>
      <c r="B133" s="26" t="s">
        <v>36</v>
      </c>
      <c r="C133" s="119" t="s">
        <v>37</v>
      </c>
      <c r="D133" s="120"/>
      <c r="E133" s="25" t="s">
        <v>40</v>
      </c>
      <c r="F133" s="119" t="s">
        <v>41</v>
      </c>
      <c r="G133" s="120"/>
      <c r="H133" s="120"/>
      <c r="I133" s="148"/>
      <c r="J133" s="120"/>
    </row>
    <row r="134" spans="1:10" ht="16.5" customHeight="1">
      <c r="A134" s="22"/>
      <c r="B134" s="26"/>
      <c r="C134" s="119"/>
      <c r="D134" s="120"/>
      <c r="E134" s="25"/>
      <c r="F134" s="119"/>
      <c r="G134" s="120"/>
      <c r="H134" s="120"/>
      <c r="I134" s="148"/>
      <c r="J134" s="120"/>
    </row>
    <row r="135" spans="1:10" ht="16.5" customHeight="1">
      <c r="A135" s="22"/>
      <c r="B135" s="26"/>
      <c r="C135" s="119"/>
      <c r="D135" s="120"/>
      <c r="E135" s="25"/>
      <c r="F135" s="119"/>
      <c r="G135" s="120"/>
      <c r="H135" s="120"/>
      <c r="I135" s="148"/>
      <c r="J135" s="120"/>
    </row>
    <row r="136" spans="1:10" ht="16.5" customHeight="1">
      <c r="A136" s="22"/>
      <c r="B136" s="26"/>
      <c r="C136" s="119"/>
      <c r="D136" s="120"/>
      <c r="E136" s="25"/>
      <c r="F136" s="119"/>
      <c r="G136" s="120"/>
      <c r="H136" s="120"/>
      <c r="I136" s="148"/>
      <c r="J136" s="120"/>
    </row>
    <row r="137" spans="1:10" ht="16.5" customHeight="1">
      <c r="A137" s="22"/>
      <c r="B137" s="26"/>
      <c r="C137" s="119"/>
      <c r="D137" s="120"/>
      <c r="E137" s="25"/>
      <c r="F137" s="119"/>
      <c r="G137" s="120"/>
      <c r="H137" s="120"/>
      <c r="I137" s="148"/>
      <c r="J137" s="120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17" t="s">
        <v>42</v>
      </c>
      <c r="B139" s="118"/>
      <c r="C139" s="117" t="s">
        <v>43</v>
      </c>
      <c r="D139" s="118"/>
      <c r="E139" s="118"/>
      <c r="F139" s="17" t="s">
        <v>44</v>
      </c>
      <c r="G139" s="117" t="s">
        <v>45</v>
      </c>
      <c r="H139" s="118"/>
      <c r="I139" s="117" t="s">
        <v>46</v>
      </c>
      <c r="J139" s="118"/>
    </row>
    <row r="140" spans="1:10" ht="14.25" customHeight="1">
      <c r="A140" s="8"/>
      <c r="B140" s="18"/>
      <c r="C140" s="149" t="s">
        <v>47</v>
      </c>
      <c r="D140" s="126"/>
      <c r="E140" s="18"/>
      <c r="F140" s="149" t="s">
        <v>29</v>
      </c>
      <c r="G140" s="126"/>
      <c r="H140" s="126"/>
      <c r="I140" s="126"/>
      <c r="J140" s="126"/>
    </row>
    <row r="141" spans="1:10">
      <c r="A141" s="9"/>
      <c r="C141" s="7"/>
      <c r="D141" s="7"/>
      <c r="E141" s="7"/>
    </row>
    <row r="142" spans="1:10" ht="14.25" customHeight="1">
      <c r="A142" s="119" t="s">
        <v>48</v>
      </c>
      <c r="B142" s="120"/>
      <c r="C142" s="119" t="s">
        <v>49</v>
      </c>
      <c r="D142" s="120"/>
      <c r="E142" s="120"/>
      <c r="F142" s="27" t="s">
        <v>50</v>
      </c>
      <c r="G142" s="121">
        <v>100</v>
      </c>
      <c r="H142" s="120"/>
      <c r="I142" s="121">
        <v>1</v>
      </c>
      <c r="J142" s="120"/>
    </row>
    <row r="143" spans="1:10" ht="24.95" customHeight="1">
      <c r="A143" s="139" t="s">
        <v>51</v>
      </c>
      <c r="B143" s="120"/>
      <c r="C143" s="119"/>
      <c r="D143" s="120"/>
      <c r="E143" s="120"/>
      <c r="F143" s="119"/>
      <c r="G143" s="120"/>
      <c r="H143" s="120"/>
      <c r="I143" s="120"/>
      <c r="J143" s="120"/>
    </row>
    <row r="144" spans="1:10" ht="14.25" customHeight="1">
      <c r="A144" s="119" t="s">
        <v>73</v>
      </c>
      <c r="B144" s="120"/>
      <c r="C144" s="119" t="s">
        <v>74</v>
      </c>
      <c r="D144" s="120"/>
      <c r="E144" s="120"/>
      <c r="F144" s="27" t="s">
        <v>36</v>
      </c>
      <c r="G144" s="121">
        <v>2</v>
      </c>
      <c r="H144" s="120"/>
      <c r="I144" s="121">
        <v>0.02</v>
      </c>
      <c r="J144" s="120"/>
    </row>
    <row r="145" spans="1:11" ht="24.95" customHeight="1">
      <c r="A145" s="139" t="s">
        <v>75</v>
      </c>
      <c r="B145" s="120"/>
      <c r="C145" s="119" t="s">
        <v>76</v>
      </c>
      <c r="D145" s="120"/>
      <c r="E145" s="120"/>
      <c r="F145" s="119"/>
      <c r="G145" s="120"/>
      <c r="H145" s="120"/>
      <c r="I145" s="120"/>
      <c r="J145" s="120"/>
    </row>
    <row r="146" spans="1:11" ht="14.25" customHeight="1">
      <c r="A146" s="119" t="s">
        <v>57</v>
      </c>
      <c r="B146" s="120"/>
      <c r="C146" s="119" t="s">
        <v>58</v>
      </c>
      <c r="D146" s="120"/>
      <c r="E146" s="120"/>
      <c r="F146" s="27"/>
      <c r="G146" s="121">
        <v>0.2</v>
      </c>
      <c r="H146" s="120"/>
      <c r="I146" s="121">
        <v>2E-3</v>
      </c>
      <c r="J146" s="120"/>
    </row>
    <row r="147" spans="1:11" ht="24.95" customHeight="1">
      <c r="A147" s="139" t="s">
        <v>59</v>
      </c>
      <c r="B147" s="120"/>
      <c r="C147" s="119" t="s">
        <v>60</v>
      </c>
      <c r="D147" s="120"/>
      <c r="E147" s="120"/>
      <c r="F147" s="119"/>
      <c r="G147" s="120"/>
      <c r="H147" s="120"/>
      <c r="I147" s="120"/>
      <c r="J147" s="120"/>
    </row>
    <row r="148" spans="1:11" ht="14.25" customHeight="1">
      <c r="A148" s="119" t="s">
        <v>61</v>
      </c>
      <c r="B148" s="120"/>
      <c r="C148" s="119" t="s">
        <v>62</v>
      </c>
      <c r="D148" s="120"/>
      <c r="E148" s="120"/>
      <c r="F148" s="27"/>
      <c r="G148" s="121">
        <v>0.2</v>
      </c>
      <c r="H148" s="120"/>
      <c r="I148" s="121">
        <v>2E-3</v>
      </c>
      <c r="J148" s="120"/>
    </row>
    <row r="149" spans="1:11" ht="24.95" customHeight="1">
      <c r="A149" s="139" t="s">
        <v>63</v>
      </c>
      <c r="B149" s="120"/>
      <c r="C149" s="119" t="s">
        <v>64</v>
      </c>
      <c r="D149" s="120"/>
      <c r="E149" s="120"/>
      <c r="F149" s="119"/>
      <c r="G149" s="120"/>
      <c r="H149" s="120"/>
      <c r="I149" s="120"/>
      <c r="J149" s="120"/>
    </row>
    <row r="150" spans="1:11" ht="14.25" customHeight="1">
      <c r="A150" s="119"/>
      <c r="B150" s="120"/>
      <c r="C150" s="119"/>
      <c r="D150" s="120"/>
      <c r="E150" s="120"/>
      <c r="F150" s="27"/>
      <c r="G150" s="121"/>
      <c r="H150" s="120"/>
      <c r="I150" s="121"/>
      <c r="J150" s="120"/>
    </row>
    <row r="151" spans="1:11" ht="24.95" customHeight="1" thickBot="1">
      <c r="A151" s="139"/>
      <c r="B151" s="120"/>
      <c r="C151" s="119"/>
      <c r="D151" s="120"/>
      <c r="E151" s="120"/>
      <c r="F151" s="119"/>
      <c r="G151" s="120"/>
      <c r="H151" s="120"/>
      <c r="I151" s="120"/>
      <c r="J151" s="120"/>
    </row>
    <row r="152" spans="1:11" s="5" customFormat="1" ht="18" customHeight="1">
      <c r="A152" s="28" t="s">
        <v>77</v>
      </c>
      <c r="B152" s="29" t="s">
        <v>78</v>
      </c>
      <c r="C152" s="115" t="s">
        <v>79</v>
      </c>
      <c r="D152" s="116"/>
      <c r="E152" s="30" t="s">
        <v>80</v>
      </c>
      <c r="F152" s="31" t="s">
        <v>81</v>
      </c>
      <c r="G152" s="32" t="s">
        <v>82</v>
      </c>
      <c r="H152" s="33" t="s">
        <v>83</v>
      </c>
      <c r="I152" s="122" t="s">
        <v>84</v>
      </c>
      <c r="J152" s="123"/>
    </row>
    <row r="153" spans="1:11" s="7" customFormat="1" ht="18" customHeight="1">
      <c r="A153" s="34" t="str">
        <f>_xlfn.XLOOKUP(B117,[3]VFDB2!$A:$A,[3]VFDB2!$J:$J)</f>
        <v>〇</v>
      </c>
      <c r="B153" s="35">
        <f>D117</f>
        <v>748</v>
      </c>
      <c r="C153" s="109" t="str">
        <f>_xlfn.XLOOKUP(B117,[3]VFDB2!$A:$A,[3]VFDB2!$Z:$Z)</f>
        <v>LED-A888</v>
      </c>
      <c r="D153" s="110"/>
      <c r="E153" s="111" t="str" cm="1">
        <f t="array" ref="E153">IFERROR(INDEX(_xlfn._xlws.FILTER([4]加工記録２!C:C,[4]加工記録２!U:U=B119),9),"")</f>
        <v/>
      </c>
      <c r="F153" s="36" t="str" cm="1">
        <f t="array" ref="F153">IFERROR("切断加工：" &amp;_xlfn.TEXTJOIN(" / ",TRUE,INDEX(_xlfn._xlws.FILTER([4]加工記録２!M:M,[4]加工記録２!U:U=B119),9),INDEX(_xlfn._xlws.FILTER([4]加工記録２!N:N,[4]加工記録２!U:U=B119),9)),"")</f>
        <v/>
      </c>
      <c r="G153" s="37" t="str" cm="1">
        <f t="array" ref="G153">IFERROR(IF(_xlfn.TAKE(_xlfn._xlws.FILTER([4]加工記録２!$M:$N,[4]加工記録２!$U:$U=B119),5)=0,"",_xlfn.TAKE(_xlfn._xlws.FILTER([4]加工記録２!$M:$N,[4]加工記録２!$U:$U=B119),5)),"")</f>
        <v/>
      </c>
      <c r="H153" s="38"/>
      <c r="I153" s="39" t="s">
        <v>85</v>
      </c>
      <c r="J153" s="40" t="str" cm="1">
        <f t="array" ref="J153:J158">IFERROR(INDEX(_xlfn._xlws.FILTER([4]加工記録２!P:P, [4]加工記録２!U:U=B119),_xlfn.SEQUENCE(6)),"")</f>
        <v/>
      </c>
    </row>
    <row r="154" spans="1:11" s="5" customFormat="1" ht="18" customHeight="1">
      <c r="A154" s="44" t="s">
        <v>86</v>
      </c>
      <c r="B154" s="45" t="s">
        <v>87</v>
      </c>
      <c r="C154" s="109"/>
      <c r="D154" s="110"/>
      <c r="E154" s="111"/>
      <c r="F154" s="46" t="str" cm="1">
        <f t="array" ref="F154">IFERROR("外観検査：" &amp;_xlfn.TEXTJOIN(" / ",TRUE,INDEX(_xlfn._xlws.FILTER([4]加工記録２!M:M,[4]加工記録２!U:U=B119),10),INDEX(_xlfn._xlws.FILTER([4]加工記録２!N:N,[4]加工記録２!U:U=B119),10)),"")</f>
        <v/>
      </c>
      <c r="G154" s="37"/>
      <c r="H154" s="38"/>
      <c r="I154" s="39" t="s">
        <v>88</v>
      </c>
      <c r="J154" s="41" t="str">
        <v/>
      </c>
      <c r="K154" s="47"/>
    </row>
    <row r="155" spans="1:11" s="7" customFormat="1" ht="18" customHeight="1">
      <c r="A155" s="48" t="str">
        <f>_xlfn.XLOOKUP(B117,[3]VFDB2!$A:$A,[3]VFDB2!$L:$L)</f>
        <v>+0.5</v>
      </c>
      <c r="B155" s="49" t="str">
        <f>_xlfn.XLOOKUP(B117,[3]VFDB2!$A:$A,[3]VFDB2!$AC:$AC)</f>
        <v>換算表確認</v>
      </c>
      <c r="C155" s="112" t="s">
        <v>89</v>
      </c>
      <c r="D155" s="113" t="str">
        <f>_xlfn.XLOOKUP(B117,[3]VFDB2!$A:$A,[3]VFDB2!$W:$W)</f>
        <v>L=888用　クラフト紙</v>
      </c>
      <c r="E155" s="113"/>
      <c r="F155" s="114"/>
      <c r="G155" s="37"/>
      <c r="H155" s="38"/>
      <c r="I155" s="39" t="s">
        <v>90</v>
      </c>
      <c r="J155" s="41" t="str">
        <v/>
      </c>
      <c r="K155" s="50"/>
    </row>
    <row r="156" spans="1:11" s="5" customFormat="1" ht="18" customHeight="1">
      <c r="A156" s="51" t="s">
        <v>91</v>
      </c>
      <c r="B156" s="52" t="s">
        <v>92</v>
      </c>
      <c r="C156" s="112"/>
      <c r="D156" s="113" t="str">
        <f>_xlfn.XLOOKUP(B117,[3]VFDB2!$A:$A,[3]VFDB2!$R:$R)</f>
        <v>ラベル１枚　長手無　鉢巻１回</v>
      </c>
      <c r="E156" s="113"/>
      <c r="F156" s="114"/>
      <c r="G156" s="37"/>
      <c r="H156" s="38"/>
      <c r="I156" s="39" t="s">
        <v>93</v>
      </c>
      <c r="J156" s="41" t="str">
        <v/>
      </c>
      <c r="K156" s="47"/>
    </row>
    <row r="157" spans="1:11" s="7" customFormat="1" ht="18" customHeight="1" thickBot="1">
      <c r="A157" s="53" t="str">
        <f>_xlfn.XLOOKUP(B117,[3]VFDB2!$A:$A,[3]VFDB2!$K:$K)</f>
        <v>－0.5</v>
      </c>
      <c r="B157" s="54">
        <f>_xlfn.XLOOKUP(B117,[3]VFDB2!$A:$A,[3]VFDB2!$P:$P)</f>
        <v>2</v>
      </c>
      <c r="C157" s="55" t="s">
        <v>94</v>
      </c>
      <c r="D157" s="105" t="str">
        <f>_xlfn.XLOOKUP(B117,[3]VFDB2!$A:$A,[3]VFDB2!$V:$V)</f>
        <v>1箱目の梱包数 目視確認　以降、重量測定</v>
      </c>
      <c r="E157" s="105"/>
      <c r="F157" s="106"/>
      <c r="G157" s="56"/>
      <c r="H157" s="57"/>
      <c r="I157" s="39" t="s">
        <v>95</v>
      </c>
      <c r="J157" s="42" t="str">
        <v/>
      </c>
      <c r="K157" s="50"/>
    </row>
    <row r="158" spans="1:11" s="5" customFormat="1" ht="18" customHeight="1" thickBot="1">
      <c r="A158" s="58" t="s">
        <v>96</v>
      </c>
      <c r="B158" s="59" t="str" cm="1">
        <f t="array" ref="B158">IF(SUM(--(ISTEXT(B159:B169)*(B159:B169&lt;&gt;"")))=0,"計測Lot","計測Lot・加工数")</f>
        <v>計測Lot</v>
      </c>
      <c r="C158" s="60" t="s">
        <v>97</v>
      </c>
      <c r="D158" s="61" t="s">
        <v>98</v>
      </c>
      <c r="E158" s="62" t="s">
        <v>99</v>
      </c>
      <c r="F158" s="63" t="str" cm="1">
        <f t="array" ref="F158">IF(SUM(--(ISTEXT(B159:B169)*(B159:B169&lt;&gt;"")))=0,"記入不要","使用Lot")</f>
        <v>記入不要</v>
      </c>
      <c r="G158" s="64" t="s">
        <v>100</v>
      </c>
      <c r="H158" s="65" t="s">
        <v>101</v>
      </c>
      <c r="I158" s="66" t="s">
        <v>102</v>
      </c>
      <c r="J158" s="43" t="str">
        <v/>
      </c>
      <c r="K158" s="47"/>
    </row>
    <row r="159" spans="1:11" s="7" customFormat="1" ht="18" customHeight="1">
      <c r="A159" s="67" t="str" cm="1">
        <f t="array" ref="A159:A169">IFERROR(INDEX(_xlfn._xlws.FILTER([4]加工記録２!$D:$D,[4]加工記録２!$U:$U=B119),_xlfn.SEQUENCE(11),0),"")</f>
        <v/>
      </c>
      <c r="B159" s="71" t="str" cm="1">
        <f t="array" ref="B159:B169">IFERROR(IF(INDEX(_xlfn._xlws.FILTER([4]加工記録２!$E:$E,[4]加工記録２!$U:$U=B119),_xlfn.SEQUENCE(11))="","",INDEX(_xlfn._xlws.FILTER([4]加工記録２!$E:$E,[4]加工記録２!$U:$U=B119),_xlfn.SEQUENCE(11)) &amp; IF(INDEX(_xlfn._xlws.FILTER([4]加工記録２!$F:$F,[4]加工記録２!$U:$U=B119),_xlfn.SEQUENCE(11))="","", " × " &amp; INDEX(_xlfn._xlws.FILTER([4]加工記録２!$F:$F,[4]加工記録２!$U:$U=B119),_xlfn.SEQUENCE(11)))),"")</f>
        <v/>
      </c>
      <c r="C159" s="74"/>
      <c r="D159" s="75"/>
      <c r="E159" s="76"/>
      <c r="F159" s="77"/>
      <c r="G159" s="78"/>
      <c r="H159" s="79"/>
      <c r="I159" s="107" t="s">
        <v>103</v>
      </c>
      <c r="J159" s="108"/>
      <c r="K159" s="80"/>
    </row>
    <row r="160" spans="1:11" s="5" customFormat="1" ht="18" customHeight="1">
      <c r="A160" s="68" t="str">
        <v/>
      </c>
      <c r="B160" s="72" t="str">
        <v/>
      </c>
      <c r="C160" s="81"/>
      <c r="D160" s="82"/>
      <c r="E160" s="83"/>
      <c r="F160" s="84"/>
      <c r="G160" s="81"/>
      <c r="H160" s="85"/>
      <c r="I160" s="86" t="s">
        <v>104</v>
      </c>
      <c r="J160" s="85" t="str" cm="1">
        <f t="array" ref="J160:J169">IFERROR(INDEX(_xlfn._xlws.FILTER([4]加工記録２!R:R, [4]加工記録２!U:U=B119),_xlfn.SEQUENCE(10)),"")</f>
        <v/>
      </c>
      <c r="K160" s="80"/>
    </row>
    <row r="161" spans="1:14" s="91" customFormat="1" ht="18.95" customHeight="1">
      <c r="A161" s="69" t="str">
        <v/>
      </c>
      <c r="B161" s="72" t="str">
        <v/>
      </c>
      <c r="C161" s="81"/>
      <c r="D161" s="82"/>
      <c r="E161" s="83"/>
      <c r="F161" s="84"/>
      <c r="G161" s="81"/>
      <c r="H161" s="85"/>
      <c r="I161" s="86" t="s">
        <v>105</v>
      </c>
      <c r="J161" s="85" t="str">
        <v/>
      </c>
      <c r="K161" s="89"/>
      <c r="L161" s="90"/>
      <c r="M161" s="90"/>
      <c r="N161" s="90"/>
    </row>
    <row r="162" spans="1:14" s="94" customFormat="1" ht="18.95" customHeight="1">
      <c r="A162" s="69" t="str">
        <v/>
      </c>
      <c r="B162" s="72" t="str">
        <v/>
      </c>
      <c r="C162" s="81"/>
      <c r="D162" s="82"/>
      <c r="E162" s="83"/>
      <c r="F162" s="84"/>
      <c r="G162" s="81"/>
      <c r="H162" s="85"/>
      <c r="I162" s="86" t="s">
        <v>106</v>
      </c>
      <c r="J162" s="85" t="str">
        <v/>
      </c>
      <c r="K162" s="92"/>
      <c r="L162" s="93"/>
      <c r="M162" s="93"/>
      <c r="N162" s="93"/>
    </row>
    <row r="163" spans="1:14" s="94" customFormat="1" ht="18.95" customHeight="1">
      <c r="A163" s="69" t="str">
        <v/>
      </c>
      <c r="B163" s="72" t="str">
        <v/>
      </c>
      <c r="C163" s="81"/>
      <c r="D163" s="82"/>
      <c r="E163" s="83"/>
      <c r="F163" s="84"/>
      <c r="G163" s="81"/>
      <c r="H163" s="85"/>
      <c r="I163" s="86" t="s">
        <v>107</v>
      </c>
      <c r="J163" s="85" t="str">
        <v/>
      </c>
      <c r="K163" s="92"/>
      <c r="L163" s="93"/>
      <c r="M163" s="93"/>
      <c r="N163" s="93"/>
    </row>
    <row r="164" spans="1:14" s="94" customFormat="1" ht="18.95" customHeight="1">
      <c r="A164" s="69" t="str">
        <v/>
      </c>
      <c r="B164" s="72" t="str">
        <v/>
      </c>
      <c r="C164" s="81"/>
      <c r="D164" s="82"/>
      <c r="E164" s="83"/>
      <c r="F164" s="84"/>
      <c r="G164" s="81"/>
      <c r="H164" s="85"/>
      <c r="I164" s="86" t="s">
        <v>108</v>
      </c>
      <c r="J164" s="85" t="str">
        <v/>
      </c>
      <c r="K164" s="92"/>
      <c r="L164" s="93"/>
      <c r="M164" s="93"/>
      <c r="N164" s="93"/>
    </row>
    <row r="165" spans="1:14" s="94" customFormat="1" ht="18.95" customHeight="1">
      <c r="A165" s="69" t="str">
        <v/>
      </c>
      <c r="B165" s="72" t="str">
        <v/>
      </c>
      <c r="C165" s="81"/>
      <c r="D165" s="82"/>
      <c r="E165" s="83"/>
      <c r="F165" s="84"/>
      <c r="G165" s="81"/>
      <c r="H165" s="85"/>
      <c r="I165" s="86" t="s">
        <v>109</v>
      </c>
      <c r="J165" s="85" t="str">
        <v/>
      </c>
      <c r="K165" s="92"/>
      <c r="L165" s="93"/>
      <c r="M165" s="93"/>
      <c r="N165" s="93"/>
    </row>
    <row r="166" spans="1:14" s="94" customFormat="1" ht="18.95" customHeight="1">
      <c r="A166" s="69" t="str">
        <v/>
      </c>
      <c r="B166" s="72" t="str">
        <v/>
      </c>
      <c r="C166" s="81"/>
      <c r="D166" s="82"/>
      <c r="E166" s="83"/>
      <c r="F166" s="84"/>
      <c r="G166" s="81"/>
      <c r="H166" s="85"/>
      <c r="I166" s="95" t="s">
        <v>110</v>
      </c>
      <c r="J166" s="85" t="str">
        <v/>
      </c>
      <c r="K166" s="92"/>
      <c r="L166" s="93"/>
      <c r="M166" s="93"/>
      <c r="N166" s="93"/>
    </row>
    <row r="167" spans="1:14" s="94" customFormat="1" ht="18.95" customHeight="1">
      <c r="A167" s="69" t="str">
        <v/>
      </c>
      <c r="B167" s="72" t="str">
        <v/>
      </c>
      <c r="C167" s="81"/>
      <c r="D167" s="82"/>
      <c r="E167" s="83"/>
      <c r="F167" s="84"/>
      <c r="G167" s="81"/>
      <c r="H167" s="85"/>
      <c r="I167" s="95" t="s">
        <v>111</v>
      </c>
      <c r="J167" s="85" t="str">
        <v/>
      </c>
      <c r="K167" s="92"/>
      <c r="L167" s="93"/>
      <c r="M167" s="93"/>
      <c r="N167" s="93"/>
    </row>
    <row r="168" spans="1:14" s="94" customFormat="1" ht="18.95" customHeight="1">
      <c r="A168" s="69" t="str">
        <v/>
      </c>
      <c r="B168" s="72" t="str">
        <v/>
      </c>
      <c r="C168" s="81"/>
      <c r="D168" s="82"/>
      <c r="E168" s="83"/>
      <c r="F168" s="84"/>
      <c r="G168" s="81"/>
      <c r="H168" s="85"/>
      <c r="I168" s="86" t="s">
        <v>112</v>
      </c>
      <c r="J168" s="87" t="str">
        <v/>
      </c>
      <c r="K168" s="92"/>
      <c r="L168" s="93"/>
      <c r="M168" s="93"/>
      <c r="N168" s="93"/>
    </row>
    <row r="169" spans="1:14" s="94" customFormat="1" ht="18.95" customHeight="1" thickBot="1">
      <c r="A169" s="70" t="str">
        <v/>
      </c>
      <c r="B169" s="73" t="str">
        <v/>
      </c>
      <c r="C169" s="96"/>
      <c r="D169" s="97"/>
      <c r="E169" s="98"/>
      <c r="F169" s="99"/>
      <c r="G169" s="100"/>
      <c r="H169" s="101"/>
      <c r="I169" s="102" t="s">
        <v>113</v>
      </c>
      <c r="J169" s="88" t="str">
        <v/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285">
    <mergeCell ref="I4:I5"/>
    <mergeCell ref="B5:B6"/>
    <mergeCell ref="I38:J38"/>
    <mergeCell ref="F123:G123"/>
    <mergeCell ref="C78:D78"/>
    <mergeCell ref="C147:E147"/>
    <mergeCell ref="F20:H20"/>
    <mergeCell ref="A60:A61"/>
    <mergeCell ref="H67:J68"/>
    <mergeCell ref="I22:J22"/>
    <mergeCell ref="I93:J93"/>
    <mergeCell ref="A69:C70"/>
    <mergeCell ref="E119:E120"/>
    <mergeCell ref="C3:C4"/>
    <mergeCell ref="E3:E4"/>
    <mergeCell ref="I19:J19"/>
    <mergeCell ref="B7:B8"/>
    <mergeCell ref="A93:B93"/>
    <mergeCell ref="F62:H63"/>
    <mergeCell ref="E5:E6"/>
    <mergeCell ref="G67:G68"/>
    <mergeCell ref="I61:I62"/>
    <mergeCell ref="G69:G70"/>
    <mergeCell ref="F7:G7"/>
    <mergeCell ref="A7:A8"/>
    <mergeCell ref="A88:B88"/>
    <mergeCell ref="F83:J83"/>
    <mergeCell ref="A146:B146"/>
    <mergeCell ref="G28:H28"/>
    <mergeCell ref="I28:J28"/>
    <mergeCell ref="C149:E149"/>
    <mergeCell ref="I130:J130"/>
    <mergeCell ref="G30:H30"/>
    <mergeCell ref="C130:D130"/>
    <mergeCell ref="F73:H73"/>
    <mergeCell ref="I132:J132"/>
    <mergeCell ref="C135:D135"/>
    <mergeCell ref="I16:J16"/>
    <mergeCell ref="I76:J76"/>
    <mergeCell ref="A90:B90"/>
    <mergeCell ref="C91:E91"/>
    <mergeCell ref="I18:J18"/>
    <mergeCell ref="G34:H34"/>
    <mergeCell ref="A85:B85"/>
    <mergeCell ref="C32:E32"/>
    <mergeCell ref="F16:H16"/>
    <mergeCell ref="G32:H32"/>
    <mergeCell ref="I77:J77"/>
    <mergeCell ref="H10:J11"/>
    <mergeCell ref="I32:J32"/>
    <mergeCell ref="I134:J134"/>
    <mergeCell ref="A37:B37"/>
    <mergeCell ref="C137:D137"/>
    <mergeCell ref="A92:B92"/>
    <mergeCell ref="A94:B94"/>
    <mergeCell ref="A151:B151"/>
    <mergeCell ref="A150:B150"/>
    <mergeCell ref="B119:B120"/>
    <mergeCell ref="A33:B33"/>
    <mergeCell ref="B64:B65"/>
    <mergeCell ref="A35:B35"/>
    <mergeCell ref="A147:B147"/>
    <mergeCell ref="C151:E151"/>
    <mergeCell ref="E117:E118"/>
    <mergeCell ref="I133:J133"/>
    <mergeCell ref="I135:J135"/>
    <mergeCell ref="B60:B61"/>
    <mergeCell ref="F77:H77"/>
    <mergeCell ref="C145:E145"/>
    <mergeCell ref="D117:D118"/>
    <mergeCell ref="A121:A122"/>
    <mergeCell ref="F149:J149"/>
    <mergeCell ref="G10:G11"/>
    <mergeCell ref="J4:J5"/>
    <mergeCell ref="C19:D19"/>
    <mergeCell ref="F21:H21"/>
    <mergeCell ref="C25:E25"/>
    <mergeCell ref="C85:E85"/>
    <mergeCell ref="D3:D4"/>
    <mergeCell ref="F35:J35"/>
    <mergeCell ref="C60:C61"/>
    <mergeCell ref="H12:H13"/>
    <mergeCell ref="C33:E33"/>
    <mergeCell ref="G25:H25"/>
    <mergeCell ref="C35:E35"/>
    <mergeCell ref="F64:G64"/>
    <mergeCell ref="I12:J13"/>
    <mergeCell ref="F23:H23"/>
    <mergeCell ref="C20:D20"/>
    <mergeCell ref="F3:H4"/>
    <mergeCell ref="F5:H6"/>
    <mergeCell ref="F37:J37"/>
    <mergeCell ref="I21:J21"/>
    <mergeCell ref="C21:D21"/>
    <mergeCell ref="F80:H80"/>
    <mergeCell ref="C29:E29"/>
    <mergeCell ref="C30:E30"/>
    <mergeCell ref="I79:J79"/>
    <mergeCell ref="I95:J95"/>
    <mergeCell ref="I89:J89"/>
    <mergeCell ref="C132:D132"/>
    <mergeCell ref="G89:H89"/>
    <mergeCell ref="F137:H137"/>
    <mergeCell ref="I82:J82"/>
    <mergeCell ref="F134:H134"/>
    <mergeCell ref="C136:D136"/>
    <mergeCell ref="F76:H76"/>
    <mergeCell ref="C31:E31"/>
    <mergeCell ref="C134:D134"/>
    <mergeCell ref="C75:D75"/>
    <mergeCell ref="I91:J91"/>
    <mergeCell ref="I85:J85"/>
    <mergeCell ref="C117:C118"/>
    <mergeCell ref="F94:J94"/>
    <mergeCell ref="G93:H93"/>
    <mergeCell ref="E62:E63"/>
    <mergeCell ref="F31:J31"/>
    <mergeCell ref="C34:E34"/>
    <mergeCell ref="G36:H36"/>
    <mergeCell ref="I36:J36"/>
    <mergeCell ref="F18:H18"/>
    <mergeCell ref="F22:H22"/>
    <mergeCell ref="I23:J23"/>
    <mergeCell ref="C23:D23"/>
    <mergeCell ref="E39:E40"/>
    <mergeCell ref="A139:B139"/>
    <mergeCell ref="C133:D133"/>
    <mergeCell ref="A91:B91"/>
    <mergeCell ref="B62:B63"/>
    <mergeCell ref="A82:B82"/>
    <mergeCell ref="A25:B25"/>
    <mergeCell ref="F88:J88"/>
    <mergeCell ref="C41:C42"/>
    <mergeCell ref="D41:F41"/>
    <mergeCell ref="D42:F42"/>
    <mergeCell ref="D43:F43"/>
    <mergeCell ref="I45:J45"/>
    <mergeCell ref="C95:D95"/>
    <mergeCell ref="C87:E87"/>
    <mergeCell ref="C89:E89"/>
    <mergeCell ref="C88:E88"/>
    <mergeCell ref="C79:D79"/>
    <mergeCell ref="C73:D73"/>
    <mergeCell ref="F33:J33"/>
    <mergeCell ref="B1:D2"/>
    <mergeCell ref="I20:J20"/>
    <mergeCell ref="G85:H85"/>
    <mergeCell ref="A117:A118"/>
    <mergeCell ref="C143:E143"/>
    <mergeCell ref="A119:A120"/>
    <mergeCell ref="F147:J147"/>
    <mergeCell ref="B3:B4"/>
    <mergeCell ref="I80:J80"/>
    <mergeCell ref="A87:B87"/>
    <mergeCell ref="I144:J144"/>
    <mergeCell ref="H69:H70"/>
    <mergeCell ref="A89:B89"/>
    <mergeCell ref="B58:D59"/>
    <mergeCell ref="F140:J140"/>
    <mergeCell ref="F9:G9"/>
    <mergeCell ref="F79:H79"/>
    <mergeCell ref="E60:E61"/>
    <mergeCell ref="C36:E36"/>
    <mergeCell ref="I118:I119"/>
    <mergeCell ref="F26:J26"/>
    <mergeCell ref="F90:J90"/>
    <mergeCell ref="A32:B32"/>
    <mergeCell ref="J61:J62"/>
    <mergeCell ref="F29:J29"/>
    <mergeCell ref="G126:G127"/>
    <mergeCell ref="A36:B36"/>
    <mergeCell ref="A149:B149"/>
    <mergeCell ref="A5:A6"/>
    <mergeCell ref="A86:B86"/>
    <mergeCell ref="A144:B144"/>
    <mergeCell ref="A12:C13"/>
    <mergeCell ref="F19:H19"/>
    <mergeCell ref="H126:H127"/>
    <mergeCell ref="I78:J78"/>
    <mergeCell ref="I136:J136"/>
    <mergeCell ref="B117:B118"/>
    <mergeCell ref="B115:D116"/>
    <mergeCell ref="I25:J25"/>
    <mergeCell ref="F136:H136"/>
    <mergeCell ref="C76:D76"/>
    <mergeCell ref="F78:H78"/>
    <mergeCell ref="F92:J92"/>
    <mergeCell ref="G91:H91"/>
    <mergeCell ref="C77:D77"/>
    <mergeCell ref="I34:J34"/>
    <mergeCell ref="C16:D16"/>
    <mergeCell ref="F119:H120"/>
    <mergeCell ref="A148:B148"/>
    <mergeCell ref="F60:H61"/>
    <mergeCell ref="F133:H133"/>
    <mergeCell ref="F75:H75"/>
    <mergeCell ref="C38:D38"/>
    <mergeCell ref="C39:D40"/>
    <mergeCell ref="A3:A4"/>
    <mergeCell ref="F86:J86"/>
    <mergeCell ref="G146:H146"/>
    <mergeCell ref="I75:J75"/>
    <mergeCell ref="I146:J146"/>
    <mergeCell ref="A62:A63"/>
    <mergeCell ref="A126:C127"/>
    <mergeCell ref="C22:D22"/>
    <mergeCell ref="C28:E28"/>
    <mergeCell ref="A29:B29"/>
    <mergeCell ref="D60:D61"/>
    <mergeCell ref="A64:A65"/>
    <mergeCell ref="A31:B31"/>
    <mergeCell ref="C83:D83"/>
    <mergeCell ref="C90:E90"/>
    <mergeCell ref="C26:D26"/>
    <mergeCell ref="G82:H82"/>
    <mergeCell ref="F117:H118"/>
    <mergeCell ref="F143:J143"/>
    <mergeCell ref="G144:H144"/>
    <mergeCell ref="I73:J73"/>
    <mergeCell ref="A129:J129"/>
    <mergeCell ref="A142:B142"/>
    <mergeCell ref="B121:B122"/>
    <mergeCell ref="A72:J72"/>
    <mergeCell ref="I69:J70"/>
    <mergeCell ref="A145:B145"/>
    <mergeCell ref="G124:G125"/>
    <mergeCell ref="C82:E82"/>
    <mergeCell ref="C86:E86"/>
    <mergeCell ref="I142:J142"/>
    <mergeCell ref="C92:E92"/>
    <mergeCell ref="C142:E142"/>
    <mergeCell ref="C139:E139"/>
    <mergeCell ref="F121:G121"/>
    <mergeCell ref="C93:E93"/>
    <mergeCell ref="H124:J125"/>
    <mergeCell ref="I137:J137"/>
    <mergeCell ref="C140:D140"/>
    <mergeCell ref="C155:C156"/>
    <mergeCell ref="D155:F155"/>
    <mergeCell ref="D156:F156"/>
    <mergeCell ref="G12:G13"/>
    <mergeCell ref="A28:B28"/>
    <mergeCell ref="I30:J30"/>
    <mergeCell ref="A30:B30"/>
    <mergeCell ref="C94:E94"/>
    <mergeCell ref="C150:E150"/>
    <mergeCell ref="C144:E144"/>
    <mergeCell ref="C80:D80"/>
    <mergeCell ref="G87:H87"/>
    <mergeCell ref="I87:J87"/>
    <mergeCell ref="J118:J119"/>
    <mergeCell ref="C37:E37"/>
    <mergeCell ref="A15:J15"/>
    <mergeCell ref="F130:H130"/>
    <mergeCell ref="F66:G66"/>
    <mergeCell ref="F132:H132"/>
    <mergeCell ref="C18:D18"/>
    <mergeCell ref="A34:B34"/>
    <mergeCell ref="A143:B143"/>
    <mergeCell ref="G148:H148"/>
    <mergeCell ref="G139:H139"/>
    <mergeCell ref="D157:F157"/>
    <mergeCell ref="I159:J159"/>
    <mergeCell ref="C96:D97"/>
    <mergeCell ref="E96:E97"/>
    <mergeCell ref="C98:C99"/>
    <mergeCell ref="D98:F98"/>
    <mergeCell ref="D99:F99"/>
    <mergeCell ref="D100:F100"/>
    <mergeCell ref="I102:J102"/>
    <mergeCell ref="C152:D152"/>
    <mergeCell ref="C153:D154"/>
    <mergeCell ref="E153:E154"/>
    <mergeCell ref="I139:J139"/>
    <mergeCell ref="C146:E146"/>
    <mergeCell ref="F135:H135"/>
    <mergeCell ref="I150:J150"/>
    <mergeCell ref="I152:J152"/>
    <mergeCell ref="G150:H150"/>
    <mergeCell ref="I148:J148"/>
    <mergeCell ref="F151:J151"/>
    <mergeCell ref="C148:E148"/>
    <mergeCell ref="I126:J127"/>
    <mergeCell ref="F145:J145"/>
    <mergeCell ref="G142:H142"/>
  </mergeCells>
  <phoneticPr fontId="2"/>
  <conditionalFormatting sqref="A102:B112 C103:E112 D102:E102">
    <cfRule type="cellIs" dxfId="6" priority="10" operator="between">
      <formula>0</formula>
      <formula>0</formula>
    </cfRule>
  </conditionalFormatting>
  <conditionalFormatting sqref="A159:B169 C160:E169 D159:E159">
    <cfRule type="cellIs" dxfId="5" priority="8" operator="between">
      <formula>0</formula>
      <formula>0</formula>
    </cfRule>
  </conditionalFormatting>
  <conditionalFormatting sqref="A112:H112">
    <cfRule type="expression" dxfId="3" priority="9">
      <formula>ISNUMBER(SEARCH("灯具",$F60))</formula>
    </cfRule>
  </conditionalFormatting>
  <conditionalFormatting sqref="A169:H169">
    <cfRule type="expression" dxfId="2" priority="7">
      <formula>ISNUMBER(SEARCH("灯具",$F117))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2" manualBreakCount="2">
    <brk id="57" max="16383" man="1"/>
    <brk id="11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2026-06-05T10:17:08Z</dcterms:modified>
</cp:coreProperties>
</file>