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004F2E0F-79EC-49F1-90FF-638D867CE01E}" xr6:coauthVersionLast="47" xr6:coauthVersionMax="47" xr10:uidLastSave="{B30241B5-1E32-4823-825F-F81B2D294F8B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<sst xmlns="http://schemas.openxmlformats.org/spreadsheetml/2006/main" count="105" uniqueCount="101">
  <si>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</si>
  <si>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</si>
  <si>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</si>
  <si>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</si>
  <si>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</si>
  <si>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</si>
  <si>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</si>
  <si>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</si>
  <si>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</si>
  <si>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000000000012929</t>
  </si>
  <si>
    <t>原料名</t>
  </si>
  <si>
    <t>(CASE 888MILK-W4)</t>
  </si>
  <si>
    <t>発注明細№</t>
  </si>
  <si>
    <t>000000000839473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</si>
  <si>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</si>
  <si>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</si>
  <si>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</si>
  <si>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</si>
  <si>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</si>
  <si>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</si>
  <si>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</si>
  <si>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</si>
  <si>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</si>
  <si>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</si>
  <si>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</si>
  <si>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</si>
  <si>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</si>
  <si>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</si>
  <si>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</si>
  <si>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</si>
  <si>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</si>
  <si>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</si>
  <si>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</si>
  <si>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</si>
  <si>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</si>
  <si>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</si>
  <si>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</si>
  <si>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</si>
  <si>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</si>
  <si>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</si>
  <si>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</si>
  <si>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</si>
  <si>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</si>
  <si>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</si>
  <si>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</si>
  <si>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</si>
  <si>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</si>
  <si>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</si>
  <si>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</si>
  <si>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</si>
  <si>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</si>
  <si>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</si>
  <si>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</si>
  <si>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</si>
  <si>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</si>
  <si>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</si>
  <si>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</si>
  <si>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</si>
  <si>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</si>
  <si>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</si>
  <si>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</si>
  <si>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*J6XX0051*</t>
  </si>
  <si>
    <t>0.02×950×100m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</si>
  <si>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</si>
  <si>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</si>
  <si>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</si>
  <si>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</si>
  <si>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</si>
  <si>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</si>
  <si>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</si>
  <si>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</si>
  <si>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</si>
  <si>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</si>
  <si>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</si>
  <si>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</si>
  <si>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</si>
  <si>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</si>
  <si>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</si>
  <si>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</si>
  <si>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</si>
  <si>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</si>
  <si>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</si>
  <si>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</si>
  <si>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</si>
  <si>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</si>
  <si>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</si>
  <si>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</si>
  <si>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</si>
  <si>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</si>
  <si>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</si>
  <si>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</si>
  <si>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</si>
  <si>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</si>
  <si>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</si>
  <si>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</si>
  <si>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</si>
  <si>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</si>
  <si>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</si>
  <si>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</si>
  <si>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</si>
  <si>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(管理外)LLDPE規格ｼｰﾄ0.02×950×100m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</si>
</sst>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7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0" fontId="1" fillId="0" borderId="0" xfId="0" applyFont="1">
      <alignment vertical="center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6976A478-AE9B-45CF-9081-33B58AAC525D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3</xdr:row>
      <xdr:rowOff>142875</xdr:rowOff>
    </xdr:from>
    <xdr:to>
      <xdr:col>9</xdr:col>
      <xdr:colOff>781050</xdr:colOff>
      <xdr:row>7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B467214-9103-C391-FE5A-AD7DDCD2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68580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3</xdr:row>
      <xdr:rowOff>152400</xdr:rowOff>
    </xdr:from>
    <xdr:to>
      <xdr:col>8</xdr:col>
      <xdr:colOff>781050</xdr:colOff>
      <xdr:row>7</xdr:row>
      <xdr:rowOff>47625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CD62D9B-1EB1-134F-000E-E0E6C63BD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695325"/>
          <a:ext cx="733425" cy="733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6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4" t="s">
        <v>0</v>
      </c>
      <c r="C1" s="117"/>
      <c r="D1" s="117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7"/>
      <c r="C2" s="117"/>
      <c r="D2" s="117"/>
      <c r="E2" s="12"/>
      <c r="F2" s="12"/>
      <c r="G2" s="12"/>
      <c r="H2" s="12"/>
      <c r="I2" s="12"/>
      <c r="J2" s="12"/>
    </row>
    <row r="3" spans="1:10" ht="14.25" customHeight="1">
      <c r="A3" s="118" t="s">
        <v>1</v>
      </c>
      <c r="B3" s="118" t="s">
        <v>2</v>
      </c>
      <c r="C3" s="118" t="s">
        <v>3</v>
      </c>
      <c r="D3" s="122">
        <v>888</v>
      </c>
      <c r="E3" s="118" t="s">
        <v>4</v>
      </c>
      <c r="F3" s="116" t="s">
        <v>5</v>
      </c>
      <c r="G3" s="117"/>
      <c r="H3" s="117"/>
      <c r="I3" s="24" t="s">
        <v>6</v>
      </c>
      <c r="J3" s="24" t="s">
        <v>7</v>
      </c>
    </row>
    <row r="4" spans="1:10" ht="14.25" customHeight="1">
      <c r="A4" s="117"/>
      <c r="B4" s="117"/>
      <c r="C4" s="117"/>
      <c r="D4" s="117"/>
      <c r="E4" s="117"/>
      <c r="F4" s="117"/>
      <c r="G4" s="117"/>
      <c r="H4" s="117"/>
      <c r="I4" s="120"/>
      <c r="J4" s="120"/>
    </row>
    <row r="5" spans="1:10" ht="17.45" customHeight="1">
      <c r="A5" s="119" t="s">
        <v>8</v>
      </c>
      <c r="B5" s="119" t="s">
        <v>9</v>
      </c>
      <c r="E5" s="119" t="s">
        <v>10</v>
      </c>
      <c r="F5" s="128" t="s">
        <v>11</v>
      </c>
      <c r="G5" s="117"/>
      <c r="H5" s="117"/>
      <c r="I5" s="121"/>
      <c r="J5" s="121"/>
    </row>
    <row r="6" spans="1:10" ht="17.45" customHeight="1">
      <c r="A6" s="117"/>
      <c r="B6" s="117"/>
      <c r="E6" s="117"/>
      <c r="F6" s="117"/>
      <c r="G6" s="117"/>
      <c r="H6" s="117"/>
      <c r="I6" s="13"/>
      <c r="J6" s="13"/>
    </row>
    <row r="7" spans="1:10" ht="17.45" customHeight="1">
      <c r="A7" s="119" t="s">
        <v>12</v>
      </c>
      <c r="B7" s="119" t="s">
        <v>13</v>
      </c>
      <c r="E7" s="2" t="s">
        <v>14</v>
      </c>
      <c r="F7" s="128" t="s">
        <v>15</v>
      </c>
      <c r="G7" s="117"/>
      <c r="H7" s="21"/>
      <c r="I7" s="13"/>
      <c r="J7" s="13"/>
    </row>
    <row r="8" spans="1:10" ht="17.45" customHeight="1">
      <c r="A8" s="117"/>
      <c r="B8" s="117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46113</v>
      </c>
      <c r="E9" s="2" t="s">
        <v>19</v>
      </c>
      <c r="F9" s="154">
        <v>100</v>
      </c>
      <c r="G9" s="117"/>
      <c r="H9" s="21"/>
    </row>
    <row r="10" spans="1:10" ht="17.45" customHeight="1">
      <c r="A10" s="2" t="s">
        <v>20</v>
      </c>
      <c r="B10" s="4">
        <v>46113</v>
      </c>
      <c r="E10" s="2" t="s">
        <v>21</v>
      </c>
      <c r="F10" s="21">
        <v>1</v>
      </c>
      <c r="G10" s="144" t="s">
        <v>22</v>
      </c>
      <c r="H10" s="137">
        <v>100</v>
      </c>
      <c r="I10" s="138"/>
      <c r="J10" s="13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0"/>
      <c r="H11" s="140"/>
      <c r="I11" s="114"/>
      <c r="J11" s="127"/>
    </row>
    <row r="12" spans="1:10" ht="13.5" customHeight="1">
      <c r="A12" s="131" t="s">
        <v>25</v>
      </c>
      <c r="B12" s="117"/>
      <c r="C12" s="117"/>
      <c r="D12" s="20"/>
      <c r="F12" s="3"/>
      <c r="G12" s="135" t="s">
        <v>26</v>
      </c>
      <c r="H12" s="153" t="s">
        <v>27</v>
      </c>
      <c r="I12" s="125" t="s">
        <v>28</v>
      </c>
      <c r="J12" s="126"/>
    </row>
    <row r="13" spans="1:10" ht="13.5" customHeight="1">
      <c r="A13" s="117"/>
      <c r="B13" s="117"/>
      <c r="C13" s="117"/>
      <c r="D13" s="20"/>
      <c r="F13" s="3"/>
      <c r="G13" s="136"/>
      <c r="H13" s="136"/>
      <c r="I13" s="114"/>
      <c r="J13" s="127"/>
    </row>
    <row r="14" spans="1:10" ht="13.5" customHeight="1">
      <c r="A14" s="1" t="s">
        <v>29</v>
      </c>
    </row>
    <row r="15" spans="1:10" ht="63" customHeight="1" thickBot="1">
      <c r="A15" s="123"/>
      <c r="B15" s="124"/>
      <c r="C15" s="124"/>
      <c r="D15" s="124"/>
      <c r="E15" s="124"/>
      <c r="F15" s="124"/>
      <c r="G15" s="124"/>
      <c r="H15" s="124"/>
      <c r="I15" s="124"/>
      <c r="J15" s="124"/>
    </row>
    <row r="16" spans="1:10" ht="18.75">
      <c r="A16" s="23" t="s">
        <v>30</v>
      </c>
      <c r="B16" s="16" t="s">
        <v>31</v>
      </c>
      <c r="C16" s="129" t="s">
        <v>32</v>
      </c>
      <c r="D16" s="130"/>
      <c r="E16" s="16" t="s">
        <v>33</v>
      </c>
      <c r="F16" s="129" t="s">
        <v>34</v>
      </c>
      <c r="G16" s="130"/>
      <c r="H16" s="130"/>
      <c r="I16" s="141" t="s">
        <v>35</v>
      </c>
      <c r="J16" s="13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5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5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5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5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5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5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2" t="s">
        <v>42</v>
      </c>
      <c r="B25" s="133"/>
      <c r="C25" s="132" t="s">
        <v>43</v>
      </c>
      <c r="D25" s="133"/>
      <c r="E25" s="133"/>
      <c r="F25" s="17" t="s">
        <v>44</v>
      </c>
      <c r="G25" s="132" t="s">
        <v>45</v>
      </c>
      <c r="H25" s="133"/>
      <c r="I25" s="132" t="s">
        <v>46</v>
      </c>
      <c r="J25" s="133"/>
    </row>
    <row r="26" spans="1:10" ht="14.25" customHeight="1">
      <c r="A26" s="8"/>
      <c r="B26" s="18"/>
      <c r="C26" s="113" t="s">
        <v>47</v>
      </c>
      <c r="D26" s="114"/>
      <c r="E26" s="18"/>
      <c r="F26" s="113" t="s">
        <v>29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0"/>
      <c r="C28" s="107" t="s">
        <v>49</v>
      </c>
      <c r="D28" s="110"/>
      <c r="E28" s="110"/>
      <c r="F28" s="27" t="s">
        <v>50</v>
      </c>
      <c r="G28" s="111">
        <v>50</v>
      </c>
      <c r="H28" s="110"/>
      <c r="I28" s="111">
        <v>0.5</v>
      </c>
      <c r="J28" s="110"/>
    </row>
    <row r="29" spans="1:10" s="7" customFormat="1" ht="24.95" customHeight="1">
      <c r="A29" s="109" t="s">
        <v>51</v>
      </c>
      <c r="B29" s="108"/>
      <c r="C29" s="107"/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52</v>
      </c>
      <c r="B30" s="110"/>
      <c r="C30" s="107" t="s">
        <v>53</v>
      </c>
      <c r="D30" s="110"/>
      <c r="E30" s="110"/>
      <c r="F30" s="27" t="s">
        <v>36</v>
      </c>
      <c r="G30" s="111">
        <v>1</v>
      </c>
      <c r="H30" s="110"/>
      <c r="I30" s="111">
        <v>0.01</v>
      </c>
      <c r="J30" s="110"/>
    </row>
    <row r="31" spans="1:10" s="7" customFormat="1" ht="24.95" customHeight="1">
      <c r="A31" s="109" t="s">
        <v>54</v>
      </c>
      <c r="B31" s="108"/>
      <c r="C31" s="107" t="s">
        <v>55</v>
      </c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 t="s">
        <v>56</v>
      </c>
      <c r="B32" s="110"/>
      <c r="C32" s="107" t="s">
        <v>57</v>
      </c>
      <c r="D32" s="110"/>
      <c r="E32" s="110"/>
      <c r="F32" s="27"/>
      <c r="G32" s="111">
        <v>11</v>
      </c>
      <c r="H32" s="110"/>
      <c r="I32" s="111">
        <v>0.11</v>
      </c>
      <c r="J32" s="110"/>
    </row>
    <row r="33" spans="1:14" s="7" customFormat="1" ht="24.95" customHeight="1">
      <c r="A33" s="109" t="s">
        <v>58</v>
      </c>
      <c r="B33" s="108"/>
      <c r="C33" s="107" t="s">
        <v>59</v>
      </c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 t="s">
        <v>60</v>
      </c>
      <c r="B34" s="110"/>
      <c r="C34" s="112" t="s">
        <v>100</v>
      </c>
      <c r="D34" s="110"/>
      <c r="E34" s="110"/>
      <c r="F34" s="27"/>
      <c r="G34" s="111">
        <v>0.1</v>
      </c>
      <c r="H34" s="110"/>
      <c r="I34" s="111">
        <v>1E-3</v>
      </c>
      <c r="J34" s="110"/>
    </row>
    <row r="35" spans="1:14" s="7" customFormat="1" ht="24.95" customHeight="1">
      <c r="A35" s="109" t="s">
        <v>61</v>
      </c>
      <c r="B35" s="108"/>
      <c r="C35" s="107" t="s">
        <v>62</v>
      </c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63</v>
      </c>
      <c r="B38" s="29" t="s">
        <v>64</v>
      </c>
      <c r="C38" s="145" t="s">
        <v>65</v>
      </c>
      <c r="D38" s="146"/>
      <c r="E38" s="30" t="s">
        <v>66</v>
      </c>
      <c r="F38" s="31" t="s">
        <v>67</v>
      </c>
      <c r="G38" s="32" t="s">
        <v>68</v>
      </c>
      <c r="H38" s="33" t="s">
        <v>69</v>
      </c>
      <c r="I38" s="105" t="s">
        <v>70</v>
      </c>
      <c r="J38" s="106"/>
    </row>
    <row r="39" spans="1:14" s="7" customFormat="1" ht="18" customHeight="1">
      <c r="A39" s="34" t="str">
        <f>_xlfn.XLOOKUP(B3,[1]VFDB2!$A:$A,[1]VFDB2!$J:$J)</f>
        <v>〇</v>
      </c>
      <c r="B39" s="35">
        <f>D3</f>
        <v>888</v>
      </c>
      <c r="C39" s="147" t="str">
        <f>_xlfn.XLOOKUP(B3,[1]VFDB2!$A:$A,[1]VFDB2!$Z:$Z)</f>
        <v>LED-A888</v>
      </c>
      <c r="D39" s="148"/>
      <c r="E39" s="149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71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72</v>
      </c>
      <c r="B40" s="45" t="s">
        <v>73</v>
      </c>
      <c r="C40" s="147"/>
      <c r="D40" s="148"/>
      <c r="E40" s="149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74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50" t="s">
        <v>75</v>
      </c>
      <c r="D41" s="151" t="str">
        <f>_xlfn.XLOOKUP(B3,[1]VFDB2!$A:$A,[1]VFDB2!$W:$W)</f>
        <v>L=888用　クラフト紙</v>
      </c>
      <c r="E41" s="151"/>
      <c r="F41" s="152"/>
      <c r="G41" s="37"/>
      <c r="H41" s="38"/>
      <c r="I41" s="39" t="s">
        <v>76</v>
      </c>
      <c r="J41" s="41" t="str">
        <v/>
      </c>
      <c r="K41" s="50"/>
    </row>
    <row r="42" spans="1:14" s="5" customFormat="1" ht="18" customHeight="1">
      <c r="A42" s="51" t="s">
        <v>77</v>
      </c>
      <c r="B42" s="52" t="s">
        <v>78</v>
      </c>
      <c r="C42" s="150"/>
      <c r="D42" s="151" t="str">
        <f>_xlfn.XLOOKUP(B3,[1]VFDB2!$A:$A,[1]VFDB2!$R:$R)</f>
        <v>ラベル１枚　長手無　鉢巻１回</v>
      </c>
      <c r="E42" s="151"/>
      <c r="F42" s="152"/>
      <c r="G42" s="37"/>
      <c r="H42" s="38"/>
      <c r="I42" s="39" t="s">
        <v>79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2</v>
      </c>
      <c r="C43" s="55" t="s">
        <v>80</v>
      </c>
      <c r="D43" s="155" t="str">
        <f>_xlfn.XLOOKUP(B3,[1]VFDB2!$A:$A,[1]VFDB2!$V:$V)</f>
        <v>1箱目の梱包数 目視確認　以降、重量測定</v>
      </c>
      <c r="E43" s="155"/>
      <c r="F43" s="156"/>
      <c r="G43" s="56"/>
      <c r="H43" s="57"/>
      <c r="I43" s="39" t="s">
        <v>81</v>
      </c>
      <c r="J43" s="42" t="str">
        <v/>
      </c>
      <c r="K43" s="50"/>
    </row>
    <row r="44" spans="1:14" s="5" customFormat="1" ht="18" customHeight="1" thickBot="1">
      <c r="A44" s="58" t="s">
        <v>82</v>
      </c>
      <c r="B44" s="59" t="str" cm="1">
        <f t="array" ref="B44">IF(SUM(--(ISTEXT(B45:B55)*(B45:B55&lt;&gt;"")))=0,"計測Lot","計測Lot・加工数")</f>
        <v>計測Lot</v>
      </c>
      <c r="C44" s="60" t="s">
        <v>83</v>
      </c>
      <c r="D44" s="61" t="s">
        <v>84</v>
      </c>
      <c r="E44" s="62" t="s">
        <v>85</v>
      </c>
      <c r="F44" s="63" t="str" cm="1">
        <f t="array" ref="F44">IF(SUM(--(ISTEXT(B45:B55)*(B45:B55&lt;&gt;"")))=0,"記入不要","使用Lot")</f>
        <v>記入不要</v>
      </c>
      <c r="G44" s="64" t="s">
        <v>86</v>
      </c>
      <c r="H44" s="65" t="s">
        <v>87</v>
      </c>
      <c r="I44" s="66" t="s">
        <v>88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42" t="s">
        <v>89</v>
      </c>
      <c r="J45" s="143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90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91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92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93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94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95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96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97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98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99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2026-03-11T06:20:41Z</cp:lastPrinted>
  <dcterms:created xsi:type="dcterms:W3CDTF">2024-07-11T02:08:33Z</dcterms:created>
  <dcterms:modified xsi:type="dcterms:W3CDTF">2026-06-05T10:17:20Z</dcterms:modified>
</cp:coreProperties>
</file>