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0BDBEBC7-7B05-4B76-A668-287CF8D36BD9}" xr6:coauthVersionLast="47" xr6:coauthVersionMax="47" xr10:uidLastSave="{9ABEB557-6E18-469B-AA95-7D7615E27823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<sst xmlns="http://schemas.openxmlformats.org/spreadsheetml/2006/main" count="93" uniqueCount="89">
  <si>
    <t>検査梱包指示書</t>
  </si>
  <si>
    <t>品目番号</t>
  </si>
  <si>
    <t>J1JAZZB05605540</t>
  </si>
  <si>
    <t>Ｌ寸</t>
  </si>
  <si>
    <t>名称</t>
  </si>
  <si>
    <t>ﾗﾝﾌﾟｼｪｰﾄﾞSL-600</t>
  </si>
  <si>
    <t>上長</t>
  </si>
  <si>
    <t>係員</t>
  </si>
  <si>
    <t>製造指図№</t>
  </si>
  <si>
    <t>000000000013022</t>
  </si>
  <si>
    <t>原料名</t>
  </si>
  <si>
    <t>J6VZ040</t>
  </si>
  <si>
    <t>発注明細№</t>
  </si>
  <si>
    <t>000000000840615</t>
  </si>
  <si>
    <t>色　名</t>
  </si>
  <si>
    <t>乳白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</si>
  <si>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</si>
  <si>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</si>
  <si>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</si>
  <si>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</si>
  <si>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</si>
  <si>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</si>
  <si>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</si>
  <si>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</si>
  <si>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4243</t>
  </si>
  <si>
    <t>*J1JAZZB05605540*</t>
  </si>
  <si>
    <t>格納先</t>
  </si>
  <si>
    <t>V3J01</t>
  </si>
  <si>
    <t>樹脂第1倉庫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</si>
  <si>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</si>
  <si>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</si>
  <si>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</si>
  <si>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</si>
  <si>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</si>
  <si>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</si>
  <si>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</si>
  <si>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</si>
  <si>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</si>
  <si>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</si>
  <si>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</si>
  <si>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</si>
  <si>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</si>
  <si>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</si>
  <si>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</si>
  <si>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</si>
  <si>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</si>
  <si>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</si>
  <si>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</si>
  <si>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J1JAZZ005611720</t>
  </si>
  <si>
    <t>ﾗﾝﾌﾟｼｪｰﾄﾞSL-1200</t>
  </si>
  <si>
    <t>V3J04</t>
  </si>
  <si>
    <t>*J1JAZZ005611720*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</si>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</sst>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7119CE5-188B-426A-A954-EBDF97D27AC4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133351</xdr:colOff>
      <xdr:row>4</xdr:row>
      <xdr:rowOff>19051</xdr:rowOff>
    </xdr:from>
    <xdr:to>
      <xdr:col>9</xdr:col>
      <xdr:colOff>666751</xdr:colOff>
      <xdr:row>6</xdr:row>
      <xdr:rowOff>114301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7DF4A7-6972-5ADA-36D2-B0DFEE64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6" y="742951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4</xdr:row>
      <xdr:rowOff>47625</xdr:rowOff>
    </xdr:from>
    <xdr:to>
      <xdr:col>8</xdr:col>
      <xdr:colOff>695325</xdr:colOff>
      <xdr:row>6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AB3391-E714-EE7F-A700-6E9A38909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771525"/>
          <a:ext cx="50482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554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46132</v>
      </c>
      <c r="E9" s="2" t="s">
        <v>19</v>
      </c>
      <c r="F9" s="153">
        <v>300</v>
      </c>
      <c r="G9" s="116"/>
      <c r="H9" s="21"/>
    </row>
    <row r="10" spans="1:10" ht="17.45" customHeight="1">
      <c r="A10" s="2" t="s">
        <v>20</v>
      </c>
      <c r="B10" s="4">
        <v>46132</v>
      </c>
      <c r="E10" s="2" t="s">
        <v>21</v>
      </c>
      <c r="F10" s="21">
        <v>4</v>
      </c>
      <c r="G10" s="143" t="s">
        <v>22</v>
      </c>
      <c r="H10" s="136">
        <v>1200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3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3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4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4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4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4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4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4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2" t="s">
        <v>47</v>
      </c>
      <c r="D26" s="113"/>
      <c r="E26" s="18"/>
      <c r="F26" s="112" t="s">
        <v>29</v>
      </c>
      <c r="G26" s="113"/>
      <c r="H26" s="113"/>
      <c r="I26" s="113"/>
      <c r="J26" s="113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600</v>
      </c>
      <c r="H28" s="110"/>
      <c r="I28" s="111">
        <v>2</v>
      </c>
      <c r="J28" s="110"/>
    </row>
    <row r="29" spans="1:10" s="7" customFormat="1" ht="24.95" customHeight="1">
      <c r="A29" s="109" t="s">
        <v>51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/>
      <c r="B30" s="110"/>
      <c r="C30" s="107"/>
      <c r="D30" s="110"/>
      <c r="E30" s="110"/>
      <c r="F30" s="27"/>
      <c r="G30" s="111"/>
      <c r="H30" s="110"/>
      <c r="I30" s="111"/>
      <c r="J30" s="110"/>
    </row>
    <row r="31" spans="1:10" s="7" customFormat="1" ht="24.95" customHeight="1">
      <c r="A31" s="109"/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/>
      <c r="B32" s="110"/>
      <c r="C32" s="107"/>
      <c r="D32" s="110"/>
      <c r="E32" s="110"/>
      <c r="F32" s="27"/>
      <c r="G32" s="111"/>
      <c r="H32" s="110"/>
      <c r="I32" s="111"/>
      <c r="J32" s="110"/>
    </row>
    <row r="33" spans="1:14" s="7" customFormat="1" ht="24.95" customHeight="1">
      <c r="A33" s="109"/>
      <c r="B33" s="108"/>
      <c r="C33" s="107"/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52</v>
      </c>
      <c r="B38" s="29" t="s">
        <v>53</v>
      </c>
      <c r="C38" s="144" t="s">
        <v>54</v>
      </c>
      <c r="D38" s="145"/>
      <c r="E38" s="30" t="s">
        <v>55</v>
      </c>
      <c r="F38" s="31" t="s">
        <v>56</v>
      </c>
      <c r="G38" s="32" t="s">
        <v>57</v>
      </c>
      <c r="H38" s="33" t="s">
        <v>58</v>
      </c>
      <c r="I38" s="105" t="s">
        <v>59</v>
      </c>
      <c r="J38" s="106"/>
    </row>
    <row r="39" spans="1:14" s="7" customFormat="1" ht="18" customHeight="1">
      <c r="A39" s="34" t="str">
        <f>_xlfn.XLOOKUP(B3,[1]VFDB2!$A:$A,[1]VFDB2!$J:$J)</f>
        <v>〇</v>
      </c>
      <c r="B39" s="35">
        <f>D3</f>
        <v>554</v>
      </c>
      <c r="C39" s="146" t="e">
        <f>_xlfn.XLOOKUP(B3,[1]VFDB2!$A:$A,[1]VFDB2!$Z:$Z)</f>
        <v>#REF!</v>
      </c>
      <c r="D39" s="147"/>
      <c r="E39" s="148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60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61</v>
      </c>
      <c r="B40" s="45" t="s">
        <v>62</v>
      </c>
      <c r="C40" s="146"/>
      <c r="D40" s="147"/>
      <c r="E40" s="148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63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+1.5</v>
      </c>
      <c r="B41" s="49" t="str">
        <f>_xlfn.XLOOKUP(B3,[1]VFDB2!$A:$A,[1]VFDB2!$AC:$AC)</f>
        <v>換算表確認</v>
      </c>
      <c r="C41" s="149" t="s">
        <v>64</v>
      </c>
      <c r="D41" s="150" t="str">
        <f>_xlfn.XLOOKUP(B3,[1]VFDB2!$A:$A,[1]VFDB2!$W:$W)</f>
        <v>5段重ねで切断、欠け注意(刃交換)</v>
      </c>
      <c r="E41" s="150"/>
      <c r="F41" s="151"/>
      <c r="G41" s="37"/>
      <c r="H41" s="38"/>
      <c r="I41" s="39" t="s">
        <v>65</v>
      </c>
      <c r="J41" s="41" t="str">
        <v/>
      </c>
      <c r="K41" s="50"/>
    </row>
    <row r="42" spans="1:14" s="5" customFormat="1" ht="18" customHeight="1">
      <c r="A42" s="51" t="s">
        <v>66</v>
      </c>
      <c r="B42" s="52" t="s">
        <v>67</v>
      </c>
      <c r="C42" s="149"/>
      <c r="D42" s="150" t="str">
        <f>_xlfn.XLOOKUP(B3,[1]VFDB2!$A:$A,[1]VFDB2!$R:$R)</f>
        <v>ラベル2枚　長手無　鉢巻3回</v>
      </c>
      <c r="E42" s="150"/>
      <c r="F42" s="151"/>
      <c r="G42" s="37"/>
      <c r="H42" s="38"/>
      <c r="I42" s="39" t="s">
        <v>68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-1.5</v>
      </c>
      <c r="B43" s="54">
        <f>_xlfn.XLOOKUP(B3,[1]VFDB2!$A:$A,[1]VFDB2!$P:$P)</f>
        <v>2</v>
      </c>
      <c r="C43" s="55" t="s">
        <v>69</v>
      </c>
      <c r="D43" s="154" t="str">
        <f>_xlfn.XLOOKUP(B3,[1]VFDB2!$A:$A,[1]VFDB2!$V:$V)</f>
        <v>KISCO右上片側貼付、切断面近く押さえ切断（要注意）</v>
      </c>
      <c r="E43" s="154"/>
      <c r="F43" s="155"/>
      <c r="G43" s="56"/>
      <c r="H43" s="57"/>
      <c r="I43" s="39" t="s">
        <v>70</v>
      </c>
      <c r="J43" s="42" t="str">
        <v/>
      </c>
      <c r="K43" s="50"/>
    </row>
    <row r="44" spans="1:14" s="5" customFormat="1" ht="18" customHeight="1" thickBot="1">
      <c r="A44" s="58" t="s">
        <v>71</v>
      </c>
      <c r="B44" s="59" t="str" cm="1">
        <f t="array" ref="B44">IF(SUM(--(ISTEXT(B45:B55)*(B45:B55&lt;&gt;"")))=0,"計測Lot","計測Lot・加工数")</f>
        <v>計測Lot</v>
      </c>
      <c r="C44" s="60" t="s">
        <v>72</v>
      </c>
      <c r="D44" s="61" t="s">
        <v>73</v>
      </c>
      <c r="E44" s="62" t="s">
        <v>74</v>
      </c>
      <c r="F44" s="63" t="str" cm="1">
        <f t="array" ref="F44">IF(SUM(--(ISTEXT(B45:B55)*(B45:B55&lt;&gt;"")))=0,"記入不要","使用Lot")</f>
        <v>記入不要</v>
      </c>
      <c r="G44" s="64" t="s">
        <v>75</v>
      </c>
      <c r="H44" s="65" t="s">
        <v>76</v>
      </c>
      <c r="I44" s="66" t="s">
        <v>77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1" t="s">
        <v>78</v>
      </c>
      <c r="J45" s="142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79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80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81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82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83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84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85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86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87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88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2026-03-27T06:54:23Z</cp:lastPrinted>
  <dcterms:created xsi:type="dcterms:W3CDTF">2024-07-11T02:08:33Z</dcterms:created>
  <dcterms:modified xsi:type="dcterms:W3CDTF">2026-06-05T10:17:24Z</dcterms:modified>
</cp:coreProperties>
</file>