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F3067F6F-DB4D-4127-9ABD-E65622360BCB}" xr6:coauthVersionLast="47" xr6:coauthVersionMax="47" xr10:uidLastSave="{00000000-0000-0000-0000-000000000000}"/>
  <bookViews>
    <workbookView xWindow="-120" yWindow="-120" windowWidth="29040" windowHeight="15720" xr2:uid="{D4BECF76-BEC9-4B8F-81DA-4346A3FDEA5F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J103" i="1" a="1"/>
  <c r="J103" i="1" s="1"/>
  <c r="B102" i="1" a="1"/>
  <c r="B102" i="1" s="1"/>
  <c r="A102" i="1"/>
  <c r="A102" i="1" a="1"/>
  <c r="D100" i="1"/>
  <c r="B100" i="1"/>
  <c r="A100" i="1"/>
  <c r="D99" i="1"/>
  <c r="D98" i="1"/>
  <c r="B98" i="1"/>
  <c r="A98" i="1"/>
  <c r="F97" i="1" a="1"/>
  <c r="F97" i="1" s="1"/>
  <c r="J96" i="1" a="1"/>
  <c r="J96" i="1" s="1"/>
  <c r="G96" i="1" a="1"/>
  <c r="G96" i="1" s="1"/>
  <c r="F96" i="1" a="1"/>
  <c r="F96" i="1" s="1"/>
  <c r="E96" i="1" a="1"/>
  <c r="E96" i="1" s="1"/>
  <c r="C96" i="1"/>
  <c r="B96" i="1"/>
  <c r="A96" i="1"/>
  <c r="F101" i="1" l="1" a="1"/>
  <c r="F101" i="1" s="1"/>
  <c r="B101" i="1" a="1"/>
  <c r="B101" i="1" s="1"/>
  <c r="F44" i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<sst xmlns="http://schemas.openxmlformats.org/spreadsheetml/2006/main" count="210" uniqueCount="103">
  <si>
    <t>検査梱包指示書</t>
  </si>
  <si>
    <t>品目番号</t>
  </si>
  <si>
    <t>J1JAZZB10808880</t>
  </si>
  <si>
    <t>Ｌ寸</t>
  </si>
  <si>
    <t>名称</t>
  </si>
  <si>
    <t>8FL2813045010</t>
  </si>
  <si>
    <t>上長</t>
  </si>
  <si>
    <t>係員</t>
  </si>
  <si>
    <t>製造指図№</t>
  </si>
  <si>
    <t>000000000012711</t>
  </si>
  <si>
    <t>原料名</t>
  </si>
  <si>
    <t>(CASE 888MILK-W4)</t>
  </si>
  <si>
    <t>発注明細№</t>
  </si>
  <si>
    <t>000000000837569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</si>
  <si>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</si>
  <si>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</si>
  <si>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</si>
  <si>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</si>
  <si>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</si>
  <si>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</si>
  <si>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</si>
  <si>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</si>
  <si>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</si>
  <si>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</si>
  <si>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</si>
  <si>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*J1JAZZB10808880*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</si>
  <si>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</si>
  <si>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</si>
  <si>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</si>
  <si>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</si>
  <si>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</si>
  <si>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</si>
  <si>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</si>
  <si>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</si>
  <si>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</si>
  <si>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</si>
  <si>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</si>
  <si>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</si>
  <si>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</si>
  <si>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</si>
  <si>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</si>
  <si>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</si>
  <si>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</si>
  <si>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</si>
  <si>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</si>
  <si>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</si>
  <si>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</si>
  <si>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</si>
  <si>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</si>
  <si>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</si>
  <si>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V3J04</t>
  </si>
  <si>
    <t>*J1JAZZA10818200*</t>
  </si>
  <si>
    <t>J6DW0089</t>
  </si>
  <si>
    <t>LED-A888　898X275X166</t>
  </si>
  <si>
    <t>*J6DW0089*</t>
  </si>
  <si>
    <t>L888×W275×H166</t>
  </si>
  <si>
    <t>J6XX0044</t>
  </si>
  <si>
    <t>(管理外)筋入ｸﾗﾌﾄ紙</t>
  </si>
  <si>
    <t>*J6XX0044*</t>
  </si>
  <si>
    <t>400＊900</t>
  </si>
  <si>
    <t>J6XX0051</t>
  </si>
  <si>
    <t>(管理外)LLDPE規格ｼｰﾄ0.02×950×100m</t>
  </si>
  <si>
    <t>*J6XX0051*</t>
  </si>
  <si>
    <t>0.02×950×100m</t>
  </si>
  <si>
    <t>000000000012712</t>
  </si>
  <si>
    <t>000000000837570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</si>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</sst>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#,##0.0_ "/>
    <numFmt numFmtId="177" formatCode="[$-F800]dddd\,\ mmmm\ dd\,\ yyyy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72"/>
      <name val="K's BarCodeFont Code39"/>
      <family val="2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36"/>
      <name val="K's BarCodeFont Code39"/>
      <family val="2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1" fillId="2" borderId="0" applyNumberFormat="0" applyBorder="0" applyAlignment="0" applyProtection="0">
      <alignment vertical="center"/>
    </xf>
    <xf numFmtId="0" fontId="1" fillId="0" borderId="0"/>
  </cellStyleXfs>
  <cellXfs count="155">
    <xf numFmtId="0" fontId="0" fillId="0" borderId="0" xfId="0">
      <alignment vertical="center"/>
    </xf>
    <xf numFmtId="49" fontId="1" fillId="0" borderId="0" xfId="1" applyNumberFormat="1" applyAlignment="1">
      <alignment horizontal="center" vertical="center" shrinkToFit="1"/>
    </xf>
    <xf numFmtId="49" fontId="1" fillId="0" borderId="0" xfId="1" applyNumberFormat="1" applyAlignment="1">
      <alignment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5" fillId="0" borderId="0" xfId="1" applyNumberFormat="1" applyFont="1" applyAlignment="1">
      <alignment vertical="center" shrinkToFit="1"/>
    </xf>
    <xf numFmtId="49" fontId="5" fillId="0" borderId="0" xfId="1" applyNumberFormat="1" applyFont="1" applyAlignment="1">
      <alignment horizontal="left" vertical="center" shrinkToFit="1"/>
    </xf>
    <xf numFmtId="49" fontId="1" fillId="0" borderId="3" xfId="1" applyNumberFormat="1" applyBorder="1" applyAlignment="1">
      <alignment vertical="center" shrinkToFit="1"/>
    </xf>
    <xf numFmtId="49" fontId="5" fillId="0" borderId="0" xfId="1" applyNumberFormat="1" applyFont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177" fontId="5" fillId="0" borderId="0" xfId="1" applyNumberFormat="1" applyFont="1" applyAlignment="1">
      <alignment horizontal="left" vertical="center" shrinkToFit="1"/>
    </xf>
    <xf numFmtId="49" fontId="6" fillId="0" borderId="0" xfId="1" applyNumberFormat="1" applyFont="1" applyAlignment="1">
      <alignment horizontal="center"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4" xfId="1" applyNumberFormat="1" applyBorder="1" applyAlignment="1">
      <alignment horizontal="right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7" fillId="0" borderId="0" xfId="1" applyNumberFormat="1" applyFon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right" vertical="center" shrinkToFit="1"/>
    </xf>
    <xf numFmtId="0" fontId="1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0" fontId="1" fillId="0" borderId="0" xfId="0" applyFont="1" applyAlignment="1"/>
    <xf numFmtId="49" fontId="1" fillId="0" borderId="13" xfId="1" applyNumberFormat="1" applyBorder="1" applyAlignment="1">
      <alignment vertical="center" shrinkToFit="1"/>
    </xf>
    <xf numFmtId="49" fontId="1" fillId="0" borderId="15" xfId="1" applyNumberFormat="1" applyBorder="1" applyAlignment="1">
      <alignment vertical="center" shrinkToFit="1"/>
    </xf>
    <xf numFmtId="49" fontId="8" fillId="0" borderId="10" xfId="1" applyNumberFormat="1" applyFon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0" fontId="12" fillId="3" borderId="16" xfId="0" applyFont="1" applyFill="1" applyBorder="1" applyAlignment="1">
      <alignment horizontal="center" vertical="center"/>
    </xf>
    <xf numFmtId="49" fontId="13" fillId="3" borderId="16" xfId="1" applyNumberFormat="1" applyFont="1" applyFill="1" applyBorder="1" applyAlignment="1">
      <alignment horizontal="center" vertical="center" shrinkToFit="1"/>
    </xf>
    <xf numFmtId="0" fontId="14" fillId="4" borderId="18" xfId="0" applyFont="1" applyFill="1" applyBorder="1" applyAlignment="1">
      <alignment horizontal="center" vertical="center"/>
    </xf>
    <xf numFmtId="49" fontId="15" fillId="4" borderId="19" xfId="1" applyNumberFormat="1" applyFont="1" applyFill="1" applyBorder="1" applyAlignment="1">
      <alignment horizontal="center" vertical="center" shrinkToFit="1"/>
    </xf>
    <xf numFmtId="49" fontId="16" fillId="5" borderId="20" xfId="1" applyNumberFormat="1" applyFont="1" applyFill="1" applyBorder="1" applyAlignment="1">
      <alignment horizontal="center" vertical="center" shrinkToFit="1"/>
    </xf>
    <xf numFmtId="49" fontId="16" fillId="5" borderId="19" xfId="1" applyNumberFormat="1" applyFont="1" applyFill="1" applyBorder="1" applyAlignment="1">
      <alignment horizontal="center" vertical="center" shrinkToFit="1"/>
    </xf>
    <xf numFmtId="0" fontId="17" fillId="0" borderId="21" xfId="0" applyFont="1" applyBorder="1" applyAlignment="1">
      <alignment horizontal="center" vertical="center"/>
    </xf>
    <xf numFmtId="179" fontId="16" fillId="0" borderId="21" xfId="0" applyNumberFormat="1" applyFont="1" applyBorder="1" applyAlignment="1">
      <alignment horizontal="center" vertical="center"/>
    </xf>
    <xf numFmtId="182" fontId="17" fillId="0" borderId="23" xfId="1" applyNumberFormat="1" applyFont="1" applyBorder="1" applyAlignment="1">
      <alignment vertical="center" shrinkToFit="1"/>
    </xf>
    <xf numFmtId="183" fontId="19" fillId="0" borderId="24" xfId="1" applyNumberFormat="1" applyFont="1" applyBorder="1" applyAlignment="1">
      <alignment horizontal="center" vertical="center" shrinkToFit="1"/>
    </xf>
    <xf numFmtId="184" fontId="19" fillId="0" borderId="23" xfId="1" applyNumberFormat="1" applyFont="1" applyBorder="1" applyAlignment="1">
      <alignment horizontal="center" vertical="center" shrinkToFit="1"/>
    </xf>
    <xf numFmtId="49" fontId="15" fillId="0" borderId="22" xfId="1" applyNumberFormat="1" applyFont="1" applyBorder="1" applyAlignment="1">
      <alignment horizontal="center" vertical="center" shrinkToFit="1"/>
    </xf>
    <xf numFmtId="185" fontId="15" fillId="0" borderId="23" xfId="1" applyNumberFormat="1" applyFont="1" applyBorder="1" applyAlignment="1">
      <alignment horizontal="center" vertical="center" shrinkToFit="1"/>
    </xf>
    <xf numFmtId="180" fontId="19" fillId="0" borderId="23" xfId="1" applyNumberFormat="1" applyFont="1" applyBorder="1" applyAlignment="1">
      <alignment horizontal="center" vertical="center" shrinkToFit="1"/>
    </xf>
    <xf numFmtId="180" fontId="19" fillId="0" borderId="25" xfId="1" applyNumberFormat="1" applyFont="1" applyBorder="1" applyAlignment="1">
      <alignment horizontal="center" vertical="center" shrinkToFit="1"/>
    </xf>
    <xf numFmtId="180" fontId="19" fillId="0" borderId="26" xfId="1" applyNumberFormat="1" applyFont="1" applyBorder="1" applyAlignment="1">
      <alignment horizontal="center" vertical="center" shrinkToFit="1"/>
    </xf>
    <xf numFmtId="49" fontId="20" fillId="3" borderId="21" xfId="0" applyNumberFormat="1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186" fontId="17" fillId="0" borderId="23" xfId="1" applyNumberFormat="1" applyFont="1" applyBorder="1" applyAlignment="1">
      <alignment vertical="center" shrinkToFit="1"/>
    </xf>
    <xf numFmtId="49" fontId="21" fillId="0" borderId="0" xfId="1" applyNumberFormat="1" applyFont="1" applyAlignment="1">
      <alignment horizontal="left" vertical="center" shrinkToFit="1"/>
    </xf>
    <xf numFmtId="0" fontId="16" fillId="0" borderId="21" xfId="0" applyFont="1" applyBorder="1" applyAlignment="1">
      <alignment horizontal="center" vertical="center"/>
    </xf>
    <xf numFmtId="187" fontId="16" fillId="0" borderId="21" xfId="0" applyNumberFormat="1" applyFont="1" applyBorder="1" applyAlignment="1">
      <alignment horizontal="center" vertical="center"/>
    </xf>
    <xf numFmtId="49" fontId="23" fillId="0" borderId="0" xfId="1" applyNumberFormat="1" applyFont="1" applyAlignment="1">
      <alignment horizontal="left" vertical="center" shrinkToFit="1"/>
    </xf>
    <xf numFmtId="49" fontId="20" fillId="3" borderId="21" xfId="1" applyNumberFormat="1" applyFont="1" applyFill="1" applyBorder="1" applyAlignment="1">
      <alignment horizontal="center" vertical="center" shrinkToFit="1"/>
    </xf>
    <xf numFmtId="49" fontId="13" fillId="3" borderId="21" xfId="1" applyNumberFormat="1" applyFont="1" applyFill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/>
    </xf>
    <xf numFmtId="0" fontId="24" fillId="0" borderId="27" xfId="1" applyFont="1" applyBorder="1" applyAlignment="1">
      <alignment horizontal="center" vertical="center" shrinkToFit="1"/>
    </xf>
    <xf numFmtId="49" fontId="22" fillId="5" borderId="28" xfId="1" applyNumberFormat="1" applyFont="1" applyFill="1" applyBorder="1" applyAlignment="1">
      <alignment horizontal="center" vertical="center" shrinkToFit="1"/>
    </xf>
    <xf numFmtId="183" fontId="19" fillId="0" borderId="30" xfId="1" applyNumberFormat="1" applyFont="1" applyBorder="1" applyAlignment="1">
      <alignment horizontal="center" vertical="center" shrinkToFit="1"/>
    </xf>
    <xf numFmtId="184" fontId="19" fillId="0" borderId="26" xfId="1" applyNumberFormat="1" applyFont="1" applyBorder="1" applyAlignment="1">
      <alignment horizontal="center" vertical="center" shrinkToFit="1"/>
    </xf>
    <xf numFmtId="0" fontId="25" fillId="7" borderId="16" xfId="0" applyFont="1" applyFill="1" applyBorder="1" applyAlignment="1">
      <alignment horizontal="center" vertical="center"/>
    </xf>
    <xf numFmtId="0" fontId="25" fillId="7" borderId="17" xfId="0" applyFont="1" applyFill="1" applyBorder="1" applyAlignment="1">
      <alignment horizontal="center" vertical="center"/>
    </xf>
    <xf numFmtId="49" fontId="25" fillId="7" borderId="4" xfId="1" applyNumberFormat="1" applyFont="1" applyFill="1" applyBorder="1" applyAlignment="1">
      <alignment horizontal="center" vertical="center" shrinkToFit="1"/>
    </xf>
    <xf numFmtId="49" fontId="25" fillId="7" borderId="4" xfId="0" applyNumberFormat="1" applyFont="1" applyFill="1" applyBorder="1" applyAlignment="1">
      <alignment horizontal="center" vertical="center" shrinkToFit="1"/>
    </xf>
    <xf numFmtId="49" fontId="25" fillId="7" borderId="18" xfId="0" applyNumberFormat="1" applyFont="1" applyFill="1" applyBorder="1" applyAlignment="1">
      <alignment horizontal="center" vertical="center" shrinkToFit="1"/>
    </xf>
    <xf numFmtId="49" fontId="25" fillId="7" borderId="19" xfId="0" applyNumberFormat="1" applyFont="1" applyFill="1" applyBorder="1" applyAlignment="1">
      <alignment horizontal="center" vertical="center" shrinkToFit="1"/>
    </xf>
    <xf numFmtId="49" fontId="15" fillId="0" borderId="28" xfId="1" applyNumberFormat="1" applyFont="1" applyBorder="1" applyAlignment="1">
      <alignment horizontal="center" vertical="center" shrinkToFit="1"/>
    </xf>
    <xf numFmtId="188" fontId="14" fillId="5" borderId="21" xfId="0" applyNumberFormat="1" applyFont="1" applyFill="1" applyBorder="1" applyAlignment="1">
      <alignment horizontal="center" vertical="center"/>
    </xf>
    <xf numFmtId="189" fontId="14" fillId="0" borderId="21" xfId="3" applyNumberFormat="1" applyFont="1" applyBorder="1" applyAlignment="1">
      <alignment horizontal="center" vertical="center" shrinkToFit="1"/>
    </xf>
    <xf numFmtId="190" fontId="14" fillId="0" borderId="21" xfId="3" applyNumberFormat="1" applyFont="1" applyBorder="1" applyAlignment="1">
      <alignment horizontal="center" vertical="center" shrinkToFit="1"/>
    </xf>
    <xf numFmtId="191" fontId="26" fillId="5" borderId="27" xfId="3" applyNumberFormat="1" applyFont="1" applyFill="1" applyBorder="1" applyAlignment="1">
      <alignment horizontal="center" vertical="center" shrinkToFit="1"/>
    </xf>
    <xf numFmtId="192" fontId="14" fillId="5" borderId="22" xfId="1" applyNumberFormat="1" applyFont="1" applyFill="1" applyBorder="1" applyAlignment="1">
      <alignment horizontal="left" vertical="center" wrapText="1" shrinkToFit="1"/>
    </xf>
    <xf numFmtId="49" fontId="14" fillId="0" borderId="22" xfId="3" applyNumberFormat="1" applyFont="1" applyBorder="1" applyAlignment="1">
      <alignment horizontal="left" vertical="center" shrinkToFit="1"/>
    </xf>
    <xf numFmtId="49" fontId="14" fillId="5" borderId="28" xfId="3" applyNumberFormat="1" applyFont="1" applyFill="1" applyBorder="1" applyAlignment="1">
      <alignment horizontal="left" vertical="center" shrinkToFit="1"/>
    </xf>
    <xf numFmtId="0" fontId="15" fillId="5" borderId="31" xfId="3" applyFont="1" applyFill="1" applyBorder="1" applyAlignment="1">
      <alignment vertical="center" shrinkToFit="1"/>
    </xf>
    <xf numFmtId="187" fontId="14" fillId="5" borderId="31" xfId="0" applyNumberFormat="1" applyFont="1" applyFill="1" applyBorder="1" applyAlignment="1">
      <alignment horizontal="center" vertical="center"/>
    </xf>
    <xf numFmtId="180" fontId="14" fillId="5" borderId="6" xfId="0" applyNumberFormat="1" applyFont="1" applyFill="1" applyBorder="1" applyAlignment="1">
      <alignment horizontal="center" vertical="center"/>
    </xf>
    <xf numFmtId="180" fontId="14" fillId="5" borderId="23" xfId="0" applyNumberFormat="1" applyFont="1" applyFill="1" applyBorder="1" applyAlignment="1">
      <alignment horizontal="center" vertical="center"/>
    </xf>
    <xf numFmtId="49" fontId="15" fillId="0" borderId="0" xfId="1" applyNumberFormat="1" applyFont="1" applyAlignment="1">
      <alignment horizontal="left" vertical="center" shrinkToFit="1"/>
    </xf>
    <xf numFmtId="180" fontId="14" fillId="0" borderId="6" xfId="3" applyNumberFormat="1" applyFont="1" applyBorder="1" applyAlignment="1">
      <alignment horizontal="center" vertical="center" shrinkToFit="1"/>
    </xf>
    <xf numFmtId="187" fontId="14" fillId="0" borderId="6" xfId="3" applyNumberFormat="1" applyFont="1" applyBorder="1" applyAlignment="1">
      <alignment horizontal="center" vertical="center" shrinkToFit="1"/>
    </xf>
    <xf numFmtId="180" fontId="14" fillId="0" borderId="23" xfId="3" applyNumberFormat="1" applyFont="1" applyBorder="1" applyAlignment="1">
      <alignment horizontal="center" vertical="center" shrinkToFit="1"/>
    </xf>
    <xf numFmtId="0" fontId="26" fillId="0" borderId="22" xfId="2" applyFont="1" applyFill="1" applyBorder="1" applyAlignment="1">
      <alignment horizontal="center" vertical="center"/>
    </xf>
    <xf numFmtId="180" fontId="19" fillId="0" borderId="23" xfId="0" applyNumberFormat="1" applyFont="1" applyBorder="1" applyAlignment="1">
      <alignment horizontal="center" vertical="top" shrinkToFit="1"/>
    </xf>
    <xf numFmtId="180" fontId="24" fillId="0" borderId="26" xfId="1" applyNumberFormat="1" applyFont="1" applyBorder="1" applyAlignment="1">
      <alignment horizontal="center" vertical="center" shrinkToFit="1"/>
    </xf>
    <xf numFmtId="49" fontId="28" fillId="0" borderId="0" xfId="0" applyNumberFormat="1" applyFont="1">
      <alignment vertical="center"/>
    </xf>
    <xf numFmtId="0" fontId="28" fillId="0" borderId="0" xfId="0" applyFont="1">
      <alignment vertical="center"/>
    </xf>
    <xf numFmtId="49" fontId="27" fillId="0" borderId="0" xfId="0" applyNumberFormat="1" applyFont="1" applyAlignment="1">
      <alignment vertical="top" shrinkToFit="1"/>
    </xf>
    <xf numFmtId="49" fontId="29" fillId="0" borderId="0" xfId="0" applyNumberFormat="1" applyFont="1">
      <alignment vertical="center"/>
    </xf>
    <xf numFmtId="0" fontId="29" fillId="0" borderId="0" xfId="0" applyFont="1">
      <alignment vertical="center"/>
    </xf>
    <xf numFmtId="49" fontId="15" fillId="0" borderId="0" xfId="0" applyNumberFormat="1" applyFont="1" applyAlignment="1">
      <alignment vertical="top" shrinkToFit="1"/>
    </xf>
    <xf numFmtId="49" fontId="15" fillId="0" borderId="22" xfId="0" applyNumberFormat="1" applyFont="1" applyBorder="1" applyAlignment="1">
      <alignment horizontal="center" vertical="top" shrinkToFit="1"/>
    </xf>
    <xf numFmtId="180" fontId="14" fillId="5" borderId="33" xfId="3" applyNumberFormat="1" applyFont="1" applyFill="1" applyBorder="1" applyAlignment="1">
      <alignment horizontal="center" vertical="center" shrinkToFit="1"/>
    </xf>
    <xf numFmtId="187" fontId="14" fillId="5" borderId="33" xfId="3" applyNumberFormat="1" applyFont="1" applyFill="1" applyBorder="1" applyAlignment="1">
      <alignment horizontal="right" vertical="center" shrinkToFit="1"/>
    </xf>
    <xf numFmtId="180" fontId="14" fillId="5" borderId="29" xfId="3" applyNumberFormat="1" applyFont="1" applyFill="1" applyBorder="1" applyAlignment="1">
      <alignment horizontal="center" vertical="center" shrinkToFit="1"/>
    </xf>
    <xf numFmtId="180" fontId="14" fillId="5" borderId="26" xfId="3" applyNumberFormat="1" applyFont="1" applyFill="1" applyBorder="1" applyAlignment="1">
      <alignment horizontal="center" vertical="center" shrinkToFit="1"/>
    </xf>
    <xf numFmtId="0" fontId="26" fillId="0" borderId="28" xfId="2" applyFont="1" applyFill="1" applyBorder="1" applyAlignment="1">
      <alignment horizontal="center" vertical="center"/>
    </xf>
    <xf numFmtId="49" fontId="30" fillId="0" borderId="0" xfId="3" applyNumberFormat="1" applyFont="1" applyAlignment="1">
      <alignment horizontal="center" vertical="center" shrinkToFit="1"/>
    </xf>
    <xf numFmtId="49" fontId="30" fillId="0" borderId="0" xfId="3" applyNumberFormat="1" applyFont="1" applyAlignment="1">
      <alignment vertical="center" shrinkToFit="1"/>
    </xf>
    <xf numFmtId="0" fontId="25" fillId="7" borderId="9" xfId="0" applyFont="1" applyFill="1" applyBorder="1" applyAlignment="1">
      <alignment horizontal="center" vertical="center"/>
    </xf>
    <xf numFmtId="0" fontId="25" fillId="7" borderId="17" xfId="0" applyFont="1" applyFill="1" applyBorder="1" applyAlignment="1">
      <alignment horizontal="center" vertical="center" shrinkToFit="1"/>
    </xf>
    <xf numFmtId="187" fontId="14" fillId="5" borderId="34" xfId="0" applyNumberFormat="1" applyFont="1" applyFill="1" applyBorder="1" applyAlignment="1">
      <alignment horizontal="right" vertical="center"/>
    </xf>
    <xf numFmtId="180" fontId="14" fillId="5" borderId="22" xfId="0" applyNumberFormat="1" applyFont="1" applyFill="1" applyBorder="1" applyAlignment="1">
      <alignment horizontal="center" vertical="center"/>
    </xf>
    <xf numFmtId="187" fontId="14" fillId="0" borderId="5" xfId="3" applyNumberFormat="1" applyFont="1" applyBorder="1" applyAlignment="1">
      <alignment horizontal="right" vertical="center" shrinkToFit="1"/>
    </xf>
    <xf numFmtId="180" fontId="14" fillId="0" borderId="22" xfId="3" applyNumberFormat="1" applyFont="1" applyBorder="1" applyAlignment="1">
      <alignment horizontal="center" vertical="center" shrinkToFit="1"/>
    </xf>
    <xf numFmtId="187" fontId="14" fillId="5" borderId="35" xfId="3" applyNumberFormat="1" applyFont="1" applyFill="1" applyBorder="1" applyAlignment="1">
      <alignment horizontal="right" vertical="center" shrinkToFit="1"/>
    </xf>
    <xf numFmtId="180" fontId="14" fillId="5" borderId="28" xfId="3" applyNumberFormat="1" applyFont="1" applyFill="1" applyBorder="1" applyAlignment="1">
      <alignment horizontal="center" vertical="center" shrinkToFit="1"/>
    </xf>
    <xf numFmtId="180" fontId="18" fillId="6" borderId="22" xfId="0" applyNumberFormat="1" applyFont="1" applyFill="1" applyBorder="1" applyAlignment="1">
      <alignment horizontal="center" vertical="center" shrinkToFit="1"/>
    </xf>
    <xf numFmtId="180" fontId="18" fillId="6" borderId="6" xfId="0" applyNumberFormat="1" applyFont="1" applyFill="1" applyBorder="1" applyAlignment="1">
      <alignment horizontal="center" vertical="center" shrinkToFit="1"/>
    </xf>
    <xf numFmtId="181" fontId="18" fillId="0" borderId="6" xfId="1" applyNumberFormat="1" applyFont="1" applyBorder="1" applyAlignment="1">
      <alignment horizontal="center" vertical="center" shrinkToFit="1"/>
    </xf>
    <xf numFmtId="49" fontId="22" fillId="5" borderId="22" xfId="1" applyNumberFormat="1" applyFont="1" applyFill="1" applyBorder="1" applyAlignment="1">
      <alignment horizontal="center" vertical="center" wrapText="1" shrinkToFit="1"/>
    </xf>
    <xf numFmtId="180" fontId="16" fillId="6" borderId="6" xfId="0" applyNumberFormat="1" applyFont="1" applyFill="1" applyBorder="1" applyAlignment="1">
      <alignment horizontal="left" vertical="center" shrinkToFit="1"/>
    </xf>
    <xf numFmtId="180" fontId="16" fillId="6" borderId="23" xfId="0" applyNumberFormat="1" applyFont="1" applyFill="1" applyBorder="1" applyAlignment="1">
      <alignment horizontal="left" vertical="center" shrinkToFit="1"/>
    </xf>
    <xf numFmtId="180" fontId="16" fillId="6" borderId="29" xfId="0" applyNumberFormat="1" applyFont="1" applyFill="1" applyBorder="1" applyAlignment="1">
      <alignment horizontal="left" vertical="center" shrinkToFit="1"/>
    </xf>
    <xf numFmtId="180" fontId="16" fillId="6" borderId="26" xfId="0" applyNumberFormat="1" applyFont="1" applyFill="1" applyBorder="1" applyAlignment="1">
      <alignment horizontal="left" vertical="center" shrinkToFit="1"/>
    </xf>
    <xf numFmtId="49" fontId="27" fillId="5" borderId="16" xfId="0" applyNumberFormat="1" applyFont="1" applyFill="1" applyBorder="1" applyAlignment="1">
      <alignment horizontal="center" vertical="top" shrinkToFit="1"/>
    </xf>
    <xf numFmtId="49" fontId="27" fillId="5" borderId="32" xfId="0" applyNumberFormat="1" applyFont="1" applyFill="1" applyBorder="1" applyAlignment="1">
      <alignment horizontal="center" vertical="top" shrinkToFit="1"/>
    </xf>
    <xf numFmtId="49" fontId="16" fillId="5" borderId="17" xfId="1" applyNumberFormat="1" applyFont="1" applyFill="1" applyBorder="1" applyAlignment="1">
      <alignment horizontal="center" vertical="center" shrinkToFit="1"/>
    </xf>
    <xf numFmtId="49" fontId="16" fillId="5" borderId="19" xfId="1" applyNumberFormat="1" applyFont="1" applyFill="1" applyBorder="1" applyAlignment="1">
      <alignment horizontal="center" vertical="center" shrinkToFit="1"/>
    </xf>
    <xf numFmtId="0" fontId="1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176" fontId="1" fillId="0" borderId="0" xfId="1" applyNumberFormat="1" applyAlignment="1">
      <alignment horizontal="left" vertical="center" shrinkToFit="1"/>
    </xf>
    <xf numFmtId="49" fontId="10" fillId="0" borderId="0" xfId="1" applyNumberFormat="1" applyFont="1" applyAlignment="1">
      <alignment horizontal="left" vertical="center" shrinkToFit="1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49" fontId="1" fillId="0" borderId="15" xfId="1" applyNumberFormat="1" applyBorder="1" applyAlignment="1">
      <alignment vertical="center" shrinkToFit="1"/>
    </xf>
    <xf numFmtId="0" fontId="0" fillId="0" borderId="15" xfId="0" applyBorder="1" applyAlignment="1"/>
    <xf numFmtId="49" fontId="1" fillId="0" borderId="10" xfId="1" applyNumberFormat="1" applyBorder="1" applyAlignment="1">
      <alignment vertical="center" shrinkToFit="1"/>
    </xf>
    <xf numFmtId="0" fontId="0" fillId="0" borderId="10" xfId="0" applyBorder="1" applyAlignment="1"/>
    <xf numFmtId="49" fontId="1" fillId="0" borderId="0" xfId="1" applyNumberFormat="1" applyAlignment="1">
      <alignment horizontal="right" vertical="center" shrinkToFit="1"/>
    </xf>
    <xf numFmtId="49" fontId="6" fillId="0" borderId="0" xfId="1" applyNumberFormat="1" applyFont="1" applyAlignment="1">
      <alignment vertical="center" shrinkToFit="1"/>
    </xf>
    <xf numFmtId="49" fontId="5" fillId="0" borderId="6" xfId="1" applyNumberFormat="1" applyFont="1" applyBorder="1" applyAlignment="1">
      <alignment vertical="center" shrinkToFit="1"/>
    </xf>
    <xf numFmtId="0" fontId="0" fillId="0" borderId="4" xfId="0" applyBorder="1" applyAlignment="1"/>
    <xf numFmtId="49" fontId="5" fillId="0" borderId="4" xfId="1" applyNumberFormat="1" applyFont="1" applyBorder="1" applyAlignment="1">
      <alignment vertical="center" shrinkToFit="1"/>
    </xf>
    <xf numFmtId="49" fontId="5" fillId="0" borderId="11" xfId="1" applyNumberFormat="1" applyFont="1" applyBorder="1" applyAlignment="1">
      <alignment vertical="center" shrinkToFit="1"/>
    </xf>
    <xf numFmtId="0" fontId="0" fillId="0" borderId="12" xfId="0" applyBorder="1" applyAlignment="1"/>
    <xf numFmtId="0" fontId="0" fillId="0" borderId="11" xfId="0" applyBorder="1" applyAlignment="1"/>
    <xf numFmtId="49" fontId="5" fillId="0" borderId="13" xfId="1" applyNumberFormat="1" applyFont="1" applyBorder="1" applyAlignment="1">
      <alignment vertical="center" shrinkToFit="1"/>
    </xf>
    <xf numFmtId="0" fontId="0" fillId="0" borderId="13" xfId="0" applyBorder="1" applyAlignment="1"/>
    <xf numFmtId="49" fontId="1" fillId="0" borderId="14" xfId="1" applyNumberFormat="1" applyBorder="1" applyAlignment="1">
      <alignment vertical="center" shrinkToFit="1"/>
    </xf>
    <xf numFmtId="0" fontId="0" fillId="0" borderId="14" xfId="0" applyBorder="1" applyAlignment="1"/>
    <xf numFmtId="49" fontId="1" fillId="0" borderId="14" xfId="1" applyNumberFormat="1" applyBorder="1" applyAlignment="1">
      <alignment horizontal="right" vertical="center" shrinkToFit="1"/>
    </xf>
    <xf numFmtId="49" fontId="5" fillId="0" borderId="0" xfId="1" applyNumberFormat="1" applyFont="1" applyAlignment="1">
      <alignment vertical="center" shrinkToFit="1"/>
    </xf>
    <xf numFmtId="49" fontId="5" fillId="0" borderId="0" xfId="1" applyNumberFormat="1" applyFont="1" applyAlignment="1">
      <alignment horizontal="left" vertical="center" shrinkToFit="1"/>
    </xf>
    <xf numFmtId="178" fontId="5" fillId="0" borderId="0" xfId="1" applyNumberFormat="1" applyFont="1" applyAlignment="1">
      <alignment horizontal="left" vertical="center" shrinkToFit="1"/>
    </xf>
    <xf numFmtId="49" fontId="5" fillId="0" borderId="5" xfId="1" applyNumberFormat="1" applyFont="1" applyBorder="1" applyAlignment="1">
      <alignment horizontal="center" vertical="center" shrinkToFit="1"/>
    </xf>
    <xf numFmtId="0" fontId="0" fillId="0" borderId="9" xfId="0" applyBorder="1" applyAlignment="1"/>
    <xf numFmtId="178" fontId="5" fillId="0" borderId="6" xfId="1" applyNumberFormat="1" applyFont="1" applyBorder="1" applyAlignment="1">
      <alignment horizontal="center" vertical="center" shrinkToFit="1"/>
    </xf>
    <xf numFmtId="0" fontId="0" fillId="0" borderId="7" xfId="0" applyBorder="1" applyAlignment="1"/>
    <xf numFmtId="0" fontId="0" fillId="0" borderId="8" xfId="0" applyBorder="1" applyAlignment="1"/>
    <xf numFmtId="49" fontId="3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vertical="center" shrinkToFit="1"/>
    </xf>
    <xf numFmtId="176" fontId="4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3" xfId="0" applyBorder="1" applyAlignment="1"/>
    <xf numFmtId="49" fontId="7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</cellXfs>
  <cellStyles count="4">
    <cellStyle name="どちらでもない" xfId="2" builtinId="28"/>
    <cellStyle name="標準" xfId="0" builtinId="0"/>
    <cellStyle name="標準 2" xfId="1" xr:uid="{7AA0042D-EBA4-4419-9539-2A39E34278D8}"/>
    <cellStyle name="標準 2 4" xfId="3" xr:uid="{BE647C87-601F-43A5-95EC-917B1B16171E}"/>
  </cellStyles>
  <dxfs count="8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2" tint="-9.9948118533890809E-2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61</xdr:row>
      <xdr:rowOff>38100</xdr:rowOff>
    </xdr:from>
    <xdr:to>
      <xdr:col>9</xdr:col>
      <xdr:colOff>714375</xdr:colOff>
      <xdr:row>64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834A023-904F-BF9D-1B75-40C40072B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0125" y="13992225"/>
          <a:ext cx="619125" cy="619125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104776</xdr:colOff>
      <xdr:row>4</xdr:row>
      <xdr:rowOff>47626</xdr:rowOff>
    </xdr:from>
    <xdr:to>
      <xdr:col>9</xdr:col>
      <xdr:colOff>714376</xdr:colOff>
      <xdr:row>7</xdr:row>
      <xdr:rowOff>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F68FC97-7FC9-4201-A150-D4EE70EF3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29651" y="771526"/>
          <a:ext cx="609600" cy="609600"/>
        </a:xfrm>
        <a:prstGeom prst="rect">
          <a:avLst/>
        </a:prstGeom>
      </xdr:spPr>
    </xdr:pic>
    <xdr:clientData/>
  </xdr:twoCellAnchor>
  <xdr:twoCellAnchor editAs="oneCell">
    <xdr:from>
      <xdr:col>8</xdr:col>
      <xdr:colOff>114301</xdr:colOff>
      <xdr:row>4</xdr:row>
      <xdr:rowOff>38101</xdr:rowOff>
    </xdr:from>
    <xdr:to>
      <xdr:col>8</xdr:col>
      <xdr:colOff>752475</xdr:colOff>
      <xdr:row>7</xdr:row>
      <xdr:rowOff>19050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B03E4E5-095A-5F1C-A300-48B6ECC46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9551" y="762001"/>
          <a:ext cx="638174" cy="638174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61</xdr:row>
      <xdr:rowOff>38100</xdr:rowOff>
    </xdr:from>
    <xdr:to>
      <xdr:col>8</xdr:col>
      <xdr:colOff>762000</xdr:colOff>
      <xdr:row>64</xdr:row>
      <xdr:rowOff>38100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83C9ECF-6254-10C7-9603-CF5874ED7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20025" y="13992225"/>
          <a:ext cx="657225" cy="6572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FDB.xlsm" TargetMode="External"/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sgt2605.xlsm" TargetMode="External"/><Relationship Id="rId2" Type="http://schemas.openxmlformats.org/officeDocument/2006/relationships/externalLinkPath" Target="file:///C:\Users\user\Desktop\sgt2605.xlsm" TargetMode="External"/><Relationship Id="rId1" Type="http://schemas.openxmlformats.org/officeDocument/2006/relationships/externalLinkPath" Target="/Users/user/Desktop/sgt260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非稼働日設定"/>
      <sheetName val="VFDB2"/>
      <sheetName val="指図書"/>
      <sheetName val="請求"/>
      <sheetName val="温度換算"/>
      <sheetName val="網戸日程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P3">
            <v>0</v>
          </cell>
          <cell r="U3" t="str">
            <v>000000000013821</v>
          </cell>
        </row>
        <row r="4">
          <cell r="P4">
            <v>0</v>
          </cell>
          <cell r="U4" t="str">
            <v>000000000013821</v>
          </cell>
        </row>
        <row r="5">
          <cell r="C5">
            <v>100</v>
          </cell>
          <cell r="P5">
            <v>0</v>
          </cell>
          <cell r="U5" t="str">
            <v>000000000013821</v>
          </cell>
        </row>
        <row r="6">
          <cell r="C6">
            <v>100</v>
          </cell>
          <cell r="P6">
            <v>0</v>
          </cell>
          <cell r="U6" t="str">
            <v>000000000013821</v>
          </cell>
        </row>
        <row r="7">
          <cell r="C7">
            <v>2</v>
          </cell>
          <cell r="P7">
            <v>0</v>
          </cell>
          <cell r="U7" t="str">
            <v>000000000013821</v>
          </cell>
        </row>
        <row r="8">
          <cell r="C8">
            <v>100</v>
          </cell>
          <cell r="M8" t="str">
            <v>合計</v>
          </cell>
          <cell r="N8">
            <v>0</v>
          </cell>
          <cell r="P8">
            <v>0</v>
          </cell>
          <cell r="U8" t="str">
            <v>000000000013821</v>
          </cell>
        </row>
        <row r="9">
          <cell r="C9" t="str">
            <v>LED-A888</v>
          </cell>
          <cell r="M9" t="str">
            <v>入数</v>
          </cell>
          <cell r="N9">
            <v>0</v>
          </cell>
          <cell r="P9">
            <v>0</v>
          </cell>
          <cell r="U9" t="str">
            <v>000000000013821</v>
          </cell>
        </row>
        <row r="10">
          <cell r="M10" t="str">
            <v>作業者</v>
          </cell>
          <cell r="U10" t="str">
            <v>000000000013821</v>
          </cell>
        </row>
        <row r="11">
          <cell r="C11">
            <v>0</v>
          </cell>
          <cell r="U11" t="str">
            <v>000000000013821</v>
          </cell>
        </row>
        <row r="12">
          <cell r="R12">
            <v>0</v>
          </cell>
          <cell r="U12" t="str">
            <v>000000000013821</v>
          </cell>
        </row>
        <row r="13">
          <cell r="D13" t="str">
            <v>不良補填</v>
          </cell>
          <cell r="F13">
            <v>0</v>
          </cell>
          <cell r="U13" t="str">
            <v>000000000013821</v>
          </cell>
        </row>
        <row r="14">
          <cell r="C14" t="str">
            <v>8FL281304 5010　L=888</v>
          </cell>
          <cell r="P14">
            <v>0</v>
          </cell>
          <cell r="U14" t="str">
            <v>000000000013822</v>
          </cell>
        </row>
        <row r="15">
          <cell r="P15">
            <v>0</v>
          </cell>
          <cell r="U15" t="str">
            <v>000000000013822</v>
          </cell>
        </row>
        <row r="16">
          <cell r="C16">
            <v>200</v>
          </cell>
          <cell r="P16">
            <v>0</v>
          </cell>
          <cell r="U16" t="str">
            <v>000000000013822</v>
          </cell>
        </row>
        <row r="17">
          <cell r="C17">
            <v>200</v>
          </cell>
          <cell r="P17">
            <v>0</v>
          </cell>
          <cell r="U17" t="str">
            <v>000000000013822</v>
          </cell>
        </row>
        <row r="18">
          <cell r="C18">
            <v>2</v>
          </cell>
          <cell r="P18">
            <v>0</v>
          </cell>
          <cell r="U18" t="str">
            <v>000000000013822</v>
          </cell>
        </row>
        <row r="19">
          <cell r="C19">
            <v>100</v>
          </cell>
          <cell r="M19" t="str">
            <v>合計</v>
          </cell>
          <cell r="N19">
            <v>0</v>
          </cell>
          <cell r="P19">
            <v>0</v>
          </cell>
          <cell r="U19" t="str">
            <v>000000000013822</v>
          </cell>
        </row>
        <row r="20">
          <cell r="C20" t="str">
            <v>LED-A888</v>
          </cell>
          <cell r="M20" t="str">
            <v>入数</v>
          </cell>
          <cell r="N20">
            <v>0</v>
          </cell>
          <cell r="P20">
            <v>0</v>
          </cell>
          <cell r="U20" t="str">
            <v>000000000013822</v>
          </cell>
        </row>
        <row r="21">
          <cell r="M21" t="str">
            <v>作業者</v>
          </cell>
          <cell r="U21" t="str">
            <v>000000000013822</v>
          </cell>
        </row>
        <row r="22">
          <cell r="C22">
            <v>0</v>
          </cell>
          <cell r="U22" t="str">
            <v>000000000013822</v>
          </cell>
        </row>
        <row r="23">
          <cell r="R23">
            <v>0</v>
          </cell>
          <cell r="U23" t="str">
            <v>000000000013822</v>
          </cell>
        </row>
        <row r="24">
          <cell r="D24" t="str">
            <v>不良補填</v>
          </cell>
          <cell r="F24">
            <v>0</v>
          </cell>
          <cell r="U24" t="str">
            <v>000000000013822</v>
          </cell>
        </row>
        <row r="25">
          <cell r="C25" t="str">
            <v>8FL281304 5010　L=888</v>
          </cell>
          <cell r="P25">
            <v>0</v>
          </cell>
          <cell r="U25" t="str">
            <v>000000000013826</v>
          </cell>
        </row>
        <row r="26">
          <cell r="P26">
            <v>0</v>
          </cell>
          <cell r="U26" t="str">
            <v>000000000013826</v>
          </cell>
        </row>
        <row r="27">
          <cell r="C27">
            <v>700</v>
          </cell>
          <cell r="P27">
            <v>0</v>
          </cell>
          <cell r="U27" t="str">
            <v>000000000013826</v>
          </cell>
        </row>
        <row r="28">
          <cell r="C28">
            <v>2000</v>
          </cell>
          <cell r="P28">
            <v>0</v>
          </cell>
          <cell r="U28" t="str">
            <v>000000000013826</v>
          </cell>
        </row>
        <row r="29">
          <cell r="C29">
            <v>2</v>
          </cell>
          <cell r="P29">
            <v>0</v>
          </cell>
          <cell r="U29" t="str">
            <v>000000000013826</v>
          </cell>
        </row>
        <row r="30">
          <cell r="C30">
            <v>100</v>
          </cell>
          <cell r="M30" t="str">
            <v>合計</v>
          </cell>
          <cell r="N30">
            <v>0</v>
          </cell>
          <cell r="P30">
            <v>0</v>
          </cell>
          <cell r="U30" t="str">
            <v>000000000013826</v>
          </cell>
        </row>
        <row r="31">
          <cell r="C31" t="str">
            <v>LED-A888</v>
          </cell>
          <cell r="M31" t="str">
            <v>入数</v>
          </cell>
          <cell r="N31">
            <v>0</v>
          </cell>
          <cell r="P31">
            <v>0</v>
          </cell>
          <cell r="U31" t="str">
            <v>000000000013826</v>
          </cell>
        </row>
        <row r="32">
          <cell r="M32" t="str">
            <v>作業者</v>
          </cell>
          <cell r="U32" t="str">
            <v>000000000013826</v>
          </cell>
        </row>
        <row r="33">
          <cell r="C33">
            <v>0</v>
          </cell>
          <cell r="U33" t="str">
            <v>000000000013826</v>
          </cell>
        </row>
        <row r="34">
          <cell r="R34">
            <v>0</v>
          </cell>
          <cell r="U34" t="str">
            <v>000000000013826</v>
          </cell>
        </row>
        <row r="35">
          <cell r="D35" t="str">
            <v>不良補填</v>
          </cell>
          <cell r="F35">
            <v>0</v>
          </cell>
          <cell r="U35" t="str">
            <v>000000000013826</v>
          </cell>
        </row>
        <row r="36">
          <cell r="C36" t="str">
            <v>8FL281304 5010　L=888</v>
          </cell>
          <cell r="P36">
            <v>0</v>
          </cell>
          <cell r="U36" t="str">
            <v>000000000013827</v>
          </cell>
        </row>
        <row r="37">
          <cell r="P37">
            <v>0</v>
          </cell>
          <cell r="U37" t="str">
            <v>000000000013827</v>
          </cell>
        </row>
        <row r="38">
          <cell r="P38">
            <v>0</v>
          </cell>
          <cell r="U38" t="str">
            <v>000000000013827</v>
          </cell>
        </row>
        <row r="39">
          <cell r="C39">
            <v>2000</v>
          </cell>
          <cell r="P39">
            <v>0</v>
          </cell>
          <cell r="U39" t="str">
            <v>000000000013827</v>
          </cell>
        </row>
        <row r="40">
          <cell r="C40">
            <v>2</v>
          </cell>
          <cell r="P40">
            <v>0</v>
          </cell>
          <cell r="U40" t="str">
            <v>000000000013827</v>
          </cell>
        </row>
        <row r="41">
          <cell r="C41">
            <v>100</v>
          </cell>
          <cell r="M41" t="str">
            <v>合計</v>
          </cell>
          <cell r="N41">
            <v>0</v>
          </cell>
          <cell r="P41">
            <v>0</v>
          </cell>
          <cell r="U41" t="str">
            <v>000000000013827</v>
          </cell>
        </row>
        <row r="42">
          <cell r="C42" t="str">
            <v>LED-A888</v>
          </cell>
          <cell r="M42" t="str">
            <v>入数</v>
          </cell>
          <cell r="N42">
            <v>0</v>
          </cell>
          <cell r="P42">
            <v>0</v>
          </cell>
          <cell r="U42" t="str">
            <v>000000000013827</v>
          </cell>
        </row>
        <row r="43">
          <cell r="M43" t="str">
            <v>作業者</v>
          </cell>
          <cell r="U43" t="str">
            <v>000000000013827</v>
          </cell>
        </row>
        <row r="44">
          <cell r="C44">
            <v>0</v>
          </cell>
          <cell r="U44" t="str">
            <v>000000000013827</v>
          </cell>
        </row>
        <row r="45">
          <cell r="R45">
            <v>0</v>
          </cell>
          <cell r="U45" t="str">
            <v>000000000013827</v>
          </cell>
        </row>
        <row r="46">
          <cell r="D46" t="str">
            <v>不良補填</v>
          </cell>
          <cell r="F46">
            <v>0</v>
          </cell>
          <cell r="U46" t="str">
            <v>000000000013827</v>
          </cell>
        </row>
        <row r="47">
          <cell r="C47" t="str">
            <v>001EGAW　715</v>
          </cell>
          <cell r="P47">
            <v>0</v>
          </cell>
          <cell r="U47" t="str">
            <v>000000000013445</v>
          </cell>
        </row>
        <row r="48">
          <cell r="P48">
            <v>0</v>
          </cell>
          <cell r="U48" t="str">
            <v>000000000013445</v>
          </cell>
        </row>
        <row r="49">
          <cell r="P49">
            <v>0</v>
          </cell>
          <cell r="U49" t="str">
            <v>000000000013445</v>
          </cell>
        </row>
        <row r="50">
          <cell r="C50">
            <v>300</v>
          </cell>
          <cell r="P50">
            <v>0</v>
          </cell>
          <cell r="U50" t="str">
            <v>000000000013445</v>
          </cell>
        </row>
        <row r="51">
          <cell r="C51">
            <v>2</v>
          </cell>
          <cell r="P51">
            <v>0</v>
          </cell>
          <cell r="U51" t="str">
            <v>000000000013445</v>
          </cell>
        </row>
        <row r="52">
          <cell r="C52">
            <v>200</v>
          </cell>
          <cell r="M52" t="str">
            <v>合計</v>
          </cell>
          <cell r="N52">
            <v>0</v>
          </cell>
          <cell r="P52">
            <v>0</v>
          </cell>
          <cell r="U52" t="str">
            <v>000000000013445</v>
          </cell>
        </row>
        <row r="53">
          <cell r="C53" t="str">
            <v>S-40</v>
          </cell>
          <cell r="M53" t="str">
            <v>入数</v>
          </cell>
          <cell r="N53">
            <v>0</v>
          </cell>
          <cell r="P53">
            <v>0</v>
          </cell>
          <cell r="U53" t="str">
            <v>000000000013445</v>
          </cell>
        </row>
        <row r="54">
          <cell r="M54" t="str">
            <v>作業者</v>
          </cell>
          <cell r="U54" t="str">
            <v>000000000013445</v>
          </cell>
        </row>
        <row r="55">
          <cell r="C55">
            <v>0</v>
          </cell>
          <cell r="U55" t="str">
            <v>000000000013445</v>
          </cell>
        </row>
        <row r="56">
          <cell r="R56">
            <v>0</v>
          </cell>
          <cell r="U56" t="str">
            <v>000000000013445</v>
          </cell>
        </row>
        <row r="57">
          <cell r="D57" t="str">
            <v>不良補填</v>
          </cell>
          <cell r="F57" t="str">
            <v/>
          </cell>
          <cell r="U57" t="str">
            <v>000000000013445</v>
          </cell>
        </row>
        <row r="58">
          <cell r="C58" t="str">
            <v>001EGAW　652</v>
          </cell>
          <cell r="P58">
            <v>0</v>
          </cell>
          <cell r="U58" t="str">
            <v>000000000013444</v>
          </cell>
        </row>
        <row r="59">
          <cell r="P59">
            <v>0</v>
          </cell>
          <cell r="U59" t="str">
            <v>000000000013444</v>
          </cell>
        </row>
        <row r="60">
          <cell r="P60">
            <v>0</v>
          </cell>
          <cell r="U60" t="str">
            <v>000000000013444</v>
          </cell>
        </row>
        <row r="61">
          <cell r="C61">
            <v>3600</v>
          </cell>
          <cell r="P61">
            <v>0</v>
          </cell>
          <cell r="U61" t="str">
            <v>000000000013444</v>
          </cell>
        </row>
        <row r="62">
          <cell r="C62">
            <v>2</v>
          </cell>
          <cell r="P62">
            <v>0</v>
          </cell>
          <cell r="U62" t="str">
            <v>000000000013444</v>
          </cell>
        </row>
        <row r="63">
          <cell r="C63">
            <v>200</v>
          </cell>
          <cell r="M63" t="str">
            <v>合計</v>
          </cell>
          <cell r="N63">
            <v>0</v>
          </cell>
          <cell r="P63">
            <v>0</v>
          </cell>
          <cell r="U63" t="str">
            <v>000000000013444</v>
          </cell>
        </row>
        <row r="64">
          <cell r="C64" t="str">
            <v>S-40</v>
          </cell>
          <cell r="M64" t="str">
            <v>入数</v>
          </cell>
          <cell r="N64">
            <v>0</v>
          </cell>
          <cell r="P64">
            <v>0</v>
          </cell>
          <cell r="U64" t="str">
            <v>000000000013444</v>
          </cell>
        </row>
        <row r="65">
          <cell r="M65" t="str">
            <v>作業者</v>
          </cell>
          <cell r="U65" t="str">
            <v>000000000013444</v>
          </cell>
        </row>
        <row r="66">
          <cell r="C66">
            <v>0</v>
          </cell>
          <cell r="U66" t="str">
            <v>000000000013444</v>
          </cell>
        </row>
        <row r="67">
          <cell r="R67">
            <v>0</v>
          </cell>
          <cell r="U67" t="str">
            <v>000000000013444</v>
          </cell>
        </row>
        <row r="68">
          <cell r="D68" t="str">
            <v>不良補填</v>
          </cell>
          <cell r="F68" t="str">
            <v/>
          </cell>
          <cell r="U68" t="str">
            <v>000000000013444</v>
          </cell>
        </row>
        <row r="69">
          <cell r="C69" t="str">
            <v>001EGAW　565</v>
          </cell>
          <cell r="P69">
            <v>0</v>
          </cell>
          <cell r="U69" t="str">
            <v>000000000013443</v>
          </cell>
        </row>
        <row r="70">
          <cell r="P70">
            <v>0</v>
          </cell>
          <cell r="U70" t="str">
            <v>000000000013443</v>
          </cell>
        </row>
        <row r="71">
          <cell r="P71">
            <v>0</v>
          </cell>
          <cell r="U71" t="str">
            <v>000000000013443</v>
          </cell>
        </row>
        <row r="72">
          <cell r="C72">
            <v>1300</v>
          </cell>
          <cell r="P72">
            <v>0</v>
          </cell>
          <cell r="U72" t="str">
            <v>000000000013443</v>
          </cell>
        </row>
        <row r="73">
          <cell r="C73">
            <v>2</v>
          </cell>
          <cell r="P73">
            <v>0</v>
          </cell>
          <cell r="U73" t="str">
            <v>000000000013443</v>
          </cell>
        </row>
        <row r="74">
          <cell r="C74">
            <v>200</v>
          </cell>
          <cell r="M74" t="str">
            <v>合計</v>
          </cell>
          <cell r="N74">
            <v>0</v>
          </cell>
          <cell r="P74">
            <v>0</v>
          </cell>
          <cell r="U74" t="str">
            <v>000000000013443</v>
          </cell>
        </row>
        <row r="75">
          <cell r="C75" t="str">
            <v>S-30</v>
          </cell>
          <cell r="M75" t="str">
            <v>入数</v>
          </cell>
          <cell r="N75">
            <v>0</v>
          </cell>
          <cell r="P75">
            <v>0</v>
          </cell>
          <cell r="U75" t="str">
            <v>000000000013443</v>
          </cell>
        </row>
        <row r="76">
          <cell r="M76" t="str">
            <v>作業者</v>
          </cell>
          <cell r="U76" t="str">
            <v>000000000013443</v>
          </cell>
        </row>
        <row r="77">
          <cell r="C77">
            <v>0</v>
          </cell>
          <cell r="U77" t="str">
            <v>000000000013443</v>
          </cell>
        </row>
        <row r="78">
          <cell r="R78">
            <v>0</v>
          </cell>
          <cell r="U78" t="str">
            <v>000000000013443</v>
          </cell>
        </row>
        <row r="79">
          <cell r="D79" t="str">
            <v>不良補填</v>
          </cell>
          <cell r="F79" t="str">
            <v/>
          </cell>
          <cell r="U79" t="str">
            <v>000000000013443</v>
          </cell>
        </row>
        <row r="80">
          <cell r="C80" t="str">
            <v>001EGAW　508</v>
          </cell>
          <cell r="P80">
            <v>0</v>
          </cell>
          <cell r="U80" t="str">
            <v>000000000013442</v>
          </cell>
        </row>
        <row r="81">
          <cell r="P81">
            <v>0</v>
          </cell>
          <cell r="U81" t="str">
            <v>000000000013442</v>
          </cell>
        </row>
        <row r="82">
          <cell r="P82">
            <v>0</v>
          </cell>
          <cell r="U82" t="str">
            <v>000000000013442</v>
          </cell>
        </row>
        <row r="83">
          <cell r="C83">
            <v>1300</v>
          </cell>
          <cell r="P83">
            <v>0</v>
          </cell>
          <cell r="U83" t="str">
            <v>000000000013442</v>
          </cell>
        </row>
        <row r="84">
          <cell r="C84">
            <v>2</v>
          </cell>
          <cell r="P84">
            <v>0</v>
          </cell>
          <cell r="U84" t="str">
            <v>000000000013442</v>
          </cell>
        </row>
        <row r="85">
          <cell r="C85">
            <v>200</v>
          </cell>
          <cell r="M85" t="str">
            <v>合計</v>
          </cell>
          <cell r="N85">
            <v>0</v>
          </cell>
          <cell r="P85">
            <v>0</v>
          </cell>
          <cell r="U85" t="str">
            <v>000000000013442</v>
          </cell>
        </row>
        <row r="86">
          <cell r="C86" t="str">
            <v>S-30</v>
          </cell>
          <cell r="M86" t="str">
            <v>入数</v>
          </cell>
          <cell r="N86">
            <v>0</v>
          </cell>
          <cell r="P86">
            <v>0</v>
          </cell>
          <cell r="U86" t="str">
            <v>000000000013442</v>
          </cell>
        </row>
        <row r="87">
          <cell r="M87" t="str">
            <v>作業者</v>
          </cell>
          <cell r="U87" t="str">
            <v>000000000013442</v>
          </cell>
        </row>
        <row r="88">
          <cell r="C88">
            <v>0</v>
          </cell>
          <cell r="U88" t="str">
            <v>000000000013442</v>
          </cell>
        </row>
        <row r="89">
          <cell r="R89">
            <v>0</v>
          </cell>
          <cell r="U89" t="str">
            <v>000000000013442</v>
          </cell>
        </row>
        <row r="90">
          <cell r="D90" t="str">
            <v>不良補填</v>
          </cell>
          <cell r="F90" t="str">
            <v/>
          </cell>
          <cell r="U90" t="str">
            <v>000000000013442</v>
          </cell>
        </row>
        <row r="91">
          <cell r="C91" t="str">
            <v>001EGAW　415</v>
          </cell>
          <cell r="P91">
            <v>0</v>
          </cell>
          <cell r="U91" t="str">
            <v>000000000013441</v>
          </cell>
        </row>
        <row r="92">
          <cell r="P92">
            <v>0</v>
          </cell>
          <cell r="U92" t="str">
            <v>000000000013441</v>
          </cell>
        </row>
        <row r="93">
          <cell r="P93">
            <v>0</v>
          </cell>
          <cell r="U93" t="str">
            <v>000000000013441</v>
          </cell>
        </row>
        <row r="94">
          <cell r="C94">
            <v>1500</v>
          </cell>
          <cell r="P94">
            <v>0</v>
          </cell>
          <cell r="U94" t="str">
            <v>000000000013441</v>
          </cell>
        </row>
        <row r="95">
          <cell r="C95">
            <v>3</v>
          </cell>
          <cell r="P95">
            <v>0</v>
          </cell>
          <cell r="U95" t="str">
            <v>000000000013441</v>
          </cell>
        </row>
        <row r="96">
          <cell r="C96">
            <v>200</v>
          </cell>
          <cell r="M96" t="str">
            <v>合計</v>
          </cell>
          <cell r="N96">
            <v>0</v>
          </cell>
          <cell r="P96">
            <v>0</v>
          </cell>
          <cell r="U96" t="str">
            <v>000000000013441</v>
          </cell>
        </row>
        <row r="97">
          <cell r="C97" t="str">
            <v>S-20</v>
          </cell>
          <cell r="M97" t="str">
            <v>入数</v>
          </cell>
          <cell r="N97">
            <v>0</v>
          </cell>
          <cell r="P97">
            <v>0</v>
          </cell>
          <cell r="U97" t="str">
            <v>000000000013441</v>
          </cell>
        </row>
        <row r="98">
          <cell r="M98" t="str">
            <v>作業者</v>
          </cell>
          <cell r="U98" t="str">
            <v>000000000013441</v>
          </cell>
        </row>
        <row r="99">
          <cell r="C99">
            <v>0</v>
          </cell>
          <cell r="U99" t="str">
            <v>000000000013441</v>
          </cell>
        </row>
        <row r="100">
          <cell r="R100">
            <v>0</v>
          </cell>
          <cell r="U100" t="str">
            <v>000000000013441</v>
          </cell>
        </row>
        <row r="101">
          <cell r="D101" t="str">
            <v>不良補填</v>
          </cell>
          <cell r="F101" t="str">
            <v/>
          </cell>
          <cell r="U101" t="str">
            <v>000000000013441</v>
          </cell>
        </row>
        <row r="102">
          <cell r="C102" t="str">
            <v>8FL281304 4910　L=592</v>
          </cell>
          <cell r="P102">
            <v>0</v>
          </cell>
          <cell r="U102" t="str">
            <v>000000000013162</v>
          </cell>
        </row>
        <row r="103">
          <cell r="P103">
            <v>0</v>
          </cell>
          <cell r="U103" t="str">
            <v>000000000013162</v>
          </cell>
        </row>
        <row r="104">
          <cell r="C104">
            <v>100</v>
          </cell>
          <cell r="P104">
            <v>0</v>
          </cell>
          <cell r="U104" t="str">
            <v>000000000013162</v>
          </cell>
        </row>
        <row r="105">
          <cell r="C105">
            <v>100</v>
          </cell>
          <cell r="P105">
            <v>0</v>
          </cell>
          <cell r="U105" t="str">
            <v>000000000013162</v>
          </cell>
        </row>
        <row r="106">
          <cell r="C106">
            <v>3</v>
          </cell>
          <cell r="P106">
            <v>0</v>
          </cell>
          <cell r="U106" t="str">
            <v>000000000013162</v>
          </cell>
        </row>
        <row r="107">
          <cell r="C107">
            <v>100</v>
          </cell>
          <cell r="M107" t="str">
            <v>合計</v>
          </cell>
          <cell r="N107">
            <v>0</v>
          </cell>
          <cell r="P107">
            <v>0</v>
          </cell>
          <cell r="U107" t="str">
            <v>000000000013162</v>
          </cell>
        </row>
        <row r="108">
          <cell r="C108" t="str">
            <v>LED-A592</v>
          </cell>
          <cell r="M108" t="str">
            <v>入数</v>
          </cell>
          <cell r="N108">
            <v>0</v>
          </cell>
          <cell r="P108">
            <v>0</v>
          </cell>
          <cell r="U108" t="str">
            <v>000000000013162</v>
          </cell>
        </row>
        <row r="109">
          <cell r="M109" t="str">
            <v>作業者</v>
          </cell>
          <cell r="U109" t="str">
            <v>000000000013162</v>
          </cell>
        </row>
        <row r="110">
          <cell r="C110">
            <v>0</v>
          </cell>
          <cell r="U110" t="str">
            <v>000000000013162</v>
          </cell>
        </row>
        <row r="111">
          <cell r="R111">
            <v>0</v>
          </cell>
          <cell r="U111" t="str">
            <v>000000000013162</v>
          </cell>
        </row>
        <row r="112">
          <cell r="D112" t="str">
            <v>不良補填</v>
          </cell>
          <cell r="F112">
            <v>0</v>
          </cell>
          <cell r="U112" t="str">
            <v>000000000013162</v>
          </cell>
        </row>
        <row r="113">
          <cell r="C113" t="str">
            <v>灯具カバーPC IN 2110　L=1815</v>
          </cell>
          <cell r="P113">
            <v>0</v>
          </cell>
          <cell r="U113" t="str">
            <v>000000000013718</v>
          </cell>
        </row>
        <row r="114">
          <cell r="P114">
            <v>0</v>
          </cell>
          <cell r="U114" t="str">
            <v>000000000013718</v>
          </cell>
        </row>
        <row r="115">
          <cell r="P115">
            <v>0</v>
          </cell>
          <cell r="U115" t="str">
            <v>000000000013718</v>
          </cell>
        </row>
        <row r="116">
          <cell r="C116">
            <v>192</v>
          </cell>
          <cell r="P116">
            <v>0</v>
          </cell>
          <cell r="U116" t="str">
            <v>000000000013718</v>
          </cell>
        </row>
        <row r="117">
          <cell r="C117">
            <v>1</v>
          </cell>
          <cell r="P117">
            <v>0</v>
          </cell>
          <cell r="U117" t="str">
            <v>000000000013718</v>
          </cell>
        </row>
        <row r="118">
          <cell r="C118">
            <v>16</v>
          </cell>
          <cell r="M118" t="str">
            <v>合計</v>
          </cell>
          <cell r="N118">
            <v>0</v>
          </cell>
          <cell r="P118">
            <v>0</v>
          </cell>
          <cell r="U118" t="str">
            <v>000000000013718</v>
          </cell>
        </row>
        <row r="119">
          <cell r="C119" t="str">
            <v>灯具-2　L＝1996</v>
          </cell>
          <cell r="M119" t="str">
            <v>入数</v>
          </cell>
          <cell r="N119">
            <v>0</v>
          </cell>
          <cell r="P119">
            <v>0</v>
          </cell>
          <cell r="U119" t="str">
            <v>000000000013718</v>
          </cell>
        </row>
        <row r="120">
          <cell r="M120" t="str">
            <v>作業者</v>
          </cell>
          <cell r="U120" t="str">
            <v>000000000013718</v>
          </cell>
        </row>
        <row r="121">
          <cell r="C121">
            <v>0</v>
          </cell>
          <cell r="U121" t="str">
            <v>000000000013718</v>
          </cell>
        </row>
        <row r="122">
          <cell r="R122">
            <v>0</v>
          </cell>
          <cell r="U122" t="str">
            <v>000000000013718</v>
          </cell>
        </row>
        <row r="123">
          <cell r="D123" t="str">
            <v>不良補填</v>
          </cell>
          <cell r="F123" t="str">
            <v/>
          </cell>
          <cell r="U123" t="str">
            <v>000000000013718</v>
          </cell>
        </row>
        <row r="124">
          <cell r="C124" t="str">
            <v>灯具カバーPC IN 2100　L=1923</v>
          </cell>
          <cell r="P124">
            <v>0</v>
          </cell>
          <cell r="U124" t="str">
            <v>000000000013895</v>
          </cell>
        </row>
        <row r="125">
          <cell r="P125">
            <v>0</v>
          </cell>
          <cell r="U125" t="str">
            <v>000000000013895</v>
          </cell>
        </row>
        <row r="126">
          <cell r="P126">
            <v>0</v>
          </cell>
          <cell r="U126" t="str">
            <v>000000000013895</v>
          </cell>
        </row>
        <row r="127">
          <cell r="C127">
            <v>32</v>
          </cell>
          <cell r="P127">
            <v>0</v>
          </cell>
          <cell r="U127" t="str">
            <v>000000000013895</v>
          </cell>
        </row>
        <row r="128">
          <cell r="C128">
            <v>1</v>
          </cell>
          <cell r="P128">
            <v>0</v>
          </cell>
          <cell r="U128" t="str">
            <v>000000000013895</v>
          </cell>
        </row>
        <row r="129">
          <cell r="C129">
            <v>16</v>
          </cell>
          <cell r="M129" t="str">
            <v>合計</v>
          </cell>
          <cell r="N129">
            <v>0</v>
          </cell>
          <cell r="P129">
            <v>0</v>
          </cell>
          <cell r="U129" t="str">
            <v>000000000013895</v>
          </cell>
        </row>
        <row r="130">
          <cell r="C130" t="str">
            <v>灯具-2　L＝1996</v>
          </cell>
          <cell r="M130" t="str">
            <v>入数</v>
          </cell>
          <cell r="N130">
            <v>0</v>
          </cell>
          <cell r="P130">
            <v>0</v>
          </cell>
          <cell r="U130" t="str">
            <v>000000000013895</v>
          </cell>
        </row>
        <row r="131">
          <cell r="M131" t="str">
            <v>作業者</v>
          </cell>
          <cell r="U131" t="str">
            <v>000000000013895</v>
          </cell>
        </row>
        <row r="132">
          <cell r="C132">
            <v>0</v>
          </cell>
          <cell r="U132" t="str">
            <v>000000000013895</v>
          </cell>
        </row>
        <row r="133">
          <cell r="R133">
            <v>0</v>
          </cell>
          <cell r="U133" t="str">
            <v>000000000013895</v>
          </cell>
        </row>
        <row r="134">
          <cell r="D134" t="str">
            <v>不良補填</v>
          </cell>
          <cell r="F134" t="str">
            <v/>
          </cell>
          <cell r="U134" t="str">
            <v>000000000013895</v>
          </cell>
        </row>
        <row r="135">
          <cell r="C135" t="str">
            <v>灯具カバーPC IN 2100　L=1923</v>
          </cell>
          <cell r="P135">
            <v>0</v>
          </cell>
          <cell r="U135" t="str">
            <v>000000000013896</v>
          </cell>
        </row>
        <row r="136">
          <cell r="P136">
            <v>0</v>
          </cell>
          <cell r="U136" t="str">
            <v>000000000013896</v>
          </cell>
        </row>
        <row r="137">
          <cell r="P137">
            <v>0</v>
          </cell>
          <cell r="U137" t="str">
            <v>000000000013896</v>
          </cell>
        </row>
        <row r="138">
          <cell r="C138">
            <v>64</v>
          </cell>
          <cell r="P138">
            <v>0</v>
          </cell>
          <cell r="U138" t="str">
            <v>000000000013896</v>
          </cell>
        </row>
        <row r="139">
          <cell r="C139">
            <v>1</v>
          </cell>
          <cell r="P139">
            <v>0</v>
          </cell>
          <cell r="U139" t="str">
            <v>000000000013896</v>
          </cell>
        </row>
        <row r="140">
          <cell r="C140">
            <v>16</v>
          </cell>
          <cell r="M140" t="str">
            <v>合計</v>
          </cell>
          <cell r="N140">
            <v>0</v>
          </cell>
          <cell r="P140">
            <v>0</v>
          </cell>
          <cell r="U140" t="str">
            <v>000000000013896</v>
          </cell>
        </row>
        <row r="141">
          <cell r="C141" t="str">
            <v>灯具-2　L＝1996</v>
          </cell>
          <cell r="M141" t="str">
            <v>入数</v>
          </cell>
          <cell r="N141">
            <v>0</v>
          </cell>
          <cell r="P141">
            <v>0</v>
          </cell>
          <cell r="U141" t="str">
            <v>000000000013896</v>
          </cell>
        </row>
        <row r="142">
          <cell r="M142" t="str">
            <v>作業者</v>
          </cell>
          <cell r="U142" t="str">
            <v>000000000013896</v>
          </cell>
        </row>
        <row r="143">
          <cell r="C143">
            <v>0</v>
          </cell>
          <cell r="U143" t="str">
            <v>000000000013896</v>
          </cell>
        </row>
        <row r="144">
          <cell r="R144">
            <v>0</v>
          </cell>
          <cell r="U144" t="str">
            <v>000000000013896</v>
          </cell>
        </row>
        <row r="145">
          <cell r="D145" t="str">
            <v>不良補填</v>
          </cell>
          <cell r="F145" t="str">
            <v/>
          </cell>
          <cell r="U145" t="str">
            <v>000000000013896</v>
          </cell>
        </row>
        <row r="146">
          <cell r="C146" t="str">
            <v>灯具カバーPC IN 2470　L=1648</v>
          </cell>
          <cell r="P146">
            <v>0</v>
          </cell>
          <cell r="U146" t="str">
            <v>000000000013717</v>
          </cell>
        </row>
        <row r="147">
          <cell r="P147">
            <v>0</v>
          </cell>
          <cell r="U147" t="str">
            <v>000000000013717</v>
          </cell>
        </row>
        <row r="148">
          <cell r="P148">
            <v>0</v>
          </cell>
          <cell r="U148" t="str">
            <v>000000000013717</v>
          </cell>
        </row>
        <row r="149">
          <cell r="C149">
            <v>96</v>
          </cell>
          <cell r="P149">
            <v>0</v>
          </cell>
          <cell r="U149" t="str">
            <v>000000000013717</v>
          </cell>
        </row>
        <row r="150">
          <cell r="C150">
            <v>1</v>
          </cell>
          <cell r="P150">
            <v>0</v>
          </cell>
          <cell r="U150" t="str">
            <v>000000000013717</v>
          </cell>
        </row>
        <row r="151">
          <cell r="C151">
            <v>16</v>
          </cell>
          <cell r="M151" t="str">
            <v>合計</v>
          </cell>
          <cell r="N151">
            <v>0</v>
          </cell>
          <cell r="P151">
            <v>0</v>
          </cell>
          <cell r="U151" t="str">
            <v>000000000013717</v>
          </cell>
        </row>
        <row r="152">
          <cell r="C152" t="str">
            <v>灯具-1　L=1370</v>
          </cell>
          <cell r="M152" t="str">
            <v>入数</v>
          </cell>
          <cell r="N152">
            <v>0</v>
          </cell>
          <cell r="P152">
            <v>0</v>
          </cell>
          <cell r="U152" t="str">
            <v>000000000013717</v>
          </cell>
        </row>
        <row r="153">
          <cell r="M153" t="str">
            <v>作業者</v>
          </cell>
          <cell r="U153" t="str">
            <v>000000000013717</v>
          </cell>
        </row>
        <row r="154">
          <cell r="C154">
            <v>0</v>
          </cell>
          <cell r="U154" t="str">
            <v>000000000013717</v>
          </cell>
        </row>
        <row r="155">
          <cell r="R155">
            <v>0</v>
          </cell>
          <cell r="U155" t="str">
            <v>000000000013717</v>
          </cell>
        </row>
        <row r="156">
          <cell r="D156" t="str">
            <v>不良補填</v>
          </cell>
          <cell r="F156" t="str">
            <v/>
          </cell>
          <cell r="U156" t="str">
            <v>000000000013717</v>
          </cell>
        </row>
        <row r="157">
          <cell r="C157" t="str">
            <v>灯具カバーPC IN 2490　L=1264</v>
          </cell>
          <cell r="P157">
            <v>0</v>
          </cell>
          <cell r="U157" t="str">
            <v>000000000013714</v>
          </cell>
        </row>
        <row r="158">
          <cell r="P158">
            <v>0</v>
          </cell>
          <cell r="U158" t="str">
            <v>000000000013714</v>
          </cell>
        </row>
        <row r="159">
          <cell r="P159">
            <v>0</v>
          </cell>
          <cell r="U159" t="str">
            <v>000000000013714</v>
          </cell>
        </row>
        <row r="160">
          <cell r="C160">
            <v>96</v>
          </cell>
          <cell r="P160">
            <v>0</v>
          </cell>
          <cell r="U160" t="str">
            <v>000000000013714</v>
          </cell>
        </row>
        <row r="161">
          <cell r="C161">
            <v>1</v>
          </cell>
          <cell r="P161">
            <v>0</v>
          </cell>
          <cell r="U161" t="str">
            <v>000000000013714</v>
          </cell>
        </row>
        <row r="162">
          <cell r="C162">
            <v>16</v>
          </cell>
          <cell r="M162" t="str">
            <v>合計</v>
          </cell>
          <cell r="N162">
            <v>0</v>
          </cell>
          <cell r="P162">
            <v>0</v>
          </cell>
          <cell r="U162" t="str">
            <v>000000000013714</v>
          </cell>
        </row>
        <row r="163">
          <cell r="C163" t="str">
            <v>灯具-1　L=1370</v>
          </cell>
          <cell r="M163" t="str">
            <v>入数</v>
          </cell>
          <cell r="N163">
            <v>0</v>
          </cell>
          <cell r="P163">
            <v>0</v>
          </cell>
          <cell r="U163" t="str">
            <v>000000000013714</v>
          </cell>
        </row>
        <row r="164">
          <cell r="M164" t="str">
            <v>作業者</v>
          </cell>
          <cell r="U164" t="str">
            <v>000000000013714</v>
          </cell>
        </row>
        <row r="165">
          <cell r="C165">
            <v>0</v>
          </cell>
          <cell r="U165" t="str">
            <v>000000000013714</v>
          </cell>
        </row>
        <row r="166">
          <cell r="R166">
            <v>0</v>
          </cell>
          <cell r="U166" t="str">
            <v>000000000013714</v>
          </cell>
        </row>
        <row r="167">
          <cell r="D167" t="str">
            <v>不良補填</v>
          </cell>
          <cell r="F167" t="str">
            <v/>
          </cell>
          <cell r="U167" t="str">
            <v>000000000013714</v>
          </cell>
        </row>
        <row r="168">
          <cell r="C168" t="str">
            <v>灯具カバーPC IN 2460　L=1291</v>
          </cell>
          <cell r="P168">
            <v>0</v>
          </cell>
          <cell r="U168" t="str">
            <v>000000000013715</v>
          </cell>
        </row>
        <row r="169">
          <cell r="P169">
            <v>0</v>
          </cell>
          <cell r="U169" t="str">
            <v>000000000013715</v>
          </cell>
        </row>
        <row r="170">
          <cell r="P170">
            <v>0</v>
          </cell>
          <cell r="U170" t="str">
            <v>000000000013715</v>
          </cell>
        </row>
        <row r="171">
          <cell r="C171">
            <v>96</v>
          </cell>
          <cell r="P171">
            <v>0</v>
          </cell>
          <cell r="U171" t="str">
            <v>000000000013715</v>
          </cell>
        </row>
        <row r="172">
          <cell r="C172">
            <v>1</v>
          </cell>
          <cell r="P172">
            <v>0</v>
          </cell>
          <cell r="U172" t="str">
            <v>000000000013715</v>
          </cell>
        </row>
        <row r="173">
          <cell r="C173">
            <v>16</v>
          </cell>
          <cell r="M173" t="str">
            <v>合計</v>
          </cell>
          <cell r="N173">
            <v>0</v>
          </cell>
          <cell r="P173">
            <v>0</v>
          </cell>
          <cell r="U173" t="str">
            <v>000000000013715</v>
          </cell>
        </row>
        <row r="174">
          <cell r="C174" t="str">
            <v>灯具-1　L=1370</v>
          </cell>
          <cell r="M174" t="str">
            <v>入数</v>
          </cell>
          <cell r="N174">
            <v>0</v>
          </cell>
          <cell r="P174">
            <v>0</v>
          </cell>
          <cell r="U174" t="str">
            <v>000000000013715</v>
          </cell>
        </row>
        <row r="175">
          <cell r="M175" t="str">
            <v>作業者</v>
          </cell>
          <cell r="U175" t="str">
            <v>000000000013715</v>
          </cell>
        </row>
        <row r="176">
          <cell r="C176">
            <v>0</v>
          </cell>
          <cell r="U176" t="str">
            <v>000000000013715</v>
          </cell>
        </row>
        <row r="177">
          <cell r="R177">
            <v>0</v>
          </cell>
          <cell r="U177" t="str">
            <v>000000000013715</v>
          </cell>
        </row>
        <row r="178">
          <cell r="D178" t="str">
            <v>不良補填</v>
          </cell>
          <cell r="F178" t="str">
            <v/>
          </cell>
          <cell r="U178" t="str">
            <v>000000000013715</v>
          </cell>
        </row>
        <row r="179">
          <cell r="C179" t="str">
            <v>灯具カバーPC IN 2500　L=1238</v>
          </cell>
          <cell r="P179">
            <v>0</v>
          </cell>
          <cell r="U179" t="str">
            <v>000000000013712</v>
          </cell>
        </row>
        <row r="180">
          <cell r="P180">
            <v>0</v>
          </cell>
          <cell r="U180" t="str">
            <v>000000000013712</v>
          </cell>
        </row>
        <row r="181">
          <cell r="P181">
            <v>0</v>
          </cell>
          <cell r="U181" t="str">
            <v>000000000013712</v>
          </cell>
        </row>
        <row r="182">
          <cell r="C182">
            <v>96</v>
          </cell>
          <cell r="P182">
            <v>0</v>
          </cell>
          <cell r="U182" t="str">
            <v>000000000013712</v>
          </cell>
        </row>
        <row r="183">
          <cell r="C183">
            <v>1</v>
          </cell>
          <cell r="P183">
            <v>0</v>
          </cell>
          <cell r="U183" t="str">
            <v>000000000013712</v>
          </cell>
        </row>
        <row r="184">
          <cell r="C184">
            <v>16</v>
          </cell>
          <cell r="M184" t="str">
            <v>合計</v>
          </cell>
          <cell r="N184">
            <v>0</v>
          </cell>
          <cell r="P184">
            <v>0</v>
          </cell>
          <cell r="U184" t="str">
            <v>000000000013712</v>
          </cell>
        </row>
        <row r="185">
          <cell r="C185" t="str">
            <v>灯具-1　L=1370</v>
          </cell>
          <cell r="M185" t="str">
            <v>入数</v>
          </cell>
          <cell r="N185">
            <v>0</v>
          </cell>
          <cell r="P185">
            <v>0</v>
          </cell>
          <cell r="U185" t="str">
            <v>000000000013712</v>
          </cell>
        </row>
        <row r="186">
          <cell r="M186" t="str">
            <v>作業者</v>
          </cell>
          <cell r="U186" t="str">
            <v>000000000013712</v>
          </cell>
        </row>
        <row r="187">
          <cell r="C187">
            <v>0</v>
          </cell>
          <cell r="U187" t="str">
            <v>000000000013712</v>
          </cell>
        </row>
        <row r="188">
          <cell r="R188">
            <v>0</v>
          </cell>
          <cell r="U188" t="str">
            <v>000000000013712</v>
          </cell>
        </row>
        <row r="189">
          <cell r="D189" t="str">
            <v>不良補填</v>
          </cell>
          <cell r="F189" t="str">
            <v/>
          </cell>
          <cell r="U189" t="str">
            <v>000000000013712</v>
          </cell>
        </row>
        <row r="190">
          <cell r="C190" t="str">
            <v>灯具カバーPC IN 2060　L=1258.5</v>
          </cell>
          <cell r="P190">
            <v>0</v>
          </cell>
          <cell r="U190" t="str">
            <v>000000000013713</v>
          </cell>
        </row>
        <row r="191">
          <cell r="P191">
            <v>0</v>
          </cell>
          <cell r="U191" t="str">
            <v>000000000013713</v>
          </cell>
        </row>
        <row r="192">
          <cell r="P192">
            <v>0</v>
          </cell>
          <cell r="U192" t="str">
            <v>000000000013713</v>
          </cell>
        </row>
        <row r="193">
          <cell r="C193">
            <v>96</v>
          </cell>
          <cell r="P193">
            <v>0</v>
          </cell>
          <cell r="U193" t="str">
            <v>000000000013713</v>
          </cell>
        </row>
        <row r="194">
          <cell r="C194">
            <v>1</v>
          </cell>
          <cell r="P194">
            <v>0</v>
          </cell>
          <cell r="U194" t="str">
            <v>000000000013713</v>
          </cell>
        </row>
        <row r="195">
          <cell r="C195">
            <v>16</v>
          </cell>
          <cell r="M195" t="str">
            <v>合計</v>
          </cell>
          <cell r="N195">
            <v>0</v>
          </cell>
          <cell r="P195">
            <v>0</v>
          </cell>
          <cell r="U195" t="str">
            <v>000000000013713</v>
          </cell>
        </row>
        <row r="196">
          <cell r="C196" t="str">
            <v>灯具-1　L=1370</v>
          </cell>
          <cell r="M196" t="str">
            <v>入数</v>
          </cell>
          <cell r="N196">
            <v>0</v>
          </cell>
          <cell r="P196">
            <v>0</v>
          </cell>
          <cell r="U196" t="str">
            <v>000000000013713</v>
          </cell>
        </row>
        <row r="197">
          <cell r="M197" t="str">
            <v>作業者</v>
          </cell>
          <cell r="U197" t="str">
            <v>000000000013713</v>
          </cell>
        </row>
        <row r="198">
          <cell r="C198">
            <v>0</v>
          </cell>
          <cell r="U198" t="str">
            <v>000000000013713</v>
          </cell>
        </row>
        <row r="199">
          <cell r="R199">
            <v>0</v>
          </cell>
          <cell r="U199" t="str">
            <v>000000000013713</v>
          </cell>
        </row>
        <row r="200">
          <cell r="D200" t="str">
            <v>不良補填</v>
          </cell>
          <cell r="F200" t="str">
            <v/>
          </cell>
          <cell r="U200" t="str">
            <v>000000000013713</v>
          </cell>
        </row>
        <row r="201">
          <cell r="C201" t="str">
            <v>8FL281304 6110　L=1478</v>
          </cell>
          <cell r="P201">
            <v>0</v>
          </cell>
          <cell r="U201" t="str">
            <v>000000000013824</v>
          </cell>
        </row>
        <row r="202">
          <cell r="P202">
            <v>0</v>
          </cell>
          <cell r="U202" t="str">
            <v>000000000013824</v>
          </cell>
        </row>
        <row r="203">
          <cell r="P203">
            <v>0</v>
          </cell>
          <cell r="U203" t="str">
            <v>000000000013824</v>
          </cell>
        </row>
        <row r="204">
          <cell r="C204">
            <v>700</v>
          </cell>
          <cell r="P204">
            <v>0</v>
          </cell>
          <cell r="U204" t="str">
            <v>000000000013824</v>
          </cell>
        </row>
        <row r="205">
          <cell r="C205">
            <v>1</v>
          </cell>
          <cell r="P205">
            <v>0</v>
          </cell>
          <cell r="U205" t="str">
            <v>000000000013824</v>
          </cell>
        </row>
        <row r="206">
          <cell r="C206">
            <v>100</v>
          </cell>
          <cell r="M206" t="str">
            <v>合計</v>
          </cell>
          <cell r="N206">
            <v>0</v>
          </cell>
          <cell r="P206">
            <v>0</v>
          </cell>
          <cell r="U206" t="str">
            <v>000000000013824</v>
          </cell>
        </row>
        <row r="207">
          <cell r="C207" t="str">
            <v>LED-A1478</v>
          </cell>
          <cell r="M207" t="str">
            <v>入数</v>
          </cell>
          <cell r="N207">
            <v>0</v>
          </cell>
          <cell r="P207">
            <v>0</v>
          </cell>
          <cell r="U207" t="str">
            <v>000000000013824</v>
          </cell>
        </row>
        <row r="208">
          <cell r="M208" t="str">
            <v>作業者</v>
          </cell>
          <cell r="U208" t="str">
            <v>000000000013824</v>
          </cell>
        </row>
        <row r="209">
          <cell r="C209">
            <v>0</v>
          </cell>
          <cell r="U209" t="str">
            <v>000000000013824</v>
          </cell>
        </row>
        <row r="210">
          <cell r="R210">
            <v>0</v>
          </cell>
          <cell r="U210" t="str">
            <v>000000000013824</v>
          </cell>
        </row>
        <row r="211">
          <cell r="D211" t="str">
            <v>不良補填</v>
          </cell>
          <cell r="F211">
            <v>0</v>
          </cell>
          <cell r="U211" t="str">
            <v>000000000013824</v>
          </cell>
        </row>
        <row r="212">
          <cell r="C212" t="str">
            <v>8FL281304 6110　L=1478</v>
          </cell>
          <cell r="P212">
            <v>0</v>
          </cell>
          <cell r="U212" t="str">
            <v>000000000014225</v>
          </cell>
        </row>
        <row r="213">
          <cell r="P213">
            <v>0</v>
          </cell>
          <cell r="U213" t="str">
            <v>000000000014225</v>
          </cell>
        </row>
        <row r="214">
          <cell r="P214">
            <v>0</v>
          </cell>
          <cell r="U214" t="str">
            <v>000000000014225</v>
          </cell>
        </row>
        <row r="215">
          <cell r="C215">
            <v>200</v>
          </cell>
          <cell r="P215">
            <v>0</v>
          </cell>
          <cell r="U215" t="str">
            <v>000000000014225</v>
          </cell>
        </row>
        <row r="216">
          <cell r="C216">
            <v>1</v>
          </cell>
          <cell r="P216">
            <v>0</v>
          </cell>
          <cell r="U216" t="str">
            <v>000000000014225</v>
          </cell>
        </row>
        <row r="217">
          <cell r="C217">
            <v>100</v>
          </cell>
          <cell r="M217" t="str">
            <v>合計</v>
          </cell>
          <cell r="N217">
            <v>0</v>
          </cell>
          <cell r="P217">
            <v>0</v>
          </cell>
          <cell r="U217" t="str">
            <v>000000000014225</v>
          </cell>
        </row>
        <row r="218">
          <cell r="C218" t="str">
            <v>LED-A1478</v>
          </cell>
          <cell r="M218" t="str">
            <v>入数</v>
          </cell>
          <cell r="N218">
            <v>0</v>
          </cell>
          <cell r="P218">
            <v>0</v>
          </cell>
          <cell r="U218" t="str">
            <v>000000000014225</v>
          </cell>
        </row>
        <row r="219">
          <cell r="M219" t="str">
            <v>作業者</v>
          </cell>
          <cell r="U219" t="str">
            <v>000000000014225</v>
          </cell>
        </row>
        <row r="220">
          <cell r="C220">
            <v>0</v>
          </cell>
          <cell r="U220" t="str">
            <v>000000000014225</v>
          </cell>
        </row>
        <row r="221">
          <cell r="R221">
            <v>0</v>
          </cell>
          <cell r="U221" t="str">
            <v>000000000014225</v>
          </cell>
        </row>
        <row r="222">
          <cell r="D222" t="str">
            <v>不良補填</v>
          </cell>
          <cell r="F222">
            <v>0</v>
          </cell>
          <cell r="U222" t="str">
            <v>000000000014225</v>
          </cell>
        </row>
        <row r="223">
          <cell r="C223" t="str">
            <v>8FL281304 6110　L=1478</v>
          </cell>
          <cell r="P223">
            <v>0</v>
          </cell>
          <cell r="U223" t="str">
            <v>000000000014226</v>
          </cell>
        </row>
        <row r="224">
          <cell r="P224">
            <v>0</v>
          </cell>
          <cell r="U224" t="str">
            <v>000000000014226</v>
          </cell>
        </row>
        <row r="225">
          <cell r="P225">
            <v>0</v>
          </cell>
          <cell r="U225" t="str">
            <v>000000000014226</v>
          </cell>
        </row>
        <row r="226">
          <cell r="C226">
            <v>200</v>
          </cell>
          <cell r="P226">
            <v>0</v>
          </cell>
          <cell r="U226" t="str">
            <v>000000000014226</v>
          </cell>
        </row>
        <row r="227">
          <cell r="C227">
            <v>1</v>
          </cell>
          <cell r="P227">
            <v>0</v>
          </cell>
          <cell r="U227" t="str">
            <v>000000000014226</v>
          </cell>
        </row>
        <row r="228">
          <cell r="C228">
            <v>100</v>
          </cell>
          <cell r="M228" t="str">
            <v>合計</v>
          </cell>
          <cell r="N228">
            <v>0</v>
          </cell>
          <cell r="P228">
            <v>0</v>
          </cell>
          <cell r="U228" t="str">
            <v>000000000014226</v>
          </cell>
        </row>
        <row r="229">
          <cell r="C229" t="str">
            <v>LED-A1478</v>
          </cell>
          <cell r="M229" t="str">
            <v>入数</v>
          </cell>
          <cell r="N229">
            <v>0</v>
          </cell>
          <cell r="P229">
            <v>0</v>
          </cell>
          <cell r="U229" t="str">
            <v>000000000014226</v>
          </cell>
        </row>
        <row r="230">
          <cell r="M230" t="str">
            <v>作業者</v>
          </cell>
          <cell r="U230" t="str">
            <v>000000000014226</v>
          </cell>
        </row>
        <row r="231">
          <cell r="C231">
            <v>0</v>
          </cell>
          <cell r="U231" t="str">
            <v>000000000014226</v>
          </cell>
        </row>
        <row r="232">
          <cell r="R232">
            <v>0</v>
          </cell>
          <cell r="U232" t="str">
            <v>000000000014226</v>
          </cell>
        </row>
        <row r="233">
          <cell r="D233" t="str">
            <v>不良補填</v>
          </cell>
          <cell r="F233">
            <v>0</v>
          </cell>
          <cell r="U233" t="str">
            <v>000000000014226</v>
          </cell>
        </row>
        <row r="234">
          <cell r="C234" t="str">
            <v>8FL281304 5010　L=888</v>
          </cell>
          <cell r="P234">
            <v>0</v>
          </cell>
          <cell r="U234" t="str">
            <v>000000000013820</v>
          </cell>
        </row>
        <row r="235">
          <cell r="P235">
            <v>0</v>
          </cell>
          <cell r="U235" t="str">
            <v>000000000013820</v>
          </cell>
        </row>
        <row r="236">
          <cell r="P236">
            <v>0</v>
          </cell>
          <cell r="U236" t="str">
            <v>000000000013820</v>
          </cell>
        </row>
        <row r="237">
          <cell r="C237">
            <v>800</v>
          </cell>
          <cell r="P237">
            <v>0</v>
          </cell>
          <cell r="U237" t="str">
            <v>000000000013820</v>
          </cell>
        </row>
        <row r="238">
          <cell r="C238">
            <v>2</v>
          </cell>
          <cell r="P238">
            <v>0</v>
          </cell>
          <cell r="U238" t="str">
            <v>000000000013820</v>
          </cell>
        </row>
        <row r="239">
          <cell r="C239">
            <v>100</v>
          </cell>
          <cell r="M239" t="str">
            <v>合計</v>
          </cell>
          <cell r="N239">
            <v>0</v>
          </cell>
          <cell r="P239">
            <v>0</v>
          </cell>
          <cell r="U239" t="str">
            <v>000000000013820</v>
          </cell>
        </row>
        <row r="240">
          <cell r="C240" t="str">
            <v>LED-A888</v>
          </cell>
          <cell r="M240" t="str">
            <v>入数</v>
          </cell>
          <cell r="N240">
            <v>0</v>
          </cell>
          <cell r="P240">
            <v>0</v>
          </cell>
          <cell r="U240" t="str">
            <v>000000000013820</v>
          </cell>
        </row>
        <row r="241">
          <cell r="M241" t="str">
            <v>作業者</v>
          </cell>
          <cell r="U241" t="str">
            <v>000000000013820</v>
          </cell>
        </row>
        <row r="242">
          <cell r="C242">
            <v>0</v>
          </cell>
          <cell r="U242" t="str">
            <v>000000000013820</v>
          </cell>
        </row>
        <row r="243">
          <cell r="R243">
            <v>0</v>
          </cell>
          <cell r="U243" t="str">
            <v>000000000013820</v>
          </cell>
        </row>
        <row r="244">
          <cell r="D244" t="str">
            <v>不良補填</v>
          </cell>
          <cell r="F244">
            <v>0</v>
          </cell>
          <cell r="U244" t="str">
            <v>000000000013820</v>
          </cell>
        </row>
        <row r="245">
          <cell r="C245" t="str">
            <v>採光ルーバーパネルB　L=1996</v>
          </cell>
          <cell r="P245">
            <v>0</v>
          </cell>
          <cell r="U245" t="str">
            <v>000000000014040</v>
          </cell>
        </row>
        <row r="246">
          <cell r="P246">
            <v>0</v>
          </cell>
          <cell r="U246" t="str">
            <v>000000000014040</v>
          </cell>
        </row>
        <row r="247">
          <cell r="P247">
            <v>0</v>
          </cell>
          <cell r="U247" t="str">
            <v>000000000014040</v>
          </cell>
        </row>
        <row r="248">
          <cell r="C248">
            <v>294</v>
          </cell>
          <cell r="P248">
            <v>0</v>
          </cell>
          <cell r="U248" t="str">
            <v>000000000014040</v>
          </cell>
        </row>
        <row r="249">
          <cell r="C249">
            <v>1</v>
          </cell>
          <cell r="P249">
            <v>0</v>
          </cell>
          <cell r="U249" t="str">
            <v>000000000014040</v>
          </cell>
        </row>
        <row r="250">
          <cell r="C250">
            <v>42</v>
          </cell>
          <cell r="M250" t="str">
            <v>合計</v>
          </cell>
          <cell r="N250">
            <v>0</v>
          </cell>
          <cell r="P250">
            <v>0</v>
          </cell>
          <cell r="U250" t="str">
            <v>000000000014040</v>
          </cell>
        </row>
        <row r="251">
          <cell r="C251" t="str">
            <v>上-1</v>
          </cell>
          <cell r="M251" t="str">
            <v>入数</v>
          </cell>
          <cell r="N251">
            <v>0</v>
          </cell>
          <cell r="P251">
            <v>0</v>
          </cell>
          <cell r="U251" t="str">
            <v>000000000014040</v>
          </cell>
        </row>
        <row r="252">
          <cell r="M252" t="str">
            <v>作業者</v>
          </cell>
          <cell r="U252" t="str">
            <v>000000000014040</v>
          </cell>
        </row>
        <row r="253">
          <cell r="C253">
            <v>0</v>
          </cell>
          <cell r="U253" t="str">
            <v>000000000014040</v>
          </cell>
        </row>
        <row r="254">
          <cell r="R254">
            <v>0</v>
          </cell>
          <cell r="U254" t="str">
            <v>000000000014040</v>
          </cell>
        </row>
        <row r="255">
          <cell r="D255" t="str">
            <v>不良補填</v>
          </cell>
          <cell r="F255" t="str">
            <v/>
          </cell>
          <cell r="U255" t="str">
            <v>000000000014040</v>
          </cell>
        </row>
        <row r="256">
          <cell r="C256" t="str">
            <v>採光ルーバーパネルB　L=1996</v>
          </cell>
          <cell r="P256">
            <v>0</v>
          </cell>
          <cell r="U256" t="str">
            <v>000000000014041</v>
          </cell>
        </row>
        <row r="257">
          <cell r="P257">
            <v>0</v>
          </cell>
          <cell r="U257" t="str">
            <v>000000000014041</v>
          </cell>
        </row>
        <row r="258">
          <cell r="P258">
            <v>0</v>
          </cell>
          <cell r="U258" t="str">
            <v>000000000014041</v>
          </cell>
        </row>
        <row r="259">
          <cell r="C259">
            <v>882</v>
          </cell>
          <cell r="P259">
            <v>0</v>
          </cell>
          <cell r="U259" t="str">
            <v>000000000014041</v>
          </cell>
        </row>
        <row r="260">
          <cell r="C260">
            <v>1</v>
          </cell>
          <cell r="P260">
            <v>0</v>
          </cell>
          <cell r="U260" t="str">
            <v>000000000014041</v>
          </cell>
        </row>
        <row r="261">
          <cell r="C261">
            <v>42</v>
          </cell>
          <cell r="M261" t="str">
            <v>合計</v>
          </cell>
          <cell r="N261">
            <v>0</v>
          </cell>
          <cell r="P261">
            <v>0</v>
          </cell>
          <cell r="U261" t="str">
            <v>000000000014041</v>
          </cell>
        </row>
        <row r="262">
          <cell r="C262" t="str">
            <v>上-1</v>
          </cell>
          <cell r="M262" t="str">
            <v>入数</v>
          </cell>
          <cell r="N262">
            <v>0</v>
          </cell>
          <cell r="P262">
            <v>0</v>
          </cell>
          <cell r="U262" t="str">
            <v>000000000014041</v>
          </cell>
        </row>
        <row r="263">
          <cell r="M263" t="str">
            <v>作業者</v>
          </cell>
          <cell r="U263" t="str">
            <v>000000000014041</v>
          </cell>
        </row>
        <row r="264">
          <cell r="C264">
            <v>0</v>
          </cell>
          <cell r="U264" t="str">
            <v>000000000014041</v>
          </cell>
        </row>
        <row r="265">
          <cell r="R265">
            <v>0</v>
          </cell>
          <cell r="U265" t="str">
            <v>000000000014041</v>
          </cell>
        </row>
        <row r="266">
          <cell r="D266" t="str">
            <v>不良補填</v>
          </cell>
          <cell r="F266" t="str">
            <v/>
          </cell>
          <cell r="U266" t="str">
            <v>000000000014041</v>
          </cell>
        </row>
        <row r="267">
          <cell r="C267" t="str">
            <v>8FL281304 6110　L=1478</v>
          </cell>
          <cell r="P267">
            <v>0</v>
          </cell>
          <cell r="U267" t="str">
            <v>000000000013825</v>
          </cell>
        </row>
        <row r="268">
          <cell r="P268">
            <v>0</v>
          </cell>
          <cell r="U268" t="str">
            <v>000000000013825</v>
          </cell>
        </row>
        <row r="269">
          <cell r="P269">
            <v>0</v>
          </cell>
          <cell r="U269" t="str">
            <v>000000000013825</v>
          </cell>
        </row>
        <row r="270">
          <cell r="C270">
            <v>300</v>
          </cell>
          <cell r="P270">
            <v>0</v>
          </cell>
          <cell r="U270" t="str">
            <v>000000000013825</v>
          </cell>
        </row>
        <row r="271">
          <cell r="C271">
            <v>1</v>
          </cell>
          <cell r="P271">
            <v>0</v>
          </cell>
          <cell r="U271" t="str">
            <v>000000000013825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000000000013825</v>
          </cell>
        </row>
        <row r="273">
          <cell r="C273" t="str">
            <v>LED-A1478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000000000013825</v>
          </cell>
        </row>
        <row r="274">
          <cell r="M274" t="str">
            <v>作業者</v>
          </cell>
          <cell r="U274" t="str">
            <v>000000000013825</v>
          </cell>
        </row>
        <row r="275">
          <cell r="C275">
            <v>0</v>
          </cell>
          <cell r="U275" t="str">
            <v>000000000013825</v>
          </cell>
        </row>
        <row r="276">
          <cell r="R276">
            <v>0</v>
          </cell>
          <cell r="U276" t="str">
            <v>000000000013825</v>
          </cell>
        </row>
        <row r="277">
          <cell r="D277" t="str">
            <v>不良補填</v>
          </cell>
          <cell r="F277">
            <v>0</v>
          </cell>
          <cell r="U277" t="str">
            <v>000000000013825</v>
          </cell>
        </row>
        <row r="278">
          <cell r="C278" t="str">
            <v>8FL281304 5010　L=888</v>
          </cell>
          <cell r="P278">
            <v>0</v>
          </cell>
          <cell r="U278" t="str">
            <v>000000000013823</v>
          </cell>
        </row>
        <row r="279">
          <cell r="P279">
            <v>0</v>
          </cell>
          <cell r="U279" t="str">
            <v>000000000013823</v>
          </cell>
        </row>
        <row r="280">
          <cell r="P280">
            <v>0</v>
          </cell>
          <cell r="U280" t="str">
            <v>000000000013823</v>
          </cell>
        </row>
        <row r="281">
          <cell r="C281">
            <v>800</v>
          </cell>
          <cell r="P281">
            <v>0</v>
          </cell>
          <cell r="U281" t="str">
            <v>000000000013823</v>
          </cell>
        </row>
        <row r="282">
          <cell r="C282">
            <v>2</v>
          </cell>
          <cell r="P282">
            <v>0</v>
          </cell>
          <cell r="U282" t="str">
            <v>000000000013823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000000000013823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000000000013823</v>
          </cell>
        </row>
        <row r="285">
          <cell r="M285" t="str">
            <v>作業者</v>
          </cell>
          <cell r="U285" t="str">
            <v>000000000013823</v>
          </cell>
        </row>
        <row r="286">
          <cell r="C286">
            <v>0</v>
          </cell>
          <cell r="U286" t="str">
            <v>000000000013823</v>
          </cell>
        </row>
        <row r="287">
          <cell r="R287">
            <v>0</v>
          </cell>
          <cell r="U287" t="str">
            <v>000000000013823</v>
          </cell>
        </row>
        <row r="288">
          <cell r="D288" t="str">
            <v>不良補填</v>
          </cell>
          <cell r="F288">
            <v>0</v>
          </cell>
          <cell r="U288" t="str">
            <v>000000000013823</v>
          </cell>
        </row>
        <row r="289">
          <cell r="C289" t="str">
            <v>8FL281304 8310　L=748</v>
          </cell>
          <cell r="P289">
            <v>0</v>
          </cell>
          <cell r="U289" t="str">
            <v>000000000013819</v>
          </cell>
        </row>
        <row r="290">
          <cell r="P290">
            <v>0</v>
          </cell>
          <cell r="U290" t="str">
            <v>000000000013819</v>
          </cell>
        </row>
        <row r="291">
          <cell r="P291">
            <v>0</v>
          </cell>
          <cell r="U291" t="str">
            <v>000000000013819</v>
          </cell>
        </row>
        <row r="292">
          <cell r="C292">
            <v>400</v>
          </cell>
          <cell r="P292">
            <v>0</v>
          </cell>
          <cell r="U292" t="str">
            <v>000000000013819</v>
          </cell>
        </row>
        <row r="293">
          <cell r="C293">
            <v>2</v>
          </cell>
          <cell r="P293">
            <v>0</v>
          </cell>
          <cell r="U293" t="str">
            <v>000000000013819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000000000013819</v>
          </cell>
        </row>
        <row r="295">
          <cell r="C295" t="str">
            <v>LED-A888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000000000013819</v>
          </cell>
        </row>
        <row r="296">
          <cell r="M296" t="str">
            <v>作業者</v>
          </cell>
          <cell r="U296" t="str">
            <v>000000000013819</v>
          </cell>
        </row>
        <row r="297">
          <cell r="C297">
            <v>0</v>
          </cell>
          <cell r="U297" t="str">
            <v>000000000013819</v>
          </cell>
        </row>
        <row r="298">
          <cell r="R298">
            <v>0</v>
          </cell>
          <cell r="U298" t="str">
            <v>000000000013819</v>
          </cell>
        </row>
        <row r="299">
          <cell r="D299" t="str">
            <v>不良補填</v>
          </cell>
          <cell r="F299">
            <v>0</v>
          </cell>
          <cell r="U299" t="str">
            <v>000000000013819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2D1F-3092-414B-BEDE-C39E7868BEED}">
  <sheetPr codeName="Sheet1"/>
  <dimension ref="A1:N114"/>
  <sheetViews>
    <sheetView tabSelected="1" topLeftCell="A37" workbookViewId="0">
      <selection activeCell="A38" sqref="A38:J55"/>
    </sheetView>
  </sheetViews>
  <sheetFormatPr defaultColWidth="1.625" defaultRowHeight="13.5"/>
  <cols>
    <col min="1" max="1" width="9" style="2" customWidth="1"/>
    <col min="2" max="2" width="19.25" style="2" customWidth="1"/>
    <col min="3" max="3" width="5.875" style="2" customWidth="1"/>
    <col min="4" max="4" width="12.5" style="2" customWidth="1"/>
    <col min="5" max="5" width="9.25" style="2" customWidth="1"/>
    <col min="6" max="6" width="23.75" style="2" customWidth="1"/>
    <col min="7" max="7" width="10.25" style="2" customWidth="1"/>
    <col min="8" max="10" width="10.625" style="2" customWidth="1"/>
    <col min="11" max="11" width="1.625" style="2" customWidth="1"/>
    <col min="12" max="16384" width="1.625" style="2"/>
  </cols>
  <sheetData>
    <row r="1" spans="1:10" ht="14.25" customHeight="1" thickBot="1">
      <c r="A1" s="1"/>
      <c r="B1" s="147" t="s">
        <v>0</v>
      </c>
      <c r="C1" s="117"/>
      <c r="D1" s="117"/>
      <c r="E1" s="1"/>
      <c r="F1" s="1"/>
      <c r="G1" s="1"/>
      <c r="H1" s="1"/>
      <c r="I1" s="1"/>
      <c r="J1" s="1"/>
    </row>
    <row r="2" spans="1:10" ht="14.25" customHeight="1" thickTop="1">
      <c r="A2" s="3"/>
      <c r="B2" s="117"/>
      <c r="C2" s="117"/>
      <c r="D2" s="117"/>
      <c r="E2" s="3"/>
      <c r="F2" s="3"/>
      <c r="G2" s="3"/>
      <c r="H2" s="3"/>
      <c r="I2" s="3"/>
      <c r="J2" s="3"/>
    </row>
    <row r="3" spans="1:10" ht="14.25" customHeight="1">
      <c r="A3" s="148" t="s">
        <v>1</v>
      </c>
      <c r="B3" s="148" t="s">
        <v>2</v>
      </c>
      <c r="C3" s="148" t="s">
        <v>3</v>
      </c>
      <c r="D3" s="149">
        <v>888</v>
      </c>
      <c r="E3" s="148" t="s">
        <v>4</v>
      </c>
      <c r="F3" s="150" t="s">
        <v>5</v>
      </c>
      <c r="G3" s="117"/>
      <c r="H3" s="117"/>
      <c r="I3" s="4" t="s">
        <v>6</v>
      </c>
      <c r="J3" s="4" t="s">
        <v>7</v>
      </c>
    </row>
    <row r="4" spans="1:10" ht="14.25" customHeight="1">
      <c r="A4" s="117"/>
      <c r="B4" s="117"/>
      <c r="C4" s="117"/>
      <c r="D4" s="117"/>
      <c r="E4" s="117"/>
      <c r="F4" s="117"/>
      <c r="G4" s="117"/>
      <c r="H4" s="117"/>
      <c r="I4" s="151"/>
      <c r="J4" s="151"/>
    </row>
    <row r="5" spans="1:10" ht="17.45" customHeight="1">
      <c r="A5" s="139" t="s">
        <v>8</v>
      </c>
      <c r="B5" s="139" t="s">
        <v>9</v>
      </c>
      <c r="E5" s="139" t="s">
        <v>10</v>
      </c>
      <c r="F5" s="140" t="s">
        <v>11</v>
      </c>
      <c r="G5" s="117"/>
      <c r="H5" s="117"/>
      <c r="I5" s="152"/>
      <c r="J5" s="152"/>
    </row>
    <row r="6" spans="1:10" ht="17.45" customHeight="1">
      <c r="A6" s="117"/>
      <c r="B6" s="117"/>
      <c r="E6" s="117"/>
      <c r="F6" s="117"/>
      <c r="G6" s="117"/>
      <c r="H6" s="117"/>
      <c r="I6" s="7"/>
      <c r="J6" s="7"/>
    </row>
    <row r="7" spans="1:10" ht="17.45" customHeight="1">
      <c r="A7" s="139" t="s">
        <v>12</v>
      </c>
      <c r="B7" s="139" t="s">
        <v>13</v>
      </c>
      <c r="E7" s="8" t="s">
        <v>14</v>
      </c>
      <c r="F7" s="140" t="s">
        <v>15</v>
      </c>
      <c r="G7" s="117"/>
      <c r="H7" s="6"/>
      <c r="I7" s="7"/>
      <c r="J7" s="7"/>
    </row>
    <row r="8" spans="1:10" ht="17.45" customHeight="1">
      <c r="A8" s="117"/>
      <c r="B8" s="117"/>
      <c r="E8" s="8" t="s">
        <v>16</v>
      </c>
      <c r="F8" s="6" t="s">
        <v>17</v>
      </c>
      <c r="G8" s="6"/>
      <c r="H8" s="6"/>
      <c r="I8" s="9"/>
      <c r="J8" s="9"/>
    </row>
    <row r="9" spans="1:10" ht="17.45" customHeight="1">
      <c r="A9" s="8" t="s">
        <v>18</v>
      </c>
      <c r="B9" s="10">
        <v>46092</v>
      </c>
      <c r="E9" s="8" t="s">
        <v>19</v>
      </c>
      <c r="F9" s="141">
        <v>100</v>
      </c>
      <c r="G9" s="117"/>
      <c r="H9" s="6"/>
    </row>
    <row r="10" spans="1:10" ht="17.45" customHeight="1">
      <c r="A10" s="8" t="s">
        <v>20</v>
      </c>
      <c r="B10" s="10">
        <v>46092</v>
      </c>
      <c r="E10" s="8" t="s">
        <v>21</v>
      </c>
      <c r="F10" s="6">
        <v>1</v>
      </c>
      <c r="G10" s="142" t="s">
        <v>22</v>
      </c>
      <c r="H10" s="144">
        <v>100</v>
      </c>
      <c r="I10" s="145"/>
      <c r="J10" s="146"/>
    </row>
    <row r="11" spans="1:10" ht="17.45" customHeight="1">
      <c r="A11" s="11"/>
      <c r="B11" s="12"/>
      <c r="C11" s="12"/>
      <c r="D11" s="12"/>
      <c r="E11" s="8" t="s">
        <v>23</v>
      </c>
      <c r="F11" s="6" t="s">
        <v>24</v>
      </c>
      <c r="G11" s="143"/>
      <c r="H11" s="143"/>
      <c r="I11" s="125"/>
      <c r="J11" s="133"/>
    </row>
    <row r="12" spans="1:10" ht="13.5" customHeight="1">
      <c r="A12" s="127" t="s">
        <v>25</v>
      </c>
      <c r="B12" s="117"/>
      <c r="C12" s="117"/>
      <c r="D12" s="12"/>
      <c r="F12" s="5"/>
      <c r="G12" s="128" t="s">
        <v>26</v>
      </c>
      <c r="H12" s="130" t="s">
        <v>27</v>
      </c>
      <c r="I12" s="131" t="s">
        <v>28</v>
      </c>
      <c r="J12" s="132"/>
    </row>
    <row r="13" spans="1:10" ht="13.5" customHeight="1">
      <c r="A13" s="117"/>
      <c r="B13" s="117"/>
      <c r="C13" s="117"/>
      <c r="D13" s="12"/>
      <c r="F13" s="5"/>
      <c r="G13" s="129"/>
      <c r="H13" s="129"/>
      <c r="I13" s="125"/>
      <c r="J13" s="133"/>
    </row>
    <row r="14" spans="1:10" ht="13.5" customHeight="1">
      <c r="A14" s="2" t="s">
        <v>29</v>
      </c>
    </row>
    <row r="15" spans="1:10" ht="63" customHeight="1" thickBot="1">
      <c r="A15" s="134"/>
      <c r="B15" s="135"/>
      <c r="C15" s="135"/>
      <c r="D15" s="135"/>
      <c r="E15" s="135"/>
      <c r="F15" s="135"/>
      <c r="G15" s="135"/>
      <c r="H15" s="135"/>
      <c r="I15" s="135"/>
      <c r="J15" s="135"/>
    </row>
    <row r="16" spans="1:10" ht="18.75">
      <c r="A16" s="13" t="s">
        <v>30</v>
      </c>
      <c r="B16" s="14" t="s">
        <v>31</v>
      </c>
      <c r="C16" s="136" t="s">
        <v>32</v>
      </c>
      <c r="D16" s="137"/>
      <c r="E16" s="14" t="s">
        <v>33</v>
      </c>
      <c r="F16" s="136" t="s">
        <v>34</v>
      </c>
      <c r="G16" s="137"/>
      <c r="H16" s="137"/>
      <c r="I16" s="138" t="s">
        <v>35</v>
      </c>
      <c r="J16" s="137"/>
    </row>
    <row r="17" spans="1:10" s="16" customFormat="1" ht="14.2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</row>
    <row r="18" spans="1:10" s="19" customFormat="1" ht="16.5" customHeight="1">
      <c r="A18" s="17">
        <v>1</v>
      </c>
      <c r="B18" s="18" t="s">
        <v>36</v>
      </c>
      <c r="C18" s="116" t="s">
        <v>37</v>
      </c>
      <c r="D18" s="154"/>
      <c r="E18" s="18" t="s">
        <v>38</v>
      </c>
      <c r="F18" s="116" t="s">
        <v>39</v>
      </c>
      <c r="G18" s="154"/>
      <c r="H18" s="154"/>
      <c r="I18" s="126"/>
      <c r="J18" s="154"/>
    </row>
    <row r="19" spans="1:10" s="19" customFormat="1" ht="16.5" customHeight="1">
      <c r="A19" s="17">
        <v>1</v>
      </c>
      <c r="B19" s="20" t="s">
        <v>36</v>
      </c>
      <c r="C19" s="116" t="s">
        <v>37</v>
      </c>
      <c r="D19" s="154"/>
      <c r="E19" s="18" t="s">
        <v>40</v>
      </c>
      <c r="F19" s="116" t="s">
        <v>41</v>
      </c>
      <c r="G19" s="154"/>
      <c r="H19" s="154"/>
      <c r="I19" s="126"/>
      <c r="J19" s="154"/>
    </row>
    <row r="20" spans="1:10" s="19" customFormat="1" ht="16.5" customHeight="1">
      <c r="A20" s="17"/>
      <c r="B20" s="20"/>
      <c r="C20" s="116"/>
      <c r="D20" s="154"/>
      <c r="E20" s="18"/>
      <c r="F20" s="116"/>
      <c r="G20" s="154"/>
      <c r="H20" s="154"/>
      <c r="I20" s="126"/>
      <c r="J20" s="154"/>
    </row>
    <row r="21" spans="1:10" s="19" customFormat="1" ht="16.5" customHeight="1">
      <c r="A21" s="17"/>
      <c r="B21" s="20"/>
      <c r="C21" s="116"/>
      <c r="D21" s="154"/>
      <c r="E21" s="18"/>
      <c r="F21" s="116"/>
      <c r="G21" s="154"/>
      <c r="H21" s="154"/>
      <c r="I21" s="126"/>
      <c r="J21" s="154"/>
    </row>
    <row r="22" spans="1:10" s="19" customFormat="1" ht="16.5" customHeight="1">
      <c r="A22" s="17"/>
      <c r="B22" s="20"/>
      <c r="C22" s="116"/>
      <c r="D22" s="154"/>
      <c r="E22" s="18"/>
      <c r="F22" s="116"/>
      <c r="G22" s="154"/>
      <c r="H22" s="154"/>
      <c r="I22" s="126"/>
      <c r="J22" s="154"/>
    </row>
    <row r="23" spans="1:10" s="19" customFormat="1" ht="16.5" customHeight="1">
      <c r="A23" s="17"/>
      <c r="B23" s="20"/>
      <c r="C23" s="116"/>
      <c r="D23" s="154"/>
      <c r="E23" s="18"/>
      <c r="F23" s="116"/>
      <c r="G23" s="154"/>
      <c r="H23" s="154"/>
      <c r="I23" s="126"/>
      <c r="J23" s="154"/>
    </row>
    <row r="24" spans="1:10" ht="16.5" customHeight="1" thickBot="1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 ht="18.75">
      <c r="A25" s="122" t="s">
        <v>42</v>
      </c>
      <c r="B25" s="123"/>
      <c r="C25" s="122" t="s">
        <v>43</v>
      </c>
      <c r="D25" s="123"/>
      <c r="E25" s="123"/>
      <c r="F25" s="22" t="s">
        <v>44</v>
      </c>
      <c r="G25" s="122" t="s">
        <v>45</v>
      </c>
      <c r="H25" s="123"/>
      <c r="I25" s="122" t="s">
        <v>46</v>
      </c>
      <c r="J25" s="123"/>
    </row>
    <row r="26" spans="1:10" ht="14.25" customHeight="1">
      <c r="A26" s="23"/>
      <c r="B26" s="24"/>
      <c r="C26" s="124" t="s">
        <v>47</v>
      </c>
      <c r="D26" s="125"/>
      <c r="E26" s="24"/>
      <c r="F26" s="124" t="s">
        <v>29</v>
      </c>
      <c r="G26" s="125"/>
      <c r="H26" s="125"/>
      <c r="I26" s="125"/>
      <c r="J26" s="125"/>
    </row>
    <row r="27" spans="1:10">
      <c r="A27" s="25"/>
      <c r="C27" s="19"/>
      <c r="D27" s="19"/>
      <c r="E27" s="19"/>
    </row>
    <row r="28" spans="1:10" s="15" customFormat="1" ht="14.25" customHeight="1">
      <c r="A28" s="116" t="s">
        <v>48</v>
      </c>
      <c r="B28" s="153"/>
      <c r="C28" s="116" t="s">
        <v>49</v>
      </c>
      <c r="D28" s="153"/>
      <c r="E28" s="153"/>
      <c r="F28" s="18" t="s">
        <v>50</v>
      </c>
      <c r="G28" s="118">
        <v>50</v>
      </c>
      <c r="H28" s="153"/>
      <c r="I28" s="118">
        <v>0.5</v>
      </c>
      <c r="J28" s="153"/>
    </row>
    <row r="29" spans="1:10" s="19" customFormat="1" ht="24.95" customHeight="1">
      <c r="A29" s="119" t="s">
        <v>51</v>
      </c>
      <c r="B29" s="154"/>
      <c r="C29" s="116"/>
      <c r="D29" s="154"/>
      <c r="E29" s="154"/>
      <c r="F29" s="116"/>
      <c r="G29" s="154"/>
      <c r="H29" s="154"/>
      <c r="I29" s="154"/>
      <c r="J29" s="154"/>
    </row>
    <row r="30" spans="1:10" s="15" customFormat="1" ht="14.25" customHeight="1">
      <c r="A30" s="116" t="s">
        <v>52</v>
      </c>
      <c r="B30" s="153"/>
      <c r="C30" s="116" t="s">
        <v>53</v>
      </c>
      <c r="D30" s="153"/>
      <c r="E30" s="153"/>
      <c r="F30" s="18" t="s">
        <v>36</v>
      </c>
      <c r="G30" s="118">
        <v>1</v>
      </c>
      <c r="H30" s="153"/>
      <c r="I30" s="118">
        <v>0.01</v>
      </c>
      <c r="J30" s="153"/>
    </row>
    <row r="31" spans="1:10" s="19" customFormat="1" ht="24.95" customHeight="1">
      <c r="A31" s="119" t="s">
        <v>54</v>
      </c>
      <c r="B31" s="154"/>
      <c r="C31" s="116" t="s">
        <v>55</v>
      </c>
      <c r="D31" s="154"/>
      <c r="E31" s="154"/>
      <c r="F31" s="116"/>
      <c r="G31" s="154"/>
      <c r="H31" s="154"/>
      <c r="I31" s="154"/>
      <c r="J31" s="154"/>
    </row>
    <row r="32" spans="1:10" s="15" customFormat="1" ht="14.25" customHeight="1">
      <c r="A32" s="116" t="s">
        <v>56</v>
      </c>
      <c r="B32" s="153"/>
      <c r="C32" s="116" t="s">
        <v>57</v>
      </c>
      <c r="D32" s="153"/>
      <c r="E32" s="153"/>
      <c r="F32" s="18"/>
      <c r="G32" s="118">
        <v>11</v>
      </c>
      <c r="H32" s="153"/>
      <c r="I32" s="118">
        <v>0.11</v>
      </c>
      <c r="J32" s="153"/>
    </row>
    <row r="33" spans="1:14" s="19" customFormat="1" ht="24.95" customHeight="1">
      <c r="A33" s="119" t="s">
        <v>58</v>
      </c>
      <c r="B33" s="154"/>
      <c r="C33" s="116" t="s">
        <v>59</v>
      </c>
      <c r="D33" s="154"/>
      <c r="E33" s="154"/>
      <c r="F33" s="116"/>
      <c r="G33" s="154"/>
      <c r="H33" s="154"/>
      <c r="I33" s="154"/>
      <c r="J33" s="154"/>
    </row>
    <row r="34" spans="1:14" s="15" customFormat="1" ht="14.25" customHeight="1">
      <c r="A34" s="116" t="s">
        <v>60</v>
      </c>
      <c r="B34" s="153"/>
      <c r="C34" s="116" t="s">
        <v>61</v>
      </c>
      <c r="D34" s="153"/>
      <c r="E34" s="153"/>
      <c r="F34" s="18"/>
      <c r="G34" s="118">
        <v>0.1</v>
      </c>
      <c r="H34" s="153"/>
      <c r="I34" s="118">
        <v>1E-3</v>
      </c>
      <c r="J34" s="153"/>
    </row>
    <row r="35" spans="1:14" s="19" customFormat="1" ht="24.95" customHeight="1">
      <c r="A35" s="119" t="s">
        <v>62</v>
      </c>
      <c r="B35" s="154"/>
      <c r="C35" s="116" t="s">
        <v>63</v>
      </c>
      <c r="D35" s="154"/>
      <c r="E35" s="154"/>
      <c r="F35" s="116"/>
      <c r="G35" s="154"/>
      <c r="H35" s="154"/>
      <c r="I35" s="154"/>
      <c r="J35" s="154"/>
    </row>
    <row r="36" spans="1:14" s="15" customFormat="1" ht="14.25" customHeight="1">
      <c r="A36" s="116"/>
      <c r="B36" s="153"/>
      <c r="C36" s="116"/>
      <c r="D36" s="153"/>
      <c r="E36" s="153"/>
      <c r="F36" s="18"/>
      <c r="G36" s="118"/>
      <c r="H36" s="153"/>
      <c r="I36" s="118"/>
      <c r="J36" s="153"/>
    </row>
    <row r="37" spans="1:14" s="19" customFormat="1" ht="24.95" customHeight="1" thickBot="1">
      <c r="A37" s="119"/>
      <c r="B37" s="154"/>
      <c r="C37" s="116"/>
      <c r="D37" s="154"/>
      <c r="E37" s="154"/>
      <c r="F37" s="116"/>
      <c r="G37" s="154"/>
      <c r="H37" s="154"/>
      <c r="I37" s="154"/>
      <c r="J37" s="154"/>
    </row>
    <row r="38" spans="1:14" s="15" customFormat="1" ht="18" customHeight="1">
      <c r="A38" s="27" t="s">
        <v>66</v>
      </c>
      <c r="B38" s="28" t="s">
        <v>67</v>
      </c>
      <c r="C38" s="120" t="s">
        <v>68</v>
      </c>
      <c r="D38" s="121"/>
      <c r="E38" s="29" t="s">
        <v>69</v>
      </c>
      <c r="F38" s="30" t="s">
        <v>70</v>
      </c>
      <c r="G38" s="31" t="s">
        <v>71</v>
      </c>
      <c r="H38" s="32" t="s">
        <v>72</v>
      </c>
      <c r="I38" s="114" t="s">
        <v>73</v>
      </c>
      <c r="J38" s="115"/>
    </row>
    <row r="39" spans="1:14" s="19" customFormat="1" ht="18" customHeight="1">
      <c r="A39" s="33" t="str">
        <f>_xlfn.XLOOKUP(B3,[1]VFDB2!$A:$A,[1]VFDB2!$J:$J)</f>
        <v>〇</v>
      </c>
      <c r="B39" s="34">
        <f>D3</f>
        <v>888</v>
      </c>
      <c r="C39" s="104" t="str">
        <f>_xlfn.XLOOKUP(B3,[1]VFDB2!$A:$A,[1]VFDB2!$Z:$Z)</f>
        <v>LED-A888</v>
      </c>
      <c r="D39" s="105"/>
      <c r="E39" s="106" t="str" cm="1">
        <f t="array" ref="E39">IFERROR(INDEX(_xlfn._xlws.FILTER([2]加工記録２!C:C,[2]加工記録２!U:U=B5),9),"")</f>
        <v/>
      </c>
      <c r="F39" s="35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36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37"/>
      <c r="I39" s="38" t="s">
        <v>74</v>
      </c>
      <c r="J39" s="39" t="str" cm="1">
        <f t="array" ref="J39:J44">IFERROR(INDEX(_xlfn._xlws.FILTER([2]加工記録２!P:P, [2]加工記録２!U:U=B5),_xlfn.SEQUENCE(6)),"")</f>
        <v/>
      </c>
    </row>
    <row r="40" spans="1:14" s="15" customFormat="1" ht="18" customHeight="1">
      <c r="A40" s="43" t="s">
        <v>75</v>
      </c>
      <c r="B40" s="44" t="s">
        <v>76</v>
      </c>
      <c r="C40" s="104"/>
      <c r="D40" s="105"/>
      <c r="E40" s="106"/>
      <c r="F40" s="45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36"/>
      <c r="H40" s="37"/>
      <c r="I40" s="38" t="s">
        <v>77</v>
      </c>
      <c r="J40" s="40" t="str">
        <v/>
      </c>
      <c r="K40" s="46"/>
    </row>
    <row r="41" spans="1:14" s="19" customFormat="1" ht="18" customHeight="1">
      <c r="A41" s="47" t="str">
        <f>_xlfn.XLOOKUP(B3,[1]VFDB2!$A:$A,[1]VFDB2!$L:$L)</f>
        <v>+0.5</v>
      </c>
      <c r="B41" s="48" t="str">
        <f>_xlfn.XLOOKUP(B3,[1]VFDB2!$A:$A,[1]VFDB2!$AC:$AC)</f>
        <v>換算表確認</v>
      </c>
      <c r="C41" s="107" t="s">
        <v>78</v>
      </c>
      <c r="D41" s="108" t="str">
        <f>_xlfn.XLOOKUP(B3,[1]VFDB2!$A:$A,[1]VFDB2!$W:$W)</f>
        <v>L=888用　クラフト紙</v>
      </c>
      <c r="E41" s="108"/>
      <c r="F41" s="109"/>
      <c r="G41" s="36"/>
      <c r="H41" s="37"/>
      <c r="I41" s="38" t="s">
        <v>79</v>
      </c>
      <c r="J41" s="40" t="str">
        <v/>
      </c>
      <c r="K41" s="49"/>
    </row>
    <row r="42" spans="1:14" s="15" customFormat="1" ht="18" customHeight="1">
      <c r="A42" s="50" t="s">
        <v>80</v>
      </c>
      <c r="B42" s="51" t="s">
        <v>81</v>
      </c>
      <c r="C42" s="107"/>
      <c r="D42" s="108" t="str">
        <f>_xlfn.XLOOKUP(B3,[1]VFDB2!$A:$A,[1]VFDB2!$R:$R)</f>
        <v>ラベル１枚　長手無　鉢巻１回</v>
      </c>
      <c r="E42" s="108"/>
      <c r="F42" s="109"/>
      <c r="G42" s="36"/>
      <c r="H42" s="37"/>
      <c r="I42" s="38" t="s">
        <v>82</v>
      </c>
      <c r="J42" s="40" t="str">
        <v/>
      </c>
      <c r="K42" s="46"/>
    </row>
    <row r="43" spans="1:14" s="19" customFormat="1" ht="18" customHeight="1" thickBot="1">
      <c r="A43" s="52" t="str">
        <f>_xlfn.XLOOKUP(B3,[1]VFDB2!$A:$A,[1]VFDB2!$K:$K)</f>
        <v>－0.5</v>
      </c>
      <c r="B43" s="53">
        <f>_xlfn.XLOOKUP(B3,[1]VFDB2!$A:$A,[1]VFDB2!$P:$P)</f>
        <v>2</v>
      </c>
      <c r="C43" s="54" t="s">
        <v>83</v>
      </c>
      <c r="D43" s="110" t="str">
        <f>_xlfn.XLOOKUP(B3,[1]VFDB2!$A:$A,[1]VFDB2!$V:$V)</f>
        <v>1箱目の梱包数 目視確認　以降、重量測定</v>
      </c>
      <c r="E43" s="110"/>
      <c r="F43" s="111"/>
      <c r="G43" s="55"/>
      <c r="H43" s="56"/>
      <c r="I43" s="38" t="s">
        <v>84</v>
      </c>
      <c r="J43" s="41" t="str">
        <v/>
      </c>
      <c r="K43" s="49"/>
    </row>
    <row r="44" spans="1:14" s="15" customFormat="1" ht="18" customHeight="1" thickBot="1">
      <c r="A44" s="57" t="s">
        <v>85</v>
      </c>
      <c r="B44" s="58" t="str" cm="1">
        <f t="array" ref="B44">IF(SUM(--(ISTEXT(B45:B55)*(B45:B55&lt;&gt;"")))=0,"計測Lot","計測Lot・加工数")</f>
        <v>計測Lot</v>
      </c>
      <c r="C44" s="59" t="s">
        <v>86</v>
      </c>
      <c r="D44" s="60" t="s">
        <v>87</v>
      </c>
      <c r="E44" s="96" t="s">
        <v>88</v>
      </c>
      <c r="F44" s="97" t="str" cm="1">
        <f t="array" ref="F44">IF(SUM(--(ISTEXT(B45:B55)*(B45:B55&lt;&gt;"")))=0,"記入不要","使用Lot")</f>
        <v>記入不要</v>
      </c>
      <c r="G44" s="61" t="s">
        <v>89</v>
      </c>
      <c r="H44" s="62" t="s">
        <v>90</v>
      </c>
      <c r="I44" s="63" t="s">
        <v>91</v>
      </c>
      <c r="J44" s="42" t="str">
        <v/>
      </c>
      <c r="K44" s="46"/>
    </row>
    <row r="45" spans="1:14" s="19" customFormat="1" ht="18" customHeight="1">
      <c r="A45" s="64" t="str" cm="1">
        <f t="array" ref="A45:A55">IFERROR(INDEX(_xlfn._xlws.FILTER([2]加工記録２!$D:$D,[2]加工記録２!$U:$U=B5),_xlfn.SEQUENCE(11),0),"")</f>
        <v/>
      </c>
      <c r="B45" s="68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1"/>
      <c r="D45" s="72"/>
      <c r="E45" s="98"/>
      <c r="F45" s="99"/>
      <c r="G45" s="73"/>
      <c r="H45" s="74"/>
      <c r="I45" s="112" t="s">
        <v>92</v>
      </c>
      <c r="J45" s="113"/>
      <c r="K45" s="75"/>
    </row>
    <row r="46" spans="1:14" s="15" customFormat="1" ht="18" customHeight="1">
      <c r="A46" s="65" t="str">
        <v/>
      </c>
      <c r="B46" s="69" t="str">
        <v/>
      </c>
      <c r="C46" s="76"/>
      <c r="D46" s="77"/>
      <c r="E46" s="100"/>
      <c r="F46" s="101"/>
      <c r="G46" s="76"/>
      <c r="H46" s="78"/>
      <c r="I46" s="79" t="s">
        <v>93</v>
      </c>
      <c r="J46" s="78" t="str" cm="1">
        <f t="array" ref="J46:J55">IFERROR(INDEX(_xlfn._xlws.FILTER([2]加工記録２!R:R, [2]加工記録２!U:U=B5),_xlfn.SEQUENCE(10)),"")</f>
        <v/>
      </c>
      <c r="K46" s="75"/>
    </row>
    <row r="47" spans="1:14" s="84" customFormat="1" ht="18.95" customHeight="1">
      <c r="A47" s="66" t="str">
        <v/>
      </c>
      <c r="B47" s="69" t="str">
        <v/>
      </c>
      <c r="C47" s="76"/>
      <c r="D47" s="77"/>
      <c r="E47" s="100"/>
      <c r="F47" s="101"/>
      <c r="G47" s="76"/>
      <c r="H47" s="78"/>
      <c r="I47" s="79" t="s">
        <v>94</v>
      </c>
      <c r="J47" s="78" t="str">
        <v/>
      </c>
      <c r="K47" s="82"/>
      <c r="L47" s="83"/>
      <c r="M47" s="83"/>
      <c r="N47" s="83"/>
    </row>
    <row r="48" spans="1:14" s="87" customFormat="1" ht="18.95" customHeight="1">
      <c r="A48" s="66" t="str">
        <v/>
      </c>
      <c r="B48" s="69" t="str">
        <v/>
      </c>
      <c r="C48" s="76"/>
      <c r="D48" s="77"/>
      <c r="E48" s="100"/>
      <c r="F48" s="101"/>
      <c r="G48" s="76"/>
      <c r="H48" s="78"/>
      <c r="I48" s="79" t="s">
        <v>95</v>
      </c>
      <c r="J48" s="78" t="str">
        <v/>
      </c>
      <c r="K48" s="85"/>
      <c r="L48" s="86"/>
      <c r="M48" s="86"/>
      <c r="N48" s="86"/>
    </row>
    <row r="49" spans="1:14" s="87" customFormat="1" ht="18.95" customHeight="1">
      <c r="A49" s="66" t="str">
        <v/>
      </c>
      <c r="B49" s="69" t="str">
        <v/>
      </c>
      <c r="C49" s="76"/>
      <c r="D49" s="77"/>
      <c r="E49" s="100"/>
      <c r="F49" s="101"/>
      <c r="G49" s="76"/>
      <c r="H49" s="78"/>
      <c r="I49" s="79" t="s">
        <v>96</v>
      </c>
      <c r="J49" s="78" t="str">
        <v/>
      </c>
      <c r="K49" s="85"/>
      <c r="L49" s="86"/>
      <c r="M49" s="86"/>
      <c r="N49" s="86"/>
    </row>
    <row r="50" spans="1:14" s="87" customFormat="1" ht="18.95" customHeight="1">
      <c r="A50" s="66" t="str">
        <v/>
      </c>
      <c r="B50" s="69" t="str">
        <v/>
      </c>
      <c r="C50" s="76"/>
      <c r="D50" s="77"/>
      <c r="E50" s="100"/>
      <c r="F50" s="101"/>
      <c r="G50" s="76"/>
      <c r="H50" s="78"/>
      <c r="I50" s="79" t="s">
        <v>97</v>
      </c>
      <c r="J50" s="78" t="str">
        <v/>
      </c>
      <c r="K50" s="85"/>
      <c r="L50" s="86"/>
      <c r="M50" s="86"/>
      <c r="N50" s="86"/>
    </row>
    <row r="51" spans="1:14" s="87" customFormat="1" ht="18.95" customHeight="1">
      <c r="A51" s="66" t="str">
        <v/>
      </c>
      <c r="B51" s="69" t="str">
        <v/>
      </c>
      <c r="C51" s="76"/>
      <c r="D51" s="77"/>
      <c r="E51" s="100"/>
      <c r="F51" s="101"/>
      <c r="G51" s="76"/>
      <c r="H51" s="78"/>
      <c r="I51" s="79" t="s">
        <v>98</v>
      </c>
      <c r="J51" s="78" t="str">
        <v/>
      </c>
      <c r="K51" s="85"/>
      <c r="L51" s="86"/>
      <c r="M51" s="86"/>
      <c r="N51" s="86"/>
    </row>
    <row r="52" spans="1:14" s="87" customFormat="1" ht="18.95" customHeight="1">
      <c r="A52" s="66" t="str">
        <v/>
      </c>
      <c r="B52" s="69" t="str">
        <v/>
      </c>
      <c r="C52" s="76"/>
      <c r="D52" s="77"/>
      <c r="E52" s="100"/>
      <c r="F52" s="101"/>
      <c r="G52" s="76"/>
      <c r="H52" s="78"/>
      <c r="I52" s="88" t="s">
        <v>99</v>
      </c>
      <c r="J52" s="78" t="str">
        <v/>
      </c>
      <c r="K52" s="85"/>
      <c r="L52" s="86"/>
      <c r="M52" s="86"/>
      <c r="N52" s="86"/>
    </row>
    <row r="53" spans="1:14" s="87" customFormat="1" ht="18.95" customHeight="1">
      <c r="A53" s="66" t="str">
        <v/>
      </c>
      <c r="B53" s="69" t="str">
        <v/>
      </c>
      <c r="C53" s="76"/>
      <c r="D53" s="77"/>
      <c r="E53" s="100"/>
      <c r="F53" s="101"/>
      <c r="G53" s="76"/>
      <c r="H53" s="78"/>
      <c r="I53" s="88" t="s">
        <v>100</v>
      </c>
      <c r="J53" s="78" t="str">
        <v/>
      </c>
      <c r="K53" s="85"/>
      <c r="L53" s="86"/>
      <c r="M53" s="86"/>
      <c r="N53" s="86"/>
    </row>
    <row r="54" spans="1:14" s="87" customFormat="1" ht="18.95" customHeight="1">
      <c r="A54" s="66" t="str">
        <v/>
      </c>
      <c r="B54" s="69" t="str">
        <v/>
      </c>
      <c r="C54" s="76"/>
      <c r="D54" s="77"/>
      <c r="E54" s="100"/>
      <c r="F54" s="101"/>
      <c r="G54" s="76"/>
      <c r="H54" s="78"/>
      <c r="I54" s="79" t="s">
        <v>101</v>
      </c>
      <c r="J54" s="80" t="str">
        <v/>
      </c>
      <c r="K54" s="85"/>
      <c r="L54" s="86"/>
      <c r="M54" s="86"/>
      <c r="N54" s="86"/>
    </row>
    <row r="55" spans="1:14" s="87" customFormat="1" ht="18.95" customHeight="1" thickBot="1">
      <c r="A55" s="67" t="str">
        <v/>
      </c>
      <c r="B55" s="70" t="str">
        <v/>
      </c>
      <c r="C55" s="89"/>
      <c r="D55" s="90"/>
      <c r="E55" s="102"/>
      <c r="F55" s="103"/>
      <c r="G55" s="91"/>
      <c r="H55" s="92"/>
      <c r="I55" s="93" t="s">
        <v>102</v>
      </c>
      <c r="J55" s="81" t="str">
        <v/>
      </c>
      <c r="K55" s="85"/>
      <c r="L55" s="86"/>
      <c r="M55" s="86"/>
      <c r="N55" s="86"/>
    </row>
    <row r="56" spans="1:14" ht="6" customHeight="1" thickBot="1">
      <c r="A56" s="94"/>
      <c r="B56" s="95"/>
      <c r="C56" s="95"/>
      <c r="D56" s="94"/>
      <c r="E56" s="95"/>
      <c r="F56" s="95"/>
      <c r="G56" s="95"/>
      <c r="H56" s="95"/>
    </row>
    <row r="57" spans="1:14" ht="6" customHeight="1" thickTop="1">
      <c r="A57" s="26"/>
      <c r="B57" s="26"/>
      <c r="C57" s="26"/>
      <c r="D57" s="26"/>
      <c r="E57" s="26"/>
      <c r="F57" s="26"/>
      <c r="G57" s="26"/>
      <c r="H57" s="26"/>
      <c r="I57" s="26"/>
      <c r="J57" s="26"/>
    </row>
    <row r="58" spans="1:14" ht="14.25" customHeight="1" thickBot="1">
      <c r="A58" s="1"/>
      <c r="B58" s="147" t="s">
        <v>0</v>
      </c>
      <c r="C58" s="117"/>
      <c r="D58" s="117"/>
      <c r="E58" s="1"/>
      <c r="F58" s="1"/>
      <c r="G58" s="1"/>
      <c r="H58" s="1"/>
      <c r="I58" s="1"/>
      <c r="J58" s="1"/>
    </row>
    <row r="59" spans="1:14" ht="14.25" customHeight="1" thickTop="1">
      <c r="A59" s="3"/>
      <c r="B59" s="117"/>
      <c r="C59" s="117"/>
      <c r="D59" s="117"/>
      <c r="E59" s="3"/>
      <c r="F59" s="3"/>
      <c r="G59" s="3"/>
      <c r="H59" s="3"/>
      <c r="I59" s="3"/>
      <c r="J59" s="3"/>
    </row>
    <row r="60" spans="1:14" ht="14.25" customHeight="1">
      <c r="A60" s="148" t="s">
        <v>1</v>
      </c>
      <c r="B60" s="148" t="s">
        <v>2</v>
      </c>
      <c r="C60" s="148" t="s">
        <v>3</v>
      </c>
      <c r="D60" s="149">
        <v>888</v>
      </c>
      <c r="E60" s="148" t="s">
        <v>4</v>
      </c>
      <c r="F60" s="150" t="s">
        <v>5</v>
      </c>
      <c r="G60" s="117"/>
      <c r="H60" s="117"/>
      <c r="I60" s="4" t="s">
        <v>6</v>
      </c>
      <c r="J60" s="4" t="s">
        <v>7</v>
      </c>
    </row>
    <row r="61" spans="1:14" ht="14.25" customHeight="1">
      <c r="A61" s="117"/>
      <c r="B61" s="117"/>
      <c r="C61" s="117"/>
      <c r="D61" s="117"/>
      <c r="E61" s="117"/>
      <c r="F61" s="117"/>
      <c r="G61" s="117"/>
      <c r="H61" s="117"/>
      <c r="I61" s="151"/>
      <c r="J61" s="151"/>
    </row>
    <row r="62" spans="1:14" ht="17.45" customHeight="1">
      <c r="A62" s="139" t="s">
        <v>8</v>
      </c>
      <c r="B62" s="139" t="s">
        <v>64</v>
      </c>
      <c r="E62" s="139" t="s">
        <v>10</v>
      </c>
      <c r="F62" s="140" t="s">
        <v>11</v>
      </c>
      <c r="G62" s="117"/>
      <c r="H62" s="117"/>
      <c r="I62" s="152"/>
      <c r="J62" s="152"/>
    </row>
    <row r="63" spans="1:14" ht="17.45" customHeight="1">
      <c r="A63" s="117"/>
      <c r="B63" s="117"/>
      <c r="E63" s="117"/>
      <c r="F63" s="117"/>
      <c r="G63" s="117"/>
      <c r="H63" s="117"/>
      <c r="I63" s="7"/>
      <c r="J63" s="7"/>
    </row>
    <row r="64" spans="1:14" ht="17.45" customHeight="1">
      <c r="A64" s="139" t="s">
        <v>12</v>
      </c>
      <c r="B64" s="139" t="s">
        <v>65</v>
      </c>
      <c r="E64" s="8" t="s">
        <v>14</v>
      </c>
      <c r="F64" s="140" t="s">
        <v>15</v>
      </c>
      <c r="G64" s="117"/>
      <c r="H64" s="6"/>
      <c r="I64" s="7"/>
      <c r="J64" s="7"/>
    </row>
    <row r="65" spans="1:10" ht="17.45" customHeight="1">
      <c r="A65" s="117"/>
      <c r="B65" s="117"/>
      <c r="E65" s="8" t="s">
        <v>16</v>
      </c>
      <c r="F65" s="6" t="s">
        <v>17</v>
      </c>
      <c r="G65" s="6"/>
      <c r="H65" s="6"/>
      <c r="I65" s="9"/>
      <c r="J65" s="9"/>
    </row>
    <row r="66" spans="1:10" ht="17.45" customHeight="1">
      <c r="A66" s="8" t="s">
        <v>18</v>
      </c>
      <c r="B66" s="10">
        <v>46098</v>
      </c>
      <c r="E66" s="8" t="s">
        <v>19</v>
      </c>
      <c r="F66" s="141">
        <v>100</v>
      </c>
      <c r="G66" s="117"/>
      <c r="H66" s="6"/>
    </row>
    <row r="67" spans="1:10" ht="17.45" customHeight="1">
      <c r="A67" s="8" t="s">
        <v>20</v>
      </c>
      <c r="B67" s="10">
        <v>46098</v>
      </c>
      <c r="E67" s="8" t="s">
        <v>21</v>
      </c>
      <c r="F67" s="6">
        <v>4</v>
      </c>
      <c r="G67" s="142" t="s">
        <v>22</v>
      </c>
      <c r="H67" s="144">
        <v>400</v>
      </c>
      <c r="I67" s="145"/>
      <c r="J67" s="146"/>
    </row>
    <row r="68" spans="1:10" ht="17.45" customHeight="1">
      <c r="A68" s="11"/>
      <c r="B68" s="12"/>
      <c r="C68" s="12"/>
      <c r="D68" s="12"/>
      <c r="E68" s="8" t="s">
        <v>23</v>
      </c>
      <c r="F68" s="6" t="s">
        <v>24</v>
      </c>
      <c r="G68" s="143"/>
      <c r="H68" s="143"/>
      <c r="I68" s="125"/>
      <c r="J68" s="133"/>
    </row>
    <row r="69" spans="1:10" ht="13.5" customHeight="1">
      <c r="A69" s="127" t="s">
        <v>25</v>
      </c>
      <c r="B69" s="117"/>
      <c r="C69" s="117"/>
      <c r="D69" s="12"/>
      <c r="F69" s="5"/>
      <c r="G69" s="128" t="s">
        <v>26</v>
      </c>
      <c r="H69" s="130" t="s">
        <v>27</v>
      </c>
      <c r="I69" s="131" t="s">
        <v>28</v>
      </c>
      <c r="J69" s="132"/>
    </row>
    <row r="70" spans="1:10" ht="13.5" customHeight="1">
      <c r="A70" s="117"/>
      <c r="B70" s="117"/>
      <c r="C70" s="117"/>
      <c r="D70" s="12"/>
      <c r="F70" s="5"/>
      <c r="G70" s="129"/>
      <c r="H70" s="129"/>
      <c r="I70" s="125"/>
      <c r="J70" s="133"/>
    </row>
    <row r="71" spans="1:10" ht="13.5" customHeight="1">
      <c r="A71" s="2" t="s">
        <v>29</v>
      </c>
    </row>
    <row r="72" spans="1:10" ht="63" customHeight="1" thickBot="1">
      <c r="A72" s="134"/>
      <c r="B72" s="135"/>
      <c r="C72" s="135"/>
      <c r="D72" s="135"/>
      <c r="E72" s="135"/>
      <c r="F72" s="135"/>
      <c r="G72" s="135"/>
      <c r="H72" s="135"/>
      <c r="I72" s="135"/>
      <c r="J72" s="135"/>
    </row>
    <row r="73" spans="1:10" ht="18.75">
      <c r="A73" s="13" t="s">
        <v>30</v>
      </c>
      <c r="B73" s="14" t="s">
        <v>31</v>
      </c>
      <c r="C73" s="136" t="s">
        <v>32</v>
      </c>
      <c r="D73" s="137"/>
      <c r="E73" s="14" t="s">
        <v>33</v>
      </c>
      <c r="F73" s="136" t="s">
        <v>34</v>
      </c>
      <c r="G73" s="137"/>
      <c r="H73" s="137"/>
      <c r="I73" s="138" t="s">
        <v>35</v>
      </c>
      <c r="J73" s="137"/>
    </row>
    <row r="74" spans="1:10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0" ht="16.5" customHeight="1">
      <c r="A75" s="17">
        <v>1</v>
      </c>
      <c r="B75" s="18" t="s">
        <v>36</v>
      </c>
      <c r="C75" s="116" t="s">
        <v>37</v>
      </c>
      <c r="D75" s="117"/>
      <c r="E75" s="18" t="s">
        <v>38</v>
      </c>
      <c r="F75" s="116" t="s">
        <v>39</v>
      </c>
      <c r="G75" s="117"/>
      <c r="H75" s="117"/>
      <c r="I75" s="126"/>
      <c r="J75" s="117"/>
    </row>
    <row r="76" spans="1:10" ht="16.5" customHeight="1">
      <c r="A76" s="17">
        <v>1</v>
      </c>
      <c r="B76" s="20" t="s">
        <v>36</v>
      </c>
      <c r="C76" s="116" t="s">
        <v>37</v>
      </c>
      <c r="D76" s="117"/>
      <c r="E76" s="18" t="s">
        <v>40</v>
      </c>
      <c r="F76" s="116" t="s">
        <v>41</v>
      </c>
      <c r="G76" s="117"/>
      <c r="H76" s="117"/>
      <c r="I76" s="126"/>
      <c r="J76" s="117"/>
    </row>
    <row r="77" spans="1:10" ht="16.5" customHeight="1">
      <c r="A77" s="17"/>
      <c r="B77" s="20"/>
      <c r="C77" s="116"/>
      <c r="D77" s="117"/>
      <c r="E77" s="18"/>
      <c r="F77" s="116"/>
      <c r="G77" s="117"/>
      <c r="H77" s="117"/>
      <c r="I77" s="126"/>
      <c r="J77" s="117"/>
    </row>
    <row r="78" spans="1:10" ht="16.5" customHeight="1">
      <c r="A78" s="17"/>
      <c r="B78" s="20"/>
      <c r="C78" s="116"/>
      <c r="D78" s="117"/>
      <c r="E78" s="18"/>
      <c r="F78" s="116"/>
      <c r="G78" s="117"/>
      <c r="H78" s="117"/>
      <c r="I78" s="126"/>
      <c r="J78" s="117"/>
    </row>
    <row r="79" spans="1:10" ht="16.5" customHeight="1">
      <c r="A79" s="17"/>
      <c r="B79" s="20"/>
      <c r="C79" s="116"/>
      <c r="D79" s="117"/>
      <c r="E79" s="18"/>
      <c r="F79" s="116"/>
      <c r="G79" s="117"/>
      <c r="H79" s="117"/>
      <c r="I79" s="126"/>
      <c r="J79" s="117"/>
    </row>
    <row r="80" spans="1:10" ht="16.5" customHeight="1">
      <c r="A80" s="17"/>
      <c r="B80" s="20"/>
      <c r="C80" s="116"/>
      <c r="D80" s="117"/>
      <c r="E80" s="18"/>
      <c r="F80" s="116"/>
      <c r="G80" s="117"/>
      <c r="H80" s="117"/>
      <c r="I80" s="126"/>
      <c r="J80" s="117"/>
    </row>
    <row r="81" spans="1:10" ht="16.5" customHeight="1" thickBot="1">
      <c r="A81" s="21"/>
      <c r="B81" s="21"/>
      <c r="C81" s="21"/>
      <c r="D81" s="21"/>
      <c r="E81" s="21"/>
      <c r="F81" s="21"/>
      <c r="G81" s="21"/>
      <c r="H81" s="21"/>
      <c r="I81" s="21"/>
      <c r="J81" s="21"/>
    </row>
    <row r="82" spans="1:10" ht="18.75">
      <c r="A82" s="122" t="s">
        <v>42</v>
      </c>
      <c r="B82" s="123"/>
      <c r="C82" s="122" t="s">
        <v>43</v>
      </c>
      <c r="D82" s="123"/>
      <c r="E82" s="123"/>
      <c r="F82" s="22" t="s">
        <v>44</v>
      </c>
      <c r="G82" s="122" t="s">
        <v>45</v>
      </c>
      <c r="H82" s="123"/>
      <c r="I82" s="122" t="s">
        <v>46</v>
      </c>
      <c r="J82" s="123"/>
    </row>
    <row r="83" spans="1:10" ht="14.25" customHeight="1">
      <c r="A83" s="23"/>
      <c r="B83" s="24"/>
      <c r="C83" s="124" t="s">
        <v>47</v>
      </c>
      <c r="D83" s="125"/>
      <c r="E83" s="24"/>
      <c r="F83" s="124" t="s">
        <v>29</v>
      </c>
      <c r="G83" s="125"/>
      <c r="H83" s="125"/>
      <c r="I83" s="125"/>
      <c r="J83" s="125"/>
    </row>
    <row r="84" spans="1:10">
      <c r="A84" s="25"/>
      <c r="C84" s="19"/>
      <c r="D84" s="19"/>
      <c r="E84" s="19"/>
    </row>
    <row r="85" spans="1:10" ht="14.25" customHeight="1">
      <c r="A85" s="116" t="s">
        <v>48</v>
      </c>
      <c r="B85" s="117"/>
      <c r="C85" s="116" t="s">
        <v>49</v>
      </c>
      <c r="D85" s="117"/>
      <c r="E85" s="117"/>
      <c r="F85" s="18" t="s">
        <v>50</v>
      </c>
      <c r="G85" s="118">
        <v>200</v>
      </c>
      <c r="H85" s="117"/>
      <c r="I85" s="118">
        <v>2</v>
      </c>
      <c r="J85" s="117"/>
    </row>
    <row r="86" spans="1:10" ht="24.95" customHeight="1">
      <c r="A86" s="119" t="s">
        <v>51</v>
      </c>
      <c r="B86" s="117"/>
      <c r="C86" s="116"/>
      <c r="D86" s="117"/>
      <c r="E86" s="117"/>
      <c r="F86" s="116"/>
      <c r="G86" s="117"/>
      <c r="H86" s="117"/>
      <c r="I86" s="117"/>
      <c r="J86" s="117"/>
    </row>
    <row r="87" spans="1:10" ht="14.25" customHeight="1">
      <c r="A87" s="116" t="s">
        <v>52</v>
      </c>
      <c r="B87" s="117"/>
      <c r="C87" s="116" t="s">
        <v>53</v>
      </c>
      <c r="D87" s="117"/>
      <c r="E87" s="117"/>
      <c r="F87" s="18" t="s">
        <v>36</v>
      </c>
      <c r="G87" s="118">
        <v>4</v>
      </c>
      <c r="H87" s="117"/>
      <c r="I87" s="118">
        <v>0.04</v>
      </c>
      <c r="J87" s="117"/>
    </row>
    <row r="88" spans="1:10" ht="24.95" customHeight="1">
      <c r="A88" s="119" t="s">
        <v>54</v>
      </c>
      <c r="B88" s="117"/>
      <c r="C88" s="116" t="s">
        <v>55</v>
      </c>
      <c r="D88" s="117"/>
      <c r="E88" s="117"/>
      <c r="F88" s="116"/>
      <c r="G88" s="117"/>
      <c r="H88" s="117"/>
      <c r="I88" s="117"/>
      <c r="J88" s="117"/>
    </row>
    <row r="89" spans="1:10" ht="14.25" customHeight="1">
      <c r="A89" s="116" t="s">
        <v>56</v>
      </c>
      <c r="B89" s="117"/>
      <c r="C89" s="116" t="s">
        <v>57</v>
      </c>
      <c r="D89" s="117"/>
      <c r="E89" s="117"/>
      <c r="F89" s="18"/>
      <c r="G89" s="118">
        <v>44</v>
      </c>
      <c r="H89" s="117"/>
      <c r="I89" s="118">
        <v>0.44</v>
      </c>
      <c r="J89" s="117"/>
    </row>
    <row r="90" spans="1:10" ht="24.95" customHeight="1">
      <c r="A90" s="119" t="s">
        <v>58</v>
      </c>
      <c r="B90" s="117"/>
      <c r="C90" s="116" t="s">
        <v>59</v>
      </c>
      <c r="D90" s="117"/>
      <c r="E90" s="117"/>
      <c r="F90" s="116"/>
      <c r="G90" s="117"/>
      <c r="H90" s="117"/>
      <c r="I90" s="117"/>
      <c r="J90" s="117"/>
    </row>
    <row r="91" spans="1:10" ht="14.25" customHeight="1">
      <c r="A91" s="116" t="s">
        <v>60</v>
      </c>
      <c r="B91" s="117"/>
      <c r="C91" s="116" t="s">
        <v>61</v>
      </c>
      <c r="D91" s="117"/>
      <c r="E91" s="117"/>
      <c r="F91" s="18"/>
      <c r="G91" s="118">
        <v>0.4</v>
      </c>
      <c r="H91" s="117"/>
      <c r="I91" s="118">
        <v>4.0000000000000001E-3</v>
      </c>
      <c r="J91" s="117"/>
    </row>
    <row r="92" spans="1:10" ht="24.95" customHeight="1">
      <c r="A92" s="119" t="s">
        <v>62</v>
      </c>
      <c r="B92" s="117"/>
      <c r="C92" s="116" t="s">
        <v>63</v>
      </c>
      <c r="D92" s="117"/>
      <c r="E92" s="117"/>
      <c r="F92" s="116"/>
      <c r="G92" s="117"/>
      <c r="H92" s="117"/>
      <c r="I92" s="117"/>
      <c r="J92" s="117"/>
    </row>
    <row r="93" spans="1:10" ht="14.25" customHeight="1">
      <c r="A93" s="116"/>
      <c r="B93" s="117"/>
      <c r="C93" s="116"/>
      <c r="D93" s="117"/>
      <c r="E93" s="117"/>
      <c r="F93" s="18"/>
      <c r="G93" s="118"/>
      <c r="H93" s="117"/>
      <c r="I93" s="118"/>
      <c r="J93" s="117"/>
    </row>
    <row r="94" spans="1:10" ht="24.95" customHeight="1" thickBot="1">
      <c r="A94" s="119"/>
      <c r="B94" s="117"/>
      <c r="C94" s="116"/>
      <c r="D94" s="117"/>
      <c r="E94" s="117"/>
      <c r="F94" s="116"/>
      <c r="G94" s="117"/>
      <c r="H94" s="117"/>
      <c r="I94" s="117"/>
      <c r="J94" s="117"/>
    </row>
    <row r="95" spans="1:10" s="15" customFormat="1" ht="18" customHeight="1">
      <c r="A95" s="27" t="s">
        <v>66</v>
      </c>
      <c r="B95" s="28" t="s">
        <v>67</v>
      </c>
      <c r="C95" s="120" t="s">
        <v>68</v>
      </c>
      <c r="D95" s="121"/>
      <c r="E95" s="29" t="s">
        <v>69</v>
      </c>
      <c r="F95" s="30" t="s">
        <v>70</v>
      </c>
      <c r="G95" s="31" t="s">
        <v>71</v>
      </c>
      <c r="H95" s="32" t="s">
        <v>72</v>
      </c>
      <c r="I95" s="114" t="s">
        <v>73</v>
      </c>
      <c r="J95" s="115"/>
    </row>
    <row r="96" spans="1:10" s="19" customFormat="1" ht="18" customHeight="1">
      <c r="A96" s="33" t="str">
        <f>_xlfn.XLOOKUP(B60,[1]VFDB2!$A:$A,[1]VFDB2!$J:$J)</f>
        <v>〇</v>
      </c>
      <c r="B96" s="34">
        <f>D60</f>
        <v>888</v>
      </c>
      <c r="C96" s="104" t="str">
        <f>_xlfn.XLOOKUP(B60,[1]VFDB2!$A:$A,[1]VFDB2!$Z:$Z)</f>
        <v>LED-A888</v>
      </c>
      <c r="D96" s="105"/>
      <c r="E96" s="106" t="str" cm="1">
        <f t="array" ref="E96">IFERROR(INDEX(_xlfn._xlws.FILTER([2]加工記録２!C:C,[2]加工記録２!U:U=B62),9),"")</f>
        <v/>
      </c>
      <c r="F96" s="35" t="str" cm="1">
        <f t="array" ref="F96">IFERROR("切断加工：" &amp;_xlfn.TEXTJOIN(" / ",TRUE,INDEX(_xlfn._xlws.FILTER([2]加工記録２!M:M,[2]加工記録２!U:U=B62),9),INDEX(_xlfn._xlws.FILTER([2]加工記録２!N:N,[2]加工記録２!U:U=B62),9)),"")</f>
        <v/>
      </c>
      <c r="G96" s="36" t="str" cm="1">
        <f t="array" ref="G96">IFERROR(IF(_xlfn.TAKE(_xlfn._xlws.FILTER([2]加工記録２!$M:$N,[2]加工記録２!$U:$U=B62),5)=0,"",_xlfn.TAKE(_xlfn._xlws.FILTER([2]加工記録２!$M:$N,[2]加工記録２!$U:$U=B62),5)),"")</f>
        <v/>
      </c>
      <c r="H96" s="37"/>
      <c r="I96" s="38" t="s">
        <v>74</v>
      </c>
      <c r="J96" s="39" t="str" cm="1">
        <f t="array" ref="J96:J101">IFERROR(INDEX(_xlfn._xlws.FILTER([2]加工記録２!P:P, [2]加工記録２!U:U=B62),_xlfn.SEQUENCE(6)),"")</f>
        <v/>
      </c>
    </row>
    <row r="97" spans="1:14" s="15" customFormat="1" ht="18" customHeight="1">
      <c r="A97" s="43" t="s">
        <v>75</v>
      </c>
      <c r="B97" s="44" t="s">
        <v>76</v>
      </c>
      <c r="C97" s="104"/>
      <c r="D97" s="105"/>
      <c r="E97" s="106"/>
      <c r="F97" s="45" t="str" cm="1">
        <f t="array" ref="F97">IFERROR("外観検査：" &amp;_xlfn.TEXTJOIN(" / ",TRUE,INDEX(_xlfn._xlws.FILTER([2]加工記録２!M:M,[2]加工記録２!U:U=B62),10),INDEX(_xlfn._xlws.FILTER([2]加工記録２!N:N,[2]加工記録２!U:U=B62),10)),"")</f>
        <v/>
      </c>
      <c r="G97" s="36"/>
      <c r="H97" s="37"/>
      <c r="I97" s="38" t="s">
        <v>77</v>
      </c>
      <c r="J97" s="40" t="str">
        <v/>
      </c>
      <c r="K97" s="46"/>
    </row>
    <row r="98" spans="1:14" s="19" customFormat="1" ht="18" customHeight="1">
      <c r="A98" s="47" t="str">
        <f>_xlfn.XLOOKUP(B60,[1]VFDB2!$A:$A,[1]VFDB2!$L:$L)</f>
        <v>+0.5</v>
      </c>
      <c r="B98" s="48" t="str">
        <f>_xlfn.XLOOKUP(B60,[1]VFDB2!$A:$A,[1]VFDB2!$AC:$AC)</f>
        <v>換算表確認</v>
      </c>
      <c r="C98" s="107" t="s">
        <v>78</v>
      </c>
      <c r="D98" s="108" t="str">
        <f>_xlfn.XLOOKUP(B60,[1]VFDB2!$A:$A,[1]VFDB2!$W:$W)</f>
        <v>L=888用　クラフト紙</v>
      </c>
      <c r="E98" s="108"/>
      <c r="F98" s="109"/>
      <c r="G98" s="36"/>
      <c r="H98" s="37"/>
      <c r="I98" s="38" t="s">
        <v>79</v>
      </c>
      <c r="J98" s="40" t="str">
        <v/>
      </c>
      <c r="K98" s="49"/>
    </row>
    <row r="99" spans="1:14" s="15" customFormat="1" ht="18" customHeight="1">
      <c r="A99" s="50" t="s">
        <v>80</v>
      </c>
      <c r="B99" s="51" t="s">
        <v>81</v>
      </c>
      <c r="C99" s="107"/>
      <c r="D99" s="108" t="str">
        <f>_xlfn.XLOOKUP(B60,[1]VFDB2!$A:$A,[1]VFDB2!$R:$R)</f>
        <v>ラベル１枚　長手無　鉢巻１回</v>
      </c>
      <c r="E99" s="108"/>
      <c r="F99" s="109"/>
      <c r="G99" s="36"/>
      <c r="H99" s="37"/>
      <c r="I99" s="38" t="s">
        <v>82</v>
      </c>
      <c r="J99" s="40" t="str">
        <v/>
      </c>
      <c r="K99" s="46"/>
    </row>
    <row r="100" spans="1:14" s="19" customFormat="1" ht="18" customHeight="1" thickBot="1">
      <c r="A100" s="52" t="str">
        <f>_xlfn.XLOOKUP(B60,[1]VFDB2!$A:$A,[1]VFDB2!$K:$K)</f>
        <v>－0.5</v>
      </c>
      <c r="B100" s="53">
        <f>_xlfn.XLOOKUP(B60,[1]VFDB2!$A:$A,[1]VFDB2!$P:$P)</f>
        <v>2</v>
      </c>
      <c r="C100" s="54" t="s">
        <v>83</v>
      </c>
      <c r="D100" s="110" t="str">
        <f>_xlfn.XLOOKUP(B60,[1]VFDB2!$A:$A,[1]VFDB2!$V:$V)</f>
        <v>1箱目の梱包数 目視確認　以降、重量測定</v>
      </c>
      <c r="E100" s="110"/>
      <c r="F100" s="111"/>
      <c r="G100" s="55"/>
      <c r="H100" s="56"/>
      <c r="I100" s="38" t="s">
        <v>84</v>
      </c>
      <c r="J100" s="41" t="str">
        <v/>
      </c>
      <c r="K100" s="49"/>
    </row>
    <row r="101" spans="1:14" s="15" customFormat="1" ht="18" customHeight="1" thickBot="1">
      <c r="A101" s="57" t="s">
        <v>85</v>
      </c>
      <c r="B101" s="58" t="str" cm="1">
        <f t="array" ref="B101">IF(SUM(--(ISTEXT(B102:B112)*(B102:B112&lt;&gt;"")))=0,"計測Lot","計測Lot・加工数")</f>
        <v>計測Lot</v>
      </c>
      <c r="C101" s="59" t="s">
        <v>86</v>
      </c>
      <c r="D101" s="60" t="s">
        <v>87</v>
      </c>
      <c r="E101" s="96" t="s">
        <v>88</v>
      </c>
      <c r="F101" s="97" t="str" cm="1">
        <f t="array" ref="F101">IF(SUM(--(ISTEXT(B102:B112)*(B102:B112&lt;&gt;"")))=0,"記入不要","使用Lot")</f>
        <v>記入不要</v>
      </c>
      <c r="G101" s="61" t="s">
        <v>89</v>
      </c>
      <c r="H101" s="62" t="s">
        <v>90</v>
      </c>
      <c r="I101" s="63" t="s">
        <v>91</v>
      </c>
      <c r="J101" s="42" t="str">
        <v/>
      </c>
      <c r="K101" s="46"/>
    </row>
    <row r="102" spans="1:14" s="19" customFormat="1" ht="18" customHeight="1">
      <c r="A102" s="64" t="str" cm="1">
        <f t="array" ref="A102:A112">IFERROR(INDEX(_xlfn._xlws.FILTER([2]加工記録２!$D:$D,[2]加工記録２!$U:$U=B62),_xlfn.SEQUENCE(11),0),"")</f>
        <v/>
      </c>
      <c r="B102" s="68" t="str" cm="1">
        <f t="array" ref="B102:B112">IFERROR(IF(INDEX(_xlfn._xlws.FILTER([2]加工記録２!$E:$E,[2]加工記録２!$U:$U=B62),_xlfn.SEQUENCE(11))="","",INDEX(_xlfn._xlws.FILTER([2]加工記録２!$E:$E,[2]加工記録２!$U:$U=B62),_xlfn.SEQUENCE(11)) &amp; IF(INDEX(_xlfn._xlws.FILTER([2]加工記録２!$F:$F,[2]加工記録２!$U:$U=B62),_xlfn.SEQUENCE(11))="","", " × " &amp; INDEX(_xlfn._xlws.FILTER([2]加工記録２!$F:$F,[2]加工記録２!$U:$U=B62),_xlfn.SEQUENCE(11)))),"")</f>
        <v/>
      </c>
      <c r="C102" s="71"/>
      <c r="D102" s="72"/>
      <c r="E102" s="98"/>
      <c r="F102" s="99"/>
      <c r="G102" s="73"/>
      <c r="H102" s="74"/>
      <c r="I102" s="112" t="s">
        <v>92</v>
      </c>
      <c r="J102" s="113"/>
      <c r="K102" s="75"/>
    </row>
    <row r="103" spans="1:14" s="15" customFormat="1" ht="18" customHeight="1">
      <c r="A103" s="65" t="str">
        <v/>
      </c>
      <c r="B103" s="69" t="str">
        <v/>
      </c>
      <c r="C103" s="76"/>
      <c r="D103" s="77"/>
      <c r="E103" s="100"/>
      <c r="F103" s="101"/>
      <c r="G103" s="76"/>
      <c r="H103" s="78"/>
      <c r="I103" s="79" t="s">
        <v>93</v>
      </c>
      <c r="J103" s="78" t="str" cm="1">
        <f t="array" ref="J103:J112">IFERROR(INDEX(_xlfn._xlws.FILTER([2]加工記録２!R:R, [2]加工記録２!U:U=B62),_xlfn.SEQUENCE(10)),"")</f>
        <v/>
      </c>
      <c r="K103" s="75"/>
    </row>
    <row r="104" spans="1:14" s="84" customFormat="1" ht="18.95" customHeight="1">
      <c r="A104" s="66" t="str">
        <v/>
      </c>
      <c r="B104" s="69" t="str">
        <v/>
      </c>
      <c r="C104" s="76"/>
      <c r="D104" s="77"/>
      <c r="E104" s="100"/>
      <c r="F104" s="101"/>
      <c r="G104" s="76"/>
      <c r="H104" s="78"/>
      <c r="I104" s="79" t="s">
        <v>94</v>
      </c>
      <c r="J104" s="78" t="str">
        <v/>
      </c>
      <c r="K104" s="82"/>
      <c r="L104" s="83"/>
      <c r="M104" s="83"/>
      <c r="N104" s="83"/>
    </row>
    <row r="105" spans="1:14" s="87" customFormat="1" ht="18.95" customHeight="1">
      <c r="A105" s="66" t="str">
        <v/>
      </c>
      <c r="B105" s="69" t="str">
        <v/>
      </c>
      <c r="C105" s="76"/>
      <c r="D105" s="77"/>
      <c r="E105" s="100"/>
      <c r="F105" s="101"/>
      <c r="G105" s="76"/>
      <c r="H105" s="78"/>
      <c r="I105" s="79" t="s">
        <v>95</v>
      </c>
      <c r="J105" s="78" t="str">
        <v/>
      </c>
      <c r="K105" s="85"/>
      <c r="L105" s="86"/>
      <c r="M105" s="86"/>
      <c r="N105" s="86"/>
    </row>
    <row r="106" spans="1:14" s="87" customFormat="1" ht="18.95" customHeight="1">
      <c r="A106" s="66" t="str">
        <v/>
      </c>
      <c r="B106" s="69" t="str">
        <v/>
      </c>
      <c r="C106" s="76"/>
      <c r="D106" s="77"/>
      <c r="E106" s="100"/>
      <c r="F106" s="101"/>
      <c r="G106" s="76"/>
      <c r="H106" s="78"/>
      <c r="I106" s="79" t="s">
        <v>96</v>
      </c>
      <c r="J106" s="78" t="str">
        <v/>
      </c>
      <c r="K106" s="85"/>
      <c r="L106" s="86"/>
      <c r="M106" s="86"/>
      <c r="N106" s="86"/>
    </row>
    <row r="107" spans="1:14" s="87" customFormat="1" ht="18.95" customHeight="1">
      <c r="A107" s="66" t="str">
        <v/>
      </c>
      <c r="B107" s="69" t="str">
        <v/>
      </c>
      <c r="C107" s="76"/>
      <c r="D107" s="77"/>
      <c r="E107" s="100"/>
      <c r="F107" s="101"/>
      <c r="G107" s="76"/>
      <c r="H107" s="78"/>
      <c r="I107" s="79" t="s">
        <v>97</v>
      </c>
      <c r="J107" s="78" t="str">
        <v/>
      </c>
      <c r="K107" s="85"/>
      <c r="L107" s="86"/>
      <c r="M107" s="86"/>
      <c r="N107" s="86"/>
    </row>
    <row r="108" spans="1:14" s="87" customFormat="1" ht="18.95" customHeight="1">
      <c r="A108" s="66" t="str">
        <v/>
      </c>
      <c r="B108" s="69" t="str">
        <v/>
      </c>
      <c r="C108" s="76"/>
      <c r="D108" s="77"/>
      <c r="E108" s="100"/>
      <c r="F108" s="101"/>
      <c r="G108" s="76"/>
      <c r="H108" s="78"/>
      <c r="I108" s="79" t="s">
        <v>98</v>
      </c>
      <c r="J108" s="78" t="str">
        <v/>
      </c>
      <c r="K108" s="85"/>
      <c r="L108" s="86"/>
      <c r="M108" s="86"/>
      <c r="N108" s="86"/>
    </row>
    <row r="109" spans="1:14" s="87" customFormat="1" ht="18.95" customHeight="1">
      <c r="A109" s="66" t="str">
        <v/>
      </c>
      <c r="B109" s="69" t="str">
        <v/>
      </c>
      <c r="C109" s="76"/>
      <c r="D109" s="77"/>
      <c r="E109" s="100"/>
      <c r="F109" s="101"/>
      <c r="G109" s="76"/>
      <c r="H109" s="78"/>
      <c r="I109" s="88" t="s">
        <v>99</v>
      </c>
      <c r="J109" s="78" t="str">
        <v/>
      </c>
      <c r="K109" s="85"/>
      <c r="L109" s="86"/>
      <c r="M109" s="86"/>
      <c r="N109" s="86"/>
    </row>
    <row r="110" spans="1:14" s="87" customFormat="1" ht="18.95" customHeight="1">
      <c r="A110" s="66" t="str">
        <v/>
      </c>
      <c r="B110" s="69" t="str">
        <v/>
      </c>
      <c r="C110" s="76"/>
      <c r="D110" s="77"/>
      <c r="E110" s="100"/>
      <c r="F110" s="101"/>
      <c r="G110" s="76"/>
      <c r="H110" s="78"/>
      <c r="I110" s="88" t="s">
        <v>100</v>
      </c>
      <c r="J110" s="78" t="str">
        <v/>
      </c>
      <c r="K110" s="85"/>
      <c r="L110" s="86"/>
      <c r="M110" s="86"/>
      <c r="N110" s="86"/>
    </row>
    <row r="111" spans="1:14" s="87" customFormat="1" ht="18.95" customHeight="1">
      <c r="A111" s="66" t="str">
        <v/>
      </c>
      <c r="B111" s="69" t="str">
        <v/>
      </c>
      <c r="C111" s="76"/>
      <c r="D111" s="77"/>
      <c r="E111" s="100"/>
      <c r="F111" s="101"/>
      <c r="G111" s="76"/>
      <c r="H111" s="78"/>
      <c r="I111" s="79" t="s">
        <v>101</v>
      </c>
      <c r="J111" s="80" t="str">
        <v/>
      </c>
      <c r="K111" s="85"/>
      <c r="L111" s="86"/>
      <c r="M111" s="86"/>
      <c r="N111" s="86"/>
    </row>
    <row r="112" spans="1:14" s="87" customFormat="1" ht="18.95" customHeight="1" thickBot="1">
      <c r="A112" s="67" t="str">
        <v/>
      </c>
      <c r="B112" s="70" t="str">
        <v/>
      </c>
      <c r="C112" s="89"/>
      <c r="D112" s="90"/>
      <c r="E112" s="102"/>
      <c r="F112" s="103"/>
      <c r="G112" s="91"/>
      <c r="H112" s="92"/>
      <c r="I112" s="93" t="s">
        <v>102</v>
      </c>
      <c r="J112" s="81" t="str">
        <v/>
      </c>
      <c r="K112" s="85"/>
      <c r="L112" s="86"/>
      <c r="M112" s="86"/>
      <c r="N112" s="86"/>
    </row>
    <row r="113" spans="1:10" ht="6" customHeight="1" thickBot="1">
      <c r="A113" s="94"/>
      <c r="B113" s="95"/>
      <c r="C113" s="95"/>
      <c r="D113" s="94"/>
      <c r="E113" s="95"/>
      <c r="F113" s="95"/>
      <c r="G113" s="95"/>
      <c r="H113" s="95"/>
    </row>
    <row r="114" spans="1:10" ht="6" customHeight="1" thickTop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</row>
  </sheetData>
  <mergeCells count="190">
    <mergeCell ref="F3:H4"/>
    <mergeCell ref="I4:I5"/>
    <mergeCell ref="J4:J5"/>
    <mergeCell ref="A5:A6"/>
    <mergeCell ref="B5:B6"/>
    <mergeCell ref="E5:E6"/>
    <mergeCell ref="F5:H6"/>
    <mergeCell ref="B1:D2"/>
    <mergeCell ref="A3:A4"/>
    <mergeCell ref="B3:B4"/>
    <mergeCell ref="C3:C4"/>
    <mergeCell ref="D3:D4"/>
    <mergeCell ref="E3:E4"/>
    <mergeCell ref="A12:C13"/>
    <mergeCell ref="G12:G13"/>
    <mergeCell ref="H12:H13"/>
    <mergeCell ref="I12:J13"/>
    <mergeCell ref="A15:J15"/>
    <mergeCell ref="C16:D16"/>
    <mergeCell ref="F16:H16"/>
    <mergeCell ref="I16:J16"/>
    <mergeCell ref="A7:A8"/>
    <mergeCell ref="B7:B8"/>
    <mergeCell ref="F7:G7"/>
    <mergeCell ref="F9:G9"/>
    <mergeCell ref="G10:G11"/>
    <mergeCell ref="H10:J11"/>
    <mergeCell ref="C20:D20"/>
    <mergeCell ref="F20:H20"/>
    <mergeCell ref="I20:J20"/>
    <mergeCell ref="C21:D21"/>
    <mergeCell ref="F21:H21"/>
    <mergeCell ref="I21:J21"/>
    <mergeCell ref="C18:D18"/>
    <mergeCell ref="F18:H18"/>
    <mergeCell ref="I18:J18"/>
    <mergeCell ref="C19:D19"/>
    <mergeCell ref="F19:H19"/>
    <mergeCell ref="I19:J19"/>
    <mergeCell ref="A25:B25"/>
    <mergeCell ref="C25:E25"/>
    <mergeCell ref="G25:H25"/>
    <mergeCell ref="I25:J25"/>
    <mergeCell ref="C26:D26"/>
    <mergeCell ref="F26:J26"/>
    <mergeCell ref="C22:D22"/>
    <mergeCell ref="F22:H22"/>
    <mergeCell ref="I22:J22"/>
    <mergeCell ref="C23:D23"/>
    <mergeCell ref="F23:H23"/>
    <mergeCell ref="I23:J23"/>
    <mergeCell ref="A30:B30"/>
    <mergeCell ref="C30:E30"/>
    <mergeCell ref="G30:H30"/>
    <mergeCell ref="I30:J30"/>
    <mergeCell ref="A31:B31"/>
    <mergeCell ref="C31:E31"/>
    <mergeCell ref="F31:J31"/>
    <mergeCell ref="A28:B28"/>
    <mergeCell ref="C28:E28"/>
    <mergeCell ref="G28:H28"/>
    <mergeCell ref="I28:J28"/>
    <mergeCell ref="A29:B29"/>
    <mergeCell ref="C29:E29"/>
    <mergeCell ref="F29:J29"/>
    <mergeCell ref="A34:B34"/>
    <mergeCell ref="C34:E34"/>
    <mergeCell ref="G34:H34"/>
    <mergeCell ref="I34:J34"/>
    <mergeCell ref="A35:B35"/>
    <mergeCell ref="C35:E35"/>
    <mergeCell ref="F35:J35"/>
    <mergeCell ref="A32:B32"/>
    <mergeCell ref="C32:E32"/>
    <mergeCell ref="G32:H32"/>
    <mergeCell ref="I32:J32"/>
    <mergeCell ref="A33:B33"/>
    <mergeCell ref="C33:E33"/>
    <mergeCell ref="F33:J33"/>
    <mergeCell ref="I38:J38"/>
    <mergeCell ref="A36:B36"/>
    <mergeCell ref="C36:E36"/>
    <mergeCell ref="G36:H36"/>
    <mergeCell ref="I36:J36"/>
    <mergeCell ref="A37:B37"/>
    <mergeCell ref="C37:E37"/>
    <mergeCell ref="F37:J37"/>
    <mergeCell ref="C38:D38"/>
    <mergeCell ref="C39:D40"/>
    <mergeCell ref="E39:E40"/>
    <mergeCell ref="C41:C42"/>
    <mergeCell ref="D41:F41"/>
    <mergeCell ref="D42:F42"/>
    <mergeCell ref="D43:F43"/>
    <mergeCell ref="I45:J45"/>
    <mergeCell ref="F60:H61"/>
    <mergeCell ref="I61:I62"/>
    <mergeCell ref="J61:J62"/>
    <mergeCell ref="A62:A63"/>
    <mergeCell ref="B62:B63"/>
    <mergeCell ref="E62:E63"/>
    <mergeCell ref="F62:H63"/>
    <mergeCell ref="B58:D59"/>
    <mergeCell ref="A60:A61"/>
    <mergeCell ref="B60:B61"/>
    <mergeCell ref="C60:C61"/>
    <mergeCell ref="D60:D61"/>
    <mergeCell ref="E60:E61"/>
    <mergeCell ref="A69:C70"/>
    <mergeCell ref="G69:G70"/>
    <mergeCell ref="H69:H70"/>
    <mergeCell ref="I69:J70"/>
    <mergeCell ref="A72:J72"/>
    <mergeCell ref="C73:D73"/>
    <mergeCell ref="F73:H73"/>
    <mergeCell ref="I73:J73"/>
    <mergeCell ref="A64:A65"/>
    <mergeCell ref="B64:B65"/>
    <mergeCell ref="F64:G64"/>
    <mergeCell ref="F66:G66"/>
    <mergeCell ref="G67:G68"/>
    <mergeCell ref="H67:J68"/>
    <mergeCell ref="C77:D77"/>
    <mergeCell ref="F77:H77"/>
    <mergeCell ref="I77:J77"/>
    <mergeCell ref="C78:D78"/>
    <mergeCell ref="F78:H78"/>
    <mergeCell ref="I78:J78"/>
    <mergeCell ref="C75:D75"/>
    <mergeCell ref="F75:H75"/>
    <mergeCell ref="I75:J75"/>
    <mergeCell ref="C76:D76"/>
    <mergeCell ref="F76:H76"/>
    <mergeCell ref="I76:J76"/>
    <mergeCell ref="A82:B82"/>
    <mergeCell ref="C82:E82"/>
    <mergeCell ref="G82:H82"/>
    <mergeCell ref="I82:J82"/>
    <mergeCell ref="C83:D83"/>
    <mergeCell ref="F83:J83"/>
    <mergeCell ref="C79:D79"/>
    <mergeCell ref="F79:H79"/>
    <mergeCell ref="I79:J79"/>
    <mergeCell ref="C80:D80"/>
    <mergeCell ref="F80:H80"/>
    <mergeCell ref="I80:J80"/>
    <mergeCell ref="A87:B87"/>
    <mergeCell ref="C87:E87"/>
    <mergeCell ref="G87:H87"/>
    <mergeCell ref="I87:J87"/>
    <mergeCell ref="A88:B88"/>
    <mergeCell ref="C88:E88"/>
    <mergeCell ref="F88:J88"/>
    <mergeCell ref="A85:B85"/>
    <mergeCell ref="C85:E85"/>
    <mergeCell ref="G85:H85"/>
    <mergeCell ref="I85:J85"/>
    <mergeCell ref="A86:B86"/>
    <mergeCell ref="C86:E86"/>
    <mergeCell ref="F86:J86"/>
    <mergeCell ref="A91:B91"/>
    <mergeCell ref="C91:E91"/>
    <mergeCell ref="G91:H91"/>
    <mergeCell ref="I91:J91"/>
    <mergeCell ref="A92:B92"/>
    <mergeCell ref="C92:E92"/>
    <mergeCell ref="F92:J92"/>
    <mergeCell ref="A89:B89"/>
    <mergeCell ref="C89:E89"/>
    <mergeCell ref="G89:H89"/>
    <mergeCell ref="I89:J89"/>
    <mergeCell ref="A90:B90"/>
    <mergeCell ref="C90:E90"/>
    <mergeCell ref="F90:J90"/>
    <mergeCell ref="C96:D97"/>
    <mergeCell ref="E96:E97"/>
    <mergeCell ref="C98:C99"/>
    <mergeCell ref="D98:F98"/>
    <mergeCell ref="D99:F99"/>
    <mergeCell ref="D100:F100"/>
    <mergeCell ref="I102:J102"/>
    <mergeCell ref="I95:J95"/>
    <mergeCell ref="A93:B93"/>
    <mergeCell ref="C93:E93"/>
    <mergeCell ref="G93:H93"/>
    <mergeCell ref="I93:J93"/>
    <mergeCell ref="A94:B94"/>
    <mergeCell ref="C94:E94"/>
    <mergeCell ref="F94:J94"/>
    <mergeCell ref="C95:D95"/>
  </mergeCells>
  <phoneticPr fontId="2"/>
  <conditionalFormatting sqref="A102:B112 D102:E102 C103:E112">
    <cfRule type="cellIs" dxfId="3" priority="4" operator="between">
      <formula>0</formula>
      <formula>0</formula>
    </cfRule>
  </conditionalFormatting>
  <conditionalFormatting sqref="A112:H112">
    <cfRule type="expression" dxfId="2" priority="3">
      <formula>ISNUMBER(SEARCH("灯具",$F60))</formula>
    </cfRule>
  </conditionalFormatting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1" manualBreakCount="1"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上瀬 隆司</dc:creator>
  <cp:lastModifiedBy>鉄平 富田</cp:lastModifiedBy>
  <cp:lastPrinted>2026-03-10T22:53:13Z</cp:lastPrinted>
  <dcterms:created xsi:type="dcterms:W3CDTF">2026-03-05T02:43:53Z</dcterms:created>
  <dcterms:modified xsi:type="dcterms:W3CDTF">2026-04-28T05:40:47Z</dcterms:modified>
</cp:coreProperties>
</file>