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A1548031-87A7-4C62-A463-E6A139D409CE}" xr6:coauthVersionLast="47" xr6:coauthVersionMax="47" xr10:uidLastSave="{5BA4949B-9A14-4261-A9A9-21B09833D632}"/>
  <bookViews>
    <workbookView xWindow="-120" yWindow="-120" windowWidth="29040" windowHeight="15720" xr2:uid="{1D39C9F1-AE37-499C-B448-484280E0D0BE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72" i="1" a="1"/>
  <c r="J1072" i="1" s="1"/>
  <c r="B1071" i="1" a="1"/>
  <c r="B1071" i="1" s="1"/>
  <c r="A1071" i="1" a="1"/>
  <c r="A1071" i="1" s="1"/>
  <c r="D1069" i="1"/>
  <c r="B1069" i="1"/>
  <c r="A1069" i="1"/>
  <c r="D1068" i="1"/>
  <c r="D1067" i="1"/>
  <c r="B1067" i="1"/>
  <c r="A1067" i="1"/>
  <c r="F1066" i="1" a="1"/>
  <c r="F1066" i="1" s="1"/>
  <c r="J1065" i="1" a="1"/>
  <c r="J1065" i="1" s="1"/>
  <c r="G1065" i="1" a="1"/>
  <c r="G1065" i="1" s="1"/>
  <c r="F1065" i="1" a="1"/>
  <c r="F1065" i="1" s="1"/>
  <c r="E1065" i="1" a="1"/>
  <c r="E1065" i="1" s="1"/>
  <c r="C1065" i="1"/>
  <c r="B1065" i="1"/>
  <c r="A1065" i="1"/>
  <c r="J502" i="1" a="1"/>
  <c r="J502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559" i="1" a="1"/>
  <c r="J559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274" i="1" a="1"/>
  <c r="J274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1243" i="1" a="1"/>
  <c r="J1243" i="1" s="1"/>
  <c r="B1242" i="1" a="1"/>
  <c r="B1242" i="1" s="1"/>
  <c r="A1242" i="1" a="1"/>
  <c r="A1242" i="1" s="1"/>
  <c r="D1240" i="1"/>
  <c r="B1240" i="1"/>
  <c r="A1240" i="1"/>
  <c r="D1239" i="1"/>
  <c r="D1238" i="1"/>
  <c r="B1238" i="1"/>
  <c r="A1238" i="1"/>
  <c r="F1237" i="1" a="1"/>
  <c r="F1237" i="1" s="1"/>
  <c r="J1236" i="1" a="1"/>
  <c r="J1236" i="1" s="1"/>
  <c r="G1236" i="1" a="1"/>
  <c r="G1236" i="1" s="1"/>
  <c r="F1236" i="1" a="1"/>
  <c r="F1236" i="1" s="1"/>
  <c r="E1236" i="1" a="1"/>
  <c r="E1236" i="1" s="1"/>
  <c r="C1236" i="1"/>
  <c r="B1236" i="1"/>
  <c r="A1236" i="1"/>
  <c r="J1186" i="1" a="1"/>
  <c r="J1186" i="1" s="1"/>
  <c r="B1185" i="1" a="1"/>
  <c r="B1185" i="1" s="1"/>
  <c r="A1185" i="1" a="1"/>
  <c r="A1185" i="1" s="1"/>
  <c r="D1183" i="1"/>
  <c r="B1183" i="1"/>
  <c r="A1183" i="1"/>
  <c r="D1182" i="1"/>
  <c r="D1181" i="1"/>
  <c r="B1181" i="1"/>
  <c r="A1181" i="1"/>
  <c r="F1180" i="1" a="1"/>
  <c r="F1180" i="1" s="1"/>
  <c r="J1179" i="1" a="1"/>
  <c r="J1179" i="1" s="1"/>
  <c r="G1179" i="1" a="1"/>
  <c r="G1179" i="1" s="1"/>
  <c r="F1179" i="1" a="1"/>
  <c r="F1179" i="1" s="1"/>
  <c r="E1179" i="1" a="1"/>
  <c r="E1179" i="1" s="1"/>
  <c r="C1179" i="1"/>
  <c r="B1179" i="1"/>
  <c r="A1179" i="1"/>
  <c r="J1129" i="1" a="1"/>
  <c r="J1129" i="1" s="1"/>
  <c r="B1128" i="1" a="1"/>
  <c r="B1128" i="1" s="1"/>
  <c r="A1128" i="1" a="1"/>
  <c r="A1128" i="1" s="1"/>
  <c r="D1126" i="1"/>
  <c r="B1126" i="1"/>
  <c r="A1126" i="1"/>
  <c r="D1125" i="1"/>
  <c r="D1124" i="1"/>
  <c r="B1124" i="1"/>
  <c r="A1124" i="1"/>
  <c r="F1123" i="1" a="1"/>
  <c r="F1123" i="1" s="1"/>
  <c r="J1122" i="1" a="1"/>
  <c r="J1122" i="1" s="1"/>
  <c r="G1122" i="1" a="1"/>
  <c r="G1122" i="1" s="1"/>
  <c r="F1122" i="1" a="1"/>
  <c r="F1122" i="1" s="1"/>
  <c r="E1122" i="1" a="1"/>
  <c r="E1122" i="1" s="1"/>
  <c r="C1122" i="1"/>
  <c r="B1122" i="1"/>
  <c r="A1122" i="1"/>
  <c r="J844" i="1" a="1"/>
  <c r="J844" i="1" s="1"/>
  <c r="B843" i="1" a="1"/>
  <c r="B843" i="1" s="1"/>
  <c r="A843" i="1" a="1"/>
  <c r="A843" i="1" s="1"/>
  <c r="D841" i="1"/>
  <c r="B841" i="1"/>
  <c r="A841" i="1"/>
  <c r="D840" i="1"/>
  <c r="D839" i="1"/>
  <c r="B839" i="1"/>
  <c r="A839" i="1"/>
  <c r="F838" i="1" a="1"/>
  <c r="F838" i="1" s="1"/>
  <c r="J837" i="1" a="1"/>
  <c r="J837" i="1" s="1"/>
  <c r="G837" i="1" a="1"/>
  <c r="G837" i="1" s="1"/>
  <c r="F837" i="1" a="1"/>
  <c r="F837" i="1" s="1"/>
  <c r="E837" i="1" a="1"/>
  <c r="E837" i="1" s="1"/>
  <c r="C837" i="1"/>
  <c r="B837" i="1"/>
  <c r="A837" i="1"/>
  <c r="J787" i="1" a="1"/>
  <c r="J787" i="1" s="1"/>
  <c r="B786" i="1" a="1"/>
  <c r="B786" i="1" s="1"/>
  <c r="A786" i="1" a="1"/>
  <c r="A786" i="1" s="1"/>
  <c r="D784" i="1"/>
  <c r="B784" i="1"/>
  <c r="A784" i="1"/>
  <c r="D783" i="1"/>
  <c r="D782" i="1"/>
  <c r="B782" i="1"/>
  <c r="A782" i="1"/>
  <c r="F781" i="1" a="1"/>
  <c r="F781" i="1" s="1"/>
  <c r="J780" i="1" a="1"/>
  <c r="J780" i="1" s="1"/>
  <c r="G780" i="1" a="1"/>
  <c r="G780" i="1" s="1"/>
  <c r="F780" i="1" a="1"/>
  <c r="F780" i="1" s="1"/>
  <c r="E780" i="1" a="1"/>
  <c r="E780" i="1" s="1"/>
  <c r="C780" i="1"/>
  <c r="B780" i="1"/>
  <c r="A780" i="1"/>
  <c r="J730" i="1" a="1"/>
  <c r="J730" i="1" s="1"/>
  <c r="B729" i="1" a="1"/>
  <c r="B729" i="1" s="1"/>
  <c r="A729" i="1" a="1"/>
  <c r="A729" i="1" s="1"/>
  <c r="D727" i="1"/>
  <c r="B727" i="1"/>
  <c r="A727" i="1"/>
  <c r="D726" i="1"/>
  <c r="D725" i="1"/>
  <c r="B725" i="1"/>
  <c r="A725" i="1"/>
  <c r="F724" i="1" a="1"/>
  <c r="F724" i="1" s="1"/>
  <c r="J723" i="1" a="1"/>
  <c r="J723" i="1" s="1"/>
  <c r="G723" i="1" a="1"/>
  <c r="G723" i="1" s="1"/>
  <c r="F723" i="1" a="1"/>
  <c r="F723" i="1" s="1"/>
  <c r="E723" i="1" a="1"/>
  <c r="E723" i="1" s="1"/>
  <c r="C723" i="1"/>
  <c r="B723" i="1"/>
  <c r="A723" i="1"/>
  <c r="J673" i="1" a="1"/>
  <c r="J673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616" i="1" a="1"/>
  <c r="J616" i="1" s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E609" i="1" a="1"/>
  <c r="E609" i="1" s="1"/>
  <c r="C609" i="1"/>
  <c r="B609" i="1"/>
  <c r="A609" i="1"/>
  <c r="J388" i="1" a="1"/>
  <c r="J388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A330" i="1"/>
  <c r="A330" i="1" a="1"/>
  <c r="D328" i="1"/>
  <c r="B328" i="1"/>
  <c r="A328" i="1"/>
  <c r="D327" i="1"/>
  <c r="D326" i="1"/>
  <c r="B326" i="1"/>
  <c r="A326" i="1"/>
  <c r="C324" i="1"/>
  <c r="B324" i="1"/>
  <c r="A324" i="1"/>
  <c r="J901" i="1"/>
  <c r="J901" i="1" a="1"/>
  <c r="B900" i="1" a="1"/>
  <c r="B900" i="1" s="1"/>
  <c r="A900" i="1" a="1"/>
  <c r="A900" i="1" s="1"/>
  <c r="D898" i="1"/>
  <c r="B898" i="1"/>
  <c r="A898" i="1"/>
  <c r="D897" i="1"/>
  <c r="D896" i="1"/>
  <c r="B896" i="1"/>
  <c r="A896" i="1"/>
  <c r="F895" i="1" a="1"/>
  <c r="F895" i="1" s="1"/>
  <c r="J894" i="1" a="1"/>
  <c r="J894" i="1" s="1"/>
  <c r="G894" i="1" a="1"/>
  <c r="G894" i="1" s="1"/>
  <c r="F894" i="1" a="1"/>
  <c r="F894" i="1" s="1"/>
  <c r="E894" i="1" a="1"/>
  <c r="E894" i="1" s="1"/>
  <c r="C894" i="1"/>
  <c r="B894" i="1"/>
  <c r="A894" i="1"/>
  <c r="J958" i="1" a="1"/>
  <c r="J958" i="1" s="1"/>
  <c r="B957" i="1" a="1"/>
  <c r="B957" i="1" s="1"/>
  <c r="A957" i="1" a="1"/>
  <c r="A957" i="1" s="1"/>
  <c r="D955" i="1"/>
  <c r="B955" i="1"/>
  <c r="A955" i="1"/>
  <c r="D954" i="1"/>
  <c r="D953" i="1"/>
  <c r="B953" i="1"/>
  <c r="A953" i="1"/>
  <c r="F952" i="1" a="1"/>
  <c r="F952" i="1" s="1"/>
  <c r="J951" i="1" a="1"/>
  <c r="J951" i="1" s="1"/>
  <c r="G951" i="1" a="1"/>
  <c r="G951" i="1" s="1"/>
  <c r="F951" i="1" a="1"/>
  <c r="F951" i="1" s="1"/>
  <c r="E951" i="1" a="1"/>
  <c r="E951" i="1" s="1"/>
  <c r="C951" i="1"/>
  <c r="B951" i="1"/>
  <c r="A951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414" i="1" a="1"/>
  <c r="J1414" i="1" s="1"/>
  <c r="B1413" i="1" a="1"/>
  <c r="B1413" i="1" s="1"/>
  <c r="A1413" i="1" a="1"/>
  <c r="A1413" i="1" s="1"/>
  <c r="D1411" i="1"/>
  <c r="B1411" i="1"/>
  <c r="A1411" i="1"/>
  <c r="D1410" i="1"/>
  <c r="D1409" i="1"/>
  <c r="B1409" i="1"/>
  <c r="A1409" i="1"/>
  <c r="F1408" i="1" a="1"/>
  <c r="F1408" i="1" s="1"/>
  <c r="J1407" i="1" a="1"/>
  <c r="J1407" i="1" s="1"/>
  <c r="G1407" i="1" a="1"/>
  <c r="G1407" i="1" s="1"/>
  <c r="F1407" i="1" a="1"/>
  <c r="F1407" i="1" s="1"/>
  <c r="E1407" i="1" a="1"/>
  <c r="E1407" i="1" s="1"/>
  <c r="C1407" i="1"/>
  <c r="B1407" i="1"/>
  <c r="A1407" i="1"/>
  <c r="J1357" i="1" a="1"/>
  <c r="J1357" i="1" s="1"/>
  <c r="B1356" i="1" a="1"/>
  <c r="B1356" i="1" s="1"/>
  <c r="A1356" i="1" a="1"/>
  <c r="A1356" i="1" s="1"/>
  <c r="D1354" i="1"/>
  <c r="B1354" i="1"/>
  <c r="A1354" i="1"/>
  <c r="D1353" i="1"/>
  <c r="D1352" i="1"/>
  <c r="B1352" i="1"/>
  <c r="A1352" i="1"/>
  <c r="F1351" i="1" a="1"/>
  <c r="F1351" i="1" s="1"/>
  <c r="J1350" i="1" a="1"/>
  <c r="J1350" i="1" s="1"/>
  <c r="G1350" i="1" a="1"/>
  <c r="G1350" i="1" s="1"/>
  <c r="F1350" i="1" a="1"/>
  <c r="F1350" i="1" s="1"/>
  <c r="E1350" i="1" a="1"/>
  <c r="E1350" i="1" s="1"/>
  <c r="C1350" i="1"/>
  <c r="B1350" i="1"/>
  <c r="A1350" i="1"/>
  <c r="J1300" i="1" a="1"/>
  <c r="J1300" i="1" s="1"/>
  <c r="B1299" i="1" a="1"/>
  <c r="B1299" i="1" s="1"/>
  <c r="A1299" i="1" a="1"/>
  <c r="A1299" i="1" s="1"/>
  <c r="D1297" i="1"/>
  <c r="B1297" i="1"/>
  <c r="A1297" i="1"/>
  <c r="D1296" i="1"/>
  <c r="D1295" i="1"/>
  <c r="B1295" i="1"/>
  <c r="A1295" i="1"/>
  <c r="F1294" i="1" a="1"/>
  <c r="F1294" i="1" s="1"/>
  <c r="J1293" i="1" a="1"/>
  <c r="J1293" i="1" s="1"/>
  <c r="G1293" i="1" a="1"/>
  <c r="G1293" i="1" s="1"/>
  <c r="F1293" i="1" a="1"/>
  <c r="F1293" i="1" s="1"/>
  <c r="E1293" i="1" a="1"/>
  <c r="E1293" i="1" s="1"/>
  <c r="C1293" i="1"/>
  <c r="B1293" i="1"/>
  <c r="A1293" i="1"/>
  <c r="J1015" i="1" a="1"/>
  <c r="J1015" i="1" s="1"/>
  <c r="B1014" i="1" a="1"/>
  <c r="B1014" i="1" s="1"/>
  <c r="A1014" i="1" a="1"/>
  <c r="A1014" i="1" s="1"/>
  <c r="D1012" i="1"/>
  <c r="B1012" i="1"/>
  <c r="A1012" i="1"/>
  <c r="D1011" i="1"/>
  <c r="D1010" i="1"/>
  <c r="B1010" i="1"/>
  <c r="A1010" i="1"/>
  <c r="F1009" i="1" a="1"/>
  <c r="F1009" i="1" s="1"/>
  <c r="J1008" i="1" a="1"/>
  <c r="J1008" i="1" s="1"/>
  <c r="G1008" i="1" a="1"/>
  <c r="G1008" i="1" s="1"/>
  <c r="F1008" i="1" a="1"/>
  <c r="F1008" i="1" s="1"/>
  <c r="E1008" i="1" a="1"/>
  <c r="E1008" i="1" s="1"/>
  <c r="C1008" i="1"/>
  <c r="B1008" i="1"/>
  <c r="A1008" i="1"/>
  <c r="J445" i="1" a="1"/>
  <c r="J445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F44" i="1" l="1" a="1"/>
  <c r="F44" i="1" s="1"/>
  <c r="B44" i="1" a="1"/>
  <c r="B44" i="1" s="1"/>
  <c r="F1070" i="1" a="1"/>
  <c r="F1070" i="1" s="1"/>
  <c r="B1070" i="1" a="1"/>
  <c r="B1070" i="1" s="1"/>
  <c r="F215" i="1" a="1"/>
  <c r="F215" i="1" s="1"/>
  <c r="B215" i="1" a="1"/>
  <c r="B215" i="1" s="1"/>
  <c r="F500" i="1" a="1"/>
  <c r="F500" i="1" s="1"/>
  <c r="B500" i="1" a="1"/>
  <c r="B500" i="1" s="1"/>
  <c r="F272" i="1" a="1"/>
  <c r="F272" i="1" s="1"/>
  <c r="B272" i="1" a="1"/>
  <c r="B272" i="1" s="1"/>
  <c r="F101" i="1" a="1"/>
  <c r="F101" i="1" s="1"/>
  <c r="B101" i="1" a="1"/>
  <c r="B101" i="1" s="1"/>
  <c r="F557" i="1" a="1"/>
  <c r="F557" i="1" s="1"/>
  <c r="B557" i="1" a="1"/>
  <c r="B557" i="1" s="1"/>
  <c r="F386" i="1" a="1"/>
  <c r="F386" i="1" s="1"/>
  <c r="B386" i="1" a="1"/>
  <c r="B386" i="1" s="1"/>
  <c r="F1184" i="1" a="1"/>
  <c r="F1184" i="1" s="1"/>
  <c r="B1184" i="1" a="1"/>
  <c r="B1184" i="1" s="1"/>
  <c r="F728" i="1" a="1"/>
  <c r="F728" i="1" s="1"/>
  <c r="B728" i="1" a="1"/>
  <c r="B728" i="1" s="1"/>
  <c r="F1127" i="1" a="1"/>
  <c r="F1127" i="1" s="1"/>
  <c r="B1127" i="1" a="1"/>
  <c r="B1127" i="1" s="1"/>
  <c r="F899" i="1" a="1"/>
  <c r="F899" i="1" s="1"/>
  <c r="B899" i="1" a="1"/>
  <c r="B899" i="1" s="1"/>
  <c r="F671" i="1" a="1"/>
  <c r="F671" i="1" s="1"/>
  <c r="B671" i="1" a="1"/>
  <c r="B671" i="1" s="1"/>
  <c r="F842" i="1" a="1"/>
  <c r="F842" i="1" s="1"/>
  <c r="B842" i="1" a="1"/>
  <c r="B842" i="1" s="1"/>
  <c r="F785" i="1" a="1"/>
  <c r="F785" i="1" s="1"/>
  <c r="B785" i="1" a="1"/>
  <c r="B785" i="1" s="1"/>
  <c r="F1241" i="1" a="1"/>
  <c r="F1241" i="1" s="1"/>
  <c r="B1241" i="1" a="1"/>
  <c r="B1241" i="1" s="1"/>
  <c r="F614" i="1" a="1"/>
  <c r="F614" i="1" s="1"/>
  <c r="B614" i="1" a="1"/>
  <c r="B614" i="1" s="1"/>
  <c r="F956" i="1" a="1"/>
  <c r="F956" i="1" s="1"/>
  <c r="B956" i="1" a="1"/>
  <c r="B956" i="1" s="1"/>
  <c r="F158" i="1" a="1"/>
  <c r="F158" i="1" s="1"/>
  <c r="B158" i="1" a="1"/>
  <c r="B158" i="1" s="1"/>
  <c r="B443" i="1" a="1"/>
  <c r="B443" i="1" s="1"/>
  <c r="F443" i="1" a="1"/>
  <c r="F443" i="1" s="1"/>
  <c r="F1355" i="1" a="1"/>
  <c r="F1355" i="1" s="1"/>
  <c r="B1355" i="1" a="1"/>
  <c r="B1355" i="1" s="1"/>
  <c r="F1298" i="1" a="1"/>
  <c r="F1298" i="1" s="1"/>
  <c r="B1298" i="1" a="1"/>
  <c r="B1298" i="1" s="1"/>
  <c r="F1013" i="1" a="1"/>
  <c r="F1013" i="1" s="1"/>
  <c r="B1013" i="1" a="1"/>
  <c r="B1013" i="1" s="1"/>
  <c r="F1412" i="1" a="1"/>
  <c r="F1412" i="1" s="1"/>
  <c r="B1412" i="1" a="1"/>
  <c r="B1412" i="1" s="1"/>
  <c r="J331" i="1" l="1" a="1"/>
  <c r="J331" i="1" s="1"/>
  <c r="F325" i="1" l="1" a="1"/>
  <c r="F325" i="1" s="1"/>
  <c r="G324" i="1" a="1"/>
  <c r="G324" i="1" s="1"/>
  <c r="F324" i="1" a="1"/>
  <c r="F324" i="1" s="1"/>
  <c r="B330" i="1" a="1"/>
  <c r="B330" i="1" s="1"/>
  <c r="B329" i="1" l="1" a="1"/>
  <c r="B329" i="1" s="1"/>
  <c r="F329" i="1" a="1"/>
  <c r="F329" i="1" s="1"/>
  <c r="J324" i="1" l="1" a="1"/>
  <c r="J324" i="1" s="1"/>
  <c r="E324" i="1" l="1" a="1"/>
  <c r="E3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<sst xmlns="http://schemas.openxmlformats.org/spreadsheetml/2006/main" count="2625" uniqueCount="181">
  <si>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</si>
  <si>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</si>
  <si>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</si>
  <si>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</si>
  <si>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</si>
  <si>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</si>
  <si>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</si>
  <si>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</si>
  <si>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</si>
  <si>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000000000013157</t>
  </si>
  <si>
    <t>原料名</t>
  </si>
  <si>
    <t>(CASE 297MILK-W4)</t>
  </si>
  <si>
    <t>発注明細№</t>
  </si>
  <si>
    <t>000000000842336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</si>
  <si>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</si>
  <si>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</si>
  <si>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</si>
  <si>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</si>
  <si>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</si>
  <si>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</si>
  <si>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</si>
  <si>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</si>
  <si>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</si>
  <si>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</si>
  <si>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</si>
  <si>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</si>
  <si>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</si>
  <si>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</si>
  <si>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</si>
  <si>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</si>
  <si>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</si>
  <si>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</si>
  <si>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</si>
  <si>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</si>
  <si>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</si>
  <si>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</si>
  <si>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</si>
  <si>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</si>
  <si>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</si>
  <si>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</si>
  <si>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</si>
  <si>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</si>
  <si>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</si>
  <si>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</si>
  <si>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</si>
  <si>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</si>
  <si>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</si>
  <si>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</si>
  <si>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</si>
  <si>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</si>
  <si>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</si>
  <si>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</si>
  <si>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</si>
  <si>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</si>
  <si>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</si>
  <si>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</si>
  <si>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</si>
  <si>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</si>
  <si>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</si>
  <si>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</si>
  <si>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</si>
  <si>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</si>
  <si>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</si>
  <si>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</si>
  <si>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000000000013158</t>
  </si>
  <si>
    <t>000000000842337</t>
  </si>
  <si>
    <t>000000000013159</t>
  </si>
  <si>
    <t>000000000842338</t>
  </si>
  <si>
    <t>J1JAZZB10805920</t>
  </si>
  <si>
    <t>8FL2813044910</t>
  </si>
  <si>
    <t>000000000013160</t>
  </si>
  <si>
    <t>(CASE 592MILK-W4)</t>
  </si>
  <si>
    <t>000000000842339</t>
  </si>
  <si>
    <t>*J1JAZZB10805920*</t>
  </si>
  <si>
    <t>J6DW0088</t>
  </si>
  <si>
    <t>LED-A592　602X275X166</t>
  </si>
  <si>
    <t>*J6DW0088*</t>
  </si>
  <si>
    <t>L592×W275×H166</t>
  </si>
  <si>
    <t>000000000013161</t>
  </si>
  <si>
    <t>000000000842340</t>
  </si>
  <si>
    <t>000000000013162</t>
  </si>
  <si>
    <t>000000000842341</t>
  </si>
  <si>
    <t>J1JAZZB10807480</t>
  </si>
  <si>
    <t>8FL2813048310</t>
  </si>
  <si>
    <t>000000000013163</t>
  </si>
  <si>
    <t>(CASE 748MILK-W4)</t>
  </si>
  <si>
    <t>000000000842342</t>
  </si>
  <si>
    <t>*J1JAZZB10807480*</t>
  </si>
  <si>
    <t>J6DW0089</t>
  </si>
  <si>
    <t>LED-A888　898X275X166</t>
  </si>
  <si>
    <t>*J6DW0089*</t>
  </si>
  <si>
    <t>L888×W275×H166</t>
  </si>
  <si>
    <t>000000000013164</t>
  </si>
  <si>
    <t>000000000842343</t>
  </si>
  <si>
    <t>J1JAZZB10808880</t>
  </si>
  <si>
    <t>8FL2813045010</t>
  </si>
  <si>
    <t>000000000013165</t>
  </si>
  <si>
    <t>(CASE 888MILK-W4)</t>
  </si>
  <si>
    <t>000000000842344</t>
  </si>
  <si>
    <t>*J1JAZZB10808880*</t>
  </si>
  <si>
    <t>J6XX0044</t>
  </si>
  <si>
    <t>*J6XX0044*</t>
  </si>
  <si>
    <t>400＊900</t>
  </si>
  <si>
    <t>000000000013166</t>
  </si>
  <si>
    <t>000000000842345</t>
  </si>
  <si>
    <t>000000000013167</t>
  </si>
  <si>
    <t>000000000842346</t>
  </si>
  <si>
    <t>000000000013168</t>
  </si>
  <si>
    <t>000000000842347</t>
  </si>
  <si>
    <t>000000000013169</t>
  </si>
  <si>
    <t>000000000842348</t>
  </si>
  <si>
    <t>000000000013170</t>
  </si>
  <si>
    <t>000000000842349</t>
  </si>
  <si>
    <t>000000000013171</t>
  </si>
  <si>
    <t>000000000842350</t>
  </si>
  <si>
    <t>000000000013172</t>
  </si>
  <si>
    <t>000000000842351</t>
  </si>
  <si>
    <t>000000000013173</t>
  </si>
  <si>
    <t>000000000842352</t>
  </si>
  <si>
    <t>000000000013174</t>
  </si>
  <si>
    <t>000000000842353</t>
  </si>
  <si>
    <t>J1JAZZB10814780</t>
  </si>
  <si>
    <t>8FL2813046110</t>
  </si>
  <si>
    <t>000000000013175</t>
  </si>
  <si>
    <t>(CASE 1478MILK-W4)</t>
  </si>
  <si>
    <t>000000000842354</t>
  </si>
  <si>
    <t>*J1JAZZB10814780*</t>
  </si>
  <si>
    <t>J6DW0092</t>
  </si>
  <si>
    <t>LED-A1478　1488X275X166</t>
  </si>
  <si>
    <t>*J6DW0092*</t>
  </si>
  <si>
    <t>L1478×W275×H166</t>
  </si>
  <si>
    <t>000000000013176</t>
  </si>
  <si>
    <t>000000000842355</t>
  </si>
  <si>
    <t>000000000013177</t>
  </si>
  <si>
    <t>000000000842356</t>
  </si>
  <si>
    <t>000000000013178</t>
  </si>
  <si>
    <t>000000000842357</t>
  </si>
  <si>
    <t>000000000013179</t>
  </si>
  <si>
    <t>000000000842358</t>
  </si>
  <si>
    <t>000000000013180</t>
  </si>
  <si>
    <t>000000000842359</t>
  </si>
  <si>
    <t>000000000013181</t>
  </si>
  <si>
    <t>000000000842360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</si>
  <si>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</si>
  <si>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</si>
  <si>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</si>
  <si>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</si>
  <si>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</si>
  <si>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</si>
  <si>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</si>
  <si>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</si>
  <si>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</si>
  <si>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</si>
  <si>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</si>
  <si>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</si>
  <si>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</si>
  <si>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</si>
  <si>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</si>
  <si>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</si>
  <si>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</si>
  <si>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</si>
  <si>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</si>
  <si>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</si>
  <si>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</si>
  <si>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</si>
  <si>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</si>
  <si>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</si>
  <si>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</si>
  <si>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</si>
  <si>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</si>
  <si>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</si>
  <si>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</si>
  <si>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</si>
  <si>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</si>
  <si>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</si>
  <si>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</si>
  <si>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</si>
  <si>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</si>
  <si>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</si>
  <si>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</si>
  <si>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製造指図№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</si>
</sst>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.0_ "/>
    <numFmt numFmtId="177" formatCode="[$-F800]dddd\,\ mmmm\ dd\,\ yyyy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72"/>
      <name val="K's BarCodeFont Code39"/>
      <family val="2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36"/>
      <name val="K's BarCodeFont Code39"/>
      <family val="2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1" fillId="2" borderId="0" applyNumberFormat="0" applyBorder="0" applyAlignment="0" applyProtection="0">
      <alignment vertical="center"/>
    </xf>
    <xf numFmtId="0" fontId="1" fillId="0" borderId="0"/>
  </cellStyleXfs>
  <cellXfs count="155">
    <xf numFmtId="0" fontId="0" fillId="0" borderId="0" xfId="0">
      <alignment vertical="center"/>
    </xf>
    <xf numFmtId="49" fontId="1" fillId="0" borderId="0" xfId="1" applyNumberFormat="1" applyAlignment="1">
      <alignment horizontal="center" vertical="center" shrinkToFit="1"/>
    </xf>
    <xf numFmtId="49" fontId="1" fillId="0" borderId="0" xfId="1" applyNumberFormat="1" applyAlignment="1">
      <alignment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49" fontId="5" fillId="0" borderId="0" xfId="1" applyNumberFormat="1" applyFont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177" fontId="5" fillId="0" borderId="0" xfId="1" applyNumberFormat="1" applyFont="1" applyAlignment="1">
      <alignment horizontal="left" vertical="center" shrinkToFit="1"/>
    </xf>
    <xf numFmtId="49" fontId="6" fillId="0" borderId="0" xfId="1" applyNumberFormat="1" applyFont="1" applyAlignment="1">
      <alignment horizontal="center"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7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right" vertical="center" shrinkToFit="1"/>
    </xf>
    <xf numFmtId="0" fontId="1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 applyAlignment="1"/>
    <xf numFmtId="49" fontId="1" fillId="0" borderId="13" xfId="1" applyNumberFormat="1" applyBorder="1" applyAlignment="1">
      <alignment vertical="center" shrinkToFit="1"/>
    </xf>
    <xf numFmtId="49" fontId="1" fillId="0" borderId="15" xfId="1" applyNumberFormat="1" applyBorder="1" applyAlignment="1">
      <alignment vertical="center" shrinkToFit="1"/>
    </xf>
    <xf numFmtId="49" fontId="8" fillId="0" borderId="10" xfId="1" applyNumberFormat="1" applyFon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0" fontId="12" fillId="3" borderId="16" xfId="0" applyFont="1" applyFill="1" applyBorder="1" applyAlignment="1">
      <alignment horizontal="center" vertical="center"/>
    </xf>
    <xf numFmtId="49" fontId="13" fillId="3" borderId="16" xfId="1" applyNumberFormat="1" applyFont="1" applyFill="1" applyBorder="1" applyAlignment="1">
      <alignment horizontal="center" vertical="center" shrinkToFit="1"/>
    </xf>
    <xf numFmtId="0" fontId="14" fillId="4" borderId="18" xfId="0" applyFont="1" applyFill="1" applyBorder="1" applyAlignment="1">
      <alignment horizontal="center" vertical="center"/>
    </xf>
    <xf numFmtId="49" fontId="15" fillId="4" borderId="19" xfId="1" applyNumberFormat="1" applyFont="1" applyFill="1" applyBorder="1" applyAlignment="1">
      <alignment horizontal="center" vertical="center" shrinkToFit="1"/>
    </xf>
    <xf numFmtId="49" fontId="16" fillId="5" borderId="20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/>
    </xf>
    <xf numFmtId="179" fontId="16" fillId="0" borderId="21" xfId="0" applyNumberFormat="1" applyFont="1" applyBorder="1" applyAlignment="1">
      <alignment horizontal="center" vertical="center"/>
    </xf>
    <xf numFmtId="182" fontId="17" fillId="0" borderId="23" xfId="1" applyNumberFormat="1" applyFont="1" applyBorder="1" applyAlignment="1">
      <alignment vertical="center" shrinkToFit="1"/>
    </xf>
    <xf numFmtId="183" fontId="19" fillId="0" borderId="24" xfId="1" applyNumberFormat="1" applyFont="1" applyBorder="1" applyAlignment="1">
      <alignment horizontal="center" vertical="center" shrinkToFit="1"/>
    </xf>
    <xf numFmtId="184" fontId="19" fillId="0" borderId="23" xfId="1" applyNumberFormat="1" applyFont="1" applyBorder="1" applyAlignment="1">
      <alignment horizontal="center" vertical="center" shrinkToFit="1"/>
    </xf>
    <xf numFmtId="49" fontId="15" fillId="0" borderId="22" xfId="1" applyNumberFormat="1" applyFont="1" applyBorder="1" applyAlignment="1">
      <alignment horizontal="center" vertical="center" shrinkToFit="1"/>
    </xf>
    <xf numFmtId="185" fontId="15" fillId="0" borderId="23" xfId="1" applyNumberFormat="1" applyFont="1" applyBorder="1" applyAlignment="1">
      <alignment horizontal="center" vertical="center" shrinkToFit="1"/>
    </xf>
    <xf numFmtId="180" fontId="19" fillId="0" borderId="23" xfId="1" applyNumberFormat="1" applyFont="1" applyBorder="1" applyAlignment="1">
      <alignment horizontal="center" vertical="center" shrinkToFit="1"/>
    </xf>
    <xf numFmtId="180" fontId="19" fillId="0" borderId="25" xfId="1" applyNumberFormat="1" applyFont="1" applyBorder="1" applyAlignment="1">
      <alignment horizontal="center" vertical="center" shrinkToFit="1"/>
    </xf>
    <xf numFmtId="180" fontId="19" fillId="0" borderId="26" xfId="1" applyNumberFormat="1" applyFont="1" applyBorder="1" applyAlignment="1">
      <alignment horizontal="center" vertical="center" shrinkToFit="1"/>
    </xf>
    <xf numFmtId="49" fontId="20" fillId="3" borderId="21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186" fontId="17" fillId="0" borderId="23" xfId="1" applyNumberFormat="1" applyFont="1" applyBorder="1" applyAlignment="1">
      <alignment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6" fillId="0" borderId="21" xfId="0" applyFont="1" applyBorder="1" applyAlignment="1">
      <alignment horizontal="center" vertical="center"/>
    </xf>
    <xf numFmtId="187" fontId="16" fillId="0" borderId="21" xfId="0" applyNumberFormat="1" applyFont="1" applyBorder="1" applyAlignment="1">
      <alignment horizontal="center" vertical="center"/>
    </xf>
    <xf numFmtId="49" fontId="23" fillId="0" borderId="0" xfId="1" applyNumberFormat="1" applyFont="1" applyAlignment="1">
      <alignment horizontal="left" vertical="center" shrinkToFit="1"/>
    </xf>
    <xf numFmtId="49" fontId="20" fillId="3" borderId="21" xfId="1" applyNumberFormat="1" applyFont="1" applyFill="1" applyBorder="1" applyAlignment="1">
      <alignment horizontal="center" vertical="center" shrinkToFit="1"/>
    </xf>
    <xf numFmtId="49" fontId="13" fillId="3" borderId="21" xfId="1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 shrinkToFit="1"/>
    </xf>
    <xf numFmtId="49" fontId="22" fillId="5" borderId="28" xfId="1" applyNumberFormat="1" applyFont="1" applyFill="1" applyBorder="1" applyAlignment="1">
      <alignment horizontal="center" vertical="center" shrinkToFit="1"/>
    </xf>
    <xf numFmtId="183" fontId="19" fillId="0" borderId="30" xfId="1" applyNumberFormat="1" applyFont="1" applyBorder="1" applyAlignment="1">
      <alignment horizontal="center" vertical="center" shrinkToFit="1"/>
    </xf>
    <xf numFmtId="184" fontId="19" fillId="0" borderId="26" xfId="1" applyNumberFormat="1" applyFont="1" applyBorder="1" applyAlignment="1">
      <alignment horizontal="center" vertical="center" shrinkToFit="1"/>
    </xf>
    <xf numFmtId="0" fontId="25" fillId="7" borderId="16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49" fontId="25" fillId="7" borderId="4" xfId="1" applyNumberFormat="1" applyFont="1" applyFill="1" applyBorder="1" applyAlignment="1">
      <alignment horizontal="center" vertical="center" shrinkToFit="1"/>
    </xf>
    <xf numFmtId="49" fontId="25" fillId="7" borderId="4" xfId="0" applyNumberFormat="1" applyFont="1" applyFill="1" applyBorder="1" applyAlignment="1">
      <alignment horizontal="center" vertical="center" shrinkToFit="1"/>
    </xf>
    <xf numFmtId="0" fontId="25" fillId="7" borderId="9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 shrinkToFit="1"/>
    </xf>
    <xf numFmtId="49" fontId="25" fillId="7" borderId="18" xfId="0" applyNumberFormat="1" applyFont="1" applyFill="1" applyBorder="1" applyAlignment="1">
      <alignment horizontal="center" vertical="center" shrinkToFit="1"/>
    </xf>
    <xf numFmtId="49" fontId="25" fillId="7" borderId="19" xfId="0" applyNumberFormat="1" applyFont="1" applyFill="1" applyBorder="1" applyAlignment="1">
      <alignment horizontal="center" vertical="center" shrinkToFit="1"/>
    </xf>
    <xf numFmtId="49" fontId="15" fillId="0" borderId="28" xfId="1" applyNumberFormat="1" applyFont="1" applyBorder="1" applyAlignment="1">
      <alignment horizontal="center" vertical="center" shrinkToFit="1"/>
    </xf>
    <xf numFmtId="188" fontId="14" fillId="5" borderId="21" xfId="0" applyNumberFormat="1" applyFont="1" applyFill="1" applyBorder="1" applyAlignment="1">
      <alignment horizontal="center" vertical="center"/>
    </xf>
    <xf numFmtId="189" fontId="14" fillId="0" borderId="21" xfId="3" applyNumberFormat="1" applyFont="1" applyBorder="1" applyAlignment="1">
      <alignment horizontal="center" vertical="center" shrinkToFit="1"/>
    </xf>
    <xf numFmtId="190" fontId="14" fillId="0" borderId="21" xfId="3" applyNumberFormat="1" applyFont="1" applyBorder="1" applyAlignment="1">
      <alignment horizontal="center" vertical="center" shrinkToFit="1"/>
    </xf>
    <xf numFmtId="191" fontId="26" fillId="5" borderId="27" xfId="3" applyNumberFormat="1" applyFont="1" applyFill="1" applyBorder="1" applyAlignment="1">
      <alignment horizontal="center" vertical="center" shrinkToFit="1"/>
    </xf>
    <xf numFmtId="192" fontId="14" fillId="5" borderId="22" xfId="1" applyNumberFormat="1" applyFont="1" applyFill="1" applyBorder="1" applyAlignment="1">
      <alignment horizontal="left" vertical="center" wrapText="1" shrinkToFit="1"/>
    </xf>
    <xf numFmtId="49" fontId="14" fillId="0" borderId="22" xfId="3" applyNumberFormat="1" applyFont="1" applyBorder="1" applyAlignment="1">
      <alignment horizontal="left" vertical="center" shrinkToFit="1"/>
    </xf>
    <xf numFmtId="49" fontId="14" fillId="5" borderId="28" xfId="3" applyNumberFormat="1" applyFont="1" applyFill="1" applyBorder="1" applyAlignment="1">
      <alignment horizontal="left" vertical="center" shrinkToFit="1"/>
    </xf>
    <xf numFmtId="0" fontId="15" fillId="5" borderId="31" xfId="3" applyFont="1" applyFill="1" applyBorder="1" applyAlignment="1">
      <alignment vertical="center" shrinkToFit="1"/>
    </xf>
    <xf numFmtId="187" fontId="14" fillId="5" borderId="31" xfId="0" applyNumberFormat="1" applyFont="1" applyFill="1" applyBorder="1" applyAlignment="1">
      <alignment horizontal="center" vertical="center"/>
    </xf>
    <xf numFmtId="187" fontId="14" fillId="5" borderId="32" xfId="0" applyNumberFormat="1" applyFont="1" applyFill="1" applyBorder="1" applyAlignment="1">
      <alignment horizontal="right" vertical="center"/>
    </xf>
    <xf numFmtId="180" fontId="14" fillId="5" borderId="22" xfId="0" applyNumberFormat="1" applyFont="1" applyFill="1" applyBorder="1" applyAlignment="1">
      <alignment horizontal="center" vertical="center"/>
    </xf>
    <xf numFmtId="180" fontId="14" fillId="5" borderId="6" xfId="0" applyNumberFormat="1" applyFont="1" applyFill="1" applyBorder="1" applyAlignment="1">
      <alignment horizontal="center" vertical="center"/>
    </xf>
    <xf numFmtId="180" fontId="14" fillId="5" borderId="23" xfId="0" applyNumberFormat="1" applyFont="1" applyFill="1" applyBorder="1" applyAlignment="1">
      <alignment horizontal="center" vertical="center"/>
    </xf>
    <xf numFmtId="49" fontId="15" fillId="0" borderId="0" xfId="1" applyNumberFormat="1" applyFont="1" applyAlignment="1">
      <alignment horizontal="left" vertical="center" shrinkToFit="1"/>
    </xf>
    <xf numFmtId="180" fontId="14" fillId="0" borderId="6" xfId="3" applyNumberFormat="1" applyFont="1" applyBorder="1" applyAlignment="1">
      <alignment horizontal="center" vertical="center" shrinkToFit="1"/>
    </xf>
    <xf numFmtId="187" fontId="14" fillId="0" borderId="6" xfId="3" applyNumberFormat="1" applyFont="1" applyBorder="1" applyAlignment="1">
      <alignment horizontal="center" vertical="center" shrinkToFit="1"/>
    </xf>
    <xf numFmtId="187" fontId="14" fillId="0" borderId="5" xfId="3" applyNumberFormat="1" applyFont="1" applyBorder="1" applyAlignment="1">
      <alignment horizontal="right" vertical="center" shrinkToFit="1"/>
    </xf>
    <xf numFmtId="180" fontId="14" fillId="0" borderId="22" xfId="3" applyNumberFormat="1" applyFont="1" applyBorder="1" applyAlignment="1">
      <alignment horizontal="center" vertical="center" shrinkToFit="1"/>
    </xf>
    <xf numFmtId="180" fontId="14" fillId="0" borderId="23" xfId="3" applyNumberFormat="1" applyFont="1" applyBorder="1" applyAlignment="1">
      <alignment horizontal="center" vertical="center" shrinkToFit="1"/>
    </xf>
    <xf numFmtId="0" fontId="26" fillId="0" borderId="22" xfId="2" applyFont="1" applyFill="1" applyBorder="1" applyAlignment="1">
      <alignment horizontal="center" vertical="center"/>
    </xf>
    <xf numFmtId="180" fontId="19" fillId="0" borderId="23" xfId="0" applyNumberFormat="1" applyFont="1" applyBorder="1" applyAlignment="1">
      <alignment horizontal="center" vertical="top" shrinkToFit="1"/>
    </xf>
    <xf numFmtId="180" fontId="24" fillId="0" borderId="26" xfId="1" applyNumberFormat="1" applyFont="1" applyBorder="1" applyAlignment="1">
      <alignment horizontal="center" vertical="center" shrinkToFit="1"/>
    </xf>
    <xf numFmtId="49" fontId="28" fillId="0" borderId="0" xfId="0" applyNumberFormat="1" applyFont="1">
      <alignment vertical="center"/>
    </xf>
    <xf numFmtId="0" fontId="28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49" fontId="29" fillId="0" borderId="0" xfId="0" applyNumberFormat="1" applyFont="1">
      <alignment vertical="center"/>
    </xf>
    <xf numFmtId="0" fontId="29" fillId="0" borderId="0" xfId="0" applyFont="1">
      <alignment vertical="center"/>
    </xf>
    <xf numFmtId="49" fontId="15" fillId="0" borderId="0" xfId="0" applyNumberFormat="1" applyFont="1" applyAlignment="1">
      <alignment vertical="top" shrinkToFit="1"/>
    </xf>
    <xf numFmtId="49" fontId="15" fillId="0" borderId="22" xfId="0" applyNumberFormat="1" applyFont="1" applyBorder="1" applyAlignment="1">
      <alignment horizontal="center" vertical="top" shrinkToFit="1"/>
    </xf>
    <xf numFmtId="180" fontId="14" fillId="5" borderId="34" xfId="3" applyNumberFormat="1" applyFont="1" applyFill="1" applyBorder="1" applyAlignment="1">
      <alignment horizontal="center" vertical="center" shrinkToFit="1"/>
    </xf>
    <xf numFmtId="187" fontId="14" fillId="5" borderId="34" xfId="3" applyNumberFormat="1" applyFont="1" applyFill="1" applyBorder="1" applyAlignment="1">
      <alignment horizontal="right" vertical="center" shrinkToFit="1"/>
    </xf>
    <xf numFmtId="187" fontId="14" fillId="5" borderId="35" xfId="3" applyNumberFormat="1" applyFont="1" applyFill="1" applyBorder="1" applyAlignment="1">
      <alignment horizontal="right" vertical="center" shrinkToFit="1"/>
    </xf>
    <xf numFmtId="180" fontId="14" fillId="5" borderId="28" xfId="3" applyNumberFormat="1" applyFont="1" applyFill="1" applyBorder="1" applyAlignment="1">
      <alignment horizontal="center" vertical="center" shrinkToFit="1"/>
    </xf>
    <xf numFmtId="180" fontId="14" fillId="5" borderId="29" xfId="3" applyNumberFormat="1" applyFont="1" applyFill="1" applyBorder="1" applyAlignment="1">
      <alignment horizontal="center" vertical="center" shrinkToFit="1"/>
    </xf>
    <xf numFmtId="180" fontId="14" fillId="5" borderId="26" xfId="3" applyNumberFormat="1" applyFont="1" applyFill="1" applyBorder="1" applyAlignment="1">
      <alignment horizontal="center" vertical="center" shrinkToFit="1"/>
    </xf>
    <xf numFmtId="0" fontId="26" fillId="0" borderId="28" xfId="2" applyFont="1" applyFill="1" applyBorder="1" applyAlignment="1">
      <alignment horizontal="center" vertical="center"/>
    </xf>
    <xf numFmtId="49" fontId="30" fillId="0" borderId="0" xfId="3" applyNumberFormat="1" applyFont="1" applyAlignment="1">
      <alignment horizontal="center" vertical="center" shrinkToFit="1"/>
    </xf>
    <xf numFmtId="49" fontId="30" fillId="0" borderId="0" xfId="3" applyNumberFormat="1" applyFont="1" applyAlignment="1">
      <alignment vertical="center" shrinkToFit="1"/>
    </xf>
    <xf numFmtId="49" fontId="27" fillId="5" borderId="16" xfId="0" applyNumberFormat="1" applyFont="1" applyFill="1" applyBorder="1" applyAlignment="1">
      <alignment horizontal="center" vertical="top" shrinkToFit="1"/>
    </xf>
    <xf numFmtId="49" fontId="27" fillId="5" borderId="33" xfId="0" applyNumberFormat="1" applyFont="1" applyFill="1" applyBorder="1" applyAlignment="1">
      <alignment horizontal="center" vertical="top" shrinkToFit="1"/>
    </xf>
    <xf numFmtId="49" fontId="16" fillId="5" borderId="17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180" fontId="18" fillId="6" borderId="22" xfId="0" applyNumberFormat="1" applyFont="1" applyFill="1" applyBorder="1" applyAlignment="1">
      <alignment horizontal="center" vertical="center" shrinkToFit="1"/>
    </xf>
    <xf numFmtId="180" fontId="18" fillId="6" borderId="6" xfId="0" applyNumberFormat="1" applyFont="1" applyFill="1" applyBorder="1" applyAlignment="1">
      <alignment horizontal="center" vertical="center" shrinkToFit="1"/>
    </xf>
    <xf numFmtId="181" fontId="18" fillId="0" borderId="6" xfId="1" applyNumberFormat="1" applyFont="1" applyBorder="1" applyAlignment="1">
      <alignment horizontal="center" vertical="center" shrinkToFit="1"/>
    </xf>
    <xf numFmtId="49" fontId="22" fillId="5" borderId="22" xfId="1" applyNumberFormat="1" applyFont="1" applyFill="1" applyBorder="1" applyAlignment="1">
      <alignment horizontal="center" vertical="center" wrapText="1" shrinkToFit="1"/>
    </xf>
    <xf numFmtId="180" fontId="16" fillId="6" borderId="6" xfId="0" applyNumberFormat="1" applyFont="1" applyFill="1" applyBorder="1" applyAlignment="1">
      <alignment horizontal="left" vertical="center" shrinkToFit="1"/>
    </xf>
    <xf numFmtId="180" fontId="16" fillId="6" borderId="23" xfId="0" applyNumberFormat="1" applyFont="1" applyFill="1" applyBorder="1" applyAlignment="1">
      <alignment horizontal="left" vertical="center" shrinkToFit="1"/>
    </xf>
    <xf numFmtId="180" fontId="16" fillId="6" borderId="29" xfId="0" applyNumberFormat="1" applyFont="1" applyFill="1" applyBorder="1" applyAlignment="1">
      <alignment horizontal="left" vertical="center" shrinkToFit="1"/>
    </xf>
    <xf numFmtId="180" fontId="16" fillId="6" borderId="26" xfId="0" applyNumberFormat="1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6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15" xfId="1" applyNumberFormat="1" applyBorder="1" applyAlignment="1">
      <alignment vertical="center" shrinkToFit="1"/>
    </xf>
    <xf numFmtId="0" fontId="0" fillId="0" borderId="15" xfId="0" applyBorder="1" applyAlignment="1"/>
    <xf numFmtId="49" fontId="1" fillId="0" borderId="10" xfId="1" applyNumberFormat="1" applyBorder="1" applyAlignment="1">
      <alignment vertical="center" shrinkToFit="1"/>
    </xf>
    <xf numFmtId="0" fontId="0" fillId="0" borderId="10" xfId="0" applyBorder="1" applyAlignment="1"/>
    <xf numFmtId="49" fontId="1" fillId="0" borderId="0" xfId="1" applyNumberFormat="1" applyAlignment="1">
      <alignment horizontal="right" vertical="center" shrinkToFit="1"/>
    </xf>
    <xf numFmtId="49" fontId="6" fillId="0" borderId="0" xfId="1" applyNumberFormat="1" applyFont="1" applyAlignment="1">
      <alignment vertical="center" shrinkToFit="1"/>
    </xf>
    <xf numFmtId="49" fontId="5" fillId="0" borderId="6" xfId="1" applyNumberFormat="1" applyFont="1" applyBorder="1" applyAlignment="1">
      <alignment vertical="center" shrinkToFit="1"/>
    </xf>
    <xf numFmtId="0" fontId="0" fillId="0" borderId="4" xfId="0" applyBorder="1" applyAlignment="1"/>
    <xf numFmtId="49" fontId="5" fillId="0" borderId="4" xfId="1" applyNumberFormat="1" applyFont="1" applyBorder="1" applyAlignment="1">
      <alignment vertical="center" shrinkToFit="1"/>
    </xf>
    <xf numFmtId="49" fontId="5" fillId="0" borderId="11" xfId="1" applyNumberFormat="1" applyFont="1" applyBorder="1" applyAlignment="1">
      <alignment vertical="center" shrinkToFit="1"/>
    </xf>
    <xf numFmtId="0" fontId="0" fillId="0" borderId="12" xfId="0" applyBorder="1" applyAlignment="1"/>
    <xf numFmtId="0" fontId="0" fillId="0" borderId="11" xfId="0" applyBorder="1" applyAlignment="1"/>
    <xf numFmtId="49" fontId="5" fillId="0" borderId="13" xfId="1" applyNumberFormat="1" applyFont="1" applyBorder="1" applyAlignment="1">
      <alignment vertical="center" shrinkToFit="1"/>
    </xf>
    <xf numFmtId="0" fontId="0" fillId="0" borderId="13" xfId="0" applyBorder="1" applyAlignment="1"/>
    <xf numFmtId="49" fontId="1" fillId="0" borderId="14" xfId="1" applyNumberFormat="1" applyBorder="1" applyAlignment="1">
      <alignment vertical="center" shrinkToFit="1"/>
    </xf>
    <xf numFmtId="0" fontId="0" fillId="0" borderId="14" xfId="0" applyBorder="1" applyAlignment="1"/>
    <xf numFmtId="49" fontId="1" fillId="0" borderId="14" xfId="1" applyNumberFormat="1" applyBorder="1" applyAlignment="1">
      <alignment horizontal="right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178" fontId="5" fillId="0" borderId="0" xfId="1" applyNumberFormat="1" applyFont="1" applyAlignment="1">
      <alignment horizontal="left" vertical="center" shrinkToFit="1"/>
    </xf>
    <xf numFmtId="49" fontId="5" fillId="0" borderId="5" xfId="1" applyNumberFormat="1" applyFont="1" applyBorder="1" applyAlignment="1">
      <alignment horizontal="center" vertical="center" shrinkToFit="1"/>
    </xf>
    <xf numFmtId="0" fontId="0" fillId="0" borderId="9" xfId="0" applyBorder="1" applyAlignment="1"/>
    <xf numFmtId="178" fontId="5" fillId="0" borderId="6" xfId="1" applyNumberFormat="1" applyFont="1" applyBorder="1" applyAlignment="1">
      <alignment horizontal="center" vertical="center" shrinkToFit="1"/>
    </xf>
    <xf numFmtId="0" fontId="0" fillId="0" borderId="7" xfId="0" applyBorder="1" applyAlignment="1"/>
    <xf numFmtId="0" fontId="0" fillId="0" borderId="8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3" xfId="0" applyBorder="1" applyAlignment="1"/>
    <xf numFmtId="49" fontId="3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vertical="center" shrinkToFit="1"/>
    </xf>
    <xf numFmtId="176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7" fillId="0" borderId="0" xfId="1" applyNumberFormat="1" applyFont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1A9F6FB5-9DF9-4485-AC9A-651D9F8382EC}"/>
    <cellStyle name="標準 2 4" xfId="3" xr:uid="{3DDA52B4-79AF-4A74-ACB7-E5D25B88A548}"/>
  </cellStyles>
  <dxfs count="52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66676</xdr:colOff>
      <xdr:row>4</xdr:row>
      <xdr:rowOff>57151</xdr:rowOff>
    </xdr:from>
    <xdr:to>
      <xdr:col>9</xdr:col>
      <xdr:colOff>771526</xdr:colOff>
      <xdr:row>7</xdr:row>
      <xdr:rowOff>104776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47BB78-CC05-CA46-8C91-091D6C96F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1" y="781051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4</xdr:row>
      <xdr:rowOff>38101</xdr:rowOff>
    </xdr:from>
    <xdr:to>
      <xdr:col>8</xdr:col>
      <xdr:colOff>781051</xdr:colOff>
      <xdr:row>7</xdr:row>
      <xdr:rowOff>85726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10C5747-2385-9217-1713-ADDB4F97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1" y="762001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61</xdr:row>
      <xdr:rowOff>0</xdr:rowOff>
    </xdr:from>
    <xdr:to>
      <xdr:col>9</xdr:col>
      <xdr:colOff>762000</xdr:colOff>
      <xdr:row>64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ABDF24-C8B2-4D1A-B5AF-78F0F5CF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39541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60</xdr:row>
      <xdr:rowOff>161925</xdr:rowOff>
    </xdr:from>
    <xdr:to>
      <xdr:col>8</xdr:col>
      <xdr:colOff>771525</xdr:colOff>
      <xdr:row>64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603726B-B7D6-4432-93E8-A22B416B4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39350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118</xdr:row>
      <xdr:rowOff>47625</xdr:rowOff>
    </xdr:from>
    <xdr:to>
      <xdr:col>9</xdr:col>
      <xdr:colOff>762000</xdr:colOff>
      <xdr:row>121</xdr:row>
      <xdr:rowOff>95250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EBFB209-5F11-4FC4-B6EF-1FB2E352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272319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118</xdr:row>
      <xdr:rowOff>28575</xdr:rowOff>
    </xdr:from>
    <xdr:to>
      <xdr:col>8</xdr:col>
      <xdr:colOff>771525</xdr:colOff>
      <xdr:row>121</xdr:row>
      <xdr:rowOff>76200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127792-324F-4F01-8161-42F339DB5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272129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175</xdr:row>
      <xdr:rowOff>19050</xdr:rowOff>
    </xdr:from>
    <xdr:to>
      <xdr:col>9</xdr:col>
      <xdr:colOff>762000</xdr:colOff>
      <xdr:row>178</xdr:row>
      <xdr:rowOff>66675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63188DB-D4B1-4B58-AB38-CB61A827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404336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175</xdr:row>
      <xdr:rowOff>0</xdr:rowOff>
    </xdr:from>
    <xdr:to>
      <xdr:col>8</xdr:col>
      <xdr:colOff>771525</xdr:colOff>
      <xdr:row>178</xdr:row>
      <xdr:rowOff>47625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A407F65-C3DA-4FD2-B995-D1EA55970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404145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231</xdr:row>
      <xdr:rowOff>161925</xdr:rowOff>
    </xdr:from>
    <xdr:to>
      <xdr:col>9</xdr:col>
      <xdr:colOff>762000</xdr:colOff>
      <xdr:row>235</xdr:row>
      <xdr:rowOff>28575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070A98A-8630-4254-A21A-2AD4B102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536257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231</xdr:row>
      <xdr:rowOff>142875</xdr:rowOff>
    </xdr:from>
    <xdr:to>
      <xdr:col>8</xdr:col>
      <xdr:colOff>771525</xdr:colOff>
      <xdr:row>235</xdr:row>
      <xdr:rowOff>9525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DF09BF0-ACB3-4720-8C00-D8F3746C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536067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289</xdr:row>
      <xdr:rowOff>9525</xdr:rowOff>
    </xdr:from>
    <xdr:to>
      <xdr:col>9</xdr:col>
      <xdr:colOff>752475</xdr:colOff>
      <xdr:row>292</xdr:row>
      <xdr:rowOff>57150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585B619-9074-425E-B96D-3F75A0C1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668845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288</xdr:row>
      <xdr:rowOff>171450</xdr:rowOff>
    </xdr:from>
    <xdr:to>
      <xdr:col>8</xdr:col>
      <xdr:colOff>762000</xdr:colOff>
      <xdr:row>292</xdr:row>
      <xdr:rowOff>38100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2D3C350-10EE-4E50-B308-5CDE6198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668655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346</xdr:row>
      <xdr:rowOff>19050</xdr:rowOff>
    </xdr:from>
    <xdr:to>
      <xdr:col>9</xdr:col>
      <xdr:colOff>771525</xdr:colOff>
      <xdr:row>349</xdr:row>
      <xdr:rowOff>66675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EC93EE2-5695-4000-A7BB-DFEF9E9F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801243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346</xdr:row>
      <xdr:rowOff>0</xdr:rowOff>
    </xdr:from>
    <xdr:to>
      <xdr:col>8</xdr:col>
      <xdr:colOff>781050</xdr:colOff>
      <xdr:row>349</xdr:row>
      <xdr:rowOff>47625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CE736E4-3DF9-4378-8F98-729F609FA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801052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403</xdr:row>
      <xdr:rowOff>9525</xdr:rowOff>
    </xdr:from>
    <xdr:to>
      <xdr:col>9</xdr:col>
      <xdr:colOff>762000</xdr:colOff>
      <xdr:row>406</xdr:row>
      <xdr:rowOff>57150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3A25BE9-3D84-4506-94BB-741240698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933450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402</xdr:row>
      <xdr:rowOff>171450</xdr:rowOff>
    </xdr:from>
    <xdr:to>
      <xdr:col>8</xdr:col>
      <xdr:colOff>771525</xdr:colOff>
      <xdr:row>406</xdr:row>
      <xdr:rowOff>38100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AA5CF65-4C3D-4326-8A0A-71A83750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933259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460</xdr:row>
      <xdr:rowOff>28575</xdr:rowOff>
    </xdr:from>
    <xdr:to>
      <xdr:col>9</xdr:col>
      <xdr:colOff>771525</xdr:colOff>
      <xdr:row>463</xdr:row>
      <xdr:rowOff>76200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9968748-1361-4819-BF84-EBD5D981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1065942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460</xdr:row>
      <xdr:rowOff>9525</xdr:rowOff>
    </xdr:from>
    <xdr:to>
      <xdr:col>8</xdr:col>
      <xdr:colOff>781050</xdr:colOff>
      <xdr:row>463</xdr:row>
      <xdr:rowOff>57150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A11F7B2-193C-4BD9-8C40-91DF2669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1065752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517</xdr:row>
      <xdr:rowOff>0</xdr:rowOff>
    </xdr:from>
    <xdr:to>
      <xdr:col>9</xdr:col>
      <xdr:colOff>762000</xdr:colOff>
      <xdr:row>520</xdr:row>
      <xdr:rowOff>47625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F49B215-A8F9-44BC-B968-E6885D4B0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197959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516</xdr:row>
      <xdr:rowOff>161925</xdr:rowOff>
    </xdr:from>
    <xdr:to>
      <xdr:col>8</xdr:col>
      <xdr:colOff>771525</xdr:colOff>
      <xdr:row>520</xdr:row>
      <xdr:rowOff>28575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9555CE8-D2D4-44A3-9D8D-C6BFC17E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197768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574</xdr:row>
      <xdr:rowOff>38100</xdr:rowOff>
    </xdr:from>
    <xdr:to>
      <xdr:col>9</xdr:col>
      <xdr:colOff>762000</xdr:colOff>
      <xdr:row>577</xdr:row>
      <xdr:rowOff>85725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86253AE-4152-423C-9C77-A8ACAF111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330642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574</xdr:row>
      <xdr:rowOff>19050</xdr:rowOff>
    </xdr:from>
    <xdr:to>
      <xdr:col>8</xdr:col>
      <xdr:colOff>771525</xdr:colOff>
      <xdr:row>577</xdr:row>
      <xdr:rowOff>66675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4480751-5E26-4574-8C39-66B4BA4A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330452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631</xdr:row>
      <xdr:rowOff>38100</xdr:rowOff>
    </xdr:from>
    <xdr:to>
      <xdr:col>9</xdr:col>
      <xdr:colOff>742950</xdr:colOff>
      <xdr:row>634</xdr:row>
      <xdr:rowOff>85725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C73295B-E95C-43A3-8F33-D57E6CA72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462944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631</xdr:row>
      <xdr:rowOff>19050</xdr:rowOff>
    </xdr:from>
    <xdr:to>
      <xdr:col>8</xdr:col>
      <xdr:colOff>752475</xdr:colOff>
      <xdr:row>634</xdr:row>
      <xdr:rowOff>66675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D9BC831-EB62-4317-99EF-DF12E11E3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462754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688</xdr:row>
      <xdr:rowOff>47625</xdr:rowOff>
    </xdr:from>
    <xdr:to>
      <xdr:col>9</xdr:col>
      <xdr:colOff>742950</xdr:colOff>
      <xdr:row>691</xdr:row>
      <xdr:rowOff>95250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400E0B8-C888-4C91-A73A-DAFAD260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595342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688</xdr:row>
      <xdr:rowOff>28575</xdr:rowOff>
    </xdr:from>
    <xdr:to>
      <xdr:col>8</xdr:col>
      <xdr:colOff>752475</xdr:colOff>
      <xdr:row>691</xdr:row>
      <xdr:rowOff>76200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6EC44EB-D0B9-49CE-9548-0527529A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595151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745</xdr:row>
      <xdr:rowOff>0</xdr:rowOff>
    </xdr:from>
    <xdr:to>
      <xdr:col>9</xdr:col>
      <xdr:colOff>752475</xdr:colOff>
      <xdr:row>748</xdr:row>
      <xdr:rowOff>47625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AA5CC4F-08C4-45CD-8BA4-7A5A6E1F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727168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744</xdr:row>
      <xdr:rowOff>161925</xdr:rowOff>
    </xdr:from>
    <xdr:to>
      <xdr:col>8</xdr:col>
      <xdr:colOff>762000</xdr:colOff>
      <xdr:row>748</xdr:row>
      <xdr:rowOff>28575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D44ACCFF-1CA6-4B48-BDFE-3A1B7DF2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726977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802</xdr:row>
      <xdr:rowOff>0</xdr:rowOff>
    </xdr:from>
    <xdr:to>
      <xdr:col>9</xdr:col>
      <xdr:colOff>752475</xdr:colOff>
      <xdr:row>805</xdr:row>
      <xdr:rowOff>47625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6C349B4E-57AB-455C-A511-C36A4EBEF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859470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801</xdr:row>
      <xdr:rowOff>161925</xdr:rowOff>
    </xdr:from>
    <xdr:to>
      <xdr:col>8</xdr:col>
      <xdr:colOff>762000</xdr:colOff>
      <xdr:row>805</xdr:row>
      <xdr:rowOff>28575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649FDCE-A8AB-4C3D-974B-1840B45F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859280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859</xdr:row>
      <xdr:rowOff>38100</xdr:rowOff>
    </xdr:from>
    <xdr:to>
      <xdr:col>9</xdr:col>
      <xdr:colOff>752475</xdr:colOff>
      <xdr:row>862</xdr:row>
      <xdr:rowOff>85725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D7CFE565-D8B3-449A-BA43-627CB0C49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992153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859</xdr:row>
      <xdr:rowOff>19050</xdr:rowOff>
    </xdr:from>
    <xdr:to>
      <xdr:col>8</xdr:col>
      <xdr:colOff>762000</xdr:colOff>
      <xdr:row>862</xdr:row>
      <xdr:rowOff>66675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2BA88C9-055F-46F4-8126-5423895B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991963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916</xdr:row>
      <xdr:rowOff>28575</xdr:rowOff>
    </xdr:from>
    <xdr:to>
      <xdr:col>9</xdr:col>
      <xdr:colOff>771525</xdr:colOff>
      <xdr:row>919</xdr:row>
      <xdr:rowOff>76200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3473312-ED3C-4FF9-88CD-16C3DF65C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2124360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916</xdr:row>
      <xdr:rowOff>9525</xdr:rowOff>
    </xdr:from>
    <xdr:to>
      <xdr:col>8</xdr:col>
      <xdr:colOff>781050</xdr:colOff>
      <xdr:row>919</xdr:row>
      <xdr:rowOff>57150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E4375C8-FA89-44F6-B063-D12AC43E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124170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973</xdr:row>
      <xdr:rowOff>9525</xdr:rowOff>
    </xdr:from>
    <xdr:to>
      <xdr:col>9</xdr:col>
      <xdr:colOff>762000</xdr:colOff>
      <xdr:row>976</xdr:row>
      <xdr:rowOff>57150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D272B102-0F15-4400-848C-B159506A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2256472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972</xdr:row>
      <xdr:rowOff>171450</xdr:rowOff>
    </xdr:from>
    <xdr:to>
      <xdr:col>8</xdr:col>
      <xdr:colOff>771525</xdr:colOff>
      <xdr:row>976</xdr:row>
      <xdr:rowOff>38100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6F051734-7982-4427-8CBF-B64916B6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2256282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1030</xdr:row>
      <xdr:rowOff>38100</xdr:rowOff>
    </xdr:from>
    <xdr:to>
      <xdr:col>9</xdr:col>
      <xdr:colOff>762000</xdr:colOff>
      <xdr:row>1033</xdr:row>
      <xdr:rowOff>85725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637C10E-3D4F-40DE-BC74-35B8D0104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2389060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1030</xdr:row>
      <xdr:rowOff>19050</xdr:rowOff>
    </xdr:from>
    <xdr:to>
      <xdr:col>8</xdr:col>
      <xdr:colOff>771525</xdr:colOff>
      <xdr:row>1033</xdr:row>
      <xdr:rowOff>66675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B5530A0C-3DA0-4395-BB0A-DDBB2CDB7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2388870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1087</xdr:row>
      <xdr:rowOff>9525</xdr:rowOff>
    </xdr:from>
    <xdr:to>
      <xdr:col>9</xdr:col>
      <xdr:colOff>752475</xdr:colOff>
      <xdr:row>1090</xdr:row>
      <xdr:rowOff>57150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7174E31-4B31-4D87-9040-A5B68803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521077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1086</xdr:row>
      <xdr:rowOff>171450</xdr:rowOff>
    </xdr:from>
    <xdr:to>
      <xdr:col>8</xdr:col>
      <xdr:colOff>762000</xdr:colOff>
      <xdr:row>1090</xdr:row>
      <xdr:rowOff>38100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24FE0070-D700-4F9E-A75E-F7973780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2520886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1144</xdr:row>
      <xdr:rowOff>0</xdr:rowOff>
    </xdr:from>
    <xdr:to>
      <xdr:col>9</xdr:col>
      <xdr:colOff>752475</xdr:colOff>
      <xdr:row>1147</xdr:row>
      <xdr:rowOff>47625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471E8780-7301-4E11-8661-21D278855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653284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1143</xdr:row>
      <xdr:rowOff>161925</xdr:rowOff>
    </xdr:from>
    <xdr:to>
      <xdr:col>8</xdr:col>
      <xdr:colOff>762000</xdr:colOff>
      <xdr:row>1147</xdr:row>
      <xdr:rowOff>28575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4EF97918-5F43-488B-B10D-D81112AD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2653093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1201</xdr:row>
      <xdr:rowOff>28575</xdr:rowOff>
    </xdr:from>
    <xdr:to>
      <xdr:col>9</xdr:col>
      <xdr:colOff>742950</xdr:colOff>
      <xdr:row>1204</xdr:row>
      <xdr:rowOff>76200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0A8575A-9687-4FFF-9430-19DCD51E5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2785872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1201</xdr:row>
      <xdr:rowOff>9525</xdr:rowOff>
    </xdr:from>
    <xdr:to>
      <xdr:col>8</xdr:col>
      <xdr:colOff>752475</xdr:colOff>
      <xdr:row>1204</xdr:row>
      <xdr:rowOff>57150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172F62C-DD56-49DF-B63D-C4CC34C0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2785681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1258</xdr:row>
      <xdr:rowOff>19050</xdr:rowOff>
    </xdr:from>
    <xdr:to>
      <xdr:col>9</xdr:col>
      <xdr:colOff>771525</xdr:colOff>
      <xdr:row>1261</xdr:row>
      <xdr:rowOff>66675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A053CC52-0970-45E5-919E-11193F1F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2918079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1258</xdr:row>
      <xdr:rowOff>0</xdr:rowOff>
    </xdr:from>
    <xdr:to>
      <xdr:col>8</xdr:col>
      <xdr:colOff>781050</xdr:colOff>
      <xdr:row>1261</xdr:row>
      <xdr:rowOff>47625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EF334AB3-7134-4384-8A1E-7CC6AA74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917888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1315</xdr:row>
      <xdr:rowOff>28575</xdr:rowOff>
    </xdr:from>
    <xdr:to>
      <xdr:col>9</xdr:col>
      <xdr:colOff>742950</xdr:colOff>
      <xdr:row>1318</xdr:row>
      <xdr:rowOff>76200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55BA751-F78D-4C1D-A155-FBBAC221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3050476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1315</xdr:row>
      <xdr:rowOff>9525</xdr:rowOff>
    </xdr:from>
    <xdr:to>
      <xdr:col>8</xdr:col>
      <xdr:colOff>752475</xdr:colOff>
      <xdr:row>1318</xdr:row>
      <xdr:rowOff>57150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AC34D7E0-4726-41D3-A7D6-4E64267F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3050286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1371</xdr:row>
      <xdr:rowOff>171450</xdr:rowOff>
    </xdr:from>
    <xdr:to>
      <xdr:col>9</xdr:col>
      <xdr:colOff>762000</xdr:colOff>
      <xdr:row>1375</xdr:row>
      <xdr:rowOff>38100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B893A4DA-C96C-4E86-A4BC-3ACEC43B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3182397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1371</xdr:row>
      <xdr:rowOff>152400</xdr:rowOff>
    </xdr:from>
    <xdr:to>
      <xdr:col>8</xdr:col>
      <xdr:colOff>771525</xdr:colOff>
      <xdr:row>1375</xdr:row>
      <xdr:rowOff>19050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5C51543E-126B-4AF9-A974-6EA37FDB7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318220725"/>
          <a:ext cx="704850" cy="704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D08B-AFB2-4A16-A624-F77F5E67063F}">
  <sheetPr codeName="Sheet1"/>
  <dimension ref="A1:N1425"/>
  <sheetViews>
    <sheetView tabSelected="1" topLeftCell="A1371" workbookViewId="0">
      <selection activeCell="A1406" sqref="A1406:J1423"/>
    </sheetView>
  </sheetViews>
  <sheetFormatPr defaultColWidth="1.625" defaultRowHeight="13.5"/>
  <cols>
    <col min="1" max="1" width="9" style="2" customWidth="1"/>
    <col min="2" max="2" width="19.25" style="2" customWidth="1"/>
    <col min="3" max="3" width="5.875" style="2" customWidth="1"/>
    <col min="4" max="4" width="12.5" style="2" customWidth="1"/>
    <col min="5" max="5" width="9.25" style="2" customWidth="1"/>
    <col min="6" max="6" width="23.75" style="2" customWidth="1"/>
    <col min="7" max="7" width="10.25" style="2" customWidth="1"/>
    <col min="8" max="10" width="10.625" style="2" customWidth="1"/>
    <col min="11" max="11" width="1.625" style="2" customWidth="1"/>
    <col min="12" max="16384" width="1.625" style="2"/>
  </cols>
  <sheetData>
    <row r="1" spans="1:10" ht="14.25" customHeight="1" thickBot="1">
      <c r="A1" s="1"/>
      <c r="B1" s="150" t="s">
        <v>0</v>
      </c>
      <c r="C1" s="119"/>
      <c r="D1" s="119"/>
      <c r="E1" s="1"/>
      <c r="F1" s="1"/>
      <c r="G1" s="1"/>
      <c r="H1" s="1"/>
      <c r="I1" s="1"/>
      <c r="J1" s="1"/>
    </row>
    <row r="2" spans="1:10" ht="14.25" customHeight="1" thickTop="1">
      <c r="A2" s="3"/>
      <c r="B2" s="119"/>
      <c r="C2" s="119"/>
      <c r="D2" s="119"/>
      <c r="E2" s="3"/>
      <c r="F2" s="3"/>
      <c r="G2" s="3"/>
      <c r="H2" s="3"/>
      <c r="I2" s="3"/>
      <c r="J2" s="3"/>
    </row>
    <row r="3" spans="1:10" ht="14.25" customHeight="1">
      <c r="A3" s="151" t="s">
        <v>1</v>
      </c>
      <c r="B3" s="151" t="s">
        <v>2</v>
      </c>
      <c r="C3" s="151" t="s">
        <v>3</v>
      </c>
      <c r="D3" s="152">
        <v>297</v>
      </c>
      <c r="E3" s="151" t="s">
        <v>4</v>
      </c>
      <c r="F3" s="147" t="s">
        <v>5</v>
      </c>
      <c r="G3" s="119"/>
      <c r="H3" s="119"/>
      <c r="I3" s="4" t="s">
        <v>6</v>
      </c>
      <c r="J3" s="4" t="s">
        <v>7</v>
      </c>
    </row>
    <row r="4" spans="1:10" ht="14.25" customHeight="1">
      <c r="A4" s="119"/>
      <c r="B4" s="119"/>
      <c r="C4" s="119"/>
      <c r="D4" s="119"/>
      <c r="E4" s="119"/>
      <c r="F4" s="119"/>
      <c r="G4" s="119"/>
      <c r="H4" s="119"/>
      <c r="I4" s="148"/>
      <c r="J4" s="148"/>
    </row>
    <row r="5" spans="1:10" ht="17.45" customHeight="1">
      <c r="A5" s="139" t="s">
        <v>180</v>
      </c>
      <c r="B5" s="139" t="s">
        <v>9</v>
      </c>
      <c r="E5" s="139" t="s">
        <v>10</v>
      </c>
      <c r="F5" s="140" t="s">
        <v>11</v>
      </c>
      <c r="G5" s="119"/>
      <c r="H5" s="119"/>
      <c r="I5" s="149"/>
      <c r="J5" s="149"/>
    </row>
    <row r="6" spans="1:10" ht="17.45" customHeight="1">
      <c r="A6" s="119"/>
      <c r="B6" s="119"/>
      <c r="E6" s="119"/>
      <c r="F6" s="119"/>
      <c r="G6" s="119"/>
      <c r="H6" s="119"/>
      <c r="I6" s="7"/>
      <c r="J6" s="7"/>
    </row>
    <row r="7" spans="1:10" ht="17.45" customHeight="1">
      <c r="A7" s="139" t="s">
        <v>12</v>
      </c>
      <c r="B7" s="139" t="s">
        <v>13</v>
      </c>
      <c r="E7" s="8" t="s">
        <v>14</v>
      </c>
      <c r="F7" s="140" t="s">
        <v>15</v>
      </c>
      <c r="G7" s="119"/>
      <c r="H7" s="6"/>
      <c r="I7" s="7"/>
      <c r="J7" s="7"/>
    </row>
    <row r="8" spans="1:10" ht="17.45" customHeight="1">
      <c r="A8" s="119"/>
      <c r="B8" s="119"/>
      <c r="E8" s="8" t="s">
        <v>16</v>
      </c>
      <c r="F8" s="6" t="s">
        <v>17</v>
      </c>
      <c r="G8" s="6"/>
      <c r="H8" s="6"/>
      <c r="I8" s="9"/>
      <c r="J8" s="9"/>
    </row>
    <row r="9" spans="1:10" ht="17.45" customHeight="1">
      <c r="A9" s="8" t="s">
        <v>18</v>
      </c>
      <c r="B9" s="10">
        <v>46121</v>
      </c>
      <c r="E9" s="8" t="s">
        <v>19</v>
      </c>
      <c r="F9" s="141">
        <v>100</v>
      </c>
      <c r="G9" s="119"/>
      <c r="H9" s="6"/>
    </row>
    <row r="10" spans="1:10" ht="17.45" customHeight="1">
      <c r="A10" s="8" t="s">
        <v>20</v>
      </c>
      <c r="B10" s="10">
        <v>46121</v>
      </c>
      <c r="E10" s="8" t="s">
        <v>21</v>
      </c>
      <c r="F10" s="6">
        <v>3</v>
      </c>
      <c r="G10" s="142" t="s">
        <v>22</v>
      </c>
      <c r="H10" s="144">
        <v>300</v>
      </c>
      <c r="I10" s="145"/>
      <c r="J10" s="146"/>
    </row>
    <row r="11" spans="1:10" ht="17.45" customHeight="1">
      <c r="A11" s="11"/>
      <c r="B11" s="12"/>
      <c r="C11" s="12"/>
      <c r="D11" s="12"/>
      <c r="E11" s="8" t="s">
        <v>23</v>
      </c>
      <c r="F11" s="6" t="s">
        <v>24</v>
      </c>
      <c r="G11" s="143"/>
      <c r="H11" s="143"/>
      <c r="I11" s="125"/>
      <c r="J11" s="133"/>
    </row>
    <row r="12" spans="1:10" ht="13.5" customHeight="1">
      <c r="A12" s="127" t="s">
        <v>25</v>
      </c>
      <c r="B12" s="119"/>
      <c r="C12" s="119"/>
      <c r="D12" s="12"/>
      <c r="F12" s="5"/>
      <c r="G12" s="128" t="s">
        <v>26</v>
      </c>
      <c r="H12" s="130" t="s">
        <v>27</v>
      </c>
      <c r="I12" s="131" t="s">
        <v>28</v>
      </c>
      <c r="J12" s="132"/>
    </row>
    <row r="13" spans="1:10" ht="13.5" customHeight="1">
      <c r="A13" s="119"/>
      <c r="B13" s="119"/>
      <c r="C13" s="119"/>
      <c r="D13" s="12"/>
      <c r="F13" s="5"/>
      <c r="G13" s="129"/>
      <c r="H13" s="129"/>
      <c r="I13" s="125"/>
      <c r="J13" s="133"/>
    </row>
    <row r="14" spans="1:10">
      <c r="A14" s="2" t="s">
        <v>29</v>
      </c>
    </row>
    <row r="15" spans="1:10" ht="63" customHeight="1" thickBo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10" ht="18.75">
      <c r="A16" s="13" t="s">
        <v>30</v>
      </c>
      <c r="B16" s="14" t="s">
        <v>31</v>
      </c>
      <c r="C16" s="136" t="s">
        <v>32</v>
      </c>
      <c r="D16" s="137"/>
      <c r="E16" s="14" t="s">
        <v>33</v>
      </c>
      <c r="F16" s="136" t="s">
        <v>34</v>
      </c>
      <c r="G16" s="137"/>
      <c r="H16" s="137"/>
      <c r="I16" s="138" t="s">
        <v>35</v>
      </c>
      <c r="J16" s="137"/>
    </row>
    <row r="17" spans="1:10" s="16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s="19" customFormat="1" ht="16.5" customHeight="1">
      <c r="A18" s="17">
        <v>1</v>
      </c>
      <c r="B18" s="18" t="s">
        <v>36</v>
      </c>
      <c r="C18" s="118" t="s">
        <v>37</v>
      </c>
      <c r="D18" s="153"/>
      <c r="E18" s="18" t="s">
        <v>38</v>
      </c>
      <c r="F18" s="118" t="s">
        <v>39</v>
      </c>
      <c r="G18" s="153"/>
      <c r="H18" s="153"/>
      <c r="I18" s="126"/>
      <c r="J18" s="153"/>
    </row>
    <row r="19" spans="1:10" s="19" customFormat="1" ht="16.5" customHeight="1">
      <c r="A19" s="17">
        <v>1</v>
      </c>
      <c r="B19" s="20" t="s">
        <v>36</v>
      </c>
      <c r="C19" s="118" t="s">
        <v>37</v>
      </c>
      <c r="D19" s="153"/>
      <c r="E19" s="18" t="s">
        <v>40</v>
      </c>
      <c r="F19" s="118" t="s">
        <v>41</v>
      </c>
      <c r="G19" s="153"/>
      <c r="H19" s="153"/>
      <c r="I19" s="126"/>
      <c r="J19" s="153"/>
    </row>
    <row r="20" spans="1:10" s="19" customFormat="1" ht="16.5" customHeight="1">
      <c r="A20" s="17"/>
      <c r="B20" s="20"/>
      <c r="C20" s="118"/>
      <c r="D20" s="153"/>
      <c r="E20" s="18"/>
      <c r="F20" s="118"/>
      <c r="G20" s="153"/>
      <c r="H20" s="153"/>
      <c r="I20" s="126"/>
      <c r="J20" s="153"/>
    </row>
    <row r="21" spans="1:10" s="19" customFormat="1" ht="16.5" customHeight="1">
      <c r="A21" s="17"/>
      <c r="B21" s="20"/>
      <c r="C21" s="118"/>
      <c r="D21" s="153"/>
      <c r="E21" s="18"/>
      <c r="F21" s="118"/>
      <c r="G21" s="153"/>
      <c r="H21" s="153"/>
      <c r="I21" s="126"/>
      <c r="J21" s="153"/>
    </row>
    <row r="22" spans="1:10" s="19" customFormat="1" ht="16.5" customHeight="1">
      <c r="A22" s="17"/>
      <c r="B22" s="20"/>
      <c r="C22" s="118"/>
      <c r="D22" s="153"/>
      <c r="E22" s="18"/>
      <c r="F22" s="118"/>
      <c r="G22" s="153"/>
      <c r="H22" s="153"/>
      <c r="I22" s="126"/>
      <c r="J22" s="153"/>
    </row>
    <row r="23" spans="1:10" s="19" customFormat="1" ht="16.5" customHeight="1">
      <c r="A23" s="17"/>
      <c r="B23" s="20"/>
      <c r="C23" s="118"/>
      <c r="D23" s="153"/>
      <c r="E23" s="18"/>
      <c r="F23" s="118"/>
      <c r="G23" s="153"/>
      <c r="H23" s="153"/>
      <c r="I23" s="126"/>
      <c r="J23" s="153"/>
    </row>
    <row r="24" spans="1:10" ht="16.5" customHeight="1" thickBot="1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18.75">
      <c r="A25" s="122" t="s">
        <v>42</v>
      </c>
      <c r="B25" s="123"/>
      <c r="C25" s="122" t="s">
        <v>43</v>
      </c>
      <c r="D25" s="123"/>
      <c r="E25" s="123"/>
      <c r="F25" s="22" t="s">
        <v>44</v>
      </c>
      <c r="G25" s="122" t="s">
        <v>45</v>
      </c>
      <c r="H25" s="123"/>
      <c r="I25" s="122" t="s">
        <v>46</v>
      </c>
      <c r="J25" s="123"/>
    </row>
    <row r="26" spans="1:10" ht="14.25" customHeight="1">
      <c r="A26" s="23"/>
      <c r="B26" s="24"/>
      <c r="C26" s="124" t="s">
        <v>47</v>
      </c>
      <c r="D26" s="125"/>
      <c r="E26" s="24"/>
      <c r="F26" s="124" t="s">
        <v>29</v>
      </c>
      <c r="G26" s="125"/>
      <c r="H26" s="125"/>
      <c r="I26" s="125"/>
      <c r="J26" s="125"/>
    </row>
    <row r="27" spans="1:10">
      <c r="A27" s="25"/>
      <c r="C27" s="19"/>
      <c r="D27" s="19"/>
      <c r="E27" s="19"/>
    </row>
    <row r="28" spans="1:10" s="15" customFormat="1" ht="14.25" customHeight="1">
      <c r="A28" s="118" t="s">
        <v>48</v>
      </c>
      <c r="B28" s="154"/>
      <c r="C28" s="118" t="s">
        <v>49</v>
      </c>
      <c r="D28" s="154"/>
      <c r="E28" s="154"/>
      <c r="F28" s="18" t="s">
        <v>27</v>
      </c>
      <c r="G28" s="120">
        <v>50.1</v>
      </c>
      <c r="H28" s="154"/>
      <c r="I28" s="120">
        <v>0.501</v>
      </c>
      <c r="J28" s="154"/>
    </row>
    <row r="29" spans="1:10" s="19" customFormat="1" ht="24.95" customHeight="1">
      <c r="A29" s="121" t="s">
        <v>50</v>
      </c>
      <c r="B29" s="153"/>
      <c r="C29" s="118"/>
      <c r="D29" s="153"/>
      <c r="E29" s="153"/>
      <c r="F29" s="118"/>
      <c r="G29" s="153"/>
      <c r="H29" s="153"/>
      <c r="I29" s="153"/>
      <c r="J29" s="153"/>
    </row>
    <row r="30" spans="1:10" s="15" customFormat="1" ht="14.25" customHeight="1">
      <c r="A30" s="118" t="s">
        <v>51</v>
      </c>
      <c r="B30" s="154"/>
      <c r="C30" s="118" t="s">
        <v>52</v>
      </c>
      <c r="D30" s="154"/>
      <c r="E30" s="154"/>
      <c r="F30" s="18" t="s">
        <v>53</v>
      </c>
      <c r="G30" s="120">
        <v>3</v>
      </c>
      <c r="H30" s="154"/>
      <c r="I30" s="120">
        <v>0.03</v>
      </c>
      <c r="J30" s="154"/>
    </row>
    <row r="31" spans="1:10" s="19" customFormat="1" ht="24.95" customHeight="1">
      <c r="A31" s="121" t="s">
        <v>54</v>
      </c>
      <c r="B31" s="153"/>
      <c r="C31" s="118" t="s">
        <v>55</v>
      </c>
      <c r="D31" s="153"/>
      <c r="E31" s="153"/>
      <c r="F31" s="118"/>
      <c r="G31" s="153"/>
      <c r="H31" s="153"/>
      <c r="I31" s="153"/>
      <c r="J31" s="153"/>
    </row>
    <row r="32" spans="1:10" s="15" customFormat="1" ht="14.25" customHeight="1">
      <c r="A32" s="118" t="s">
        <v>56</v>
      </c>
      <c r="B32" s="154"/>
      <c r="C32" s="118" t="s">
        <v>57</v>
      </c>
      <c r="D32" s="154"/>
      <c r="E32" s="154"/>
      <c r="F32" s="18"/>
      <c r="G32" s="120">
        <v>0.3</v>
      </c>
      <c r="H32" s="154"/>
      <c r="I32" s="120">
        <v>3.0000000000000001E-3</v>
      </c>
      <c r="J32" s="154"/>
    </row>
    <row r="33" spans="1:14" s="19" customFormat="1" ht="24.95" customHeight="1">
      <c r="A33" s="121" t="s">
        <v>58</v>
      </c>
      <c r="B33" s="153"/>
      <c r="C33" s="118" t="s">
        <v>59</v>
      </c>
      <c r="D33" s="153"/>
      <c r="E33" s="153"/>
      <c r="F33" s="118"/>
      <c r="G33" s="153"/>
      <c r="H33" s="153"/>
      <c r="I33" s="153"/>
      <c r="J33" s="153"/>
    </row>
    <row r="34" spans="1:14" s="15" customFormat="1" ht="14.25" customHeight="1">
      <c r="A34" s="118" t="s">
        <v>60</v>
      </c>
      <c r="B34" s="154"/>
      <c r="C34" s="118" t="s">
        <v>61</v>
      </c>
      <c r="D34" s="154"/>
      <c r="E34" s="154"/>
      <c r="F34" s="18"/>
      <c r="G34" s="120">
        <v>0.3</v>
      </c>
      <c r="H34" s="154"/>
      <c r="I34" s="120">
        <v>3.0000000000000001E-3</v>
      </c>
      <c r="J34" s="154"/>
    </row>
    <row r="35" spans="1:14" s="19" customFormat="1" ht="24.95" customHeight="1">
      <c r="A35" s="121" t="s">
        <v>62</v>
      </c>
      <c r="B35" s="153"/>
      <c r="C35" s="118" t="s">
        <v>63</v>
      </c>
      <c r="D35" s="153"/>
      <c r="E35" s="153"/>
      <c r="F35" s="118"/>
      <c r="G35" s="153"/>
      <c r="H35" s="153"/>
      <c r="I35" s="153"/>
      <c r="J35" s="153"/>
    </row>
    <row r="36" spans="1:14" s="15" customFormat="1" ht="14.25" customHeight="1">
      <c r="A36" s="118"/>
      <c r="B36" s="154"/>
      <c r="C36" s="118"/>
      <c r="D36" s="154"/>
      <c r="E36" s="154"/>
      <c r="F36" s="18"/>
      <c r="G36" s="120"/>
      <c r="H36" s="154"/>
      <c r="I36" s="120"/>
      <c r="J36" s="154"/>
    </row>
    <row r="37" spans="1:14" s="19" customFormat="1" ht="24.95" customHeight="1" thickBot="1">
      <c r="A37" s="121"/>
      <c r="B37" s="153"/>
      <c r="C37" s="118"/>
      <c r="D37" s="153"/>
      <c r="E37" s="153"/>
      <c r="F37" s="118"/>
      <c r="G37" s="153"/>
      <c r="H37" s="153"/>
      <c r="I37" s="153"/>
      <c r="J37" s="153"/>
    </row>
    <row r="38" spans="1:14" s="15" customFormat="1" ht="18" customHeight="1">
      <c r="A38" s="27" t="s">
        <v>143</v>
      </c>
      <c r="B38" s="28" t="s">
        <v>144</v>
      </c>
      <c r="C38" s="108" t="s">
        <v>145</v>
      </c>
      <c r="D38" s="109"/>
      <c r="E38" s="29" t="s">
        <v>146</v>
      </c>
      <c r="F38" s="30" t="s">
        <v>147</v>
      </c>
      <c r="G38" s="31" t="s">
        <v>148</v>
      </c>
      <c r="H38" s="32" t="s">
        <v>149</v>
      </c>
      <c r="I38" s="106" t="s">
        <v>150</v>
      </c>
      <c r="J38" s="107"/>
    </row>
    <row r="39" spans="1:14" s="19" customFormat="1" ht="18" customHeight="1">
      <c r="A39" s="33" t="str">
        <f>_xlfn.XLOOKUP(B3,[1]VFDB2!$A:$A,[1]VFDB2!$J:$J)</f>
        <v>〇</v>
      </c>
      <c r="B39" s="34">
        <f>D3</f>
        <v>297</v>
      </c>
      <c r="C39" s="110" t="str">
        <f>_xlfn.XLOOKUP(B3,[1]VFDB2!$A:$A,[1]VFDB2!$Z:$Z)</f>
        <v>LED-A300</v>
      </c>
      <c r="D39" s="111"/>
      <c r="E39" s="112" t="str" cm="1">
        <f t="array" ref="E39">IFERROR(INDEX(_xlfn._xlws.FILTER([2]加工記録２!C:C,[2]加工記録２!U:U=B5),9),"")</f>
        <v/>
      </c>
      <c r="F39" s="35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6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7"/>
      <c r="I39" s="38" t="s">
        <v>151</v>
      </c>
      <c r="J39" s="39" t="str" cm="1">
        <f t="array" ref="J39:J44">IFERROR(INDEX(_xlfn._xlws.FILTER([2]加工記録２!P:P, [2]加工記録２!U:U=B5),_xlfn.SEQUENCE(6)),"")</f>
        <v/>
      </c>
    </row>
    <row r="40" spans="1:14" s="15" customFormat="1" ht="18" customHeight="1">
      <c r="A40" s="43" t="s">
        <v>152</v>
      </c>
      <c r="B40" s="44" t="s">
        <v>153</v>
      </c>
      <c r="C40" s="110"/>
      <c r="D40" s="111"/>
      <c r="E40" s="112"/>
      <c r="F40" s="45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6"/>
      <c r="H40" s="37"/>
      <c r="I40" s="38" t="s">
        <v>154</v>
      </c>
      <c r="J40" s="40" t="str">
        <v/>
      </c>
      <c r="K40" s="46"/>
    </row>
    <row r="41" spans="1:14" s="19" customFormat="1" ht="18" customHeight="1">
      <c r="A41" s="47" t="str">
        <f>_xlfn.XLOOKUP(B3,[1]VFDB2!$A:$A,[1]VFDB2!$L:$L)</f>
        <v>+0.5</v>
      </c>
      <c r="B41" s="48" t="str">
        <f>_xlfn.XLOOKUP(B3,[1]VFDB2!$A:$A,[1]VFDB2!$AC:$AC)</f>
        <v>換算表確認</v>
      </c>
      <c r="C41" s="113" t="s">
        <v>155</v>
      </c>
      <c r="D41" s="114" t="str">
        <f>_xlfn.XLOOKUP(B3,[1]VFDB2!$A:$A,[1]VFDB2!$W:$W)</f>
        <v>クラフト紙：592型　1/2</v>
      </c>
      <c r="E41" s="114"/>
      <c r="F41" s="115"/>
      <c r="G41" s="36"/>
      <c r="H41" s="37"/>
      <c r="I41" s="38" t="s">
        <v>156</v>
      </c>
      <c r="J41" s="40" t="str">
        <v/>
      </c>
      <c r="K41" s="49"/>
    </row>
    <row r="42" spans="1:14" s="15" customFormat="1" ht="18" customHeight="1">
      <c r="A42" s="50" t="s">
        <v>157</v>
      </c>
      <c r="B42" s="51" t="s">
        <v>158</v>
      </c>
      <c r="C42" s="113"/>
      <c r="D42" s="114" t="str">
        <f>_xlfn.XLOOKUP(B3,[1]VFDB2!$A:$A,[1]VFDB2!$R:$R)</f>
        <v>ラベル１枚　長手無　鉢巻１回</v>
      </c>
      <c r="E42" s="114"/>
      <c r="F42" s="115"/>
      <c r="G42" s="36"/>
      <c r="H42" s="37"/>
      <c r="I42" s="38" t="s">
        <v>159</v>
      </c>
      <c r="J42" s="40" t="str">
        <v/>
      </c>
      <c r="K42" s="46"/>
    </row>
    <row r="43" spans="1:14" s="19" customFormat="1" ht="18" customHeight="1" thickBot="1">
      <c r="A43" s="52" t="str">
        <f>_xlfn.XLOOKUP(B3,[1]VFDB2!$A:$A,[1]VFDB2!$K:$K)</f>
        <v>－0.5</v>
      </c>
      <c r="B43" s="53">
        <f>_xlfn.XLOOKUP(B3,[1]VFDB2!$A:$A,[1]VFDB2!$P:$P)</f>
        <v>6</v>
      </c>
      <c r="C43" s="54" t="s">
        <v>160</v>
      </c>
      <c r="D43" s="116" t="str">
        <f>_xlfn.XLOOKUP(B3,[1]VFDB2!$A:$A,[1]VFDB2!$V:$V)</f>
        <v>1箱目の梱包数 目視確認　以降、重量測定</v>
      </c>
      <c r="E43" s="116"/>
      <c r="F43" s="117"/>
      <c r="G43" s="55"/>
      <c r="H43" s="56"/>
      <c r="I43" s="38" t="s">
        <v>161</v>
      </c>
      <c r="J43" s="41" t="str">
        <v/>
      </c>
      <c r="K43" s="49"/>
    </row>
    <row r="44" spans="1:14" s="15" customFormat="1" ht="18" customHeight="1" thickBot="1">
      <c r="A44" s="57" t="s">
        <v>162</v>
      </c>
      <c r="B44" s="58" t="str" cm="1">
        <f t="array" ref="B44">IF(SUM(--(ISTEXT(B45:B55)*(B45:B55&lt;&gt;"")))=0,"計測Lot","計測Lot・加工数")</f>
        <v>計測Lot</v>
      </c>
      <c r="C44" s="59" t="s">
        <v>163</v>
      </c>
      <c r="D44" s="60" t="s">
        <v>164</v>
      </c>
      <c r="E44" s="61" t="s">
        <v>165</v>
      </c>
      <c r="F44" s="62" t="str" cm="1">
        <f t="array" ref="F44">IF(SUM(--(ISTEXT(B45:B55)*(B45:B55&lt;&gt;"")))=0,"記入不要","使用Lot")</f>
        <v>記入不要</v>
      </c>
      <c r="G44" s="63" t="s">
        <v>166</v>
      </c>
      <c r="H44" s="64" t="s">
        <v>167</v>
      </c>
      <c r="I44" s="65" t="s">
        <v>168</v>
      </c>
      <c r="J44" s="42" t="str">
        <v/>
      </c>
      <c r="K44" s="46"/>
    </row>
    <row r="45" spans="1:14" s="19" customFormat="1" ht="18" customHeight="1">
      <c r="A45" s="66" t="str" cm="1">
        <f t="array" ref="A45:A55">IFERROR(INDEX(_xlfn._xlws.FILTER([2]加工記録２!$D:$D,[2]加工記録２!$U:$U=B5),_xlfn.SEQUENCE(11),0),"")</f>
        <v/>
      </c>
      <c r="B45" s="7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3"/>
      <c r="D45" s="74"/>
      <c r="E45" s="75"/>
      <c r="F45" s="76"/>
      <c r="G45" s="77"/>
      <c r="H45" s="78"/>
      <c r="I45" s="104" t="s">
        <v>169</v>
      </c>
      <c r="J45" s="105"/>
      <c r="K45" s="79"/>
    </row>
    <row r="46" spans="1:14" s="15" customFormat="1" ht="18" customHeight="1">
      <c r="A46" s="67" t="str">
        <v/>
      </c>
      <c r="B46" s="71" t="str">
        <v/>
      </c>
      <c r="C46" s="80"/>
      <c r="D46" s="81"/>
      <c r="E46" s="82"/>
      <c r="F46" s="83"/>
      <c r="G46" s="80"/>
      <c r="H46" s="84"/>
      <c r="I46" s="85" t="s">
        <v>170</v>
      </c>
      <c r="J46" s="84" t="str" cm="1">
        <f t="array" ref="J46:J55">IFERROR(INDEX(_xlfn._xlws.FILTER([2]加工記録２!R:R, [2]加工記録２!U:U=B5),_xlfn.SEQUENCE(10)),"")</f>
        <v/>
      </c>
      <c r="K46" s="79"/>
    </row>
    <row r="47" spans="1:14" s="90" customFormat="1" ht="18.95" customHeight="1">
      <c r="A47" s="68" t="str">
        <v/>
      </c>
      <c r="B47" s="71" t="str">
        <v/>
      </c>
      <c r="C47" s="80"/>
      <c r="D47" s="81"/>
      <c r="E47" s="82"/>
      <c r="F47" s="83"/>
      <c r="G47" s="80"/>
      <c r="H47" s="84"/>
      <c r="I47" s="85" t="s">
        <v>171</v>
      </c>
      <c r="J47" s="84" t="str">
        <v/>
      </c>
      <c r="K47" s="88"/>
      <c r="L47" s="89"/>
      <c r="M47" s="89"/>
      <c r="N47" s="89"/>
    </row>
    <row r="48" spans="1:14" s="93" customFormat="1" ht="18.95" customHeight="1">
      <c r="A48" s="68" t="str">
        <v/>
      </c>
      <c r="B48" s="71" t="str">
        <v/>
      </c>
      <c r="C48" s="80"/>
      <c r="D48" s="81"/>
      <c r="E48" s="82"/>
      <c r="F48" s="83"/>
      <c r="G48" s="80"/>
      <c r="H48" s="84"/>
      <c r="I48" s="85" t="s">
        <v>172</v>
      </c>
      <c r="J48" s="84" t="str">
        <v/>
      </c>
      <c r="K48" s="91"/>
      <c r="L48" s="92"/>
      <c r="M48" s="92"/>
      <c r="N48" s="92"/>
    </row>
    <row r="49" spans="1:14" s="93" customFormat="1" ht="18.95" customHeight="1">
      <c r="A49" s="68" t="str">
        <v/>
      </c>
      <c r="B49" s="71" t="str">
        <v/>
      </c>
      <c r="C49" s="80"/>
      <c r="D49" s="81"/>
      <c r="E49" s="82"/>
      <c r="F49" s="83"/>
      <c r="G49" s="80"/>
      <c r="H49" s="84"/>
      <c r="I49" s="85" t="s">
        <v>173</v>
      </c>
      <c r="J49" s="84" t="str">
        <v/>
      </c>
      <c r="K49" s="91"/>
      <c r="L49" s="92"/>
      <c r="M49" s="92"/>
      <c r="N49" s="92"/>
    </row>
    <row r="50" spans="1:14" s="93" customFormat="1" ht="18.95" customHeight="1">
      <c r="A50" s="68" t="str">
        <v/>
      </c>
      <c r="B50" s="71" t="str">
        <v/>
      </c>
      <c r="C50" s="80"/>
      <c r="D50" s="81"/>
      <c r="E50" s="82"/>
      <c r="F50" s="83"/>
      <c r="G50" s="80"/>
      <c r="H50" s="84"/>
      <c r="I50" s="85" t="s">
        <v>174</v>
      </c>
      <c r="J50" s="84" t="str">
        <v/>
      </c>
      <c r="K50" s="91"/>
      <c r="L50" s="92"/>
      <c r="M50" s="92"/>
      <c r="N50" s="92"/>
    </row>
    <row r="51" spans="1:14" s="93" customFormat="1" ht="18.95" customHeight="1">
      <c r="A51" s="68" t="str">
        <v/>
      </c>
      <c r="B51" s="71" t="str">
        <v/>
      </c>
      <c r="C51" s="80"/>
      <c r="D51" s="81"/>
      <c r="E51" s="82"/>
      <c r="F51" s="83"/>
      <c r="G51" s="80"/>
      <c r="H51" s="84"/>
      <c r="I51" s="85" t="s">
        <v>175</v>
      </c>
      <c r="J51" s="84" t="str">
        <v/>
      </c>
      <c r="K51" s="91"/>
      <c r="L51" s="92"/>
      <c r="M51" s="92"/>
      <c r="N51" s="92"/>
    </row>
    <row r="52" spans="1:14" s="93" customFormat="1" ht="18.95" customHeight="1">
      <c r="A52" s="68" t="str">
        <v/>
      </c>
      <c r="B52" s="71" t="str">
        <v/>
      </c>
      <c r="C52" s="80"/>
      <c r="D52" s="81"/>
      <c r="E52" s="82"/>
      <c r="F52" s="83"/>
      <c r="G52" s="80"/>
      <c r="H52" s="84"/>
      <c r="I52" s="94" t="s">
        <v>176</v>
      </c>
      <c r="J52" s="84" t="str">
        <v/>
      </c>
      <c r="K52" s="91"/>
      <c r="L52" s="92"/>
      <c r="M52" s="92"/>
      <c r="N52" s="92"/>
    </row>
    <row r="53" spans="1:14" s="93" customFormat="1" ht="18.95" customHeight="1">
      <c r="A53" s="68" t="str">
        <v/>
      </c>
      <c r="B53" s="71" t="str">
        <v/>
      </c>
      <c r="C53" s="80"/>
      <c r="D53" s="81"/>
      <c r="E53" s="82"/>
      <c r="F53" s="83"/>
      <c r="G53" s="80"/>
      <c r="H53" s="84"/>
      <c r="I53" s="94" t="s">
        <v>177</v>
      </c>
      <c r="J53" s="84" t="str">
        <v/>
      </c>
      <c r="K53" s="91"/>
      <c r="L53" s="92"/>
      <c r="M53" s="92"/>
      <c r="N53" s="92"/>
    </row>
    <row r="54" spans="1:14" s="93" customFormat="1" ht="18.95" customHeight="1">
      <c r="A54" s="68" t="str">
        <v/>
      </c>
      <c r="B54" s="71" t="str">
        <v/>
      </c>
      <c r="C54" s="80"/>
      <c r="D54" s="81"/>
      <c r="E54" s="82"/>
      <c r="F54" s="83"/>
      <c r="G54" s="80"/>
      <c r="H54" s="84"/>
      <c r="I54" s="85" t="s">
        <v>178</v>
      </c>
      <c r="J54" s="86" t="str">
        <v/>
      </c>
      <c r="K54" s="91"/>
      <c r="L54" s="92"/>
      <c r="M54" s="92"/>
      <c r="N54" s="92"/>
    </row>
    <row r="55" spans="1:14" s="93" customFormat="1" ht="18.95" customHeight="1" thickBot="1">
      <c r="A55" s="69" t="str">
        <v/>
      </c>
      <c r="B55" s="72" t="str">
        <v/>
      </c>
      <c r="C55" s="95"/>
      <c r="D55" s="96"/>
      <c r="E55" s="97"/>
      <c r="F55" s="98"/>
      <c r="G55" s="99"/>
      <c r="H55" s="100"/>
      <c r="I55" s="101" t="s">
        <v>179</v>
      </c>
      <c r="J55" s="87" t="str">
        <v/>
      </c>
      <c r="K55" s="91"/>
      <c r="L55" s="92"/>
      <c r="M55" s="92"/>
      <c r="N55" s="92"/>
    </row>
    <row r="56" spans="1:14" ht="6" customHeight="1" thickBot="1">
      <c r="A56" s="102"/>
      <c r="B56" s="103"/>
      <c r="C56" s="103"/>
      <c r="D56" s="102"/>
      <c r="E56" s="103"/>
      <c r="F56" s="103"/>
      <c r="G56" s="103"/>
      <c r="H56" s="103"/>
    </row>
    <row r="57" spans="1:14" ht="6" customHeight="1" thickTop="1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4" ht="14.25" customHeight="1" thickBot="1">
      <c r="A58" s="1"/>
      <c r="B58" s="150" t="s">
        <v>0</v>
      </c>
      <c r="C58" s="119"/>
      <c r="D58" s="119"/>
      <c r="E58" s="1"/>
      <c r="F58" s="1"/>
      <c r="G58" s="1"/>
      <c r="H58" s="1"/>
      <c r="I58" s="1"/>
      <c r="J58" s="1"/>
    </row>
    <row r="59" spans="1:14" ht="14.25" customHeight="1" thickTop="1">
      <c r="A59" s="3"/>
      <c r="B59" s="119"/>
      <c r="C59" s="119"/>
      <c r="D59" s="119"/>
      <c r="E59" s="3"/>
      <c r="F59" s="3"/>
      <c r="G59" s="3"/>
      <c r="H59" s="3"/>
      <c r="I59" s="3"/>
      <c r="J59" s="3"/>
    </row>
    <row r="60" spans="1:14" ht="14.25" customHeight="1">
      <c r="A60" s="151" t="s">
        <v>1</v>
      </c>
      <c r="B60" s="151" t="s">
        <v>2</v>
      </c>
      <c r="C60" s="151" t="s">
        <v>3</v>
      </c>
      <c r="D60" s="152">
        <v>297</v>
      </c>
      <c r="E60" s="151" t="s">
        <v>4</v>
      </c>
      <c r="F60" s="147" t="s">
        <v>5</v>
      </c>
      <c r="G60" s="119"/>
      <c r="H60" s="119"/>
      <c r="I60" s="4" t="s">
        <v>6</v>
      </c>
      <c r="J60" s="4" t="s">
        <v>7</v>
      </c>
    </row>
    <row r="61" spans="1:14" ht="14.25" customHeight="1">
      <c r="A61" s="119"/>
      <c r="B61" s="119"/>
      <c r="C61" s="119"/>
      <c r="D61" s="119"/>
      <c r="E61" s="119"/>
      <c r="F61" s="119"/>
      <c r="G61" s="119"/>
      <c r="H61" s="119"/>
      <c r="I61" s="148"/>
      <c r="J61" s="148"/>
    </row>
    <row r="62" spans="1:14" ht="17.45" customHeight="1">
      <c r="A62" s="139" t="s">
        <v>8</v>
      </c>
      <c r="B62" s="139" t="s">
        <v>64</v>
      </c>
      <c r="E62" s="139" t="s">
        <v>10</v>
      </c>
      <c r="F62" s="140" t="s">
        <v>11</v>
      </c>
      <c r="G62" s="119"/>
      <c r="H62" s="119"/>
      <c r="I62" s="149"/>
      <c r="J62" s="149"/>
    </row>
    <row r="63" spans="1:14" ht="17.45" customHeight="1">
      <c r="A63" s="119"/>
      <c r="B63" s="119"/>
      <c r="E63" s="119"/>
      <c r="F63" s="119"/>
      <c r="G63" s="119"/>
      <c r="H63" s="119"/>
      <c r="I63" s="7"/>
      <c r="J63" s="7"/>
    </row>
    <row r="64" spans="1:14" ht="17.45" customHeight="1">
      <c r="A64" s="139" t="s">
        <v>12</v>
      </c>
      <c r="B64" s="139" t="s">
        <v>65</v>
      </c>
      <c r="E64" s="8" t="s">
        <v>14</v>
      </c>
      <c r="F64" s="140" t="s">
        <v>15</v>
      </c>
      <c r="G64" s="119"/>
      <c r="H64" s="6"/>
      <c r="I64" s="7"/>
      <c r="J64" s="7"/>
    </row>
    <row r="65" spans="1:10" ht="17.45" customHeight="1">
      <c r="A65" s="119"/>
      <c r="B65" s="119"/>
      <c r="E65" s="8" t="s">
        <v>16</v>
      </c>
      <c r="F65" s="6" t="s">
        <v>17</v>
      </c>
      <c r="G65" s="6"/>
      <c r="H65" s="6"/>
      <c r="I65" s="9"/>
      <c r="J65" s="9"/>
    </row>
    <row r="66" spans="1:10" ht="17.45" customHeight="1">
      <c r="A66" s="8" t="s">
        <v>18</v>
      </c>
      <c r="B66" s="10">
        <v>46121</v>
      </c>
      <c r="E66" s="8" t="s">
        <v>19</v>
      </c>
      <c r="F66" s="141">
        <v>100</v>
      </c>
      <c r="G66" s="119"/>
      <c r="H66" s="6"/>
    </row>
    <row r="67" spans="1:10" ht="17.45" customHeight="1">
      <c r="A67" s="8" t="s">
        <v>20</v>
      </c>
      <c r="B67" s="10">
        <v>46121</v>
      </c>
      <c r="E67" s="8" t="s">
        <v>21</v>
      </c>
      <c r="F67" s="6">
        <v>2</v>
      </c>
      <c r="G67" s="142" t="s">
        <v>22</v>
      </c>
      <c r="H67" s="144">
        <v>200</v>
      </c>
      <c r="I67" s="145"/>
      <c r="J67" s="146"/>
    </row>
    <row r="68" spans="1:10" ht="17.45" customHeight="1">
      <c r="A68" s="11"/>
      <c r="B68" s="12"/>
      <c r="C68" s="12"/>
      <c r="D68" s="12"/>
      <c r="E68" s="8" t="s">
        <v>23</v>
      </c>
      <c r="F68" s="6" t="s">
        <v>24</v>
      </c>
      <c r="G68" s="143"/>
      <c r="H68" s="143"/>
      <c r="I68" s="125"/>
      <c r="J68" s="133"/>
    </row>
    <row r="69" spans="1:10" ht="13.5" customHeight="1">
      <c r="A69" s="127" t="s">
        <v>25</v>
      </c>
      <c r="B69" s="119"/>
      <c r="C69" s="119"/>
      <c r="D69" s="12"/>
      <c r="F69" s="5"/>
      <c r="G69" s="128" t="s">
        <v>26</v>
      </c>
      <c r="H69" s="130" t="s">
        <v>27</v>
      </c>
      <c r="I69" s="131" t="s">
        <v>28</v>
      </c>
      <c r="J69" s="132"/>
    </row>
    <row r="70" spans="1:10" ht="13.5" customHeight="1">
      <c r="A70" s="119"/>
      <c r="B70" s="119"/>
      <c r="C70" s="119"/>
      <c r="D70" s="12"/>
      <c r="F70" s="5"/>
      <c r="G70" s="129"/>
      <c r="H70" s="129"/>
      <c r="I70" s="125"/>
      <c r="J70" s="133"/>
    </row>
    <row r="71" spans="1:10" ht="13.5" customHeight="1">
      <c r="A71" s="2" t="s">
        <v>29</v>
      </c>
    </row>
    <row r="72" spans="1:10" ht="63" customHeight="1" thickBot="1">
      <c r="A72" s="134"/>
      <c r="B72" s="135"/>
      <c r="C72" s="135"/>
      <c r="D72" s="135"/>
      <c r="E72" s="135"/>
      <c r="F72" s="135"/>
      <c r="G72" s="135"/>
      <c r="H72" s="135"/>
      <c r="I72" s="135"/>
      <c r="J72" s="135"/>
    </row>
    <row r="73" spans="1:10" ht="18.75">
      <c r="A73" s="13" t="s">
        <v>30</v>
      </c>
      <c r="B73" s="14" t="s">
        <v>31</v>
      </c>
      <c r="C73" s="136" t="s">
        <v>32</v>
      </c>
      <c r="D73" s="137"/>
      <c r="E73" s="14" t="s">
        <v>33</v>
      </c>
      <c r="F73" s="136" t="s">
        <v>34</v>
      </c>
      <c r="G73" s="137"/>
      <c r="H73" s="137"/>
      <c r="I73" s="138" t="s">
        <v>35</v>
      </c>
      <c r="J73" s="137"/>
    </row>
    <row r="74" spans="1:10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6.5" customHeight="1">
      <c r="A75" s="17">
        <v>1</v>
      </c>
      <c r="B75" s="18" t="s">
        <v>36</v>
      </c>
      <c r="C75" s="118" t="s">
        <v>37</v>
      </c>
      <c r="D75" s="119"/>
      <c r="E75" s="18" t="s">
        <v>38</v>
      </c>
      <c r="F75" s="118" t="s">
        <v>39</v>
      </c>
      <c r="G75" s="119"/>
      <c r="H75" s="119"/>
      <c r="I75" s="126"/>
      <c r="J75" s="119"/>
    </row>
    <row r="76" spans="1:10" ht="16.5" customHeight="1">
      <c r="A76" s="17">
        <v>1</v>
      </c>
      <c r="B76" s="20" t="s">
        <v>36</v>
      </c>
      <c r="C76" s="118" t="s">
        <v>37</v>
      </c>
      <c r="D76" s="119"/>
      <c r="E76" s="18" t="s">
        <v>40</v>
      </c>
      <c r="F76" s="118" t="s">
        <v>41</v>
      </c>
      <c r="G76" s="119"/>
      <c r="H76" s="119"/>
      <c r="I76" s="126"/>
      <c r="J76" s="119"/>
    </row>
    <row r="77" spans="1:10" ht="16.5" customHeight="1">
      <c r="A77" s="17"/>
      <c r="B77" s="20"/>
      <c r="C77" s="118"/>
      <c r="D77" s="119"/>
      <c r="E77" s="18"/>
      <c r="F77" s="118"/>
      <c r="G77" s="119"/>
      <c r="H77" s="119"/>
      <c r="I77" s="126"/>
      <c r="J77" s="119"/>
    </row>
    <row r="78" spans="1:10" ht="16.5" customHeight="1">
      <c r="A78" s="17"/>
      <c r="B78" s="20"/>
      <c r="C78" s="118"/>
      <c r="D78" s="119"/>
      <c r="E78" s="18"/>
      <c r="F78" s="118"/>
      <c r="G78" s="119"/>
      <c r="H78" s="119"/>
      <c r="I78" s="126"/>
      <c r="J78" s="119"/>
    </row>
    <row r="79" spans="1:10" ht="16.5" customHeight="1">
      <c r="A79" s="17"/>
      <c r="B79" s="20"/>
      <c r="C79" s="118"/>
      <c r="D79" s="119"/>
      <c r="E79" s="18"/>
      <c r="F79" s="118"/>
      <c r="G79" s="119"/>
      <c r="H79" s="119"/>
      <c r="I79" s="126"/>
      <c r="J79" s="119"/>
    </row>
    <row r="80" spans="1:10" ht="16.5" customHeight="1">
      <c r="A80" s="17"/>
      <c r="B80" s="20"/>
      <c r="C80" s="118"/>
      <c r="D80" s="119"/>
      <c r="E80" s="18"/>
      <c r="F80" s="118"/>
      <c r="G80" s="119"/>
      <c r="H80" s="119"/>
      <c r="I80" s="126"/>
      <c r="J80" s="119"/>
    </row>
    <row r="81" spans="1:10" ht="16.5" customHeight="1" thickBo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8.75">
      <c r="A82" s="122" t="s">
        <v>42</v>
      </c>
      <c r="B82" s="123"/>
      <c r="C82" s="122" t="s">
        <v>43</v>
      </c>
      <c r="D82" s="123"/>
      <c r="E82" s="123"/>
      <c r="F82" s="22" t="s">
        <v>44</v>
      </c>
      <c r="G82" s="122" t="s">
        <v>45</v>
      </c>
      <c r="H82" s="123"/>
      <c r="I82" s="122" t="s">
        <v>46</v>
      </c>
      <c r="J82" s="123"/>
    </row>
    <row r="83" spans="1:10" ht="14.25" customHeight="1">
      <c r="A83" s="23"/>
      <c r="B83" s="24"/>
      <c r="C83" s="124" t="s">
        <v>47</v>
      </c>
      <c r="D83" s="125"/>
      <c r="E83" s="24"/>
      <c r="F83" s="124" t="s">
        <v>29</v>
      </c>
      <c r="G83" s="125"/>
      <c r="H83" s="125"/>
      <c r="I83" s="125"/>
      <c r="J83" s="125"/>
    </row>
    <row r="84" spans="1:10">
      <c r="A84" s="25"/>
      <c r="C84" s="19"/>
      <c r="D84" s="19"/>
      <c r="E84" s="19"/>
    </row>
    <row r="85" spans="1:10" ht="14.25" customHeight="1">
      <c r="A85" s="118" t="s">
        <v>48</v>
      </c>
      <c r="B85" s="119"/>
      <c r="C85" s="118" t="s">
        <v>49</v>
      </c>
      <c r="D85" s="119"/>
      <c r="E85" s="119"/>
      <c r="F85" s="18" t="s">
        <v>27</v>
      </c>
      <c r="G85" s="120">
        <v>33.4</v>
      </c>
      <c r="H85" s="119"/>
      <c r="I85" s="120">
        <v>0.33400000000000002</v>
      </c>
      <c r="J85" s="119"/>
    </row>
    <row r="86" spans="1:10" ht="24.95" customHeight="1">
      <c r="A86" s="121" t="s">
        <v>50</v>
      </c>
      <c r="B86" s="119"/>
      <c r="C86" s="118"/>
      <c r="D86" s="119"/>
      <c r="E86" s="119"/>
      <c r="F86" s="118"/>
      <c r="G86" s="119"/>
      <c r="H86" s="119"/>
      <c r="I86" s="119"/>
      <c r="J86" s="119"/>
    </row>
    <row r="87" spans="1:10" ht="14.25" customHeight="1">
      <c r="A87" s="118" t="s">
        <v>51</v>
      </c>
      <c r="B87" s="119"/>
      <c r="C87" s="118" t="s">
        <v>52</v>
      </c>
      <c r="D87" s="119"/>
      <c r="E87" s="119"/>
      <c r="F87" s="18" t="s">
        <v>53</v>
      </c>
      <c r="G87" s="120">
        <v>2</v>
      </c>
      <c r="H87" s="119"/>
      <c r="I87" s="120">
        <v>0.02</v>
      </c>
      <c r="J87" s="119"/>
    </row>
    <row r="88" spans="1:10" ht="24.95" customHeight="1">
      <c r="A88" s="121" t="s">
        <v>54</v>
      </c>
      <c r="B88" s="119"/>
      <c r="C88" s="118" t="s">
        <v>55</v>
      </c>
      <c r="D88" s="119"/>
      <c r="E88" s="119"/>
      <c r="F88" s="118"/>
      <c r="G88" s="119"/>
      <c r="H88" s="119"/>
      <c r="I88" s="119"/>
      <c r="J88" s="119"/>
    </row>
    <row r="89" spans="1:10" ht="14.25" customHeight="1">
      <c r="A89" s="118" t="s">
        <v>56</v>
      </c>
      <c r="B89" s="119"/>
      <c r="C89" s="118" t="s">
        <v>57</v>
      </c>
      <c r="D89" s="119"/>
      <c r="E89" s="119"/>
      <c r="F89" s="18"/>
      <c r="G89" s="120">
        <v>0.2</v>
      </c>
      <c r="H89" s="119"/>
      <c r="I89" s="120">
        <v>2E-3</v>
      </c>
      <c r="J89" s="119"/>
    </row>
    <row r="90" spans="1:10" ht="24.95" customHeight="1">
      <c r="A90" s="121" t="s">
        <v>58</v>
      </c>
      <c r="B90" s="119"/>
      <c r="C90" s="118" t="s">
        <v>59</v>
      </c>
      <c r="D90" s="119"/>
      <c r="E90" s="119"/>
      <c r="F90" s="118"/>
      <c r="G90" s="119"/>
      <c r="H90" s="119"/>
      <c r="I90" s="119"/>
      <c r="J90" s="119"/>
    </row>
    <row r="91" spans="1:10" ht="14.25" customHeight="1">
      <c r="A91" s="118" t="s">
        <v>60</v>
      </c>
      <c r="B91" s="119"/>
      <c r="C91" s="118" t="s">
        <v>61</v>
      </c>
      <c r="D91" s="119"/>
      <c r="E91" s="119"/>
      <c r="F91" s="18"/>
      <c r="G91" s="120">
        <v>0.2</v>
      </c>
      <c r="H91" s="119"/>
      <c r="I91" s="120">
        <v>2E-3</v>
      </c>
      <c r="J91" s="119"/>
    </row>
    <row r="92" spans="1:10" ht="24.95" customHeight="1">
      <c r="A92" s="121" t="s">
        <v>62</v>
      </c>
      <c r="B92" s="119"/>
      <c r="C92" s="118" t="s">
        <v>63</v>
      </c>
      <c r="D92" s="119"/>
      <c r="E92" s="119"/>
      <c r="F92" s="118"/>
      <c r="G92" s="119"/>
      <c r="H92" s="119"/>
      <c r="I92" s="119"/>
      <c r="J92" s="119"/>
    </row>
    <row r="93" spans="1:10" ht="14.25" customHeight="1">
      <c r="A93" s="118"/>
      <c r="B93" s="119"/>
      <c r="C93" s="118"/>
      <c r="D93" s="119"/>
      <c r="E93" s="119"/>
      <c r="F93" s="18"/>
      <c r="G93" s="120"/>
      <c r="H93" s="119"/>
      <c r="I93" s="120"/>
      <c r="J93" s="119"/>
    </row>
    <row r="94" spans="1:10" ht="24.95" customHeight="1" thickBot="1">
      <c r="A94" s="121"/>
      <c r="B94" s="119"/>
      <c r="C94" s="118"/>
      <c r="D94" s="119"/>
      <c r="E94" s="119"/>
      <c r="F94" s="118"/>
      <c r="G94" s="119"/>
      <c r="H94" s="119"/>
      <c r="I94" s="119"/>
      <c r="J94" s="119"/>
    </row>
    <row r="95" spans="1:10" s="15" customFormat="1" ht="18" customHeight="1">
      <c r="A95" s="27" t="s">
        <v>143</v>
      </c>
      <c r="B95" s="28" t="s">
        <v>144</v>
      </c>
      <c r="C95" s="108" t="s">
        <v>145</v>
      </c>
      <c r="D95" s="109"/>
      <c r="E95" s="29" t="s">
        <v>146</v>
      </c>
      <c r="F95" s="30" t="s">
        <v>147</v>
      </c>
      <c r="G95" s="31" t="s">
        <v>148</v>
      </c>
      <c r="H95" s="32" t="s">
        <v>149</v>
      </c>
      <c r="I95" s="106" t="s">
        <v>150</v>
      </c>
      <c r="J95" s="107"/>
    </row>
    <row r="96" spans="1:10" s="19" customFormat="1" ht="18" customHeight="1">
      <c r="A96" s="33" t="str">
        <f>_xlfn.XLOOKUP(B60,[3]VFDB2!$A:$A,[3]VFDB2!$J:$J)</f>
        <v>〇</v>
      </c>
      <c r="B96" s="34">
        <f>D60</f>
        <v>297</v>
      </c>
      <c r="C96" s="110" t="str">
        <f>_xlfn.XLOOKUP(B60,[3]VFDB2!$A:$A,[3]VFDB2!$Z:$Z)</f>
        <v>LED-A300</v>
      </c>
      <c r="D96" s="111"/>
      <c r="E96" s="112" t="str" cm="1">
        <f t="array" ref="E96">IFERROR(INDEX(_xlfn._xlws.FILTER([4]加工記録２!C:C,[4]加工記録２!U:U=B62),9),"")</f>
        <v/>
      </c>
      <c r="F96" s="35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6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7"/>
      <c r="I96" s="38" t="s">
        <v>151</v>
      </c>
      <c r="J96" s="39" t="str" cm="1">
        <f t="array" ref="J96:J101">IFERROR(INDEX(_xlfn._xlws.FILTER([4]加工記録２!P:P, [4]加工記録２!U:U=B62),_xlfn.SEQUENCE(6)),"")</f>
        <v/>
      </c>
    </row>
    <row r="97" spans="1:14" s="15" customFormat="1" ht="18" customHeight="1">
      <c r="A97" s="43" t="s">
        <v>152</v>
      </c>
      <c r="B97" s="44" t="s">
        <v>153</v>
      </c>
      <c r="C97" s="110"/>
      <c r="D97" s="111"/>
      <c r="E97" s="112"/>
      <c r="F97" s="45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6"/>
      <c r="H97" s="37"/>
      <c r="I97" s="38" t="s">
        <v>154</v>
      </c>
      <c r="J97" s="40" t="str">
        <v/>
      </c>
      <c r="K97" s="46"/>
    </row>
    <row r="98" spans="1:14" s="19" customFormat="1" ht="18" customHeight="1">
      <c r="A98" s="47" t="str">
        <f>_xlfn.XLOOKUP(B60,[3]VFDB2!$A:$A,[3]VFDB2!$L:$L)</f>
        <v>+0.5</v>
      </c>
      <c r="B98" s="48" t="str">
        <f>_xlfn.XLOOKUP(B60,[3]VFDB2!$A:$A,[3]VFDB2!$AC:$AC)</f>
        <v>換算表確認</v>
      </c>
      <c r="C98" s="113" t="s">
        <v>155</v>
      </c>
      <c r="D98" s="114" t="str">
        <f>_xlfn.XLOOKUP(B60,[3]VFDB2!$A:$A,[3]VFDB2!$W:$W)</f>
        <v>クラフト紙：592型　1/2</v>
      </c>
      <c r="E98" s="114"/>
      <c r="F98" s="115"/>
      <c r="G98" s="36"/>
      <c r="H98" s="37"/>
      <c r="I98" s="38" t="s">
        <v>156</v>
      </c>
      <c r="J98" s="40" t="str">
        <v/>
      </c>
      <c r="K98" s="49"/>
    </row>
    <row r="99" spans="1:14" s="15" customFormat="1" ht="18" customHeight="1">
      <c r="A99" s="50" t="s">
        <v>157</v>
      </c>
      <c r="B99" s="51" t="s">
        <v>158</v>
      </c>
      <c r="C99" s="113"/>
      <c r="D99" s="114" t="str">
        <f>_xlfn.XLOOKUP(B60,[3]VFDB2!$A:$A,[3]VFDB2!$R:$R)</f>
        <v>ラベル１枚　長手無　鉢巻１回</v>
      </c>
      <c r="E99" s="114"/>
      <c r="F99" s="115"/>
      <c r="G99" s="36"/>
      <c r="H99" s="37"/>
      <c r="I99" s="38" t="s">
        <v>159</v>
      </c>
      <c r="J99" s="40" t="str">
        <v/>
      </c>
      <c r="K99" s="46"/>
    </row>
    <row r="100" spans="1:14" s="19" customFormat="1" ht="18" customHeight="1" thickBot="1">
      <c r="A100" s="52" t="str">
        <f>_xlfn.XLOOKUP(B60,[3]VFDB2!$A:$A,[3]VFDB2!$K:$K)</f>
        <v>－0.5</v>
      </c>
      <c r="B100" s="53">
        <f>_xlfn.XLOOKUP(B60,[3]VFDB2!$A:$A,[3]VFDB2!$P:$P)</f>
        <v>6</v>
      </c>
      <c r="C100" s="54" t="s">
        <v>160</v>
      </c>
      <c r="D100" s="116" t="str">
        <f>_xlfn.XLOOKUP(B60,[3]VFDB2!$A:$A,[3]VFDB2!$V:$V)</f>
        <v>1箱目の梱包数 目視確認　以降、重量測定</v>
      </c>
      <c r="E100" s="116"/>
      <c r="F100" s="117"/>
      <c r="G100" s="55"/>
      <c r="H100" s="56"/>
      <c r="I100" s="38" t="s">
        <v>161</v>
      </c>
      <c r="J100" s="41" t="str">
        <v/>
      </c>
      <c r="K100" s="49"/>
    </row>
    <row r="101" spans="1:14" s="15" customFormat="1" ht="18" customHeight="1" thickBot="1">
      <c r="A101" s="57" t="s">
        <v>162</v>
      </c>
      <c r="B101" s="58" t="str" cm="1">
        <f t="array" ref="B101">IF(SUM(--(ISTEXT(B102:B112)*(B102:B112&lt;&gt;"")))=0,"計測Lot","計測Lot・加工数")</f>
        <v>計測Lot</v>
      </c>
      <c r="C101" s="59" t="s">
        <v>163</v>
      </c>
      <c r="D101" s="60" t="s">
        <v>164</v>
      </c>
      <c r="E101" s="61" t="s">
        <v>165</v>
      </c>
      <c r="F101" s="62" t="str" cm="1">
        <f t="array" ref="F101">IF(SUM(--(ISTEXT(B102:B112)*(B102:B112&lt;&gt;"")))=0,"記入不要","使用Lot")</f>
        <v>記入不要</v>
      </c>
      <c r="G101" s="63" t="s">
        <v>166</v>
      </c>
      <c r="H101" s="64" t="s">
        <v>167</v>
      </c>
      <c r="I101" s="65" t="s">
        <v>168</v>
      </c>
      <c r="J101" s="42" t="str">
        <v/>
      </c>
      <c r="K101" s="46"/>
    </row>
    <row r="102" spans="1:14" s="19" customFormat="1" ht="18" customHeight="1">
      <c r="A102" s="66" t="str" cm="1">
        <f t="array" ref="A102:A112">IFERROR(INDEX(_xlfn._xlws.FILTER([4]加工記録２!$D:$D,[4]加工記録２!$U:$U=B62),_xlfn.SEQUENCE(11),0),"")</f>
        <v/>
      </c>
      <c r="B102" s="70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3"/>
      <c r="D102" s="74"/>
      <c r="E102" s="75"/>
      <c r="F102" s="76"/>
      <c r="G102" s="77"/>
      <c r="H102" s="78"/>
      <c r="I102" s="104" t="s">
        <v>169</v>
      </c>
      <c r="J102" s="105"/>
      <c r="K102" s="79"/>
    </row>
    <row r="103" spans="1:14" s="15" customFormat="1" ht="18" customHeight="1">
      <c r="A103" s="67" t="str">
        <v/>
      </c>
      <c r="B103" s="71" t="str">
        <v/>
      </c>
      <c r="C103" s="80"/>
      <c r="D103" s="81"/>
      <c r="E103" s="82"/>
      <c r="F103" s="83"/>
      <c r="G103" s="80"/>
      <c r="H103" s="84"/>
      <c r="I103" s="85" t="s">
        <v>170</v>
      </c>
      <c r="J103" s="84" t="str" cm="1">
        <f t="array" ref="J103:J112">IFERROR(INDEX(_xlfn._xlws.FILTER([4]加工記録２!R:R, [4]加工記録２!U:U=B62),_xlfn.SEQUENCE(10)),"")</f>
        <v/>
      </c>
      <c r="K103" s="79"/>
    </row>
    <row r="104" spans="1:14" s="90" customFormat="1" ht="18.95" customHeight="1">
      <c r="A104" s="68" t="str">
        <v/>
      </c>
      <c r="B104" s="71" t="str">
        <v/>
      </c>
      <c r="C104" s="80"/>
      <c r="D104" s="81"/>
      <c r="E104" s="82"/>
      <c r="F104" s="83"/>
      <c r="G104" s="80"/>
      <c r="H104" s="84"/>
      <c r="I104" s="85" t="s">
        <v>171</v>
      </c>
      <c r="J104" s="84" t="str">
        <v/>
      </c>
      <c r="K104" s="88"/>
      <c r="L104" s="89"/>
      <c r="M104" s="89"/>
      <c r="N104" s="89"/>
    </row>
    <row r="105" spans="1:14" s="93" customFormat="1" ht="18.95" customHeight="1">
      <c r="A105" s="68" t="str">
        <v/>
      </c>
      <c r="B105" s="71" t="str">
        <v/>
      </c>
      <c r="C105" s="80"/>
      <c r="D105" s="81"/>
      <c r="E105" s="82"/>
      <c r="F105" s="83"/>
      <c r="G105" s="80"/>
      <c r="H105" s="84"/>
      <c r="I105" s="85" t="s">
        <v>172</v>
      </c>
      <c r="J105" s="84" t="str">
        <v/>
      </c>
      <c r="K105" s="91"/>
      <c r="L105" s="92"/>
      <c r="M105" s="92"/>
      <c r="N105" s="92"/>
    </row>
    <row r="106" spans="1:14" s="93" customFormat="1" ht="18.95" customHeight="1">
      <c r="A106" s="68" t="str">
        <v/>
      </c>
      <c r="B106" s="71" t="str">
        <v/>
      </c>
      <c r="C106" s="80"/>
      <c r="D106" s="81"/>
      <c r="E106" s="82"/>
      <c r="F106" s="83"/>
      <c r="G106" s="80"/>
      <c r="H106" s="84"/>
      <c r="I106" s="85" t="s">
        <v>173</v>
      </c>
      <c r="J106" s="84" t="str">
        <v/>
      </c>
      <c r="K106" s="91"/>
      <c r="L106" s="92"/>
      <c r="M106" s="92"/>
      <c r="N106" s="92"/>
    </row>
    <row r="107" spans="1:14" s="93" customFormat="1" ht="18.95" customHeight="1">
      <c r="A107" s="68" t="str">
        <v/>
      </c>
      <c r="B107" s="71" t="str">
        <v/>
      </c>
      <c r="C107" s="80"/>
      <c r="D107" s="81"/>
      <c r="E107" s="82"/>
      <c r="F107" s="83"/>
      <c r="G107" s="80"/>
      <c r="H107" s="84"/>
      <c r="I107" s="85" t="s">
        <v>174</v>
      </c>
      <c r="J107" s="84" t="str">
        <v/>
      </c>
      <c r="K107" s="91"/>
      <c r="L107" s="92"/>
      <c r="M107" s="92"/>
      <c r="N107" s="92"/>
    </row>
    <row r="108" spans="1:14" s="93" customFormat="1" ht="18.95" customHeight="1">
      <c r="A108" s="68" t="str">
        <v/>
      </c>
      <c r="B108" s="71" t="str">
        <v/>
      </c>
      <c r="C108" s="80"/>
      <c r="D108" s="81"/>
      <c r="E108" s="82"/>
      <c r="F108" s="83"/>
      <c r="G108" s="80"/>
      <c r="H108" s="84"/>
      <c r="I108" s="85" t="s">
        <v>175</v>
      </c>
      <c r="J108" s="84" t="str">
        <v/>
      </c>
      <c r="K108" s="91"/>
      <c r="L108" s="92"/>
      <c r="M108" s="92"/>
      <c r="N108" s="92"/>
    </row>
    <row r="109" spans="1:14" s="93" customFormat="1" ht="18.95" customHeight="1">
      <c r="A109" s="68" t="str">
        <v/>
      </c>
      <c r="B109" s="71" t="str">
        <v/>
      </c>
      <c r="C109" s="80"/>
      <c r="D109" s="81"/>
      <c r="E109" s="82"/>
      <c r="F109" s="83"/>
      <c r="G109" s="80"/>
      <c r="H109" s="84"/>
      <c r="I109" s="94" t="s">
        <v>176</v>
      </c>
      <c r="J109" s="84" t="str">
        <v/>
      </c>
      <c r="K109" s="91"/>
      <c r="L109" s="92"/>
      <c r="M109" s="92"/>
      <c r="N109" s="92"/>
    </row>
    <row r="110" spans="1:14" s="93" customFormat="1" ht="18.95" customHeight="1">
      <c r="A110" s="68" t="str">
        <v/>
      </c>
      <c r="B110" s="71" t="str">
        <v/>
      </c>
      <c r="C110" s="80"/>
      <c r="D110" s="81"/>
      <c r="E110" s="82"/>
      <c r="F110" s="83"/>
      <c r="G110" s="80"/>
      <c r="H110" s="84"/>
      <c r="I110" s="94" t="s">
        <v>177</v>
      </c>
      <c r="J110" s="84" t="str">
        <v/>
      </c>
      <c r="K110" s="91"/>
      <c r="L110" s="92"/>
      <c r="M110" s="92"/>
      <c r="N110" s="92"/>
    </row>
    <row r="111" spans="1:14" s="93" customFormat="1" ht="18.95" customHeight="1">
      <c r="A111" s="68" t="str">
        <v/>
      </c>
      <c r="B111" s="71" t="str">
        <v/>
      </c>
      <c r="C111" s="80"/>
      <c r="D111" s="81"/>
      <c r="E111" s="82"/>
      <c r="F111" s="83"/>
      <c r="G111" s="80"/>
      <c r="H111" s="84"/>
      <c r="I111" s="85" t="s">
        <v>178</v>
      </c>
      <c r="J111" s="86" t="str">
        <v/>
      </c>
      <c r="K111" s="91"/>
      <c r="L111" s="92"/>
      <c r="M111" s="92"/>
      <c r="N111" s="92"/>
    </row>
    <row r="112" spans="1:14" s="93" customFormat="1" ht="18.95" customHeight="1" thickBot="1">
      <c r="A112" s="69" t="str">
        <v/>
      </c>
      <c r="B112" s="72" t="str">
        <v/>
      </c>
      <c r="C112" s="95"/>
      <c r="D112" s="96"/>
      <c r="E112" s="97"/>
      <c r="F112" s="98"/>
      <c r="G112" s="99"/>
      <c r="H112" s="100"/>
      <c r="I112" s="101" t="s">
        <v>179</v>
      </c>
      <c r="J112" s="87" t="str">
        <v/>
      </c>
      <c r="K112" s="91"/>
      <c r="L112" s="92"/>
      <c r="M112" s="92"/>
      <c r="N112" s="92"/>
    </row>
    <row r="113" spans="1:10" ht="6" customHeight="1" thickBot="1">
      <c r="A113" s="102"/>
      <c r="B113" s="103"/>
      <c r="C113" s="103"/>
      <c r="D113" s="102"/>
      <c r="E113" s="103"/>
      <c r="F113" s="103"/>
      <c r="G113" s="103"/>
      <c r="H113" s="103"/>
    </row>
    <row r="114" spans="1:10" ht="6" customHeight="1" thickTop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ht="14.25" customHeight="1" thickBot="1">
      <c r="A115" s="1"/>
      <c r="B115" s="150" t="s">
        <v>0</v>
      </c>
      <c r="C115" s="119"/>
      <c r="D115" s="119"/>
      <c r="E115" s="1"/>
      <c r="F115" s="1"/>
      <c r="G115" s="1"/>
      <c r="H115" s="1"/>
      <c r="I115" s="1"/>
      <c r="J115" s="1"/>
    </row>
    <row r="116" spans="1:10" ht="14.25" customHeight="1" thickTop="1">
      <c r="A116" s="3"/>
      <c r="B116" s="119"/>
      <c r="C116" s="119"/>
      <c r="D116" s="119"/>
      <c r="E116" s="3"/>
      <c r="F116" s="3"/>
      <c r="G116" s="3"/>
      <c r="H116" s="3"/>
      <c r="I116" s="3"/>
      <c r="J116" s="3"/>
    </row>
    <row r="117" spans="1:10" ht="14.25" customHeight="1">
      <c r="A117" s="151" t="s">
        <v>1</v>
      </c>
      <c r="B117" s="151" t="s">
        <v>2</v>
      </c>
      <c r="C117" s="151" t="s">
        <v>3</v>
      </c>
      <c r="D117" s="152">
        <v>297</v>
      </c>
      <c r="E117" s="151" t="s">
        <v>4</v>
      </c>
      <c r="F117" s="147" t="s">
        <v>5</v>
      </c>
      <c r="G117" s="119"/>
      <c r="H117" s="119"/>
      <c r="I117" s="4" t="s">
        <v>6</v>
      </c>
      <c r="J117" s="4" t="s">
        <v>7</v>
      </c>
    </row>
    <row r="118" spans="1:10" ht="14.25" customHeight="1">
      <c r="A118" s="119"/>
      <c r="B118" s="119"/>
      <c r="C118" s="119"/>
      <c r="D118" s="119"/>
      <c r="E118" s="119"/>
      <c r="F118" s="119"/>
      <c r="G118" s="119"/>
      <c r="H118" s="119"/>
      <c r="I118" s="148"/>
      <c r="J118" s="148"/>
    </row>
    <row r="119" spans="1:10" ht="17.45" customHeight="1">
      <c r="A119" s="139" t="s">
        <v>8</v>
      </c>
      <c r="B119" s="139" t="s">
        <v>66</v>
      </c>
      <c r="E119" s="139" t="s">
        <v>10</v>
      </c>
      <c r="F119" s="140" t="s">
        <v>11</v>
      </c>
      <c r="G119" s="119"/>
      <c r="H119" s="119"/>
      <c r="I119" s="149"/>
      <c r="J119" s="149"/>
    </row>
    <row r="120" spans="1:10" ht="17.45" customHeight="1">
      <c r="A120" s="119"/>
      <c r="B120" s="119"/>
      <c r="E120" s="119"/>
      <c r="F120" s="119"/>
      <c r="G120" s="119"/>
      <c r="H120" s="119"/>
      <c r="I120" s="7"/>
      <c r="J120" s="7"/>
    </row>
    <row r="121" spans="1:10" ht="17.45" customHeight="1">
      <c r="A121" s="139" t="s">
        <v>12</v>
      </c>
      <c r="B121" s="139" t="s">
        <v>67</v>
      </c>
      <c r="E121" s="8" t="s">
        <v>14</v>
      </c>
      <c r="F121" s="140" t="s">
        <v>15</v>
      </c>
      <c r="G121" s="119"/>
      <c r="H121" s="6"/>
      <c r="I121" s="7"/>
      <c r="J121" s="7"/>
    </row>
    <row r="122" spans="1:10" ht="17.45" customHeight="1">
      <c r="A122" s="119"/>
      <c r="B122" s="119"/>
      <c r="E122" s="8" t="s">
        <v>16</v>
      </c>
      <c r="F122" s="6" t="s">
        <v>17</v>
      </c>
      <c r="G122" s="6"/>
      <c r="H122" s="6"/>
      <c r="I122" s="9"/>
      <c r="J122" s="9"/>
    </row>
    <row r="123" spans="1:10" ht="17.45" customHeight="1">
      <c r="A123" s="8" t="s">
        <v>18</v>
      </c>
      <c r="B123" s="10">
        <v>46134</v>
      </c>
      <c r="E123" s="8" t="s">
        <v>19</v>
      </c>
      <c r="F123" s="141">
        <v>100</v>
      </c>
      <c r="G123" s="119"/>
      <c r="H123" s="6"/>
    </row>
    <row r="124" spans="1:10" ht="17.45" customHeight="1">
      <c r="A124" s="8" t="s">
        <v>20</v>
      </c>
      <c r="B124" s="10">
        <v>46134</v>
      </c>
      <c r="E124" s="8" t="s">
        <v>21</v>
      </c>
      <c r="F124" s="6">
        <v>3</v>
      </c>
      <c r="G124" s="142" t="s">
        <v>22</v>
      </c>
      <c r="H124" s="144">
        <v>300</v>
      </c>
      <c r="I124" s="145"/>
      <c r="J124" s="146"/>
    </row>
    <row r="125" spans="1:10" ht="17.45" customHeight="1">
      <c r="A125" s="11"/>
      <c r="B125" s="12"/>
      <c r="C125" s="12"/>
      <c r="D125" s="12"/>
      <c r="E125" s="8" t="s">
        <v>23</v>
      </c>
      <c r="F125" s="6" t="s">
        <v>24</v>
      </c>
      <c r="G125" s="143"/>
      <c r="H125" s="143"/>
      <c r="I125" s="125"/>
      <c r="J125" s="133"/>
    </row>
    <row r="126" spans="1:10" ht="13.5" customHeight="1">
      <c r="A126" s="127" t="s">
        <v>25</v>
      </c>
      <c r="B126" s="119"/>
      <c r="C126" s="119"/>
      <c r="D126" s="12"/>
      <c r="F126" s="5"/>
      <c r="G126" s="128" t="s">
        <v>26</v>
      </c>
      <c r="H126" s="130" t="s">
        <v>27</v>
      </c>
      <c r="I126" s="131" t="s">
        <v>28</v>
      </c>
      <c r="J126" s="132"/>
    </row>
    <row r="127" spans="1:10" ht="13.5" customHeight="1">
      <c r="A127" s="119"/>
      <c r="B127" s="119"/>
      <c r="C127" s="119"/>
      <c r="D127" s="12"/>
      <c r="F127" s="5"/>
      <c r="G127" s="129"/>
      <c r="H127" s="129"/>
      <c r="I127" s="125"/>
      <c r="J127" s="133"/>
    </row>
    <row r="128" spans="1:10" ht="13.5" customHeight="1">
      <c r="A128" s="2" t="s">
        <v>29</v>
      </c>
    </row>
    <row r="129" spans="1:10" ht="63" customHeight="1" thickBot="1">
      <c r="A129" s="134"/>
      <c r="B129" s="135"/>
      <c r="C129" s="135"/>
      <c r="D129" s="135"/>
      <c r="E129" s="135"/>
      <c r="F129" s="135"/>
      <c r="G129" s="135"/>
      <c r="H129" s="135"/>
      <c r="I129" s="135"/>
      <c r="J129" s="135"/>
    </row>
    <row r="130" spans="1:10" ht="18.75">
      <c r="A130" s="13" t="s">
        <v>30</v>
      </c>
      <c r="B130" s="14" t="s">
        <v>31</v>
      </c>
      <c r="C130" s="136" t="s">
        <v>32</v>
      </c>
      <c r="D130" s="137"/>
      <c r="E130" s="14" t="s">
        <v>33</v>
      </c>
      <c r="F130" s="136" t="s">
        <v>34</v>
      </c>
      <c r="G130" s="137"/>
      <c r="H130" s="137"/>
      <c r="I130" s="138" t="s">
        <v>35</v>
      </c>
      <c r="J130" s="137"/>
    </row>
    <row r="131" spans="1:10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 ht="16.5" customHeight="1">
      <c r="A132" s="17">
        <v>1</v>
      </c>
      <c r="B132" s="18" t="s">
        <v>36</v>
      </c>
      <c r="C132" s="118" t="s">
        <v>37</v>
      </c>
      <c r="D132" s="119"/>
      <c r="E132" s="18" t="s">
        <v>38</v>
      </c>
      <c r="F132" s="118" t="s">
        <v>39</v>
      </c>
      <c r="G132" s="119"/>
      <c r="H132" s="119"/>
      <c r="I132" s="126"/>
      <c r="J132" s="119"/>
    </row>
    <row r="133" spans="1:10" ht="16.5" customHeight="1">
      <c r="A133" s="17">
        <v>1</v>
      </c>
      <c r="B133" s="20" t="s">
        <v>36</v>
      </c>
      <c r="C133" s="118" t="s">
        <v>37</v>
      </c>
      <c r="D133" s="119"/>
      <c r="E133" s="18" t="s">
        <v>40</v>
      </c>
      <c r="F133" s="118" t="s">
        <v>41</v>
      </c>
      <c r="G133" s="119"/>
      <c r="H133" s="119"/>
      <c r="I133" s="126"/>
      <c r="J133" s="119"/>
    </row>
    <row r="134" spans="1:10" ht="16.5" customHeight="1">
      <c r="A134" s="17"/>
      <c r="B134" s="20"/>
      <c r="C134" s="118"/>
      <c r="D134" s="119"/>
      <c r="E134" s="18"/>
      <c r="F134" s="118"/>
      <c r="G134" s="119"/>
      <c r="H134" s="119"/>
      <c r="I134" s="126"/>
      <c r="J134" s="119"/>
    </row>
    <row r="135" spans="1:10" ht="16.5" customHeight="1">
      <c r="A135" s="17"/>
      <c r="B135" s="20"/>
      <c r="C135" s="118"/>
      <c r="D135" s="119"/>
      <c r="E135" s="18"/>
      <c r="F135" s="118"/>
      <c r="G135" s="119"/>
      <c r="H135" s="119"/>
      <c r="I135" s="126"/>
      <c r="J135" s="119"/>
    </row>
    <row r="136" spans="1:10" ht="16.5" customHeight="1">
      <c r="A136" s="17"/>
      <c r="B136" s="20"/>
      <c r="C136" s="118"/>
      <c r="D136" s="119"/>
      <c r="E136" s="18"/>
      <c r="F136" s="118"/>
      <c r="G136" s="119"/>
      <c r="H136" s="119"/>
      <c r="I136" s="126"/>
      <c r="J136" s="119"/>
    </row>
    <row r="137" spans="1:10" ht="16.5" customHeight="1">
      <c r="A137" s="17"/>
      <c r="B137" s="20"/>
      <c r="C137" s="118"/>
      <c r="D137" s="119"/>
      <c r="E137" s="18"/>
      <c r="F137" s="118"/>
      <c r="G137" s="119"/>
      <c r="H137" s="119"/>
      <c r="I137" s="126"/>
      <c r="J137" s="119"/>
    </row>
    <row r="138" spans="1:10" ht="16.5" customHeight="1" thickBo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spans="1:10" ht="18.75">
      <c r="A139" s="122" t="s">
        <v>42</v>
      </c>
      <c r="B139" s="123"/>
      <c r="C139" s="122" t="s">
        <v>43</v>
      </c>
      <c r="D139" s="123"/>
      <c r="E139" s="123"/>
      <c r="F139" s="22" t="s">
        <v>44</v>
      </c>
      <c r="G139" s="122" t="s">
        <v>45</v>
      </c>
      <c r="H139" s="123"/>
      <c r="I139" s="122" t="s">
        <v>46</v>
      </c>
      <c r="J139" s="123"/>
    </row>
    <row r="140" spans="1:10" ht="14.25" customHeight="1">
      <c r="A140" s="23"/>
      <c r="B140" s="24"/>
      <c r="C140" s="124" t="s">
        <v>47</v>
      </c>
      <c r="D140" s="125"/>
      <c r="E140" s="24"/>
      <c r="F140" s="124" t="s">
        <v>29</v>
      </c>
      <c r="G140" s="125"/>
      <c r="H140" s="125"/>
      <c r="I140" s="125"/>
      <c r="J140" s="125"/>
    </row>
    <row r="141" spans="1:10">
      <c r="A141" s="25"/>
      <c r="C141" s="19"/>
      <c r="D141" s="19"/>
      <c r="E141" s="19"/>
    </row>
    <row r="142" spans="1:10" ht="14.25" customHeight="1">
      <c r="A142" s="118" t="s">
        <v>48</v>
      </c>
      <c r="B142" s="119"/>
      <c r="C142" s="118" t="s">
        <v>49</v>
      </c>
      <c r="D142" s="119"/>
      <c r="E142" s="119"/>
      <c r="F142" s="18" t="s">
        <v>27</v>
      </c>
      <c r="G142" s="120">
        <v>50.1</v>
      </c>
      <c r="H142" s="119"/>
      <c r="I142" s="120">
        <v>0.501</v>
      </c>
      <c r="J142" s="119"/>
    </row>
    <row r="143" spans="1:10" ht="24.95" customHeight="1">
      <c r="A143" s="121" t="s">
        <v>50</v>
      </c>
      <c r="B143" s="119"/>
      <c r="C143" s="118"/>
      <c r="D143" s="119"/>
      <c r="E143" s="119"/>
      <c r="F143" s="118"/>
      <c r="G143" s="119"/>
      <c r="H143" s="119"/>
      <c r="I143" s="119"/>
      <c r="J143" s="119"/>
    </row>
    <row r="144" spans="1:10" ht="14.25" customHeight="1">
      <c r="A144" s="118" t="s">
        <v>51</v>
      </c>
      <c r="B144" s="119"/>
      <c r="C144" s="118" t="s">
        <v>52</v>
      </c>
      <c r="D144" s="119"/>
      <c r="E144" s="119"/>
      <c r="F144" s="18" t="s">
        <v>53</v>
      </c>
      <c r="G144" s="120">
        <v>3</v>
      </c>
      <c r="H144" s="119"/>
      <c r="I144" s="120">
        <v>0.03</v>
      </c>
      <c r="J144" s="119"/>
    </row>
    <row r="145" spans="1:11" ht="24.95" customHeight="1">
      <c r="A145" s="121" t="s">
        <v>54</v>
      </c>
      <c r="B145" s="119"/>
      <c r="C145" s="118" t="s">
        <v>55</v>
      </c>
      <c r="D145" s="119"/>
      <c r="E145" s="119"/>
      <c r="F145" s="118"/>
      <c r="G145" s="119"/>
      <c r="H145" s="119"/>
      <c r="I145" s="119"/>
      <c r="J145" s="119"/>
    </row>
    <row r="146" spans="1:11" ht="14.25" customHeight="1">
      <c r="A146" s="118" t="s">
        <v>56</v>
      </c>
      <c r="B146" s="119"/>
      <c r="C146" s="118" t="s">
        <v>57</v>
      </c>
      <c r="D146" s="119"/>
      <c r="E146" s="119"/>
      <c r="F146" s="18"/>
      <c r="G146" s="120">
        <v>0.3</v>
      </c>
      <c r="H146" s="119"/>
      <c r="I146" s="120">
        <v>3.0000000000000001E-3</v>
      </c>
      <c r="J146" s="119"/>
    </row>
    <row r="147" spans="1:11" ht="24.95" customHeight="1">
      <c r="A147" s="121" t="s">
        <v>58</v>
      </c>
      <c r="B147" s="119"/>
      <c r="C147" s="118" t="s">
        <v>59</v>
      </c>
      <c r="D147" s="119"/>
      <c r="E147" s="119"/>
      <c r="F147" s="118"/>
      <c r="G147" s="119"/>
      <c r="H147" s="119"/>
      <c r="I147" s="119"/>
      <c r="J147" s="119"/>
    </row>
    <row r="148" spans="1:11" ht="14.25" customHeight="1">
      <c r="A148" s="118" t="s">
        <v>60</v>
      </c>
      <c r="B148" s="119"/>
      <c r="C148" s="118" t="s">
        <v>61</v>
      </c>
      <c r="D148" s="119"/>
      <c r="E148" s="119"/>
      <c r="F148" s="18"/>
      <c r="G148" s="120">
        <v>0.3</v>
      </c>
      <c r="H148" s="119"/>
      <c r="I148" s="120">
        <v>3.0000000000000001E-3</v>
      </c>
      <c r="J148" s="119"/>
    </row>
    <row r="149" spans="1:11" ht="24.95" customHeight="1">
      <c r="A149" s="121" t="s">
        <v>62</v>
      </c>
      <c r="B149" s="119"/>
      <c r="C149" s="118" t="s">
        <v>63</v>
      </c>
      <c r="D149" s="119"/>
      <c r="E149" s="119"/>
      <c r="F149" s="118"/>
      <c r="G149" s="119"/>
      <c r="H149" s="119"/>
      <c r="I149" s="119"/>
      <c r="J149" s="119"/>
    </row>
    <row r="150" spans="1:11" ht="14.25" customHeight="1">
      <c r="A150" s="118"/>
      <c r="B150" s="119"/>
      <c r="C150" s="118"/>
      <c r="D150" s="119"/>
      <c r="E150" s="119"/>
      <c r="F150" s="18"/>
      <c r="G150" s="120"/>
      <c r="H150" s="119"/>
      <c r="I150" s="120"/>
      <c r="J150" s="119"/>
    </row>
    <row r="151" spans="1:11" ht="24.95" customHeight="1" thickBot="1">
      <c r="A151" s="121"/>
      <c r="B151" s="119"/>
      <c r="C151" s="118"/>
      <c r="D151" s="119"/>
      <c r="E151" s="119"/>
      <c r="F151" s="118"/>
      <c r="G151" s="119"/>
      <c r="H151" s="119"/>
      <c r="I151" s="119"/>
      <c r="J151" s="119"/>
    </row>
    <row r="152" spans="1:11" s="15" customFormat="1" ht="18" customHeight="1">
      <c r="A152" s="27" t="s">
        <v>143</v>
      </c>
      <c r="B152" s="28" t="s">
        <v>144</v>
      </c>
      <c r="C152" s="108" t="s">
        <v>145</v>
      </c>
      <c r="D152" s="109"/>
      <c r="E152" s="29" t="s">
        <v>146</v>
      </c>
      <c r="F152" s="30" t="s">
        <v>147</v>
      </c>
      <c r="G152" s="31" t="s">
        <v>148</v>
      </c>
      <c r="H152" s="32" t="s">
        <v>149</v>
      </c>
      <c r="I152" s="106" t="s">
        <v>150</v>
      </c>
      <c r="J152" s="107"/>
    </row>
    <row r="153" spans="1:11" s="19" customFormat="1" ht="18" customHeight="1">
      <c r="A153" s="33" t="str">
        <f>_xlfn.XLOOKUP(B117,[3]VFDB2!$A:$A,[3]VFDB2!$J:$J)</f>
        <v>〇</v>
      </c>
      <c r="B153" s="34">
        <f>D117</f>
        <v>297</v>
      </c>
      <c r="C153" s="110" t="str">
        <f>_xlfn.XLOOKUP(B117,[3]VFDB2!$A:$A,[3]VFDB2!$Z:$Z)</f>
        <v>LED-A300</v>
      </c>
      <c r="D153" s="111"/>
      <c r="E153" s="112" t="str" cm="1">
        <f t="array" ref="E153">IFERROR(INDEX(_xlfn._xlws.FILTER([4]加工記録２!C:C,[4]加工記録２!U:U=B119),9),"")</f>
        <v/>
      </c>
      <c r="F153" s="35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/>
      </c>
      <c r="G153" s="36" t="str" cm="1">
        <f t="array" ref="G153">IFERROR(IF(_xlfn.TAKE(_xlfn._xlws.FILTER([4]加工記録２!$M:$N,[4]加工記録２!$U:$U=B119),5)=0,"",_xlfn.TAKE(_xlfn._xlws.FILTER([4]加工記録２!$M:$N,[4]加工記録２!$U:$U=B119),5)),"")</f>
        <v/>
      </c>
      <c r="H153" s="37"/>
      <c r="I153" s="38" t="s">
        <v>151</v>
      </c>
      <c r="J153" s="39" t="str" cm="1">
        <f t="array" ref="J153:J158">IFERROR(INDEX(_xlfn._xlws.FILTER([4]加工記録２!P:P, [4]加工記録２!U:U=B119),_xlfn.SEQUENCE(6)),"")</f>
        <v/>
      </c>
    </row>
    <row r="154" spans="1:11" s="15" customFormat="1" ht="18" customHeight="1">
      <c r="A154" s="43" t="s">
        <v>152</v>
      </c>
      <c r="B154" s="44" t="s">
        <v>153</v>
      </c>
      <c r="C154" s="110"/>
      <c r="D154" s="111"/>
      <c r="E154" s="112"/>
      <c r="F154" s="45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/>
      </c>
      <c r="G154" s="36"/>
      <c r="H154" s="37"/>
      <c r="I154" s="38" t="s">
        <v>154</v>
      </c>
      <c r="J154" s="40" t="str">
        <v/>
      </c>
      <c r="K154" s="46"/>
    </row>
    <row r="155" spans="1:11" s="19" customFormat="1" ht="18" customHeight="1">
      <c r="A155" s="47" t="str">
        <f>_xlfn.XLOOKUP(B117,[3]VFDB2!$A:$A,[3]VFDB2!$L:$L)</f>
        <v>+0.5</v>
      </c>
      <c r="B155" s="48" t="str">
        <f>_xlfn.XLOOKUP(B117,[3]VFDB2!$A:$A,[3]VFDB2!$AC:$AC)</f>
        <v>換算表確認</v>
      </c>
      <c r="C155" s="113" t="s">
        <v>155</v>
      </c>
      <c r="D155" s="114" t="str">
        <f>_xlfn.XLOOKUP(B117,[3]VFDB2!$A:$A,[3]VFDB2!$W:$W)</f>
        <v>クラフト紙：592型　1/2</v>
      </c>
      <c r="E155" s="114"/>
      <c r="F155" s="115"/>
      <c r="G155" s="36"/>
      <c r="H155" s="37"/>
      <c r="I155" s="38" t="s">
        <v>156</v>
      </c>
      <c r="J155" s="40" t="str">
        <v/>
      </c>
      <c r="K155" s="49"/>
    </row>
    <row r="156" spans="1:11" s="15" customFormat="1" ht="18" customHeight="1">
      <c r="A156" s="50" t="s">
        <v>157</v>
      </c>
      <c r="B156" s="51" t="s">
        <v>158</v>
      </c>
      <c r="C156" s="113"/>
      <c r="D156" s="114" t="str">
        <f>_xlfn.XLOOKUP(B117,[3]VFDB2!$A:$A,[3]VFDB2!$R:$R)</f>
        <v>ラベル１枚　長手無　鉢巻１回</v>
      </c>
      <c r="E156" s="114"/>
      <c r="F156" s="115"/>
      <c r="G156" s="36"/>
      <c r="H156" s="37"/>
      <c r="I156" s="38" t="s">
        <v>159</v>
      </c>
      <c r="J156" s="40" t="str">
        <v/>
      </c>
      <c r="K156" s="46"/>
    </row>
    <row r="157" spans="1:11" s="19" customFormat="1" ht="18" customHeight="1" thickBot="1">
      <c r="A157" s="52" t="str">
        <f>_xlfn.XLOOKUP(B117,[3]VFDB2!$A:$A,[3]VFDB2!$K:$K)</f>
        <v>－0.5</v>
      </c>
      <c r="B157" s="53">
        <f>_xlfn.XLOOKUP(B117,[3]VFDB2!$A:$A,[3]VFDB2!$P:$P)</f>
        <v>6</v>
      </c>
      <c r="C157" s="54" t="s">
        <v>160</v>
      </c>
      <c r="D157" s="116" t="str">
        <f>_xlfn.XLOOKUP(B117,[3]VFDB2!$A:$A,[3]VFDB2!$V:$V)</f>
        <v>1箱目の梱包数 目視確認　以降、重量測定</v>
      </c>
      <c r="E157" s="116"/>
      <c r="F157" s="117"/>
      <c r="G157" s="55"/>
      <c r="H157" s="56"/>
      <c r="I157" s="38" t="s">
        <v>161</v>
      </c>
      <c r="J157" s="41" t="str">
        <v/>
      </c>
      <c r="K157" s="49"/>
    </row>
    <row r="158" spans="1:11" s="15" customFormat="1" ht="18" customHeight="1" thickBot="1">
      <c r="A158" s="57" t="s">
        <v>162</v>
      </c>
      <c r="B158" s="58" t="str" cm="1">
        <f t="array" ref="B158">IF(SUM(--(ISTEXT(B159:B169)*(B159:B169&lt;&gt;"")))=0,"計測Lot","計測Lot・加工数")</f>
        <v>計測Lot</v>
      </c>
      <c r="C158" s="59" t="s">
        <v>163</v>
      </c>
      <c r="D158" s="60" t="s">
        <v>164</v>
      </c>
      <c r="E158" s="61" t="s">
        <v>165</v>
      </c>
      <c r="F158" s="62" t="str" cm="1">
        <f t="array" ref="F158">IF(SUM(--(ISTEXT(B159:B169)*(B159:B169&lt;&gt;"")))=0,"記入不要","使用Lot")</f>
        <v>記入不要</v>
      </c>
      <c r="G158" s="63" t="s">
        <v>166</v>
      </c>
      <c r="H158" s="64" t="s">
        <v>167</v>
      </c>
      <c r="I158" s="65" t="s">
        <v>168</v>
      </c>
      <c r="J158" s="42" t="str">
        <v/>
      </c>
      <c r="K158" s="46"/>
    </row>
    <row r="159" spans="1:11" s="19" customFormat="1" ht="18" customHeight="1">
      <c r="A159" s="66" t="str" cm="1">
        <f t="array" ref="A159:A169">IFERROR(INDEX(_xlfn._xlws.FILTER([4]加工記録２!$D:$D,[4]加工記録２!$U:$U=B119),_xlfn.SEQUENCE(11),0),"")</f>
        <v/>
      </c>
      <c r="B159" s="70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3"/>
      <c r="D159" s="74"/>
      <c r="E159" s="75"/>
      <c r="F159" s="76"/>
      <c r="G159" s="77"/>
      <c r="H159" s="78"/>
      <c r="I159" s="104" t="s">
        <v>169</v>
      </c>
      <c r="J159" s="105"/>
      <c r="K159" s="79"/>
    </row>
    <row r="160" spans="1:11" s="15" customFormat="1" ht="18" customHeight="1">
      <c r="A160" s="67" t="str">
        <v/>
      </c>
      <c r="B160" s="71" t="str">
        <v/>
      </c>
      <c r="C160" s="80"/>
      <c r="D160" s="81"/>
      <c r="E160" s="82"/>
      <c r="F160" s="83"/>
      <c r="G160" s="80"/>
      <c r="H160" s="84"/>
      <c r="I160" s="85" t="s">
        <v>170</v>
      </c>
      <c r="J160" s="84" t="str" cm="1">
        <f t="array" ref="J160:J169">IFERROR(INDEX(_xlfn._xlws.FILTER([4]加工記録２!R:R, [4]加工記録２!U:U=B119),_xlfn.SEQUENCE(10)),"")</f>
        <v/>
      </c>
      <c r="K160" s="79"/>
    </row>
    <row r="161" spans="1:14" s="90" customFormat="1" ht="18.95" customHeight="1">
      <c r="A161" s="68" t="str">
        <v/>
      </c>
      <c r="B161" s="71" t="str">
        <v/>
      </c>
      <c r="C161" s="80"/>
      <c r="D161" s="81"/>
      <c r="E161" s="82"/>
      <c r="F161" s="83"/>
      <c r="G161" s="80"/>
      <c r="H161" s="84"/>
      <c r="I161" s="85" t="s">
        <v>171</v>
      </c>
      <c r="J161" s="84" t="str">
        <v/>
      </c>
      <c r="K161" s="88"/>
      <c r="L161" s="89"/>
      <c r="M161" s="89"/>
      <c r="N161" s="89"/>
    </row>
    <row r="162" spans="1:14" s="93" customFormat="1" ht="18.95" customHeight="1">
      <c r="A162" s="68" t="str">
        <v/>
      </c>
      <c r="B162" s="71" t="str">
        <v/>
      </c>
      <c r="C162" s="80"/>
      <c r="D162" s="81"/>
      <c r="E162" s="82"/>
      <c r="F162" s="83"/>
      <c r="G162" s="80"/>
      <c r="H162" s="84"/>
      <c r="I162" s="85" t="s">
        <v>172</v>
      </c>
      <c r="J162" s="84" t="str">
        <v/>
      </c>
      <c r="K162" s="91"/>
      <c r="L162" s="92"/>
      <c r="M162" s="92"/>
      <c r="N162" s="92"/>
    </row>
    <row r="163" spans="1:14" s="93" customFormat="1" ht="18.95" customHeight="1">
      <c r="A163" s="68" t="str">
        <v/>
      </c>
      <c r="B163" s="71" t="str">
        <v/>
      </c>
      <c r="C163" s="80"/>
      <c r="D163" s="81"/>
      <c r="E163" s="82"/>
      <c r="F163" s="83"/>
      <c r="G163" s="80"/>
      <c r="H163" s="84"/>
      <c r="I163" s="85" t="s">
        <v>173</v>
      </c>
      <c r="J163" s="84" t="str">
        <v/>
      </c>
      <c r="K163" s="91"/>
      <c r="L163" s="92"/>
      <c r="M163" s="92"/>
      <c r="N163" s="92"/>
    </row>
    <row r="164" spans="1:14" s="93" customFormat="1" ht="18.95" customHeight="1">
      <c r="A164" s="68" t="str">
        <v/>
      </c>
      <c r="B164" s="71" t="str">
        <v/>
      </c>
      <c r="C164" s="80"/>
      <c r="D164" s="81"/>
      <c r="E164" s="82"/>
      <c r="F164" s="83"/>
      <c r="G164" s="80"/>
      <c r="H164" s="84"/>
      <c r="I164" s="85" t="s">
        <v>174</v>
      </c>
      <c r="J164" s="84" t="str">
        <v/>
      </c>
      <c r="K164" s="91"/>
      <c r="L164" s="92"/>
      <c r="M164" s="92"/>
      <c r="N164" s="92"/>
    </row>
    <row r="165" spans="1:14" s="93" customFormat="1" ht="18.95" customHeight="1">
      <c r="A165" s="68" t="str">
        <v/>
      </c>
      <c r="B165" s="71" t="str">
        <v/>
      </c>
      <c r="C165" s="80"/>
      <c r="D165" s="81"/>
      <c r="E165" s="82"/>
      <c r="F165" s="83"/>
      <c r="G165" s="80"/>
      <c r="H165" s="84"/>
      <c r="I165" s="85" t="s">
        <v>175</v>
      </c>
      <c r="J165" s="84" t="str">
        <v/>
      </c>
      <c r="K165" s="91"/>
      <c r="L165" s="92"/>
      <c r="M165" s="92"/>
      <c r="N165" s="92"/>
    </row>
    <row r="166" spans="1:14" s="93" customFormat="1" ht="18.95" customHeight="1">
      <c r="A166" s="68" t="str">
        <v/>
      </c>
      <c r="B166" s="71" t="str">
        <v/>
      </c>
      <c r="C166" s="80"/>
      <c r="D166" s="81"/>
      <c r="E166" s="82"/>
      <c r="F166" s="83"/>
      <c r="G166" s="80"/>
      <c r="H166" s="84"/>
      <c r="I166" s="94" t="s">
        <v>176</v>
      </c>
      <c r="J166" s="84" t="str">
        <v/>
      </c>
      <c r="K166" s="91"/>
      <c r="L166" s="92"/>
      <c r="M166" s="92"/>
      <c r="N166" s="92"/>
    </row>
    <row r="167" spans="1:14" s="93" customFormat="1" ht="18.95" customHeight="1">
      <c r="A167" s="68" t="str">
        <v/>
      </c>
      <c r="B167" s="71" t="str">
        <v/>
      </c>
      <c r="C167" s="80"/>
      <c r="D167" s="81"/>
      <c r="E167" s="82"/>
      <c r="F167" s="83"/>
      <c r="G167" s="80"/>
      <c r="H167" s="84"/>
      <c r="I167" s="94" t="s">
        <v>177</v>
      </c>
      <c r="J167" s="84" t="str">
        <v/>
      </c>
      <c r="K167" s="91"/>
      <c r="L167" s="92"/>
      <c r="M167" s="92"/>
      <c r="N167" s="92"/>
    </row>
    <row r="168" spans="1:14" s="93" customFormat="1" ht="18.95" customHeight="1">
      <c r="A168" s="68" t="str">
        <v/>
      </c>
      <c r="B168" s="71" t="str">
        <v/>
      </c>
      <c r="C168" s="80"/>
      <c r="D168" s="81"/>
      <c r="E168" s="82"/>
      <c r="F168" s="83"/>
      <c r="G168" s="80"/>
      <c r="H168" s="84"/>
      <c r="I168" s="85" t="s">
        <v>178</v>
      </c>
      <c r="J168" s="86" t="str">
        <v/>
      </c>
      <c r="K168" s="91"/>
      <c r="L168" s="92"/>
      <c r="M168" s="92"/>
      <c r="N168" s="92"/>
    </row>
    <row r="169" spans="1:14" s="93" customFormat="1" ht="18.95" customHeight="1" thickBot="1">
      <c r="A169" s="69" t="str">
        <v/>
      </c>
      <c r="B169" s="72" t="str">
        <v/>
      </c>
      <c r="C169" s="95"/>
      <c r="D169" s="96"/>
      <c r="E169" s="97"/>
      <c r="F169" s="98"/>
      <c r="G169" s="99"/>
      <c r="H169" s="100"/>
      <c r="I169" s="101" t="s">
        <v>179</v>
      </c>
      <c r="J169" s="87" t="str">
        <v/>
      </c>
      <c r="K169" s="91"/>
      <c r="L169" s="92"/>
      <c r="M169" s="92"/>
      <c r="N169" s="92"/>
    </row>
    <row r="170" spans="1:14" ht="6" customHeight="1" thickBot="1">
      <c r="A170" s="102"/>
      <c r="B170" s="103"/>
      <c r="C170" s="103"/>
      <c r="D170" s="102"/>
      <c r="E170" s="103"/>
      <c r="F170" s="103"/>
      <c r="G170" s="103"/>
      <c r="H170" s="103"/>
    </row>
    <row r="171" spans="1:14" ht="6" customHeight="1" thickTop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4" ht="14.25" customHeight="1" thickBot="1">
      <c r="A172" s="1"/>
      <c r="B172" s="150" t="s">
        <v>0</v>
      </c>
      <c r="C172" s="119"/>
      <c r="D172" s="119"/>
      <c r="E172" s="1"/>
      <c r="F172" s="1"/>
      <c r="G172" s="1"/>
      <c r="H172" s="1"/>
      <c r="I172" s="1"/>
      <c r="J172" s="1"/>
    </row>
    <row r="173" spans="1:14" ht="14.25" customHeight="1" thickTop="1">
      <c r="A173" s="3"/>
      <c r="B173" s="119"/>
      <c r="C173" s="119"/>
      <c r="D173" s="119"/>
      <c r="E173" s="3"/>
      <c r="F173" s="3"/>
      <c r="G173" s="3"/>
      <c r="H173" s="3"/>
      <c r="I173" s="3"/>
      <c r="J173" s="3"/>
    </row>
    <row r="174" spans="1:14" ht="14.25" customHeight="1">
      <c r="A174" s="151" t="s">
        <v>1</v>
      </c>
      <c r="B174" s="151" t="s">
        <v>68</v>
      </c>
      <c r="C174" s="151" t="s">
        <v>3</v>
      </c>
      <c r="D174" s="152">
        <v>592</v>
      </c>
      <c r="E174" s="151" t="s">
        <v>4</v>
      </c>
      <c r="F174" s="147" t="s">
        <v>69</v>
      </c>
      <c r="G174" s="119"/>
      <c r="H174" s="119"/>
      <c r="I174" s="4" t="s">
        <v>6</v>
      </c>
      <c r="J174" s="4" t="s">
        <v>7</v>
      </c>
    </row>
    <row r="175" spans="1:14" ht="14.25" customHeight="1">
      <c r="A175" s="119"/>
      <c r="B175" s="119"/>
      <c r="C175" s="119"/>
      <c r="D175" s="119"/>
      <c r="E175" s="119"/>
      <c r="F175" s="119"/>
      <c r="G175" s="119"/>
      <c r="H175" s="119"/>
      <c r="I175" s="148"/>
      <c r="J175" s="148"/>
    </row>
    <row r="176" spans="1:14" ht="17.45" customHeight="1">
      <c r="A176" s="139" t="s">
        <v>8</v>
      </c>
      <c r="B176" s="139" t="s">
        <v>70</v>
      </c>
      <c r="E176" s="139" t="s">
        <v>10</v>
      </c>
      <c r="F176" s="140" t="s">
        <v>71</v>
      </c>
      <c r="G176" s="119"/>
      <c r="H176" s="119"/>
      <c r="I176" s="149"/>
      <c r="J176" s="149"/>
    </row>
    <row r="177" spans="1:10" ht="17.45" customHeight="1">
      <c r="A177" s="119"/>
      <c r="B177" s="119"/>
      <c r="E177" s="119"/>
      <c r="F177" s="119"/>
      <c r="G177" s="119"/>
      <c r="H177" s="119"/>
      <c r="I177" s="7"/>
      <c r="J177" s="7"/>
    </row>
    <row r="178" spans="1:10" ht="17.45" customHeight="1">
      <c r="A178" s="139" t="s">
        <v>12</v>
      </c>
      <c r="B178" s="139" t="s">
        <v>72</v>
      </c>
      <c r="E178" s="8" t="s">
        <v>14</v>
      </c>
      <c r="F178" s="140" t="s">
        <v>15</v>
      </c>
      <c r="G178" s="119"/>
      <c r="H178" s="6"/>
      <c r="I178" s="7"/>
      <c r="J178" s="7"/>
    </row>
    <row r="179" spans="1:10" ht="17.45" customHeight="1">
      <c r="A179" s="119"/>
      <c r="B179" s="119"/>
      <c r="E179" s="8" t="s">
        <v>16</v>
      </c>
      <c r="F179" s="6" t="s">
        <v>17</v>
      </c>
      <c r="G179" s="6"/>
      <c r="H179" s="6"/>
      <c r="I179" s="9"/>
      <c r="J179" s="9"/>
    </row>
    <row r="180" spans="1:10" ht="17.45" customHeight="1">
      <c r="A180" s="8" t="s">
        <v>18</v>
      </c>
      <c r="B180" s="10">
        <v>46119</v>
      </c>
      <c r="E180" s="8" t="s">
        <v>19</v>
      </c>
      <c r="F180" s="141">
        <v>100</v>
      </c>
      <c r="G180" s="119"/>
      <c r="H180" s="6"/>
    </row>
    <row r="181" spans="1:10" ht="17.45" customHeight="1">
      <c r="A181" s="8" t="s">
        <v>20</v>
      </c>
      <c r="B181" s="10">
        <v>46119</v>
      </c>
      <c r="E181" s="8" t="s">
        <v>21</v>
      </c>
      <c r="F181" s="6">
        <v>3</v>
      </c>
      <c r="G181" s="142" t="s">
        <v>22</v>
      </c>
      <c r="H181" s="144">
        <v>300</v>
      </c>
      <c r="I181" s="145"/>
      <c r="J181" s="146"/>
    </row>
    <row r="182" spans="1:10" ht="17.45" customHeight="1">
      <c r="A182" s="11"/>
      <c r="B182" s="12"/>
      <c r="C182" s="12"/>
      <c r="D182" s="12"/>
      <c r="E182" s="8" t="s">
        <v>23</v>
      </c>
      <c r="F182" s="6" t="s">
        <v>24</v>
      </c>
      <c r="G182" s="143"/>
      <c r="H182" s="143"/>
      <c r="I182" s="125"/>
      <c r="J182" s="133"/>
    </row>
    <row r="183" spans="1:10" ht="13.5" customHeight="1">
      <c r="A183" s="127" t="s">
        <v>73</v>
      </c>
      <c r="B183" s="119"/>
      <c r="C183" s="119"/>
      <c r="D183" s="12"/>
      <c r="F183" s="5"/>
      <c r="G183" s="128" t="s">
        <v>26</v>
      </c>
      <c r="H183" s="130" t="s">
        <v>27</v>
      </c>
      <c r="I183" s="131" t="s">
        <v>28</v>
      </c>
      <c r="J183" s="132"/>
    </row>
    <row r="184" spans="1:10" ht="13.5" customHeight="1">
      <c r="A184" s="119"/>
      <c r="B184" s="119"/>
      <c r="C184" s="119"/>
      <c r="D184" s="12"/>
      <c r="F184" s="5"/>
      <c r="G184" s="129"/>
      <c r="H184" s="129"/>
      <c r="I184" s="125"/>
      <c r="J184" s="133"/>
    </row>
    <row r="185" spans="1:10" ht="13.5" customHeight="1">
      <c r="A185" s="2" t="s">
        <v>29</v>
      </c>
    </row>
    <row r="186" spans="1:10" ht="63" customHeight="1" thickBot="1">
      <c r="A186" s="134"/>
      <c r="B186" s="135"/>
      <c r="C186" s="135"/>
      <c r="D186" s="135"/>
      <c r="E186" s="135"/>
      <c r="F186" s="135"/>
      <c r="G186" s="135"/>
      <c r="H186" s="135"/>
      <c r="I186" s="135"/>
      <c r="J186" s="135"/>
    </row>
    <row r="187" spans="1:10" ht="18.75">
      <c r="A187" s="13" t="s">
        <v>30</v>
      </c>
      <c r="B187" s="14" t="s">
        <v>31</v>
      </c>
      <c r="C187" s="136" t="s">
        <v>32</v>
      </c>
      <c r="D187" s="137"/>
      <c r="E187" s="14" t="s">
        <v>33</v>
      </c>
      <c r="F187" s="136" t="s">
        <v>34</v>
      </c>
      <c r="G187" s="137"/>
      <c r="H187" s="137"/>
      <c r="I187" s="138" t="s">
        <v>35</v>
      </c>
      <c r="J187" s="137"/>
    </row>
    <row r="188" spans="1:10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</row>
    <row r="189" spans="1:10" ht="16.5" customHeight="1">
      <c r="A189" s="17">
        <v>1</v>
      </c>
      <c r="B189" s="18" t="s">
        <v>36</v>
      </c>
      <c r="C189" s="118" t="s">
        <v>37</v>
      </c>
      <c r="D189" s="119"/>
      <c r="E189" s="18" t="s">
        <v>38</v>
      </c>
      <c r="F189" s="118" t="s">
        <v>39</v>
      </c>
      <c r="G189" s="119"/>
      <c r="H189" s="119"/>
      <c r="I189" s="126"/>
      <c r="J189" s="119"/>
    </row>
    <row r="190" spans="1:10" ht="16.5" customHeight="1">
      <c r="A190" s="17">
        <v>1</v>
      </c>
      <c r="B190" s="20" t="s">
        <v>36</v>
      </c>
      <c r="C190" s="118" t="s">
        <v>37</v>
      </c>
      <c r="D190" s="119"/>
      <c r="E190" s="18" t="s">
        <v>40</v>
      </c>
      <c r="F190" s="118" t="s">
        <v>41</v>
      </c>
      <c r="G190" s="119"/>
      <c r="H190" s="119"/>
      <c r="I190" s="126"/>
      <c r="J190" s="119"/>
    </row>
    <row r="191" spans="1:10" ht="16.5" customHeight="1">
      <c r="A191" s="17"/>
      <c r="B191" s="20"/>
      <c r="C191" s="118"/>
      <c r="D191" s="119"/>
      <c r="E191" s="18"/>
      <c r="F191" s="118"/>
      <c r="G191" s="119"/>
      <c r="H191" s="119"/>
      <c r="I191" s="126"/>
      <c r="J191" s="119"/>
    </row>
    <row r="192" spans="1:10" ht="16.5" customHeight="1">
      <c r="A192" s="17"/>
      <c r="B192" s="20"/>
      <c r="C192" s="118"/>
      <c r="D192" s="119"/>
      <c r="E192" s="18"/>
      <c r="F192" s="118"/>
      <c r="G192" s="119"/>
      <c r="H192" s="119"/>
      <c r="I192" s="126"/>
      <c r="J192" s="119"/>
    </row>
    <row r="193" spans="1:10" ht="16.5" customHeight="1">
      <c r="A193" s="17"/>
      <c r="B193" s="20"/>
      <c r="C193" s="118"/>
      <c r="D193" s="119"/>
      <c r="E193" s="18"/>
      <c r="F193" s="118"/>
      <c r="G193" s="119"/>
      <c r="H193" s="119"/>
      <c r="I193" s="126"/>
      <c r="J193" s="119"/>
    </row>
    <row r="194" spans="1:10" ht="16.5" customHeight="1">
      <c r="A194" s="17"/>
      <c r="B194" s="20"/>
      <c r="C194" s="118"/>
      <c r="D194" s="119"/>
      <c r="E194" s="18"/>
      <c r="F194" s="118"/>
      <c r="G194" s="119"/>
      <c r="H194" s="119"/>
      <c r="I194" s="126"/>
      <c r="J194" s="119"/>
    </row>
    <row r="195" spans="1:10" ht="16.5" customHeight="1" thickBo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spans="1:10" ht="18.75">
      <c r="A196" s="122" t="s">
        <v>42</v>
      </c>
      <c r="B196" s="123"/>
      <c r="C196" s="122" t="s">
        <v>43</v>
      </c>
      <c r="D196" s="123"/>
      <c r="E196" s="123"/>
      <c r="F196" s="22" t="s">
        <v>44</v>
      </c>
      <c r="G196" s="122" t="s">
        <v>45</v>
      </c>
      <c r="H196" s="123"/>
      <c r="I196" s="122" t="s">
        <v>46</v>
      </c>
      <c r="J196" s="123"/>
    </row>
    <row r="197" spans="1:10" ht="14.25" customHeight="1">
      <c r="A197" s="23"/>
      <c r="B197" s="24"/>
      <c r="C197" s="124" t="s">
        <v>47</v>
      </c>
      <c r="D197" s="125"/>
      <c r="E197" s="24"/>
      <c r="F197" s="124" t="s">
        <v>29</v>
      </c>
      <c r="G197" s="125"/>
      <c r="H197" s="125"/>
      <c r="I197" s="125"/>
      <c r="J197" s="125"/>
    </row>
    <row r="198" spans="1:10">
      <c r="A198" s="25"/>
      <c r="C198" s="19"/>
      <c r="D198" s="19"/>
      <c r="E198" s="19"/>
    </row>
    <row r="199" spans="1:10" ht="14.25" customHeight="1">
      <c r="A199" s="118" t="s">
        <v>48</v>
      </c>
      <c r="B199" s="119"/>
      <c r="C199" s="118" t="s">
        <v>49</v>
      </c>
      <c r="D199" s="119"/>
      <c r="E199" s="119"/>
      <c r="F199" s="18" t="s">
        <v>27</v>
      </c>
      <c r="G199" s="120">
        <v>99.9</v>
      </c>
      <c r="H199" s="119"/>
      <c r="I199" s="120">
        <v>0.999</v>
      </c>
      <c r="J199" s="119"/>
    </row>
    <row r="200" spans="1:10" ht="24.95" customHeight="1">
      <c r="A200" s="121" t="s">
        <v>50</v>
      </c>
      <c r="B200" s="119"/>
      <c r="C200" s="118"/>
      <c r="D200" s="119"/>
      <c r="E200" s="119"/>
      <c r="F200" s="118"/>
      <c r="G200" s="119"/>
      <c r="H200" s="119"/>
      <c r="I200" s="119"/>
      <c r="J200" s="119"/>
    </row>
    <row r="201" spans="1:10" ht="14.25" customHeight="1">
      <c r="A201" s="118" t="s">
        <v>74</v>
      </c>
      <c r="B201" s="119"/>
      <c r="C201" s="118" t="s">
        <v>75</v>
      </c>
      <c r="D201" s="119"/>
      <c r="E201" s="119"/>
      <c r="F201" s="18" t="s">
        <v>53</v>
      </c>
      <c r="G201" s="120">
        <v>3</v>
      </c>
      <c r="H201" s="119"/>
      <c r="I201" s="120">
        <v>0.03</v>
      </c>
      <c r="J201" s="119"/>
    </row>
    <row r="202" spans="1:10" ht="24.95" customHeight="1">
      <c r="A202" s="121" t="s">
        <v>76</v>
      </c>
      <c r="B202" s="119"/>
      <c r="C202" s="118" t="s">
        <v>77</v>
      </c>
      <c r="D202" s="119"/>
      <c r="E202" s="119"/>
      <c r="F202" s="118"/>
      <c r="G202" s="119"/>
      <c r="H202" s="119"/>
      <c r="I202" s="119"/>
      <c r="J202" s="119"/>
    </row>
    <row r="203" spans="1:10" ht="14.25" customHeight="1">
      <c r="A203" s="118" t="s">
        <v>56</v>
      </c>
      <c r="B203" s="119"/>
      <c r="C203" s="118" t="s">
        <v>57</v>
      </c>
      <c r="D203" s="119"/>
      <c r="E203" s="119"/>
      <c r="F203" s="18"/>
      <c r="G203" s="120">
        <v>0.3</v>
      </c>
      <c r="H203" s="119"/>
      <c r="I203" s="120">
        <v>3.0000000000000001E-3</v>
      </c>
      <c r="J203" s="119"/>
    </row>
    <row r="204" spans="1:10" ht="24.95" customHeight="1">
      <c r="A204" s="121" t="s">
        <v>58</v>
      </c>
      <c r="B204" s="119"/>
      <c r="C204" s="118" t="s">
        <v>59</v>
      </c>
      <c r="D204" s="119"/>
      <c r="E204" s="119"/>
      <c r="F204" s="118"/>
      <c r="G204" s="119"/>
      <c r="H204" s="119"/>
      <c r="I204" s="119"/>
      <c r="J204" s="119"/>
    </row>
    <row r="205" spans="1:10" ht="14.25" customHeight="1">
      <c r="A205" s="118" t="s">
        <v>60</v>
      </c>
      <c r="B205" s="119"/>
      <c r="C205" s="118" t="s">
        <v>61</v>
      </c>
      <c r="D205" s="119"/>
      <c r="E205" s="119"/>
      <c r="F205" s="18"/>
      <c r="G205" s="120">
        <v>0.3</v>
      </c>
      <c r="H205" s="119"/>
      <c r="I205" s="120">
        <v>3.0000000000000001E-3</v>
      </c>
      <c r="J205" s="119"/>
    </row>
    <row r="206" spans="1:10" ht="24.95" customHeight="1">
      <c r="A206" s="121" t="s">
        <v>62</v>
      </c>
      <c r="B206" s="119"/>
      <c r="C206" s="118" t="s">
        <v>63</v>
      </c>
      <c r="D206" s="119"/>
      <c r="E206" s="119"/>
      <c r="F206" s="118"/>
      <c r="G206" s="119"/>
      <c r="H206" s="119"/>
      <c r="I206" s="119"/>
      <c r="J206" s="119"/>
    </row>
    <row r="207" spans="1:10" ht="14.25" customHeight="1">
      <c r="A207" s="118"/>
      <c r="B207" s="119"/>
      <c r="C207" s="118"/>
      <c r="D207" s="119"/>
      <c r="E207" s="119"/>
      <c r="F207" s="18"/>
      <c r="G207" s="120"/>
      <c r="H207" s="119"/>
      <c r="I207" s="120"/>
      <c r="J207" s="119"/>
    </row>
    <row r="208" spans="1:10" ht="24.95" customHeight="1" thickBot="1">
      <c r="A208" s="121"/>
      <c r="B208" s="119"/>
      <c r="C208" s="118"/>
      <c r="D208" s="119"/>
      <c r="E208" s="119"/>
      <c r="F208" s="118"/>
      <c r="G208" s="119"/>
      <c r="H208" s="119"/>
      <c r="I208" s="119"/>
      <c r="J208" s="119"/>
    </row>
    <row r="209" spans="1:14" s="15" customFormat="1" ht="18" customHeight="1">
      <c r="A209" s="27" t="s">
        <v>143</v>
      </c>
      <c r="B209" s="28" t="s">
        <v>144</v>
      </c>
      <c r="C209" s="108" t="s">
        <v>145</v>
      </c>
      <c r="D209" s="109"/>
      <c r="E209" s="29" t="s">
        <v>146</v>
      </c>
      <c r="F209" s="30" t="s">
        <v>147</v>
      </c>
      <c r="G209" s="31" t="s">
        <v>148</v>
      </c>
      <c r="H209" s="32" t="s">
        <v>149</v>
      </c>
      <c r="I209" s="106" t="s">
        <v>150</v>
      </c>
      <c r="J209" s="107"/>
    </row>
    <row r="210" spans="1:14" s="19" customFormat="1" ht="18" customHeight="1">
      <c r="A210" s="33" t="str">
        <f>_xlfn.XLOOKUP(B174,[3]VFDB2!$A:$A,[3]VFDB2!$J:$J)</f>
        <v>〇</v>
      </c>
      <c r="B210" s="34">
        <f>D174</f>
        <v>592</v>
      </c>
      <c r="C210" s="110" t="str">
        <f>_xlfn.XLOOKUP(B174,[3]VFDB2!$A:$A,[3]VFDB2!$Z:$Z)</f>
        <v>LED-A592</v>
      </c>
      <c r="D210" s="111"/>
      <c r="E210" s="112" t="str" cm="1">
        <f t="array" ref="E210">IFERROR(INDEX(_xlfn._xlws.FILTER([4]加工記録２!C:C,[4]加工記録２!U:U=B176),9),"")</f>
        <v/>
      </c>
      <c r="F210" s="35" t="str" cm="1">
        <f t="array" ref="F210">IFERROR("切断加工：" &amp;_xlfn.TEXTJOIN(" / ",TRUE,INDEX(_xlfn._xlws.FILTER([4]加工記録２!M:M,[4]加工記録２!U:U=B176),9),INDEX(_xlfn._xlws.FILTER([4]加工記録２!N:N,[4]加工記録２!U:U=B176),9)),"")</f>
        <v/>
      </c>
      <c r="G210" s="36" t="str" cm="1">
        <f t="array" ref="G210">IFERROR(IF(_xlfn.TAKE(_xlfn._xlws.FILTER([4]加工記録２!$M:$N,[4]加工記録２!$U:$U=B176),5)=0,"",_xlfn.TAKE(_xlfn._xlws.FILTER([4]加工記録２!$M:$N,[4]加工記録２!$U:$U=B176),5)),"")</f>
        <v/>
      </c>
      <c r="H210" s="37"/>
      <c r="I210" s="38" t="s">
        <v>151</v>
      </c>
      <c r="J210" s="39" t="str" cm="1">
        <f t="array" ref="J210:J215">IFERROR(INDEX(_xlfn._xlws.FILTER([4]加工記録２!P:P, [4]加工記録２!U:U=B176),_xlfn.SEQUENCE(6)),"")</f>
        <v/>
      </c>
    </row>
    <row r="211" spans="1:14" s="15" customFormat="1" ht="18" customHeight="1">
      <c r="A211" s="43" t="s">
        <v>152</v>
      </c>
      <c r="B211" s="44" t="s">
        <v>153</v>
      </c>
      <c r="C211" s="110"/>
      <c r="D211" s="111"/>
      <c r="E211" s="112"/>
      <c r="F211" s="45" t="str" cm="1">
        <f t="array" ref="F211">IFERROR("外観検査：" &amp;_xlfn.TEXTJOIN(" / ",TRUE,INDEX(_xlfn._xlws.FILTER([4]加工記録２!M:M,[4]加工記録２!U:U=B176),10),INDEX(_xlfn._xlws.FILTER([4]加工記録２!N:N,[4]加工記録２!U:U=B176),10)),"")</f>
        <v/>
      </c>
      <c r="G211" s="36"/>
      <c r="H211" s="37"/>
      <c r="I211" s="38" t="s">
        <v>154</v>
      </c>
      <c r="J211" s="40" t="str">
        <v/>
      </c>
      <c r="K211" s="46"/>
    </row>
    <row r="212" spans="1:14" s="19" customFormat="1" ht="18" customHeight="1">
      <c r="A212" s="47" t="str">
        <f>_xlfn.XLOOKUP(B174,[3]VFDB2!$A:$A,[3]VFDB2!$L:$L)</f>
        <v>+0.5</v>
      </c>
      <c r="B212" s="48" t="str">
        <f>_xlfn.XLOOKUP(B174,[3]VFDB2!$A:$A,[3]VFDB2!$AC:$AC)</f>
        <v>換算表確認</v>
      </c>
      <c r="C212" s="113" t="s">
        <v>155</v>
      </c>
      <c r="D212" s="114" t="str">
        <f>_xlfn.XLOOKUP(B174,[3]VFDB2!$A:$A,[3]VFDB2!$W:$W)</f>
        <v>クラフト紙：592型</v>
      </c>
      <c r="E212" s="114"/>
      <c r="F212" s="115"/>
      <c r="G212" s="36"/>
      <c r="H212" s="37"/>
      <c r="I212" s="38" t="s">
        <v>156</v>
      </c>
      <c r="J212" s="40" t="str">
        <v/>
      </c>
      <c r="K212" s="49"/>
    </row>
    <row r="213" spans="1:14" s="15" customFormat="1" ht="18" customHeight="1">
      <c r="A213" s="50" t="s">
        <v>157</v>
      </c>
      <c r="B213" s="51" t="s">
        <v>158</v>
      </c>
      <c r="C213" s="113"/>
      <c r="D213" s="114" t="str">
        <f>_xlfn.XLOOKUP(B174,[3]VFDB2!$A:$A,[3]VFDB2!$R:$R)</f>
        <v>ラベル１枚　長手無　鉢巻１回</v>
      </c>
      <c r="E213" s="114"/>
      <c r="F213" s="115"/>
      <c r="G213" s="36"/>
      <c r="H213" s="37"/>
      <c r="I213" s="38" t="s">
        <v>159</v>
      </c>
      <c r="J213" s="40" t="str">
        <v/>
      </c>
      <c r="K213" s="46"/>
    </row>
    <row r="214" spans="1:14" s="19" customFormat="1" ht="18" customHeight="1" thickBot="1">
      <c r="A214" s="52" t="str">
        <f>_xlfn.XLOOKUP(B174,[3]VFDB2!$A:$A,[3]VFDB2!$K:$K)</f>
        <v>-0.5</v>
      </c>
      <c r="B214" s="53">
        <f>_xlfn.XLOOKUP(B174,[3]VFDB2!$A:$A,[3]VFDB2!$P:$P)</f>
        <v>3</v>
      </c>
      <c r="C214" s="54" t="s">
        <v>160</v>
      </c>
      <c r="D214" s="116" t="str">
        <f>_xlfn.XLOOKUP(B174,[3]VFDB2!$A:$A,[3]VFDB2!$V:$V)</f>
        <v>1箱目の梱包数 目視確認　以降、重量測定</v>
      </c>
      <c r="E214" s="116"/>
      <c r="F214" s="117"/>
      <c r="G214" s="55"/>
      <c r="H214" s="56"/>
      <c r="I214" s="38" t="s">
        <v>161</v>
      </c>
      <c r="J214" s="41" t="str">
        <v/>
      </c>
      <c r="K214" s="49"/>
    </row>
    <row r="215" spans="1:14" s="15" customFormat="1" ht="18" customHeight="1" thickBot="1">
      <c r="A215" s="57" t="s">
        <v>162</v>
      </c>
      <c r="B215" s="58" t="str" cm="1">
        <f t="array" ref="B215">IF(SUM(--(ISTEXT(B216:B226)*(B216:B226&lt;&gt;"")))=0,"計測Lot","計測Lot・加工数")</f>
        <v>計測Lot</v>
      </c>
      <c r="C215" s="59" t="s">
        <v>163</v>
      </c>
      <c r="D215" s="60" t="s">
        <v>164</v>
      </c>
      <c r="E215" s="61" t="s">
        <v>165</v>
      </c>
      <c r="F215" s="62" t="str" cm="1">
        <f t="array" ref="F215">IF(SUM(--(ISTEXT(B216:B226)*(B216:B226&lt;&gt;"")))=0,"記入不要","使用Lot")</f>
        <v>記入不要</v>
      </c>
      <c r="G215" s="63" t="s">
        <v>166</v>
      </c>
      <c r="H215" s="64" t="s">
        <v>167</v>
      </c>
      <c r="I215" s="65" t="s">
        <v>168</v>
      </c>
      <c r="J215" s="42" t="str">
        <v/>
      </c>
      <c r="K215" s="46"/>
    </row>
    <row r="216" spans="1:14" s="19" customFormat="1" ht="18" customHeight="1">
      <c r="A216" s="66" t="str" cm="1">
        <f t="array" ref="A216:A226">IFERROR(INDEX(_xlfn._xlws.FILTER([4]加工記録２!$D:$D,[4]加工記録２!$U:$U=B176),_xlfn.SEQUENCE(11),0),"")</f>
        <v/>
      </c>
      <c r="B216" s="70" t="str" cm="1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3"/>
      <c r="D216" s="74"/>
      <c r="E216" s="75"/>
      <c r="F216" s="76"/>
      <c r="G216" s="77"/>
      <c r="H216" s="78"/>
      <c r="I216" s="104" t="s">
        <v>169</v>
      </c>
      <c r="J216" s="105"/>
      <c r="K216" s="79"/>
    </row>
    <row r="217" spans="1:14" s="15" customFormat="1" ht="18" customHeight="1">
      <c r="A217" s="67" t="str">
        <v/>
      </c>
      <c r="B217" s="71" t="str">
        <v/>
      </c>
      <c r="C217" s="80"/>
      <c r="D217" s="81"/>
      <c r="E217" s="82"/>
      <c r="F217" s="83"/>
      <c r="G217" s="80"/>
      <c r="H217" s="84"/>
      <c r="I217" s="85" t="s">
        <v>170</v>
      </c>
      <c r="J217" s="84" t="str" cm="1">
        <f t="array" ref="J217:J226">IFERROR(INDEX(_xlfn._xlws.FILTER([4]加工記録２!R:R, [4]加工記録２!U:U=B176),_xlfn.SEQUENCE(10)),"")</f>
        <v/>
      </c>
      <c r="K217" s="79"/>
    </row>
    <row r="218" spans="1:14" s="90" customFormat="1" ht="18.95" customHeight="1">
      <c r="A218" s="68" t="str">
        <v/>
      </c>
      <c r="B218" s="71" t="str">
        <v/>
      </c>
      <c r="C218" s="80"/>
      <c r="D218" s="81"/>
      <c r="E218" s="82"/>
      <c r="F218" s="83"/>
      <c r="G218" s="80"/>
      <c r="H218" s="84"/>
      <c r="I218" s="85" t="s">
        <v>171</v>
      </c>
      <c r="J218" s="84" t="str">
        <v/>
      </c>
      <c r="K218" s="88"/>
      <c r="L218" s="89"/>
      <c r="M218" s="89"/>
      <c r="N218" s="89"/>
    </row>
    <row r="219" spans="1:14" s="93" customFormat="1" ht="18.95" customHeight="1">
      <c r="A219" s="68" t="str">
        <v/>
      </c>
      <c r="B219" s="71" t="str">
        <v/>
      </c>
      <c r="C219" s="80"/>
      <c r="D219" s="81"/>
      <c r="E219" s="82"/>
      <c r="F219" s="83"/>
      <c r="G219" s="80"/>
      <c r="H219" s="84"/>
      <c r="I219" s="85" t="s">
        <v>172</v>
      </c>
      <c r="J219" s="84" t="str">
        <v/>
      </c>
      <c r="K219" s="91"/>
      <c r="L219" s="92"/>
      <c r="M219" s="92"/>
      <c r="N219" s="92"/>
    </row>
    <row r="220" spans="1:14" s="93" customFormat="1" ht="18.95" customHeight="1">
      <c r="A220" s="68" t="str">
        <v/>
      </c>
      <c r="B220" s="71" t="str">
        <v/>
      </c>
      <c r="C220" s="80"/>
      <c r="D220" s="81"/>
      <c r="E220" s="82"/>
      <c r="F220" s="83"/>
      <c r="G220" s="80"/>
      <c r="H220" s="84"/>
      <c r="I220" s="85" t="s">
        <v>173</v>
      </c>
      <c r="J220" s="84" t="str">
        <v/>
      </c>
      <c r="K220" s="91"/>
      <c r="L220" s="92"/>
      <c r="M220" s="92"/>
      <c r="N220" s="92"/>
    </row>
    <row r="221" spans="1:14" s="93" customFormat="1" ht="18.95" customHeight="1">
      <c r="A221" s="68" t="str">
        <v/>
      </c>
      <c r="B221" s="71" t="str">
        <v/>
      </c>
      <c r="C221" s="80"/>
      <c r="D221" s="81"/>
      <c r="E221" s="82"/>
      <c r="F221" s="83"/>
      <c r="G221" s="80"/>
      <c r="H221" s="84"/>
      <c r="I221" s="85" t="s">
        <v>174</v>
      </c>
      <c r="J221" s="84" t="str">
        <v/>
      </c>
      <c r="K221" s="91"/>
      <c r="L221" s="92"/>
      <c r="M221" s="92"/>
      <c r="N221" s="92"/>
    </row>
    <row r="222" spans="1:14" s="93" customFormat="1" ht="18.95" customHeight="1">
      <c r="A222" s="68" t="str">
        <v/>
      </c>
      <c r="B222" s="71" t="str">
        <v/>
      </c>
      <c r="C222" s="80"/>
      <c r="D222" s="81"/>
      <c r="E222" s="82"/>
      <c r="F222" s="83"/>
      <c r="G222" s="80"/>
      <c r="H222" s="84"/>
      <c r="I222" s="85" t="s">
        <v>175</v>
      </c>
      <c r="J222" s="84" t="str">
        <v/>
      </c>
      <c r="K222" s="91"/>
      <c r="L222" s="92"/>
      <c r="M222" s="92"/>
      <c r="N222" s="92"/>
    </row>
    <row r="223" spans="1:14" s="93" customFormat="1" ht="18.95" customHeight="1">
      <c r="A223" s="68" t="str">
        <v/>
      </c>
      <c r="B223" s="71" t="str">
        <v/>
      </c>
      <c r="C223" s="80"/>
      <c r="D223" s="81"/>
      <c r="E223" s="82"/>
      <c r="F223" s="83"/>
      <c r="G223" s="80"/>
      <c r="H223" s="84"/>
      <c r="I223" s="94" t="s">
        <v>176</v>
      </c>
      <c r="J223" s="84" t="str">
        <v/>
      </c>
      <c r="K223" s="91"/>
      <c r="L223" s="92"/>
      <c r="M223" s="92"/>
      <c r="N223" s="92"/>
    </row>
    <row r="224" spans="1:14" s="93" customFormat="1" ht="18.95" customHeight="1">
      <c r="A224" s="68" t="str">
        <v/>
      </c>
      <c r="B224" s="71" t="str">
        <v/>
      </c>
      <c r="C224" s="80"/>
      <c r="D224" s="81"/>
      <c r="E224" s="82"/>
      <c r="F224" s="83"/>
      <c r="G224" s="80"/>
      <c r="H224" s="84"/>
      <c r="I224" s="94" t="s">
        <v>177</v>
      </c>
      <c r="J224" s="84" t="str">
        <v/>
      </c>
      <c r="K224" s="91"/>
      <c r="L224" s="92"/>
      <c r="M224" s="92"/>
      <c r="N224" s="92"/>
    </row>
    <row r="225" spans="1:14" s="93" customFormat="1" ht="18.95" customHeight="1">
      <c r="A225" s="68" t="str">
        <v/>
      </c>
      <c r="B225" s="71" t="str">
        <v/>
      </c>
      <c r="C225" s="80"/>
      <c r="D225" s="81"/>
      <c r="E225" s="82"/>
      <c r="F225" s="83"/>
      <c r="G225" s="80"/>
      <c r="H225" s="84"/>
      <c r="I225" s="85" t="s">
        <v>178</v>
      </c>
      <c r="J225" s="86" t="str">
        <v/>
      </c>
      <c r="K225" s="91"/>
      <c r="L225" s="92"/>
      <c r="M225" s="92"/>
      <c r="N225" s="92"/>
    </row>
    <row r="226" spans="1:14" s="93" customFormat="1" ht="18.95" customHeight="1" thickBot="1">
      <c r="A226" s="69" t="str">
        <v/>
      </c>
      <c r="B226" s="72" t="str">
        <v/>
      </c>
      <c r="C226" s="95"/>
      <c r="D226" s="96"/>
      <c r="E226" s="97"/>
      <c r="F226" s="98"/>
      <c r="G226" s="99"/>
      <c r="H226" s="100"/>
      <c r="I226" s="101" t="s">
        <v>179</v>
      </c>
      <c r="J226" s="87" t="str">
        <v/>
      </c>
      <c r="K226" s="91"/>
      <c r="L226" s="92"/>
      <c r="M226" s="92"/>
      <c r="N226" s="92"/>
    </row>
    <row r="227" spans="1:14" ht="6" customHeight="1" thickBot="1">
      <c r="A227" s="102"/>
      <c r="B227" s="103"/>
      <c r="C227" s="103"/>
      <c r="D227" s="102"/>
      <c r="E227" s="103"/>
      <c r="F227" s="103"/>
      <c r="G227" s="103"/>
      <c r="H227" s="103"/>
    </row>
    <row r="228" spans="1:14" ht="6" customHeight="1" thickTop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4" ht="14.25" customHeight="1" thickBot="1">
      <c r="A229" s="1"/>
      <c r="B229" s="150" t="s">
        <v>0</v>
      </c>
      <c r="C229" s="119"/>
      <c r="D229" s="119"/>
      <c r="E229" s="1"/>
      <c r="F229" s="1"/>
      <c r="G229" s="1"/>
      <c r="H229" s="1"/>
      <c r="I229" s="1"/>
      <c r="J229" s="1"/>
    </row>
    <row r="230" spans="1:14" ht="14.25" customHeight="1" thickTop="1">
      <c r="A230" s="3"/>
      <c r="B230" s="119"/>
      <c r="C230" s="119"/>
      <c r="D230" s="119"/>
      <c r="E230" s="3"/>
      <c r="F230" s="3"/>
      <c r="G230" s="3"/>
      <c r="H230" s="3"/>
      <c r="I230" s="3"/>
      <c r="J230" s="3"/>
    </row>
    <row r="231" spans="1:14" ht="14.25" customHeight="1">
      <c r="A231" s="151" t="s">
        <v>1</v>
      </c>
      <c r="B231" s="151" t="s">
        <v>68</v>
      </c>
      <c r="C231" s="151" t="s">
        <v>3</v>
      </c>
      <c r="D231" s="152">
        <v>592</v>
      </c>
      <c r="E231" s="151" t="s">
        <v>4</v>
      </c>
      <c r="F231" s="147" t="s">
        <v>69</v>
      </c>
      <c r="G231" s="119"/>
      <c r="H231" s="119"/>
      <c r="I231" s="4" t="s">
        <v>6</v>
      </c>
      <c r="J231" s="4" t="s">
        <v>7</v>
      </c>
    </row>
    <row r="232" spans="1:14" ht="14.25" customHeight="1">
      <c r="A232" s="119"/>
      <c r="B232" s="119"/>
      <c r="C232" s="119"/>
      <c r="D232" s="119"/>
      <c r="E232" s="119"/>
      <c r="F232" s="119"/>
      <c r="G232" s="119"/>
      <c r="H232" s="119"/>
      <c r="I232" s="148"/>
      <c r="J232" s="148"/>
    </row>
    <row r="233" spans="1:14" ht="17.45" customHeight="1">
      <c r="A233" s="139" t="s">
        <v>8</v>
      </c>
      <c r="B233" s="139" t="s">
        <v>78</v>
      </c>
      <c r="E233" s="139" t="s">
        <v>10</v>
      </c>
      <c r="F233" s="140" t="s">
        <v>71</v>
      </c>
      <c r="G233" s="119"/>
      <c r="H233" s="119"/>
      <c r="I233" s="149"/>
      <c r="J233" s="149"/>
    </row>
    <row r="234" spans="1:14" ht="17.45" customHeight="1">
      <c r="A234" s="119"/>
      <c r="B234" s="119"/>
      <c r="E234" s="119"/>
      <c r="F234" s="119"/>
      <c r="G234" s="119"/>
      <c r="H234" s="119"/>
      <c r="I234" s="7"/>
      <c r="J234" s="7"/>
    </row>
    <row r="235" spans="1:14" ht="17.45" customHeight="1">
      <c r="A235" s="139" t="s">
        <v>12</v>
      </c>
      <c r="B235" s="139" t="s">
        <v>79</v>
      </c>
      <c r="E235" s="8" t="s">
        <v>14</v>
      </c>
      <c r="F235" s="140" t="s">
        <v>15</v>
      </c>
      <c r="G235" s="119"/>
      <c r="H235" s="6"/>
      <c r="I235" s="7"/>
      <c r="J235" s="7"/>
    </row>
    <row r="236" spans="1:14" ht="17.45" customHeight="1">
      <c r="A236" s="119"/>
      <c r="B236" s="119"/>
      <c r="E236" s="8" t="s">
        <v>16</v>
      </c>
      <c r="F236" s="6" t="s">
        <v>17</v>
      </c>
      <c r="G236" s="6"/>
      <c r="H236" s="6"/>
      <c r="I236" s="9"/>
      <c r="J236" s="9"/>
    </row>
    <row r="237" spans="1:14" ht="17.45" customHeight="1">
      <c r="A237" s="8" t="s">
        <v>18</v>
      </c>
      <c r="B237" s="10">
        <v>46121</v>
      </c>
      <c r="E237" s="8" t="s">
        <v>19</v>
      </c>
      <c r="F237" s="141">
        <v>100</v>
      </c>
      <c r="G237" s="119"/>
      <c r="H237" s="6"/>
    </row>
    <row r="238" spans="1:14" ht="17.45" customHeight="1">
      <c r="A238" s="8" t="s">
        <v>20</v>
      </c>
      <c r="B238" s="10">
        <v>46121</v>
      </c>
      <c r="E238" s="8" t="s">
        <v>21</v>
      </c>
      <c r="F238" s="6">
        <v>2</v>
      </c>
      <c r="G238" s="142" t="s">
        <v>22</v>
      </c>
      <c r="H238" s="144">
        <v>200</v>
      </c>
      <c r="I238" s="145"/>
      <c r="J238" s="146"/>
    </row>
    <row r="239" spans="1:14" ht="17.45" customHeight="1">
      <c r="A239" s="11"/>
      <c r="B239" s="12"/>
      <c r="C239" s="12"/>
      <c r="D239" s="12"/>
      <c r="E239" s="8" t="s">
        <v>23</v>
      </c>
      <c r="F239" s="6" t="s">
        <v>24</v>
      </c>
      <c r="G239" s="143"/>
      <c r="H239" s="143"/>
      <c r="I239" s="125"/>
      <c r="J239" s="133"/>
    </row>
    <row r="240" spans="1:14" ht="13.5" customHeight="1">
      <c r="A240" s="127" t="s">
        <v>73</v>
      </c>
      <c r="B240" s="119"/>
      <c r="C240" s="119"/>
      <c r="D240" s="12"/>
      <c r="F240" s="5"/>
      <c r="G240" s="128" t="s">
        <v>26</v>
      </c>
      <c r="H240" s="130" t="s">
        <v>27</v>
      </c>
      <c r="I240" s="131" t="s">
        <v>28</v>
      </c>
      <c r="J240" s="132"/>
    </row>
    <row r="241" spans="1:10" ht="13.5" customHeight="1">
      <c r="A241" s="119"/>
      <c r="B241" s="119"/>
      <c r="C241" s="119"/>
      <c r="D241" s="12"/>
      <c r="F241" s="5"/>
      <c r="G241" s="129"/>
      <c r="H241" s="129"/>
      <c r="I241" s="125"/>
      <c r="J241" s="133"/>
    </row>
    <row r="242" spans="1:10" ht="13.5" customHeight="1">
      <c r="A242" s="2" t="s">
        <v>29</v>
      </c>
    </row>
    <row r="243" spans="1:10" ht="63" customHeight="1" thickBot="1">
      <c r="A243" s="134"/>
      <c r="B243" s="135"/>
      <c r="C243" s="135"/>
      <c r="D243" s="135"/>
      <c r="E243" s="135"/>
      <c r="F243" s="135"/>
      <c r="G243" s="135"/>
      <c r="H243" s="135"/>
      <c r="I243" s="135"/>
      <c r="J243" s="135"/>
    </row>
    <row r="244" spans="1:10" ht="18.75">
      <c r="A244" s="13" t="s">
        <v>30</v>
      </c>
      <c r="B244" s="14" t="s">
        <v>31</v>
      </c>
      <c r="C244" s="136" t="s">
        <v>32</v>
      </c>
      <c r="D244" s="137"/>
      <c r="E244" s="14" t="s">
        <v>33</v>
      </c>
      <c r="F244" s="136" t="s">
        <v>34</v>
      </c>
      <c r="G244" s="137"/>
      <c r="H244" s="137"/>
      <c r="I244" s="138" t="s">
        <v>35</v>
      </c>
      <c r="J244" s="137"/>
    </row>
    <row r="245" spans="1:10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</row>
    <row r="246" spans="1:10" ht="16.5" customHeight="1">
      <c r="A246" s="17">
        <v>1</v>
      </c>
      <c r="B246" s="18" t="s">
        <v>36</v>
      </c>
      <c r="C246" s="118" t="s">
        <v>37</v>
      </c>
      <c r="D246" s="119"/>
      <c r="E246" s="18" t="s">
        <v>38</v>
      </c>
      <c r="F246" s="118" t="s">
        <v>39</v>
      </c>
      <c r="G246" s="119"/>
      <c r="H246" s="119"/>
      <c r="I246" s="126"/>
      <c r="J246" s="119"/>
    </row>
    <row r="247" spans="1:10" ht="16.5" customHeight="1">
      <c r="A247" s="17">
        <v>1</v>
      </c>
      <c r="B247" s="20" t="s">
        <v>36</v>
      </c>
      <c r="C247" s="118" t="s">
        <v>37</v>
      </c>
      <c r="D247" s="119"/>
      <c r="E247" s="18" t="s">
        <v>40</v>
      </c>
      <c r="F247" s="118" t="s">
        <v>41</v>
      </c>
      <c r="G247" s="119"/>
      <c r="H247" s="119"/>
      <c r="I247" s="126"/>
      <c r="J247" s="119"/>
    </row>
    <row r="248" spans="1:10" ht="16.5" customHeight="1">
      <c r="A248" s="17"/>
      <c r="B248" s="20"/>
      <c r="C248" s="118"/>
      <c r="D248" s="119"/>
      <c r="E248" s="18"/>
      <c r="F248" s="118"/>
      <c r="G248" s="119"/>
      <c r="H248" s="119"/>
      <c r="I248" s="126"/>
      <c r="J248" s="119"/>
    </row>
    <row r="249" spans="1:10" ht="16.5" customHeight="1">
      <c r="A249" s="17"/>
      <c r="B249" s="20"/>
      <c r="C249" s="118"/>
      <c r="D249" s="119"/>
      <c r="E249" s="18"/>
      <c r="F249" s="118"/>
      <c r="G249" s="119"/>
      <c r="H249" s="119"/>
      <c r="I249" s="126"/>
      <c r="J249" s="119"/>
    </row>
    <row r="250" spans="1:10" ht="16.5" customHeight="1">
      <c r="A250" s="17"/>
      <c r="B250" s="20"/>
      <c r="C250" s="118"/>
      <c r="D250" s="119"/>
      <c r="E250" s="18"/>
      <c r="F250" s="118"/>
      <c r="G250" s="119"/>
      <c r="H250" s="119"/>
      <c r="I250" s="126"/>
      <c r="J250" s="119"/>
    </row>
    <row r="251" spans="1:10" ht="16.5" customHeight="1">
      <c r="A251" s="17"/>
      <c r="B251" s="20"/>
      <c r="C251" s="118"/>
      <c r="D251" s="119"/>
      <c r="E251" s="18"/>
      <c r="F251" s="118"/>
      <c r="G251" s="119"/>
      <c r="H251" s="119"/>
      <c r="I251" s="126"/>
      <c r="J251" s="119"/>
    </row>
    <row r="252" spans="1:10" ht="16.5" customHeight="1" thickBo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spans="1:10" ht="18.75">
      <c r="A253" s="122" t="s">
        <v>42</v>
      </c>
      <c r="B253" s="123"/>
      <c r="C253" s="122" t="s">
        <v>43</v>
      </c>
      <c r="D253" s="123"/>
      <c r="E253" s="123"/>
      <c r="F253" s="22" t="s">
        <v>44</v>
      </c>
      <c r="G253" s="122" t="s">
        <v>45</v>
      </c>
      <c r="H253" s="123"/>
      <c r="I253" s="122" t="s">
        <v>46</v>
      </c>
      <c r="J253" s="123"/>
    </row>
    <row r="254" spans="1:10" ht="14.25" customHeight="1">
      <c r="A254" s="23"/>
      <c r="B254" s="24"/>
      <c r="C254" s="124" t="s">
        <v>47</v>
      </c>
      <c r="D254" s="125"/>
      <c r="E254" s="24"/>
      <c r="F254" s="124" t="s">
        <v>29</v>
      </c>
      <c r="G254" s="125"/>
      <c r="H254" s="125"/>
      <c r="I254" s="125"/>
      <c r="J254" s="125"/>
    </row>
    <row r="255" spans="1:10">
      <c r="A255" s="25"/>
      <c r="C255" s="19"/>
      <c r="D255" s="19"/>
      <c r="E255" s="19"/>
    </row>
    <row r="256" spans="1:10" ht="14.25" customHeight="1">
      <c r="A256" s="118" t="s">
        <v>48</v>
      </c>
      <c r="B256" s="119"/>
      <c r="C256" s="118" t="s">
        <v>49</v>
      </c>
      <c r="D256" s="119"/>
      <c r="E256" s="119"/>
      <c r="F256" s="18" t="s">
        <v>27</v>
      </c>
      <c r="G256" s="120">
        <v>66.599999999999994</v>
      </c>
      <c r="H256" s="119"/>
      <c r="I256" s="120">
        <v>0.66600000000000004</v>
      </c>
      <c r="J256" s="119"/>
    </row>
    <row r="257" spans="1:11" ht="24.95" customHeight="1">
      <c r="A257" s="121" t="s">
        <v>50</v>
      </c>
      <c r="B257" s="119"/>
      <c r="C257" s="118"/>
      <c r="D257" s="119"/>
      <c r="E257" s="119"/>
      <c r="F257" s="118"/>
      <c r="G257" s="119"/>
      <c r="H257" s="119"/>
      <c r="I257" s="119"/>
      <c r="J257" s="119"/>
    </row>
    <row r="258" spans="1:11" ht="14.25" customHeight="1">
      <c r="A258" s="118" t="s">
        <v>74</v>
      </c>
      <c r="B258" s="119"/>
      <c r="C258" s="118" t="s">
        <v>75</v>
      </c>
      <c r="D258" s="119"/>
      <c r="E258" s="119"/>
      <c r="F258" s="18" t="s">
        <v>53</v>
      </c>
      <c r="G258" s="120">
        <v>2</v>
      </c>
      <c r="H258" s="119"/>
      <c r="I258" s="120">
        <v>0.02</v>
      </c>
      <c r="J258" s="119"/>
    </row>
    <row r="259" spans="1:11" ht="24.95" customHeight="1">
      <c r="A259" s="121" t="s">
        <v>76</v>
      </c>
      <c r="B259" s="119"/>
      <c r="C259" s="118" t="s">
        <v>77</v>
      </c>
      <c r="D259" s="119"/>
      <c r="E259" s="119"/>
      <c r="F259" s="118"/>
      <c r="G259" s="119"/>
      <c r="H259" s="119"/>
      <c r="I259" s="119"/>
      <c r="J259" s="119"/>
    </row>
    <row r="260" spans="1:11" ht="14.25" customHeight="1">
      <c r="A260" s="118" t="s">
        <v>56</v>
      </c>
      <c r="B260" s="119"/>
      <c r="C260" s="118" t="s">
        <v>57</v>
      </c>
      <c r="D260" s="119"/>
      <c r="E260" s="119"/>
      <c r="F260" s="18"/>
      <c r="G260" s="120">
        <v>0.2</v>
      </c>
      <c r="H260" s="119"/>
      <c r="I260" s="120">
        <v>2E-3</v>
      </c>
      <c r="J260" s="119"/>
    </row>
    <row r="261" spans="1:11" ht="24.95" customHeight="1">
      <c r="A261" s="121" t="s">
        <v>58</v>
      </c>
      <c r="B261" s="119"/>
      <c r="C261" s="118" t="s">
        <v>59</v>
      </c>
      <c r="D261" s="119"/>
      <c r="E261" s="119"/>
      <c r="F261" s="118"/>
      <c r="G261" s="119"/>
      <c r="H261" s="119"/>
      <c r="I261" s="119"/>
      <c r="J261" s="119"/>
    </row>
    <row r="262" spans="1:11" ht="14.25" customHeight="1">
      <c r="A262" s="118" t="s">
        <v>60</v>
      </c>
      <c r="B262" s="119"/>
      <c r="C262" s="118" t="s">
        <v>61</v>
      </c>
      <c r="D262" s="119"/>
      <c r="E262" s="119"/>
      <c r="F262" s="18"/>
      <c r="G262" s="120">
        <v>0.2</v>
      </c>
      <c r="H262" s="119"/>
      <c r="I262" s="120">
        <v>2E-3</v>
      </c>
      <c r="J262" s="119"/>
    </row>
    <row r="263" spans="1:11" ht="24.95" customHeight="1">
      <c r="A263" s="121" t="s">
        <v>62</v>
      </c>
      <c r="B263" s="119"/>
      <c r="C263" s="118" t="s">
        <v>63</v>
      </c>
      <c r="D263" s="119"/>
      <c r="E263" s="119"/>
      <c r="F263" s="118"/>
      <c r="G263" s="119"/>
      <c r="H263" s="119"/>
      <c r="I263" s="119"/>
      <c r="J263" s="119"/>
    </row>
    <row r="264" spans="1:11" ht="14.25" customHeight="1">
      <c r="A264" s="118"/>
      <c r="B264" s="119"/>
      <c r="C264" s="118"/>
      <c r="D264" s="119"/>
      <c r="E264" s="119"/>
      <c r="F264" s="18"/>
      <c r="G264" s="120"/>
      <c r="H264" s="119"/>
      <c r="I264" s="120"/>
      <c r="J264" s="119"/>
    </row>
    <row r="265" spans="1:11" ht="24.95" customHeight="1" thickBot="1">
      <c r="A265" s="121"/>
      <c r="B265" s="119"/>
      <c r="C265" s="118"/>
      <c r="D265" s="119"/>
      <c r="E265" s="119"/>
      <c r="F265" s="118"/>
      <c r="G265" s="119"/>
      <c r="H265" s="119"/>
      <c r="I265" s="119"/>
      <c r="J265" s="119"/>
    </row>
    <row r="266" spans="1:11" s="15" customFormat="1" ht="18" customHeight="1">
      <c r="A266" s="27" t="s">
        <v>143</v>
      </c>
      <c r="B266" s="28" t="s">
        <v>144</v>
      </c>
      <c r="C266" s="108" t="s">
        <v>145</v>
      </c>
      <c r="D266" s="109"/>
      <c r="E266" s="29" t="s">
        <v>146</v>
      </c>
      <c r="F266" s="30" t="s">
        <v>147</v>
      </c>
      <c r="G266" s="31" t="s">
        <v>148</v>
      </c>
      <c r="H266" s="32" t="s">
        <v>149</v>
      </c>
      <c r="I266" s="106" t="s">
        <v>150</v>
      </c>
      <c r="J266" s="107"/>
    </row>
    <row r="267" spans="1:11" s="19" customFormat="1" ht="18" customHeight="1">
      <c r="A267" s="33" t="str">
        <f>_xlfn.XLOOKUP(B231,[3]VFDB2!$A:$A,[3]VFDB2!$J:$J)</f>
        <v>〇</v>
      </c>
      <c r="B267" s="34">
        <f>D231</f>
        <v>592</v>
      </c>
      <c r="C267" s="110" t="str">
        <f>_xlfn.XLOOKUP(B231,[3]VFDB2!$A:$A,[3]VFDB2!$Z:$Z)</f>
        <v>LED-A592</v>
      </c>
      <c r="D267" s="111"/>
      <c r="E267" s="112" t="str" cm="1">
        <f t="array" ref="E267">IFERROR(INDEX(_xlfn._xlws.FILTER([4]加工記録２!C:C,[4]加工記録２!U:U=B233),9),"")</f>
        <v/>
      </c>
      <c r="F267" s="35" t="str" cm="1">
        <f t="array" ref="F267">IFERROR("切断加工：" &amp;_xlfn.TEXTJOIN(" / ",TRUE,INDEX(_xlfn._xlws.FILTER([4]加工記録２!M:M,[4]加工記録２!U:U=B233),9),INDEX(_xlfn._xlws.FILTER([4]加工記録２!N:N,[4]加工記録２!U:U=B233),9)),"")</f>
        <v/>
      </c>
      <c r="G267" s="36" t="str" cm="1">
        <f t="array" ref="G267">IFERROR(IF(_xlfn.TAKE(_xlfn._xlws.FILTER([4]加工記録２!$M:$N,[4]加工記録２!$U:$U=B233),5)=0,"",_xlfn.TAKE(_xlfn._xlws.FILTER([4]加工記録２!$M:$N,[4]加工記録２!$U:$U=B233),5)),"")</f>
        <v/>
      </c>
      <c r="H267" s="37"/>
      <c r="I267" s="38" t="s">
        <v>151</v>
      </c>
      <c r="J267" s="39" t="str" cm="1">
        <f t="array" ref="J267:J272">IFERROR(INDEX(_xlfn._xlws.FILTER([4]加工記録２!P:P, [4]加工記録２!U:U=B233),_xlfn.SEQUENCE(6)),"")</f>
        <v/>
      </c>
    </row>
    <row r="268" spans="1:11" s="15" customFormat="1" ht="18" customHeight="1">
      <c r="A268" s="43" t="s">
        <v>152</v>
      </c>
      <c r="B268" s="44" t="s">
        <v>153</v>
      </c>
      <c r="C268" s="110"/>
      <c r="D268" s="111"/>
      <c r="E268" s="112"/>
      <c r="F268" s="45" t="str" cm="1">
        <f t="array" ref="F268">IFERROR("外観検査：" &amp;_xlfn.TEXTJOIN(" / ",TRUE,INDEX(_xlfn._xlws.FILTER([4]加工記録２!M:M,[4]加工記録２!U:U=B233),10),INDEX(_xlfn._xlws.FILTER([4]加工記録２!N:N,[4]加工記録２!U:U=B233),10)),"")</f>
        <v/>
      </c>
      <c r="G268" s="36"/>
      <c r="H268" s="37"/>
      <c r="I268" s="38" t="s">
        <v>154</v>
      </c>
      <c r="J268" s="40" t="str">
        <v/>
      </c>
      <c r="K268" s="46"/>
    </row>
    <row r="269" spans="1:11" s="19" customFormat="1" ht="18" customHeight="1">
      <c r="A269" s="47" t="str">
        <f>_xlfn.XLOOKUP(B231,[3]VFDB2!$A:$A,[3]VFDB2!$L:$L)</f>
        <v>+0.5</v>
      </c>
      <c r="B269" s="48" t="str">
        <f>_xlfn.XLOOKUP(B231,[3]VFDB2!$A:$A,[3]VFDB2!$AC:$AC)</f>
        <v>換算表確認</v>
      </c>
      <c r="C269" s="113" t="s">
        <v>155</v>
      </c>
      <c r="D269" s="114" t="str">
        <f>_xlfn.XLOOKUP(B231,[3]VFDB2!$A:$A,[3]VFDB2!$W:$W)</f>
        <v>クラフト紙：592型</v>
      </c>
      <c r="E269" s="114"/>
      <c r="F269" s="115"/>
      <c r="G269" s="36"/>
      <c r="H269" s="37"/>
      <c r="I269" s="38" t="s">
        <v>156</v>
      </c>
      <c r="J269" s="40" t="str">
        <v/>
      </c>
      <c r="K269" s="49"/>
    </row>
    <row r="270" spans="1:11" s="15" customFormat="1" ht="18" customHeight="1">
      <c r="A270" s="50" t="s">
        <v>157</v>
      </c>
      <c r="B270" s="51" t="s">
        <v>158</v>
      </c>
      <c r="C270" s="113"/>
      <c r="D270" s="114" t="str">
        <f>_xlfn.XLOOKUP(B231,[3]VFDB2!$A:$A,[3]VFDB2!$R:$R)</f>
        <v>ラベル１枚　長手無　鉢巻１回</v>
      </c>
      <c r="E270" s="114"/>
      <c r="F270" s="115"/>
      <c r="G270" s="36"/>
      <c r="H270" s="37"/>
      <c r="I270" s="38" t="s">
        <v>159</v>
      </c>
      <c r="J270" s="40" t="str">
        <v/>
      </c>
      <c r="K270" s="46"/>
    </row>
    <row r="271" spans="1:11" s="19" customFormat="1" ht="18" customHeight="1" thickBot="1">
      <c r="A271" s="52" t="str">
        <f>_xlfn.XLOOKUP(B231,[3]VFDB2!$A:$A,[3]VFDB2!$K:$K)</f>
        <v>-0.5</v>
      </c>
      <c r="B271" s="53">
        <f>_xlfn.XLOOKUP(B231,[3]VFDB2!$A:$A,[3]VFDB2!$P:$P)</f>
        <v>3</v>
      </c>
      <c r="C271" s="54" t="s">
        <v>160</v>
      </c>
      <c r="D271" s="116" t="str">
        <f>_xlfn.XLOOKUP(B231,[3]VFDB2!$A:$A,[3]VFDB2!$V:$V)</f>
        <v>1箱目の梱包数 目視確認　以降、重量測定</v>
      </c>
      <c r="E271" s="116"/>
      <c r="F271" s="117"/>
      <c r="G271" s="55"/>
      <c r="H271" s="56"/>
      <c r="I271" s="38" t="s">
        <v>161</v>
      </c>
      <c r="J271" s="41" t="str">
        <v/>
      </c>
      <c r="K271" s="49"/>
    </row>
    <row r="272" spans="1:11" s="15" customFormat="1" ht="18" customHeight="1" thickBot="1">
      <c r="A272" s="57" t="s">
        <v>162</v>
      </c>
      <c r="B272" s="58" t="str" cm="1">
        <f t="array" ref="B272">IF(SUM(--(ISTEXT(B273:B283)*(B273:B283&lt;&gt;"")))=0,"計測Lot","計測Lot・加工数")</f>
        <v>計測Lot</v>
      </c>
      <c r="C272" s="59" t="s">
        <v>163</v>
      </c>
      <c r="D272" s="60" t="s">
        <v>164</v>
      </c>
      <c r="E272" s="61" t="s">
        <v>165</v>
      </c>
      <c r="F272" s="62" t="str" cm="1">
        <f t="array" ref="F272">IF(SUM(--(ISTEXT(B273:B283)*(B273:B283&lt;&gt;"")))=0,"記入不要","使用Lot")</f>
        <v>記入不要</v>
      </c>
      <c r="G272" s="63" t="s">
        <v>166</v>
      </c>
      <c r="H272" s="64" t="s">
        <v>167</v>
      </c>
      <c r="I272" s="65" t="s">
        <v>168</v>
      </c>
      <c r="J272" s="42" t="str">
        <v/>
      </c>
      <c r="K272" s="46"/>
    </row>
    <row r="273" spans="1:14" s="19" customFormat="1" ht="18" customHeight="1">
      <c r="A273" s="66" t="str" cm="1">
        <f t="array" ref="A273:A283">IFERROR(INDEX(_xlfn._xlws.FILTER([4]加工記録２!$D:$D,[4]加工記録２!$U:$U=B233),_xlfn.SEQUENCE(11),0),"")</f>
        <v/>
      </c>
      <c r="B273" s="70" t="str" cm="1">
        <f t="array" ref="B273:B283">IFERROR(IF(INDEX(_xlfn._xlws.FILTER([4]加工記録２!$E:$E,[4]加工記録２!$U:$U=B233),_xlfn.SEQUENCE(11))="","",INDEX(_xlfn._xlws.FILTER([4]加工記録２!$E:$E,[4]加工記録２!$U:$U=B233),_xlfn.SEQUENCE(11)) &amp; IF(INDEX(_xlfn._xlws.FILTER([4]加工記録２!$F:$F,[4]加工記録２!$U:$U=B233),_xlfn.SEQUENCE(11))="","", " × " &amp; INDEX(_xlfn._xlws.FILTER([4]加工記録２!$F:$F,[4]加工記録２!$U:$U=B233),_xlfn.SEQUENCE(11)))),"")</f>
        <v/>
      </c>
      <c r="C273" s="73"/>
      <c r="D273" s="74"/>
      <c r="E273" s="75"/>
      <c r="F273" s="76"/>
      <c r="G273" s="77"/>
      <c r="H273" s="78"/>
      <c r="I273" s="104" t="s">
        <v>169</v>
      </c>
      <c r="J273" s="105"/>
      <c r="K273" s="79"/>
    </row>
    <row r="274" spans="1:14" s="15" customFormat="1" ht="18" customHeight="1">
      <c r="A274" s="67" t="str">
        <v/>
      </c>
      <c r="B274" s="71" t="str">
        <v/>
      </c>
      <c r="C274" s="80"/>
      <c r="D274" s="81"/>
      <c r="E274" s="82"/>
      <c r="F274" s="83"/>
      <c r="G274" s="80"/>
      <c r="H274" s="84"/>
      <c r="I274" s="85" t="s">
        <v>170</v>
      </c>
      <c r="J274" s="84" t="str" cm="1">
        <f t="array" ref="J274:J283">IFERROR(INDEX(_xlfn._xlws.FILTER([4]加工記録２!R:R, [4]加工記録２!U:U=B233),_xlfn.SEQUENCE(10)),"")</f>
        <v/>
      </c>
      <c r="K274" s="79"/>
    </row>
    <row r="275" spans="1:14" s="90" customFormat="1" ht="18.95" customHeight="1">
      <c r="A275" s="68" t="str">
        <v/>
      </c>
      <c r="B275" s="71" t="str">
        <v/>
      </c>
      <c r="C275" s="80"/>
      <c r="D275" s="81"/>
      <c r="E275" s="82"/>
      <c r="F275" s="83"/>
      <c r="G275" s="80"/>
      <c r="H275" s="84"/>
      <c r="I275" s="85" t="s">
        <v>171</v>
      </c>
      <c r="J275" s="84" t="str">
        <v/>
      </c>
      <c r="K275" s="88"/>
      <c r="L275" s="89"/>
      <c r="M275" s="89"/>
      <c r="N275" s="89"/>
    </row>
    <row r="276" spans="1:14" s="93" customFormat="1" ht="18.95" customHeight="1">
      <c r="A276" s="68" t="str">
        <v/>
      </c>
      <c r="B276" s="71" t="str">
        <v/>
      </c>
      <c r="C276" s="80"/>
      <c r="D276" s="81"/>
      <c r="E276" s="82"/>
      <c r="F276" s="83"/>
      <c r="G276" s="80"/>
      <c r="H276" s="84"/>
      <c r="I276" s="85" t="s">
        <v>172</v>
      </c>
      <c r="J276" s="84" t="str">
        <v/>
      </c>
      <c r="K276" s="91"/>
      <c r="L276" s="92"/>
      <c r="M276" s="92"/>
      <c r="N276" s="92"/>
    </row>
    <row r="277" spans="1:14" s="93" customFormat="1" ht="18.95" customHeight="1">
      <c r="A277" s="68" t="str">
        <v/>
      </c>
      <c r="B277" s="71" t="str">
        <v/>
      </c>
      <c r="C277" s="80"/>
      <c r="D277" s="81"/>
      <c r="E277" s="82"/>
      <c r="F277" s="83"/>
      <c r="G277" s="80"/>
      <c r="H277" s="84"/>
      <c r="I277" s="85" t="s">
        <v>173</v>
      </c>
      <c r="J277" s="84" t="str">
        <v/>
      </c>
      <c r="K277" s="91"/>
      <c r="L277" s="92"/>
      <c r="M277" s="92"/>
      <c r="N277" s="92"/>
    </row>
    <row r="278" spans="1:14" s="93" customFormat="1" ht="18.95" customHeight="1">
      <c r="A278" s="68" t="str">
        <v/>
      </c>
      <c r="B278" s="71" t="str">
        <v/>
      </c>
      <c r="C278" s="80"/>
      <c r="D278" s="81"/>
      <c r="E278" s="82"/>
      <c r="F278" s="83"/>
      <c r="G278" s="80"/>
      <c r="H278" s="84"/>
      <c r="I278" s="85" t="s">
        <v>174</v>
      </c>
      <c r="J278" s="84" t="str">
        <v/>
      </c>
      <c r="K278" s="91"/>
      <c r="L278" s="92"/>
      <c r="M278" s="92"/>
      <c r="N278" s="92"/>
    </row>
    <row r="279" spans="1:14" s="93" customFormat="1" ht="18.95" customHeight="1">
      <c r="A279" s="68" t="str">
        <v/>
      </c>
      <c r="B279" s="71" t="str">
        <v/>
      </c>
      <c r="C279" s="80"/>
      <c r="D279" s="81"/>
      <c r="E279" s="82"/>
      <c r="F279" s="83"/>
      <c r="G279" s="80"/>
      <c r="H279" s="84"/>
      <c r="I279" s="85" t="s">
        <v>175</v>
      </c>
      <c r="J279" s="84" t="str">
        <v/>
      </c>
      <c r="K279" s="91"/>
      <c r="L279" s="92"/>
      <c r="M279" s="92"/>
      <c r="N279" s="92"/>
    </row>
    <row r="280" spans="1:14" s="93" customFormat="1" ht="18.95" customHeight="1">
      <c r="A280" s="68" t="str">
        <v/>
      </c>
      <c r="B280" s="71" t="str">
        <v/>
      </c>
      <c r="C280" s="80"/>
      <c r="D280" s="81"/>
      <c r="E280" s="82"/>
      <c r="F280" s="83"/>
      <c r="G280" s="80"/>
      <c r="H280" s="84"/>
      <c r="I280" s="94" t="s">
        <v>176</v>
      </c>
      <c r="J280" s="84" t="str">
        <v/>
      </c>
      <c r="K280" s="91"/>
      <c r="L280" s="92"/>
      <c r="M280" s="92"/>
      <c r="N280" s="92"/>
    </row>
    <row r="281" spans="1:14" s="93" customFormat="1" ht="18.95" customHeight="1">
      <c r="A281" s="68" t="str">
        <v/>
      </c>
      <c r="B281" s="71" t="str">
        <v/>
      </c>
      <c r="C281" s="80"/>
      <c r="D281" s="81"/>
      <c r="E281" s="82"/>
      <c r="F281" s="83"/>
      <c r="G281" s="80"/>
      <c r="H281" s="84"/>
      <c r="I281" s="94" t="s">
        <v>177</v>
      </c>
      <c r="J281" s="84" t="str">
        <v/>
      </c>
      <c r="K281" s="91"/>
      <c r="L281" s="92"/>
      <c r="M281" s="92"/>
      <c r="N281" s="92"/>
    </row>
    <row r="282" spans="1:14" s="93" customFormat="1" ht="18.95" customHeight="1">
      <c r="A282" s="68" t="str">
        <v/>
      </c>
      <c r="B282" s="71" t="str">
        <v/>
      </c>
      <c r="C282" s="80"/>
      <c r="D282" s="81"/>
      <c r="E282" s="82"/>
      <c r="F282" s="83"/>
      <c r="G282" s="80"/>
      <c r="H282" s="84"/>
      <c r="I282" s="85" t="s">
        <v>178</v>
      </c>
      <c r="J282" s="86" t="str">
        <v/>
      </c>
      <c r="K282" s="91"/>
      <c r="L282" s="92"/>
      <c r="M282" s="92"/>
      <c r="N282" s="92"/>
    </row>
    <row r="283" spans="1:14" s="93" customFormat="1" ht="18.95" customHeight="1" thickBot="1">
      <c r="A283" s="69" t="str">
        <v/>
      </c>
      <c r="B283" s="72" t="str">
        <v/>
      </c>
      <c r="C283" s="95"/>
      <c r="D283" s="96"/>
      <c r="E283" s="97"/>
      <c r="F283" s="98"/>
      <c r="G283" s="99"/>
      <c r="H283" s="100"/>
      <c r="I283" s="101" t="s">
        <v>179</v>
      </c>
      <c r="J283" s="87" t="str">
        <v/>
      </c>
      <c r="K283" s="91"/>
      <c r="L283" s="92"/>
      <c r="M283" s="92"/>
      <c r="N283" s="92"/>
    </row>
    <row r="284" spans="1:14" ht="6" customHeight="1" thickBot="1">
      <c r="A284" s="102"/>
      <c r="B284" s="103"/>
      <c r="C284" s="103"/>
      <c r="D284" s="102"/>
      <c r="E284" s="103"/>
      <c r="F284" s="103"/>
      <c r="G284" s="103"/>
      <c r="H284" s="103"/>
    </row>
    <row r="285" spans="1:14" ht="6" customHeight="1" thickTop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4" ht="14.25" customHeight="1" thickBot="1">
      <c r="A286" s="1"/>
      <c r="B286" s="150" t="s">
        <v>0</v>
      </c>
      <c r="C286" s="119"/>
      <c r="D286" s="119"/>
      <c r="E286" s="1"/>
      <c r="F286" s="1"/>
      <c r="G286" s="1"/>
      <c r="H286" s="1"/>
      <c r="I286" s="1"/>
      <c r="J286" s="1"/>
    </row>
    <row r="287" spans="1:14" ht="14.25" customHeight="1" thickTop="1">
      <c r="A287" s="3"/>
      <c r="B287" s="119"/>
      <c r="C287" s="119"/>
      <c r="D287" s="119"/>
      <c r="E287" s="3"/>
      <c r="F287" s="3"/>
      <c r="G287" s="3"/>
      <c r="H287" s="3"/>
      <c r="I287" s="3"/>
      <c r="J287" s="3"/>
    </row>
    <row r="288" spans="1:14" ht="14.25" customHeight="1">
      <c r="A288" s="151" t="s">
        <v>1</v>
      </c>
      <c r="B288" s="151" t="s">
        <v>68</v>
      </c>
      <c r="C288" s="151" t="s">
        <v>3</v>
      </c>
      <c r="D288" s="152">
        <v>592</v>
      </c>
      <c r="E288" s="151" t="s">
        <v>4</v>
      </c>
      <c r="F288" s="147" t="s">
        <v>69</v>
      </c>
      <c r="G288" s="119"/>
      <c r="H288" s="119"/>
      <c r="I288" s="4" t="s">
        <v>6</v>
      </c>
      <c r="J288" s="4" t="s">
        <v>7</v>
      </c>
    </row>
    <row r="289" spans="1:10" ht="14.25" customHeight="1">
      <c r="A289" s="119"/>
      <c r="B289" s="119"/>
      <c r="C289" s="119"/>
      <c r="D289" s="119"/>
      <c r="E289" s="119"/>
      <c r="F289" s="119"/>
      <c r="G289" s="119"/>
      <c r="H289" s="119"/>
      <c r="I289" s="148"/>
      <c r="J289" s="148"/>
    </row>
    <row r="290" spans="1:10" ht="17.45" customHeight="1">
      <c r="A290" s="139" t="s">
        <v>8</v>
      </c>
      <c r="B290" s="139" t="s">
        <v>80</v>
      </c>
      <c r="E290" s="139" t="s">
        <v>10</v>
      </c>
      <c r="F290" s="140" t="s">
        <v>71</v>
      </c>
      <c r="G290" s="119"/>
      <c r="H290" s="119"/>
      <c r="I290" s="149"/>
      <c r="J290" s="149"/>
    </row>
    <row r="291" spans="1:10" ht="17.45" customHeight="1">
      <c r="A291" s="119"/>
      <c r="B291" s="119"/>
      <c r="E291" s="119"/>
      <c r="F291" s="119"/>
      <c r="G291" s="119"/>
      <c r="H291" s="119"/>
      <c r="I291" s="7"/>
      <c r="J291" s="7"/>
    </row>
    <row r="292" spans="1:10" ht="17.45" customHeight="1">
      <c r="A292" s="139" t="s">
        <v>12</v>
      </c>
      <c r="B292" s="139" t="s">
        <v>81</v>
      </c>
      <c r="E292" s="8" t="s">
        <v>14</v>
      </c>
      <c r="F292" s="140" t="s">
        <v>15</v>
      </c>
      <c r="G292" s="119"/>
      <c r="H292" s="6"/>
      <c r="I292" s="7"/>
      <c r="J292" s="7"/>
    </row>
    <row r="293" spans="1:10" ht="17.45" customHeight="1">
      <c r="A293" s="119"/>
      <c r="B293" s="119"/>
      <c r="E293" s="8" t="s">
        <v>16</v>
      </c>
      <c r="F293" s="6" t="s">
        <v>17</v>
      </c>
      <c r="G293" s="6"/>
      <c r="H293" s="6"/>
      <c r="I293" s="9"/>
      <c r="J293" s="9"/>
    </row>
    <row r="294" spans="1:10" ht="17.45" customHeight="1">
      <c r="A294" s="8" t="s">
        <v>18</v>
      </c>
      <c r="B294" s="10">
        <v>46125</v>
      </c>
      <c r="E294" s="8" t="s">
        <v>19</v>
      </c>
      <c r="F294" s="141">
        <v>100</v>
      </c>
      <c r="G294" s="119"/>
      <c r="H294" s="6"/>
    </row>
    <row r="295" spans="1:10" ht="17.45" customHeight="1">
      <c r="A295" s="8" t="s">
        <v>20</v>
      </c>
      <c r="B295" s="10">
        <v>46125</v>
      </c>
      <c r="E295" s="8" t="s">
        <v>21</v>
      </c>
      <c r="F295" s="6">
        <v>1</v>
      </c>
      <c r="G295" s="142" t="s">
        <v>22</v>
      </c>
      <c r="H295" s="144">
        <v>100</v>
      </c>
      <c r="I295" s="145"/>
      <c r="J295" s="146"/>
    </row>
    <row r="296" spans="1:10" ht="17.45" customHeight="1">
      <c r="A296" s="11"/>
      <c r="B296" s="12"/>
      <c r="C296" s="12"/>
      <c r="D296" s="12"/>
      <c r="E296" s="8" t="s">
        <v>23</v>
      </c>
      <c r="F296" s="6" t="s">
        <v>24</v>
      </c>
      <c r="G296" s="143"/>
      <c r="H296" s="143"/>
      <c r="I296" s="125"/>
      <c r="J296" s="133"/>
    </row>
    <row r="297" spans="1:10" ht="13.5" customHeight="1">
      <c r="A297" s="127" t="s">
        <v>73</v>
      </c>
      <c r="B297" s="119"/>
      <c r="C297" s="119"/>
      <c r="D297" s="12"/>
      <c r="F297" s="5"/>
      <c r="G297" s="128" t="s">
        <v>26</v>
      </c>
      <c r="H297" s="130" t="s">
        <v>27</v>
      </c>
      <c r="I297" s="131" t="s">
        <v>28</v>
      </c>
      <c r="J297" s="132"/>
    </row>
    <row r="298" spans="1:10" ht="13.5" customHeight="1">
      <c r="A298" s="119"/>
      <c r="B298" s="119"/>
      <c r="C298" s="119"/>
      <c r="D298" s="12"/>
      <c r="F298" s="5"/>
      <c r="G298" s="129"/>
      <c r="H298" s="129"/>
      <c r="I298" s="125"/>
      <c r="J298" s="133"/>
    </row>
    <row r="299" spans="1:10" ht="13.5" customHeight="1">
      <c r="A299" s="2" t="s">
        <v>29</v>
      </c>
    </row>
    <row r="300" spans="1:10" ht="63" customHeight="1" thickBot="1">
      <c r="A300" s="134"/>
      <c r="B300" s="135"/>
      <c r="C300" s="135"/>
      <c r="D300" s="135"/>
      <c r="E300" s="135"/>
      <c r="F300" s="135"/>
      <c r="G300" s="135"/>
      <c r="H300" s="135"/>
      <c r="I300" s="135"/>
      <c r="J300" s="135"/>
    </row>
    <row r="301" spans="1:10" ht="18.75">
      <c r="A301" s="13" t="s">
        <v>30</v>
      </c>
      <c r="B301" s="14" t="s">
        <v>31</v>
      </c>
      <c r="C301" s="136" t="s">
        <v>32</v>
      </c>
      <c r="D301" s="137"/>
      <c r="E301" s="14" t="s">
        <v>33</v>
      </c>
      <c r="F301" s="136" t="s">
        <v>34</v>
      </c>
      <c r="G301" s="137"/>
      <c r="H301" s="137"/>
      <c r="I301" s="138" t="s">
        <v>35</v>
      </c>
      <c r="J301" s="137"/>
    </row>
    <row r="302" spans="1:10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</row>
    <row r="303" spans="1:10" ht="16.5" customHeight="1">
      <c r="A303" s="17">
        <v>1</v>
      </c>
      <c r="B303" s="18" t="s">
        <v>36</v>
      </c>
      <c r="C303" s="118" t="s">
        <v>37</v>
      </c>
      <c r="D303" s="119"/>
      <c r="E303" s="18" t="s">
        <v>38</v>
      </c>
      <c r="F303" s="118" t="s">
        <v>39</v>
      </c>
      <c r="G303" s="119"/>
      <c r="H303" s="119"/>
      <c r="I303" s="126"/>
      <c r="J303" s="119"/>
    </row>
    <row r="304" spans="1:10" ht="16.5" customHeight="1">
      <c r="A304" s="17">
        <v>1</v>
      </c>
      <c r="B304" s="20" t="s">
        <v>36</v>
      </c>
      <c r="C304" s="118" t="s">
        <v>37</v>
      </c>
      <c r="D304" s="119"/>
      <c r="E304" s="18" t="s">
        <v>40</v>
      </c>
      <c r="F304" s="118" t="s">
        <v>41</v>
      </c>
      <c r="G304" s="119"/>
      <c r="H304" s="119"/>
      <c r="I304" s="126"/>
      <c r="J304" s="119"/>
    </row>
    <row r="305" spans="1:10" ht="16.5" customHeight="1">
      <c r="A305" s="17"/>
      <c r="B305" s="20"/>
      <c r="C305" s="118"/>
      <c r="D305" s="119"/>
      <c r="E305" s="18"/>
      <c r="F305" s="118"/>
      <c r="G305" s="119"/>
      <c r="H305" s="119"/>
      <c r="I305" s="126"/>
      <c r="J305" s="119"/>
    </row>
    <row r="306" spans="1:10" ht="16.5" customHeight="1">
      <c r="A306" s="17"/>
      <c r="B306" s="20"/>
      <c r="C306" s="118"/>
      <c r="D306" s="119"/>
      <c r="E306" s="18"/>
      <c r="F306" s="118"/>
      <c r="G306" s="119"/>
      <c r="H306" s="119"/>
      <c r="I306" s="126"/>
      <c r="J306" s="119"/>
    </row>
    <row r="307" spans="1:10" ht="16.5" customHeight="1">
      <c r="A307" s="17"/>
      <c r="B307" s="20"/>
      <c r="C307" s="118"/>
      <c r="D307" s="119"/>
      <c r="E307" s="18"/>
      <c r="F307" s="118"/>
      <c r="G307" s="119"/>
      <c r="H307" s="119"/>
      <c r="I307" s="126"/>
      <c r="J307" s="119"/>
    </row>
    <row r="308" spans="1:10" ht="16.5" customHeight="1">
      <c r="A308" s="17"/>
      <c r="B308" s="20"/>
      <c r="C308" s="118"/>
      <c r="D308" s="119"/>
      <c r="E308" s="18"/>
      <c r="F308" s="118"/>
      <c r="G308" s="119"/>
      <c r="H308" s="119"/>
      <c r="I308" s="126"/>
      <c r="J308" s="119"/>
    </row>
    <row r="309" spans="1:10" ht="16.5" customHeight="1" thickBo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spans="1:10" ht="18.75">
      <c r="A310" s="122" t="s">
        <v>42</v>
      </c>
      <c r="B310" s="123"/>
      <c r="C310" s="122" t="s">
        <v>43</v>
      </c>
      <c r="D310" s="123"/>
      <c r="E310" s="123"/>
      <c r="F310" s="22" t="s">
        <v>44</v>
      </c>
      <c r="G310" s="122" t="s">
        <v>45</v>
      </c>
      <c r="H310" s="123"/>
      <c r="I310" s="122" t="s">
        <v>46</v>
      </c>
      <c r="J310" s="123"/>
    </row>
    <row r="311" spans="1:10" ht="14.25" customHeight="1">
      <c r="A311" s="23"/>
      <c r="B311" s="24"/>
      <c r="C311" s="124" t="s">
        <v>47</v>
      </c>
      <c r="D311" s="125"/>
      <c r="E311" s="24"/>
      <c r="F311" s="124" t="s">
        <v>29</v>
      </c>
      <c r="G311" s="125"/>
      <c r="H311" s="125"/>
      <c r="I311" s="125"/>
      <c r="J311" s="125"/>
    </row>
    <row r="312" spans="1:10">
      <c r="A312" s="25"/>
      <c r="C312" s="19"/>
      <c r="D312" s="19"/>
      <c r="E312" s="19"/>
    </row>
    <row r="313" spans="1:10" ht="14.25" customHeight="1">
      <c r="A313" s="118" t="s">
        <v>48</v>
      </c>
      <c r="B313" s="119"/>
      <c r="C313" s="118" t="s">
        <v>49</v>
      </c>
      <c r="D313" s="119"/>
      <c r="E313" s="119"/>
      <c r="F313" s="18" t="s">
        <v>27</v>
      </c>
      <c r="G313" s="120">
        <v>33.299999999999997</v>
      </c>
      <c r="H313" s="119"/>
      <c r="I313" s="120">
        <v>0.33300000000000002</v>
      </c>
      <c r="J313" s="119"/>
    </row>
    <row r="314" spans="1:10" ht="24.95" customHeight="1">
      <c r="A314" s="121" t="s">
        <v>50</v>
      </c>
      <c r="B314" s="119"/>
      <c r="C314" s="118"/>
      <c r="D314" s="119"/>
      <c r="E314" s="119"/>
      <c r="F314" s="118"/>
      <c r="G314" s="119"/>
      <c r="H314" s="119"/>
      <c r="I314" s="119"/>
      <c r="J314" s="119"/>
    </row>
    <row r="315" spans="1:10" ht="14.25" customHeight="1">
      <c r="A315" s="118" t="s">
        <v>74</v>
      </c>
      <c r="B315" s="119"/>
      <c r="C315" s="118" t="s">
        <v>75</v>
      </c>
      <c r="D315" s="119"/>
      <c r="E315" s="119"/>
      <c r="F315" s="18" t="s">
        <v>53</v>
      </c>
      <c r="G315" s="120">
        <v>1</v>
      </c>
      <c r="H315" s="119"/>
      <c r="I315" s="120">
        <v>0.01</v>
      </c>
      <c r="J315" s="119"/>
    </row>
    <row r="316" spans="1:10" ht="24.95" customHeight="1">
      <c r="A316" s="121" t="s">
        <v>76</v>
      </c>
      <c r="B316" s="119"/>
      <c r="C316" s="118" t="s">
        <v>77</v>
      </c>
      <c r="D316" s="119"/>
      <c r="E316" s="119"/>
      <c r="F316" s="118"/>
      <c r="G316" s="119"/>
      <c r="H316" s="119"/>
      <c r="I316" s="119"/>
      <c r="J316" s="119"/>
    </row>
    <row r="317" spans="1:10" ht="14.25" customHeight="1">
      <c r="A317" s="118" t="s">
        <v>56</v>
      </c>
      <c r="B317" s="119"/>
      <c r="C317" s="118" t="s">
        <v>57</v>
      </c>
      <c r="D317" s="119"/>
      <c r="E317" s="119"/>
      <c r="F317" s="18"/>
      <c r="G317" s="120">
        <v>0.1</v>
      </c>
      <c r="H317" s="119"/>
      <c r="I317" s="120">
        <v>1E-3</v>
      </c>
      <c r="J317" s="119"/>
    </row>
    <row r="318" spans="1:10" ht="24.95" customHeight="1">
      <c r="A318" s="121" t="s">
        <v>58</v>
      </c>
      <c r="B318" s="119"/>
      <c r="C318" s="118" t="s">
        <v>59</v>
      </c>
      <c r="D318" s="119"/>
      <c r="E318" s="119"/>
      <c r="F318" s="118"/>
      <c r="G318" s="119"/>
      <c r="H318" s="119"/>
      <c r="I318" s="119"/>
      <c r="J318" s="119"/>
    </row>
    <row r="319" spans="1:10" ht="14.25" customHeight="1">
      <c r="A319" s="118" t="s">
        <v>60</v>
      </c>
      <c r="B319" s="119"/>
      <c r="C319" s="118" t="s">
        <v>61</v>
      </c>
      <c r="D319" s="119"/>
      <c r="E319" s="119"/>
      <c r="F319" s="18"/>
      <c r="G319" s="120">
        <v>0.1</v>
      </c>
      <c r="H319" s="119"/>
      <c r="I319" s="120">
        <v>1E-3</v>
      </c>
      <c r="J319" s="119"/>
    </row>
    <row r="320" spans="1:10" ht="24.95" customHeight="1">
      <c r="A320" s="121" t="s">
        <v>62</v>
      </c>
      <c r="B320" s="119"/>
      <c r="C320" s="118" t="s">
        <v>63</v>
      </c>
      <c r="D320" s="119"/>
      <c r="E320" s="119"/>
      <c r="F320" s="118"/>
      <c r="G320" s="119"/>
      <c r="H320" s="119"/>
      <c r="I320" s="119"/>
      <c r="J320" s="119"/>
    </row>
    <row r="321" spans="1:14" ht="14.25" customHeight="1">
      <c r="A321" s="118"/>
      <c r="B321" s="119"/>
      <c r="C321" s="118"/>
      <c r="D321" s="119"/>
      <c r="E321" s="119"/>
      <c r="F321" s="18"/>
      <c r="G321" s="120"/>
      <c r="H321" s="119"/>
      <c r="I321" s="120"/>
      <c r="J321" s="119"/>
    </row>
    <row r="322" spans="1:14" ht="24.95" customHeight="1" thickBot="1">
      <c r="A322" s="121"/>
      <c r="B322" s="119"/>
      <c r="C322" s="118"/>
      <c r="D322" s="119"/>
      <c r="E322" s="119"/>
      <c r="F322" s="118"/>
      <c r="G322" s="119"/>
      <c r="H322" s="119"/>
      <c r="I322" s="119"/>
      <c r="J322" s="119"/>
    </row>
    <row r="323" spans="1:14" s="15" customFormat="1" ht="18" customHeight="1">
      <c r="A323" s="27" t="s">
        <v>143</v>
      </c>
      <c r="B323" s="28" t="s">
        <v>144</v>
      </c>
      <c r="C323" s="108" t="s">
        <v>145</v>
      </c>
      <c r="D323" s="109"/>
      <c r="E323" s="29" t="s">
        <v>146</v>
      </c>
      <c r="F323" s="30" t="s">
        <v>147</v>
      </c>
      <c r="G323" s="31" t="s">
        <v>148</v>
      </c>
      <c r="H323" s="32" t="s">
        <v>149</v>
      </c>
      <c r="I323" s="106" t="s">
        <v>150</v>
      </c>
      <c r="J323" s="107"/>
    </row>
    <row r="324" spans="1:14" s="19" customFormat="1" ht="18" customHeight="1">
      <c r="A324" s="33" t="str">
        <f>_xlfn.XLOOKUP(B288,[3]VFDB2!$A:$A,[3]VFDB2!$J:$J)</f>
        <v>〇</v>
      </c>
      <c r="B324" s="34">
        <f>D288</f>
        <v>592</v>
      </c>
      <c r="C324" s="110" t="str">
        <f>_xlfn.XLOOKUP(B288,[3]VFDB2!$A:$A,[3]VFDB2!$Z:$Z)</f>
        <v>LED-A592</v>
      </c>
      <c r="D324" s="111"/>
      <c r="E324" s="112" cm="1">
        <f t="array" ref="E324">IFERROR(INDEX(_xlfn._xlws.FILTER([4]加工記録２!C:C,[4]加工記録２!U:U=B290),9),"")</f>
        <v>0</v>
      </c>
      <c r="F324" s="35" t="str" cm="1">
        <f t="array" ref="F324">IFERROR("切断加工：" &amp;_xlfn.TEXTJOIN(" / ",TRUE,INDEX(_xlfn._xlws.FILTER([4]加工記録２!M:M,[4]加工記録２!U:U=B290),9),INDEX(_xlfn._xlws.FILTER([4]加工記録２!N:N,[4]加工記録２!U:U=B290),9)),"")</f>
        <v>切断加工：</v>
      </c>
      <c r="G324" s="36" t="str" cm="1">
        <f t="array" ref="G324:H328">IFERROR(IF(_xlfn.TAKE(_xlfn._xlws.FILTER([4]加工記録２!$M:$N,[4]加工記録２!$U:$U=B290),5)=0,"",_xlfn.TAKE(_xlfn._xlws.FILTER([4]加工記録２!$M:$N,[4]加工記録２!$U:$U=B290),5)),"")</f>
        <v/>
      </c>
      <c r="H324" s="37" t="str">
        <v/>
      </c>
      <c r="I324" s="38" t="s">
        <v>151</v>
      </c>
      <c r="J324" s="39" cm="1">
        <f t="array" ref="J324:J329">IFERROR(INDEX(_xlfn._xlws.FILTER([4]加工記録２!P:P, [4]加工記録２!U:U=B290),_xlfn.SEQUENCE(6)),"")</f>
        <v>0</v>
      </c>
    </row>
    <row r="325" spans="1:14" s="15" customFormat="1" ht="18" customHeight="1">
      <c r="A325" s="43" t="s">
        <v>152</v>
      </c>
      <c r="B325" s="44" t="s">
        <v>153</v>
      </c>
      <c r="C325" s="110"/>
      <c r="D325" s="111"/>
      <c r="E325" s="112"/>
      <c r="F325" s="45" t="str" cm="1">
        <f t="array" ref="F325">IFERROR("外観検査：" &amp;_xlfn.TEXTJOIN(" / ",TRUE,INDEX(_xlfn._xlws.FILTER([4]加工記録２!M:M,[4]加工記録２!U:U=B290),10),INDEX(_xlfn._xlws.FILTER([4]加工記録２!N:N,[4]加工記録２!U:U=B290),10)),"")</f>
        <v>外観検査：</v>
      </c>
      <c r="G325" s="36" t="str">
        <v/>
      </c>
      <c r="H325" s="37" t="str">
        <v/>
      </c>
      <c r="I325" s="38" t="s">
        <v>154</v>
      </c>
      <c r="J325" s="40">
        <v>0</v>
      </c>
      <c r="K325" s="46"/>
    </row>
    <row r="326" spans="1:14" s="19" customFormat="1" ht="18" customHeight="1">
      <c r="A326" s="47" t="str">
        <f>_xlfn.XLOOKUP(B288,[3]VFDB2!$A:$A,[3]VFDB2!$L:$L)</f>
        <v>+0.5</v>
      </c>
      <c r="B326" s="48" t="str">
        <f>_xlfn.XLOOKUP(B288,[3]VFDB2!$A:$A,[3]VFDB2!$AC:$AC)</f>
        <v>換算表確認</v>
      </c>
      <c r="C326" s="113" t="s">
        <v>155</v>
      </c>
      <c r="D326" s="114" t="str">
        <f>_xlfn.XLOOKUP(B288,[3]VFDB2!$A:$A,[3]VFDB2!$W:$W)</f>
        <v>クラフト紙：592型</v>
      </c>
      <c r="E326" s="114"/>
      <c r="F326" s="115"/>
      <c r="G326" s="36" t="str">
        <v/>
      </c>
      <c r="H326" s="37" t="str">
        <v/>
      </c>
      <c r="I326" s="38" t="s">
        <v>156</v>
      </c>
      <c r="J326" s="40">
        <v>0</v>
      </c>
      <c r="K326" s="49"/>
    </row>
    <row r="327" spans="1:14" s="15" customFormat="1" ht="18" customHeight="1">
      <c r="A327" s="50" t="s">
        <v>157</v>
      </c>
      <c r="B327" s="51" t="s">
        <v>158</v>
      </c>
      <c r="C327" s="113"/>
      <c r="D327" s="114" t="str">
        <f>_xlfn.XLOOKUP(B288,[3]VFDB2!$A:$A,[3]VFDB2!$R:$R)</f>
        <v>ラベル１枚　長手無　鉢巻１回</v>
      </c>
      <c r="E327" s="114"/>
      <c r="F327" s="115"/>
      <c r="G327" s="36" t="str">
        <v/>
      </c>
      <c r="H327" s="37" t="str">
        <v/>
      </c>
      <c r="I327" s="38" t="s">
        <v>159</v>
      </c>
      <c r="J327" s="40">
        <v>0</v>
      </c>
      <c r="K327" s="46"/>
    </row>
    <row r="328" spans="1:14" s="19" customFormat="1" ht="18" customHeight="1" thickBot="1">
      <c r="A328" s="52" t="str">
        <f>_xlfn.XLOOKUP(B288,[3]VFDB2!$A:$A,[3]VFDB2!$K:$K)</f>
        <v>-0.5</v>
      </c>
      <c r="B328" s="53">
        <f>_xlfn.XLOOKUP(B288,[3]VFDB2!$A:$A,[3]VFDB2!$P:$P)</f>
        <v>3</v>
      </c>
      <c r="C328" s="54" t="s">
        <v>160</v>
      </c>
      <c r="D328" s="116" t="str">
        <f>_xlfn.XLOOKUP(B288,[3]VFDB2!$A:$A,[3]VFDB2!$V:$V)</f>
        <v>1箱目の梱包数 目視確認　以降、重量測定</v>
      </c>
      <c r="E328" s="116"/>
      <c r="F328" s="117"/>
      <c r="G328" s="55" t="str">
        <v/>
      </c>
      <c r="H328" s="56" t="str">
        <v/>
      </c>
      <c r="I328" s="38" t="s">
        <v>161</v>
      </c>
      <c r="J328" s="41">
        <v>0</v>
      </c>
      <c r="K328" s="49"/>
    </row>
    <row r="329" spans="1:14" s="15" customFormat="1" ht="18" customHeight="1" thickBot="1">
      <c r="A329" s="57" t="s">
        <v>162</v>
      </c>
      <c r="B329" s="58" t="str" cm="1">
        <f t="array" ref="B329">IF(SUM(--(ISTEXT(B330:B340)*(B330:B340&lt;&gt;"")))=0,"計測Lot","計測Lot・加工数")</f>
        <v>計測Lot</v>
      </c>
      <c r="C329" s="59" t="s">
        <v>163</v>
      </c>
      <c r="D329" s="60" t="s">
        <v>164</v>
      </c>
      <c r="E329" s="61" t="s">
        <v>165</v>
      </c>
      <c r="F329" s="62" t="str" cm="1">
        <f t="array" ref="F329">IF(SUM(--(ISTEXT(B330:B340)*(B330:B340&lt;&gt;"")))=0,"記入不要","使用Lot")</f>
        <v>記入不要</v>
      </c>
      <c r="G329" s="63" t="s">
        <v>166</v>
      </c>
      <c r="H329" s="64" t="s">
        <v>167</v>
      </c>
      <c r="I329" s="65" t="s">
        <v>168</v>
      </c>
      <c r="J329" s="42">
        <v>0</v>
      </c>
      <c r="K329" s="46"/>
    </row>
    <row r="330" spans="1:14" s="19" customFormat="1" ht="18" customHeight="1">
      <c r="A330" s="66" cm="1">
        <f t="array" ref="A330:A340">IFERROR(INDEX(_xlfn._xlws.FILTER([4]加工記録２!$D:$D,[4]加工記録２!$U:$U=B290),_xlfn.SEQUENCE(11),0),"")</f>
        <v>0</v>
      </c>
      <c r="B330" s="70" t="str" cm="1">
        <f t="array" ref="B330:B340">IFERROR(IF(INDEX(_xlfn._xlws.FILTER([4]加工記録２!$E:$E,[4]加工記録２!$U:$U=B290),_xlfn.SEQUENCE(11))="","",INDEX(_xlfn._xlws.FILTER([4]加工記録２!$E:$E,[4]加工記録２!$U:$U=B290),_xlfn.SEQUENCE(11)) &amp; IF(INDEX(_xlfn._xlws.FILTER([4]加工記録２!$F:$F,[4]加工記録２!$U:$U=B290),_xlfn.SEQUENCE(11))="","", " × " &amp; INDEX(_xlfn._xlws.FILTER([4]加工記録２!$F:$F,[4]加工記録２!$U:$U=B290),_xlfn.SEQUENCE(11)))),"")</f>
        <v/>
      </c>
      <c r="C330" s="73"/>
      <c r="D330" s="74"/>
      <c r="E330" s="75"/>
      <c r="F330" s="76"/>
      <c r="G330" s="77"/>
      <c r="H330" s="78"/>
      <c r="I330" s="104" t="s">
        <v>169</v>
      </c>
      <c r="J330" s="105"/>
      <c r="K330" s="79"/>
    </row>
    <row r="331" spans="1:14" s="15" customFormat="1" ht="18" customHeight="1">
      <c r="A331" s="67">
        <v>0</v>
      </c>
      <c r="B331" s="71" t="str">
        <v/>
      </c>
      <c r="C331" s="80"/>
      <c r="D331" s="81"/>
      <c r="E331" s="82"/>
      <c r="F331" s="83"/>
      <c r="G331" s="80"/>
      <c r="H331" s="84"/>
      <c r="I331" s="85" t="s">
        <v>170</v>
      </c>
      <c r="J331" s="84" cm="1">
        <f t="array" ref="J331:J340">IFERROR(INDEX(_xlfn._xlws.FILTER([4]加工記録２!R:R, [4]加工記録２!U:U=B290),_xlfn.SEQUENCE(10)),"")</f>
        <v>0</v>
      </c>
      <c r="K331" s="79"/>
    </row>
    <row r="332" spans="1:14" s="90" customFormat="1" ht="18.95" customHeight="1">
      <c r="A332" s="68">
        <v>0</v>
      </c>
      <c r="B332" s="71" t="str">
        <v/>
      </c>
      <c r="C332" s="80"/>
      <c r="D332" s="81"/>
      <c r="E332" s="82"/>
      <c r="F332" s="83"/>
      <c r="G332" s="80"/>
      <c r="H332" s="84"/>
      <c r="I332" s="85" t="s">
        <v>171</v>
      </c>
      <c r="J332" s="84">
        <v>0</v>
      </c>
      <c r="K332" s="88"/>
      <c r="L332" s="89"/>
      <c r="M332" s="89"/>
      <c r="N332" s="89"/>
    </row>
    <row r="333" spans="1:14" s="93" customFormat="1" ht="18.95" customHeight="1">
      <c r="A333" s="68">
        <v>0</v>
      </c>
      <c r="B333" s="71" t="str">
        <v/>
      </c>
      <c r="C333" s="80"/>
      <c r="D333" s="81"/>
      <c r="E333" s="82"/>
      <c r="F333" s="83"/>
      <c r="G333" s="80"/>
      <c r="H333" s="84"/>
      <c r="I333" s="85" t="s">
        <v>172</v>
      </c>
      <c r="J333" s="84">
        <v>0</v>
      </c>
      <c r="K333" s="91"/>
      <c r="L333" s="92"/>
      <c r="M333" s="92"/>
      <c r="N333" s="92"/>
    </row>
    <row r="334" spans="1:14" s="93" customFormat="1" ht="18.95" customHeight="1">
      <c r="A334" s="68">
        <v>0</v>
      </c>
      <c r="B334" s="71" t="str">
        <v/>
      </c>
      <c r="C334" s="80"/>
      <c r="D334" s="81"/>
      <c r="E334" s="82"/>
      <c r="F334" s="83"/>
      <c r="G334" s="80"/>
      <c r="H334" s="84"/>
      <c r="I334" s="85" t="s">
        <v>173</v>
      </c>
      <c r="J334" s="84">
        <v>0</v>
      </c>
      <c r="K334" s="91"/>
      <c r="L334" s="92"/>
      <c r="M334" s="92"/>
      <c r="N334" s="92"/>
    </row>
    <row r="335" spans="1:14" s="93" customFormat="1" ht="18.95" customHeight="1">
      <c r="A335" s="68">
        <v>0</v>
      </c>
      <c r="B335" s="71" t="str">
        <v/>
      </c>
      <c r="C335" s="80"/>
      <c r="D335" s="81"/>
      <c r="E335" s="82"/>
      <c r="F335" s="83"/>
      <c r="G335" s="80"/>
      <c r="H335" s="84"/>
      <c r="I335" s="85" t="s">
        <v>174</v>
      </c>
      <c r="J335" s="84">
        <v>0</v>
      </c>
      <c r="K335" s="91"/>
      <c r="L335" s="92"/>
      <c r="M335" s="92"/>
      <c r="N335" s="92"/>
    </row>
    <row r="336" spans="1:14" s="93" customFormat="1" ht="18.95" customHeight="1">
      <c r="A336" s="68">
        <v>0</v>
      </c>
      <c r="B336" s="71" t="str">
        <v/>
      </c>
      <c r="C336" s="80"/>
      <c r="D336" s="81"/>
      <c r="E336" s="82"/>
      <c r="F336" s="83"/>
      <c r="G336" s="80"/>
      <c r="H336" s="84"/>
      <c r="I336" s="85" t="s">
        <v>175</v>
      </c>
      <c r="J336" s="84">
        <v>0</v>
      </c>
      <c r="K336" s="91"/>
      <c r="L336" s="92"/>
      <c r="M336" s="92"/>
      <c r="N336" s="92"/>
    </row>
    <row r="337" spans="1:14" s="93" customFormat="1" ht="18.95" customHeight="1">
      <c r="A337" s="68">
        <v>0</v>
      </c>
      <c r="B337" s="71" t="str">
        <v/>
      </c>
      <c r="C337" s="80"/>
      <c r="D337" s="81"/>
      <c r="E337" s="82"/>
      <c r="F337" s="83"/>
      <c r="G337" s="80"/>
      <c r="H337" s="84"/>
      <c r="I337" s="94" t="s">
        <v>176</v>
      </c>
      <c r="J337" s="84">
        <v>0</v>
      </c>
      <c r="K337" s="91"/>
      <c r="L337" s="92"/>
      <c r="M337" s="92"/>
      <c r="N337" s="92"/>
    </row>
    <row r="338" spans="1:14" s="93" customFormat="1" ht="18.95" customHeight="1">
      <c r="A338" s="68">
        <v>0</v>
      </c>
      <c r="B338" s="71" t="str">
        <v/>
      </c>
      <c r="C338" s="80"/>
      <c r="D338" s="81"/>
      <c r="E338" s="82"/>
      <c r="F338" s="83"/>
      <c r="G338" s="80"/>
      <c r="H338" s="84"/>
      <c r="I338" s="94" t="s">
        <v>177</v>
      </c>
      <c r="J338" s="84">
        <v>0</v>
      </c>
      <c r="K338" s="91"/>
      <c r="L338" s="92"/>
      <c r="M338" s="92"/>
      <c r="N338" s="92"/>
    </row>
    <row r="339" spans="1:14" s="93" customFormat="1" ht="18.95" customHeight="1">
      <c r="A339" s="68">
        <v>0</v>
      </c>
      <c r="B339" s="71" t="str">
        <v/>
      </c>
      <c r="C339" s="80"/>
      <c r="D339" s="81"/>
      <c r="E339" s="82"/>
      <c r="F339" s="83"/>
      <c r="G339" s="80"/>
      <c r="H339" s="84"/>
      <c r="I339" s="85" t="s">
        <v>178</v>
      </c>
      <c r="J339" s="86">
        <v>0</v>
      </c>
      <c r="K339" s="91"/>
      <c r="L339" s="92"/>
      <c r="M339" s="92"/>
      <c r="N339" s="92"/>
    </row>
    <row r="340" spans="1:14" s="93" customFormat="1" ht="18.95" customHeight="1" thickBot="1">
      <c r="A340" s="69" t="str">
        <v>不良補填</v>
      </c>
      <c r="B340" s="72" t="str">
        <v/>
      </c>
      <c r="C340" s="95"/>
      <c r="D340" s="96"/>
      <c r="E340" s="97"/>
      <c r="F340" s="98"/>
      <c r="G340" s="99"/>
      <c r="H340" s="100"/>
      <c r="I340" s="101" t="s">
        <v>179</v>
      </c>
      <c r="J340" s="87">
        <v>0</v>
      </c>
      <c r="K340" s="91"/>
      <c r="L340" s="92"/>
      <c r="M340" s="92"/>
      <c r="N340" s="92"/>
    </row>
    <row r="341" spans="1:14" ht="6" customHeight="1" thickBot="1">
      <c r="A341" s="102"/>
      <c r="B341" s="103"/>
      <c r="C341" s="103"/>
      <c r="D341" s="102"/>
      <c r="E341" s="103"/>
      <c r="F341" s="103"/>
      <c r="G341" s="103"/>
      <c r="H341" s="103"/>
    </row>
    <row r="342" spans="1:14" ht="6" customHeight="1" thickTop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4" ht="14.25" customHeight="1" thickBot="1">
      <c r="A343" s="1"/>
      <c r="B343" s="150" t="s">
        <v>0</v>
      </c>
      <c r="C343" s="119"/>
      <c r="D343" s="119"/>
      <c r="E343" s="1"/>
      <c r="F343" s="1"/>
      <c r="G343" s="1"/>
      <c r="H343" s="1"/>
      <c r="I343" s="1"/>
      <c r="J343" s="1"/>
    </row>
    <row r="344" spans="1:14" ht="14.25" customHeight="1" thickTop="1">
      <c r="A344" s="3"/>
      <c r="B344" s="119"/>
      <c r="C344" s="119"/>
      <c r="D344" s="119"/>
      <c r="E344" s="3"/>
      <c r="F344" s="3"/>
      <c r="G344" s="3"/>
      <c r="H344" s="3"/>
      <c r="I344" s="3"/>
      <c r="J344" s="3"/>
    </row>
    <row r="345" spans="1:14" ht="14.25" customHeight="1">
      <c r="A345" s="151" t="s">
        <v>1</v>
      </c>
      <c r="B345" s="151" t="s">
        <v>82</v>
      </c>
      <c r="C345" s="151" t="s">
        <v>3</v>
      </c>
      <c r="D345" s="152">
        <v>748</v>
      </c>
      <c r="E345" s="151" t="s">
        <v>4</v>
      </c>
      <c r="F345" s="147" t="s">
        <v>83</v>
      </c>
      <c r="G345" s="119"/>
      <c r="H345" s="119"/>
      <c r="I345" s="4" t="s">
        <v>6</v>
      </c>
      <c r="J345" s="4" t="s">
        <v>7</v>
      </c>
    </row>
    <row r="346" spans="1:14" ht="14.25" customHeight="1">
      <c r="A346" s="119"/>
      <c r="B346" s="119"/>
      <c r="C346" s="119"/>
      <c r="D346" s="119"/>
      <c r="E346" s="119"/>
      <c r="F346" s="119"/>
      <c r="G346" s="119"/>
      <c r="H346" s="119"/>
      <c r="I346" s="148"/>
      <c r="J346" s="148"/>
    </row>
    <row r="347" spans="1:14" ht="17.45" customHeight="1">
      <c r="A347" s="139" t="s">
        <v>8</v>
      </c>
      <c r="B347" s="139" t="s">
        <v>84</v>
      </c>
      <c r="E347" s="139" t="s">
        <v>10</v>
      </c>
      <c r="F347" s="140" t="s">
        <v>85</v>
      </c>
      <c r="G347" s="119"/>
      <c r="H347" s="119"/>
      <c r="I347" s="149"/>
      <c r="J347" s="149"/>
    </row>
    <row r="348" spans="1:14" ht="17.45" customHeight="1">
      <c r="A348" s="119"/>
      <c r="B348" s="119"/>
      <c r="E348" s="119"/>
      <c r="F348" s="119"/>
      <c r="G348" s="119"/>
      <c r="H348" s="119"/>
      <c r="I348" s="7"/>
      <c r="J348" s="7"/>
    </row>
    <row r="349" spans="1:14" ht="17.45" customHeight="1">
      <c r="A349" s="139" t="s">
        <v>12</v>
      </c>
      <c r="B349" s="139" t="s">
        <v>86</v>
      </c>
      <c r="E349" s="8" t="s">
        <v>14</v>
      </c>
      <c r="F349" s="140" t="s">
        <v>15</v>
      </c>
      <c r="G349" s="119"/>
      <c r="H349" s="6"/>
      <c r="I349" s="7"/>
      <c r="J349" s="7"/>
    </row>
    <row r="350" spans="1:14" ht="17.45" customHeight="1">
      <c r="A350" s="119"/>
      <c r="B350" s="119"/>
      <c r="E350" s="8" t="s">
        <v>16</v>
      </c>
      <c r="F350" s="6" t="s">
        <v>17</v>
      </c>
      <c r="G350" s="6"/>
      <c r="H350" s="6"/>
      <c r="I350" s="9"/>
      <c r="J350" s="9"/>
    </row>
    <row r="351" spans="1:14" ht="17.45" customHeight="1">
      <c r="A351" s="8" t="s">
        <v>18</v>
      </c>
      <c r="B351" s="10">
        <v>46125</v>
      </c>
      <c r="E351" s="8" t="s">
        <v>19</v>
      </c>
      <c r="F351" s="141">
        <v>100</v>
      </c>
      <c r="G351" s="119"/>
      <c r="H351" s="6"/>
    </row>
    <row r="352" spans="1:14" ht="17.45" customHeight="1">
      <c r="A352" s="8" t="s">
        <v>20</v>
      </c>
      <c r="B352" s="10">
        <v>46125</v>
      </c>
      <c r="E352" s="8" t="s">
        <v>21</v>
      </c>
      <c r="F352" s="6">
        <v>4</v>
      </c>
      <c r="G352" s="142" t="s">
        <v>22</v>
      </c>
      <c r="H352" s="144">
        <v>400</v>
      </c>
      <c r="I352" s="145"/>
      <c r="J352" s="146"/>
    </row>
    <row r="353" spans="1:10" ht="17.45" customHeight="1">
      <c r="A353" s="11"/>
      <c r="B353" s="12"/>
      <c r="C353" s="12"/>
      <c r="D353" s="12"/>
      <c r="E353" s="8" t="s">
        <v>23</v>
      </c>
      <c r="F353" s="6" t="s">
        <v>24</v>
      </c>
      <c r="G353" s="143"/>
      <c r="H353" s="143"/>
      <c r="I353" s="125"/>
      <c r="J353" s="133"/>
    </row>
    <row r="354" spans="1:10" ht="13.5" customHeight="1">
      <c r="A354" s="127" t="s">
        <v>87</v>
      </c>
      <c r="B354" s="119"/>
      <c r="C354" s="119"/>
      <c r="D354" s="12"/>
      <c r="F354" s="5"/>
      <c r="G354" s="128" t="s">
        <v>26</v>
      </c>
      <c r="H354" s="130" t="s">
        <v>27</v>
      </c>
      <c r="I354" s="131" t="s">
        <v>28</v>
      </c>
      <c r="J354" s="132"/>
    </row>
    <row r="355" spans="1:10" ht="13.5" customHeight="1">
      <c r="A355" s="119"/>
      <c r="B355" s="119"/>
      <c r="C355" s="119"/>
      <c r="D355" s="12"/>
      <c r="F355" s="5"/>
      <c r="G355" s="129"/>
      <c r="H355" s="129"/>
      <c r="I355" s="125"/>
      <c r="J355" s="133"/>
    </row>
    <row r="356" spans="1:10" ht="13.5" customHeight="1">
      <c r="A356" s="2" t="s">
        <v>29</v>
      </c>
    </row>
    <row r="357" spans="1:10" ht="63" customHeight="1" thickBot="1">
      <c r="A357" s="134"/>
      <c r="B357" s="135"/>
      <c r="C357" s="135"/>
      <c r="D357" s="135"/>
      <c r="E357" s="135"/>
      <c r="F357" s="135"/>
      <c r="G357" s="135"/>
      <c r="H357" s="135"/>
      <c r="I357" s="135"/>
      <c r="J357" s="135"/>
    </row>
    <row r="358" spans="1:10" ht="18.75">
      <c r="A358" s="13" t="s">
        <v>30</v>
      </c>
      <c r="B358" s="14" t="s">
        <v>31</v>
      </c>
      <c r="C358" s="136" t="s">
        <v>32</v>
      </c>
      <c r="D358" s="137"/>
      <c r="E358" s="14" t="s">
        <v>33</v>
      </c>
      <c r="F358" s="136" t="s">
        <v>34</v>
      </c>
      <c r="G358" s="137"/>
      <c r="H358" s="137"/>
      <c r="I358" s="138" t="s">
        <v>35</v>
      </c>
      <c r="J358" s="137"/>
    </row>
    <row r="359" spans="1:10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 spans="1:10" ht="16.5" customHeight="1">
      <c r="A360" s="17">
        <v>1</v>
      </c>
      <c r="B360" s="18" t="s">
        <v>36</v>
      </c>
      <c r="C360" s="118" t="s">
        <v>37</v>
      </c>
      <c r="D360" s="119"/>
      <c r="E360" s="18" t="s">
        <v>38</v>
      </c>
      <c r="F360" s="118" t="s">
        <v>39</v>
      </c>
      <c r="G360" s="119"/>
      <c r="H360" s="119"/>
      <c r="I360" s="126"/>
      <c r="J360" s="119"/>
    </row>
    <row r="361" spans="1:10" ht="16.5" customHeight="1">
      <c r="A361" s="17">
        <v>1</v>
      </c>
      <c r="B361" s="20" t="s">
        <v>36</v>
      </c>
      <c r="C361" s="118" t="s">
        <v>37</v>
      </c>
      <c r="D361" s="119"/>
      <c r="E361" s="18" t="s">
        <v>40</v>
      </c>
      <c r="F361" s="118" t="s">
        <v>41</v>
      </c>
      <c r="G361" s="119"/>
      <c r="H361" s="119"/>
      <c r="I361" s="126"/>
      <c r="J361" s="119"/>
    </row>
    <row r="362" spans="1:10" ht="16.5" customHeight="1">
      <c r="A362" s="17"/>
      <c r="B362" s="20"/>
      <c r="C362" s="118"/>
      <c r="D362" s="119"/>
      <c r="E362" s="18"/>
      <c r="F362" s="118"/>
      <c r="G362" s="119"/>
      <c r="H362" s="119"/>
      <c r="I362" s="126"/>
      <c r="J362" s="119"/>
    </row>
    <row r="363" spans="1:10" ht="16.5" customHeight="1">
      <c r="A363" s="17"/>
      <c r="B363" s="20"/>
      <c r="C363" s="118"/>
      <c r="D363" s="119"/>
      <c r="E363" s="18"/>
      <c r="F363" s="118"/>
      <c r="G363" s="119"/>
      <c r="H363" s="119"/>
      <c r="I363" s="126"/>
      <c r="J363" s="119"/>
    </row>
    <row r="364" spans="1:10" ht="16.5" customHeight="1">
      <c r="A364" s="17"/>
      <c r="B364" s="20"/>
      <c r="C364" s="118"/>
      <c r="D364" s="119"/>
      <c r="E364" s="18"/>
      <c r="F364" s="118"/>
      <c r="G364" s="119"/>
      <c r="H364" s="119"/>
      <c r="I364" s="126"/>
      <c r="J364" s="119"/>
    </row>
    <row r="365" spans="1:10" ht="16.5" customHeight="1">
      <c r="A365" s="17"/>
      <c r="B365" s="20"/>
      <c r="C365" s="118"/>
      <c r="D365" s="119"/>
      <c r="E365" s="18"/>
      <c r="F365" s="118"/>
      <c r="G365" s="119"/>
      <c r="H365" s="119"/>
      <c r="I365" s="126"/>
      <c r="J365" s="119"/>
    </row>
    <row r="366" spans="1:10" ht="16.5" customHeight="1" thickBo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spans="1:10" ht="18.75">
      <c r="A367" s="122" t="s">
        <v>42</v>
      </c>
      <c r="B367" s="123"/>
      <c r="C367" s="122" t="s">
        <v>43</v>
      </c>
      <c r="D367" s="123"/>
      <c r="E367" s="123"/>
      <c r="F367" s="22" t="s">
        <v>44</v>
      </c>
      <c r="G367" s="122" t="s">
        <v>45</v>
      </c>
      <c r="H367" s="123"/>
      <c r="I367" s="122" t="s">
        <v>46</v>
      </c>
      <c r="J367" s="123"/>
    </row>
    <row r="368" spans="1:10" ht="14.25" customHeight="1">
      <c r="A368" s="23"/>
      <c r="B368" s="24"/>
      <c r="C368" s="124" t="s">
        <v>47</v>
      </c>
      <c r="D368" s="125"/>
      <c r="E368" s="24"/>
      <c r="F368" s="124" t="s">
        <v>29</v>
      </c>
      <c r="G368" s="125"/>
      <c r="H368" s="125"/>
      <c r="I368" s="125"/>
      <c r="J368" s="125"/>
    </row>
    <row r="369" spans="1:11">
      <c r="A369" s="25"/>
      <c r="C369" s="19"/>
      <c r="D369" s="19"/>
      <c r="E369" s="19"/>
    </row>
    <row r="370" spans="1:11" ht="14.25" customHeight="1">
      <c r="A370" s="118" t="s">
        <v>48</v>
      </c>
      <c r="B370" s="119"/>
      <c r="C370" s="118" t="s">
        <v>49</v>
      </c>
      <c r="D370" s="119"/>
      <c r="E370" s="119"/>
      <c r="F370" s="18" t="s">
        <v>27</v>
      </c>
      <c r="G370" s="120">
        <v>200</v>
      </c>
      <c r="H370" s="119"/>
      <c r="I370" s="120">
        <v>2</v>
      </c>
      <c r="J370" s="119"/>
    </row>
    <row r="371" spans="1:11" ht="24.95" customHeight="1">
      <c r="A371" s="121" t="s">
        <v>50</v>
      </c>
      <c r="B371" s="119"/>
      <c r="C371" s="118"/>
      <c r="D371" s="119"/>
      <c r="E371" s="119"/>
      <c r="F371" s="118"/>
      <c r="G371" s="119"/>
      <c r="H371" s="119"/>
      <c r="I371" s="119"/>
      <c r="J371" s="119"/>
    </row>
    <row r="372" spans="1:11" ht="14.25" customHeight="1">
      <c r="A372" s="118" t="s">
        <v>88</v>
      </c>
      <c r="B372" s="119"/>
      <c r="C372" s="118" t="s">
        <v>89</v>
      </c>
      <c r="D372" s="119"/>
      <c r="E372" s="119"/>
      <c r="F372" s="18" t="s">
        <v>36</v>
      </c>
      <c r="G372" s="120">
        <v>4</v>
      </c>
      <c r="H372" s="119"/>
      <c r="I372" s="120">
        <v>0.04</v>
      </c>
      <c r="J372" s="119"/>
    </row>
    <row r="373" spans="1:11" ht="24.95" customHeight="1">
      <c r="A373" s="121" t="s">
        <v>90</v>
      </c>
      <c r="B373" s="119"/>
      <c r="C373" s="118" t="s">
        <v>91</v>
      </c>
      <c r="D373" s="119"/>
      <c r="E373" s="119"/>
      <c r="F373" s="118"/>
      <c r="G373" s="119"/>
      <c r="H373" s="119"/>
      <c r="I373" s="119"/>
      <c r="J373" s="119"/>
    </row>
    <row r="374" spans="1:11" ht="14.25" customHeight="1">
      <c r="A374" s="118" t="s">
        <v>56</v>
      </c>
      <c r="B374" s="119"/>
      <c r="C374" s="118" t="s">
        <v>57</v>
      </c>
      <c r="D374" s="119"/>
      <c r="E374" s="119"/>
      <c r="F374" s="18"/>
      <c r="G374" s="120">
        <v>0.4</v>
      </c>
      <c r="H374" s="119"/>
      <c r="I374" s="120">
        <v>4.0000000000000001E-3</v>
      </c>
      <c r="J374" s="119"/>
    </row>
    <row r="375" spans="1:11" ht="24.95" customHeight="1">
      <c r="A375" s="121" t="s">
        <v>58</v>
      </c>
      <c r="B375" s="119"/>
      <c r="C375" s="118" t="s">
        <v>59</v>
      </c>
      <c r="D375" s="119"/>
      <c r="E375" s="119"/>
      <c r="F375" s="118"/>
      <c r="G375" s="119"/>
      <c r="H375" s="119"/>
      <c r="I375" s="119"/>
      <c r="J375" s="119"/>
    </row>
    <row r="376" spans="1:11" ht="14.25" customHeight="1">
      <c r="A376" s="118" t="s">
        <v>60</v>
      </c>
      <c r="B376" s="119"/>
      <c r="C376" s="118" t="s">
        <v>61</v>
      </c>
      <c r="D376" s="119"/>
      <c r="E376" s="119"/>
      <c r="F376" s="18"/>
      <c r="G376" s="120">
        <v>0.4</v>
      </c>
      <c r="H376" s="119"/>
      <c r="I376" s="120">
        <v>4.0000000000000001E-3</v>
      </c>
      <c r="J376" s="119"/>
    </row>
    <row r="377" spans="1:11" ht="24.95" customHeight="1">
      <c r="A377" s="121" t="s">
        <v>62</v>
      </c>
      <c r="B377" s="119"/>
      <c r="C377" s="118" t="s">
        <v>63</v>
      </c>
      <c r="D377" s="119"/>
      <c r="E377" s="119"/>
      <c r="F377" s="118"/>
      <c r="G377" s="119"/>
      <c r="H377" s="119"/>
      <c r="I377" s="119"/>
      <c r="J377" s="119"/>
    </row>
    <row r="378" spans="1:11" ht="14.25" customHeight="1">
      <c r="A378" s="118"/>
      <c r="B378" s="119"/>
      <c r="C378" s="118"/>
      <c r="D378" s="119"/>
      <c r="E378" s="119"/>
      <c r="F378" s="18"/>
      <c r="G378" s="120"/>
      <c r="H378" s="119"/>
      <c r="I378" s="120"/>
      <c r="J378" s="119"/>
    </row>
    <row r="379" spans="1:11" ht="24.95" customHeight="1" thickBot="1">
      <c r="A379" s="121"/>
      <c r="B379" s="119"/>
      <c r="C379" s="118"/>
      <c r="D379" s="119"/>
      <c r="E379" s="119"/>
      <c r="F379" s="118"/>
      <c r="G379" s="119"/>
      <c r="H379" s="119"/>
      <c r="I379" s="119"/>
      <c r="J379" s="119"/>
    </row>
    <row r="380" spans="1:11" s="15" customFormat="1" ht="18" customHeight="1">
      <c r="A380" s="27" t="s">
        <v>143</v>
      </c>
      <c r="B380" s="28" t="s">
        <v>144</v>
      </c>
      <c r="C380" s="108" t="s">
        <v>145</v>
      </c>
      <c r="D380" s="109"/>
      <c r="E380" s="29" t="s">
        <v>146</v>
      </c>
      <c r="F380" s="30" t="s">
        <v>147</v>
      </c>
      <c r="G380" s="31" t="s">
        <v>148</v>
      </c>
      <c r="H380" s="32" t="s">
        <v>149</v>
      </c>
      <c r="I380" s="106" t="s">
        <v>150</v>
      </c>
      <c r="J380" s="107"/>
    </row>
    <row r="381" spans="1:11" s="19" customFormat="1" ht="18" customHeight="1">
      <c r="A381" s="33" t="str">
        <f>_xlfn.XLOOKUP(B345,[3]VFDB2!$A:$A,[3]VFDB2!$J:$J)</f>
        <v>〇</v>
      </c>
      <c r="B381" s="34">
        <f>D345</f>
        <v>748</v>
      </c>
      <c r="C381" s="110" t="str">
        <f>_xlfn.XLOOKUP(B345,[3]VFDB2!$A:$A,[3]VFDB2!$Z:$Z)</f>
        <v>LED-A888</v>
      </c>
      <c r="D381" s="111"/>
      <c r="E381" s="112" t="str" cm="1">
        <f t="array" ref="E381">IFERROR(INDEX(_xlfn._xlws.FILTER([4]加工記録２!C:C,[4]加工記録２!U:U=B347),9),"")</f>
        <v/>
      </c>
      <c r="F381" s="35" t="str" cm="1">
        <f t="array" ref="F381">IFERROR("切断加工：" &amp;_xlfn.TEXTJOIN(" / ",TRUE,INDEX(_xlfn._xlws.FILTER([4]加工記録２!M:M,[4]加工記録２!U:U=B347),9),INDEX(_xlfn._xlws.FILTER([4]加工記録２!N:N,[4]加工記録２!U:U=B347),9)),"")</f>
        <v/>
      </c>
      <c r="G381" s="36" t="str" cm="1">
        <f t="array" ref="G381">IFERROR(IF(_xlfn.TAKE(_xlfn._xlws.FILTER([4]加工記録２!$M:$N,[4]加工記録２!$U:$U=B347),5)=0,"",_xlfn.TAKE(_xlfn._xlws.FILTER([4]加工記録２!$M:$N,[4]加工記録２!$U:$U=B347),5)),"")</f>
        <v/>
      </c>
      <c r="H381" s="37"/>
      <c r="I381" s="38" t="s">
        <v>151</v>
      </c>
      <c r="J381" s="39" t="str" cm="1">
        <f t="array" ref="J381:J386">IFERROR(INDEX(_xlfn._xlws.FILTER([4]加工記録２!P:P, [4]加工記録２!U:U=B347),_xlfn.SEQUENCE(6)),"")</f>
        <v/>
      </c>
    </row>
    <row r="382" spans="1:11" s="15" customFormat="1" ht="18" customHeight="1">
      <c r="A382" s="43" t="s">
        <v>152</v>
      </c>
      <c r="B382" s="44" t="s">
        <v>153</v>
      </c>
      <c r="C382" s="110"/>
      <c r="D382" s="111"/>
      <c r="E382" s="112"/>
      <c r="F382" s="45" t="str" cm="1">
        <f t="array" ref="F382">IFERROR("外観検査：" &amp;_xlfn.TEXTJOIN(" / ",TRUE,INDEX(_xlfn._xlws.FILTER([4]加工記録２!M:M,[4]加工記録２!U:U=B347),10),INDEX(_xlfn._xlws.FILTER([4]加工記録２!N:N,[4]加工記録２!U:U=B347),10)),"")</f>
        <v/>
      </c>
      <c r="G382" s="36"/>
      <c r="H382" s="37"/>
      <c r="I382" s="38" t="s">
        <v>154</v>
      </c>
      <c r="J382" s="40" t="str">
        <v/>
      </c>
      <c r="K382" s="46"/>
    </row>
    <row r="383" spans="1:11" s="19" customFormat="1" ht="18" customHeight="1">
      <c r="A383" s="47" t="str">
        <f>_xlfn.XLOOKUP(B345,[3]VFDB2!$A:$A,[3]VFDB2!$L:$L)</f>
        <v>+0.5</v>
      </c>
      <c r="B383" s="48" t="str">
        <f>_xlfn.XLOOKUP(B345,[3]VFDB2!$A:$A,[3]VFDB2!$AC:$AC)</f>
        <v>換算表確認</v>
      </c>
      <c r="C383" s="113" t="s">
        <v>155</v>
      </c>
      <c r="D383" s="114" t="str">
        <f>_xlfn.XLOOKUP(B345,[3]VFDB2!$A:$A,[3]VFDB2!$W:$W)</f>
        <v>L=888用　クラフト紙</v>
      </c>
      <c r="E383" s="114"/>
      <c r="F383" s="115"/>
      <c r="G383" s="36"/>
      <c r="H383" s="37"/>
      <c r="I383" s="38" t="s">
        <v>156</v>
      </c>
      <c r="J383" s="40" t="str">
        <v/>
      </c>
      <c r="K383" s="49"/>
    </row>
    <row r="384" spans="1:11" s="15" customFormat="1" ht="18" customHeight="1">
      <c r="A384" s="50" t="s">
        <v>157</v>
      </c>
      <c r="B384" s="51" t="s">
        <v>158</v>
      </c>
      <c r="C384" s="113"/>
      <c r="D384" s="114" t="str">
        <f>_xlfn.XLOOKUP(B345,[3]VFDB2!$A:$A,[3]VFDB2!$R:$R)</f>
        <v>ラベル１枚　長手無　鉢巻１回</v>
      </c>
      <c r="E384" s="114"/>
      <c r="F384" s="115"/>
      <c r="G384" s="36"/>
      <c r="H384" s="37"/>
      <c r="I384" s="38" t="s">
        <v>159</v>
      </c>
      <c r="J384" s="40" t="str">
        <v/>
      </c>
      <c r="K384" s="46"/>
    </row>
    <row r="385" spans="1:14" s="19" customFormat="1" ht="18" customHeight="1" thickBot="1">
      <c r="A385" s="52" t="str">
        <f>_xlfn.XLOOKUP(B345,[3]VFDB2!$A:$A,[3]VFDB2!$K:$K)</f>
        <v>－0.5</v>
      </c>
      <c r="B385" s="53">
        <f>_xlfn.XLOOKUP(B345,[3]VFDB2!$A:$A,[3]VFDB2!$P:$P)</f>
        <v>2</v>
      </c>
      <c r="C385" s="54" t="s">
        <v>160</v>
      </c>
      <c r="D385" s="116" t="str">
        <f>_xlfn.XLOOKUP(B345,[3]VFDB2!$A:$A,[3]VFDB2!$V:$V)</f>
        <v>1箱目の梱包数 目視確認　以降、重量測定</v>
      </c>
      <c r="E385" s="116"/>
      <c r="F385" s="117"/>
      <c r="G385" s="55"/>
      <c r="H385" s="56"/>
      <c r="I385" s="38" t="s">
        <v>161</v>
      </c>
      <c r="J385" s="41" t="str">
        <v/>
      </c>
      <c r="K385" s="49"/>
    </row>
    <row r="386" spans="1:14" s="15" customFormat="1" ht="18" customHeight="1" thickBot="1">
      <c r="A386" s="57" t="s">
        <v>162</v>
      </c>
      <c r="B386" s="58" t="str" cm="1">
        <f t="array" ref="B386">IF(SUM(--(ISTEXT(B387:B397)*(B387:B397&lt;&gt;"")))=0,"計測Lot","計測Lot・加工数")</f>
        <v>計測Lot</v>
      </c>
      <c r="C386" s="59" t="s">
        <v>163</v>
      </c>
      <c r="D386" s="60" t="s">
        <v>164</v>
      </c>
      <c r="E386" s="61" t="s">
        <v>165</v>
      </c>
      <c r="F386" s="62" t="str" cm="1">
        <f t="array" ref="F386">IF(SUM(--(ISTEXT(B387:B397)*(B387:B397&lt;&gt;"")))=0,"記入不要","使用Lot")</f>
        <v>記入不要</v>
      </c>
      <c r="G386" s="63" t="s">
        <v>166</v>
      </c>
      <c r="H386" s="64" t="s">
        <v>167</v>
      </c>
      <c r="I386" s="65" t="s">
        <v>168</v>
      </c>
      <c r="J386" s="42" t="str">
        <v/>
      </c>
      <c r="K386" s="46"/>
    </row>
    <row r="387" spans="1:14" s="19" customFormat="1" ht="18" customHeight="1">
      <c r="A387" s="66" t="str" cm="1">
        <f t="array" ref="A387:A397">IFERROR(INDEX(_xlfn._xlws.FILTER([4]加工記録２!$D:$D,[4]加工記録２!$U:$U=B347),_xlfn.SEQUENCE(11),0),"")</f>
        <v/>
      </c>
      <c r="B387" s="70" t="str" cm="1">
        <f t="array" ref="B387:B397">IFERROR(IF(INDEX(_xlfn._xlws.FILTER([4]加工記録２!$E:$E,[4]加工記録２!$U:$U=B347),_xlfn.SEQUENCE(11))="","",INDEX(_xlfn._xlws.FILTER([4]加工記録２!$E:$E,[4]加工記録２!$U:$U=B347),_xlfn.SEQUENCE(11)) &amp; IF(INDEX(_xlfn._xlws.FILTER([4]加工記録２!$F:$F,[4]加工記録２!$U:$U=B347),_xlfn.SEQUENCE(11))="","", " × " &amp; INDEX(_xlfn._xlws.FILTER([4]加工記録２!$F:$F,[4]加工記録２!$U:$U=B347),_xlfn.SEQUENCE(11)))),"")</f>
        <v/>
      </c>
      <c r="C387" s="73"/>
      <c r="D387" s="74"/>
      <c r="E387" s="75"/>
      <c r="F387" s="76"/>
      <c r="G387" s="77"/>
      <c r="H387" s="78"/>
      <c r="I387" s="104" t="s">
        <v>169</v>
      </c>
      <c r="J387" s="105"/>
      <c r="K387" s="79"/>
    </row>
    <row r="388" spans="1:14" s="15" customFormat="1" ht="18" customHeight="1">
      <c r="A388" s="67" t="str">
        <v/>
      </c>
      <c r="B388" s="71" t="str">
        <v/>
      </c>
      <c r="C388" s="80"/>
      <c r="D388" s="81"/>
      <c r="E388" s="82"/>
      <c r="F388" s="83"/>
      <c r="G388" s="80"/>
      <c r="H388" s="84"/>
      <c r="I388" s="85" t="s">
        <v>170</v>
      </c>
      <c r="J388" s="84" t="str" cm="1">
        <f t="array" ref="J388:J397">IFERROR(INDEX(_xlfn._xlws.FILTER([4]加工記録２!R:R, [4]加工記録２!U:U=B347),_xlfn.SEQUENCE(10)),"")</f>
        <v/>
      </c>
      <c r="K388" s="79"/>
    </row>
    <row r="389" spans="1:14" s="90" customFormat="1" ht="18.95" customHeight="1">
      <c r="A389" s="68" t="str">
        <v/>
      </c>
      <c r="B389" s="71" t="str">
        <v/>
      </c>
      <c r="C389" s="80"/>
      <c r="D389" s="81"/>
      <c r="E389" s="82"/>
      <c r="F389" s="83"/>
      <c r="G389" s="80"/>
      <c r="H389" s="84"/>
      <c r="I389" s="85" t="s">
        <v>171</v>
      </c>
      <c r="J389" s="84" t="str">
        <v/>
      </c>
      <c r="K389" s="88"/>
      <c r="L389" s="89"/>
      <c r="M389" s="89"/>
      <c r="N389" s="89"/>
    </row>
    <row r="390" spans="1:14" s="93" customFormat="1" ht="18.95" customHeight="1">
      <c r="A390" s="68" t="str">
        <v/>
      </c>
      <c r="B390" s="71" t="str">
        <v/>
      </c>
      <c r="C390" s="80"/>
      <c r="D390" s="81"/>
      <c r="E390" s="82"/>
      <c r="F390" s="83"/>
      <c r="G390" s="80"/>
      <c r="H390" s="84"/>
      <c r="I390" s="85" t="s">
        <v>172</v>
      </c>
      <c r="J390" s="84" t="str">
        <v/>
      </c>
      <c r="K390" s="91"/>
      <c r="L390" s="92"/>
      <c r="M390" s="92"/>
      <c r="N390" s="92"/>
    </row>
    <row r="391" spans="1:14" s="93" customFormat="1" ht="18.95" customHeight="1">
      <c r="A391" s="68" t="str">
        <v/>
      </c>
      <c r="B391" s="71" t="str">
        <v/>
      </c>
      <c r="C391" s="80"/>
      <c r="D391" s="81"/>
      <c r="E391" s="82"/>
      <c r="F391" s="83"/>
      <c r="G391" s="80"/>
      <c r="H391" s="84"/>
      <c r="I391" s="85" t="s">
        <v>173</v>
      </c>
      <c r="J391" s="84" t="str">
        <v/>
      </c>
      <c r="K391" s="91"/>
      <c r="L391" s="92"/>
      <c r="M391" s="92"/>
      <c r="N391" s="92"/>
    </row>
    <row r="392" spans="1:14" s="93" customFormat="1" ht="18.95" customHeight="1">
      <c r="A392" s="68" t="str">
        <v/>
      </c>
      <c r="B392" s="71" t="str">
        <v/>
      </c>
      <c r="C392" s="80"/>
      <c r="D392" s="81"/>
      <c r="E392" s="82"/>
      <c r="F392" s="83"/>
      <c r="G392" s="80"/>
      <c r="H392" s="84"/>
      <c r="I392" s="85" t="s">
        <v>174</v>
      </c>
      <c r="J392" s="84" t="str">
        <v/>
      </c>
      <c r="K392" s="91"/>
      <c r="L392" s="92"/>
      <c r="M392" s="92"/>
      <c r="N392" s="92"/>
    </row>
    <row r="393" spans="1:14" s="93" customFormat="1" ht="18.95" customHeight="1">
      <c r="A393" s="68" t="str">
        <v/>
      </c>
      <c r="B393" s="71" t="str">
        <v/>
      </c>
      <c r="C393" s="80"/>
      <c r="D393" s="81"/>
      <c r="E393" s="82"/>
      <c r="F393" s="83"/>
      <c r="G393" s="80"/>
      <c r="H393" s="84"/>
      <c r="I393" s="85" t="s">
        <v>175</v>
      </c>
      <c r="J393" s="84" t="str">
        <v/>
      </c>
      <c r="K393" s="91"/>
      <c r="L393" s="92"/>
      <c r="M393" s="92"/>
      <c r="N393" s="92"/>
    </row>
    <row r="394" spans="1:14" s="93" customFormat="1" ht="18.95" customHeight="1">
      <c r="A394" s="68" t="str">
        <v/>
      </c>
      <c r="B394" s="71" t="str">
        <v/>
      </c>
      <c r="C394" s="80"/>
      <c r="D394" s="81"/>
      <c r="E394" s="82"/>
      <c r="F394" s="83"/>
      <c r="G394" s="80"/>
      <c r="H394" s="84"/>
      <c r="I394" s="94" t="s">
        <v>176</v>
      </c>
      <c r="J394" s="84" t="str">
        <v/>
      </c>
      <c r="K394" s="91"/>
      <c r="L394" s="92"/>
      <c r="M394" s="92"/>
      <c r="N394" s="92"/>
    </row>
    <row r="395" spans="1:14" s="93" customFormat="1" ht="18.95" customHeight="1">
      <c r="A395" s="68" t="str">
        <v/>
      </c>
      <c r="B395" s="71" t="str">
        <v/>
      </c>
      <c r="C395" s="80"/>
      <c r="D395" s="81"/>
      <c r="E395" s="82"/>
      <c r="F395" s="83"/>
      <c r="G395" s="80"/>
      <c r="H395" s="84"/>
      <c r="I395" s="94" t="s">
        <v>177</v>
      </c>
      <c r="J395" s="84" t="str">
        <v/>
      </c>
      <c r="K395" s="91"/>
      <c r="L395" s="92"/>
      <c r="M395" s="92"/>
      <c r="N395" s="92"/>
    </row>
    <row r="396" spans="1:14" s="93" customFormat="1" ht="18.95" customHeight="1">
      <c r="A396" s="68" t="str">
        <v/>
      </c>
      <c r="B396" s="71" t="str">
        <v/>
      </c>
      <c r="C396" s="80"/>
      <c r="D396" s="81"/>
      <c r="E396" s="82"/>
      <c r="F396" s="83"/>
      <c r="G396" s="80"/>
      <c r="H396" s="84"/>
      <c r="I396" s="85" t="s">
        <v>178</v>
      </c>
      <c r="J396" s="86" t="str">
        <v/>
      </c>
      <c r="K396" s="91"/>
      <c r="L396" s="92"/>
      <c r="M396" s="92"/>
      <c r="N396" s="92"/>
    </row>
    <row r="397" spans="1:14" s="93" customFormat="1" ht="18.95" customHeight="1" thickBot="1">
      <c r="A397" s="69" t="str">
        <v/>
      </c>
      <c r="B397" s="72" t="str">
        <v/>
      </c>
      <c r="C397" s="95"/>
      <c r="D397" s="96"/>
      <c r="E397" s="97"/>
      <c r="F397" s="98"/>
      <c r="G397" s="99"/>
      <c r="H397" s="100"/>
      <c r="I397" s="101" t="s">
        <v>179</v>
      </c>
      <c r="J397" s="87" t="str">
        <v/>
      </c>
      <c r="K397" s="91"/>
      <c r="L397" s="92"/>
      <c r="M397" s="92"/>
      <c r="N397" s="92"/>
    </row>
    <row r="398" spans="1:14" ht="6" customHeight="1" thickBot="1">
      <c r="A398" s="102"/>
      <c r="B398" s="103"/>
      <c r="C398" s="103"/>
      <c r="D398" s="102"/>
      <c r="E398" s="103"/>
      <c r="F398" s="103"/>
      <c r="G398" s="103"/>
      <c r="H398" s="103"/>
    </row>
    <row r="399" spans="1:14" ht="6" customHeight="1" thickTop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4" ht="14.25" customHeight="1" thickBot="1">
      <c r="A400" s="1"/>
      <c r="B400" s="150" t="s">
        <v>0</v>
      </c>
      <c r="C400" s="119"/>
      <c r="D400" s="119"/>
      <c r="E400" s="1"/>
      <c r="F400" s="1"/>
      <c r="G400" s="1"/>
      <c r="H400" s="1"/>
      <c r="I400" s="1"/>
      <c r="J400" s="1"/>
    </row>
    <row r="401" spans="1:10" ht="14.25" customHeight="1" thickTop="1">
      <c r="A401" s="3"/>
      <c r="B401" s="119"/>
      <c r="C401" s="119"/>
      <c r="D401" s="119"/>
      <c r="E401" s="3"/>
      <c r="F401" s="3"/>
      <c r="G401" s="3"/>
      <c r="H401" s="3"/>
      <c r="I401" s="3"/>
      <c r="J401" s="3"/>
    </row>
    <row r="402" spans="1:10" ht="14.25" customHeight="1">
      <c r="A402" s="151" t="s">
        <v>1</v>
      </c>
      <c r="B402" s="151" t="s">
        <v>82</v>
      </c>
      <c r="C402" s="151" t="s">
        <v>3</v>
      </c>
      <c r="D402" s="152">
        <v>748</v>
      </c>
      <c r="E402" s="151" t="s">
        <v>4</v>
      </c>
      <c r="F402" s="147" t="s">
        <v>83</v>
      </c>
      <c r="G402" s="119"/>
      <c r="H402" s="119"/>
      <c r="I402" s="4" t="s">
        <v>6</v>
      </c>
      <c r="J402" s="4" t="s">
        <v>7</v>
      </c>
    </row>
    <row r="403" spans="1:10" ht="14.25" customHeight="1">
      <c r="A403" s="119"/>
      <c r="B403" s="119"/>
      <c r="C403" s="119"/>
      <c r="D403" s="119"/>
      <c r="E403" s="119"/>
      <c r="F403" s="119"/>
      <c r="G403" s="119"/>
      <c r="H403" s="119"/>
      <c r="I403" s="148"/>
      <c r="J403" s="148"/>
    </row>
    <row r="404" spans="1:10" ht="17.45" customHeight="1">
      <c r="A404" s="139" t="s">
        <v>8</v>
      </c>
      <c r="B404" s="139" t="s">
        <v>92</v>
      </c>
      <c r="E404" s="139" t="s">
        <v>10</v>
      </c>
      <c r="F404" s="140" t="s">
        <v>85</v>
      </c>
      <c r="G404" s="119"/>
      <c r="H404" s="119"/>
      <c r="I404" s="149"/>
      <c r="J404" s="149"/>
    </row>
    <row r="405" spans="1:10" ht="17.45" customHeight="1">
      <c r="A405" s="119"/>
      <c r="B405" s="119"/>
      <c r="E405" s="119"/>
      <c r="F405" s="119"/>
      <c r="G405" s="119"/>
      <c r="H405" s="119"/>
      <c r="I405" s="7"/>
      <c r="J405" s="7"/>
    </row>
    <row r="406" spans="1:10" ht="17.45" customHeight="1">
      <c r="A406" s="139" t="s">
        <v>12</v>
      </c>
      <c r="B406" s="139" t="s">
        <v>93</v>
      </c>
      <c r="E406" s="8" t="s">
        <v>14</v>
      </c>
      <c r="F406" s="140" t="s">
        <v>15</v>
      </c>
      <c r="G406" s="119"/>
      <c r="H406" s="6"/>
      <c r="I406" s="7"/>
      <c r="J406" s="7"/>
    </row>
    <row r="407" spans="1:10" ht="17.45" customHeight="1">
      <c r="A407" s="119"/>
      <c r="B407" s="119"/>
      <c r="E407" s="8" t="s">
        <v>16</v>
      </c>
      <c r="F407" s="6" t="s">
        <v>17</v>
      </c>
      <c r="G407" s="6"/>
      <c r="H407" s="6"/>
      <c r="I407" s="9"/>
      <c r="J407" s="9"/>
    </row>
    <row r="408" spans="1:10" ht="17.45" customHeight="1">
      <c r="A408" s="8" t="s">
        <v>18</v>
      </c>
      <c r="B408" s="10">
        <v>46139</v>
      </c>
      <c r="E408" s="8" t="s">
        <v>19</v>
      </c>
      <c r="F408" s="141">
        <v>100</v>
      </c>
      <c r="G408" s="119"/>
      <c r="H408" s="6"/>
    </row>
    <row r="409" spans="1:10" ht="17.45" customHeight="1">
      <c r="A409" s="8" t="s">
        <v>20</v>
      </c>
      <c r="B409" s="10">
        <v>46139</v>
      </c>
      <c r="E409" s="8" t="s">
        <v>21</v>
      </c>
      <c r="F409" s="6">
        <v>4</v>
      </c>
      <c r="G409" s="142" t="s">
        <v>22</v>
      </c>
      <c r="H409" s="144">
        <v>400</v>
      </c>
      <c r="I409" s="145"/>
      <c r="J409" s="146"/>
    </row>
    <row r="410" spans="1:10" ht="17.45" customHeight="1">
      <c r="A410" s="11"/>
      <c r="B410" s="12"/>
      <c r="C410" s="12"/>
      <c r="D410" s="12"/>
      <c r="E410" s="8" t="s">
        <v>23</v>
      </c>
      <c r="F410" s="6" t="s">
        <v>24</v>
      </c>
      <c r="G410" s="143"/>
      <c r="H410" s="143"/>
      <c r="I410" s="125"/>
      <c r="J410" s="133"/>
    </row>
    <row r="411" spans="1:10" ht="13.5" customHeight="1">
      <c r="A411" s="127" t="s">
        <v>87</v>
      </c>
      <c r="B411" s="119"/>
      <c r="C411" s="119"/>
      <c r="D411" s="12"/>
      <c r="F411" s="5"/>
      <c r="G411" s="128" t="s">
        <v>26</v>
      </c>
      <c r="H411" s="130" t="s">
        <v>27</v>
      </c>
      <c r="I411" s="131" t="s">
        <v>28</v>
      </c>
      <c r="J411" s="132"/>
    </row>
    <row r="412" spans="1:10" ht="13.5" customHeight="1">
      <c r="A412" s="119"/>
      <c r="B412" s="119"/>
      <c r="C412" s="119"/>
      <c r="D412" s="12"/>
      <c r="F412" s="5"/>
      <c r="G412" s="129"/>
      <c r="H412" s="129"/>
      <c r="I412" s="125"/>
      <c r="J412" s="133"/>
    </row>
    <row r="413" spans="1:10" ht="13.5" customHeight="1">
      <c r="A413" s="2" t="s">
        <v>29</v>
      </c>
    </row>
    <row r="414" spans="1:10" ht="63" customHeight="1" thickBot="1">
      <c r="A414" s="134"/>
      <c r="B414" s="135"/>
      <c r="C414" s="135"/>
      <c r="D414" s="135"/>
      <c r="E414" s="135"/>
      <c r="F414" s="135"/>
      <c r="G414" s="135"/>
      <c r="H414" s="135"/>
      <c r="I414" s="135"/>
      <c r="J414" s="135"/>
    </row>
    <row r="415" spans="1:10" ht="18.75">
      <c r="A415" s="13" t="s">
        <v>30</v>
      </c>
      <c r="B415" s="14" t="s">
        <v>31</v>
      </c>
      <c r="C415" s="136" t="s">
        <v>32</v>
      </c>
      <c r="D415" s="137"/>
      <c r="E415" s="14" t="s">
        <v>33</v>
      </c>
      <c r="F415" s="136" t="s">
        <v>34</v>
      </c>
      <c r="G415" s="137"/>
      <c r="H415" s="137"/>
      <c r="I415" s="138" t="s">
        <v>35</v>
      </c>
      <c r="J415" s="137"/>
    </row>
    <row r="416" spans="1:10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</row>
    <row r="417" spans="1:10" ht="16.5" customHeight="1">
      <c r="A417" s="17">
        <v>1</v>
      </c>
      <c r="B417" s="18" t="s">
        <v>36</v>
      </c>
      <c r="C417" s="118" t="s">
        <v>37</v>
      </c>
      <c r="D417" s="119"/>
      <c r="E417" s="18" t="s">
        <v>38</v>
      </c>
      <c r="F417" s="118" t="s">
        <v>39</v>
      </c>
      <c r="G417" s="119"/>
      <c r="H417" s="119"/>
      <c r="I417" s="126"/>
      <c r="J417" s="119"/>
    </row>
    <row r="418" spans="1:10" ht="16.5" customHeight="1">
      <c r="A418" s="17">
        <v>1</v>
      </c>
      <c r="B418" s="20" t="s">
        <v>36</v>
      </c>
      <c r="C418" s="118" t="s">
        <v>37</v>
      </c>
      <c r="D418" s="119"/>
      <c r="E418" s="18" t="s">
        <v>40</v>
      </c>
      <c r="F418" s="118" t="s">
        <v>41</v>
      </c>
      <c r="G418" s="119"/>
      <c r="H418" s="119"/>
      <c r="I418" s="126"/>
      <c r="J418" s="119"/>
    </row>
    <row r="419" spans="1:10" ht="16.5" customHeight="1">
      <c r="A419" s="17"/>
      <c r="B419" s="20"/>
      <c r="C419" s="118"/>
      <c r="D419" s="119"/>
      <c r="E419" s="18"/>
      <c r="F419" s="118"/>
      <c r="G419" s="119"/>
      <c r="H419" s="119"/>
      <c r="I419" s="126"/>
      <c r="J419" s="119"/>
    </row>
    <row r="420" spans="1:10" ht="16.5" customHeight="1">
      <c r="A420" s="17"/>
      <c r="B420" s="20"/>
      <c r="C420" s="118"/>
      <c r="D420" s="119"/>
      <c r="E420" s="18"/>
      <c r="F420" s="118"/>
      <c r="G420" s="119"/>
      <c r="H420" s="119"/>
      <c r="I420" s="126"/>
      <c r="J420" s="119"/>
    </row>
    <row r="421" spans="1:10" ht="16.5" customHeight="1">
      <c r="A421" s="17"/>
      <c r="B421" s="20"/>
      <c r="C421" s="118"/>
      <c r="D421" s="119"/>
      <c r="E421" s="18"/>
      <c r="F421" s="118"/>
      <c r="G421" s="119"/>
      <c r="H421" s="119"/>
      <c r="I421" s="126"/>
      <c r="J421" s="119"/>
    </row>
    <row r="422" spans="1:10" ht="16.5" customHeight="1">
      <c r="A422" s="17"/>
      <c r="B422" s="20"/>
      <c r="C422" s="118"/>
      <c r="D422" s="119"/>
      <c r="E422" s="18"/>
      <c r="F422" s="118"/>
      <c r="G422" s="119"/>
      <c r="H422" s="119"/>
      <c r="I422" s="126"/>
      <c r="J422" s="119"/>
    </row>
    <row r="423" spans="1:10" ht="16.5" customHeight="1" thickBo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spans="1:10" ht="18.75">
      <c r="A424" s="122" t="s">
        <v>42</v>
      </c>
      <c r="B424" s="123"/>
      <c r="C424" s="122" t="s">
        <v>43</v>
      </c>
      <c r="D424" s="123"/>
      <c r="E424" s="123"/>
      <c r="F424" s="22" t="s">
        <v>44</v>
      </c>
      <c r="G424" s="122" t="s">
        <v>45</v>
      </c>
      <c r="H424" s="123"/>
      <c r="I424" s="122" t="s">
        <v>46</v>
      </c>
      <c r="J424" s="123"/>
    </row>
    <row r="425" spans="1:10" ht="14.25" customHeight="1">
      <c r="A425" s="23"/>
      <c r="B425" s="24"/>
      <c r="C425" s="124" t="s">
        <v>47</v>
      </c>
      <c r="D425" s="125"/>
      <c r="E425" s="24"/>
      <c r="F425" s="124" t="s">
        <v>29</v>
      </c>
      <c r="G425" s="125"/>
      <c r="H425" s="125"/>
      <c r="I425" s="125"/>
      <c r="J425" s="125"/>
    </row>
    <row r="426" spans="1:10">
      <c r="A426" s="25"/>
      <c r="C426" s="19"/>
      <c r="D426" s="19"/>
      <c r="E426" s="19"/>
    </row>
    <row r="427" spans="1:10" ht="14.25" customHeight="1">
      <c r="A427" s="118" t="s">
        <v>48</v>
      </c>
      <c r="B427" s="119"/>
      <c r="C427" s="118" t="s">
        <v>49</v>
      </c>
      <c r="D427" s="119"/>
      <c r="E427" s="119"/>
      <c r="F427" s="18" t="s">
        <v>27</v>
      </c>
      <c r="G427" s="120">
        <v>200</v>
      </c>
      <c r="H427" s="119"/>
      <c r="I427" s="120">
        <v>2</v>
      </c>
      <c r="J427" s="119"/>
    </row>
    <row r="428" spans="1:10" ht="24.95" customHeight="1">
      <c r="A428" s="121" t="s">
        <v>50</v>
      </c>
      <c r="B428" s="119"/>
      <c r="C428" s="118"/>
      <c r="D428" s="119"/>
      <c r="E428" s="119"/>
      <c r="F428" s="118"/>
      <c r="G428" s="119"/>
      <c r="H428" s="119"/>
      <c r="I428" s="119"/>
      <c r="J428" s="119"/>
    </row>
    <row r="429" spans="1:10" ht="14.25" customHeight="1">
      <c r="A429" s="118" t="s">
        <v>88</v>
      </c>
      <c r="B429" s="119"/>
      <c r="C429" s="118" t="s">
        <v>89</v>
      </c>
      <c r="D429" s="119"/>
      <c r="E429" s="119"/>
      <c r="F429" s="18" t="s">
        <v>36</v>
      </c>
      <c r="G429" s="120">
        <v>4</v>
      </c>
      <c r="H429" s="119"/>
      <c r="I429" s="120">
        <v>0.04</v>
      </c>
      <c r="J429" s="119"/>
    </row>
    <row r="430" spans="1:10" ht="24.95" customHeight="1">
      <c r="A430" s="121" t="s">
        <v>90</v>
      </c>
      <c r="B430" s="119"/>
      <c r="C430" s="118" t="s">
        <v>91</v>
      </c>
      <c r="D430" s="119"/>
      <c r="E430" s="119"/>
      <c r="F430" s="118"/>
      <c r="G430" s="119"/>
      <c r="H430" s="119"/>
      <c r="I430" s="119"/>
      <c r="J430" s="119"/>
    </row>
    <row r="431" spans="1:10" ht="14.25" customHeight="1">
      <c r="A431" s="118" t="s">
        <v>56</v>
      </c>
      <c r="B431" s="119"/>
      <c r="C431" s="118" t="s">
        <v>57</v>
      </c>
      <c r="D431" s="119"/>
      <c r="E431" s="119"/>
      <c r="F431" s="18"/>
      <c r="G431" s="120">
        <v>0.4</v>
      </c>
      <c r="H431" s="119"/>
      <c r="I431" s="120">
        <v>4.0000000000000001E-3</v>
      </c>
      <c r="J431" s="119"/>
    </row>
    <row r="432" spans="1:10" ht="24.95" customHeight="1">
      <c r="A432" s="121" t="s">
        <v>58</v>
      </c>
      <c r="B432" s="119"/>
      <c r="C432" s="118" t="s">
        <v>59</v>
      </c>
      <c r="D432" s="119"/>
      <c r="E432" s="119"/>
      <c r="F432" s="118"/>
      <c r="G432" s="119"/>
      <c r="H432" s="119"/>
      <c r="I432" s="119"/>
      <c r="J432" s="119"/>
    </row>
    <row r="433" spans="1:14" ht="14.25" customHeight="1">
      <c r="A433" s="118" t="s">
        <v>60</v>
      </c>
      <c r="B433" s="119"/>
      <c r="C433" s="118" t="s">
        <v>61</v>
      </c>
      <c r="D433" s="119"/>
      <c r="E433" s="119"/>
      <c r="F433" s="18"/>
      <c r="G433" s="120">
        <v>0.4</v>
      </c>
      <c r="H433" s="119"/>
      <c r="I433" s="120">
        <v>4.0000000000000001E-3</v>
      </c>
      <c r="J433" s="119"/>
    </row>
    <row r="434" spans="1:14" ht="24.95" customHeight="1">
      <c r="A434" s="121" t="s">
        <v>62</v>
      </c>
      <c r="B434" s="119"/>
      <c r="C434" s="118" t="s">
        <v>63</v>
      </c>
      <c r="D434" s="119"/>
      <c r="E434" s="119"/>
      <c r="F434" s="118"/>
      <c r="G434" s="119"/>
      <c r="H434" s="119"/>
      <c r="I434" s="119"/>
      <c r="J434" s="119"/>
    </row>
    <row r="435" spans="1:14" ht="14.25" customHeight="1">
      <c r="A435" s="118"/>
      <c r="B435" s="119"/>
      <c r="C435" s="118"/>
      <c r="D435" s="119"/>
      <c r="E435" s="119"/>
      <c r="F435" s="18"/>
      <c r="G435" s="120"/>
      <c r="H435" s="119"/>
      <c r="I435" s="120"/>
      <c r="J435" s="119"/>
    </row>
    <row r="436" spans="1:14" ht="24.95" customHeight="1" thickBot="1">
      <c r="A436" s="121"/>
      <c r="B436" s="119"/>
      <c r="C436" s="118"/>
      <c r="D436" s="119"/>
      <c r="E436" s="119"/>
      <c r="F436" s="118"/>
      <c r="G436" s="119"/>
      <c r="H436" s="119"/>
      <c r="I436" s="119"/>
      <c r="J436" s="119"/>
    </row>
    <row r="437" spans="1:14" s="15" customFormat="1" ht="18" customHeight="1">
      <c r="A437" s="27" t="s">
        <v>143</v>
      </c>
      <c r="B437" s="28" t="s">
        <v>144</v>
      </c>
      <c r="C437" s="108" t="s">
        <v>145</v>
      </c>
      <c r="D437" s="109"/>
      <c r="E437" s="29" t="s">
        <v>146</v>
      </c>
      <c r="F437" s="30" t="s">
        <v>147</v>
      </c>
      <c r="G437" s="31" t="s">
        <v>148</v>
      </c>
      <c r="H437" s="32" t="s">
        <v>149</v>
      </c>
      <c r="I437" s="106" t="s">
        <v>150</v>
      </c>
      <c r="J437" s="107"/>
    </row>
    <row r="438" spans="1:14" s="19" customFormat="1" ht="18" customHeight="1">
      <c r="A438" s="33" t="str">
        <f>_xlfn.XLOOKUP(B402,[3]VFDB2!$A:$A,[3]VFDB2!$J:$J)</f>
        <v>〇</v>
      </c>
      <c r="B438" s="34">
        <f>D402</f>
        <v>748</v>
      </c>
      <c r="C438" s="110" t="str">
        <f>_xlfn.XLOOKUP(B402,[3]VFDB2!$A:$A,[3]VFDB2!$Z:$Z)</f>
        <v>LED-A888</v>
      </c>
      <c r="D438" s="111"/>
      <c r="E438" s="112" t="str" cm="1">
        <f t="array" ref="E438">IFERROR(INDEX(_xlfn._xlws.FILTER([4]加工記録２!C:C,[4]加工記録２!U:U=B404),9),"")</f>
        <v/>
      </c>
      <c r="F438" s="35" t="str" cm="1">
        <f t="array" ref="F438">IFERROR("切断加工：" &amp;_xlfn.TEXTJOIN(" / ",TRUE,INDEX(_xlfn._xlws.FILTER([4]加工記録２!M:M,[4]加工記録２!U:U=B404),9),INDEX(_xlfn._xlws.FILTER([4]加工記録２!N:N,[4]加工記録２!U:U=B404),9)),"")</f>
        <v/>
      </c>
      <c r="G438" s="36" t="str" cm="1">
        <f t="array" ref="G438">IFERROR(IF(_xlfn.TAKE(_xlfn._xlws.FILTER([4]加工記録２!$M:$N,[4]加工記録２!$U:$U=B404),5)=0,"",_xlfn.TAKE(_xlfn._xlws.FILTER([4]加工記録２!$M:$N,[4]加工記録２!$U:$U=B404),5)),"")</f>
        <v/>
      </c>
      <c r="H438" s="37"/>
      <c r="I438" s="38" t="s">
        <v>151</v>
      </c>
      <c r="J438" s="39" t="str" cm="1">
        <f t="array" ref="J438:J443">IFERROR(INDEX(_xlfn._xlws.FILTER([4]加工記録２!P:P, [4]加工記録２!U:U=B404),_xlfn.SEQUENCE(6)),"")</f>
        <v/>
      </c>
    </row>
    <row r="439" spans="1:14" s="15" customFormat="1" ht="18" customHeight="1">
      <c r="A439" s="43" t="s">
        <v>152</v>
      </c>
      <c r="B439" s="44" t="s">
        <v>153</v>
      </c>
      <c r="C439" s="110"/>
      <c r="D439" s="111"/>
      <c r="E439" s="112"/>
      <c r="F439" s="45" t="str" cm="1">
        <f t="array" ref="F439">IFERROR("外観検査：" &amp;_xlfn.TEXTJOIN(" / ",TRUE,INDEX(_xlfn._xlws.FILTER([4]加工記録２!M:M,[4]加工記録２!U:U=B404),10),INDEX(_xlfn._xlws.FILTER([4]加工記録２!N:N,[4]加工記録２!U:U=B404),10)),"")</f>
        <v/>
      </c>
      <c r="G439" s="36"/>
      <c r="H439" s="37"/>
      <c r="I439" s="38" t="s">
        <v>154</v>
      </c>
      <c r="J439" s="40" t="str">
        <v/>
      </c>
      <c r="K439" s="46"/>
    </row>
    <row r="440" spans="1:14" s="19" customFormat="1" ht="18" customHeight="1">
      <c r="A440" s="47" t="str">
        <f>_xlfn.XLOOKUP(B402,[3]VFDB2!$A:$A,[3]VFDB2!$L:$L)</f>
        <v>+0.5</v>
      </c>
      <c r="B440" s="48" t="str">
        <f>_xlfn.XLOOKUP(B402,[3]VFDB2!$A:$A,[3]VFDB2!$AC:$AC)</f>
        <v>換算表確認</v>
      </c>
      <c r="C440" s="113" t="s">
        <v>155</v>
      </c>
      <c r="D440" s="114" t="str">
        <f>_xlfn.XLOOKUP(B402,[3]VFDB2!$A:$A,[3]VFDB2!$W:$W)</f>
        <v>L=888用　クラフト紙</v>
      </c>
      <c r="E440" s="114"/>
      <c r="F440" s="115"/>
      <c r="G440" s="36"/>
      <c r="H440" s="37"/>
      <c r="I440" s="38" t="s">
        <v>156</v>
      </c>
      <c r="J440" s="40" t="str">
        <v/>
      </c>
      <c r="K440" s="49"/>
    </row>
    <row r="441" spans="1:14" s="15" customFormat="1" ht="18" customHeight="1">
      <c r="A441" s="50" t="s">
        <v>157</v>
      </c>
      <c r="B441" s="51" t="s">
        <v>158</v>
      </c>
      <c r="C441" s="113"/>
      <c r="D441" s="114" t="str">
        <f>_xlfn.XLOOKUP(B402,[3]VFDB2!$A:$A,[3]VFDB2!$R:$R)</f>
        <v>ラベル１枚　長手無　鉢巻１回</v>
      </c>
      <c r="E441" s="114"/>
      <c r="F441" s="115"/>
      <c r="G441" s="36"/>
      <c r="H441" s="37"/>
      <c r="I441" s="38" t="s">
        <v>159</v>
      </c>
      <c r="J441" s="40" t="str">
        <v/>
      </c>
      <c r="K441" s="46"/>
    </row>
    <row r="442" spans="1:14" s="19" customFormat="1" ht="18" customHeight="1" thickBot="1">
      <c r="A442" s="52" t="str">
        <f>_xlfn.XLOOKUP(B402,[3]VFDB2!$A:$A,[3]VFDB2!$K:$K)</f>
        <v>－0.5</v>
      </c>
      <c r="B442" s="53">
        <f>_xlfn.XLOOKUP(B402,[3]VFDB2!$A:$A,[3]VFDB2!$P:$P)</f>
        <v>2</v>
      </c>
      <c r="C442" s="54" t="s">
        <v>160</v>
      </c>
      <c r="D442" s="116" t="str">
        <f>_xlfn.XLOOKUP(B402,[3]VFDB2!$A:$A,[3]VFDB2!$V:$V)</f>
        <v>1箱目の梱包数 目視確認　以降、重量測定</v>
      </c>
      <c r="E442" s="116"/>
      <c r="F442" s="117"/>
      <c r="G442" s="55"/>
      <c r="H442" s="56"/>
      <c r="I442" s="38" t="s">
        <v>161</v>
      </c>
      <c r="J442" s="41" t="str">
        <v/>
      </c>
      <c r="K442" s="49"/>
    </row>
    <row r="443" spans="1:14" s="15" customFormat="1" ht="18" customHeight="1" thickBot="1">
      <c r="A443" s="57" t="s">
        <v>162</v>
      </c>
      <c r="B443" s="58" t="str" cm="1">
        <f t="array" ref="B443">IF(SUM(--(ISTEXT(B444:B454)*(B444:B454&lt;&gt;"")))=0,"計測Lot","計測Lot・加工数")</f>
        <v>計測Lot</v>
      </c>
      <c r="C443" s="59" t="s">
        <v>163</v>
      </c>
      <c r="D443" s="60" t="s">
        <v>164</v>
      </c>
      <c r="E443" s="61" t="s">
        <v>165</v>
      </c>
      <c r="F443" s="62" t="str" cm="1">
        <f t="array" ref="F443">IF(SUM(--(ISTEXT(B444:B454)*(B444:B454&lt;&gt;"")))=0,"記入不要","使用Lot")</f>
        <v>記入不要</v>
      </c>
      <c r="G443" s="63" t="s">
        <v>166</v>
      </c>
      <c r="H443" s="64" t="s">
        <v>167</v>
      </c>
      <c r="I443" s="65" t="s">
        <v>168</v>
      </c>
      <c r="J443" s="42" t="str">
        <v/>
      </c>
      <c r="K443" s="46"/>
    </row>
    <row r="444" spans="1:14" s="19" customFormat="1" ht="18" customHeight="1">
      <c r="A444" s="66" t="str" cm="1">
        <f t="array" ref="A444:A454">IFERROR(INDEX(_xlfn._xlws.FILTER([4]加工記録２!$D:$D,[4]加工記録２!$U:$U=B404),_xlfn.SEQUENCE(11),0),"")</f>
        <v/>
      </c>
      <c r="B444" s="70" t="str" cm="1">
        <f t="array" ref="B444:B454">IFERROR(IF(INDEX(_xlfn._xlws.FILTER([4]加工記録２!$E:$E,[4]加工記録２!$U:$U=B404),_xlfn.SEQUENCE(11))="","",INDEX(_xlfn._xlws.FILTER([4]加工記録２!$E:$E,[4]加工記録２!$U:$U=B404),_xlfn.SEQUENCE(11)) &amp; IF(INDEX(_xlfn._xlws.FILTER([4]加工記録２!$F:$F,[4]加工記録２!$U:$U=B404),_xlfn.SEQUENCE(11))="","", " × " &amp; INDEX(_xlfn._xlws.FILTER([4]加工記録２!$F:$F,[4]加工記録２!$U:$U=B404),_xlfn.SEQUENCE(11)))),"")</f>
        <v/>
      </c>
      <c r="C444" s="73"/>
      <c r="D444" s="74"/>
      <c r="E444" s="75"/>
      <c r="F444" s="76"/>
      <c r="G444" s="77"/>
      <c r="H444" s="78"/>
      <c r="I444" s="104" t="s">
        <v>169</v>
      </c>
      <c r="J444" s="105"/>
      <c r="K444" s="79"/>
    </row>
    <row r="445" spans="1:14" s="15" customFormat="1" ht="18" customHeight="1">
      <c r="A445" s="67" t="str">
        <v/>
      </c>
      <c r="B445" s="71" t="str">
        <v/>
      </c>
      <c r="C445" s="80"/>
      <c r="D445" s="81"/>
      <c r="E445" s="82"/>
      <c r="F445" s="83"/>
      <c r="G445" s="80"/>
      <c r="H445" s="84"/>
      <c r="I445" s="85" t="s">
        <v>170</v>
      </c>
      <c r="J445" s="84" t="str" cm="1">
        <f t="array" ref="J445:J454">IFERROR(INDEX(_xlfn._xlws.FILTER([4]加工記録２!R:R, [4]加工記録２!U:U=B404),_xlfn.SEQUENCE(10)),"")</f>
        <v/>
      </c>
      <c r="K445" s="79"/>
    </row>
    <row r="446" spans="1:14" s="90" customFormat="1" ht="18.95" customHeight="1">
      <c r="A446" s="68" t="str">
        <v/>
      </c>
      <c r="B446" s="71" t="str">
        <v/>
      </c>
      <c r="C446" s="80"/>
      <c r="D446" s="81"/>
      <c r="E446" s="82"/>
      <c r="F446" s="83"/>
      <c r="G446" s="80"/>
      <c r="H446" s="84"/>
      <c r="I446" s="85" t="s">
        <v>171</v>
      </c>
      <c r="J446" s="84" t="str">
        <v/>
      </c>
      <c r="K446" s="88"/>
      <c r="L446" s="89"/>
      <c r="M446" s="89"/>
      <c r="N446" s="89"/>
    </row>
    <row r="447" spans="1:14" s="93" customFormat="1" ht="18.95" customHeight="1">
      <c r="A447" s="68" t="str">
        <v/>
      </c>
      <c r="B447" s="71" t="str">
        <v/>
      </c>
      <c r="C447" s="80"/>
      <c r="D447" s="81"/>
      <c r="E447" s="82"/>
      <c r="F447" s="83"/>
      <c r="G447" s="80"/>
      <c r="H447" s="84"/>
      <c r="I447" s="85" t="s">
        <v>172</v>
      </c>
      <c r="J447" s="84" t="str">
        <v/>
      </c>
      <c r="K447" s="91"/>
      <c r="L447" s="92"/>
      <c r="M447" s="92"/>
      <c r="N447" s="92"/>
    </row>
    <row r="448" spans="1:14" s="93" customFormat="1" ht="18.95" customHeight="1">
      <c r="A448" s="68" t="str">
        <v/>
      </c>
      <c r="B448" s="71" t="str">
        <v/>
      </c>
      <c r="C448" s="80"/>
      <c r="D448" s="81"/>
      <c r="E448" s="82"/>
      <c r="F448" s="83"/>
      <c r="G448" s="80"/>
      <c r="H448" s="84"/>
      <c r="I448" s="85" t="s">
        <v>173</v>
      </c>
      <c r="J448" s="84" t="str">
        <v/>
      </c>
      <c r="K448" s="91"/>
      <c r="L448" s="92"/>
      <c r="M448" s="92"/>
      <c r="N448" s="92"/>
    </row>
    <row r="449" spans="1:14" s="93" customFormat="1" ht="18.95" customHeight="1">
      <c r="A449" s="68" t="str">
        <v/>
      </c>
      <c r="B449" s="71" t="str">
        <v/>
      </c>
      <c r="C449" s="80"/>
      <c r="D449" s="81"/>
      <c r="E449" s="82"/>
      <c r="F449" s="83"/>
      <c r="G449" s="80"/>
      <c r="H449" s="84"/>
      <c r="I449" s="85" t="s">
        <v>174</v>
      </c>
      <c r="J449" s="84" t="str">
        <v/>
      </c>
      <c r="K449" s="91"/>
      <c r="L449" s="92"/>
      <c r="M449" s="92"/>
      <c r="N449" s="92"/>
    </row>
    <row r="450" spans="1:14" s="93" customFormat="1" ht="18.95" customHeight="1">
      <c r="A450" s="68" t="str">
        <v/>
      </c>
      <c r="B450" s="71" t="str">
        <v/>
      </c>
      <c r="C450" s="80"/>
      <c r="D450" s="81"/>
      <c r="E450" s="82"/>
      <c r="F450" s="83"/>
      <c r="G450" s="80"/>
      <c r="H450" s="84"/>
      <c r="I450" s="85" t="s">
        <v>175</v>
      </c>
      <c r="J450" s="84" t="str">
        <v/>
      </c>
      <c r="K450" s="91"/>
      <c r="L450" s="92"/>
      <c r="M450" s="92"/>
      <c r="N450" s="92"/>
    </row>
    <row r="451" spans="1:14" s="93" customFormat="1" ht="18.95" customHeight="1">
      <c r="A451" s="68" t="str">
        <v/>
      </c>
      <c r="B451" s="71" t="str">
        <v/>
      </c>
      <c r="C451" s="80"/>
      <c r="D451" s="81"/>
      <c r="E451" s="82"/>
      <c r="F451" s="83"/>
      <c r="G451" s="80"/>
      <c r="H451" s="84"/>
      <c r="I451" s="94" t="s">
        <v>176</v>
      </c>
      <c r="J451" s="84" t="str">
        <v/>
      </c>
      <c r="K451" s="91"/>
      <c r="L451" s="92"/>
      <c r="M451" s="92"/>
      <c r="N451" s="92"/>
    </row>
    <row r="452" spans="1:14" s="93" customFormat="1" ht="18.95" customHeight="1">
      <c r="A452" s="68" t="str">
        <v/>
      </c>
      <c r="B452" s="71" t="str">
        <v/>
      </c>
      <c r="C452" s="80"/>
      <c r="D452" s="81"/>
      <c r="E452" s="82"/>
      <c r="F452" s="83"/>
      <c r="G452" s="80"/>
      <c r="H452" s="84"/>
      <c r="I452" s="94" t="s">
        <v>177</v>
      </c>
      <c r="J452" s="84" t="str">
        <v/>
      </c>
      <c r="K452" s="91"/>
      <c r="L452" s="92"/>
      <c r="M452" s="92"/>
      <c r="N452" s="92"/>
    </row>
    <row r="453" spans="1:14" s="93" customFormat="1" ht="18.95" customHeight="1">
      <c r="A453" s="68" t="str">
        <v/>
      </c>
      <c r="B453" s="71" t="str">
        <v/>
      </c>
      <c r="C453" s="80"/>
      <c r="D453" s="81"/>
      <c r="E453" s="82"/>
      <c r="F453" s="83"/>
      <c r="G453" s="80"/>
      <c r="H453" s="84"/>
      <c r="I453" s="85" t="s">
        <v>178</v>
      </c>
      <c r="J453" s="86" t="str">
        <v/>
      </c>
      <c r="K453" s="91"/>
      <c r="L453" s="92"/>
      <c r="M453" s="92"/>
      <c r="N453" s="92"/>
    </row>
    <row r="454" spans="1:14" s="93" customFormat="1" ht="18.95" customHeight="1" thickBot="1">
      <c r="A454" s="69" t="str">
        <v/>
      </c>
      <c r="B454" s="72" t="str">
        <v/>
      </c>
      <c r="C454" s="95"/>
      <c r="D454" s="96"/>
      <c r="E454" s="97"/>
      <c r="F454" s="98"/>
      <c r="G454" s="99"/>
      <c r="H454" s="100"/>
      <c r="I454" s="101" t="s">
        <v>179</v>
      </c>
      <c r="J454" s="87" t="str">
        <v/>
      </c>
      <c r="K454" s="91"/>
      <c r="L454" s="92"/>
      <c r="M454" s="92"/>
      <c r="N454" s="92"/>
    </row>
    <row r="455" spans="1:14" ht="6" customHeight="1" thickBot="1">
      <c r="A455" s="102"/>
      <c r="B455" s="103"/>
      <c r="C455" s="103"/>
      <c r="D455" s="102"/>
      <c r="E455" s="103"/>
      <c r="F455" s="103"/>
      <c r="G455" s="103"/>
      <c r="H455" s="103"/>
    </row>
    <row r="456" spans="1:14" ht="6" customHeight="1" thickTop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4" ht="14.25" customHeight="1" thickBot="1">
      <c r="A457" s="1"/>
      <c r="B457" s="150" t="s">
        <v>0</v>
      </c>
      <c r="C457" s="119"/>
      <c r="D457" s="119"/>
      <c r="E457" s="1"/>
      <c r="F457" s="1"/>
      <c r="G457" s="1"/>
      <c r="H457" s="1"/>
      <c r="I457" s="1"/>
      <c r="J457" s="1"/>
    </row>
    <row r="458" spans="1:14" ht="14.25" customHeight="1" thickTop="1">
      <c r="A458" s="3"/>
      <c r="B458" s="119"/>
      <c r="C458" s="119"/>
      <c r="D458" s="119"/>
      <c r="E458" s="3"/>
      <c r="F458" s="3"/>
      <c r="G458" s="3"/>
      <c r="H458" s="3"/>
      <c r="I458" s="3"/>
      <c r="J458" s="3"/>
    </row>
    <row r="459" spans="1:14" ht="14.25" customHeight="1">
      <c r="A459" s="151" t="s">
        <v>1</v>
      </c>
      <c r="B459" s="151" t="s">
        <v>94</v>
      </c>
      <c r="C459" s="151" t="s">
        <v>3</v>
      </c>
      <c r="D459" s="152">
        <v>888</v>
      </c>
      <c r="E459" s="151" t="s">
        <v>4</v>
      </c>
      <c r="F459" s="147" t="s">
        <v>95</v>
      </c>
      <c r="G459" s="119"/>
      <c r="H459" s="119"/>
      <c r="I459" s="4" t="s">
        <v>6</v>
      </c>
      <c r="J459" s="4" t="s">
        <v>7</v>
      </c>
    </row>
    <row r="460" spans="1:14" ht="14.25" customHeight="1">
      <c r="A460" s="119"/>
      <c r="B460" s="119"/>
      <c r="C460" s="119"/>
      <c r="D460" s="119"/>
      <c r="E460" s="119"/>
      <c r="F460" s="119"/>
      <c r="G460" s="119"/>
      <c r="H460" s="119"/>
      <c r="I460" s="148"/>
      <c r="J460" s="148"/>
    </row>
    <row r="461" spans="1:14" ht="17.45" customHeight="1">
      <c r="A461" s="139" t="s">
        <v>8</v>
      </c>
      <c r="B461" s="139" t="s">
        <v>96</v>
      </c>
      <c r="E461" s="139" t="s">
        <v>10</v>
      </c>
      <c r="F461" s="140" t="s">
        <v>97</v>
      </c>
      <c r="G461" s="119"/>
      <c r="H461" s="119"/>
      <c r="I461" s="149"/>
      <c r="J461" s="149"/>
    </row>
    <row r="462" spans="1:14" ht="17.45" customHeight="1">
      <c r="A462" s="119"/>
      <c r="B462" s="119"/>
      <c r="E462" s="119"/>
      <c r="F462" s="119"/>
      <c r="G462" s="119"/>
      <c r="H462" s="119"/>
      <c r="I462" s="7"/>
      <c r="J462" s="7"/>
    </row>
    <row r="463" spans="1:14" ht="17.45" customHeight="1">
      <c r="A463" s="139" t="s">
        <v>12</v>
      </c>
      <c r="B463" s="139" t="s">
        <v>98</v>
      </c>
      <c r="E463" s="8" t="s">
        <v>14</v>
      </c>
      <c r="F463" s="140" t="s">
        <v>15</v>
      </c>
      <c r="G463" s="119"/>
      <c r="H463" s="6"/>
      <c r="I463" s="7"/>
      <c r="J463" s="7"/>
    </row>
    <row r="464" spans="1:14" ht="17.45" customHeight="1">
      <c r="A464" s="119"/>
      <c r="B464" s="119"/>
      <c r="E464" s="8" t="s">
        <v>16</v>
      </c>
      <c r="F464" s="6" t="s">
        <v>17</v>
      </c>
      <c r="G464" s="6"/>
      <c r="H464" s="6"/>
      <c r="I464" s="9"/>
      <c r="J464" s="9"/>
    </row>
    <row r="465" spans="1:10" ht="17.45" customHeight="1">
      <c r="A465" s="8" t="s">
        <v>18</v>
      </c>
      <c r="B465" s="10">
        <v>46119</v>
      </c>
      <c r="E465" s="8" t="s">
        <v>19</v>
      </c>
      <c r="F465" s="141">
        <v>100</v>
      </c>
      <c r="G465" s="119"/>
      <c r="H465" s="6"/>
    </row>
    <row r="466" spans="1:10" ht="17.45" customHeight="1">
      <c r="A466" s="8" t="s">
        <v>20</v>
      </c>
      <c r="B466" s="10">
        <v>46119</v>
      </c>
      <c r="E466" s="8" t="s">
        <v>21</v>
      </c>
      <c r="F466" s="6">
        <v>20</v>
      </c>
      <c r="G466" s="142" t="s">
        <v>22</v>
      </c>
      <c r="H466" s="144">
        <v>2000</v>
      </c>
      <c r="I466" s="145"/>
      <c r="J466" s="146"/>
    </row>
    <row r="467" spans="1:10" ht="17.45" customHeight="1">
      <c r="A467" s="11"/>
      <c r="B467" s="12"/>
      <c r="C467" s="12"/>
      <c r="D467" s="12"/>
      <c r="E467" s="8" t="s">
        <v>23</v>
      </c>
      <c r="F467" s="6" t="s">
        <v>24</v>
      </c>
      <c r="G467" s="143"/>
      <c r="H467" s="143"/>
      <c r="I467" s="125"/>
      <c r="J467" s="133"/>
    </row>
    <row r="468" spans="1:10" ht="13.5" customHeight="1">
      <c r="A468" s="127" t="s">
        <v>99</v>
      </c>
      <c r="B468" s="119"/>
      <c r="C468" s="119"/>
      <c r="D468" s="12"/>
      <c r="F468" s="5"/>
      <c r="G468" s="128" t="s">
        <v>26</v>
      </c>
      <c r="H468" s="130" t="s">
        <v>27</v>
      </c>
      <c r="I468" s="131" t="s">
        <v>28</v>
      </c>
      <c r="J468" s="132"/>
    </row>
    <row r="469" spans="1:10" ht="13.5" customHeight="1">
      <c r="A469" s="119"/>
      <c r="B469" s="119"/>
      <c r="C469" s="119"/>
      <c r="D469" s="12"/>
      <c r="F469" s="5"/>
      <c r="G469" s="129"/>
      <c r="H469" s="129"/>
      <c r="I469" s="125"/>
      <c r="J469" s="133"/>
    </row>
    <row r="470" spans="1:10" ht="13.5" customHeight="1">
      <c r="A470" s="2" t="s">
        <v>29</v>
      </c>
    </row>
    <row r="471" spans="1:10" ht="63" customHeight="1" thickBot="1">
      <c r="A471" s="134"/>
      <c r="B471" s="135"/>
      <c r="C471" s="135"/>
      <c r="D471" s="135"/>
      <c r="E471" s="135"/>
      <c r="F471" s="135"/>
      <c r="G471" s="135"/>
      <c r="H471" s="135"/>
      <c r="I471" s="135"/>
      <c r="J471" s="135"/>
    </row>
    <row r="472" spans="1:10" ht="18.75">
      <c r="A472" s="13" t="s">
        <v>30</v>
      </c>
      <c r="B472" s="14" t="s">
        <v>31</v>
      </c>
      <c r="C472" s="136" t="s">
        <v>32</v>
      </c>
      <c r="D472" s="137"/>
      <c r="E472" s="14" t="s">
        <v>33</v>
      </c>
      <c r="F472" s="136" t="s">
        <v>34</v>
      </c>
      <c r="G472" s="137"/>
      <c r="H472" s="137"/>
      <c r="I472" s="138" t="s">
        <v>35</v>
      </c>
      <c r="J472" s="137"/>
    </row>
    <row r="473" spans="1:10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</row>
    <row r="474" spans="1:10" ht="16.5" customHeight="1">
      <c r="A474" s="17">
        <v>1</v>
      </c>
      <c r="B474" s="18" t="s">
        <v>36</v>
      </c>
      <c r="C474" s="118" t="s">
        <v>37</v>
      </c>
      <c r="D474" s="119"/>
      <c r="E474" s="18" t="s">
        <v>38</v>
      </c>
      <c r="F474" s="118" t="s">
        <v>39</v>
      </c>
      <c r="G474" s="119"/>
      <c r="H474" s="119"/>
      <c r="I474" s="126"/>
      <c r="J474" s="119"/>
    </row>
    <row r="475" spans="1:10" ht="16.5" customHeight="1">
      <c r="A475" s="17">
        <v>1</v>
      </c>
      <c r="B475" s="20" t="s">
        <v>36</v>
      </c>
      <c r="C475" s="118" t="s">
        <v>37</v>
      </c>
      <c r="D475" s="119"/>
      <c r="E475" s="18" t="s">
        <v>40</v>
      </c>
      <c r="F475" s="118" t="s">
        <v>41</v>
      </c>
      <c r="G475" s="119"/>
      <c r="H475" s="119"/>
      <c r="I475" s="126"/>
      <c r="J475" s="119"/>
    </row>
    <row r="476" spans="1:10" ht="16.5" customHeight="1">
      <c r="A476" s="17"/>
      <c r="B476" s="20"/>
      <c r="C476" s="118"/>
      <c r="D476" s="119"/>
      <c r="E476" s="18"/>
      <c r="F476" s="118"/>
      <c r="G476" s="119"/>
      <c r="H476" s="119"/>
      <c r="I476" s="126"/>
      <c r="J476" s="119"/>
    </row>
    <row r="477" spans="1:10" ht="16.5" customHeight="1">
      <c r="A477" s="17"/>
      <c r="B477" s="20"/>
      <c r="C477" s="118"/>
      <c r="D477" s="119"/>
      <c r="E477" s="18"/>
      <c r="F477" s="118"/>
      <c r="G477" s="119"/>
      <c r="H477" s="119"/>
      <c r="I477" s="126"/>
      <c r="J477" s="119"/>
    </row>
    <row r="478" spans="1:10" ht="16.5" customHeight="1">
      <c r="A478" s="17"/>
      <c r="B478" s="20"/>
      <c r="C478" s="118"/>
      <c r="D478" s="119"/>
      <c r="E478" s="18"/>
      <c r="F478" s="118"/>
      <c r="G478" s="119"/>
      <c r="H478" s="119"/>
      <c r="I478" s="126"/>
      <c r="J478" s="119"/>
    </row>
    <row r="479" spans="1:10" ht="16.5" customHeight="1">
      <c r="A479" s="17"/>
      <c r="B479" s="20"/>
      <c r="C479" s="118"/>
      <c r="D479" s="119"/>
      <c r="E479" s="18"/>
      <c r="F479" s="118"/>
      <c r="G479" s="119"/>
      <c r="H479" s="119"/>
      <c r="I479" s="126"/>
      <c r="J479" s="119"/>
    </row>
    <row r="480" spans="1:10" ht="16.5" customHeight="1" thickBo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spans="1:11" ht="18.75">
      <c r="A481" s="122" t="s">
        <v>42</v>
      </c>
      <c r="B481" s="123"/>
      <c r="C481" s="122" t="s">
        <v>43</v>
      </c>
      <c r="D481" s="123"/>
      <c r="E481" s="123"/>
      <c r="F481" s="22" t="s">
        <v>44</v>
      </c>
      <c r="G481" s="122" t="s">
        <v>45</v>
      </c>
      <c r="H481" s="123"/>
      <c r="I481" s="122" t="s">
        <v>46</v>
      </c>
      <c r="J481" s="123"/>
    </row>
    <row r="482" spans="1:11" ht="14.25" customHeight="1">
      <c r="A482" s="23"/>
      <c r="B482" s="24"/>
      <c r="C482" s="124" t="s">
        <v>47</v>
      </c>
      <c r="D482" s="125"/>
      <c r="E482" s="24"/>
      <c r="F482" s="124" t="s">
        <v>29</v>
      </c>
      <c r="G482" s="125"/>
      <c r="H482" s="125"/>
      <c r="I482" s="125"/>
      <c r="J482" s="125"/>
    </row>
    <row r="483" spans="1:11">
      <c r="A483" s="25"/>
      <c r="C483" s="19"/>
      <c r="D483" s="19"/>
      <c r="E483" s="19"/>
    </row>
    <row r="484" spans="1:11" ht="14.25" customHeight="1">
      <c r="A484" s="118" t="s">
        <v>48</v>
      </c>
      <c r="B484" s="119"/>
      <c r="C484" s="118" t="s">
        <v>49</v>
      </c>
      <c r="D484" s="119"/>
      <c r="E484" s="119"/>
      <c r="F484" s="18" t="s">
        <v>27</v>
      </c>
      <c r="G484" s="120">
        <v>1000</v>
      </c>
      <c r="H484" s="119"/>
      <c r="I484" s="120">
        <v>10</v>
      </c>
      <c r="J484" s="119"/>
    </row>
    <row r="485" spans="1:11" ht="24.95" customHeight="1">
      <c r="A485" s="121" t="s">
        <v>50</v>
      </c>
      <c r="B485" s="119"/>
      <c r="C485" s="118"/>
      <c r="D485" s="119"/>
      <c r="E485" s="119"/>
      <c r="F485" s="118"/>
      <c r="G485" s="119"/>
      <c r="H485" s="119"/>
      <c r="I485" s="119"/>
      <c r="J485" s="119"/>
    </row>
    <row r="486" spans="1:11" ht="14.25" customHeight="1">
      <c r="A486" s="118" t="s">
        <v>88</v>
      </c>
      <c r="B486" s="119"/>
      <c r="C486" s="118" t="s">
        <v>89</v>
      </c>
      <c r="D486" s="119"/>
      <c r="E486" s="119"/>
      <c r="F486" s="18" t="s">
        <v>36</v>
      </c>
      <c r="G486" s="120">
        <v>20</v>
      </c>
      <c r="H486" s="119"/>
      <c r="I486" s="120">
        <v>0.2</v>
      </c>
      <c r="J486" s="119"/>
    </row>
    <row r="487" spans="1:11" ht="24.95" customHeight="1">
      <c r="A487" s="121" t="s">
        <v>90</v>
      </c>
      <c r="B487" s="119"/>
      <c r="C487" s="118" t="s">
        <v>91</v>
      </c>
      <c r="D487" s="119"/>
      <c r="E487" s="119"/>
      <c r="F487" s="118"/>
      <c r="G487" s="119"/>
      <c r="H487" s="119"/>
      <c r="I487" s="119"/>
      <c r="J487" s="119"/>
    </row>
    <row r="488" spans="1:11" ht="14.25" customHeight="1">
      <c r="A488" s="118" t="s">
        <v>100</v>
      </c>
      <c r="B488" s="119"/>
      <c r="C488" s="118" t="s">
        <v>57</v>
      </c>
      <c r="D488" s="119"/>
      <c r="E488" s="119"/>
      <c r="F488" s="18"/>
      <c r="G488" s="120">
        <v>220</v>
      </c>
      <c r="H488" s="119"/>
      <c r="I488" s="120">
        <v>2.2000000000000002</v>
      </c>
      <c r="J488" s="119"/>
    </row>
    <row r="489" spans="1:11" ht="24.95" customHeight="1">
      <c r="A489" s="121" t="s">
        <v>101</v>
      </c>
      <c r="B489" s="119"/>
      <c r="C489" s="118" t="s">
        <v>102</v>
      </c>
      <c r="D489" s="119"/>
      <c r="E489" s="119"/>
      <c r="F489" s="118"/>
      <c r="G489" s="119"/>
      <c r="H489" s="119"/>
      <c r="I489" s="119"/>
      <c r="J489" s="119"/>
    </row>
    <row r="490" spans="1:11" ht="14.25" customHeight="1">
      <c r="A490" s="118" t="s">
        <v>60</v>
      </c>
      <c r="B490" s="119"/>
      <c r="C490" s="118" t="s">
        <v>61</v>
      </c>
      <c r="D490" s="119"/>
      <c r="E490" s="119"/>
      <c r="F490" s="18"/>
      <c r="G490" s="120">
        <v>2</v>
      </c>
      <c r="H490" s="119"/>
      <c r="I490" s="120">
        <v>0.02</v>
      </c>
      <c r="J490" s="119"/>
    </row>
    <row r="491" spans="1:11" ht="24.95" customHeight="1">
      <c r="A491" s="121" t="s">
        <v>62</v>
      </c>
      <c r="B491" s="119"/>
      <c r="C491" s="118" t="s">
        <v>63</v>
      </c>
      <c r="D491" s="119"/>
      <c r="E491" s="119"/>
      <c r="F491" s="118"/>
      <c r="G491" s="119"/>
      <c r="H491" s="119"/>
      <c r="I491" s="119"/>
      <c r="J491" s="119"/>
    </row>
    <row r="492" spans="1:11" ht="14.25" customHeight="1">
      <c r="A492" s="118"/>
      <c r="B492" s="119"/>
      <c r="C492" s="118"/>
      <c r="D492" s="119"/>
      <c r="E492" s="119"/>
      <c r="F492" s="18"/>
      <c r="G492" s="120"/>
      <c r="H492" s="119"/>
      <c r="I492" s="120"/>
      <c r="J492" s="119"/>
    </row>
    <row r="493" spans="1:11" ht="24.95" customHeight="1" thickBot="1">
      <c r="A493" s="121"/>
      <c r="B493" s="119"/>
      <c r="C493" s="118"/>
      <c r="D493" s="119"/>
      <c r="E493" s="119"/>
      <c r="F493" s="118"/>
      <c r="G493" s="119"/>
      <c r="H493" s="119"/>
      <c r="I493" s="119"/>
      <c r="J493" s="119"/>
    </row>
    <row r="494" spans="1:11" s="15" customFormat="1" ht="18" customHeight="1">
      <c r="A494" s="27" t="s">
        <v>143</v>
      </c>
      <c r="B494" s="28" t="s">
        <v>144</v>
      </c>
      <c r="C494" s="108" t="s">
        <v>145</v>
      </c>
      <c r="D494" s="109"/>
      <c r="E494" s="29" t="s">
        <v>146</v>
      </c>
      <c r="F494" s="30" t="s">
        <v>147</v>
      </c>
      <c r="G494" s="31" t="s">
        <v>148</v>
      </c>
      <c r="H494" s="32" t="s">
        <v>149</v>
      </c>
      <c r="I494" s="106" t="s">
        <v>150</v>
      </c>
      <c r="J494" s="107"/>
    </row>
    <row r="495" spans="1:11" s="19" customFormat="1" ht="18" customHeight="1">
      <c r="A495" s="33" t="str">
        <f>_xlfn.XLOOKUP(B459,[3]VFDB2!$A:$A,[3]VFDB2!$J:$J)</f>
        <v>〇</v>
      </c>
      <c r="B495" s="34">
        <f>D459</f>
        <v>888</v>
      </c>
      <c r="C495" s="110" t="str">
        <f>_xlfn.XLOOKUP(B459,[3]VFDB2!$A:$A,[3]VFDB2!$Z:$Z)</f>
        <v>LED-A888</v>
      </c>
      <c r="D495" s="111"/>
      <c r="E495" s="112" t="str" cm="1">
        <f t="array" ref="E495">IFERROR(INDEX(_xlfn._xlws.FILTER([4]加工記録２!C:C,[4]加工記録２!U:U=B461),9),"")</f>
        <v/>
      </c>
      <c r="F495" s="35" t="str" cm="1">
        <f t="array" ref="F495">IFERROR("切断加工：" &amp;_xlfn.TEXTJOIN(" / ",TRUE,INDEX(_xlfn._xlws.FILTER([4]加工記録２!M:M,[4]加工記録２!U:U=B461),9),INDEX(_xlfn._xlws.FILTER([4]加工記録２!N:N,[4]加工記録２!U:U=B461),9)),"")</f>
        <v/>
      </c>
      <c r="G495" s="36" t="str" cm="1">
        <f t="array" ref="G495">IFERROR(IF(_xlfn.TAKE(_xlfn._xlws.FILTER([4]加工記録２!$M:$N,[4]加工記録２!$U:$U=B461),5)=0,"",_xlfn.TAKE(_xlfn._xlws.FILTER([4]加工記録２!$M:$N,[4]加工記録２!$U:$U=B461),5)),"")</f>
        <v/>
      </c>
      <c r="H495" s="37"/>
      <c r="I495" s="38" t="s">
        <v>151</v>
      </c>
      <c r="J495" s="39" t="str" cm="1">
        <f t="array" ref="J495:J500">IFERROR(INDEX(_xlfn._xlws.FILTER([4]加工記録２!P:P, [4]加工記録２!U:U=B461),_xlfn.SEQUENCE(6)),"")</f>
        <v/>
      </c>
    </row>
    <row r="496" spans="1:11" s="15" customFormat="1" ht="18" customHeight="1">
      <c r="A496" s="43" t="s">
        <v>152</v>
      </c>
      <c r="B496" s="44" t="s">
        <v>153</v>
      </c>
      <c r="C496" s="110"/>
      <c r="D496" s="111"/>
      <c r="E496" s="112"/>
      <c r="F496" s="45" t="str" cm="1">
        <f t="array" ref="F496">IFERROR("外観検査：" &amp;_xlfn.TEXTJOIN(" / ",TRUE,INDEX(_xlfn._xlws.FILTER([4]加工記録２!M:M,[4]加工記録２!U:U=B461),10),INDEX(_xlfn._xlws.FILTER([4]加工記録２!N:N,[4]加工記録２!U:U=B461),10)),"")</f>
        <v/>
      </c>
      <c r="G496" s="36"/>
      <c r="H496" s="37"/>
      <c r="I496" s="38" t="s">
        <v>154</v>
      </c>
      <c r="J496" s="40" t="str">
        <v/>
      </c>
      <c r="K496" s="46"/>
    </row>
    <row r="497" spans="1:14" s="19" customFormat="1" ht="18" customHeight="1">
      <c r="A497" s="47" t="str">
        <f>_xlfn.XLOOKUP(B459,[3]VFDB2!$A:$A,[3]VFDB2!$L:$L)</f>
        <v>+0.5</v>
      </c>
      <c r="B497" s="48" t="str">
        <f>_xlfn.XLOOKUP(B459,[3]VFDB2!$A:$A,[3]VFDB2!$AC:$AC)</f>
        <v>換算表確認</v>
      </c>
      <c r="C497" s="113" t="s">
        <v>155</v>
      </c>
      <c r="D497" s="114" t="str">
        <f>_xlfn.XLOOKUP(B459,[3]VFDB2!$A:$A,[3]VFDB2!$W:$W)</f>
        <v>L=888用　クラフト紙</v>
      </c>
      <c r="E497" s="114"/>
      <c r="F497" s="115"/>
      <c r="G497" s="36"/>
      <c r="H497" s="37"/>
      <c r="I497" s="38" t="s">
        <v>156</v>
      </c>
      <c r="J497" s="40" t="str">
        <v/>
      </c>
      <c r="K497" s="49"/>
    </row>
    <row r="498" spans="1:14" s="15" customFormat="1" ht="18" customHeight="1">
      <c r="A498" s="50" t="s">
        <v>157</v>
      </c>
      <c r="B498" s="51" t="s">
        <v>158</v>
      </c>
      <c r="C498" s="113"/>
      <c r="D498" s="114" t="str">
        <f>_xlfn.XLOOKUP(B459,[3]VFDB2!$A:$A,[3]VFDB2!$R:$R)</f>
        <v>ラベル１枚　長手無　鉢巻１回</v>
      </c>
      <c r="E498" s="114"/>
      <c r="F498" s="115"/>
      <c r="G498" s="36"/>
      <c r="H498" s="37"/>
      <c r="I498" s="38" t="s">
        <v>159</v>
      </c>
      <c r="J498" s="40" t="str">
        <v/>
      </c>
      <c r="K498" s="46"/>
    </row>
    <row r="499" spans="1:14" s="19" customFormat="1" ht="18" customHeight="1" thickBot="1">
      <c r="A499" s="52" t="str">
        <f>_xlfn.XLOOKUP(B459,[3]VFDB2!$A:$A,[3]VFDB2!$K:$K)</f>
        <v>－0.5</v>
      </c>
      <c r="B499" s="53">
        <f>_xlfn.XLOOKUP(B459,[3]VFDB2!$A:$A,[3]VFDB2!$P:$P)</f>
        <v>2</v>
      </c>
      <c r="C499" s="54" t="s">
        <v>160</v>
      </c>
      <c r="D499" s="116" t="str">
        <f>_xlfn.XLOOKUP(B459,[3]VFDB2!$A:$A,[3]VFDB2!$V:$V)</f>
        <v>1箱目の梱包数 目視確認　以降、重量測定</v>
      </c>
      <c r="E499" s="116"/>
      <c r="F499" s="117"/>
      <c r="G499" s="55"/>
      <c r="H499" s="56"/>
      <c r="I499" s="38" t="s">
        <v>161</v>
      </c>
      <c r="J499" s="41" t="str">
        <v/>
      </c>
      <c r="K499" s="49"/>
    </row>
    <row r="500" spans="1:14" s="15" customFormat="1" ht="18" customHeight="1" thickBot="1">
      <c r="A500" s="57" t="s">
        <v>162</v>
      </c>
      <c r="B500" s="58" t="str" cm="1">
        <f t="array" ref="B500">IF(SUM(--(ISTEXT(B501:B511)*(B501:B511&lt;&gt;"")))=0,"計測Lot","計測Lot・加工数")</f>
        <v>計測Lot</v>
      </c>
      <c r="C500" s="59" t="s">
        <v>163</v>
      </c>
      <c r="D500" s="60" t="s">
        <v>164</v>
      </c>
      <c r="E500" s="61" t="s">
        <v>165</v>
      </c>
      <c r="F500" s="62" t="str" cm="1">
        <f t="array" ref="F500">IF(SUM(--(ISTEXT(B501:B511)*(B501:B511&lt;&gt;"")))=0,"記入不要","使用Lot")</f>
        <v>記入不要</v>
      </c>
      <c r="G500" s="63" t="s">
        <v>166</v>
      </c>
      <c r="H500" s="64" t="s">
        <v>167</v>
      </c>
      <c r="I500" s="65" t="s">
        <v>168</v>
      </c>
      <c r="J500" s="42" t="str">
        <v/>
      </c>
      <c r="K500" s="46"/>
    </row>
    <row r="501" spans="1:14" s="19" customFormat="1" ht="18" customHeight="1">
      <c r="A501" s="66" t="str" cm="1">
        <f t="array" ref="A501:A511">IFERROR(INDEX(_xlfn._xlws.FILTER([4]加工記録２!$D:$D,[4]加工記録２!$U:$U=B461),_xlfn.SEQUENCE(11),0),"")</f>
        <v/>
      </c>
      <c r="B501" s="70" t="str" cm="1">
        <f t="array" ref="B501:B511">IFERROR(IF(INDEX(_xlfn._xlws.FILTER([4]加工記録２!$E:$E,[4]加工記録２!$U:$U=B461),_xlfn.SEQUENCE(11))="","",INDEX(_xlfn._xlws.FILTER([4]加工記録２!$E:$E,[4]加工記録２!$U:$U=B461),_xlfn.SEQUENCE(11)) &amp; IF(INDEX(_xlfn._xlws.FILTER([4]加工記録２!$F:$F,[4]加工記録２!$U:$U=B461),_xlfn.SEQUENCE(11))="","", " × " &amp; INDEX(_xlfn._xlws.FILTER([4]加工記録２!$F:$F,[4]加工記録２!$U:$U=B461),_xlfn.SEQUENCE(11)))),"")</f>
        <v/>
      </c>
      <c r="C501" s="73"/>
      <c r="D501" s="74"/>
      <c r="E501" s="75"/>
      <c r="F501" s="76"/>
      <c r="G501" s="77"/>
      <c r="H501" s="78"/>
      <c r="I501" s="104" t="s">
        <v>169</v>
      </c>
      <c r="J501" s="105"/>
      <c r="K501" s="79"/>
    </row>
    <row r="502" spans="1:14" s="15" customFormat="1" ht="18" customHeight="1">
      <c r="A502" s="67" t="str">
        <v/>
      </c>
      <c r="B502" s="71" t="str">
        <v/>
      </c>
      <c r="C502" s="80"/>
      <c r="D502" s="81"/>
      <c r="E502" s="82"/>
      <c r="F502" s="83"/>
      <c r="G502" s="80"/>
      <c r="H502" s="84"/>
      <c r="I502" s="85" t="s">
        <v>170</v>
      </c>
      <c r="J502" s="84" t="str" cm="1">
        <f t="array" ref="J502:J511">IFERROR(INDEX(_xlfn._xlws.FILTER([4]加工記録２!R:R, [4]加工記録２!U:U=B461),_xlfn.SEQUENCE(10)),"")</f>
        <v/>
      </c>
      <c r="K502" s="79"/>
    </row>
    <row r="503" spans="1:14" s="90" customFormat="1" ht="18.95" customHeight="1">
      <c r="A503" s="68" t="str">
        <v/>
      </c>
      <c r="B503" s="71" t="str">
        <v/>
      </c>
      <c r="C503" s="80"/>
      <c r="D503" s="81"/>
      <c r="E503" s="82"/>
      <c r="F503" s="83"/>
      <c r="G503" s="80"/>
      <c r="H503" s="84"/>
      <c r="I503" s="85" t="s">
        <v>171</v>
      </c>
      <c r="J503" s="84" t="str">
        <v/>
      </c>
      <c r="K503" s="88"/>
      <c r="L503" s="89"/>
      <c r="M503" s="89"/>
      <c r="N503" s="89"/>
    </row>
    <row r="504" spans="1:14" s="93" customFormat="1" ht="18.95" customHeight="1">
      <c r="A504" s="68" t="str">
        <v/>
      </c>
      <c r="B504" s="71" t="str">
        <v/>
      </c>
      <c r="C504" s="80"/>
      <c r="D504" s="81"/>
      <c r="E504" s="82"/>
      <c r="F504" s="83"/>
      <c r="G504" s="80"/>
      <c r="H504" s="84"/>
      <c r="I504" s="85" t="s">
        <v>172</v>
      </c>
      <c r="J504" s="84" t="str">
        <v/>
      </c>
      <c r="K504" s="91"/>
      <c r="L504" s="92"/>
      <c r="M504" s="92"/>
      <c r="N504" s="92"/>
    </row>
    <row r="505" spans="1:14" s="93" customFormat="1" ht="18.95" customHeight="1">
      <c r="A505" s="68" t="str">
        <v/>
      </c>
      <c r="B505" s="71" t="str">
        <v/>
      </c>
      <c r="C505" s="80"/>
      <c r="D505" s="81"/>
      <c r="E505" s="82"/>
      <c r="F505" s="83"/>
      <c r="G505" s="80"/>
      <c r="H505" s="84"/>
      <c r="I505" s="85" t="s">
        <v>173</v>
      </c>
      <c r="J505" s="84" t="str">
        <v/>
      </c>
      <c r="K505" s="91"/>
      <c r="L505" s="92"/>
      <c r="M505" s="92"/>
      <c r="N505" s="92"/>
    </row>
    <row r="506" spans="1:14" s="93" customFormat="1" ht="18.95" customHeight="1">
      <c r="A506" s="68" t="str">
        <v/>
      </c>
      <c r="B506" s="71" t="str">
        <v/>
      </c>
      <c r="C506" s="80"/>
      <c r="D506" s="81"/>
      <c r="E506" s="82"/>
      <c r="F506" s="83"/>
      <c r="G506" s="80"/>
      <c r="H506" s="84"/>
      <c r="I506" s="85" t="s">
        <v>174</v>
      </c>
      <c r="J506" s="84" t="str">
        <v/>
      </c>
      <c r="K506" s="91"/>
      <c r="L506" s="92"/>
      <c r="M506" s="92"/>
      <c r="N506" s="92"/>
    </row>
    <row r="507" spans="1:14" s="93" customFormat="1" ht="18.95" customHeight="1">
      <c r="A507" s="68" t="str">
        <v/>
      </c>
      <c r="B507" s="71" t="str">
        <v/>
      </c>
      <c r="C507" s="80"/>
      <c r="D507" s="81"/>
      <c r="E507" s="82"/>
      <c r="F507" s="83"/>
      <c r="G507" s="80"/>
      <c r="H507" s="84"/>
      <c r="I507" s="85" t="s">
        <v>175</v>
      </c>
      <c r="J507" s="84" t="str">
        <v/>
      </c>
      <c r="K507" s="91"/>
      <c r="L507" s="92"/>
      <c r="M507" s="92"/>
      <c r="N507" s="92"/>
    </row>
    <row r="508" spans="1:14" s="93" customFormat="1" ht="18.95" customHeight="1">
      <c r="A508" s="68" t="str">
        <v/>
      </c>
      <c r="B508" s="71" t="str">
        <v/>
      </c>
      <c r="C508" s="80"/>
      <c r="D508" s="81"/>
      <c r="E508" s="82"/>
      <c r="F508" s="83"/>
      <c r="G508" s="80"/>
      <c r="H508" s="84"/>
      <c r="I508" s="94" t="s">
        <v>176</v>
      </c>
      <c r="J508" s="84" t="str">
        <v/>
      </c>
      <c r="K508" s="91"/>
      <c r="L508" s="92"/>
      <c r="M508" s="92"/>
      <c r="N508" s="92"/>
    </row>
    <row r="509" spans="1:14" s="93" customFormat="1" ht="18.95" customHeight="1">
      <c r="A509" s="68" t="str">
        <v/>
      </c>
      <c r="B509" s="71" t="str">
        <v/>
      </c>
      <c r="C509" s="80"/>
      <c r="D509" s="81"/>
      <c r="E509" s="82"/>
      <c r="F509" s="83"/>
      <c r="G509" s="80"/>
      <c r="H509" s="84"/>
      <c r="I509" s="94" t="s">
        <v>177</v>
      </c>
      <c r="J509" s="84" t="str">
        <v/>
      </c>
      <c r="K509" s="91"/>
      <c r="L509" s="92"/>
      <c r="M509" s="92"/>
      <c r="N509" s="92"/>
    </row>
    <row r="510" spans="1:14" s="93" customFormat="1" ht="18.95" customHeight="1">
      <c r="A510" s="68" t="str">
        <v/>
      </c>
      <c r="B510" s="71" t="str">
        <v/>
      </c>
      <c r="C510" s="80"/>
      <c r="D510" s="81"/>
      <c r="E510" s="82"/>
      <c r="F510" s="83"/>
      <c r="G510" s="80"/>
      <c r="H510" s="84"/>
      <c r="I510" s="85" t="s">
        <v>178</v>
      </c>
      <c r="J510" s="86" t="str">
        <v/>
      </c>
      <c r="K510" s="91"/>
      <c r="L510" s="92"/>
      <c r="M510" s="92"/>
      <c r="N510" s="92"/>
    </row>
    <row r="511" spans="1:14" s="93" customFormat="1" ht="18.95" customHeight="1" thickBot="1">
      <c r="A511" s="69" t="str">
        <v/>
      </c>
      <c r="B511" s="72" t="str">
        <v/>
      </c>
      <c r="C511" s="95"/>
      <c r="D511" s="96"/>
      <c r="E511" s="97"/>
      <c r="F511" s="98"/>
      <c r="G511" s="99"/>
      <c r="H511" s="100"/>
      <c r="I511" s="101" t="s">
        <v>179</v>
      </c>
      <c r="J511" s="87" t="str">
        <v/>
      </c>
      <c r="K511" s="91"/>
      <c r="L511" s="92"/>
      <c r="M511" s="92"/>
      <c r="N511" s="92"/>
    </row>
    <row r="512" spans="1:14" ht="6" customHeight="1" thickBot="1">
      <c r="A512" s="102"/>
      <c r="B512" s="103"/>
      <c r="C512" s="103"/>
      <c r="D512" s="102"/>
      <c r="E512" s="103"/>
      <c r="F512" s="103"/>
      <c r="G512" s="103"/>
      <c r="H512" s="103"/>
    </row>
    <row r="513" spans="1:10" ht="6" customHeight="1" thickTop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ht="14.25" customHeight="1" thickBot="1">
      <c r="A514" s="1"/>
      <c r="B514" s="150" t="s">
        <v>0</v>
      </c>
      <c r="C514" s="119"/>
      <c r="D514" s="119"/>
      <c r="E514" s="1"/>
      <c r="F514" s="1"/>
      <c r="G514" s="1"/>
      <c r="H514" s="1"/>
      <c r="I514" s="1"/>
      <c r="J514" s="1"/>
    </row>
    <row r="515" spans="1:10" ht="14.25" customHeight="1" thickTop="1">
      <c r="A515" s="3"/>
      <c r="B515" s="119"/>
      <c r="C515" s="119"/>
      <c r="D515" s="119"/>
      <c r="E515" s="3"/>
      <c r="F515" s="3"/>
      <c r="G515" s="3"/>
      <c r="H515" s="3"/>
      <c r="I515" s="3"/>
      <c r="J515" s="3"/>
    </row>
    <row r="516" spans="1:10" ht="14.25" customHeight="1">
      <c r="A516" s="151" t="s">
        <v>1</v>
      </c>
      <c r="B516" s="151" t="s">
        <v>94</v>
      </c>
      <c r="C516" s="151" t="s">
        <v>3</v>
      </c>
      <c r="D516" s="152">
        <v>888</v>
      </c>
      <c r="E516" s="151" t="s">
        <v>4</v>
      </c>
      <c r="F516" s="147" t="s">
        <v>95</v>
      </c>
      <c r="G516" s="119"/>
      <c r="H516" s="119"/>
      <c r="I516" s="4" t="s">
        <v>6</v>
      </c>
      <c r="J516" s="4" t="s">
        <v>7</v>
      </c>
    </row>
    <row r="517" spans="1:10" ht="14.25" customHeight="1">
      <c r="A517" s="119"/>
      <c r="B517" s="119"/>
      <c r="C517" s="119"/>
      <c r="D517" s="119"/>
      <c r="E517" s="119"/>
      <c r="F517" s="119"/>
      <c r="G517" s="119"/>
      <c r="H517" s="119"/>
      <c r="I517" s="148"/>
      <c r="J517" s="148"/>
    </row>
    <row r="518" spans="1:10" ht="17.45" customHeight="1">
      <c r="A518" s="139" t="s">
        <v>8</v>
      </c>
      <c r="B518" s="139" t="s">
        <v>103</v>
      </c>
      <c r="E518" s="139" t="s">
        <v>10</v>
      </c>
      <c r="F518" s="140" t="s">
        <v>97</v>
      </c>
      <c r="G518" s="119"/>
      <c r="H518" s="119"/>
      <c r="I518" s="149"/>
      <c r="J518" s="149"/>
    </row>
    <row r="519" spans="1:10" ht="17.45" customHeight="1">
      <c r="A519" s="119"/>
      <c r="B519" s="119"/>
      <c r="E519" s="119"/>
      <c r="F519" s="119"/>
      <c r="G519" s="119"/>
      <c r="H519" s="119"/>
      <c r="I519" s="7"/>
      <c r="J519" s="7"/>
    </row>
    <row r="520" spans="1:10" ht="17.45" customHeight="1">
      <c r="A520" s="139" t="s">
        <v>12</v>
      </c>
      <c r="B520" s="139" t="s">
        <v>104</v>
      </c>
      <c r="E520" s="8" t="s">
        <v>14</v>
      </c>
      <c r="F520" s="140" t="s">
        <v>15</v>
      </c>
      <c r="G520" s="119"/>
      <c r="H520" s="6"/>
      <c r="I520" s="7"/>
      <c r="J520" s="7"/>
    </row>
    <row r="521" spans="1:10" ht="17.45" customHeight="1">
      <c r="A521" s="119"/>
      <c r="B521" s="119"/>
      <c r="E521" s="8" t="s">
        <v>16</v>
      </c>
      <c r="F521" s="6" t="s">
        <v>17</v>
      </c>
      <c r="G521" s="6"/>
      <c r="H521" s="6"/>
      <c r="I521" s="9"/>
      <c r="J521" s="9"/>
    </row>
    <row r="522" spans="1:10" ht="17.45" customHeight="1">
      <c r="A522" s="8" t="s">
        <v>18</v>
      </c>
      <c r="B522" s="10">
        <v>46121</v>
      </c>
      <c r="E522" s="8" t="s">
        <v>19</v>
      </c>
      <c r="F522" s="141">
        <v>100</v>
      </c>
      <c r="G522" s="119"/>
      <c r="H522" s="6"/>
    </row>
    <row r="523" spans="1:10" ht="17.45" customHeight="1">
      <c r="A523" s="8" t="s">
        <v>20</v>
      </c>
      <c r="B523" s="10">
        <v>46121</v>
      </c>
      <c r="E523" s="8" t="s">
        <v>21</v>
      </c>
      <c r="F523" s="6">
        <v>4</v>
      </c>
      <c r="G523" s="142" t="s">
        <v>22</v>
      </c>
      <c r="H523" s="144">
        <v>400</v>
      </c>
      <c r="I523" s="145"/>
      <c r="J523" s="146"/>
    </row>
    <row r="524" spans="1:10" ht="17.45" customHeight="1">
      <c r="A524" s="11"/>
      <c r="B524" s="12"/>
      <c r="C524" s="12"/>
      <c r="D524" s="12"/>
      <c r="E524" s="8" t="s">
        <v>23</v>
      </c>
      <c r="F524" s="6" t="s">
        <v>24</v>
      </c>
      <c r="G524" s="143"/>
      <c r="H524" s="143"/>
      <c r="I524" s="125"/>
      <c r="J524" s="133"/>
    </row>
    <row r="525" spans="1:10" ht="13.5" customHeight="1">
      <c r="A525" s="127" t="s">
        <v>99</v>
      </c>
      <c r="B525" s="119"/>
      <c r="C525" s="119"/>
      <c r="D525" s="12"/>
      <c r="F525" s="5"/>
      <c r="G525" s="128" t="s">
        <v>26</v>
      </c>
      <c r="H525" s="130" t="s">
        <v>27</v>
      </c>
      <c r="I525" s="131" t="s">
        <v>28</v>
      </c>
      <c r="J525" s="132"/>
    </row>
    <row r="526" spans="1:10" ht="13.5" customHeight="1">
      <c r="A526" s="119"/>
      <c r="B526" s="119"/>
      <c r="C526" s="119"/>
      <c r="D526" s="12"/>
      <c r="F526" s="5"/>
      <c r="G526" s="129"/>
      <c r="H526" s="129"/>
      <c r="I526" s="125"/>
      <c r="J526" s="133"/>
    </row>
    <row r="527" spans="1:10" ht="13.5" customHeight="1">
      <c r="A527" s="2" t="s">
        <v>29</v>
      </c>
    </row>
    <row r="528" spans="1:10" ht="63" customHeight="1" thickBot="1">
      <c r="A528" s="134"/>
      <c r="B528" s="135"/>
      <c r="C528" s="135"/>
      <c r="D528" s="135"/>
      <c r="E528" s="135"/>
      <c r="F528" s="135"/>
      <c r="G528" s="135"/>
      <c r="H528" s="135"/>
      <c r="I528" s="135"/>
      <c r="J528" s="135"/>
    </row>
    <row r="529" spans="1:10" ht="18.75">
      <c r="A529" s="13" t="s">
        <v>30</v>
      </c>
      <c r="B529" s="14" t="s">
        <v>31</v>
      </c>
      <c r="C529" s="136" t="s">
        <v>32</v>
      </c>
      <c r="D529" s="137"/>
      <c r="E529" s="14" t="s">
        <v>33</v>
      </c>
      <c r="F529" s="136" t="s">
        <v>34</v>
      </c>
      <c r="G529" s="137"/>
      <c r="H529" s="137"/>
      <c r="I529" s="138" t="s">
        <v>35</v>
      </c>
      <c r="J529" s="137"/>
    </row>
    <row r="530" spans="1:1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</row>
    <row r="531" spans="1:10" ht="16.5" customHeight="1">
      <c r="A531" s="17">
        <v>1</v>
      </c>
      <c r="B531" s="18" t="s">
        <v>36</v>
      </c>
      <c r="C531" s="118" t="s">
        <v>37</v>
      </c>
      <c r="D531" s="119"/>
      <c r="E531" s="18" t="s">
        <v>38</v>
      </c>
      <c r="F531" s="118" t="s">
        <v>39</v>
      </c>
      <c r="G531" s="119"/>
      <c r="H531" s="119"/>
      <c r="I531" s="126"/>
      <c r="J531" s="119"/>
    </row>
    <row r="532" spans="1:10" ht="16.5" customHeight="1">
      <c r="A532" s="17">
        <v>1</v>
      </c>
      <c r="B532" s="20" t="s">
        <v>36</v>
      </c>
      <c r="C532" s="118" t="s">
        <v>37</v>
      </c>
      <c r="D532" s="119"/>
      <c r="E532" s="18" t="s">
        <v>40</v>
      </c>
      <c r="F532" s="118" t="s">
        <v>41</v>
      </c>
      <c r="G532" s="119"/>
      <c r="H532" s="119"/>
      <c r="I532" s="126"/>
      <c r="J532" s="119"/>
    </row>
    <row r="533" spans="1:10" ht="16.5" customHeight="1">
      <c r="A533" s="17"/>
      <c r="B533" s="20"/>
      <c r="C533" s="118"/>
      <c r="D533" s="119"/>
      <c r="E533" s="18"/>
      <c r="F533" s="118"/>
      <c r="G533" s="119"/>
      <c r="H533" s="119"/>
      <c r="I533" s="126"/>
      <c r="J533" s="119"/>
    </row>
    <row r="534" spans="1:10" ht="16.5" customHeight="1">
      <c r="A534" s="17"/>
      <c r="B534" s="20"/>
      <c r="C534" s="118"/>
      <c r="D534" s="119"/>
      <c r="E534" s="18"/>
      <c r="F534" s="118"/>
      <c r="G534" s="119"/>
      <c r="H534" s="119"/>
      <c r="I534" s="126"/>
      <c r="J534" s="119"/>
    </row>
    <row r="535" spans="1:10" ht="16.5" customHeight="1">
      <c r="A535" s="17"/>
      <c r="B535" s="20"/>
      <c r="C535" s="118"/>
      <c r="D535" s="119"/>
      <c r="E535" s="18"/>
      <c r="F535" s="118"/>
      <c r="G535" s="119"/>
      <c r="H535" s="119"/>
      <c r="I535" s="126"/>
      <c r="J535" s="119"/>
    </row>
    <row r="536" spans="1:10" ht="16.5" customHeight="1">
      <c r="A536" s="17"/>
      <c r="B536" s="20"/>
      <c r="C536" s="118"/>
      <c r="D536" s="119"/>
      <c r="E536" s="18"/>
      <c r="F536" s="118"/>
      <c r="G536" s="119"/>
      <c r="H536" s="119"/>
      <c r="I536" s="126"/>
      <c r="J536" s="119"/>
    </row>
    <row r="537" spans="1:10" ht="16.5" customHeight="1" thickBo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spans="1:10" ht="18.75">
      <c r="A538" s="122" t="s">
        <v>42</v>
      </c>
      <c r="B538" s="123"/>
      <c r="C538" s="122" t="s">
        <v>43</v>
      </c>
      <c r="D538" s="123"/>
      <c r="E538" s="123"/>
      <c r="F538" s="22" t="s">
        <v>44</v>
      </c>
      <c r="G538" s="122" t="s">
        <v>45</v>
      </c>
      <c r="H538" s="123"/>
      <c r="I538" s="122" t="s">
        <v>46</v>
      </c>
      <c r="J538" s="123"/>
    </row>
    <row r="539" spans="1:10" ht="14.25" customHeight="1">
      <c r="A539" s="23"/>
      <c r="B539" s="24"/>
      <c r="C539" s="124" t="s">
        <v>47</v>
      </c>
      <c r="D539" s="125"/>
      <c r="E539" s="24"/>
      <c r="F539" s="124" t="s">
        <v>29</v>
      </c>
      <c r="G539" s="125"/>
      <c r="H539" s="125"/>
      <c r="I539" s="125"/>
      <c r="J539" s="125"/>
    </row>
    <row r="540" spans="1:10">
      <c r="A540" s="25"/>
      <c r="C540" s="19"/>
      <c r="D540" s="19"/>
      <c r="E540" s="19"/>
    </row>
    <row r="541" spans="1:10" ht="14.25" customHeight="1">
      <c r="A541" s="118" t="s">
        <v>48</v>
      </c>
      <c r="B541" s="119"/>
      <c r="C541" s="118" t="s">
        <v>49</v>
      </c>
      <c r="D541" s="119"/>
      <c r="E541" s="119"/>
      <c r="F541" s="18" t="s">
        <v>27</v>
      </c>
      <c r="G541" s="120">
        <v>200</v>
      </c>
      <c r="H541" s="119"/>
      <c r="I541" s="120">
        <v>2</v>
      </c>
      <c r="J541" s="119"/>
    </row>
    <row r="542" spans="1:10" ht="24.95" customHeight="1">
      <c r="A542" s="121" t="s">
        <v>50</v>
      </c>
      <c r="B542" s="119"/>
      <c r="C542" s="118"/>
      <c r="D542" s="119"/>
      <c r="E542" s="119"/>
      <c r="F542" s="118"/>
      <c r="G542" s="119"/>
      <c r="H542" s="119"/>
      <c r="I542" s="119"/>
      <c r="J542" s="119"/>
    </row>
    <row r="543" spans="1:10" ht="14.25" customHeight="1">
      <c r="A543" s="118" t="s">
        <v>88</v>
      </c>
      <c r="B543" s="119"/>
      <c r="C543" s="118" t="s">
        <v>89</v>
      </c>
      <c r="D543" s="119"/>
      <c r="E543" s="119"/>
      <c r="F543" s="18" t="s">
        <v>36</v>
      </c>
      <c r="G543" s="120">
        <v>4</v>
      </c>
      <c r="H543" s="119"/>
      <c r="I543" s="120">
        <v>0.04</v>
      </c>
      <c r="J543" s="119"/>
    </row>
    <row r="544" spans="1:10" ht="24.95" customHeight="1">
      <c r="A544" s="121" t="s">
        <v>90</v>
      </c>
      <c r="B544" s="119"/>
      <c r="C544" s="118" t="s">
        <v>91</v>
      </c>
      <c r="D544" s="119"/>
      <c r="E544" s="119"/>
      <c r="F544" s="118"/>
      <c r="G544" s="119"/>
      <c r="H544" s="119"/>
      <c r="I544" s="119"/>
      <c r="J544" s="119"/>
    </row>
    <row r="545" spans="1:14" ht="14.25" customHeight="1">
      <c r="A545" s="118" t="s">
        <v>100</v>
      </c>
      <c r="B545" s="119"/>
      <c r="C545" s="118" t="s">
        <v>57</v>
      </c>
      <c r="D545" s="119"/>
      <c r="E545" s="119"/>
      <c r="F545" s="18"/>
      <c r="G545" s="120">
        <v>44</v>
      </c>
      <c r="H545" s="119"/>
      <c r="I545" s="120">
        <v>0.44</v>
      </c>
      <c r="J545" s="119"/>
    </row>
    <row r="546" spans="1:14" ht="24.95" customHeight="1">
      <c r="A546" s="121" t="s">
        <v>101</v>
      </c>
      <c r="B546" s="119"/>
      <c r="C546" s="118" t="s">
        <v>102</v>
      </c>
      <c r="D546" s="119"/>
      <c r="E546" s="119"/>
      <c r="F546" s="118"/>
      <c r="G546" s="119"/>
      <c r="H546" s="119"/>
      <c r="I546" s="119"/>
      <c r="J546" s="119"/>
    </row>
    <row r="547" spans="1:14" ht="14.25" customHeight="1">
      <c r="A547" s="118" t="s">
        <v>60</v>
      </c>
      <c r="B547" s="119"/>
      <c r="C547" s="118" t="s">
        <v>61</v>
      </c>
      <c r="D547" s="119"/>
      <c r="E547" s="119"/>
      <c r="F547" s="18"/>
      <c r="G547" s="120">
        <v>0.4</v>
      </c>
      <c r="H547" s="119"/>
      <c r="I547" s="120">
        <v>4.0000000000000001E-3</v>
      </c>
      <c r="J547" s="119"/>
    </row>
    <row r="548" spans="1:14" ht="24.95" customHeight="1">
      <c r="A548" s="121" t="s">
        <v>62</v>
      </c>
      <c r="B548" s="119"/>
      <c r="C548" s="118" t="s">
        <v>63</v>
      </c>
      <c r="D548" s="119"/>
      <c r="E548" s="119"/>
      <c r="F548" s="118"/>
      <c r="G548" s="119"/>
      <c r="H548" s="119"/>
      <c r="I548" s="119"/>
      <c r="J548" s="119"/>
    </row>
    <row r="549" spans="1:14" ht="14.25" customHeight="1">
      <c r="A549" s="118"/>
      <c r="B549" s="119"/>
      <c r="C549" s="118"/>
      <c r="D549" s="119"/>
      <c r="E549" s="119"/>
      <c r="F549" s="18"/>
      <c r="G549" s="120"/>
      <c r="H549" s="119"/>
      <c r="I549" s="120"/>
      <c r="J549" s="119"/>
    </row>
    <row r="550" spans="1:14" ht="24.95" customHeight="1" thickBot="1">
      <c r="A550" s="121"/>
      <c r="B550" s="119"/>
      <c r="C550" s="118"/>
      <c r="D550" s="119"/>
      <c r="E550" s="119"/>
      <c r="F550" s="118"/>
      <c r="G550" s="119"/>
      <c r="H550" s="119"/>
      <c r="I550" s="119"/>
      <c r="J550" s="119"/>
    </row>
    <row r="551" spans="1:14" s="15" customFormat="1" ht="18" customHeight="1">
      <c r="A551" s="27" t="s">
        <v>143</v>
      </c>
      <c r="B551" s="28" t="s">
        <v>144</v>
      </c>
      <c r="C551" s="108" t="s">
        <v>145</v>
      </c>
      <c r="D551" s="109"/>
      <c r="E551" s="29" t="s">
        <v>146</v>
      </c>
      <c r="F551" s="30" t="s">
        <v>147</v>
      </c>
      <c r="G551" s="31" t="s">
        <v>148</v>
      </c>
      <c r="H551" s="32" t="s">
        <v>149</v>
      </c>
      <c r="I551" s="106" t="s">
        <v>150</v>
      </c>
      <c r="J551" s="107"/>
    </row>
    <row r="552" spans="1:14" s="19" customFormat="1" ht="18" customHeight="1">
      <c r="A552" s="33" t="str">
        <f>_xlfn.XLOOKUP(B516,[3]VFDB2!$A:$A,[3]VFDB2!$J:$J)</f>
        <v>〇</v>
      </c>
      <c r="B552" s="34">
        <f>D516</f>
        <v>888</v>
      </c>
      <c r="C552" s="110" t="str">
        <f>_xlfn.XLOOKUP(B516,[3]VFDB2!$A:$A,[3]VFDB2!$Z:$Z)</f>
        <v>LED-A888</v>
      </c>
      <c r="D552" s="111"/>
      <c r="E552" s="112" t="str" cm="1">
        <f t="array" ref="E552">IFERROR(INDEX(_xlfn._xlws.FILTER([4]加工記録２!C:C,[4]加工記録２!U:U=B518),9),"")</f>
        <v/>
      </c>
      <c r="F552" s="35" t="str" cm="1">
        <f t="array" ref="F552">IFERROR("切断加工：" &amp;_xlfn.TEXTJOIN(" / ",TRUE,INDEX(_xlfn._xlws.FILTER([4]加工記録２!M:M,[4]加工記録２!U:U=B518),9),INDEX(_xlfn._xlws.FILTER([4]加工記録２!N:N,[4]加工記録２!U:U=B518),9)),"")</f>
        <v/>
      </c>
      <c r="G552" s="36" t="str" cm="1">
        <f t="array" ref="G552">IFERROR(IF(_xlfn.TAKE(_xlfn._xlws.FILTER([4]加工記録２!$M:$N,[4]加工記録２!$U:$U=B518),5)=0,"",_xlfn.TAKE(_xlfn._xlws.FILTER([4]加工記録２!$M:$N,[4]加工記録２!$U:$U=B518),5)),"")</f>
        <v/>
      </c>
      <c r="H552" s="37"/>
      <c r="I552" s="38" t="s">
        <v>151</v>
      </c>
      <c r="J552" s="39" t="str" cm="1">
        <f t="array" ref="J552:J557">IFERROR(INDEX(_xlfn._xlws.FILTER([4]加工記録２!P:P, [4]加工記録２!U:U=B518),_xlfn.SEQUENCE(6)),"")</f>
        <v/>
      </c>
    </row>
    <row r="553" spans="1:14" s="15" customFormat="1" ht="18" customHeight="1">
      <c r="A553" s="43" t="s">
        <v>152</v>
      </c>
      <c r="B553" s="44" t="s">
        <v>153</v>
      </c>
      <c r="C553" s="110"/>
      <c r="D553" s="111"/>
      <c r="E553" s="112"/>
      <c r="F553" s="45" t="str" cm="1">
        <f t="array" ref="F553">IFERROR("外観検査：" &amp;_xlfn.TEXTJOIN(" / ",TRUE,INDEX(_xlfn._xlws.FILTER([4]加工記録２!M:M,[4]加工記録２!U:U=B518),10),INDEX(_xlfn._xlws.FILTER([4]加工記録２!N:N,[4]加工記録２!U:U=B518),10)),"")</f>
        <v/>
      </c>
      <c r="G553" s="36"/>
      <c r="H553" s="37"/>
      <c r="I553" s="38" t="s">
        <v>154</v>
      </c>
      <c r="J553" s="40" t="str">
        <v/>
      </c>
      <c r="K553" s="46"/>
    </row>
    <row r="554" spans="1:14" s="19" customFormat="1" ht="18" customHeight="1">
      <c r="A554" s="47" t="str">
        <f>_xlfn.XLOOKUP(B516,[3]VFDB2!$A:$A,[3]VFDB2!$L:$L)</f>
        <v>+0.5</v>
      </c>
      <c r="B554" s="48" t="str">
        <f>_xlfn.XLOOKUP(B516,[3]VFDB2!$A:$A,[3]VFDB2!$AC:$AC)</f>
        <v>換算表確認</v>
      </c>
      <c r="C554" s="113" t="s">
        <v>155</v>
      </c>
      <c r="D554" s="114" t="str">
        <f>_xlfn.XLOOKUP(B516,[3]VFDB2!$A:$A,[3]VFDB2!$W:$W)</f>
        <v>L=888用　クラフト紙</v>
      </c>
      <c r="E554" s="114"/>
      <c r="F554" s="115"/>
      <c r="G554" s="36"/>
      <c r="H554" s="37"/>
      <c r="I554" s="38" t="s">
        <v>156</v>
      </c>
      <c r="J554" s="40" t="str">
        <v/>
      </c>
      <c r="K554" s="49"/>
    </row>
    <row r="555" spans="1:14" s="15" customFormat="1" ht="18" customHeight="1">
      <c r="A555" s="50" t="s">
        <v>157</v>
      </c>
      <c r="B555" s="51" t="s">
        <v>158</v>
      </c>
      <c r="C555" s="113"/>
      <c r="D555" s="114" t="str">
        <f>_xlfn.XLOOKUP(B516,[3]VFDB2!$A:$A,[3]VFDB2!$R:$R)</f>
        <v>ラベル１枚　長手無　鉢巻１回</v>
      </c>
      <c r="E555" s="114"/>
      <c r="F555" s="115"/>
      <c r="G555" s="36"/>
      <c r="H555" s="37"/>
      <c r="I555" s="38" t="s">
        <v>159</v>
      </c>
      <c r="J555" s="40" t="str">
        <v/>
      </c>
      <c r="K555" s="46"/>
    </row>
    <row r="556" spans="1:14" s="19" customFormat="1" ht="18" customHeight="1" thickBot="1">
      <c r="A556" s="52" t="str">
        <f>_xlfn.XLOOKUP(B516,[3]VFDB2!$A:$A,[3]VFDB2!$K:$K)</f>
        <v>－0.5</v>
      </c>
      <c r="B556" s="53">
        <f>_xlfn.XLOOKUP(B516,[3]VFDB2!$A:$A,[3]VFDB2!$P:$P)</f>
        <v>2</v>
      </c>
      <c r="C556" s="54" t="s">
        <v>160</v>
      </c>
      <c r="D556" s="116" t="str">
        <f>_xlfn.XLOOKUP(B516,[3]VFDB2!$A:$A,[3]VFDB2!$V:$V)</f>
        <v>1箱目の梱包数 目視確認　以降、重量測定</v>
      </c>
      <c r="E556" s="116"/>
      <c r="F556" s="117"/>
      <c r="G556" s="55"/>
      <c r="H556" s="56"/>
      <c r="I556" s="38" t="s">
        <v>161</v>
      </c>
      <c r="J556" s="41" t="str">
        <v/>
      </c>
      <c r="K556" s="49"/>
    </row>
    <row r="557" spans="1:14" s="15" customFormat="1" ht="18" customHeight="1" thickBot="1">
      <c r="A557" s="57" t="s">
        <v>162</v>
      </c>
      <c r="B557" s="58" t="str" cm="1">
        <f t="array" ref="B557">IF(SUM(--(ISTEXT(B558:B568)*(B558:B568&lt;&gt;"")))=0,"計測Lot","計測Lot・加工数")</f>
        <v>計測Lot</v>
      </c>
      <c r="C557" s="59" t="s">
        <v>163</v>
      </c>
      <c r="D557" s="60" t="s">
        <v>164</v>
      </c>
      <c r="E557" s="61" t="s">
        <v>165</v>
      </c>
      <c r="F557" s="62" t="str" cm="1">
        <f t="array" ref="F557">IF(SUM(--(ISTEXT(B558:B568)*(B558:B568&lt;&gt;"")))=0,"記入不要","使用Lot")</f>
        <v>記入不要</v>
      </c>
      <c r="G557" s="63" t="s">
        <v>166</v>
      </c>
      <c r="H557" s="64" t="s">
        <v>167</v>
      </c>
      <c r="I557" s="65" t="s">
        <v>168</v>
      </c>
      <c r="J557" s="42" t="str">
        <v/>
      </c>
      <c r="K557" s="46"/>
    </row>
    <row r="558" spans="1:14" s="19" customFormat="1" ht="18" customHeight="1">
      <c r="A558" s="66" t="str" cm="1">
        <f t="array" ref="A558:A568">IFERROR(INDEX(_xlfn._xlws.FILTER([4]加工記録２!$D:$D,[4]加工記録２!$U:$U=B518),_xlfn.SEQUENCE(11),0),"")</f>
        <v/>
      </c>
      <c r="B558" s="70" t="str" cm="1">
        <f t="array" ref="B558:B568">IFERROR(IF(INDEX(_xlfn._xlws.FILTER([4]加工記録２!$E:$E,[4]加工記録２!$U:$U=B518),_xlfn.SEQUENCE(11))="","",INDEX(_xlfn._xlws.FILTER([4]加工記録２!$E:$E,[4]加工記録２!$U:$U=B518),_xlfn.SEQUENCE(11)) &amp; IF(INDEX(_xlfn._xlws.FILTER([4]加工記録２!$F:$F,[4]加工記録２!$U:$U=B518),_xlfn.SEQUENCE(11))="","", " × " &amp; INDEX(_xlfn._xlws.FILTER([4]加工記録２!$F:$F,[4]加工記録２!$U:$U=B518),_xlfn.SEQUENCE(11)))),"")</f>
        <v/>
      </c>
      <c r="C558" s="73"/>
      <c r="D558" s="74"/>
      <c r="E558" s="75"/>
      <c r="F558" s="76"/>
      <c r="G558" s="77"/>
      <c r="H558" s="78"/>
      <c r="I558" s="104" t="s">
        <v>169</v>
      </c>
      <c r="J558" s="105"/>
      <c r="K558" s="79"/>
    </row>
    <row r="559" spans="1:14" s="15" customFormat="1" ht="18" customHeight="1">
      <c r="A559" s="67" t="str">
        <v/>
      </c>
      <c r="B559" s="71" t="str">
        <v/>
      </c>
      <c r="C559" s="80"/>
      <c r="D559" s="81"/>
      <c r="E559" s="82"/>
      <c r="F559" s="83"/>
      <c r="G559" s="80"/>
      <c r="H559" s="84"/>
      <c r="I559" s="85" t="s">
        <v>170</v>
      </c>
      <c r="J559" s="84" t="str" cm="1">
        <f t="array" ref="J559:J568">IFERROR(INDEX(_xlfn._xlws.FILTER([4]加工記録２!R:R, [4]加工記録２!U:U=B518),_xlfn.SEQUENCE(10)),"")</f>
        <v/>
      </c>
      <c r="K559" s="79"/>
    </row>
    <row r="560" spans="1:14" s="90" customFormat="1" ht="18.95" customHeight="1">
      <c r="A560" s="68" t="str">
        <v/>
      </c>
      <c r="B560" s="71" t="str">
        <v/>
      </c>
      <c r="C560" s="80"/>
      <c r="D560" s="81"/>
      <c r="E560" s="82"/>
      <c r="F560" s="83"/>
      <c r="G560" s="80"/>
      <c r="H560" s="84"/>
      <c r="I560" s="85" t="s">
        <v>171</v>
      </c>
      <c r="J560" s="84" t="str">
        <v/>
      </c>
      <c r="K560" s="88"/>
      <c r="L560" s="89"/>
      <c r="M560" s="89"/>
      <c r="N560" s="89"/>
    </row>
    <row r="561" spans="1:14" s="93" customFormat="1" ht="18.95" customHeight="1">
      <c r="A561" s="68" t="str">
        <v/>
      </c>
      <c r="B561" s="71" t="str">
        <v/>
      </c>
      <c r="C561" s="80"/>
      <c r="D561" s="81"/>
      <c r="E561" s="82"/>
      <c r="F561" s="83"/>
      <c r="G561" s="80"/>
      <c r="H561" s="84"/>
      <c r="I561" s="85" t="s">
        <v>172</v>
      </c>
      <c r="J561" s="84" t="str">
        <v/>
      </c>
      <c r="K561" s="91"/>
      <c r="L561" s="92"/>
      <c r="M561" s="92"/>
      <c r="N561" s="92"/>
    </row>
    <row r="562" spans="1:14" s="93" customFormat="1" ht="18.95" customHeight="1">
      <c r="A562" s="68" t="str">
        <v/>
      </c>
      <c r="B562" s="71" t="str">
        <v/>
      </c>
      <c r="C562" s="80"/>
      <c r="D562" s="81"/>
      <c r="E562" s="82"/>
      <c r="F562" s="83"/>
      <c r="G562" s="80"/>
      <c r="H562" s="84"/>
      <c r="I562" s="85" t="s">
        <v>173</v>
      </c>
      <c r="J562" s="84" t="str">
        <v/>
      </c>
      <c r="K562" s="91"/>
      <c r="L562" s="92"/>
      <c r="M562" s="92"/>
      <c r="N562" s="92"/>
    </row>
    <row r="563" spans="1:14" s="93" customFormat="1" ht="18.95" customHeight="1">
      <c r="A563" s="68" t="str">
        <v/>
      </c>
      <c r="B563" s="71" t="str">
        <v/>
      </c>
      <c r="C563" s="80"/>
      <c r="D563" s="81"/>
      <c r="E563" s="82"/>
      <c r="F563" s="83"/>
      <c r="G563" s="80"/>
      <c r="H563" s="84"/>
      <c r="I563" s="85" t="s">
        <v>174</v>
      </c>
      <c r="J563" s="84" t="str">
        <v/>
      </c>
      <c r="K563" s="91"/>
      <c r="L563" s="92"/>
      <c r="M563" s="92"/>
      <c r="N563" s="92"/>
    </row>
    <row r="564" spans="1:14" s="93" customFormat="1" ht="18.95" customHeight="1">
      <c r="A564" s="68" t="str">
        <v/>
      </c>
      <c r="B564" s="71" t="str">
        <v/>
      </c>
      <c r="C564" s="80"/>
      <c r="D564" s="81"/>
      <c r="E564" s="82"/>
      <c r="F564" s="83"/>
      <c r="G564" s="80"/>
      <c r="H564" s="84"/>
      <c r="I564" s="85" t="s">
        <v>175</v>
      </c>
      <c r="J564" s="84" t="str">
        <v/>
      </c>
      <c r="K564" s="91"/>
      <c r="L564" s="92"/>
      <c r="M564" s="92"/>
      <c r="N564" s="92"/>
    </row>
    <row r="565" spans="1:14" s="93" customFormat="1" ht="18.95" customHeight="1">
      <c r="A565" s="68" t="str">
        <v/>
      </c>
      <c r="B565" s="71" t="str">
        <v/>
      </c>
      <c r="C565" s="80"/>
      <c r="D565" s="81"/>
      <c r="E565" s="82"/>
      <c r="F565" s="83"/>
      <c r="G565" s="80"/>
      <c r="H565" s="84"/>
      <c r="I565" s="94" t="s">
        <v>176</v>
      </c>
      <c r="J565" s="84" t="str">
        <v/>
      </c>
      <c r="K565" s="91"/>
      <c r="L565" s="92"/>
      <c r="M565" s="92"/>
      <c r="N565" s="92"/>
    </row>
    <row r="566" spans="1:14" s="93" customFormat="1" ht="18.95" customHeight="1">
      <c r="A566" s="68" t="str">
        <v/>
      </c>
      <c r="B566" s="71" t="str">
        <v/>
      </c>
      <c r="C566" s="80"/>
      <c r="D566" s="81"/>
      <c r="E566" s="82"/>
      <c r="F566" s="83"/>
      <c r="G566" s="80"/>
      <c r="H566" s="84"/>
      <c r="I566" s="94" t="s">
        <v>177</v>
      </c>
      <c r="J566" s="84" t="str">
        <v/>
      </c>
      <c r="K566" s="91"/>
      <c r="L566" s="92"/>
      <c r="M566" s="92"/>
      <c r="N566" s="92"/>
    </row>
    <row r="567" spans="1:14" s="93" customFormat="1" ht="18.95" customHeight="1">
      <c r="A567" s="68" t="str">
        <v/>
      </c>
      <c r="B567" s="71" t="str">
        <v/>
      </c>
      <c r="C567" s="80"/>
      <c r="D567" s="81"/>
      <c r="E567" s="82"/>
      <c r="F567" s="83"/>
      <c r="G567" s="80"/>
      <c r="H567" s="84"/>
      <c r="I567" s="85" t="s">
        <v>178</v>
      </c>
      <c r="J567" s="86" t="str">
        <v/>
      </c>
      <c r="K567" s="91"/>
      <c r="L567" s="92"/>
      <c r="M567" s="92"/>
      <c r="N567" s="92"/>
    </row>
    <row r="568" spans="1:14" s="93" customFormat="1" ht="18.95" customHeight="1" thickBot="1">
      <c r="A568" s="69" t="str">
        <v/>
      </c>
      <c r="B568" s="72" t="str">
        <v/>
      </c>
      <c r="C568" s="95"/>
      <c r="D568" s="96"/>
      <c r="E568" s="97"/>
      <c r="F568" s="98"/>
      <c r="G568" s="99"/>
      <c r="H568" s="100"/>
      <c r="I568" s="101" t="s">
        <v>179</v>
      </c>
      <c r="J568" s="87" t="str">
        <v/>
      </c>
      <c r="K568" s="91"/>
      <c r="L568" s="92"/>
      <c r="M568" s="92"/>
      <c r="N568" s="92"/>
    </row>
    <row r="569" spans="1:14" ht="6" customHeight="1" thickBot="1">
      <c r="A569" s="102"/>
      <c r="B569" s="103"/>
      <c r="C569" s="103"/>
      <c r="D569" s="102"/>
      <c r="E569" s="103"/>
      <c r="F569" s="103"/>
      <c r="G569" s="103"/>
      <c r="H569" s="103"/>
    </row>
    <row r="570" spans="1:14" ht="6" customHeight="1" thickTop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4" ht="14.25" customHeight="1" thickBot="1">
      <c r="A571" s="1"/>
      <c r="B571" s="150" t="s">
        <v>0</v>
      </c>
      <c r="C571" s="119"/>
      <c r="D571" s="119"/>
      <c r="E571" s="1"/>
      <c r="F571" s="1"/>
      <c r="G571" s="1"/>
      <c r="H571" s="1"/>
      <c r="I571" s="1"/>
      <c r="J571" s="1"/>
    </row>
    <row r="572" spans="1:14" ht="14.25" customHeight="1" thickTop="1">
      <c r="A572" s="3"/>
      <c r="B572" s="119"/>
      <c r="C572" s="119"/>
      <c r="D572" s="119"/>
      <c r="E572" s="3"/>
      <c r="F572" s="3"/>
      <c r="G572" s="3"/>
      <c r="H572" s="3"/>
      <c r="I572" s="3"/>
      <c r="J572" s="3"/>
    </row>
    <row r="573" spans="1:14" ht="14.25" customHeight="1">
      <c r="A573" s="151" t="s">
        <v>1</v>
      </c>
      <c r="B573" s="151" t="s">
        <v>94</v>
      </c>
      <c r="C573" s="151" t="s">
        <v>3</v>
      </c>
      <c r="D573" s="152">
        <v>888</v>
      </c>
      <c r="E573" s="151" t="s">
        <v>4</v>
      </c>
      <c r="F573" s="147" t="s">
        <v>95</v>
      </c>
      <c r="G573" s="119"/>
      <c r="H573" s="119"/>
      <c r="I573" s="4" t="s">
        <v>6</v>
      </c>
      <c r="J573" s="4" t="s">
        <v>7</v>
      </c>
    </row>
    <row r="574" spans="1:14" ht="14.25" customHeight="1">
      <c r="A574" s="119"/>
      <c r="B574" s="119"/>
      <c r="C574" s="119"/>
      <c r="D574" s="119"/>
      <c r="E574" s="119"/>
      <c r="F574" s="119"/>
      <c r="G574" s="119"/>
      <c r="H574" s="119"/>
      <c r="I574" s="148"/>
      <c r="J574" s="148"/>
    </row>
    <row r="575" spans="1:14" ht="17.45" customHeight="1">
      <c r="A575" s="139" t="s">
        <v>8</v>
      </c>
      <c r="B575" s="139" t="s">
        <v>105</v>
      </c>
      <c r="E575" s="139" t="s">
        <v>10</v>
      </c>
      <c r="F575" s="140" t="s">
        <v>97</v>
      </c>
      <c r="G575" s="119"/>
      <c r="H575" s="119"/>
      <c r="I575" s="149"/>
      <c r="J575" s="149"/>
    </row>
    <row r="576" spans="1:14" ht="17.45" customHeight="1">
      <c r="A576" s="119"/>
      <c r="B576" s="119"/>
      <c r="E576" s="119"/>
      <c r="F576" s="119"/>
      <c r="G576" s="119"/>
      <c r="H576" s="119"/>
      <c r="I576" s="7"/>
      <c r="J576" s="7"/>
    </row>
    <row r="577" spans="1:10" ht="17.45" customHeight="1">
      <c r="A577" s="139" t="s">
        <v>12</v>
      </c>
      <c r="B577" s="139" t="s">
        <v>106</v>
      </c>
      <c r="E577" s="8" t="s">
        <v>14</v>
      </c>
      <c r="F577" s="140" t="s">
        <v>15</v>
      </c>
      <c r="G577" s="119"/>
      <c r="H577" s="6"/>
      <c r="I577" s="7"/>
      <c r="J577" s="7"/>
    </row>
    <row r="578" spans="1:10" ht="17.45" customHeight="1">
      <c r="A578" s="119"/>
      <c r="B578" s="119"/>
      <c r="E578" s="8" t="s">
        <v>16</v>
      </c>
      <c r="F578" s="6" t="s">
        <v>17</v>
      </c>
      <c r="G578" s="6"/>
      <c r="H578" s="6"/>
      <c r="I578" s="9"/>
      <c r="J578" s="9"/>
    </row>
    <row r="579" spans="1:10" ht="17.45" customHeight="1">
      <c r="A579" s="8" t="s">
        <v>18</v>
      </c>
      <c r="B579" s="10">
        <v>46125</v>
      </c>
      <c r="E579" s="8" t="s">
        <v>19</v>
      </c>
      <c r="F579" s="141">
        <v>100</v>
      </c>
      <c r="G579" s="119"/>
      <c r="H579" s="6"/>
    </row>
    <row r="580" spans="1:10" ht="17.45" customHeight="1">
      <c r="A580" s="8" t="s">
        <v>20</v>
      </c>
      <c r="B580" s="10">
        <v>46125</v>
      </c>
      <c r="E580" s="8" t="s">
        <v>21</v>
      </c>
      <c r="F580" s="6">
        <v>4</v>
      </c>
      <c r="G580" s="142" t="s">
        <v>22</v>
      </c>
      <c r="H580" s="144">
        <v>400</v>
      </c>
      <c r="I580" s="145"/>
      <c r="J580" s="146"/>
    </row>
    <row r="581" spans="1:10" ht="17.45" customHeight="1">
      <c r="A581" s="11"/>
      <c r="B581" s="12"/>
      <c r="C581" s="12"/>
      <c r="D581" s="12"/>
      <c r="E581" s="8" t="s">
        <v>23</v>
      </c>
      <c r="F581" s="6" t="s">
        <v>24</v>
      </c>
      <c r="G581" s="143"/>
      <c r="H581" s="143"/>
      <c r="I581" s="125"/>
      <c r="J581" s="133"/>
    </row>
    <row r="582" spans="1:10" ht="13.5" customHeight="1">
      <c r="A582" s="127" t="s">
        <v>99</v>
      </c>
      <c r="B582" s="119"/>
      <c r="C582" s="119"/>
      <c r="D582" s="12"/>
      <c r="F582" s="5"/>
      <c r="G582" s="128" t="s">
        <v>26</v>
      </c>
      <c r="H582" s="130" t="s">
        <v>27</v>
      </c>
      <c r="I582" s="131" t="s">
        <v>28</v>
      </c>
      <c r="J582" s="132"/>
    </row>
    <row r="583" spans="1:10" ht="13.5" customHeight="1">
      <c r="A583" s="119"/>
      <c r="B583" s="119"/>
      <c r="C583" s="119"/>
      <c r="D583" s="12"/>
      <c r="F583" s="5"/>
      <c r="G583" s="129"/>
      <c r="H583" s="129"/>
      <c r="I583" s="125"/>
      <c r="J583" s="133"/>
    </row>
    <row r="584" spans="1:10" ht="13.5" customHeight="1">
      <c r="A584" s="2" t="s">
        <v>29</v>
      </c>
    </row>
    <row r="585" spans="1:10" ht="63" customHeight="1" thickBot="1">
      <c r="A585" s="134"/>
      <c r="B585" s="135"/>
      <c r="C585" s="135"/>
      <c r="D585" s="135"/>
      <c r="E585" s="135"/>
      <c r="F585" s="135"/>
      <c r="G585" s="135"/>
      <c r="H585" s="135"/>
      <c r="I585" s="135"/>
      <c r="J585" s="135"/>
    </row>
    <row r="586" spans="1:10" ht="18.75">
      <c r="A586" s="13" t="s">
        <v>30</v>
      </c>
      <c r="B586" s="14" t="s">
        <v>31</v>
      </c>
      <c r="C586" s="136" t="s">
        <v>32</v>
      </c>
      <c r="D586" s="137"/>
      <c r="E586" s="14" t="s">
        <v>33</v>
      </c>
      <c r="F586" s="136" t="s">
        <v>34</v>
      </c>
      <c r="G586" s="137"/>
      <c r="H586" s="137"/>
      <c r="I586" s="138" t="s">
        <v>35</v>
      </c>
      <c r="J586" s="137"/>
    </row>
    <row r="587" spans="1:10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 spans="1:10" ht="16.5" customHeight="1">
      <c r="A588" s="17">
        <v>1</v>
      </c>
      <c r="B588" s="18" t="s">
        <v>36</v>
      </c>
      <c r="C588" s="118" t="s">
        <v>37</v>
      </c>
      <c r="D588" s="119"/>
      <c r="E588" s="18" t="s">
        <v>38</v>
      </c>
      <c r="F588" s="118" t="s">
        <v>39</v>
      </c>
      <c r="G588" s="119"/>
      <c r="H588" s="119"/>
      <c r="I588" s="126"/>
      <c r="J588" s="119"/>
    </row>
    <row r="589" spans="1:10" ht="16.5" customHeight="1">
      <c r="A589" s="17">
        <v>1</v>
      </c>
      <c r="B589" s="20" t="s">
        <v>36</v>
      </c>
      <c r="C589" s="118" t="s">
        <v>37</v>
      </c>
      <c r="D589" s="119"/>
      <c r="E589" s="18" t="s">
        <v>40</v>
      </c>
      <c r="F589" s="118" t="s">
        <v>41</v>
      </c>
      <c r="G589" s="119"/>
      <c r="H589" s="119"/>
      <c r="I589" s="126"/>
      <c r="J589" s="119"/>
    </row>
    <row r="590" spans="1:10" ht="16.5" customHeight="1">
      <c r="A590" s="17"/>
      <c r="B590" s="20"/>
      <c r="C590" s="118"/>
      <c r="D590" s="119"/>
      <c r="E590" s="18"/>
      <c r="F590" s="118"/>
      <c r="G590" s="119"/>
      <c r="H590" s="119"/>
      <c r="I590" s="126"/>
      <c r="J590" s="119"/>
    </row>
    <row r="591" spans="1:10" ht="16.5" customHeight="1">
      <c r="A591" s="17"/>
      <c r="B591" s="20"/>
      <c r="C591" s="118"/>
      <c r="D591" s="119"/>
      <c r="E591" s="18"/>
      <c r="F591" s="118"/>
      <c r="G591" s="119"/>
      <c r="H591" s="119"/>
      <c r="I591" s="126"/>
      <c r="J591" s="119"/>
    </row>
    <row r="592" spans="1:10" ht="16.5" customHeight="1">
      <c r="A592" s="17"/>
      <c r="B592" s="20"/>
      <c r="C592" s="118"/>
      <c r="D592" s="119"/>
      <c r="E592" s="18"/>
      <c r="F592" s="118"/>
      <c r="G592" s="119"/>
      <c r="H592" s="119"/>
      <c r="I592" s="126"/>
      <c r="J592" s="119"/>
    </row>
    <row r="593" spans="1:10" ht="16.5" customHeight="1">
      <c r="A593" s="17"/>
      <c r="B593" s="20"/>
      <c r="C593" s="118"/>
      <c r="D593" s="119"/>
      <c r="E593" s="18"/>
      <c r="F593" s="118"/>
      <c r="G593" s="119"/>
      <c r="H593" s="119"/>
      <c r="I593" s="126"/>
      <c r="J593" s="119"/>
    </row>
    <row r="594" spans="1:10" ht="16.5" customHeight="1" thickBo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spans="1:10" ht="18.75">
      <c r="A595" s="122" t="s">
        <v>42</v>
      </c>
      <c r="B595" s="123"/>
      <c r="C595" s="122" t="s">
        <v>43</v>
      </c>
      <c r="D595" s="123"/>
      <c r="E595" s="123"/>
      <c r="F595" s="22" t="s">
        <v>44</v>
      </c>
      <c r="G595" s="122" t="s">
        <v>45</v>
      </c>
      <c r="H595" s="123"/>
      <c r="I595" s="122" t="s">
        <v>46</v>
      </c>
      <c r="J595" s="123"/>
    </row>
    <row r="596" spans="1:10" ht="14.25" customHeight="1">
      <c r="A596" s="23"/>
      <c r="B596" s="24"/>
      <c r="C596" s="124" t="s">
        <v>47</v>
      </c>
      <c r="D596" s="125"/>
      <c r="E596" s="24"/>
      <c r="F596" s="124" t="s">
        <v>29</v>
      </c>
      <c r="G596" s="125"/>
      <c r="H596" s="125"/>
      <c r="I596" s="125"/>
      <c r="J596" s="125"/>
    </row>
    <row r="597" spans="1:10">
      <c r="A597" s="25"/>
      <c r="C597" s="19"/>
      <c r="D597" s="19"/>
      <c r="E597" s="19"/>
    </row>
    <row r="598" spans="1:10" ht="14.25" customHeight="1">
      <c r="A598" s="118" t="s">
        <v>48</v>
      </c>
      <c r="B598" s="119"/>
      <c r="C598" s="118" t="s">
        <v>49</v>
      </c>
      <c r="D598" s="119"/>
      <c r="E598" s="119"/>
      <c r="F598" s="18" t="s">
        <v>27</v>
      </c>
      <c r="G598" s="120">
        <v>200</v>
      </c>
      <c r="H598" s="119"/>
      <c r="I598" s="120">
        <v>2</v>
      </c>
      <c r="J598" s="119"/>
    </row>
    <row r="599" spans="1:10" ht="24.95" customHeight="1">
      <c r="A599" s="121" t="s">
        <v>50</v>
      </c>
      <c r="B599" s="119"/>
      <c r="C599" s="118"/>
      <c r="D599" s="119"/>
      <c r="E599" s="119"/>
      <c r="F599" s="118"/>
      <c r="G599" s="119"/>
      <c r="H599" s="119"/>
      <c r="I599" s="119"/>
      <c r="J599" s="119"/>
    </row>
    <row r="600" spans="1:10" ht="14.25" customHeight="1">
      <c r="A600" s="118" t="s">
        <v>88</v>
      </c>
      <c r="B600" s="119"/>
      <c r="C600" s="118" t="s">
        <v>89</v>
      </c>
      <c r="D600" s="119"/>
      <c r="E600" s="119"/>
      <c r="F600" s="18" t="s">
        <v>36</v>
      </c>
      <c r="G600" s="120">
        <v>4</v>
      </c>
      <c r="H600" s="119"/>
      <c r="I600" s="120">
        <v>0.04</v>
      </c>
      <c r="J600" s="119"/>
    </row>
    <row r="601" spans="1:10" ht="24.95" customHeight="1">
      <c r="A601" s="121" t="s">
        <v>90</v>
      </c>
      <c r="B601" s="119"/>
      <c r="C601" s="118" t="s">
        <v>91</v>
      </c>
      <c r="D601" s="119"/>
      <c r="E601" s="119"/>
      <c r="F601" s="118"/>
      <c r="G601" s="119"/>
      <c r="H601" s="119"/>
      <c r="I601" s="119"/>
      <c r="J601" s="119"/>
    </row>
    <row r="602" spans="1:10" ht="14.25" customHeight="1">
      <c r="A602" s="118" t="s">
        <v>100</v>
      </c>
      <c r="B602" s="119"/>
      <c r="C602" s="118" t="s">
        <v>57</v>
      </c>
      <c r="D602" s="119"/>
      <c r="E602" s="119"/>
      <c r="F602" s="18"/>
      <c r="G602" s="120">
        <v>44</v>
      </c>
      <c r="H602" s="119"/>
      <c r="I602" s="120">
        <v>0.44</v>
      </c>
      <c r="J602" s="119"/>
    </row>
    <row r="603" spans="1:10" ht="24.95" customHeight="1">
      <c r="A603" s="121" t="s">
        <v>101</v>
      </c>
      <c r="B603" s="119"/>
      <c r="C603" s="118" t="s">
        <v>102</v>
      </c>
      <c r="D603" s="119"/>
      <c r="E603" s="119"/>
      <c r="F603" s="118"/>
      <c r="G603" s="119"/>
      <c r="H603" s="119"/>
      <c r="I603" s="119"/>
      <c r="J603" s="119"/>
    </row>
    <row r="604" spans="1:10" ht="14.25" customHeight="1">
      <c r="A604" s="118" t="s">
        <v>60</v>
      </c>
      <c r="B604" s="119"/>
      <c r="C604" s="118" t="s">
        <v>61</v>
      </c>
      <c r="D604" s="119"/>
      <c r="E604" s="119"/>
      <c r="F604" s="18"/>
      <c r="G604" s="120">
        <v>0.4</v>
      </c>
      <c r="H604" s="119"/>
      <c r="I604" s="120">
        <v>4.0000000000000001E-3</v>
      </c>
      <c r="J604" s="119"/>
    </row>
    <row r="605" spans="1:10" ht="24.95" customHeight="1">
      <c r="A605" s="121" t="s">
        <v>62</v>
      </c>
      <c r="B605" s="119"/>
      <c r="C605" s="118" t="s">
        <v>63</v>
      </c>
      <c r="D605" s="119"/>
      <c r="E605" s="119"/>
      <c r="F605" s="118"/>
      <c r="G605" s="119"/>
      <c r="H605" s="119"/>
      <c r="I605" s="119"/>
      <c r="J605" s="119"/>
    </row>
    <row r="606" spans="1:10" ht="14.25" customHeight="1">
      <c r="A606" s="118"/>
      <c r="B606" s="119"/>
      <c r="C606" s="118"/>
      <c r="D606" s="119"/>
      <c r="E606" s="119"/>
      <c r="F606" s="18"/>
      <c r="G606" s="120"/>
      <c r="H606" s="119"/>
      <c r="I606" s="120"/>
      <c r="J606" s="119"/>
    </row>
    <row r="607" spans="1:10" ht="24.95" customHeight="1" thickBot="1">
      <c r="A607" s="121"/>
      <c r="B607" s="119"/>
      <c r="C607" s="118"/>
      <c r="D607" s="119"/>
      <c r="E607" s="119"/>
      <c r="F607" s="118"/>
      <c r="G607" s="119"/>
      <c r="H607" s="119"/>
      <c r="I607" s="119"/>
      <c r="J607" s="119"/>
    </row>
    <row r="608" spans="1:10" s="15" customFormat="1" ht="18" customHeight="1">
      <c r="A608" s="27" t="s">
        <v>143</v>
      </c>
      <c r="B608" s="28" t="s">
        <v>144</v>
      </c>
      <c r="C608" s="108" t="s">
        <v>145</v>
      </c>
      <c r="D608" s="109"/>
      <c r="E608" s="29" t="s">
        <v>146</v>
      </c>
      <c r="F608" s="30" t="s">
        <v>147</v>
      </c>
      <c r="G608" s="31" t="s">
        <v>148</v>
      </c>
      <c r="H608" s="32" t="s">
        <v>149</v>
      </c>
      <c r="I608" s="106" t="s">
        <v>150</v>
      </c>
      <c r="J608" s="107"/>
    </row>
    <row r="609" spans="1:14" s="19" customFormat="1" ht="18" customHeight="1">
      <c r="A609" s="33" t="str">
        <f>_xlfn.XLOOKUP(B573,[3]VFDB2!$A:$A,[3]VFDB2!$J:$J)</f>
        <v>〇</v>
      </c>
      <c r="B609" s="34">
        <f>D573</f>
        <v>888</v>
      </c>
      <c r="C609" s="110" t="str">
        <f>_xlfn.XLOOKUP(B573,[3]VFDB2!$A:$A,[3]VFDB2!$Z:$Z)</f>
        <v>LED-A888</v>
      </c>
      <c r="D609" s="111"/>
      <c r="E609" s="112" t="str" cm="1">
        <f t="array" ref="E609">IFERROR(INDEX(_xlfn._xlws.FILTER([4]加工記録２!C:C,[4]加工記録２!U:U=B575),9),"")</f>
        <v/>
      </c>
      <c r="F609" s="35" t="str" cm="1">
        <f t="array" ref="F609">IFERROR("切断加工：" &amp;_xlfn.TEXTJOIN(" / ",TRUE,INDEX(_xlfn._xlws.FILTER([4]加工記録２!M:M,[4]加工記録２!U:U=B575),9),INDEX(_xlfn._xlws.FILTER([4]加工記録２!N:N,[4]加工記録２!U:U=B575),9)),"")</f>
        <v/>
      </c>
      <c r="G609" s="36" t="str" cm="1">
        <f t="array" ref="G609">IFERROR(IF(_xlfn.TAKE(_xlfn._xlws.FILTER([4]加工記録２!$M:$N,[4]加工記録２!$U:$U=B575),5)=0,"",_xlfn.TAKE(_xlfn._xlws.FILTER([4]加工記録２!$M:$N,[4]加工記録２!$U:$U=B575),5)),"")</f>
        <v/>
      </c>
      <c r="H609" s="37"/>
      <c r="I609" s="38" t="s">
        <v>151</v>
      </c>
      <c r="J609" s="39" t="str" cm="1">
        <f t="array" ref="J609:J614">IFERROR(INDEX(_xlfn._xlws.FILTER([4]加工記録２!P:P, [4]加工記録２!U:U=B575),_xlfn.SEQUENCE(6)),"")</f>
        <v/>
      </c>
    </row>
    <row r="610" spans="1:14" s="15" customFormat="1" ht="18" customHeight="1">
      <c r="A610" s="43" t="s">
        <v>152</v>
      </c>
      <c r="B610" s="44" t="s">
        <v>153</v>
      </c>
      <c r="C610" s="110"/>
      <c r="D610" s="111"/>
      <c r="E610" s="112"/>
      <c r="F610" s="45" t="str" cm="1">
        <f t="array" ref="F610">IFERROR("外観検査：" &amp;_xlfn.TEXTJOIN(" / ",TRUE,INDEX(_xlfn._xlws.FILTER([4]加工記録２!M:M,[4]加工記録２!U:U=B575),10),INDEX(_xlfn._xlws.FILTER([4]加工記録２!N:N,[4]加工記録２!U:U=B575),10)),"")</f>
        <v/>
      </c>
      <c r="G610" s="36"/>
      <c r="H610" s="37"/>
      <c r="I610" s="38" t="s">
        <v>154</v>
      </c>
      <c r="J610" s="40" t="str">
        <v/>
      </c>
      <c r="K610" s="46"/>
    </row>
    <row r="611" spans="1:14" s="19" customFormat="1" ht="18" customHeight="1">
      <c r="A611" s="47" t="str">
        <f>_xlfn.XLOOKUP(B573,[3]VFDB2!$A:$A,[3]VFDB2!$L:$L)</f>
        <v>+0.5</v>
      </c>
      <c r="B611" s="48" t="str">
        <f>_xlfn.XLOOKUP(B573,[3]VFDB2!$A:$A,[3]VFDB2!$AC:$AC)</f>
        <v>換算表確認</v>
      </c>
      <c r="C611" s="113" t="s">
        <v>155</v>
      </c>
      <c r="D611" s="114" t="str">
        <f>_xlfn.XLOOKUP(B573,[3]VFDB2!$A:$A,[3]VFDB2!$W:$W)</f>
        <v>L=888用　クラフト紙</v>
      </c>
      <c r="E611" s="114"/>
      <c r="F611" s="115"/>
      <c r="G611" s="36"/>
      <c r="H611" s="37"/>
      <c r="I611" s="38" t="s">
        <v>156</v>
      </c>
      <c r="J611" s="40" t="str">
        <v/>
      </c>
      <c r="K611" s="49"/>
    </row>
    <row r="612" spans="1:14" s="15" customFormat="1" ht="18" customHeight="1">
      <c r="A612" s="50" t="s">
        <v>157</v>
      </c>
      <c r="B612" s="51" t="s">
        <v>158</v>
      </c>
      <c r="C612" s="113"/>
      <c r="D612" s="114" t="str">
        <f>_xlfn.XLOOKUP(B573,[3]VFDB2!$A:$A,[3]VFDB2!$R:$R)</f>
        <v>ラベル１枚　長手無　鉢巻１回</v>
      </c>
      <c r="E612" s="114"/>
      <c r="F612" s="115"/>
      <c r="G612" s="36"/>
      <c r="H612" s="37"/>
      <c r="I612" s="38" t="s">
        <v>159</v>
      </c>
      <c r="J612" s="40" t="str">
        <v/>
      </c>
      <c r="K612" s="46"/>
    </row>
    <row r="613" spans="1:14" s="19" customFormat="1" ht="18" customHeight="1" thickBot="1">
      <c r="A613" s="52" t="str">
        <f>_xlfn.XLOOKUP(B573,[3]VFDB2!$A:$A,[3]VFDB2!$K:$K)</f>
        <v>－0.5</v>
      </c>
      <c r="B613" s="53">
        <f>_xlfn.XLOOKUP(B573,[3]VFDB2!$A:$A,[3]VFDB2!$P:$P)</f>
        <v>2</v>
      </c>
      <c r="C613" s="54" t="s">
        <v>160</v>
      </c>
      <c r="D613" s="116" t="str">
        <f>_xlfn.XLOOKUP(B573,[3]VFDB2!$A:$A,[3]VFDB2!$V:$V)</f>
        <v>1箱目の梱包数 目視確認　以降、重量測定</v>
      </c>
      <c r="E613" s="116"/>
      <c r="F613" s="117"/>
      <c r="G613" s="55"/>
      <c r="H613" s="56"/>
      <c r="I613" s="38" t="s">
        <v>161</v>
      </c>
      <c r="J613" s="41" t="str">
        <v/>
      </c>
      <c r="K613" s="49"/>
    </row>
    <row r="614" spans="1:14" s="15" customFormat="1" ht="18" customHeight="1" thickBot="1">
      <c r="A614" s="57" t="s">
        <v>162</v>
      </c>
      <c r="B614" s="58" t="str" cm="1">
        <f t="array" ref="B614">IF(SUM(--(ISTEXT(B615:B625)*(B615:B625&lt;&gt;"")))=0,"計測Lot","計測Lot・加工数")</f>
        <v>計測Lot</v>
      </c>
      <c r="C614" s="59" t="s">
        <v>163</v>
      </c>
      <c r="D614" s="60" t="s">
        <v>164</v>
      </c>
      <c r="E614" s="61" t="s">
        <v>165</v>
      </c>
      <c r="F614" s="62" t="str" cm="1">
        <f t="array" ref="F614">IF(SUM(--(ISTEXT(B615:B625)*(B615:B625&lt;&gt;"")))=0,"記入不要","使用Lot")</f>
        <v>記入不要</v>
      </c>
      <c r="G614" s="63" t="s">
        <v>166</v>
      </c>
      <c r="H614" s="64" t="s">
        <v>167</v>
      </c>
      <c r="I614" s="65" t="s">
        <v>168</v>
      </c>
      <c r="J614" s="42" t="str">
        <v/>
      </c>
      <c r="K614" s="46"/>
    </row>
    <row r="615" spans="1:14" s="19" customFormat="1" ht="18" customHeight="1">
      <c r="A615" s="66" t="str" cm="1">
        <f t="array" ref="A615:A625">IFERROR(INDEX(_xlfn._xlws.FILTER([4]加工記録２!$D:$D,[4]加工記録２!$U:$U=B575),_xlfn.SEQUENCE(11),0),"")</f>
        <v/>
      </c>
      <c r="B615" s="70" t="str" cm="1">
        <f t="array" ref="B615:B625">IFERROR(IF(INDEX(_xlfn._xlws.FILTER([4]加工記録２!$E:$E,[4]加工記録２!$U:$U=B575),_xlfn.SEQUENCE(11))="","",INDEX(_xlfn._xlws.FILTER([4]加工記録２!$E:$E,[4]加工記録２!$U:$U=B575),_xlfn.SEQUENCE(11)) &amp; IF(INDEX(_xlfn._xlws.FILTER([4]加工記録２!$F:$F,[4]加工記録２!$U:$U=B575),_xlfn.SEQUENCE(11))="","", " × " &amp; INDEX(_xlfn._xlws.FILTER([4]加工記録２!$F:$F,[4]加工記録２!$U:$U=B575),_xlfn.SEQUENCE(11)))),"")</f>
        <v/>
      </c>
      <c r="C615" s="73"/>
      <c r="D615" s="74"/>
      <c r="E615" s="75"/>
      <c r="F615" s="76"/>
      <c r="G615" s="77"/>
      <c r="H615" s="78"/>
      <c r="I615" s="104" t="s">
        <v>169</v>
      </c>
      <c r="J615" s="105"/>
      <c r="K615" s="79"/>
    </row>
    <row r="616" spans="1:14" s="15" customFormat="1" ht="18" customHeight="1">
      <c r="A616" s="67" t="str">
        <v/>
      </c>
      <c r="B616" s="71" t="str">
        <v/>
      </c>
      <c r="C616" s="80"/>
      <c r="D616" s="81"/>
      <c r="E616" s="82"/>
      <c r="F616" s="83"/>
      <c r="G616" s="80"/>
      <c r="H616" s="84"/>
      <c r="I616" s="85" t="s">
        <v>170</v>
      </c>
      <c r="J616" s="84" t="str" cm="1">
        <f t="array" ref="J616:J625">IFERROR(INDEX(_xlfn._xlws.FILTER([4]加工記録２!R:R, [4]加工記録２!U:U=B575),_xlfn.SEQUENCE(10)),"")</f>
        <v/>
      </c>
      <c r="K616" s="79"/>
    </row>
    <row r="617" spans="1:14" s="90" customFormat="1" ht="18.95" customHeight="1">
      <c r="A617" s="68" t="str">
        <v/>
      </c>
      <c r="B617" s="71" t="str">
        <v/>
      </c>
      <c r="C617" s="80"/>
      <c r="D617" s="81"/>
      <c r="E617" s="82"/>
      <c r="F617" s="83"/>
      <c r="G617" s="80"/>
      <c r="H617" s="84"/>
      <c r="I617" s="85" t="s">
        <v>171</v>
      </c>
      <c r="J617" s="84" t="str">
        <v/>
      </c>
      <c r="K617" s="88"/>
      <c r="L617" s="89"/>
      <c r="M617" s="89"/>
      <c r="N617" s="89"/>
    </row>
    <row r="618" spans="1:14" s="93" customFormat="1" ht="18.95" customHeight="1">
      <c r="A618" s="68" t="str">
        <v/>
      </c>
      <c r="B618" s="71" t="str">
        <v/>
      </c>
      <c r="C618" s="80"/>
      <c r="D618" s="81"/>
      <c r="E618" s="82"/>
      <c r="F618" s="83"/>
      <c r="G618" s="80"/>
      <c r="H618" s="84"/>
      <c r="I618" s="85" t="s">
        <v>172</v>
      </c>
      <c r="J618" s="84" t="str">
        <v/>
      </c>
      <c r="K618" s="91"/>
      <c r="L618" s="92"/>
      <c r="M618" s="92"/>
      <c r="N618" s="92"/>
    </row>
    <row r="619" spans="1:14" s="93" customFormat="1" ht="18.95" customHeight="1">
      <c r="A619" s="68" t="str">
        <v/>
      </c>
      <c r="B619" s="71" t="str">
        <v/>
      </c>
      <c r="C619" s="80"/>
      <c r="D619" s="81"/>
      <c r="E619" s="82"/>
      <c r="F619" s="83"/>
      <c r="G619" s="80"/>
      <c r="H619" s="84"/>
      <c r="I619" s="85" t="s">
        <v>173</v>
      </c>
      <c r="J619" s="84" t="str">
        <v/>
      </c>
      <c r="K619" s="91"/>
      <c r="L619" s="92"/>
      <c r="M619" s="92"/>
      <c r="N619" s="92"/>
    </row>
    <row r="620" spans="1:14" s="93" customFormat="1" ht="18.95" customHeight="1">
      <c r="A620" s="68" t="str">
        <v/>
      </c>
      <c r="B620" s="71" t="str">
        <v/>
      </c>
      <c r="C620" s="80"/>
      <c r="D620" s="81"/>
      <c r="E620" s="82"/>
      <c r="F620" s="83"/>
      <c r="G620" s="80"/>
      <c r="H620" s="84"/>
      <c r="I620" s="85" t="s">
        <v>174</v>
      </c>
      <c r="J620" s="84" t="str">
        <v/>
      </c>
      <c r="K620" s="91"/>
      <c r="L620" s="92"/>
      <c r="M620" s="92"/>
      <c r="N620" s="92"/>
    </row>
    <row r="621" spans="1:14" s="93" customFormat="1" ht="18.95" customHeight="1">
      <c r="A621" s="68" t="str">
        <v/>
      </c>
      <c r="B621" s="71" t="str">
        <v/>
      </c>
      <c r="C621" s="80"/>
      <c r="D621" s="81"/>
      <c r="E621" s="82"/>
      <c r="F621" s="83"/>
      <c r="G621" s="80"/>
      <c r="H621" s="84"/>
      <c r="I621" s="85" t="s">
        <v>175</v>
      </c>
      <c r="J621" s="84" t="str">
        <v/>
      </c>
      <c r="K621" s="91"/>
      <c r="L621" s="92"/>
      <c r="M621" s="92"/>
      <c r="N621" s="92"/>
    </row>
    <row r="622" spans="1:14" s="93" customFormat="1" ht="18.95" customHeight="1">
      <c r="A622" s="68" t="str">
        <v/>
      </c>
      <c r="B622" s="71" t="str">
        <v/>
      </c>
      <c r="C622" s="80"/>
      <c r="D622" s="81"/>
      <c r="E622" s="82"/>
      <c r="F622" s="83"/>
      <c r="G622" s="80"/>
      <c r="H622" s="84"/>
      <c r="I622" s="94" t="s">
        <v>176</v>
      </c>
      <c r="J622" s="84" t="str">
        <v/>
      </c>
      <c r="K622" s="91"/>
      <c r="L622" s="92"/>
      <c r="M622" s="92"/>
      <c r="N622" s="92"/>
    </row>
    <row r="623" spans="1:14" s="93" customFormat="1" ht="18.95" customHeight="1">
      <c r="A623" s="68" t="str">
        <v/>
      </c>
      <c r="B623" s="71" t="str">
        <v/>
      </c>
      <c r="C623" s="80"/>
      <c r="D623" s="81"/>
      <c r="E623" s="82"/>
      <c r="F623" s="83"/>
      <c r="G623" s="80"/>
      <c r="H623" s="84"/>
      <c r="I623" s="94" t="s">
        <v>177</v>
      </c>
      <c r="J623" s="84" t="str">
        <v/>
      </c>
      <c r="K623" s="91"/>
      <c r="L623" s="92"/>
      <c r="M623" s="92"/>
      <c r="N623" s="92"/>
    </row>
    <row r="624" spans="1:14" s="93" customFormat="1" ht="18.95" customHeight="1">
      <c r="A624" s="68" t="str">
        <v/>
      </c>
      <c r="B624" s="71" t="str">
        <v/>
      </c>
      <c r="C624" s="80"/>
      <c r="D624" s="81"/>
      <c r="E624" s="82"/>
      <c r="F624" s="83"/>
      <c r="G624" s="80"/>
      <c r="H624" s="84"/>
      <c r="I624" s="85" t="s">
        <v>178</v>
      </c>
      <c r="J624" s="86" t="str">
        <v/>
      </c>
      <c r="K624" s="91"/>
      <c r="L624" s="92"/>
      <c r="M624" s="92"/>
      <c r="N624" s="92"/>
    </row>
    <row r="625" spans="1:14" s="93" customFormat="1" ht="18.95" customHeight="1" thickBot="1">
      <c r="A625" s="69" t="str">
        <v/>
      </c>
      <c r="B625" s="72" t="str">
        <v/>
      </c>
      <c r="C625" s="95"/>
      <c r="D625" s="96"/>
      <c r="E625" s="97"/>
      <c r="F625" s="98"/>
      <c r="G625" s="99"/>
      <c r="H625" s="100"/>
      <c r="I625" s="101" t="s">
        <v>179</v>
      </c>
      <c r="J625" s="87" t="str">
        <v/>
      </c>
      <c r="K625" s="91"/>
      <c r="L625" s="92"/>
      <c r="M625" s="92"/>
      <c r="N625" s="92"/>
    </row>
    <row r="626" spans="1:14" ht="6" customHeight="1" thickBot="1">
      <c r="A626" s="102"/>
      <c r="B626" s="103"/>
      <c r="C626" s="103"/>
      <c r="D626" s="102"/>
      <c r="E626" s="103"/>
      <c r="F626" s="103"/>
      <c r="G626" s="103"/>
      <c r="H626" s="103"/>
    </row>
    <row r="627" spans="1:14" ht="6" customHeight="1" thickTop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4" ht="14.25" customHeight="1" thickBot="1">
      <c r="A628" s="1"/>
      <c r="B628" s="150" t="s">
        <v>0</v>
      </c>
      <c r="C628" s="119"/>
      <c r="D628" s="119"/>
      <c r="E628" s="1"/>
      <c r="F628" s="1"/>
      <c r="G628" s="1"/>
      <c r="H628" s="1"/>
      <c r="I628" s="1"/>
      <c r="J628" s="1"/>
    </row>
    <row r="629" spans="1:14" ht="14.25" customHeight="1" thickTop="1">
      <c r="A629" s="3"/>
      <c r="B629" s="119"/>
      <c r="C629" s="119"/>
      <c r="D629" s="119"/>
      <c r="E629" s="3"/>
      <c r="F629" s="3"/>
      <c r="G629" s="3"/>
      <c r="H629" s="3"/>
      <c r="I629" s="3"/>
      <c r="J629" s="3"/>
    </row>
    <row r="630" spans="1:14" ht="14.25" customHeight="1">
      <c r="A630" s="151" t="s">
        <v>1</v>
      </c>
      <c r="B630" s="151" t="s">
        <v>94</v>
      </c>
      <c r="C630" s="151" t="s">
        <v>3</v>
      </c>
      <c r="D630" s="152">
        <v>888</v>
      </c>
      <c r="E630" s="151" t="s">
        <v>4</v>
      </c>
      <c r="F630" s="147" t="s">
        <v>95</v>
      </c>
      <c r="G630" s="119"/>
      <c r="H630" s="119"/>
      <c r="I630" s="4" t="s">
        <v>6</v>
      </c>
      <c r="J630" s="4" t="s">
        <v>7</v>
      </c>
    </row>
    <row r="631" spans="1:14" ht="14.25" customHeight="1">
      <c r="A631" s="119"/>
      <c r="B631" s="119"/>
      <c r="C631" s="119"/>
      <c r="D631" s="119"/>
      <c r="E631" s="119"/>
      <c r="F631" s="119"/>
      <c r="G631" s="119"/>
      <c r="H631" s="119"/>
      <c r="I631" s="148"/>
      <c r="J631" s="148"/>
    </row>
    <row r="632" spans="1:14" ht="17.45" customHeight="1">
      <c r="A632" s="139" t="s">
        <v>8</v>
      </c>
      <c r="B632" s="139" t="s">
        <v>107</v>
      </c>
      <c r="E632" s="139" t="s">
        <v>10</v>
      </c>
      <c r="F632" s="140" t="s">
        <v>97</v>
      </c>
      <c r="G632" s="119"/>
      <c r="H632" s="119"/>
      <c r="I632" s="149"/>
      <c r="J632" s="149"/>
    </row>
    <row r="633" spans="1:14" ht="17.45" customHeight="1">
      <c r="A633" s="119"/>
      <c r="B633" s="119"/>
      <c r="E633" s="119"/>
      <c r="F633" s="119"/>
      <c r="G633" s="119"/>
      <c r="H633" s="119"/>
      <c r="I633" s="7"/>
      <c r="J633" s="7"/>
    </row>
    <row r="634" spans="1:14" ht="17.45" customHeight="1">
      <c r="A634" s="139" t="s">
        <v>12</v>
      </c>
      <c r="B634" s="139" t="s">
        <v>108</v>
      </c>
      <c r="E634" s="8" t="s">
        <v>14</v>
      </c>
      <c r="F634" s="140" t="s">
        <v>15</v>
      </c>
      <c r="G634" s="119"/>
      <c r="H634" s="6"/>
      <c r="I634" s="7"/>
      <c r="J634" s="7"/>
    </row>
    <row r="635" spans="1:14" ht="17.45" customHeight="1">
      <c r="A635" s="119"/>
      <c r="B635" s="119"/>
      <c r="E635" s="8" t="s">
        <v>16</v>
      </c>
      <c r="F635" s="6" t="s">
        <v>17</v>
      </c>
      <c r="G635" s="6"/>
      <c r="H635" s="6"/>
      <c r="I635" s="9"/>
      <c r="J635" s="9"/>
    </row>
    <row r="636" spans="1:14" ht="17.45" customHeight="1">
      <c r="A636" s="8" t="s">
        <v>18</v>
      </c>
      <c r="B636" s="10">
        <v>46125</v>
      </c>
      <c r="E636" s="8" t="s">
        <v>19</v>
      </c>
      <c r="F636" s="141">
        <v>100</v>
      </c>
      <c r="G636" s="119"/>
      <c r="H636" s="6"/>
    </row>
    <row r="637" spans="1:14" ht="17.45" customHeight="1">
      <c r="A637" s="8" t="s">
        <v>20</v>
      </c>
      <c r="B637" s="10">
        <v>46125</v>
      </c>
      <c r="E637" s="8" t="s">
        <v>21</v>
      </c>
      <c r="F637" s="6">
        <v>10</v>
      </c>
      <c r="G637" s="142" t="s">
        <v>22</v>
      </c>
      <c r="H637" s="144">
        <v>1000</v>
      </c>
      <c r="I637" s="145"/>
      <c r="J637" s="146"/>
    </row>
    <row r="638" spans="1:14" ht="17.45" customHeight="1">
      <c r="A638" s="11"/>
      <c r="B638" s="12"/>
      <c r="C638" s="12"/>
      <c r="D638" s="12"/>
      <c r="E638" s="8" t="s">
        <v>23</v>
      </c>
      <c r="F638" s="6" t="s">
        <v>24</v>
      </c>
      <c r="G638" s="143"/>
      <c r="H638" s="143"/>
      <c r="I638" s="125"/>
      <c r="J638" s="133"/>
    </row>
    <row r="639" spans="1:14" ht="13.5" customHeight="1">
      <c r="A639" s="127" t="s">
        <v>99</v>
      </c>
      <c r="B639" s="119"/>
      <c r="C639" s="119"/>
      <c r="D639" s="12"/>
      <c r="F639" s="5"/>
      <c r="G639" s="128" t="s">
        <v>26</v>
      </c>
      <c r="H639" s="130" t="s">
        <v>27</v>
      </c>
      <c r="I639" s="131" t="s">
        <v>28</v>
      </c>
      <c r="J639" s="132"/>
    </row>
    <row r="640" spans="1:14" ht="13.5" customHeight="1">
      <c r="A640" s="119"/>
      <c r="B640" s="119"/>
      <c r="C640" s="119"/>
      <c r="D640" s="12"/>
      <c r="F640" s="5"/>
      <c r="G640" s="129"/>
      <c r="H640" s="129"/>
      <c r="I640" s="125"/>
      <c r="J640" s="133"/>
    </row>
    <row r="641" spans="1:10" ht="13.5" customHeight="1">
      <c r="A641" s="2" t="s">
        <v>29</v>
      </c>
    </row>
    <row r="642" spans="1:10" ht="63" customHeight="1" thickBot="1">
      <c r="A642" s="134"/>
      <c r="B642" s="135"/>
      <c r="C642" s="135"/>
      <c r="D642" s="135"/>
      <c r="E642" s="135"/>
      <c r="F642" s="135"/>
      <c r="G642" s="135"/>
      <c r="H642" s="135"/>
      <c r="I642" s="135"/>
      <c r="J642" s="135"/>
    </row>
    <row r="643" spans="1:10" ht="18.75">
      <c r="A643" s="13" t="s">
        <v>30</v>
      </c>
      <c r="B643" s="14" t="s">
        <v>31</v>
      </c>
      <c r="C643" s="136" t="s">
        <v>32</v>
      </c>
      <c r="D643" s="137"/>
      <c r="E643" s="14" t="s">
        <v>33</v>
      </c>
      <c r="F643" s="136" t="s">
        <v>34</v>
      </c>
      <c r="G643" s="137"/>
      <c r="H643" s="137"/>
      <c r="I643" s="138" t="s">
        <v>35</v>
      </c>
      <c r="J643" s="137"/>
    </row>
    <row r="644" spans="1:10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 spans="1:10" ht="16.5" customHeight="1">
      <c r="A645" s="17">
        <v>1</v>
      </c>
      <c r="B645" s="18" t="s">
        <v>36</v>
      </c>
      <c r="C645" s="118" t="s">
        <v>37</v>
      </c>
      <c r="D645" s="119"/>
      <c r="E645" s="18" t="s">
        <v>38</v>
      </c>
      <c r="F645" s="118" t="s">
        <v>39</v>
      </c>
      <c r="G645" s="119"/>
      <c r="H645" s="119"/>
      <c r="I645" s="126"/>
      <c r="J645" s="119"/>
    </row>
    <row r="646" spans="1:10" ht="16.5" customHeight="1">
      <c r="A646" s="17">
        <v>1</v>
      </c>
      <c r="B646" s="20" t="s">
        <v>36</v>
      </c>
      <c r="C646" s="118" t="s">
        <v>37</v>
      </c>
      <c r="D646" s="119"/>
      <c r="E646" s="18" t="s">
        <v>40</v>
      </c>
      <c r="F646" s="118" t="s">
        <v>41</v>
      </c>
      <c r="G646" s="119"/>
      <c r="H646" s="119"/>
      <c r="I646" s="126"/>
      <c r="J646" s="119"/>
    </row>
    <row r="647" spans="1:10" ht="16.5" customHeight="1">
      <c r="A647" s="17"/>
      <c r="B647" s="20"/>
      <c r="C647" s="118"/>
      <c r="D647" s="119"/>
      <c r="E647" s="18"/>
      <c r="F647" s="118"/>
      <c r="G647" s="119"/>
      <c r="H647" s="119"/>
      <c r="I647" s="126"/>
      <c r="J647" s="119"/>
    </row>
    <row r="648" spans="1:10" ht="16.5" customHeight="1">
      <c r="A648" s="17"/>
      <c r="B648" s="20"/>
      <c r="C648" s="118"/>
      <c r="D648" s="119"/>
      <c r="E648" s="18"/>
      <c r="F648" s="118"/>
      <c r="G648" s="119"/>
      <c r="H648" s="119"/>
      <c r="I648" s="126"/>
      <c r="J648" s="119"/>
    </row>
    <row r="649" spans="1:10" ht="16.5" customHeight="1">
      <c r="A649" s="17"/>
      <c r="B649" s="20"/>
      <c r="C649" s="118"/>
      <c r="D649" s="119"/>
      <c r="E649" s="18"/>
      <c r="F649" s="118"/>
      <c r="G649" s="119"/>
      <c r="H649" s="119"/>
      <c r="I649" s="126"/>
      <c r="J649" s="119"/>
    </row>
    <row r="650" spans="1:10" ht="16.5" customHeight="1">
      <c r="A650" s="17"/>
      <c r="B650" s="20"/>
      <c r="C650" s="118"/>
      <c r="D650" s="119"/>
      <c r="E650" s="18"/>
      <c r="F650" s="118"/>
      <c r="G650" s="119"/>
      <c r="H650" s="119"/>
      <c r="I650" s="126"/>
      <c r="J650" s="119"/>
    </row>
    <row r="651" spans="1:10" ht="16.5" customHeight="1" thickBo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spans="1:10" ht="18.75">
      <c r="A652" s="122" t="s">
        <v>42</v>
      </c>
      <c r="B652" s="123"/>
      <c r="C652" s="122" t="s">
        <v>43</v>
      </c>
      <c r="D652" s="123"/>
      <c r="E652" s="123"/>
      <c r="F652" s="22" t="s">
        <v>44</v>
      </c>
      <c r="G652" s="122" t="s">
        <v>45</v>
      </c>
      <c r="H652" s="123"/>
      <c r="I652" s="122" t="s">
        <v>46</v>
      </c>
      <c r="J652" s="123"/>
    </row>
    <row r="653" spans="1:10" ht="14.25" customHeight="1">
      <c r="A653" s="23"/>
      <c r="B653" s="24"/>
      <c r="C653" s="124" t="s">
        <v>47</v>
      </c>
      <c r="D653" s="125"/>
      <c r="E653" s="24"/>
      <c r="F653" s="124" t="s">
        <v>29</v>
      </c>
      <c r="G653" s="125"/>
      <c r="H653" s="125"/>
      <c r="I653" s="125"/>
      <c r="J653" s="125"/>
    </row>
    <row r="654" spans="1:10">
      <c r="A654" s="25"/>
      <c r="C654" s="19"/>
      <c r="D654" s="19"/>
      <c r="E654" s="19"/>
    </row>
    <row r="655" spans="1:10" ht="14.25" customHeight="1">
      <c r="A655" s="118" t="s">
        <v>48</v>
      </c>
      <c r="B655" s="119"/>
      <c r="C655" s="118" t="s">
        <v>49</v>
      </c>
      <c r="D655" s="119"/>
      <c r="E655" s="119"/>
      <c r="F655" s="18" t="s">
        <v>27</v>
      </c>
      <c r="G655" s="120">
        <v>500</v>
      </c>
      <c r="H655" s="119"/>
      <c r="I655" s="120">
        <v>5</v>
      </c>
      <c r="J655" s="119"/>
    </row>
    <row r="656" spans="1:10" ht="24.95" customHeight="1">
      <c r="A656" s="121" t="s">
        <v>50</v>
      </c>
      <c r="B656" s="119"/>
      <c r="C656" s="118"/>
      <c r="D656" s="119"/>
      <c r="E656" s="119"/>
      <c r="F656" s="118"/>
      <c r="G656" s="119"/>
      <c r="H656" s="119"/>
      <c r="I656" s="119"/>
      <c r="J656" s="119"/>
    </row>
    <row r="657" spans="1:11" ht="14.25" customHeight="1">
      <c r="A657" s="118" t="s">
        <v>88</v>
      </c>
      <c r="B657" s="119"/>
      <c r="C657" s="118" t="s">
        <v>89</v>
      </c>
      <c r="D657" s="119"/>
      <c r="E657" s="119"/>
      <c r="F657" s="18" t="s">
        <v>36</v>
      </c>
      <c r="G657" s="120">
        <v>10</v>
      </c>
      <c r="H657" s="119"/>
      <c r="I657" s="120">
        <v>0.1</v>
      </c>
      <c r="J657" s="119"/>
    </row>
    <row r="658" spans="1:11" ht="24.95" customHeight="1">
      <c r="A658" s="121" t="s">
        <v>90</v>
      </c>
      <c r="B658" s="119"/>
      <c r="C658" s="118" t="s">
        <v>91</v>
      </c>
      <c r="D658" s="119"/>
      <c r="E658" s="119"/>
      <c r="F658" s="118"/>
      <c r="G658" s="119"/>
      <c r="H658" s="119"/>
      <c r="I658" s="119"/>
      <c r="J658" s="119"/>
    </row>
    <row r="659" spans="1:11" ht="14.25" customHeight="1">
      <c r="A659" s="118" t="s">
        <v>100</v>
      </c>
      <c r="B659" s="119"/>
      <c r="C659" s="118" t="s">
        <v>57</v>
      </c>
      <c r="D659" s="119"/>
      <c r="E659" s="119"/>
      <c r="F659" s="18"/>
      <c r="G659" s="120">
        <v>110</v>
      </c>
      <c r="H659" s="119"/>
      <c r="I659" s="120">
        <v>1.1000000000000001</v>
      </c>
      <c r="J659" s="119"/>
    </row>
    <row r="660" spans="1:11" ht="24.95" customHeight="1">
      <c r="A660" s="121" t="s">
        <v>101</v>
      </c>
      <c r="B660" s="119"/>
      <c r="C660" s="118" t="s">
        <v>102</v>
      </c>
      <c r="D660" s="119"/>
      <c r="E660" s="119"/>
      <c r="F660" s="118"/>
      <c r="G660" s="119"/>
      <c r="H660" s="119"/>
      <c r="I660" s="119"/>
      <c r="J660" s="119"/>
    </row>
    <row r="661" spans="1:11" ht="14.25" customHeight="1">
      <c r="A661" s="118" t="s">
        <v>60</v>
      </c>
      <c r="B661" s="119"/>
      <c r="C661" s="118" t="s">
        <v>61</v>
      </c>
      <c r="D661" s="119"/>
      <c r="E661" s="119"/>
      <c r="F661" s="18"/>
      <c r="G661" s="120">
        <v>1</v>
      </c>
      <c r="H661" s="119"/>
      <c r="I661" s="120">
        <v>0.01</v>
      </c>
      <c r="J661" s="119"/>
    </row>
    <row r="662" spans="1:11" ht="24.95" customHeight="1">
      <c r="A662" s="121" t="s">
        <v>62</v>
      </c>
      <c r="B662" s="119"/>
      <c r="C662" s="118" t="s">
        <v>63</v>
      </c>
      <c r="D662" s="119"/>
      <c r="E662" s="119"/>
      <c r="F662" s="118"/>
      <c r="G662" s="119"/>
      <c r="H662" s="119"/>
      <c r="I662" s="119"/>
      <c r="J662" s="119"/>
    </row>
    <row r="663" spans="1:11" ht="14.25" customHeight="1">
      <c r="A663" s="118"/>
      <c r="B663" s="119"/>
      <c r="C663" s="118"/>
      <c r="D663" s="119"/>
      <c r="E663" s="119"/>
      <c r="F663" s="18"/>
      <c r="G663" s="120"/>
      <c r="H663" s="119"/>
      <c r="I663" s="120"/>
      <c r="J663" s="119"/>
    </row>
    <row r="664" spans="1:11" ht="24.95" customHeight="1" thickBot="1">
      <c r="A664" s="121"/>
      <c r="B664" s="119"/>
      <c r="C664" s="118"/>
      <c r="D664" s="119"/>
      <c r="E664" s="119"/>
      <c r="F664" s="118"/>
      <c r="G664" s="119"/>
      <c r="H664" s="119"/>
      <c r="I664" s="119"/>
      <c r="J664" s="119"/>
    </row>
    <row r="665" spans="1:11" s="15" customFormat="1" ht="18" customHeight="1">
      <c r="A665" s="27" t="s">
        <v>143</v>
      </c>
      <c r="B665" s="28" t="s">
        <v>144</v>
      </c>
      <c r="C665" s="108" t="s">
        <v>145</v>
      </c>
      <c r="D665" s="109"/>
      <c r="E665" s="29" t="s">
        <v>146</v>
      </c>
      <c r="F665" s="30" t="s">
        <v>147</v>
      </c>
      <c r="G665" s="31" t="s">
        <v>148</v>
      </c>
      <c r="H665" s="32" t="s">
        <v>149</v>
      </c>
      <c r="I665" s="106" t="s">
        <v>150</v>
      </c>
      <c r="J665" s="107"/>
    </row>
    <row r="666" spans="1:11" s="19" customFormat="1" ht="18" customHeight="1">
      <c r="A666" s="33" t="str">
        <f>_xlfn.XLOOKUP(B630,[3]VFDB2!$A:$A,[3]VFDB2!$J:$J)</f>
        <v>〇</v>
      </c>
      <c r="B666" s="34">
        <f>D630</f>
        <v>888</v>
      </c>
      <c r="C666" s="110" t="str">
        <f>_xlfn.XLOOKUP(B630,[3]VFDB2!$A:$A,[3]VFDB2!$Z:$Z)</f>
        <v>LED-A888</v>
      </c>
      <c r="D666" s="111"/>
      <c r="E666" s="112" t="str" cm="1">
        <f t="array" ref="E666">IFERROR(INDEX(_xlfn._xlws.FILTER([4]加工記録２!C:C,[4]加工記録２!U:U=B632),9),"")</f>
        <v/>
      </c>
      <c r="F666" s="35" t="str" cm="1">
        <f t="array" ref="F666">IFERROR("切断加工：" &amp;_xlfn.TEXTJOIN(" / ",TRUE,INDEX(_xlfn._xlws.FILTER([4]加工記録２!M:M,[4]加工記録２!U:U=B632),9),INDEX(_xlfn._xlws.FILTER([4]加工記録２!N:N,[4]加工記録２!U:U=B632),9)),"")</f>
        <v/>
      </c>
      <c r="G666" s="36" t="str" cm="1">
        <f t="array" ref="G666">IFERROR(IF(_xlfn.TAKE(_xlfn._xlws.FILTER([4]加工記録２!$M:$N,[4]加工記録２!$U:$U=B632),5)=0,"",_xlfn.TAKE(_xlfn._xlws.FILTER([4]加工記録２!$M:$N,[4]加工記録２!$U:$U=B632),5)),"")</f>
        <v/>
      </c>
      <c r="H666" s="37"/>
      <c r="I666" s="38" t="s">
        <v>151</v>
      </c>
      <c r="J666" s="39" t="str" cm="1">
        <f t="array" ref="J666:J671">IFERROR(INDEX(_xlfn._xlws.FILTER([4]加工記録２!P:P, [4]加工記録２!U:U=B632),_xlfn.SEQUENCE(6)),"")</f>
        <v/>
      </c>
    </row>
    <row r="667" spans="1:11" s="15" customFormat="1" ht="18" customHeight="1">
      <c r="A667" s="43" t="s">
        <v>152</v>
      </c>
      <c r="B667" s="44" t="s">
        <v>153</v>
      </c>
      <c r="C667" s="110"/>
      <c r="D667" s="111"/>
      <c r="E667" s="112"/>
      <c r="F667" s="45" t="str" cm="1">
        <f t="array" ref="F667">IFERROR("外観検査：" &amp;_xlfn.TEXTJOIN(" / ",TRUE,INDEX(_xlfn._xlws.FILTER([4]加工記録２!M:M,[4]加工記録２!U:U=B632),10),INDEX(_xlfn._xlws.FILTER([4]加工記録２!N:N,[4]加工記録２!U:U=B632),10)),"")</f>
        <v/>
      </c>
      <c r="G667" s="36"/>
      <c r="H667" s="37"/>
      <c r="I667" s="38" t="s">
        <v>154</v>
      </c>
      <c r="J667" s="40" t="str">
        <v/>
      </c>
      <c r="K667" s="46"/>
    </row>
    <row r="668" spans="1:11" s="19" customFormat="1" ht="18" customHeight="1">
      <c r="A668" s="47" t="str">
        <f>_xlfn.XLOOKUP(B630,[3]VFDB2!$A:$A,[3]VFDB2!$L:$L)</f>
        <v>+0.5</v>
      </c>
      <c r="B668" s="48" t="str">
        <f>_xlfn.XLOOKUP(B630,[3]VFDB2!$A:$A,[3]VFDB2!$AC:$AC)</f>
        <v>換算表確認</v>
      </c>
      <c r="C668" s="113" t="s">
        <v>155</v>
      </c>
      <c r="D668" s="114" t="str">
        <f>_xlfn.XLOOKUP(B630,[3]VFDB2!$A:$A,[3]VFDB2!$W:$W)</f>
        <v>L=888用　クラフト紙</v>
      </c>
      <c r="E668" s="114"/>
      <c r="F668" s="115"/>
      <c r="G668" s="36"/>
      <c r="H668" s="37"/>
      <c r="I668" s="38" t="s">
        <v>156</v>
      </c>
      <c r="J668" s="40" t="str">
        <v/>
      </c>
      <c r="K668" s="49"/>
    </row>
    <row r="669" spans="1:11" s="15" customFormat="1" ht="18" customHeight="1">
      <c r="A669" s="50" t="s">
        <v>157</v>
      </c>
      <c r="B669" s="51" t="s">
        <v>158</v>
      </c>
      <c r="C669" s="113"/>
      <c r="D669" s="114" t="str">
        <f>_xlfn.XLOOKUP(B630,[3]VFDB2!$A:$A,[3]VFDB2!$R:$R)</f>
        <v>ラベル１枚　長手無　鉢巻１回</v>
      </c>
      <c r="E669" s="114"/>
      <c r="F669" s="115"/>
      <c r="G669" s="36"/>
      <c r="H669" s="37"/>
      <c r="I669" s="38" t="s">
        <v>159</v>
      </c>
      <c r="J669" s="40" t="str">
        <v/>
      </c>
      <c r="K669" s="46"/>
    </row>
    <row r="670" spans="1:11" s="19" customFormat="1" ht="18" customHeight="1" thickBot="1">
      <c r="A670" s="52" t="str">
        <f>_xlfn.XLOOKUP(B630,[3]VFDB2!$A:$A,[3]VFDB2!$K:$K)</f>
        <v>－0.5</v>
      </c>
      <c r="B670" s="53">
        <f>_xlfn.XLOOKUP(B630,[3]VFDB2!$A:$A,[3]VFDB2!$P:$P)</f>
        <v>2</v>
      </c>
      <c r="C670" s="54" t="s">
        <v>160</v>
      </c>
      <c r="D670" s="116" t="str">
        <f>_xlfn.XLOOKUP(B630,[3]VFDB2!$A:$A,[3]VFDB2!$V:$V)</f>
        <v>1箱目の梱包数 目視確認　以降、重量測定</v>
      </c>
      <c r="E670" s="116"/>
      <c r="F670" s="117"/>
      <c r="G670" s="55"/>
      <c r="H670" s="56"/>
      <c r="I670" s="38" t="s">
        <v>161</v>
      </c>
      <c r="J670" s="41" t="str">
        <v/>
      </c>
      <c r="K670" s="49"/>
    </row>
    <row r="671" spans="1:11" s="15" customFormat="1" ht="18" customHeight="1" thickBot="1">
      <c r="A671" s="57" t="s">
        <v>162</v>
      </c>
      <c r="B671" s="58" t="str" cm="1">
        <f t="array" ref="B671">IF(SUM(--(ISTEXT(B672:B682)*(B672:B682&lt;&gt;"")))=0,"計測Lot","計測Lot・加工数")</f>
        <v>計測Lot</v>
      </c>
      <c r="C671" s="59" t="s">
        <v>163</v>
      </c>
      <c r="D671" s="60" t="s">
        <v>164</v>
      </c>
      <c r="E671" s="61" t="s">
        <v>165</v>
      </c>
      <c r="F671" s="62" t="str" cm="1">
        <f t="array" ref="F671">IF(SUM(--(ISTEXT(B672:B682)*(B672:B682&lt;&gt;"")))=0,"記入不要","使用Lot")</f>
        <v>記入不要</v>
      </c>
      <c r="G671" s="63" t="s">
        <v>166</v>
      </c>
      <c r="H671" s="64" t="s">
        <v>167</v>
      </c>
      <c r="I671" s="65" t="s">
        <v>168</v>
      </c>
      <c r="J671" s="42" t="str">
        <v/>
      </c>
      <c r="K671" s="46"/>
    </row>
    <row r="672" spans="1:11" s="19" customFormat="1" ht="18" customHeight="1">
      <c r="A672" s="66" t="str" cm="1">
        <f t="array" ref="A672:A682">IFERROR(INDEX(_xlfn._xlws.FILTER([4]加工記録２!$D:$D,[4]加工記録２!$U:$U=B632),_xlfn.SEQUENCE(11),0),"")</f>
        <v/>
      </c>
      <c r="B672" s="70" t="str" cm="1">
        <f t="array" ref="B672:B682">IFERROR(IF(INDEX(_xlfn._xlws.FILTER([4]加工記録２!$E:$E,[4]加工記録２!$U:$U=B632),_xlfn.SEQUENCE(11))="","",INDEX(_xlfn._xlws.FILTER([4]加工記録２!$E:$E,[4]加工記録２!$U:$U=B632),_xlfn.SEQUENCE(11)) &amp; IF(INDEX(_xlfn._xlws.FILTER([4]加工記録２!$F:$F,[4]加工記録２!$U:$U=B632),_xlfn.SEQUENCE(11))="","", " × " &amp; INDEX(_xlfn._xlws.FILTER([4]加工記録２!$F:$F,[4]加工記録２!$U:$U=B632),_xlfn.SEQUENCE(11)))),"")</f>
        <v/>
      </c>
      <c r="C672" s="73"/>
      <c r="D672" s="74"/>
      <c r="E672" s="75"/>
      <c r="F672" s="76"/>
      <c r="G672" s="77"/>
      <c r="H672" s="78"/>
      <c r="I672" s="104" t="s">
        <v>169</v>
      </c>
      <c r="J672" s="105"/>
      <c r="K672" s="79"/>
    </row>
    <row r="673" spans="1:14" s="15" customFormat="1" ht="18" customHeight="1">
      <c r="A673" s="67" t="str">
        <v/>
      </c>
      <c r="B673" s="71" t="str">
        <v/>
      </c>
      <c r="C673" s="80"/>
      <c r="D673" s="81"/>
      <c r="E673" s="82"/>
      <c r="F673" s="83"/>
      <c r="G673" s="80"/>
      <c r="H673" s="84"/>
      <c r="I673" s="85" t="s">
        <v>170</v>
      </c>
      <c r="J673" s="84" t="str" cm="1">
        <f t="array" ref="J673:J682">IFERROR(INDEX(_xlfn._xlws.FILTER([4]加工記録２!R:R, [4]加工記録２!U:U=B632),_xlfn.SEQUENCE(10)),"")</f>
        <v/>
      </c>
      <c r="K673" s="79"/>
    </row>
    <row r="674" spans="1:14" s="90" customFormat="1" ht="18.95" customHeight="1">
      <c r="A674" s="68" t="str">
        <v/>
      </c>
      <c r="B674" s="71" t="str">
        <v/>
      </c>
      <c r="C674" s="80"/>
      <c r="D674" s="81"/>
      <c r="E674" s="82"/>
      <c r="F674" s="83"/>
      <c r="G674" s="80"/>
      <c r="H674" s="84"/>
      <c r="I674" s="85" t="s">
        <v>171</v>
      </c>
      <c r="J674" s="84" t="str">
        <v/>
      </c>
      <c r="K674" s="88"/>
      <c r="L674" s="89"/>
      <c r="M674" s="89"/>
      <c r="N674" s="89"/>
    </row>
    <row r="675" spans="1:14" s="93" customFormat="1" ht="18.95" customHeight="1">
      <c r="A675" s="68" t="str">
        <v/>
      </c>
      <c r="B675" s="71" t="str">
        <v/>
      </c>
      <c r="C675" s="80"/>
      <c r="D675" s="81"/>
      <c r="E675" s="82"/>
      <c r="F675" s="83"/>
      <c r="G675" s="80"/>
      <c r="H675" s="84"/>
      <c r="I675" s="85" t="s">
        <v>172</v>
      </c>
      <c r="J675" s="84" t="str">
        <v/>
      </c>
      <c r="K675" s="91"/>
      <c r="L675" s="92"/>
      <c r="M675" s="92"/>
      <c r="N675" s="92"/>
    </row>
    <row r="676" spans="1:14" s="93" customFormat="1" ht="18.95" customHeight="1">
      <c r="A676" s="68" t="str">
        <v/>
      </c>
      <c r="B676" s="71" t="str">
        <v/>
      </c>
      <c r="C676" s="80"/>
      <c r="D676" s="81"/>
      <c r="E676" s="82"/>
      <c r="F676" s="83"/>
      <c r="G676" s="80"/>
      <c r="H676" s="84"/>
      <c r="I676" s="85" t="s">
        <v>173</v>
      </c>
      <c r="J676" s="84" t="str">
        <v/>
      </c>
      <c r="K676" s="91"/>
      <c r="L676" s="92"/>
      <c r="M676" s="92"/>
      <c r="N676" s="92"/>
    </row>
    <row r="677" spans="1:14" s="93" customFormat="1" ht="18.95" customHeight="1">
      <c r="A677" s="68" t="str">
        <v/>
      </c>
      <c r="B677" s="71" t="str">
        <v/>
      </c>
      <c r="C677" s="80"/>
      <c r="D677" s="81"/>
      <c r="E677" s="82"/>
      <c r="F677" s="83"/>
      <c r="G677" s="80"/>
      <c r="H677" s="84"/>
      <c r="I677" s="85" t="s">
        <v>174</v>
      </c>
      <c r="J677" s="84" t="str">
        <v/>
      </c>
      <c r="K677" s="91"/>
      <c r="L677" s="92"/>
      <c r="M677" s="92"/>
      <c r="N677" s="92"/>
    </row>
    <row r="678" spans="1:14" s="93" customFormat="1" ht="18.95" customHeight="1">
      <c r="A678" s="68" t="str">
        <v/>
      </c>
      <c r="B678" s="71" t="str">
        <v/>
      </c>
      <c r="C678" s="80"/>
      <c r="D678" s="81"/>
      <c r="E678" s="82"/>
      <c r="F678" s="83"/>
      <c r="G678" s="80"/>
      <c r="H678" s="84"/>
      <c r="I678" s="85" t="s">
        <v>175</v>
      </c>
      <c r="J678" s="84" t="str">
        <v/>
      </c>
      <c r="K678" s="91"/>
      <c r="L678" s="92"/>
      <c r="M678" s="92"/>
      <c r="N678" s="92"/>
    </row>
    <row r="679" spans="1:14" s="93" customFormat="1" ht="18.95" customHeight="1">
      <c r="A679" s="68" t="str">
        <v/>
      </c>
      <c r="B679" s="71" t="str">
        <v/>
      </c>
      <c r="C679" s="80"/>
      <c r="D679" s="81"/>
      <c r="E679" s="82"/>
      <c r="F679" s="83"/>
      <c r="G679" s="80"/>
      <c r="H679" s="84"/>
      <c r="I679" s="94" t="s">
        <v>176</v>
      </c>
      <c r="J679" s="84" t="str">
        <v/>
      </c>
      <c r="K679" s="91"/>
      <c r="L679" s="92"/>
      <c r="M679" s="92"/>
      <c r="N679" s="92"/>
    </row>
    <row r="680" spans="1:14" s="93" customFormat="1" ht="18.95" customHeight="1">
      <c r="A680" s="68" t="str">
        <v/>
      </c>
      <c r="B680" s="71" t="str">
        <v/>
      </c>
      <c r="C680" s="80"/>
      <c r="D680" s="81"/>
      <c r="E680" s="82"/>
      <c r="F680" s="83"/>
      <c r="G680" s="80"/>
      <c r="H680" s="84"/>
      <c r="I680" s="94" t="s">
        <v>177</v>
      </c>
      <c r="J680" s="84" t="str">
        <v/>
      </c>
      <c r="K680" s="91"/>
      <c r="L680" s="92"/>
      <c r="M680" s="92"/>
      <c r="N680" s="92"/>
    </row>
    <row r="681" spans="1:14" s="93" customFormat="1" ht="18.95" customHeight="1">
      <c r="A681" s="68" t="str">
        <v/>
      </c>
      <c r="B681" s="71" t="str">
        <v/>
      </c>
      <c r="C681" s="80"/>
      <c r="D681" s="81"/>
      <c r="E681" s="82"/>
      <c r="F681" s="83"/>
      <c r="G681" s="80"/>
      <c r="H681" s="84"/>
      <c r="I681" s="85" t="s">
        <v>178</v>
      </c>
      <c r="J681" s="86" t="str">
        <v/>
      </c>
      <c r="K681" s="91"/>
      <c r="L681" s="92"/>
      <c r="M681" s="92"/>
      <c r="N681" s="92"/>
    </row>
    <row r="682" spans="1:14" s="93" customFormat="1" ht="18.95" customHeight="1" thickBot="1">
      <c r="A682" s="69" t="str">
        <v/>
      </c>
      <c r="B682" s="72" t="str">
        <v/>
      </c>
      <c r="C682" s="95"/>
      <c r="D682" s="96"/>
      <c r="E682" s="97"/>
      <c r="F682" s="98"/>
      <c r="G682" s="99"/>
      <c r="H682" s="100"/>
      <c r="I682" s="101" t="s">
        <v>179</v>
      </c>
      <c r="J682" s="87" t="str">
        <v/>
      </c>
      <c r="K682" s="91"/>
      <c r="L682" s="92"/>
      <c r="M682" s="92"/>
      <c r="N682" s="92"/>
    </row>
    <row r="683" spans="1:14" ht="6" customHeight="1" thickBot="1">
      <c r="A683" s="102"/>
      <c r="B683" s="103"/>
      <c r="C683" s="103"/>
      <c r="D683" s="102"/>
      <c r="E683" s="103"/>
      <c r="F683" s="103"/>
      <c r="G683" s="103"/>
      <c r="H683" s="103"/>
    </row>
    <row r="684" spans="1:14" ht="6" customHeight="1" thickTop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4" ht="14.25" customHeight="1" thickBot="1">
      <c r="A685" s="1"/>
      <c r="B685" s="150" t="s">
        <v>0</v>
      </c>
      <c r="C685" s="119"/>
      <c r="D685" s="119"/>
      <c r="E685" s="1"/>
      <c r="F685" s="1"/>
      <c r="G685" s="1"/>
      <c r="H685" s="1"/>
      <c r="I685" s="1"/>
      <c r="J685" s="1"/>
    </row>
    <row r="686" spans="1:14" ht="14.25" customHeight="1" thickTop="1">
      <c r="A686" s="3"/>
      <c r="B686" s="119"/>
      <c r="C686" s="119"/>
      <c r="D686" s="119"/>
      <c r="E686" s="3"/>
      <c r="F686" s="3"/>
      <c r="G686" s="3"/>
      <c r="H686" s="3"/>
      <c r="I686" s="3"/>
      <c r="J686" s="3"/>
    </row>
    <row r="687" spans="1:14" ht="14.25" customHeight="1">
      <c r="A687" s="151" t="s">
        <v>1</v>
      </c>
      <c r="B687" s="151" t="s">
        <v>94</v>
      </c>
      <c r="C687" s="151" t="s">
        <v>3</v>
      </c>
      <c r="D687" s="152">
        <v>888</v>
      </c>
      <c r="E687" s="151" t="s">
        <v>4</v>
      </c>
      <c r="F687" s="147" t="s">
        <v>95</v>
      </c>
      <c r="G687" s="119"/>
      <c r="H687" s="119"/>
      <c r="I687" s="4" t="s">
        <v>6</v>
      </c>
      <c r="J687" s="4" t="s">
        <v>7</v>
      </c>
    </row>
    <row r="688" spans="1:14" ht="14.25" customHeight="1">
      <c r="A688" s="119"/>
      <c r="B688" s="119"/>
      <c r="C688" s="119"/>
      <c r="D688" s="119"/>
      <c r="E688" s="119"/>
      <c r="F688" s="119"/>
      <c r="G688" s="119"/>
      <c r="H688" s="119"/>
      <c r="I688" s="148"/>
      <c r="J688" s="148"/>
    </row>
    <row r="689" spans="1:10" ht="17.45" customHeight="1">
      <c r="A689" s="139" t="s">
        <v>8</v>
      </c>
      <c r="B689" s="139" t="s">
        <v>109</v>
      </c>
      <c r="E689" s="139" t="s">
        <v>10</v>
      </c>
      <c r="F689" s="140" t="s">
        <v>97</v>
      </c>
      <c r="G689" s="119"/>
      <c r="H689" s="119"/>
      <c r="I689" s="149"/>
      <c r="J689" s="149"/>
    </row>
    <row r="690" spans="1:10" ht="17.45" customHeight="1">
      <c r="A690" s="119"/>
      <c r="B690" s="119"/>
      <c r="E690" s="119"/>
      <c r="F690" s="119"/>
      <c r="G690" s="119"/>
      <c r="H690" s="119"/>
      <c r="I690" s="7"/>
      <c r="J690" s="7"/>
    </row>
    <row r="691" spans="1:10" ht="17.45" customHeight="1">
      <c r="A691" s="139" t="s">
        <v>12</v>
      </c>
      <c r="B691" s="139" t="s">
        <v>110</v>
      </c>
      <c r="E691" s="8" t="s">
        <v>14</v>
      </c>
      <c r="F691" s="140" t="s">
        <v>15</v>
      </c>
      <c r="G691" s="119"/>
      <c r="H691" s="6"/>
      <c r="I691" s="7"/>
      <c r="J691" s="7"/>
    </row>
    <row r="692" spans="1:10" ht="17.45" customHeight="1">
      <c r="A692" s="119"/>
      <c r="B692" s="119"/>
      <c r="E692" s="8" t="s">
        <v>16</v>
      </c>
      <c r="F692" s="6" t="s">
        <v>17</v>
      </c>
      <c r="G692" s="6"/>
      <c r="H692" s="6"/>
      <c r="I692" s="9"/>
      <c r="J692" s="9"/>
    </row>
    <row r="693" spans="1:10" ht="17.45" customHeight="1">
      <c r="A693" s="8" t="s">
        <v>18</v>
      </c>
      <c r="B693" s="10">
        <v>46125</v>
      </c>
      <c r="E693" s="8" t="s">
        <v>19</v>
      </c>
      <c r="F693" s="141">
        <v>100</v>
      </c>
      <c r="G693" s="119"/>
      <c r="H693" s="6"/>
    </row>
    <row r="694" spans="1:10" ht="17.45" customHeight="1">
      <c r="A694" s="8" t="s">
        <v>20</v>
      </c>
      <c r="B694" s="10">
        <v>46125</v>
      </c>
      <c r="E694" s="8" t="s">
        <v>21</v>
      </c>
      <c r="F694" s="6">
        <v>2</v>
      </c>
      <c r="G694" s="142" t="s">
        <v>22</v>
      </c>
      <c r="H694" s="144">
        <v>200</v>
      </c>
      <c r="I694" s="145"/>
      <c r="J694" s="146"/>
    </row>
    <row r="695" spans="1:10" ht="17.45" customHeight="1">
      <c r="A695" s="11"/>
      <c r="B695" s="12"/>
      <c r="C695" s="12"/>
      <c r="D695" s="12"/>
      <c r="E695" s="8" t="s">
        <v>23</v>
      </c>
      <c r="F695" s="6" t="s">
        <v>24</v>
      </c>
      <c r="G695" s="143"/>
      <c r="H695" s="143"/>
      <c r="I695" s="125"/>
      <c r="J695" s="133"/>
    </row>
    <row r="696" spans="1:10" ht="13.5" customHeight="1">
      <c r="A696" s="127" t="s">
        <v>99</v>
      </c>
      <c r="B696" s="119"/>
      <c r="C696" s="119"/>
      <c r="D696" s="12"/>
      <c r="F696" s="5"/>
      <c r="G696" s="128" t="s">
        <v>26</v>
      </c>
      <c r="H696" s="130" t="s">
        <v>27</v>
      </c>
      <c r="I696" s="131" t="s">
        <v>28</v>
      </c>
      <c r="J696" s="132"/>
    </row>
    <row r="697" spans="1:10" ht="13.5" customHeight="1">
      <c r="A697" s="119"/>
      <c r="B697" s="119"/>
      <c r="C697" s="119"/>
      <c r="D697" s="12"/>
      <c r="F697" s="5"/>
      <c r="G697" s="129"/>
      <c r="H697" s="129"/>
      <c r="I697" s="125"/>
      <c r="J697" s="133"/>
    </row>
    <row r="698" spans="1:10" ht="13.5" customHeight="1">
      <c r="A698" s="2" t="s">
        <v>29</v>
      </c>
    </row>
    <row r="699" spans="1:10" ht="63" customHeight="1" thickBot="1">
      <c r="A699" s="134"/>
      <c r="B699" s="135"/>
      <c r="C699" s="135"/>
      <c r="D699" s="135"/>
      <c r="E699" s="135"/>
      <c r="F699" s="135"/>
      <c r="G699" s="135"/>
      <c r="H699" s="135"/>
      <c r="I699" s="135"/>
      <c r="J699" s="135"/>
    </row>
    <row r="700" spans="1:10" ht="18.75">
      <c r="A700" s="13" t="s">
        <v>30</v>
      </c>
      <c r="B700" s="14" t="s">
        <v>31</v>
      </c>
      <c r="C700" s="136" t="s">
        <v>32</v>
      </c>
      <c r="D700" s="137"/>
      <c r="E700" s="14" t="s">
        <v>33</v>
      </c>
      <c r="F700" s="136" t="s">
        <v>34</v>
      </c>
      <c r="G700" s="137"/>
      <c r="H700" s="137"/>
      <c r="I700" s="138" t="s">
        <v>35</v>
      </c>
      <c r="J700" s="137"/>
    </row>
    <row r="701" spans="1:10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 spans="1:10" ht="16.5" customHeight="1">
      <c r="A702" s="17">
        <v>1</v>
      </c>
      <c r="B702" s="18" t="s">
        <v>36</v>
      </c>
      <c r="C702" s="118" t="s">
        <v>37</v>
      </c>
      <c r="D702" s="119"/>
      <c r="E702" s="18" t="s">
        <v>38</v>
      </c>
      <c r="F702" s="118" t="s">
        <v>39</v>
      </c>
      <c r="G702" s="119"/>
      <c r="H702" s="119"/>
      <c r="I702" s="126"/>
      <c r="J702" s="119"/>
    </row>
    <row r="703" spans="1:10" ht="16.5" customHeight="1">
      <c r="A703" s="17">
        <v>1</v>
      </c>
      <c r="B703" s="20" t="s">
        <v>36</v>
      </c>
      <c r="C703" s="118" t="s">
        <v>37</v>
      </c>
      <c r="D703" s="119"/>
      <c r="E703" s="18" t="s">
        <v>40</v>
      </c>
      <c r="F703" s="118" t="s">
        <v>41</v>
      </c>
      <c r="G703" s="119"/>
      <c r="H703" s="119"/>
      <c r="I703" s="126"/>
      <c r="J703" s="119"/>
    </row>
    <row r="704" spans="1:10" ht="16.5" customHeight="1">
      <c r="A704" s="17"/>
      <c r="B704" s="20"/>
      <c r="C704" s="118"/>
      <c r="D704" s="119"/>
      <c r="E704" s="18"/>
      <c r="F704" s="118"/>
      <c r="G704" s="119"/>
      <c r="H704" s="119"/>
      <c r="I704" s="126"/>
      <c r="J704" s="119"/>
    </row>
    <row r="705" spans="1:10" ht="16.5" customHeight="1">
      <c r="A705" s="17"/>
      <c r="B705" s="20"/>
      <c r="C705" s="118"/>
      <c r="D705" s="119"/>
      <c r="E705" s="18"/>
      <c r="F705" s="118"/>
      <c r="G705" s="119"/>
      <c r="H705" s="119"/>
      <c r="I705" s="126"/>
      <c r="J705" s="119"/>
    </row>
    <row r="706" spans="1:10" ht="16.5" customHeight="1">
      <c r="A706" s="17"/>
      <c r="B706" s="20"/>
      <c r="C706" s="118"/>
      <c r="D706" s="119"/>
      <c r="E706" s="18"/>
      <c r="F706" s="118"/>
      <c r="G706" s="119"/>
      <c r="H706" s="119"/>
      <c r="I706" s="126"/>
      <c r="J706" s="119"/>
    </row>
    <row r="707" spans="1:10" ht="16.5" customHeight="1">
      <c r="A707" s="17"/>
      <c r="B707" s="20"/>
      <c r="C707" s="118"/>
      <c r="D707" s="119"/>
      <c r="E707" s="18"/>
      <c r="F707" s="118"/>
      <c r="G707" s="119"/>
      <c r="H707" s="119"/>
      <c r="I707" s="126"/>
      <c r="J707" s="119"/>
    </row>
    <row r="708" spans="1:10" ht="16.5" customHeight="1" thickBo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spans="1:10" ht="18.75">
      <c r="A709" s="122" t="s">
        <v>42</v>
      </c>
      <c r="B709" s="123"/>
      <c r="C709" s="122" t="s">
        <v>43</v>
      </c>
      <c r="D709" s="123"/>
      <c r="E709" s="123"/>
      <c r="F709" s="22" t="s">
        <v>44</v>
      </c>
      <c r="G709" s="122" t="s">
        <v>45</v>
      </c>
      <c r="H709" s="123"/>
      <c r="I709" s="122" t="s">
        <v>46</v>
      </c>
      <c r="J709" s="123"/>
    </row>
    <row r="710" spans="1:10" ht="14.25" customHeight="1">
      <c r="A710" s="23"/>
      <c r="B710" s="24"/>
      <c r="C710" s="124" t="s">
        <v>47</v>
      </c>
      <c r="D710" s="125"/>
      <c r="E710" s="24"/>
      <c r="F710" s="124" t="s">
        <v>29</v>
      </c>
      <c r="G710" s="125"/>
      <c r="H710" s="125"/>
      <c r="I710" s="125"/>
      <c r="J710" s="125"/>
    </row>
    <row r="711" spans="1:10">
      <c r="A711" s="25"/>
      <c r="C711" s="19"/>
      <c r="D711" s="19"/>
      <c r="E711" s="19"/>
    </row>
    <row r="712" spans="1:10" ht="14.25" customHeight="1">
      <c r="A712" s="118" t="s">
        <v>48</v>
      </c>
      <c r="B712" s="119"/>
      <c r="C712" s="118" t="s">
        <v>49</v>
      </c>
      <c r="D712" s="119"/>
      <c r="E712" s="119"/>
      <c r="F712" s="18" t="s">
        <v>27</v>
      </c>
      <c r="G712" s="120">
        <v>100</v>
      </c>
      <c r="H712" s="119"/>
      <c r="I712" s="120">
        <v>1</v>
      </c>
      <c r="J712" s="119"/>
    </row>
    <row r="713" spans="1:10" ht="24.95" customHeight="1">
      <c r="A713" s="121" t="s">
        <v>50</v>
      </c>
      <c r="B713" s="119"/>
      <c r="C713" s="118"/>
      <c r="D713" s="119"/>
      <c r="E713" s="119"/>
      <c r="F713" s="118"/>
      <c r="G713" s="119"/>
      <c r="H713" s="119"/>
      <c r="I713" s="119"/>
      <c r="J713" s="119"/>
    </row>
    <row r="714" spans="1:10" ht="14.25" customHeight="1">
      <c r="A714" s="118" t="s">
        <v>88</v>
      </c>
      <c r="B714" s="119"/>
      <c r="C714" s="118" t="s">
        <v>89</v>
      </c>
      <c r="D714" s="119"/>
      <c r="E714" s="119"/>
      <c r="F714" s="18" t="s">
        <v>36</v>
      </c>
      <c r="G714" s="120">
        <v>2</v>
      </c>
      <c r="H714" s="119"/>
      <c r="I714" s="120">
        <v>0.02</v>
      </c>
      <c r="J714" s="119"/>
    </row>
    <row r="715" spans="1:10" ht="24.95" customHeight="1">
      <c r="A715" s="121" t="s">
        <v>90</v>
      </c>
      <c r="B715" s="119"/>
      <c r="C715" s="118" t="s">
        <v>91</v>
      </c>
      <c r="D715" s="119"/>
      <c r="E715" s="119"/>
      <c r="F715" s="118"/>
      <c r="G715" s="119"/>
      <c r="H715" s="119"/>
      <c r="I715" s="119"/>
      <c r="J715" s="119"/>
    </row>
    <row r="716" spans="1:10" ht="14.25" customHeight="1">
      <c r="A716" s="118" t="s">
        <v>100</v>
      </c>
      <c r="B716" s="119"/>
      <c r="C716" s="118" t="s">
        <v>57</v>
      </c>
      <c r="D716" s="119"/>
      <c r="E716" s="119"/>
      <c r="F716" s="18"/>
      <c r="G716" s="120">
        <v>22</v>
      </c>
      <c r="H716" s="119"/>
      <c r="I716" s="120">
        <v>0.22</v>
      </c>
      <c r="J716" s="119"/>
    </row>
    <row r="717" spans="1:10" ht="24.95" customHeight="1">
      <c r="A717" s="121" t="s">
        <v>101</v>
      </c>
      <c r="B717" s="119"/>
      <c r="C717" s="118" t="s">
        <v>102</v>
      </c>
      <c r="D717" s="119"/>
      <c r="E717" s="119"/>
      <c r="F717" s="118"/>
      <c r="G717" s="119"/>
      <c r="H717" s="119"/>
      <c r="I717" s="119"/>
      <c r="J717" s="119"/>
    </row>
    <row r="718" spans="1:10" ht="14.25" customHeight="1">
      <c r="A718" s="118" t="s">
        <v>60</v>
      </c>
      <c r="B718" s="119"/>
      <c r="C718" s="118" t="s">
        <v>61</v>
      </c>
      <c r="D718" s="119"/>
      <c r="E718" s="119"/>
      <c r="F718" s="18"/>
      <c r="G718" s="120">
        <v>0.2</v>
      </c>
      <c r="H718" s="119"/>
      <c r="I718" s="120">
        <v>2E-3</v>
      </c>
      <c r="J718" s="119"/>
    </row>
    <row r="719" spans="1:10" ht="24.95" customHeight="1">
      <c r="A719" s="121" t="s">
        <v>62</v>
      </c>
      <c r="B719" s="119"/>
      <c r="C719" s="118" t="s">
        <v>63</v>
      </c>
      <c r="D719" s="119"/>
      <c r="E719" s="119"/>
      <c r="F719" s="118"/>
      <c r="G719" s="119"/>
      <c r="H719" s="119"/>
      <c r="I719" s="119"/>
      <c r="J719" s="119"/>
    </row>
    <row r="720" spans="1:10" ht="14.25" customHeight="1">
      <c r="A720" s="118"/>
      <c r="B720" s="119"/>
      <c r="C720" s="118"/>
      <c r="D720" s="119"/>
      <c r="E720" s="119"/>
      <c r="F720" s="18"/>
      <c r="G720" s="120"/>
      <c r="H720" s="119"/>
      <c r="I720" s="120"/>
      <c r="J720" s="119"/>
    </row>
    <row r="721" spans="1:14" ht="24.95" customHeight="1" thickBot="1">
      <c r="A721" s="121"/>
      <c r="B721" s="119"/>
      <c r="C721" s="118"/>
      <c r="D721" s="119"/>
      <c r="E721" s="119"/>
      <c r="F721" s="118"/>
      <c r="G721" s="119"/>
      <c r="H721" s="119"/>
      <c r="I721" s="119"/>
      <c r="J721" s="119"/>
    </row>
    <row r="722" spans="1:14" s="15" customFormat="1" ht="18" customHeight="1">
      <c r="A722" s="27" t="s">
        <v>143</v>
      </c>
      <c r="B722" s="28" t="s">
        <v>144</v>
      </c>
      <c r="C722" s="108" t="s">
        <v>145</v>
      </c>
      <c r="D722" s="109"/>
      <c r="E722" s="29" t="s">
        <v>146</v>
      </c>
      <c r="F722" s="30" t="s">
        <v>147</v>
      </c>
      <c r="G722" s="31" t="s">
        <v>148</v>
      </c>
      <c r="H722" s="32" t="s">
        <v>149</v>
      </c>
      <c r="I722" s="106" t="s">
        <v>150</v>
      </c>
      <c r="J722" s="107"/>
    </row>
    <row r="723" spans="1:14" s="19" customFormat="1" ht="18" customHeight="1">
      <c r="A723" s="33" t="str">
        <f>_xlfn.XLOOKUP(B687,[3]VFDB2!$A:$A,[3]VFDB2!$J:$J)</f>
        <v>〇</v>
      </c>
      <c r="B723" s="34">
        <f>D687</f>
        <v>888</v>
      </c>
      <c r="C723" s="110" t="str">
        <f>_xlfn.XLOOKUP(B687,[3]VFDB2!$A:$A,[3]VFDB2!$Z:$Z)</f>
        <v>LED-A888</v>
      </c>
      <c r="D723" s="111"/>
      <c r="E723" s="112" t="str" cm="1">
        <f t="array" ref="E723">IFERROR(INDEX(_xlfn._xlws.FILTER([4]加工記録２!C:C,[4]加工記録２!U:U=B689),9),"")</f>
        <v/>
      </c>
      <c r="F723" s="35" t="str" cm="1">
        <f t="array" ref="F723">IFERROR("切断加工：" &amp;_xlfn.TEXTJOIN(" / ",TRUE,INDEX(_xlfn._xlws.FILTER([4]加工記録２!M:M,[4]加工記録２!U:U=B689),9),INDEX(_xlfn._xlws.FILTER([4]加工記録２!N:N,[4]加工記録２!U:U=B689),9)),"")</f>
        <v/>
      </c>
      <c r="G723" s="36" t="str" cm="1">
        <f t="array" ref="G723">IFERROR(IF(_xlfn.TAKE(_xlfn._xlws.FILTER([4]加工記録２!$M:$N,[4]加工記録２!$U:$U=B689),5)=0,"",_xlfn.TAKE(_xlfn._xlws.FILTER([4]加工記録２!$M:$N,[4]加工記録２!$U:$U=B689),5)),"")</f>
        <v/>
      </c>
      <c r="H723" s="37"/>
      <c r="I723" s="38" t="s">
        <v>151</v>
      </c>
      <c r="J723" s="39" t="str" cm="1">
        <f t="array" ref="J723:J728">IFERROR(INDEX(_xlfn._xlws.FILTER([4]加工記録２!P:P, [4]加工記録２!U:U=B689),_xlfn.SEQUENCE(6)),"")</f>
        <v/>
      </c>
    </row>
    <row r="724" spans="1:14" s="15" customFormat="1" ht="18" customHeight="1">
      <c r="A724" s="43" t="s">
        <v>152</v>
      </c>
      <c r="B724" s="44" t="s">
        <v>153</v>
      </c>
      <c r="C724" s="110"/>
      <c r="D724" s="111"/>
      <c r="E724" s="112"/>
      <c r="F724" s="45" t="str" cm="1">
        <f t="array" ref="F724">IFERROR("外観検査：" &amp;_xlfn.TEXTJOIN(" / ",TRUE,INDEX(_xlfn._xlws.FILTER([4]加工記録２!M:M,[4]加工記録２!U:U=B689),10),INDEX(_xlfn._xlws.FILTER([4]加工記録２!N:N,[4]加工記録２!U:U=B689),10)),"")</f>
        <v/>
      </c>
      <c r="G724" s="36"/>
      <c r="H724" s="37"/>
      <c r="I724" s="38" t="s">
        <v>154</v>
      </c>
      <c r="J724" s="40" t="str">
        <v/>
      </c>
      <c r="K724" s="46"/>
    </row>
    <row r="725" spans="1:14" s="19" customFormat="1" ht="18" customHeight="1">
      <c r="A725" s="47" t="str">
        <f>_xlfn.XLOOKUP(B687,[3]VFDB2!$A:$A,[3]VFDB2!$L:$L)</f>
        <v>+0.5</v>
      </c>
      <c r="B725" s="48" t="str">
        <f>_xlfn.XLOOKUP(B687,[3]VFDB2!$A:$A,[3]VFDB2!$AC:$AC)</f>
        <v>換算表確認</v>
      </c>
      <c r="C725" s="113" t="s">
        <v>155</v>
      </c>
      <c r="D725" s="114" t="str">
        <f>_xlfn.XLOOKUP(B687,[3]VFDB2!$A:$A,[3]VFDB2!$W:$W)</f>
        <v>L=888用　クラフト紙</v>
      </c>
      <c r="E725" s="114"/>
      <c r="F725" s="115"/>
      <c r="G725" s="36"/>
      <c r="H725" s="37"/>
      <c r="I725" s="38" t="s">
        <v>156</v>
      </c>
      <c r="J725" s="40" t="str">
        <v/>
      </c>
      <c r="K725" s="49"/>
    </row>
    <row r="726" spans="1:14" s="15" customFormat="1" ht="18" customHeight="1">
      <c r="A726" s="50" t="s">
        <v>157</v>
      </c>
      <c r="B726" s="51" t="s">
        <v>158</v>
      </c>
      <c r="C726" s="113"/>
      <c r="D726" s="114" t="str">
        <f>_xlfn.XLOOKUP(B687,[3]VFDB2!$A:$A,[3]VFDB2!$R:$R)</f>
        <v>ラベル１枚　長手無　鉢巻１回</v>
      </c>
      <c r="E726" s="114"/>
      <c r="F726" s="115"/>
      <c r="G726" s="36"/>
      <c r="H726" s="37"/>
      <c r="I726" s="38" t="s">
        <v>159</v>
      </c>
      <c r="J726" s="40" t="str">
        <v/>
      </c>
      <c r="K726" s="46"/>
    </row>
    <row r="727" spans="1:14" s="19" customFormat="1" ht="18" customHeight="1" thickBot="1">
      <c r="A727" s="52" t="str">
        <f>_xlfn.XLOOKUP(B687,[3]VFDB2!$A:$A,[3]VFDB2!$K:$K)</f>
        <v>－0.5</v>
      </c>
      <c r="B727" s="53">
        <f>_xlfn.XLOOKUP(B687,[3]VFDB2!$A:$A,[3]VFDB2!$P:$P)</f>
        <v>2</v>
      </c>
      <c r="C727" s="54" t="s">
        <v>160</v>
      </c>
      <c r="D727" s="116" t="str">
        <f>_xlfn.XLOOKUP(B687,[3]VFDB2!$A:$A,[3]VFDB2!$V:$V)</f>
        <v>1箱目の梱包数 目視確認　以降、重量測定</v>
      </c>
      <c r="E727" s="116"/>
      <c r="F727" s="117"/>
      <c r="G727" s="55"/>
      <c r="H727" s="56"/>
      <c r="I727" s="38" t="s">
        <v>161</v>
      </c>
      <c r="J727" s="41" t="str">
        <v/>
      </c>
      <c r="K727" s="49"/>
    </row>
    <row r="728" spans="1:14" s="15" customFormat="1" ht="18" customHeight="1" thickBot="1">
      <c r="A728" s="57" t="s">
        <v>162</v>
      </c>
      <c r="B728" s="58" t="str" cm="1">
        <f t="array" ref="B728">IF(SUM(--(ISTEXT(B729:B739)*(B729:B739&lt;&gt;"")))=0,"計測Lot","計測Lot・加工数")</f>
        <v>計測Lot</v>
      </c>
      <c r="C728" s="59" t="s">
        <v>163</v>
      </c>
      <c r="D728" s="60" t="s">
        <v>164</v>
      </c>
      <c r="E728" s="61" t="s">
        <v>165</v>
      </c>
      <c r="F728" s="62" t="str" cm="1">
        <f t="array" ref="F728">IF(SUM(--(ISTEXT(B729:B739)*(B729:B739&lt;&gt;"")))=0,"記入不要","使用Lot")</f>
        <v>記入不要</v>
      </c>
      <c r="G728" s="63" t="s">
        <v>166</v>
      </c>
      <c r="H728" s="64" t="s">
        <v>167</v>
      </c>
      <c r="I728" s="65" t="s">
        <v>168</v>
      </c>
      <c r="J728" s="42" t="str">
        <v/>
      </c>
      <c r="K728" s="46"/>
    </row>
    <row r="729" spans="1:14" s="19" customFormat="1" ht="18" customHeight="1">
      <c r="A729" s="66" t="str" cm="1">
        <f t="array" ref="A729:A739">IFERROR(INDEX(_xlfn._xlws.FILTER([4]加工記録２!$D:$D,[4]加工記録２!$U:$U=B689),_xlfn.SEQUENCE(11),0),"")</f>
        <v/>
      </c>
      <c r="B729" s="70" t="str" cm="1">
        <f t="array" ref="B729:B739">IFERROR(IF(INDEX(_xlfn._xlws.FILTER([4]加工記録２!$E:$E,[4]加工記録２!$U:$U=B689),_xlfn.SEQUENCE(11))="","",INDEX(_xlfn._xlws.FILTER([4]加工記録２!$E:$E,[4]加工記録２!$U:$U=B689),_xlfn.SEQUENCE(11)) &amp; IF(INDEX(_xlfn._xlws.FILTER([4]加工記録２!$F:$F,[4]加工記録２!$U:$U=B689),_xlfn.SEQUENCE(11))="","", " × " &amp; INDEX(_xlfn._xlws.FILTER([4]加工記録２!$F:$F,[4]加工記録２!$U:$U=B689),_xlfn.SEQUENCE(11)))),"")</f>
        <v/>
      </c>
      <c r="C729" s="73"/>
      <c r="D729" s="74"/>
      <c r="E729" s="75"/>
      <c r="F729" s="76"/>
      <c r="G729" s="77"/>
      <c r="H729" s="78"/>
      <c r="I729" s="104" t="s">
        <v>169</v>
      </c>
      <c r="J729" s="105"/>
      <c r="K729" s="79"/>
    </row>
    <row r="730" spans="1:14" s="15" customFormat="1" ht="18" customHeight="1">
      <c r="A730" s="67" t="str">
        <v/>
      </c>
      <c r="B730" s="71" t="str">
        <v/>
      </c>
      <c r="C730" s="80"/>
      <c r="D730" s="81"/>
      <c r="E730" s="82"/>
      <c r="F730" s="83"/>
      <c r="G730" s="80"/>
      <c r="H730" s="84"/>
      <c r="I730" s="85" t="s">
        <v>170</v>
      </c>
      <c r="J730" s="84" t="str" cm="1">
        <f t="array" ref="J730:J739">IFERROR(INDEX(_xlfn._xlws.FILTER([4]加工記録２!R:R, [4]加工記録２!U:U=B689),_xlfn.SEQUENCE(10)),"")</f>
        <v/>
      </c>
      <c r="K730" s="79"/>
    </row>
    <row r="731" spans="1:14" s="90" customFormat="1" ht="18.95" customHeight="1">
      <c r="A731" s="68" t="str">
        <v/>
      </c>
      <c r="B731" s="71" t="str">
        <v/>
      </c>
      <c r="C731" s="80"/>
      <c r="D731" s="81"/>
      <c r="E731" s="82"/>
      <c r="F731" s="83"/>
      <c r="G731" s="80"/>
      <c r="H731" s="84"/>
      <c r="I731" s="85" t="s">
        <v>171</v>
      </c>
      <c r="J731" s="84" t="str">
        <v/>
      </c>
      <c r="K731" s="88"/>
      <c r="L731" s="89"/>
      <c r="M731" s="89"/>
      <c r="N731" s="89"/>
    </row>
    <row r="732" spans="1:14" s="93" customFormat="1" ht="18.95" customHeight="1">
      <c r="A732" s="68" t="str">
        <v/>
      </c>
      <c r="B732" s="71" t="str">
        <v/>
      </c>
      <c r="C732" s="80"/>
      <c r="D732" s="81"/>
      <c r="E732" s="82"/>
      <c r="F732" s="83"/>
      <c r="G732" s="80"/>
      <c r="H732" s="84"/>
      <c r="I732" s="85" t="s">
        <v>172</v>
      </c>
      <c r="J732" s="84" t="str">
        <v/>
      </c>
      <c r="K732" s="91"/>
      <c r="L732" s="92"/>
      <c r="M732" s="92"/>
      <c r="N732" s="92"/>
    </row>
    <row r="733" spans="1:14" s="93" customFormat="1" ht="18.95" customHeight="1">
      <c r="A733" s="68" t="str">
        <v/>
      </c>
      <c r="B733" s="71" t="str">
        <v/>
      </c>
      <c r="C733" s="80"/>
      <c r="D733" s="81"/>
      <c r="E733" s="82"/>
      <c r="F733" s="83"/>
      <c r="G733" s="80"/>
      <c r="H733" s="84"/>
      <c r="I733" s="85" t="s">
        <v>173</v>
      </c>
      <c r="J733" s="84" t="str">
        <v/>
      </c>
      <c r="K733" s="91"/>
      <c r="L733" s="92"/>
      <c r="M733" s="92"/>
      <c r="N733" s="92"/>
    </row>
    <row r="734" spans="1:14" s="93" customFormat="1" ht="18.95" customHeight="1">
      <c r="A734" s="68" t="str">
        <v/>
      </c>
      <c r="B734" s="71" t="str">
        <v/>
      </c>
      <c r="C734" s="80"/>
      <c r="D734" s="81"/>
      <c r="E734" s="82"/>
      <c r="F734" s="83"/>
      <c r="G734" s="80"/>
      <c r="H734" s="84"/>
      <c r="I734" s="85" t="s">
        <v>174</v>
      </c>
      <c r="J734" s="84" t="str">
        <v/>
      </c>
      <c r="K734" s="91"/>
      <c r="L734" s="92"/>
      <c r="M734" s="92"/>
      <c r="N734" s="92"/>
    </row>
    <row r="735" spans="1:14" s="93" customFormat="1" ht="18.95" customHeight="1">
      <c r="A735" s="68" t="str">
        <v/>
      </c>
      <c r="B735" s="71" t="str">
        <v/>
      </c>
      <c r="C735" s="80"/>
      <c r="D735" s="81"/>
      <c r="E735" s="82"/>
      <c r="F735" s="83"/>
      <c r="G735" s="80"/>
      <c r="H735" s="84"/>
      <c r="I735" s="85" t="s">
        <v>175</v>
      </c>
      <c r="J735" s="84" t="str">
        <v/>
      </c>
      <c r="K735" s="91"/>
      <c r="L735" s="92"/>
      <c r="M735" s="92"/>
      <c r="N735" s="92"/>
    </row>
    <row r="736" spans="1:14" s="93" customFormat="1" ht="18.95" customHeight="1">
      <c r="A736" s="68" t="str">
        <v/>
      </c>
      <c r="B736" s="71" t="str">
        <v/>
      </c>
      <c r="C736" s="80"/>
      <c r="D736" s="81"/>
      <c r="E736" s="82"/>
      <c r="F736" s="83"/>
      <c r="G736" s="80"/>
      <c r="H736" s="84"/>
      <c r="I736" s="94" t="s">
        <v>176</v>
      </c>
      <c r="J736" s="84" t="str">
        <v/>
      </c>
      <c r="K736" s="91"/>
      <c r="L736" s="92"/>
      <c r="M736" s="92"/>
      <c r="N736" s="92"/>
    </row>
    <row r="737" spans="1:14" s="93" customFormat="1" ht="18.95" customHeight="1">
      <c r="A737" s="68" t="str">
        <v/>
      </c>
      <c r="B737" s="71" t="str">
        <v/>
      </c>
      <c r="C737" s="80"/>
      <c r="D737" s="81"/>
      <c r="E737" s="82"/>
      <c r="F737" s="83"/>
      <c r="G737" s="80"/>
      <c r="H737" s="84"/>
      <c r="I737" s="94" t="s">
        <v>177</v>
      </c>
      <c r="J737" s="84" t="str">
        <v/>
      </c>
      <c r="K737" s="91"/>
      <c r="L737" s="92"/>
      <c r="M737" s="92"/>
      <c r="N737" s="92"/>
    </row>
    <row r="738" spans="1:14" s="93" customFormat="1" ht="18.95" customHeight="1">
      <c r="A738" s="68" t="str">
        <v/>
      </c>
      <c r="B738" s="71" t="str">
        <v/>
      </c>
      <c r="C738" s="80"/>
      <c r="D738" s="81"/>
      <c r="E738" s="82"/>
      <c r="F738" s="83"/>
      <c r="G738" s="80"/>
      <c r="H738" s="84"/>
      <c r="I738" s="85" t="s">
        <v>178</v>
      </c>
      <c r="J738" s="86" t="str">
        <v/>
      </c>
      <c r="K738" s="91"/>
      <c r="L738" s="92"/>
      <c r="M738" s="92"/>
      <c r="N738" s="92"/>
    </row>
    <row r="739" spans="1:14" s="93" customFormat="1" ht="18.95" customHeight="1" thickBot="1">
      <c r="A739" s="69" t="str">
        <v/>
      </c>
      <c r="B739" s="72" t="str">
        <v/>
      </c>
      <c r="C739" s="95"/>
      <c r="D739" s="96"/>
      <c r="E739" s="97"/>
      <c r="F739" s="98"/>
      <c r="G739" s="99"/>
      <c r="H739" s="100"/>
      <c r="I739" s="101" t="s">
        <v>179</v>
      </c>
      <c r="J739" s="87" t="str">
        <v/>
      </c>
      <c r="K739" s="91"/>
      <c r="L739" s="92"/>
      <c r="M739" s="92"/>
      <c r="N739" s="92"/>
    </row>
    <row r="740" spans="1:14" ht="6" customHeight="1" thickBot="1">
      <c r="A740" s="102"/>
      <c r="B740" s="103"/>
      <c r="C740" s="103"/>
      <c r="D740" s="102"/>
      <c r="E740" s="103"/>
      <c r="F740" s="103"/>
      <c r="G740" s="103"/>
      <c r="H740" s="103"/>
    </row>
    <row r="741" spans="1:14" ht="6" customHeight="1" thickTop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4" ht="14.25" customHeight="1" thickBot="1">
      <c r="A742" s="1"/>
      <c r="B742" s="150" t="s">
        <v>0</v>
      </c>
      <c r="C742" s="119"/>
      <c r="D742" s="119"/>
      <c r="E742" s="1"/>
      <c r="F742" s="1"/>
      <c r="G742" s="1"/>
      <c r="H742" s="1"/>
      <c r="I742" s="1"/>
      <c r="J742" s="1"/>
    </row>
    <row r="743" spans="1:14" ht="14.25" customHeight="1" thickTop="1">
      <c r="A743" s="3"/>
      <c r="B743" s="119"/>
      <c r="C743" s="119"/>
      <c r="D743" s="119"/>
      <c r="E743" s="3"/>
      <c r="F743" s="3"/>
      <c r="G743" s="3"/>
      <c r="H743" s="3"/>
      <c r="I743" s="3"/>
      <c r="J743" s="3"/>
    </row>
    <row r="744" spans="1:14" ht="14.25" customHeight="1">
      <c r="A744" s="151" t="s">
        <v>1</v>
      </c>
      <c r="B744" s="151" t="s">
        <v>94</v>
      </c>
      <c r="C744" s="151" t="s">
        <v>3</v>
      </c>
      <c r="D744" s="152">
        <v>888</v>
      </c>
      <c r="E744" s="151" t="s">
        <v>4</v>
      </c>
      <c r="F744" s="147" t="s">
        <v>95</v>
      </c>
      <c r="G744" s="119"/>
      <c r="H744" s="119"/>
      <c r="I744" s="4" t="s">
        <v>6</v>
      </c>
      <c r="J744" s="4" t="s">
        <v>7</v>
      </c>
    </row>
    <row r="745" spans="1:14" ht="14.25" customHeight="1">
      <c r="A745" s="119"/>
      <c r="B745" s="119"/>
      <c r="C745" s="119"/>
      <c r="D745" s="119"/>
      <c r="E745" s="119"/>
      <c r="F745" s="119"/>
      <c r="G745" s="119"/>
      <c r="H745" s="119"/>
      <c r="I745" s="148"/>
      <c r="J745" s="148"/>
    </row>
    <row r="746" spans="1:14" ht="17.45" customHeight="1">
      <c r="A746" s="139" t="s">
        <v>8</v>
      </c>
      <c r="B746" s="139" t="s">
        <v>111</v>
      </c>
      <c r="E746" s="139" t="s">
        <v>10</v>
      </c>
      <c r="F746" s="140" t="s">
        <v>97</v>
      </c>
      <c r="G746" s="119"/>
      <c r="H746" s="119"/>
      <c r="I746" s="149"/>
      <c r="J746" s="149"/>
    </row>
    <row r="747" spans="1:14" ht="17.45" customHeight="1">
      <c r="A747" s="119"/>
      <c r="B747" s="119"/>
      <c r="E747" s="119"/>
      <c r="F747" s="119"/>
      <c r="G747" s="119"/>
      <c r="H747" s="119"/>
      <c r="I747" s="7"/>
      <c r="J747" s="7"/>
    </row>
    <row r="748" spans="1:14" ht="17.45" customHeight="1">
      <c r="A748" s="139" t="s">
        <v>12</v>
      </c>
      <c r="B748" s="139" t="s">
        <v>112</v>
      </c>
      <c r="E748" s="8" t="s">
        <v>14</v>
      </c>
      <c r="F748" s="140" t="s">
        <v>15</v>
      </c>
      <c r="G748" s="119"/>
      <c r="H748" s="6"/>
      <c r="I748" s="7"/>
      <c r="J748" s="7"/>
    </row>
    <row r="749" spans="1:14" ht="17.45" customHeight="1">
      <c r="A749" s="119"/>
      <c r="B749" s="119"/>
      <c r="E749" s="8" t="s">
        <v>16</v>
      </c>
      <c r="F749" s="6" t="s">
        <v>17</v>
      </c>
      <c r="G749" s="6"/>
      <c r="H749" s="6"/>
      <c r="I749" s="9"/>
      <c r="J749" s="9"/>
    </row>
    <row r="750" spans="1:14" ht="17.45" customHeight="1">
      <c r="A750" s="8" t="s">
        <v>18</v>
      </c>
      <c r="B750" s="10">
        <v>46125</v>
      </c>
      <c r="E750" s="8" t="s">
        <v>19</v>
      </c>
      <c r="F750" s="141">
        <v>100</v>
      </c>
      <c r="G750" s="119"/>
      <c r="H750" s="6"/>
    </row>
    <row r="751" spans="1:14" ht="17.45" customHeight="1">
      <c r="A751" s="8" t="s">
        <v>20</v>
      </c>
      <c r="B751" s="10">
        <v>46125</v>
      </c>
      <c r="E751" s="8" t="s">
        <v>21</v>
      </c>
      <c r="F751" s="6">
        <v>2</v>
      </c>
      <c r="G751" s="142" t="s">
        <v>22</v>
      </c>
      <c r="H751" s="144">
        <v>200</v>
      </c>
      <c r="I751" s="145"/>
      <c r="J751" s="146"/>
    </row>
    <row r="752" spans="1:14" ht="17.45" customHeight="1">
      <c r="A752" s="11"/>
      <c r="B752" s="12"/>
      <c r="C752" s="12"/>
      <c r="D752" s="12"/>
      <c r="E752" s="8" t="s">
        <v>23</v>
      </c>
      <c r="F752" s="6" t="s">
        <v>24</v>
      </c>
      <c r="G752" s="143"/>
      <c r="H752" s="143"/>
      <c r="I752" s="125"/>
      <c r="J752" s="133"/>
    </row>
    <row r="753" spans="1:10" ht="13.5" customHeight="1">
      <c r="A753" s="127" t="s">
        <v>99</v>
      </c>
      <c r="B753" s="119"/>
      <c r="C753" s="119"/>
      <c r="D753" s="12"/>
      <c r="F753" s="5"/>
      <c r="G753" s="128" t="s">
        <v>26</v>
      </c>
      <c r="H753" s="130" t="s">
        <v>27</v>
      </c>
      <c r="I753" s="131" t="s">
        <v>28</v>
      </c>
      <c r="J753" s="132"/>
    </row>
    <row r="754" spans="1:10" ht="13.5" customHeight="1">
      <c r="A754" s="119"/>
      <c r="B754" s="119"/>
      <c r="C754" s="119"/>
      <c r="D754" s="12"/>
      <c r="F754" s="5"/>
      <c r="G754" s="129"/>
      <c r="H754" s="129"/>
      <c r="I754" s="125"/>
      <c r="J754" s="133"/>
    </row>
    <row r="755" spans="1:10" ht="13.5" customHeight="1">
      <c r="A755" s="2" t="s">
        <v>29</v>
      </c>
    </row>
    <row r="756" spans="1:10" ht="63" customHeight="1" thickBot="1">
      <c r="A756" s="134"/>
      <c r="B756" s="135"/>
      <c r="C756" s="135"/>
      <c r="D756" s="135"/>
      <c r="E756" s="135"/>
      <c r="F756" s="135"/>
      <c r="G756" s="135"/>
      <c r="H756" s="135"/>
      <c r="I756" s="135"/>
      <c r="J756" s="135"/>
    </row>
    <row r="757" spans="1:10" ht="18.75">
      <c r="A757" s="13" t="s">
        <v>30</v>
      </c>
      <c r="B757" s="14" t="s">
        <v>31</v>
      </c>
      <c r="C757" s="136" t="s">
        <v>32</v>
      </c>
      <c r="D757" s="137"/>
      <c r="E757" s="14" t="s">
        <v>33</v>
      </c>
      <c r="F757" s="136" t="s">
        <v>34</v>
      </c>
      <c r="G757" s="137"/>
      <c r="H757" s="137"/>
      <c r="I757" s="138" t="s">
        <v>35</v>
      </c>
      <c r="J757" s="137"/>
    </row>
    <row r="758" spans="1:10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 spans="1:10" ht="16.5" customHeight="1">
      <c r="A759" s="17">
        <v>1</v>
      </c>
      <c r="B759" s="18" t="s">
        <v>36</v>
      </c>
      <c r="C759" s="118" t="s">
        <v>37</v>
      </c>
      <c r="D759" s="119"/>
      <c r="E759" s="18" t="s">
        <v>38</v>
      </c>
      <c r="F759" s="118" t="s">
        <v>39</v>
      </c>
      <c r="G759" s="119"/>
      <c r="H759" s="119"/>
      <c r="I759" s="126"/>
      <c r="J759" s="119"/>
    </row>
    <row r="760" spans="1:10" ht="16.5" customHeight="1">
      <c r="A760" s="17">
        <v>1</v>
      </c>
      <c r="B760" s="20" t="s">
        <v>36</v>
      </c>
      <c r="C760" s="118" t="s">
        <v>37</v>
      </c>
      <c r="D760" s="119"/>
      <c r="E760" s="18" t="s">
        <v>40</v>
      </c>
      <c r="F760" s="118" t="s">
        <v>41</v>
      </c>
      <c r="G760" s="119"/>
      <c r="H760" s="119"/>
      <c r="I760" s="126"/>
      <c r="J760" s="119"/>
    </row>
    <row r="761" spans="1:10" ht="16.5" customHeight="1">
      <c r="A761" s="17"/>
      <c r="B761" s="20"/>
      <c r="C761" s="118"/>
      <c r="D761" s="119"/>
      <c r="E761" s="18"/>
      <c r="F761" s="118"/>
      <c r="G761" s="119"/>
      <c r="H761" s="119"/>
      <c r="I761" s="126"/>
      <c r="J761" s="119"/>
    </row>
    <row r="762" spans="1:10" ht="16.5" customHeight="1">
      <c r="A762" s="17"/>
      <c r="B762" s="20"/>
      <c r="C762" s="118"/>
      <c r="D762" s="119"/>
      <c r="E762" s="18"/>
      <c r="F762" s="118"/>
      <c r="G762" s="119"/>
      <c r="H762" s="119"/>
      <c r="I762" s="126"/>
      <c r="J762" s="119"/>
    </row>
    <row r="763" spans="1:10" ht="16.5" customHeight="1">
      <c r="A763" s="17"/>
      <c r="B763" s="20"/>
      <c r="C763" s="118"/>
      <c r="D763" s="119"/>
      <c r="E763" s="18"/>
      <c r="F763" s="118"/>
      <c r="G763" s="119"/>
      <c r="H763" s="119"/>
      <c r="I763" s="126"/>
      <c r="J763" s="119"/>
    </row>
    <row r="764" spans="1:10" ht="16.5" customHeight="1">
      <c r="A764" s="17"/>
      <c r="B764" s="20"/>
      <c r="C764" s="118"/>
      <c r="D764" s="119"/>
      <c r="E764" s="18"/>
      <c r="F764" s="118"/>
      <c r="G764" s="119"/>
      <c r="H764" s="119"/>
      <c r="I764" s="126"/>
      <c r="J764" s="119"/>
    </row>
    <row r="765" spans="1:10" ht="16.5" customHeight="1" thickBo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spans="1:10" ht="18.75">
      <c r="A766" s="122" t="s">
        <v>42</v>
      </c>
      <c r="B766" s="123"/>
      <c r="C766" s="122" t="s">
        <v>43</v>
      </c>
      <c r="D766" s="123"/>
      <c r="E766" s="123"/>
      <c r="F766" s="22" t="s">
        <v>44</v>
      </c>
      <c r="G766" s="122" t="s">
        <v>45</v>
      </c>
      <c r="H766" s="123"/>
      <c r="I766" s="122" t="s">
        <v>46</v>
      </c>
      <c r="J766" s="123"/>
    </row>
    <row r="767" spans="1:10" ht="14.25" customHeight="1">
      <c r="A767" s="23"/>
      <c r="B767" s="24"/>
      <c r="C767" s="124" t="s">
        <v>47</v>
      </c>
      <c r="D767" s="125"/>
      <c r="E767" s="24"/>
      <c r="F767" s="124" t="s">
        <v>29</v>
      </c>
      <c r="G767" s="125"/>
      <c r="H767" s="125"/>
      <c r="I767" s="125"/>
      <c r="J767" s="125"/>
    </row>
    <row r="768" spans="1:10">
      <c r="A768" s="25"/>
      <c r="C768" s="19"/>
      <c r="D768" s="19"/>
      <c r="E768" s="19"/>
    </row>
    <row r="769" spans="1:11" ht="14.25" customHeight="1">
      <c r="A769" s="118" t="s">
        <v>48</v>
      </c>
      <c r="B769" s="119"/>
      <c r="C769" s="118" t="s">
        <v>49</v>
      </c>
      <c r="D769" s="119"/>
      <c r="E769" s="119"/>
      <c r="F769" s="18" t="s">
        <v>27</v>
      </c>
      <c r="G769" s="120">
        <v>100</v>
      </c>
      <c r="H769" s="119"/>
      <c r="I769" s="120">
        <v>1</v>
      </c>
      <c r="J769" s="119"/>
    </row>
    <row r="770" spans="1:11" ht="24.95" customHeight="1">
      <c r="A770" s="121" t="s">
        <v>50</v>
      </c>
      <c r="B770" s="119"/>
      <c r="C770" s="118"/>
      <c r="D770" s="119"/>
      <c r="E770" s="119"/>
      <c r="F770" s="118"/>
      <c r="G770" s="119"/>
      <c r="H770" s="119"/>
      <c r="I770" s="119"/>
      <c r="J770" s="119"/>
    </row>
    <row r="771" spans="1:11" ht="14.25" customHeight="1">
      <c r="A771" s="118" t="s">
        <v>88</v>
      </c>
      <c r="B771" s="119"/>
      <c r="C771" s="118" t="s">
        <v>89</v>
      </c>
      <c r="D771" s="119"/>
      <c r="E771" s="119"/>
      <c r="F771" s="18" t="s">
        <v>36</v>
      </c>
      <c r="G771" s="120">
        <v>2</v>
      </c>
      <c r="H771" s="119"/>
      <c r="I771" s="120">
        <v>0.02</v>
      </c>
      <c r="J771" s="119"/>
    </row>
    <row r="772" spans="1:11" ht="24.95" customHeight="1">
      <c r="A772" s="121" t="s">
        <v>90</v>
      </c>
      <c r="B772" s="119"/>
      <c r="C772" s="118" t="s">
        <v>91</v>
      </c>
      <c r="D772" s="119"/>
      <c r="E772" s="119"/>
      <c r="F772" s="118"/>
      <c r="G772" s="119"/>
      <c r="H772" s="119"/>
      <c r="I772" s="119"/>
      <c r="J772" s="119"/>
    </row>
    <row r="773" spans="1:11" ht="14.25" customHeight="1">
      <c r="A773" s="118" t="s">
        <v>100</v>
      </c>
      <c r="B773" s="119"/>
      <c r="C773" s="118" t="s">
        <v>57</v>
      </c>
      <c r="D773" s="119"/>
      <c r="E773" s="119"/>
      <c r="F773" s="18"/>
      <c r="G773" s="120">
        <v>22</v>
      </c>
      <c r="H773" s="119"/>
      <c r="I773" s="120">
        <v>0.22</v>
      </c>
      <c r="J773" s="119"/>
    </row>
    <row r="774" spans="1:11" ht="24.95" customHeight="1">
      <c r="A774" s="121" t="s">
        <v>101</v>
      </c>
      <c r="B774" s="119"/>
      <c r="C774" s="118" t="s">
        <v>102</v>
      </c>
      <c r="D774" s="119"/>
      <c r="E774" s="119"/>
      <c r="F774" s="118"/>
      <c r="G774" s="119"/>
      <c r="H774" s="119"/>
      <c r="I774" s="119"/>
      <c r="J774" s="119"/>
    </row>
    <row r="775" spans="1:11" ht="14.25" customHeight="1">
      <c r="A775" s="118" t="s">
        <v>60</v>
      </c>
      <c r="B775" s="119"/>
      <c r="C775" s="118" t="s">
        <v>61</v>
      </c>
      <c r="D775" s="119"/>
      <c r="E775" s="119"/>
      <c r="F775" s="18"/>
      <c r="G775" s="120">
        <v>0.2</v>
      </c>
      <c r="H775" s="119"/>
      <c r="I775" s="120">
        <v>2E-3</v>
      </c>
      <c r="J775" s="119"/>
    </row>
    <row r="776" spans="1:11" ht="24.95" customHeight="1">
      <c r="A776" s="121" t="s">
        <v>62</v>
      </c>
      <c r="B776" s="119"/>
      <c r="C776" s="118" t="s">
        <v>63</v>
      </c>
      <c r="D776" s="119"/>
      <c r="E776" s="119"/>
      <c r="F776" s="118"/>
      <c r="G776" s="119"/>
      <c r="H776" s="119"/>
      <c r="I776" s="119"/>
      <c r="J776" s="119"/>
    </row>
    <row r="777" spans="1:11" ht="14.25" customHeight="1">
      <c r="A777" s="118"/>
      <c r="B777" s="119"/>
      <c r="C777" s="118"/>
      <c r="D777" s="119"/>
      <c r="E777" s="119"/>
      <c r="F777" s="18"/>
      <c r="G777" s="120"/>
      <c r="H777" s="119"/>
      <c r="I777" s="120"/>
      <c r="J777" s="119"/>
    </row>
    <row r="778" spans="1:11" ht="24.95" customHeight="1" thickBot="1">
      <c r="A778" s="121"/>
      <c r="B778" s="119"/>
      <c r="C778" s="118"/>
      <c r="D778" s="119"/>
      <c r="E778" s="119"/>
      <c r="F778" s="118"/>
      <c r="G778" s="119"/>
      <c r="H778" s="119"/>
      <c r="I778" s="119"/>
      <c r="J778" s="119"/>
    </row>
    <row r="779" spans="1:11" s="15" customFormat="1" ht="18" customHeight="1">
      <c r="A779" s="27" t="s">
        <v>143</v>
      </c>
      <c r="B779" s="28" t="s">
        <v>144</v>
      </c>
      <c r="C779" s="108" t="s">
        <v>145</v>
      </c>
      <c r="D779" s="109"/>
      <c r="E779" s="29" t="s">
        <v>146</v>
      </c>
      <c r="F779" s="30" t="s">
        <v>147</v>
      </c>
      <c r="G779" s="31" t="s">
        <v>148</v>
      </c>
      <c r="H779" s="32" t="s">
        <v>149</v>
      </c>
      <c r="I779" s="106" t="s">
        <v>150</v>
      </c>
      <c r="J779" s="107"/>
    </row>
    <row r="780" spans="1:11" s="19" customFormat="1" ht="18" customHeight="1">
      <c r="A780" s="33" t="str">
        <f>_xlfn.XLOOKUP(B744,[3]VFDB2!$A:$A,[3]VFDB2!$J:$J)</f>
        <v>〇</v>
      </c>
      <c r="B780" s="34">
        <f>D744</f>
        <v>888</v>
      </c>
      <c r="C780" s="110" t="str">
        <f>_xlfn.XLOOKUP(B744,[3]VFDB2!$A:$A,[3]VFDB2!$Z:$Z)</f>
        <v>LED-A888</v>
      </c>
      <c r="D780" s="111"/>
      <c r="E780" s="112" t="str" cm="1">
        <f t="array" ref="E780">IFERROR(INDEX(_xlfn._xlws.FILTER([4]加工記録２!C:C,[4]加工記録２!U:U=B746),9),"")</f>
        <v/>
      </c>
      <c r="F780" s="35" t="str" cm="1">
        <f t="array" ref="F780">IFERROR("切断加工：" &amp;_xlfn.TEXTJOIN(" / ",TRUE,INDEX(_xlfn._xlws.FILTER([4]加工記録２!M:M,[4]加工記録２!U:U=B746),9),INDEX(_xlfn._xlws.FILTER([4]加工記録２!N:N,[4]加工記録２!U:U=B746),9)),"")</f>
        <v/>
      </c>
      <c r="G780" s="36" t="str" cm="1">
        <f t="array" ref="G780">IFERROR(IF(_xlfn.TAKE(_xlfn._xlws.FILTER([4]加工記録２!$M:$N,[4]加工記録２!$U:$U=B746),5)=0,"",_xlfn.TAKE(_xlfn._xlws.FILTER([4]加工記録２!$M:$N,[4]加工記録２!$U:$U=B746),5)),"")</f>
        <v/>
      </c>
      <c r="H780" s="37"/>
      <c r="I780" s="38" t="s">
        <v>151</v>
      </c>
      <c r="J780" s="39" t="str" cm="1">
        <f t="array" ref="J780:J785">IFERROR(INDEX(_xlfn._xlws.FILTER([4]加工記録２!P:P, [4]加工記録２!U:U=B746),_xlfn.SEQUENCE(6)),"")</f>
        <v/>
      </c>
    </row>
    <row r="781" spans="1:11" s="15" customFormat="1" ht="18" customHeight="1">
      <c r="A781" s="43" t="s">
        <v>152</v>
      </c>
      <c r="B781" s="44" t="s">
        <v>153</v>
      </c>
      <c r="C781" s="110"/>
      <c r="D781" s="111"/>
      <c r="E781" s="112"/>
      <c r="F781" s="45" t="str" cm="1">
        <f t="array" ref="F781">IFERROR("外観検査：" &amp;_xlfn.TEXTJOIN(" / ",TRUE,INDEX(_xlfn._xlws.FILTER([4]加工記録２!M:M,[4]加工記録２!U:U=B746),10),INDEX(_xlfn._xlws.FILTER([4]加工記録２!N:N,[4]加工記録２!U:U=B746),10)),"")</f>
        <v/>
      </c>
      <c r="G781" s="36"/>
      <c r="H781" s="37"/>
      <c r="I781" s="38" t="s">
        <v>154</v>
      </c>
      <c r="J781" s="40" t="str">
        <v/>
      </c>
      <c r="K781" s="46"/>
    </row>
    <row r="782" spans="1:11" s="19" customFormat="1" ht="18" customHeight="1">
      <c r="A782" s="47" t="str">
        <f>_xlfn.XLOOKUP(B744,[3]VFDB2!$A:$A,[3]VFDB2!$L:$L)</f>
        <v>+0.5</v>
      </c>
      <c r="B782" s="48" t="str">
        <f>_xlfn.XLOOKUP(B744,[3]VFDB2!$A:$A,[3]VFDB2!$AC:$AC)</f>
        <v>換算表確認</v>
      </c>
      <c r="C782" s="113" t="s">
        <v>155</v>
      </c>
      <c r="D782" s="114" t="str">
        <f>_xlfn.XLOOKUP(B744,[3]VFDB2!$A:$A,[3]VFDB2!$W:$W)</f>
        <v>L=888用　クラフト紙</v>
      </c>
      <c r="E782" s="114"/>
      <c r="F782" s="115"/>
      <c r="G782" s="36"/>
      <c r="H782" s="37"/>
      <c r="I782" s="38" t="s">
        <v>156</v>
      </c>
      <c r="J782" s="40" t="str">
        <v/>
      </c>
      <c r="K782" s="49"/>
    </row>
    <row r="783" spans="1:11" s="15" customFormat="1" ht="18" customHeight="1">
      <c r="A783" s="50" t="s">
        <v>157</v>
      </c>
      <c r="B783" s="51" t="s">
        <v>158</v>
      </c>
      <c r="C783" s="113"/>
      <c r="D783" s="114" t="str">
        <f>_xlfn.XLOOKUP(B744,[3]VFDB2!$A:$A,[3]VFDB2!$R:$R)</f>
        <v>ラベル１枚　長手無　鉢巻１回</v>
      </c>
      <c r="E783" s="114"/>
      <c r="F783" s="115"/>
      <c r="G783" s="36"/>
      <c r="H783" s="37"/>
      <c r="I783" s="38" t="s">
        <v>159</v>
      </c>
      <c r="J783" s="40" t="str">
        <v/>
      </c>
      <c r="K783" s="46"/>
    </row>
    <row r="784" spans="1:11" s="19" customFormat="1" ht="18" customHeight="1" thickBot="1">
      <c r="A784" s="52" t="str">
        <f>_xlfn.XLOOKUP(B744,[3]VFDB2!$A:$A,[3]VFDB2!$K:$K)</f>
        <v>－0.5</v>
      </c>
      <c r="B784" s="53">
        <f>_xlfn.XLOOKUP(B744,[3]VFDB2!$A:$A,[3]VFDB2!$P:$P)</f>
        <v>2</v>
      </c>
      <c r="C784" s="54" t="s">
        <v>160</v>
      </c>
      <c r="D784" s="116" t="str">
        <f>_xlfn.XLOOKUP(B744,[3]VFDB2!$A:$A,[3]VFDB2!$V:$V)</f>
        <v>1箱目の梱包数 目視確認　以降、重量測定</v>
      </c>
      <c r="E784" s="116"/>
      <c r="F784" s="117"/>
      <c r="G784" s="55"/>
      <c r="H784" s="56"/>
      <c r="I784" s="38" t="s">
        <v>161</v>
      </c>
      <c r="J784" s="41" t="str">
        <v/>
      </c>
      <c r="K784" s="49"/>
    </row>
    <row r="785" spans="1:14" s="15" customFormat="1" ht="18" customHeight="1" thickBot="1">
      <c r="A785" s="57" t="s">
        <v>162</v>
      </c>
      <c r="B785" s="58" t="str" cm="1">
        <f t="array" ref="B785">IF(SUM(--(ISTEXT(B786:B796)*(B786:B796&lt;&gt;"")))=0,"計測Lot","計測Lot・加工数")</f>
        <v>計測Lot</v>
      </c>
      <c r="C785" s="59" t="s">
        <v>163</v>
      </c>
      <c r="D785" s="60" t="s">
        <v>164</v>
      </c>
      <c r="E785" s="61" t="s">
        <v>165</v>
      </c>
      <c r="F785" s="62" t="str" cm="1">
        <f t="array" ref="F785">IF(SUM(--(ISTEXT(B786:B796)*(B786:B796&lt;&gt;"")))=0,"記入不要","使用Lot")</f>
        <v>記入不要</v>
      </c>
      <c r="G785" s="63" t="s">
        <v>166</v>
      </c>
      <c r="H785" s="64" t="s">
        <v>167</v>
      </c>
      <c r="I785" s="65" t="s">
        <v>168</v>
      </c>
      <c r="J785" s="42" t="str">
        <v/>
      </c>
      <c r="K785" s="46"/>
    </row>
    <row r="786" spans="1:14" s="19" customFormat="1" ht="18" customHeight="1">
      <c r="A786" s="66" t="str" cm="1">
        <f t="array" ref="A786:A796">IFERROR(INDEX(_xlfn._xlws.FILTER([4]加工記録２!$D:$D,[4]加工記録２!$U:$U=B746),_xlfn.SEQUENCE(11),0),"")</f>
        <v/>
      </c>
      <c r="B786" s="70" t="str" cm="1">
        <f t="array" ref="B786:B796">IFERROR(IF(INDEX(_xlfn._xlws.FILTER([4]加工記録２!$E:$E,[4]加工記録２!$U:$U=B746),_xlfn.SEQUENCE(11))="","",INDEX(_xlfn._xlws.FILTER([4]加工記録２!$E:$E,[4]加工記録２!$U:$U=B746),_xlfn.SEQUENCE(11)) &amp; IF(INDEX(_xlfn._xlws.FILTER([4]加工記録２!$F:$F,[4]加工記録２!$U:$U=B746),_xlfn.SEQUENCE(11))="","", " × " &amp; INDEX(_xlfn._xlws.FILTER([4]加工記録２!$F:$F,[4]加工記録２!$U:$U=B746),_xlfn.SEQUENCE(11)))),"")</f>
        <v/>
      </c>
      <c r="C786" s="73"/>
      <c r="D786" s="74"/>
      <c r="E786" s="75"/>
      <c r="F786" s="76"/>
      <c r="G786" s="77"/>
      <c r="H786" s="78"/>
      <c r="I786" s="104" t="s">
        <v>169</v>
      </c>
      <c r="J786" s="105"/>
      <c r="K786" s="79"/>
    </row>
    <row r="787" spans="1:14" s="15" customFormat="1" ht="18" customHeight="1">
      <c r="A787" s="67" t="str">
        <v/>
      </c>
      <c r="B787" s="71" t="str">
        <v/>
      </c>
      <c r="C787" s="80"/>
      <c r="D787" s="81"/>
      <c r="E787" s="82"/>
      <c r="F787" s="83"/>
      <c r="G787" s="80"/>
      <c r="H787" s="84"/>
      <c r="I787" s="85" t="s">
        <v>170</v>
      </c>
      <c r="J787" s="84" t="str" cm="1">
        <f t="array" ref="J787:J796">IFERROR(INDEX(_xlfn._xlws.FILTER([4]加工記録２!R:R, [4]加工記録２!U:U=B746),_xlfn.SEQUENCE(10)),"")</f>
        <v/>
      </c>
      <c r="K787" s="79"/>
    </row>
    <row r="788" spans="1:14" s="90" customFormat="1" ht="18.95" customHeight="1">
      <c r="A788" s="68" t="str">
        <v/>
      </c>
      <c r="B788" s="71" t="str">
        <v/>
      </c>
      <c r="C788" s="80"/>
      <c r="D788" s="81"/>
      <c r="E788" s="82"/>
      <c r="F788" s="83"/>
      <c r="G788" s="80"/>
      <c r="H788" s="84"/>
      <c r="I788" s="85" t="s">
        <v>171</v>
      </c>
      <c r="J788" s="84" t="str">
        <v/>
      </c>
      <c r="K788" s="88"/>
      <c r="L788" s="89"/>
      <c r="M788" s="89"/>
      <c r="N788" s="89"/>
    </row>
    <row r="789" spans="1:14" s="93" customFormat="1" ht="18.95" customHeight="1">
      <c r="A789" s="68" t="str">
        <v/>
      </c>
      <c r="B789" s="71" t="str">
        <v/>
      </c>
      <c r="C789" s="80"/>
      <c r="D789" s="81"/>
      <c r="E789" s="82"/>
      <c r="F789" s="83"/>
      <c r="G789" s="80"/>
      <c r="H789" s="84"/>
      <c r="I789" s="85" t="s">
        <v>172</v>
      </c>
      <c r="J789" s="84" t="str">
        <v/>
      </c>
      <c r="K789" s="91"/>
      <c r="L789" s="92"/>
      <c r="M789" s="92"/>
      <c r="N789" s="92"/>
    </row>
    <row r="790" spans="1:14" s="93" customFormat="1" ht="18.95" customHeight="1">
      <c r="A790" s="68" t="str">
        <v/>
      </c>
      <c r="B790" s="71" t="str">
        <v/>
      </c>
      <c r="C790" s="80"/>
      <c r="D790" s="81"/>
      <c r="E790" s="82"/>
      <c r="F790" s="83"/>
      <c r="G790" s="80"/>
      <c r="H790" s="84"/>
      <c r="I790" s="85" t="s">
        <v>173</v>
      </c>
      <c r="J790" s="84" t="str">
        <v/>
      </c>
      <c r="K790" s="91"/>
      <c r="L790" s="92"/>
      <c r="M790" s="92"/>
      <c r="N790" s="92"/>
    </row>
    <row r="791" spans="1:14" s="93" customFormat="1" ht="18.95" customHeight="1">
      <c r="A791" s="68" t="str">
        <v/>
      </c>
      <c r="B791" s="71" t="str">
        <v/>
      </c>
      <c r="C791" s="80"/>
      <c r="D791" s="81"/>
      <c r="E791" s="82"/>
      <c r="F791" s="83"/>
      <c r="G791" s="80"/>
      <c r="H791" s="84"/>
      <c r="I791" s="85" t="s">
        <v>174</v>
      </c>
      <c r="J791" s="84" t="str">
        <v/>
      </c>
      <c r="K791" s="91"/>
      <c r="L791" s="92"/>
      <c r="M791" s="92"/>
      <c r="N791" s="92"/>
    </row>
    <row r="792" spans="1:14" s="93" customFormat="1" ht="18.95" customHeight="1">
      <c r="A792" s="68" t="str">
        <v/>
      </c>
      <c r="B792" s="71" t="str">
        <v/>
      </c>
      <c r="C792" s="80"/>
      <c r="D792" s="81"/>
      <c r="E792" s="82"/>
      <c r="F792" s="83"/>
      <c r="G792" s="80"/>
      <c r="H792" s="84"/>
      <c r="I792" s="85" t="s">
        <v>175</v>
      </c>
      <c r="J792" s="84" t="str">
        <v/>
      </c>
      <c r="K792" s="91"/>
      <c r="L792" s="92"/>
      <c r="M792" s="92"/>
      <c r="N792" s="92"/>
    </row>
    <row r="793" spans="1:14" s="93" customFormat="1" ht="18.95" customHeight="1">
      <c r="A793" s="68" t="str">
        <v/>
      </c>
      <c r="B793" s="71" t="str">
        <v/>
      </c>
      <c r="C793" s="80"/>
      <c r="D793" s="81"/>
      <c r="E793" s="82"/>
      <c r="F793" s="83"/>
      <c r="G793" s="80"/>
      <c r="H793" s="84"/>
      <c r="I793" s="94" t="s">
        <v>176</v>
      </c>
      <c r="J793" s="84" t="str">
        <v/>
      </c>
      <c r="K793" s="91"/>
      <c r="L793" s="92"/>
      <c r="M793" s="92"/>
      <c r="N793" s="92"/>
    </row>
    <row r="794" spans="1:14" s="93" customFormat="1" ht="18.95" customHeight="1">
      <c r="A794" s="68" t="str">
        <v/>
      </c>
      <c r="B794" s="71" t="str">
        <v/>
      </c>
      <c r="C794" s="80"/>
      <c r="D794" s="81"/>
      <c r="E794" s="82"/>
      <c r="F794" s="83"/>
      <c r="G794" s="80"/>
      <c r="H794" s="84"/>
      <c r="I794" s="94" t="s">
        <v>177</v>
      </c>
      <c r="J794" s="84" t="str">
        <v/>
      </c>
      <c r="K794" s="91"/>
      <c r="L794" s="92"/>
      <c r="M794" s="92"/>
      <c r="N794" s="92"/>
    </row>
    <row r="795" spans="1:14" s="93" customFormat="1" ht="18.95" customHeight="1">
      <c r="A795" s="68" t="str">
        <v/>
      </c>
      <c r="B795" s="71" t="str">
        <v/>
      </c>
      <c r="C795" s="80"/>
      <c r="D795" s="81"/>
      <c r="E795" s="82"/>
      <c r="F795" s="83"/>
      <c r="G795" s="80"/>
      <c r="H795" s="84"/>
      <c r="I795" s="85" t="s">
        <v>178</v>
      </c>
      <c r="J795" s="86" t="str">
        <v/>
      </c>
      <c r="K795" s="91"/>
      <c r="L795" s="92"/>
      <c r="M795" s="92"/>
      <c r="N795" s="92"/>
    </row>
    <row r="796" spans="1:14" s="93" customFormat="1" ht="18.95" customHeight="1" thickBot="1">
      <c r="A796" s="69" t="str">
        <v/>
      </c>
      <c r="B796" s="72" t="str">
        <v/>
      </c>
      <c r="C796" s="95"/>
      <c r="D796" s="96"/>
      <c r="E796" s="97"/>
      <c r="F796" s="98"/>
      <c r="G796" s="99"/>
      <c r="H796" s="100"/>
      <c r="I796" s="101" t="s">
        <v>179</v>
      </c>
      <c r="J796" s="87" t="str">
        <v/>
      </c>
      <c r="K796" s="91"/>
      <c r="L796" s="92"/>
      <c r="M796" s="92"/>
      <c r="N796" s="92"/>
    </row>
    <row r="797" spans="1:14" ht="6" customHeight="1" thickBot="1">
      <c r="A797" s="102"/>
      <c r="B797" s="103"/>
      <c r="C797" s="103"/>
      <c r="D797" s="102"/>
      <c r="E797" s="103"/>
      <c r="F797" s="103"/>
      <c r="G797" s="103"/>
      <c r="H797" s="103"/>
    </row>
    <row r="798" spans="1:14" ht="6" customHeight="1" thickTop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4" ht="14.25" customHeight="1" thickBot="1">
      <c r="A799" s="1"/>
      <c r="B799" s="150" t="s">
        <v>0</v>
      </c>
      <c r="C799" s="119"/>
      <c r="D799" s="119"/>
      <c r="E799" s="1"/>
      <c r="F799" s="1"/>
      <c r="G799" s="1"/>
      <c r="H799" s="1"/>
      <c r="I799" s="1"/>
      <c r="J799" s="1"/>
    </row>
    <row r="800" spans="1:14" ht="14.25" customHeight="1" thickTop="1">
      <c r="A800" s="3"/>
      <c r="B800" s="119"/>
      <c r="C800" s="119"/>
      <c r="D800" s="119"/>
      <c r="E800" s="3"/>
      <c r="F800" s="3"/>
      <c r="G800" s="3"/>
      <c r="H800" s="3"/>
      <c r="I800" s="3"/>
      <c r="J800" s="3"/>
    </row>
    <row r="801" spans="1:10" ht="14.25" customHeight="1">
      <c r="A801" s="151" t="s">
        <v>1</v>
      </c>
      <c r="B801" s="151" t="s">
        <v>94</v>
      </c>
      <c r="C801" s="151" t="s">
        <v>3</v>
      </c>
      <c r="D801" s="152">
        <v>888</v>
      </c>
      <c r="E801" s="151" t="s">
        <v>4</v>
      </c>
      <c r="F801" s="147" t="s">
        <v>95</v>
      </c>
      <c r="G801" s="119"/>
      <c r="H801" s="119"/>
      <c r="I801" s="4" t="s">
        <v>6</v>
      </c>
      <c r="J801" s="4" t="s">
        <v>7</v>
      </c>
    </row>
    <row r="802" spans="1:10" ht="14.25" customHeight="1">
      <c r="A802" s="119"/>
      <c r="B802" s="119"/>
      <c r="C802" s="119"/>
      <c r="D802" s="119"/>
      <c r="E802" s="119"/>
      <c r="F802" s="119"/>
      <c r="G802" s="119"/>
      <c r="H802" s="119"/>
      <c r="I802" s="148"/>
      <c r="J802" s="148"/>
    </row>
    <row r="803" spans="1:10" ht="17.45" customHeight="1">
      <c r="A803" s="139" t="s">
        <v>8</v>
      </c>
      <c r="B803" s="139" t="s">
        <v>113</v>
      </c>
      <c r="E803" s="139" t="s">
        <v>10</v>
      </c>
      <c r="F803" s="140" t="s">
        <v>97</v>
      </c>
      <c r="G803" s="119"/>
      <c r="H803" s="119"/>
      <c r="I803" s="149"/>
      <c r="J803" s="149"/>
    </row>
    <row r="804" spans="1:10" ht="17.45" customHeight="1">
      <c r="A804" s="119"/>
      <c r="B804" s="119"/>
      <c r="E804" s="119"/>
      <c r="F804" s="119"/>
      <c r="G804" s="119"/>
      <c r="H804" s="119"/>
      <c r="I804" s="7"/>
      <c r="J804" s="7"/>
    </row>
    <row r="805" spans="1:10" ht="17.45" customHeight="1">
      <c r="A805" s="139" t="s">
        <v>12</v>
      </c>
      <c r="B805" s="139" t="s">
        <v>114</v>
      </c>
      <c r="E805" s="8" t="s">
        <v>14</v>
      </c>
      <c r="F805" s="140" t="s">
        <v>15</v>
      </c>
      <c r="G805" s="119"/>
      <c r="H805" s="6"/>
      <c r="I805" s="7"/>
      <c r="J805" s="7"/>
    </row>
    <row r="806" spans="1:10" ht="17.45" customHeight="1">
      <c r="A806" s="119"/>
      <c r="B806" s="119"/>
      <c r="E806" s="8" t="s">
        <v>16</v>
      </c>
      <c r="F806" s="6" t="s">
        <v>17</v>
      </c>
      <c r="G806" s="6"/>
      <c r="H806" s="6"/>
      <c r="I806" s="9"/>
      <c r="J806" s="9"/>
    </row>
    <row r="807" spans="1:10" ht="17.45" customHeight="1">
      <c r="A807" s="8" t="s">
        <v>18</v>
      </c>
      <c r="B807" s="10">
        <v>46125</v>
      </c>
      <c r="E807" s="8" t="s">
        <v>19</v>
      </c>
      <c r="F807" s="141">
        <v>100</v>
      </c>
      <c r="G807" s="119"/>
      <c r="H807" s="6"/>
    </row>
    <row r="808" spans="1:10" ht="17.45" customHeight="1">
      <c r="A808" s="8" t="s">
        <v>20</v>
      </c>
      <c r="B808" s="10">
        <v>46125</v>
      </c>
      <c r="E808" s="8" t="s">
        <v>21</v>
      </c>
      <c r="F808" s="6">
        <v>4</v>
      </c>
      <c r="G808" s="142" t="s">
        <v>22</v>
      </c>
      <c r="H808" s="144">
        <v>400</v>
      </c>
      <c r="I808" s="145"/>
      <c r="J808" s="146"/>
    </row>
    <row r="809" spans="1:10" ht="17.45" customHeight="1">
      <c r="A809" s="11"/>
      <c r="B809" s="12"/>
      <c r="C809" s="12"/>
      <c r="D809" s="12"/>
      <c r="E809" s="8" t="s">
        <v>23</v>
      </c>
      <c r="F809" s="6" t="s">
        <v>24</v>
      </c>
      <c r="G809" s="143"/>
      <c r="H809" s="143"/>
      <c r="I809" s="125"/>
      <c r="J809" s="133"/>
    </row>
    <row r="810" spans="1:10" ht="13.5" customHeight="1">
      <c r="A810" s="127" t="s">
        <v>99</v>
      </c>
      <c r="B810" s="119"/>
      <c r="C810" s="119"/>
      <c r="D810" s="12"/>
      <c r="F810" s="5"/>
      <c r="G810" s="128" t="s">
        <v>26</v>
      </c>
      <c r="H810" s="130" t="s">
        <v>27</v>
      </c>
      <c r="I810" s="131" t="s">
        <v>28</v>
      </c>
      <c r="J810" s="132"/>
    </row>
    <row r="811" spans="1:10" ht="13.5" customHeight="1">
      <c r="A811" s="119"/>
      <c r="B811" s="119"/>
      <c r="C811" s="119"/>
      <c r="D811" s="12"/>
      <c r="F811" s="5"/>
      <c r="G811" s="129"/>
      <c r="H811" s="129"/>
      <c r="I811" s="125"/>
      <c r="J811" s="133"/>
    </row>
    <row r="812" spans="1:10" ht="13.5" customHeight="1">
      <c r="A812" s="2" t="s">
        <v>29</v>
      </c>
    </row>
    <row r="813" spans="1:10" ht="63" customHeight="1" thickBot="1">
      <c r="A813" s="134"/>
      <c r="B813" s="135"/>
      <c r="C813" s="135"/>
      <c r="D813" s="135"/>
      <c r="E813" s="135"/>
      <c r="F813" s="135"/>
      <c r="G813" s="135"/>
      <c r="H813" s="135"/>
      <c r="I813" s="135"/>
      <c r="J813" s="135"/>
    </row>
    <row r="814" spans="1:10" ht="18.75">
      <c r="A814" s="13" t="s">
        <v>30</v>
      </c>
      <c r="B814" s="14" t="s">
        <v>31</v>
      </c>
      <c r="C814" s="136" t="s">
        <v>32</v>
      </c>
      <c r="D814" s="137"/>
      <c r="E814" s="14" t="s">
        <v>33</v>
      </c>
      <c r="F814" s="136" t="s">
        <v>34</v>
      </c>
      <c r="G814" s="137"/>
      <c r="H814" s="137"/>
      <c r="I814" s="138" t="s">
        <v>35</v>
      </c>
      <c r="J814" s="137"/>
    </row>
    <row r="815" spans="1:10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 spans="1:10" ht="16.5" customHeight="1">
      <c r="A816" s="17">
        <v>1</v>
      </c>
      <c r="B816" s="18" t="s">
        <v>36</v>
      </c>
      <c r="C816" s="118" t="s">
        <v>37</v>
      </c>
      <c r="D816" s="119"/>
      <c r="E816" s="18" t="s">
        <v>38</v>
      </c>
      <c r="F816" s="118" t="s">
        <v>39</v>
      </c>
      <c r="G816" s="119"/>
      <c r="H816" s="119"/>
      <c r="I816" s="126"/>
      <c r="J816" s="119"/>
    </row>
    <row r="817" spans="1:10" ht="16.5" customHeight="1">
      <c r="A817" s="17">
        <v>1</v>
      </c>
      <c r="B817" s="20" t="s">
        <v>36</v>
      </c>
      <c r="C817" s="118" t="s">
        <v>37</v>
      </c>
      <c r="D817" s="119"/>
      <c r="E817" s="18" t="s">
        <v>40</v>
      </c>
      <c r="F817" s="118" t="s">
        <v>41</v>
      </c>
      <c r="G817" s="119"/>
      <c r="H817" s="119"/>
      <c r="I817" s="126"/>
      <c r="J817" s="119"/>
    </row>
    <row r="818" spans="1:10" ht="16.5" customHeight="1">
      <c r="A818" s="17"/>
      <c r="B818" s="20"/>
      <c r="C818" s="118"/>
      <c r="D818" s="119"/>
      <c r="E818" s="18"/>
      <c r="F818" s="118"/>
      <c r="G818" s="119"/>
      <c r="H818" s="119"/>
      <c r="I818" s="126"/>
      <c r="J818" s="119"/>
    </row>
    <row r="819" spans="1:10" ht="16.5" customHeight="1">
      <c r="A819" s="17"/>
      <c r="B819" s="20"/>
      <c r="C819" s="118"/>
      <c r="D819" s="119"/>
      <c r="E819" s="18"/>
      <c r="F819" s="118"/>
      <c r="G819" s="119"/>
      <c r="H819" s="119"/>
      <c r="I819" s="126"/>
      <c r="J819" s="119"/>
    </row>
    <row r="820" spans="1:10" ht="16.5" customHeight="1">
      <c r="A820" s="17"/>
      <c r="B820" s="20"/>
      <c r="C820" s="118"/>
      <c r="D820" s="119"/>
      <c r="E820" s="18"/>
      <c r="F820" s="118"/>
      <c r="G820" s="119"/>
      <c r="H820" s="119"/>
      <c r="I820" s="126"/>
      <c r="J820" s="119"/>
    </row>
    <row r="821" spans="1:10" ht="16.5" customHeight="1">
      <c r="A821" s="17"/>
      <c r="B821" s="20"/>
      <c r="C821" s="118"/>
      <c r="D821" s="119"/>
      <c r="E821" s="18"/>
      <c r="F821" s="118"/>
      <c r="G821" s="119"/>
      <c r="H821" s="119"/>
      <c r="I821" s="126"/>
      <c r="J821" s="119"/>
    </row>
    <row r="822" spans="1:10" ht="16.5" customHeight="1" thickBo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spans="1:10" ht="18.75">
      <c r="A823" s="122" t="s">
        <v>42</v>
      </c>
      <c r="B823" s="123"/>
      <c r="C823" s="122" t="s">
        <v>43</v>
      </c>
      <c r="D823" s="123"/>
      <c r="E823" s="123"/>
      <c r="F823" s="22" t="s">
        <v>44</v>
      </c>
      <c r="G823" s="122" t="s">
        <v>45</v>
      </c>
      <c r="H823" s="123"/>
      <c r="I823" s="122" t="s">
        <v>46</v>
      </c>
      <c r="J823" s="123"/>
    </row>
    <row r="824" spans="1:10" ht="14.25" customHeight="1">
      <c r="A824" s="23"/>
      <c r="B824" s="24"/>
      <c r="C824" s="124" t="s">
        <v>47</v>
      </c>
      <c r="D824" s="125"/>
      <c r="E824" s="24"/>
      <c r="F824" s="124" t="s">
        <v>29</v>
      </c>
      <c r="G824" s="125"/>
      <c r="H824" s="125"/>
      <c r="I824" s="125"/>
      <c r="J824" s="125"/>
    </row>
    <row r="825" spans="1:10">
      <c r="A825" s="25"/>
      <c r="C825" s="19"/>
      <c r="D825" s="19"/>
      <c r="E825" s="19"/>
    </row>
    <row r="826" spans="1:10" ht="14.25" customHeight="1">
      <c r="A826" s="118" t="s">
        <v>48</v>
      </c>
      <c r="B826" s="119"/>
      <c r="C826" s="118" t="s">
        <v>49</v>
      </c>
      <c r="D826" s="119"/>
      <c r="E826" s="119"/>
      <c r="F826" s="18" t="s">
        <v>27</v>
      </c>
      <c r="G826" s="120">
        <v>200</v>
      </c>
      <c r="H826" s="119"/>
      <c r="I826" s="120">
        <v>2</v>
      </c>
      <c r="J826" s="119"/>
    </row>
    <row r="827" spans="1:10" ht="24.95" customHeight="1">
      <c r="A827" s="121" t="s">
        <v>50</v>
      </c>
      <c r="B827" s="119"/>
      <c r="C827" s="118"/>
      <c r="D827" s="119"/>
      <c r="E827" s="119"/>
      <c r="F827" s="118"/>
      <c r="G827" s="119"/>
      <c r="H827" s="119"/>
      <c r="I827" s="119"/>
      <c r="J827" s="119"/>
    </row>
    <row r="828" spans="1:10" ht="14.25" customHeight="1">
      <c r="A828" s="118" t="s">
        <v>88</v>
      </c>
      <c r="B828" s="119"/>
      <c r="C828" s="118" t="s">
        <v>89</v>
      </c>
      <c r="D828" s="119"/>
      <c r="E828" s="119"/>
      <c r="F828" s="18" t="s">
        <v>36</v>
      </c>
      <c r="G828" s="120">
        <v>4</v>
      </c>
      <c r="H828" s="119"/>
      <c r="I828" s="120">
        <v>0.04</v>
      </c>
      <c r="J828" s="119"/>
    </row>
    <row r="829" spans="1:10" ht="24.95" customHeight="1">
      <c r="A829" s="121" t="s">
        <v>90</v>
      </c>
      <c r="B829" s="119"/>
      <c r="C829" s="118" t="s">
        <v>91</v>
      </c>
      <c r="D829" s="119"/>
      <c r="E829" s="119"/>
      <c r="F829" s="118"/>
      <c r="G829" s="119"/>
      <c r="H829" s="119"/>
      <c r="I829" s="119"/>
      <c r="J829" s="119"/>
    </row>
    <row r="830" spans="1:10" ht="14.25" customHeight="1">
      <c r="A830" s="118" t="s">
        <v>100</v>
      </c>
      <c r="B830" s="119"/>
      <c r="C830" s="118" t="s">
        <v>57</v>
      </c>
      <c r="D830" s="119"/>
      <c r="E830" s="119"/>
      <c r="F830" s="18"/>
      <c r="G830" s="120">
        <v>44</v>
      </c>
      <c r="H830" s="119"/>
      <c r="I830" s="120">
        <v>0.44</v>
      </c>
      <c r="J830" s="119"/>
    </row>
    <row r="831" spans="1:10" ht="24.95" customHeight="1">
      <c r="A831" s="121" t="s">
        <v>101</v>
      </c>
      <c r="B831" s="119"/>
      <c r="C831" s="118" t="s">
        <v>102</v>
      </c>
      <c r="D831" s="119"/>
      <c r="E831" s="119"/>
      <c r="F831" s="118"/>
      <c r="G831" s="119"/>
      <c r="H831" s="119"/>
      <c r="I831" s="119"/>
      <c r="J831" s="119"/>
    </row>
    <row r="832" spans="1:10" ht="14.25" customHeight="1">
      <c r="A832" s="118" t="s">
        <v>60</v>
      </c>
      <c r="B832" s="119"/>
      <c r="C832" s="118" t="s">
        <v>61</v>
      </c>
      <c r="D832" s="119"/>
      <c r="E832" s="119"/>
      <c r="F832" s="18"/>
      <c r="G832" s="120">
        <v>0.4</v>
      </c>
      <c r="H832" s="119"/>
      <c r="I832" s="120">
        <v>4.0000000000000001E-3</v>
      </c>
      <c r="J832" s="119"/>
    </row>
    <row r="833" spans="1:14" ht="24.95" customHeight="1">
      <c r="A833" s="121" t="s">
        <v>62</v>
      </c>
      <c r="B833" s="119"/>
      <c r="C833" s="118" t="s">
        <v>63</v>
      </c>
      <c r="D833" s="119"/>
      <c r="E833" s="119"/>
      <c r="F833" s="118"/>
      <c r="G833" s="119"/>
      <c r="H833" s="119"/>
      <c r="I833" s="119"/>
      <c r="J833" s="119"/>
    </row>
    <row r="834" spans="1:14" ht="14.25" customHeight="1">
      <c r="A834" s="118"/>
      <c r="B834" s="119"/>
      <c r="C834" s="118"/>
      <c r="D834" s="119"/>
      <c r="E834" s="119"/>
      <c r="F834" s="18"/>
      <c r="G834" s="120"/>
      <c r="H834" s="119"/>
      <c r="I834" s="120"/>
      <c r="J834" s="119"/>
    </row>
    <row r="835" spans="1:14" ht="24.95" customHeight="1" thickBot="1">
      <c r="A835" s="121"/>
      <c r="B835" s="119"/>
      <c r="C835" s="118"/>
      <c r="D835" s="119"/>
      <c r="E835" s="119"/>
      <c r="F835" s="118"/>
      <c r="G835" s="119"/>
      <c r="H835" s="119"/>
      <c r="I835" s="119"/>
      <c r="J835" s="119"/>
    </row>
    <row r="836" spans="1:14" s="15" customFormat="1" ht="18" customHeight="1">
      <c r="A836" s="27" t="s">
        <v>143</v>
      </c>
      <c r="B836" s="28" t="s">
        <v>144</v>
      </c>
      <c r="C836" s="108" t="s">
        <v>145</v>
      </c>
      <c r="D836" s="109"/>
      <c r="E836" s="29" t="s">
        <v>146</v>
      </c>
      <c r="F836" s="30" t="s">
        <v>147</v>
      </c>
      <c r="G836" s="31" t="s">
        <v>148</v>
      </c>
      <c r="H836" s="32" t="s">
        <v>149</v>
      </c>
      <c r="I836" s="106" t="s">
        <v>150</v>
      </c>
      <c r="J836" s="107"/>
    </row>
    <row r="837" spans="1:14" s="19" customFormat="1" ht="18" customHeight="1">
      <c r="A837" s="33" t="str">
        <f>_xlfn.XLOOKUP(B801,[3]VFDB2!$A:$A,[3]VFDB2!$J:$J)</f>
        <v>〇</v>
      </c>
      <c r="B837" s="34">
        <f>D801</f>
        <v>888</v>
      </c>
      <c r="C837" s="110" t="str">
        <f>_xlfn.XLOOKUP(B801,[3]VFDB2!$A:$A,[3]VFDB2!$Z:$Z)</f>
        <v>LED-A888</v>
      </c>
      <c r="D837" s="111"/>
      <c r="E837" s="112" t="str" cm="1">
        <f t="array" ref="E837">IFERROR(INDEX(_xlfn._xlws.FILTER([4]加工記録２!C:C,[4]加工記録２!U:U=B803),9),"")</f>
        <v/>
      </c>
      <c r="F837" s="35" t="str" cm="1">
        <f t="array" ref="F837">IFERROR("切断加工：" &amp;_xlfn.TEXTJOIN(" / ",TRUE,INDEX(_xlfn._xlws.FILTER([4]加工記録２!M:M,[4]加工記録２!U:U=B803),9),INDEX(_xlfn._xlws.FILTER([4]加工記録２!N:N,[4]加工記録２!U:U=B803),9)),"")</f>
        <v/>
      </c>
      <c r="G837" s="36" t="str" cm="1">
        <f t="array" ref="G837">IFERROR(IF(_xlfn.TAKE(_xlfn._xlws.FILTER([4]加工記録２!$M:$N,[4]加工記録２!$U:$U=B803),5)=0,"",_xlfn.TAKE(_xlfn._xlws.FILTER([4]加工記録２!$M:$N,[4]加工記録２!$U:$U=B803),5)),"")</f>
        <v/>
      </c>
      <c r="H837" s="37"/>
      <c r="I837" s="38" t="s">
        <v>151</v>
      </c>
      <c r="J837" s="39" t="str" cm="1">
        <f t="array" ref="J837:J842">IFERROR(INDEX(_xlfn._xlws.FILTER([4]加工記録２!P:P, [4]加工記録２!U:U=B803),_xlfn.SEQUENCE(6)),"")</f>
        <v/>
      </c>
    </row>
    <row r="838" spans="1:14" s="15" customFormat="1" ht="18" customHeight="1">
      <c r="A838" s="43" t="s">
        <v>152</v>
      </c>
      <c r="B838" s="44" t="s">
        <v>153</v>
      </c>
      <c r="C838" s="110"/>
      <c r="D838" s="111"/>
      <c r="E838" s="112"/>
      <c r="F838" s="45" t="str" cm="1">
        <f t="array" ref="F838">IFERROR("外観検査：" &amp;_xlfn.TEXTJOIN(" / ",TRUE,INDEX(_xlfn._xlws.FILTER([4]加工記録２!M:M,[4]加工記録２!U:U=B803),10),INDEX(_xlfn._xlws.FILTER([4]加工記録２!N:N,[4]加工記録２!U:U=B803),10)),"")</f>
        <v/>
      </c>
      <c r="G838" s="36"/>
      <c r="H838" s="37"/>
      <c r="I838" s="38" t="s">
        <v>154</v>
      </c>
      <c r="J838" s="40" t="str">
        <v/>
      </c>
      <c r="K838" s="46"/>
    </row>
    <row r="839" spans="1:14" s="19" customFormat="1" ht="18" customHeight="1">
      <c r="A839" s="47" t="str">
        <f>_xlfn.XLOOKUP(B801,[3]VFDB2!$A:$A,[3]VFDB2!$L:$L)</f>
        <v>+0.5</v>
      </c>
      <c r="B839" s="48" t="str">
        <f>_xlfn.XLOOKUP(B801,[3]VFDB2!$A:$A,[3]VFDB2!$AC:$AC)</f>
        <v>換算表確認</v>
      </c>
      <c r="C839" s="113" t="s">
        <v>155</v>
      </c>
      <c r="D839" s="114" t="str">
        <f>_xlfn.XLOOKUP(B801,[3]VFDB2!$A:$A,[3]VFDB2!$W:$W)</f>
        <v>L=888用　クラフト紙</v>
      </c>
      <c r="E839" s="114"/>
      <c r="F839" s="115"/>
      <c r="G839" s="36"/>
      <c r="H839" s="37"/>
      <c r="I839" s="38" t="s">
        <v>156</v>
      </c>
      <c r="J839" s="40" t="str">
        <v/>
      </c>
      <c r="K839" s="49"/>
    </row>
    <row r="840" spans="1:14" s="15" customFormat="1" ht="18" customHeight="1">
      <c r="A840" s="50" t="s">
        <v>157</v>
      </c>
      <c r="B840" s="51" t="s">
        <v>158</v>
      </c>
      <c r="C840" s="113"/>
      <c r="D840" s="114" t="str">
        <f>_xlfn.XLOOKUP(B801,[3]VFDB2!$A:$A,[3]VFDB2!$R:$R)</f>
        <v>ラベル１枚　長手無　鉢巻１回</v>
      </c>
      <c r="E840" s="114"/>
      <c r="F840" s="115"/>
      <c r="G840" s="36"/>
      <c r="H840" s="37"/>
      <c r="I840" s="38" t="s">
        <v>159</v>
      </c>
      <c r="J840" s="40" t="str">
        <v/>
      </c>
      <c r="K840" s="46"/>
    </row>
    <row r="841" spans="1:14" s="19" customFormat="1" ht="18" customHeight="1" thickBot="1">
      <c r="A841" s="52" t="str">
        <f>_xlfn.XLOOKUP(B801,[3]VFDB2!$A:$A,[3]VFDB2!$K:$K)</f>
        <v>－0.5</v>
      </c>
      <c r="B841" s="53">
        <f>_xlfn.XLOOKUP(B801,[3]VFDB2!$A:$A,[3]VFDB2!$P:$P)</f>
        <v>2</v>
      </c>
      <c r="C841" s="54" t="s">
        <v>160</v>
      </c>
      <c r="D841" s="116" t="str">
        <f>_xlfn.XLOOKUP(B801,[3]VFDB2!$A:$A,[3]VFDB2!$V:$V)</f>
        <v>1箱目の梱包数 目視確認　以降、重量測定</v>
      </c>
      <c r="E841" s="116"/>
      <c r="F841" s="117"/>
      <c r="G841" s="55"/>
      <c r="H841" s="56"/>
      <c r="I841" s="38" t="s">
        <v>161</v>
      </c>
      <c r="J841" s="41" t="str">
        <v/>
      </c>
      <c r="K841" s="49"/>
    </row>
    <row r="842" spans="1:14" s="15" customFormat="1" ht="18" customHeight="1" thickBot="1">
      <c r="A842" s="57" t="s">
        <v>162</v>
      </c>
      <c r="B842" s="58" t="str" cm="1">
        <f t="array" ref="B842">IF(SUM(--(ISTEXT(B843:B853)*(B843:B853&lt;&gt;"")))=0,"計測Lot","計測Lot・加工数")</f>
        <v>計測Lot</v>
      </c>
      <c r="C842" s="59" t="s">
        <v>163</v>
      </c>
      <c r="D842" s="60" t="s">
        <v>164</v>
      </c>
      <c r="E842" s="61" t="s">
        <v>165</v>
      </c>
      <c r="F842" s="62" t="str" cm="1">
        <f t="array" ref="F842">IF(SUM(--(ISTEXT(B843:B853)*(B843:B853&lt;&gt;"")))=0,"記入不要","使用Lot")</f>
        <v>記入不要</v>
      </c>
      <c r="G842" s="63" t="s">
        <v>166</v>
      </c>
      <c r="H842" s="64" t="s">
        <v>167</v>
      </c>
      <c r="I842" s="65" t="s">
        <v>168</v>
      </c>
      <c r="J842" s="42" t="str">
        <v/>
      </c>
      <c r="K842" s="46"/>
    </row>
    <row r="843" spans="1:14" s="19" customFormat="1" ht="18" customHeight="1">
      <c r="A843" s="66" t="str" cm="1">
        <f t="array" ref="A843:A853">IFERROR(INDEX(_xlfn._xlws.FILTER([4]加工記録２!$D:$D,[4]加工記録２!$U:$U=B803),_xlfn.SEQUENCE(11),0),"")</f>
        <v/>
      </c>
      <c r="B843" s="70" t="str" cm="1">
        <f t="array" ref="B843:B853">IFERROR(IF(INDEX(_xlfn._xlws.FILTER([4]加工記録２!$E:$E,[4]加工記録２!$U:$U=B803),_xlfn.SEQUENCE(11))="","",INDEX(_xlfn._xlws.FILTER([4]加工記録２!$E:$E,[4]加工記録２!$U:$U=B803),_xlfn.SEQUENCE(11)) &amp; IF(INDEX(_xlfn._xlws.FILTER([4]加工記録２!$F:$F,[4]加工記録２!$U:$U=B803),_xlfn.SEQUENCE(11))="","", " × " &amp; INDEX(_xlfn._xlws.FILTER([4]加工記録２!$F:$F,[4]加工記録２!$U:$U=B803),_xlfn.SEQUENCE(11)))),"")</f>
        <v/>
      </c>
      <c r="C843" s="73"/>
      <c r="D843" s="74"/>
      <c r="E843" s="75"/>
      <c r="F843" s="76"/>
      <c r="G843" s="77"/>
      <c r="H843" s="78"/>
      <c r="I843" s="104" t="s">
        <v>169</v>
      </c>
      <c r="J843" s="105"/>
      <c r="K843" s="79"/>
    </row>
    <row r="844" spans="1:14" s="15" customFormat="1" ht="18" customHeight="1">
      <c r="A844" s="67" t="str">
        <v/>
      </c>
      <c r="B844" s="71" t="str">
        <v/>
      </c>
      <c r="C844" s="80"/>
      <c r="D844" s="81"/>
      <c r="E844" s="82"/>
      <c r="F844" s="83"/>
      <c r="G844" s="80"/>
      <c r="H844" s="84"/>
      <c r="I844" s="85" t="s">
        <v>170</v>
      </c>
      <c r="J844" s="84" t="str" cm="1">
        <f t="array" ref="J844:J853">IFERROR(INDEX(_xlfn._xlws.FILTER([4]加工記録２!R:R, [4]加工記録２!U:U=B803),_xlfn.SEQUENCE(10)),"")</f>
        <v/>
      </c>
      <c r="K844" s="79"/>
    </row>
    <row r="845" spans="1:14" s="90" customFormat="1" ht="18.95" customHeight="1">
      <c r="A845" s="68" t="str">
        <v/>
      </c>
      <c r="B845" s="71" t="str">
        <v/>
      </c>
      <c r="C845" s="80"/>
      <c r="D845" s="81"/>
      <c r="E845" s="82"/>
      <c r="F845" s="83"/>
      <c r="G845" s="80"/>
      <c r="H845" s="84"/>
      <c r="I845" s="85" t="s">
        <v>171</v>
      </c>
      <c r="J845" s="84" t="str">
        <v/>
      </c>
      <c r="K845" s="88"/>
      <c r="L845" s="89"/>
      <c r="M845" s="89"/>
      <c r="N845" s="89"/>
    </row>
    <row r="846" spans="1:14" s="93" customFormat="1" ht="18.95" customHeight="1">
      <c r="A846" s="68" t="str">
        <v/>
      </c>
      <c r="B846" s="71" t="str">
        <v/>
      </c>
      <c r="C846" s="80"/>
      <c r="D846" s="81"/>
      <c r="E846" s="82"/>
      <c r="F846" s="83"/>
      <c r="G846" s="80"/>
      <c r="H846" s="84"/>
      <c r="I846" s="85" t="s">
        <v>172</v>
      </c>
      <c r="J846" s="84" t="str">
        <v/>
      </c>
      <c r="K846" s="91"/>
      <c r="L846" s="92"/>
      <c r="M846" s="92"/>
      <c r="N846" s="92"/>
    </row>
    <row r="847" spans="1:14" s="93" customFormat="1" ht="18.95" customHeight="1">
      <c r="A847" s="68" t="str">
        <v/>
      </c>
      <c r="B847" s="71" t="str">
        <v/>
      </c>
      <c r="C847" s="80"/>
      <c r="D847" s="81"/>
      <c r="E847" s="82"/>
      <c r="F847" s="83"/>
      <c r="G847" s="80"/>
      <c r="H847" s="84"/>
      <c r="I847" s="85" t="s">
        <v>173</v>
      </c>
      <c r="J847" s="84" t="str">
        <v/>
      </c>
      <c r="K847" s="91"/>
      <c r="L847" s="92"/>
      <c r="M847" s="92"/>
      <c r="N847" s="92"/>
    </row>
    <row r="848" spans="1:14" s="93" customFormat="1" ht="18.95" customHeight="1">
      <c r="A848" s="68" t="str">
        <v/>
      </c>
      <c r="B848" s="71" t="str">
        <v/>
      </c>
      <c r="C848" s="80"/>
      <c r="D848" s="81"/>
      <c r="E848" s="82"/>
      <c r="F848" s="83"/>
      <c r="G848" s="80"/>
      <c r="H848" s="84"/>
      <c r="I848" s="85" t="s">
        <v>174</v>
      </c>
      <c r="J848" s="84" t="str">
        <v/>
      </c>
      <c r="K848" s="91"/>
      <c r="L848" s="92"/>
      <c r="M848" s="92"/>
      <c r="N848" s="92"/>
    </row>
    <row r="849" spans="1:14" s="93" customFormat="1" ht="18.95" customHeight="1">
      <c r="A849" s="68" t="str">
        <v/>
      </c>
      <c r="B849" s="71" t="str">
        <v/>
      </c>
      <c r="C849" s="80"/>
      <c r="D849" s="81"/>
      <c r="E849" s="82"/>
      <c r="F849" s="83"/>
      <c r="G849" s="80"/>
      <c r="H849" s="84"/>
      <c r="I849" s="85" t="s">
        <v>175</v>
      </c>
      <c r="J849" s="84" t="str">
        <v/>
      </c>
      <c r="K849" s="91"/>
      <c r="L849" s="92"/>
      <c r="M849" s="92"/>
      <c r="N849" s="92"/>
    </row>
    <row r="850" spans="1:14" s="93" customFormat="1" ht="18.95" customHeight="1">
      <c r="A850" s="68" t="str">
        <v/>
      </c>
      <c r="B850" s="71" t="str">
        <v/>
      </c>
      <c r="C850" s="80"/>
      <c r="D850" s="81"/>
      <c r="E850" s="82"/>
      <c r="F850" s="83"/>
      <c r="G850" s="80"/>
      <c r="H850" s="84"/>
      <c r="I850" s="94" t="s">
        <v>176</v>
      </c>
      <c r="J850" s="84" t="str">
        <v/>
      </c>
      <c r="K850" s="91"/>
      <c r="L850" s="92"/>
      <c r="M850" s="92"/>
      <c r="N850" s="92"/>
    </row>
    <row r="851" spans="1:14" s="93" customFormat="1" ht="18.95" customHeight="1">
      <c r="A851" s="68" t="str">
        <v/>
      </c>
      <c r="B851" s="71" t="str">
        <v/>
      </c>
      <c r="C851" s="80"/>
      <c r="D851" s="81"/>
      <c r="E851" s="82"/>
      <c r="F851" s="83"/>
      <c r="G851" s="80"/>
      <c r="H851" s="84"/>
      <c r="I851" s="94" t="s">
        <v>177</v>
      </c>
      <c r="J851" s="84" t="str">
        <v/>
      </c>
      <c r="K851" s="91"/>
      <c r="L851" s="92"/>
      <c r="M851" s="92"/>
      <c r="N851" s="92"/>
    </row>
    <row r="852" spans="1:14" s="93" customFormat="1" ht="18.95" customHeight="1">
      <c r="A852" s="68" t="str">
        <v/>
      </c>
      <c r="B852" s="71" t="str">
        <v/>
      </c>
      <c r="C852" s="80"/>
      <c r="D852" s="81"/>
      <c r="E852" s="82"/>
      <c r="F852" s="83"/>
      <c r="G852" s="80"/>
      <c r="H852" s="84"/>
      <c r="I852" s="85" t="s">
        <v>178</v>
      </c>
      <c r="J852" s="86" t="str">
        <v/>
      </c>
      <c r="K852" s="91"/>
      <c r="L852" s="92"/>
      <c r="M852" s="92"/>
      <c r="N852" s="92"/>
    </row>
    <row r="853" spans="1:14" s="93" customFormat="1" ht="18.95" customHeight="1" thickBot="1">
      <c r="A853" s="69" t="str">
        <v/>
      </c>
      <c r="B853" s="72" t="str">
        <v/>
      </c>
      <c r="C853" s="95"/>
      <c r="D853" s="96"/>
      <c r="E853" s="97"/>
      <c r="F853" s="98"/>
      <c r="G853" s="99"/>
      <c r="H853" s="100"/>
      <c r="I853" s="101" t="s">
        <v>179</v>
      </c>
      <c r="J853" s="87" t="str">
        <v/>
      </c>
      <c r="K853" s="91"/>
      <c r="L853" s="92"/>
      <c r="M853" s="92"/>
      <c r="N853" s="92"/>
    </row>
    <row r="854" spans="1:14" ht="6" customHeight="1" thickBot="1">
      <c r="A854" s="102"/>
      <c r="B854" s="103"/>
      <c r="C854" s="103"/>
      <c r="D854" s="102"/>
      <c r="E854" s="103"/>
      <c r="F854" s="103"/>
      <c r="G854" s="103"/>
      <c r="H854" s="103"/>
    </row>
    <row r="855" spans="1:14" ht="6" customHeight="1" thickTop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4" ht="14.25" customHeight="1" thickBot="1">
      <c r="A856" s="1"/>
      <c r="B856" s="150" t="s">
        <v>0</v>
      </c>
      <c r="C856" s="119"/>
      <c r="D856" s="119"/>
      <c r="E856" s="1"/>
      <c r="F856" s="1"/>
      <c r="G856" s="1"/>
      <c r="H856" s="1"/>
      <c r="I856" s="1"/>
      <c r="J856" s="1"/>
    </row>
    <row r="857" spans="1:14" ht="14.25" customHeight="1" thickTop="1">
      <c r="A857" s="3"/>
      <c r="B857" s="119"/>
      <c r="C857" s="119"/>
      <c r="D857" s="119"/>
      <c r="E857" s="3"/>
      <c r="F857" s="3"/>
      <c r="G857" s="3"/>
      <c r="H857" s="3"/>
      <c r="I857" s="3"/>
      <c r="J857" s="3"/>
    </row>
    <row r="858" spans="1:14" ht="14.25" customHeight="1">
      <c r="A858" s="151" t="s">
        <v>1</v>
      </c>
      <c r="B858" s="151" t="s">
        <v>94</v>
      </c>
      <c r="C858" s="151" t="s">
        <v>3</v>
      </c>
      <c r="D858" s="152">
        <v>888</v>
      </c>
      <c r="E858" s="151" t="s">
        <v>4</v>
      </c>
      <c r="F858" s="147" t="s">
        <v>95</v>
      </c>
      <c r="G858" s="119"/>
      <c r="H858" s="119"/>
      <c r="I858" s="4" t="s">
        <v>6</v>
      </c>
      <c r="J858" s="4" t="s">
        <v>7</v>
      </c>
    </row>
    <row r="859" spans="1:14" ht="14.25" customHeight="1">
      <c r="A859" s="119"/>
      <c r="B859" s="119"/>
      <c r="C859" s="119"/>
      <c r="D859" s="119"/>
      <c r="E859" s="119"/>
      <c r="F859" s="119"/>
      <c r="G859" s="119"/>
      <c r="H859" s="119"/>
      <c r="I859" s="148"/>
      <c r="J859" s="148"/>
    </row>
    <row r="860" spans="1:14" ht="17.45" customHeight="1">
      <c r="A860" s="139" t="s">
        <v>8</v>
      </c>
      <c r="B860" s="139" t="s">
        <v>115</v>
      </c>
      <c r="E860" s="139" t="s">
        <v>10</v>
      </c>
      <c r="F860" s="140" t="s">
        <v>97</v>
      </c>
      <c r="G860" s="119"/>
      <c r="H860" s="119"/>
      <c r="I860" s="149"/>
      <c r="J860" s="149"/>
    </row>
    <row r="861" spans="1:14" ht="17.45" customHeight="1">
      <c r="A861" s="119"/>
      <c r="B861" s="119"/>
      <c r="E861" s="119"/>
      <c r="F861" s="119"/>
      <c r="G861" s="119"/>
      <c r="H861" s="119"/>
      <c r="I861" s="7"/>
      <c r="J861" s="7"/>
    </row>
    <row r="862" spans="1:14" ht="17.45" customHeight="1">
      <c r="A862" s="139" t="s">
        <v>12</v>
      </c>
      <c r="B862" s="139" t="s">
        <v>116</v>
      </c>
      <c r="E862" s="8" t="s">
        <v>14</v>
      </c>
      <c r="F862" s="140" t="s">
        <v>15</v>
      </c>
      <c r="G862" s="119"/>
      <c r="H862" s="6"/>
      <c r="I862" s="7"/>
      <c r="J862" s="7"/>
    </row>
    <row r="863" spans="1:14" ht="17.45" customHeight="1">
      <c r="A863" s="119"/>
      <c r="B863" s="119"/>
      <c r="E863" s="8" t="s">
        <v>16</v>
      </c>
      <c r="F863" s="6" t="s">
        <v>17</v>
      </c>
      <c r="G863" s="6"/>
      <c r="H863" s="6"/>
      <c r="I863" s="9"/>
      <c r="J863" s="9"/>
    </row>
    <row r="864" spans="1:14" ht="17.45" customHeight="1">
      <c r="A864" s="8" t="s">
        <v>18</v>
      </c>
      <c r="B864" s="10">
        <v>46128</v>
      </c>
      <c r="E864" s="8" t="s">
        <v>19</v>
      </c>
      <c r="F864" s="141">
        <v>100</v>
      </c>
      <c r="G864" s="119"/>
      <c r="H864" s="6"/>
    </row>
    <row r="865" spans="1:10" ht="17.45" customHeight="1">
      <c r="A865" s="8" t="s">
        <v>20</v>
      </c>
      <c r="B865" s="10">
        <v>46128</v>
      </c>
      <c r="E865" s="8" t="s">
        <v>21</v>
      </c>
      <c r="F865" s="6">
        <v>10</v>
      </c>
      <c r="G865" s="142" t="s">
        <v>22</v>
      </c>
      <c r="H865" s="144">
        <v>1000</v>
      </c>
      <c r="I865" s="145"/>
      <c r="J865" s="146"/>
    </row>
    <row r="866" spans="1:10" ht="17.45" customHeight="1">
      <c r="A866" s="11"/>
      <c r="B866" s="12"/>
      <c r="C866" s="12"/>
      <c r="D866" s="12"/>
      <c r="E866" s="8" t="s">
        <v>23</v>
      </c>
      <c r="F866" s="6" t="s">
        <v>24</v>
      </c>
      <c r="G866" s="143"/>
      <c r="H866" s="143"/>
      <c r="I866" s="125"/>
      <c r="J866" s="133"/>
    </row>
    <row r="867" spans="1:10" ht="13.5" customHeight="1">
      <c r="A867" s="127" t="s">
        <v>99</v>
      </c>
      <c r="B867" s="119"/>
      <c r="C867" s="119"/>
      <c r="D867" s="12"/>
      <c r="F867" s="5"/>
      <c r="G867" s="128" t="s">
        <v>26</v>
      </c>
      <c r="H867" s="130" t="s">
        <v>27</v>
      </c>
      <c r="I867" s="131" t="s">
        <v>28</v>
      </c>
      <c r="J867" s="132"/>
    </row>
    <row r="868" spans="1:10" ht="13.5" customHeight="1">
      <c r="A868" s="119"/>
      <c r="B868" s="119"/>
      <c r="C868" s="119"/>
      <c r="D868" s="12"/>
      <c r="F868" s="5"/>
      <c r="G868" s="129"/>
      <c r="H868" s="129"/>
      <c r="I868" s="125"/>
      <c r="J868" s="133"/>
    </row>
    <row r="869" spans="1:10" ht="13.5" customHeight="1">
      <c r="A869" s="2" t="s">
        <v>29</v>
      </c>
    </row>
    <row r="870" spans="1:10" ht="63" customHeight="1" thickBot="1">
      <c r="A870" s="134"/>
      <c r="B870" s="135"/>
      <c r="C870" s="135"/>
      <c r="D870" s="135"/>
      <c r="E870" s="135"/>
      <c r="F870" s="135"/>
      <c r="G870" s="135"/>
      <c r="H870" s="135"/>
      <c r="I870" s="135"/>
      <c r="J870" s="135"/>
    </row>
    <row r="871" spans="1:10" ht="18.75">
      <c r="A871" s="13" t="s">
        <v>30</v>
      </c>
      <c r="B871" s="14" t="s">
        <v>31</v>
      </c>
      <c r="C871" s="136" t="s">
        <v>32</v>
      </c>
      <c r="D871" s="137"/>
      <c r="E871" s="14" t="s">
        <v>33</v>
      </c>
      <c r="F871" s="136" t="s">
        <v>34</v>
      </c>
      <c r="G871" s="137"/>
      <c r="H871" s="137"/>
      <c r="I871" s="138" t="s">
        <v>35</v>
      </c>
      <c r="J871" s="137"/>
    </row>
    <row r="872" spans="1:10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 spans="1:10" ht="16.5" customHeight="1">
      <c r="A873" s="17">
        <v>1</v>
      </c>
      <c r="B873" s="18" t="s">
        <v>36</v>
      </c>
      <c r="C873" s="118" t="s">
        <v>37</v>
      </c>
      <c r="D873" s="119"/>
      <c r="E873" s="18" t="s">
        <v>38</v>
      </c>
      <c r="F873" s="118" t="s">
        <v>39</v>
      </c>
      <c r="G873" s="119"/>
      <c r="H873" s="119"/>
      <c r="I873" s="126"/>
      <c r="J873" s="119"/>
    </row>
    <row r="874" spans="1:10" ht="16.5" customHeight="1">
      <c r="A874" s="17">
        <v>1</v>
      </c>
      <c r="B874" s="20" t="s">
        <v>36</v>
      </c>
      <c r="C874" s="118" t="s">
        <v>37</v>
      </c>
      <c r="D874" s="119"/>
      <c r="E874" s="18" t="s">
        <v>40</v>
      </c>
      <c r="F874" s="118" t="s">
        <v>41</v>
      </c>
      <c r="G874" s="119"/>
      <c r="H874" s="119"/>
      <c r="I874" s="126"/>
      <c r="J874" s="119"/>
    </row>
    <row r="875" spans="1:10" ht="16.5" customHeight="1">
      <c r="A875" s="17"/>
      <c r="B875" s="20"/>
      <c r="C875" s="118"/>
      <c r="D875" s="119"/>
      <c r="E875" s="18"/>
      <c r="F875" s="118"/>
      <c r="G875" s="119"/>
      <c r="H875" s="119"/>
      <c r="I875" s="126"/>
      <c r="J875" s="119"/>
    </row>
    <row r="876" spans="1:10" ht="16.5" customHeight="1">
      <c r="A876" s="17"/>
      <c r="B876" s="20"/>
      <c r="C876" s="118"/>
      <c r="D876" s="119"/>
      <c r="E876" s="18"/>
      <c r="F876" s="118"/>
      <c r="G876" s="119"/>
      <c r="H876" s="119"/>
      <c r="I876" s="126"/>
      <c r="J876" s="119"/>
    </row>
    <row r="877" spans="1:10" ht="16.5" customHeight="1">
      <c r="A877" s="17"/>
      <c r="B877" s="20"/>
      <c r="C877" s="118"/>
      <c r="D877" s="119"/>
      <c r="E877" s="18"/>
      <c r="F877" s="118"/>
      <c r="G877" s="119"/>
      <c r="H877" s="119"/>
      <c r="I877" s="126"/>
      <c r="J877" s="119"/>
    </row>
    <row r="878" spans="1:10" ht="16.5" customHeight="1">
      <c r="A878" s="17"/>
      <c r="B878" s="20"/>
      <c r="C878" s="118"/>
      <c r="D878" s="119"/>
      <c r="E878" s="18"/>
      <c r="F878" s="118"/>
      <c r="G878" s="119"/>
      <c r="H878" s="119"/>
      <c r="I878" s="126"/>
      <c r="J878" s="119"/>
    </row>
    <row r="879" spans="1:10" ht="16.5" customHeight="1" thickBo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spans="1:10" ht="18.75">
      <c r="A880" s="122" t="s">
        <v>42</v>
      </c>
      <c r="B880" s="123"/>
      <c r="C880" s="122" t="s">
        <v>43</v>
      </c>
      <c r="D880" s="123"/>
      <c r="E880" s="123"/>
      <c r="F880" s="22" t="s">
        <v>44</v>
      </c>
      <c r="G880" s="122" t="s">
        <v>45</v>
      </c>
      <c r="H880" s="123"/>
      <c r="I880" s="122" t="s">
        <v>46</v>
      </c>
      <c r="J880" s="123"/>
    </row>
    <row r="881" spans="1:11" ht="14.25" customHeight="1">
      <c r="A881" s="23"/>
      <c r="B881" s="24"/>
      <c r="C881" s="124" t="s">
        <v>47</v>
      </c>
      <c r="D881" s="125"/>
      <c r="E881" s="24"/>
      <c r="F881" s="124" t="s">
        <v>29</v>
      </c>
      <c r="G881" s="125"/>
      <c r="H881" s="125"/>
      <c r="I881" s="125"/>
      <c r="J881" s="125"/>
    </row>
    <row r="882" spans="1:11">
      <c r="A882" s="25"/>
      <c r="C882" s="19"/>
      <c r="D882" s="19"/>
      <c r="E882" s="19"/>
    </row>
    <row r="883" spans="1:11" ht="14.25" customHeight="1">
      <c r="A883" s="118" t="s">
        <v>48</v>
      </c>
      <c r="B883" s="119"/>
      <c r="C883" s="118" t="s">
        <v>49</v>
      </c>
      <c r="D883" s="119"/>
      <c r="E883" s="119"/>
      <c r="F883" s="18" t="s">
        <v>27</v>
      </c>
      <c r="G883" s="120">
        <v>500</v>
      </c>
      <c r="H883" s="119"/>
      <c r="I883" s="120">
        <v>5</v>
      </c>
      <c r="J883" s="119"/>
    </row>
    <row r="884" spans="1:11" ht="24.95" customHeight="1">
      <c r="A884" s="121" t="s">
        <v>50</v>
      </c>
      <c r="B884" s="119"/>
      <c r="C884" s="118"/>
      <c r="D884" s="119"/>
      <c r="E884" s="119"/>
      <c r="F884" s="118"/>
      <c r="G884" s="119"/>
      <c r="H884" s="119"/>
      <c r="I884" s="119"/>
      <c r="J884" s="119"/>
    </row>
    <row r="885" spans="1:11" ht="14.25" customHeight="1">
      <c r="A885" s="118" t="s">
        <v>88</v>
      </c>
      <c r="B885" s="119"/>
      <c r="C885" s="118" t="s">
        <v>89</v>
      </c>
      <c r="D885" s="119"/>
      <c r="E885" s="119"/>
      <c r="F885" s="18" t="s">
        <v>36</v>
      </c>
      <c r="G885" s="120">
        <v>10</v>
      </c>
      <c r="H885" s="119"/>
      <c r="I885" s="120">
        <v>0.1</v>
      </c>
      <c r="J885" s="119"/>
    </row>
    <row r="886" spans="1:11" ht="24.95" customHeight="1">
      <c r="A886" s="121" t="s">
        <v>90</v>
      </c>
      <c r="B886" s="119"/>
      <c r="C886" s="118" t="s">
        <v>91</v>
      </c>
      <c r="D886" s="119"/>
      <c r="E886" s="119"/>
      <c r="F886" s="118"/>
      <c r="G886" s="119"/>
      <c r="H886" s="119"/>
      <c r="I886" s="119"/>
      <c r="J886" s="119"/>
    </row>
    <row r="887" spans="1:11" ht="14.25" customHeight="1">
      <c r="A887" s="118" t="s">
        <v>100</v>
      </c>
      <c r="B887" s="119"/>
      <c r="C887" s="118" t="s">
        <v>57</v>
      </c>
      <c r="D887" s="119"/>
      <c r="E887" s="119"/>
      <c r="F887" s="18"/>
      <c r="G887" s="120">
        <v>110</v>
      </c>
      <c r="H887" s="119"/>
      <c r="I887" s="120">
        <v>1.1000000000000001</v>
      </c>
      <c r="J887" s="119"/>
    </row>
    <row r="888" spans="1:11" ht="24.95" customHeight="1">
      <c r="A888" s="121" t="s">
        <v>101</v>
      </c>
      <c r="B888" s="119"/>
      <c r="C888" s="118" t="s">
        <v>102</v>
      </c>
      <c r="D888" s="119"/>
      <c r="E888" s="119"/>
      <c r="F888" s="118"/>
      <c r="G888" s="119"/>
      <c r="H888" s="119"/>
      <c r="I888" s="119"/>
      <c r="J888" s="119"/>
    </row>
    <row r="889" spans="1:11" ht="14.25" customHeight="1">
      <c r="A889" s="118" t="s">
        <v>60</v>
      </c>
      <c r="B889" s="119"/>
      <c r="C889" s="118" t="s">
        <v>61</v>
      </c>
      <c r="D889" s="119"/>
      <c r="E889" s="119"/>
      <c r="F889" s="18"/>
      <c r="G889" s="120">
        <v>1</v>
      </c>
      <c r="H889" s="119"/>
      <c r="I889" s="120">
        <v>0.01</v>
      </c>
      <c r="J889" s="119"/>
    </row>
    <row r="890" spans="1:11" ht="24.95" customHeight="1">
      <c r="A890" s="121" t="s">
        <v>62</v>
      </c>
      <c r="B890" s="119"/>
      <c r="C890" s="118" t="s">
        <v>63</v>
      </c>
      <c r="D890" s="119"/>
      <c r="E890" s="119"/>
      <c r="F890" s="118"/>
      <c r="G890" s="119"/>
      <c r="H890" s="119"/>
      <c r="I890" s="119"/>
      <c r="J890" s="119"/>
    </row>
    <row r="891" spans="1:11" ht="14.25" customHeight="1">
      <c r="A891" s="118"/>
      <c r="B891" s="119"/>
      <c r="C891" s="118"/>
      <c r="D891" s="119"/>
      <c r="E891" s="119"/>
      <c r="F891" s="18"/>
      <c r="G891" s="120"/>
      <c r="H891" s="119"/>
      <c r="I891" s="120"/>
      <c r="J891" s="119"/>
    </row>
    <row r="892" spans="1:11" ht="24.95" customHeight="1" thickBot="1">
      <c r="A892" s="121"/>
      <c r="B892" s="119"/>
      <c r="C892" s="118"/>
      <c r="D892" s="119"/>
      <c r="E892" s="119"/>
      <c r="F892" s="118"/>
      <c r="G892" s="119"/>
      <c r="H892" s="119"/>
      <c r="I892" s="119"/>
      <c r="J892" s="119"/>
    </row>
    <row r="893" spans="1:11" s="15" customFormat="1" ht="18" customHeight="1">
      <c r="A893" s="27" t="s">
        <v>143</v>
      </c>
      <c r="B893" s="28" t="s">
        <v>144</v>
      </c>
      <c r="C893" s="108" t="s">
        <v>145</v>
      </c>
      <c r="D893" s="109"/>
      <c r="E893" s="29" t="s">
        <v>146</v>
      </c>
      <c r="F893" s="30" t="s">
        <v>147</v>
      </c>
      <c r="G893" s="31" t="s">
        <v>148</v>
      </c>
      <c r="H893" s="32" t="s">
        <v>149</v>
      </c>
      <c r="I893" s="106" t="s">
        <v>150</v>
      </c>
      <c r="J893" s="107"/>
    </row>
    <row r="894" spans="1:11" s="19" customFormat="1" ht="18" customHeight="1">
      <c r="A894" s="33" t="str">
        <f>_xlfn.XLOOKUP(B858,[3]VFDB2!$A:$A,[3]VFDB2!$J:$J)</f>
        <v>〇</v>
      </c>
      <c r="B894" s="34">
        <f>D858</f>
        <v>888</v>
      </c>
      <c r="C894" s="110" t="str">
        <f>_xlfn.XLOOKUP(B858,[3]VFDB2!$A:$A,[3]VFDB2!$Z:$Z)</f>
        <v>LED-A888</v>
      </c>
      <c r="D894" s="111"/>
      <c r="E894" s="112" t="str" cm="1">
        <f t="array" ref="E894">IFERROR(INDEX(_xlfn._xlws.FILTER([4]加工記録２!C:C,[4]加工記録２!U:U=B860),9),"")</f>
        <v/>
      </c>
      <c r="F894" s="35" t="str" cm="1">
        <f t="array" ref="F894">IFERROR("切断加工：" &amp;_xlfn.TEXTJOIN(" / ",TRUE,INDEX(_xlfn._xlws.FILTER([4]加工記録２!M:M,[4]加工記録２!U:U=B860),9),INDEX(_xlfn._xlws.FILTER([4]加工記録２!N:N,[4]加工記録２!U:U=B860),9)),"")</f>
        <v/>
      </c>
      <c r="G894" s="36" t="str" cm="1">
        <f t="array" ref="G894">IFERROR(IF(_xlfn.TAKE(_xlfn._xlws.FILTER([4]加工記録２!$M:$N,[4]加工記録２!$U:$U=B860),5)=0,"",_xlfn.TAKE(_xlfn._xlws.FILTER([4]加工記録２!$M:$N,[4]加工記録２!$U:$U=B860),5)),"")</f>
        <v/>
      </c>
      <c r="H894" s="37"/>
      <c r="I894" s="38" t="s">
        <v>151</v>
      </c>
      <c r="J894" s="39" t="str" cm="1">
        <f t="array" ref="J894:J899">IFERROR(INDEX(_xlfn._xlws.FILTER([4]加工記録２!P:P, [4]加工記録２!U:U=B860),_xlfn.SEQUENCE(6)),"")</f>
        <v/>
      </c>
    </row>
    <row r="895" spans="1:11" s="15" customFormat="1" ht="18" customHeight="1">
      <c r="A895" s="43" t="s">
        <v>152</v>
      </c>
      <c r="B895" s="44" t="s">
        <v>153</v>
      </c>
      <c r="C895" s="110"/>
      <c r="D895" s="111"/>
      <c r="E895" s="112"/>
      <c r="F895" s="45" t="str" cm="1">
        <f t="array" ref="F895">IFERROR("外観検査：" &amp;_xlfn.TEXTJOIN(" / ",TRUE,INDEX(_xlfn._xlws.FILTER([4]加工記録２!M:M,[4]加工記録２!U:U=B860),10),INDEX(_xlfn._xlws.FILTER([4]加工記録２!N:N,[4]加工記録２!U:U=B860),10)),"")</f>
        <v/>
      </c>
      <c r="G895" s="36"/>
      <c r="H895" s="37"/>
      <c r="I895" s="38" t="s">
        <v>154</v>
      </c>
      <c r="J895" s="40" t="str">
        <v/>
      </c>
      <c r="K895" s="46"/>
    </row>
    <row r="896" spans="1:11" s="19" customFormat="1" ht="18" customHeight="1">
      <c r="A896" s="47" t="str">
        <f>_xlfn.XLOOKUP(B858,[3]VFDB2!$A:$A,[3]VFDB2!$L:$L)</f>
        <v>+0.5</v>
      </c>
      <c r="B896" s="48" t="str">
        <f>_xlfn.XLOOKUP(B858,[3]VFDB2!$A:$A,[3]VFDB2!$AC:$AC)</f>
        <v>換算表確認</v>
      </c>
      <c r="C896" s="113" t="s">
        <v>155</v>
      </c>
      <c r="D896" s="114" t="str">
        <f>_xlfn.XLOOKUP(B858,[3]VFDB2!$A:$A,[3]VFDB2!$W:$W)</f>
        <v>L=888用　クラフト紙</v>
      </c>
      <c r="E896" s="114"/>
      <c r="F896" s="115"/>
      <c r="G896" s="36"/>
      <c r="H896" s="37"/>
      <c r="I896" s="38" t="s">
        <v>156</v>
      </c>
      <c r="J896" s="40" t="str">
        <v/>
      </c>
      <c r="K896" s="49"/>
    </row>
    <row r="897" spans="1:14" s="15" customFormat="1" ht="18" customHeight="1">
      <c r="A897" s="50" t="s">
        <v>157</v>
      </c>
      <c r="B897" s="51" t="s">
        <v>158</v>
      </c>
      <c r="C897" s="113"/>
      <c r="D897" s="114" t="str">
        <f>_xlfn.XLOOKUP(B858,[3]VFDB2!$A:$A,[3]VFDB2!$R:$R)</f>
        <v>ラベル１枚　長手無　鉢巻１回</v>
      </c>
      <c r="E897" s="114"/>
      <c r="F897" s="115"/>
      <c r="G897" s="36"/>
      <c r="H897" s="37"/>
      <c r="I897" s="38" t="s">
        <v>159</v>
      </c>
      <c r="J897" s="40" t="str">
        <v/>
      </c>
      <c r="K897" s="46"/>
    </row>
    <row r="898" spans="1:14" s="19" customFormat="1" ht="18" customHeight="1" thickBot="1">
      <c r="A898" s="52" t="str">
        <f>_xlfn.XLOOKUP(B858,[3]VFDB2!$A:$A,[3]VFDB2!$K:$K)</f>
        <v>－0.5</v>
      </c>
      <c r="B898" s="53">
        <f>_xlfn.XLOOKUP(B858,[3]VFDB2!$A:$A,[3]VFDB2!$P:$P)</f>
        <v>2</v>
      </c>
      <c r="C898" s="54" t="s">
        <v>160</v>
      </c>
      <c r="D898" s="116" t="str">
        <f>_xlfn.XLOOKUP(B858,[3]VFDB2!$A:$A,[3]VFDB2!$V:$V)</f>
        <v>1箱目の梱包数 目視確認　以降、重量測定</v>
      </c>
      <c r="E898" s="116"/>
      <c r="F898" s="117"/>
      <c r="G898" s="55"/>
      <c r="H898" s="56"/>
      <c r="I898" s="38" t="s">
        <v>161</v>
      </c>
      <c r="J898" s="41" t="str">
        <v/>
      </c>
      <c r="K898" s="49"/>
    </row>
    <row r="899" spans="1:14" s="15" customFormat="1" ht="18" customHeight="1" thickBot="1">
      <c r="A899" s="57" t="s">
        <v>162</v>
      </c>
      <c r="B899" s="58" t="str" cm="1">
        <f t="array" ref="B899">IF(SUM(--(ISTEXT(B900:B910)*(B900:B910&lt;&gt;"")))=0,"計測Lot","計測Lot・加工数")</f>
        <v>計測Lot</v>
      </c>
      <c r="C899" s="59" t="s">
        <v>163</v>
      </c>
      <c r="D899" s="60" t="s">
        <v>164</v>
      </c>
      <c r="E899" s="61" t="s">
        <v>165</v>
      </c>
      <c r="F899" s="62" t="str" cm="1">
        <f t="array" ref="F899">IF(SUM(--(ISTEXT(B900:B910)*(B900:B910&lt;&gt;"")))=0,"記入不要","使用Lot")</f>
        <v>記入不要</v>
      </c>
      <c r="G899" s="63" t="s">
        <v>166</v>
      </c>
      <c r="H899" s="64" t="s">
        <v>167</v>
      </c>
      <c r="I899" s="65" t="s">
        <v>168</v>
      </c>
      <c r="J899" s="42" t="str">
        <v/>
      </c>
      <c r="K899" s="46"/>
    </row>
    <row r="900" spans="1:14" s="19" customFormat="1" ht="18" customHeight="1">
      <c r="A900" s="66" t="str" cm="1">
        <f t="array" ref="A900:A910">IFERROR(INDEX(_xlfn._xlws.FILTER([4]加工記録２!$D:$D,[4]加工記録２!$U:$U=B860),_xlfn.SEQUENCE(11),0),"")</f>
        <v/>
      </c>
      <c r="B900" s="70" t="str" cm="1">
        <f t="array" ref="B900:B910">IFERROR(IF(INDEX(_xlfn._xlws.FILTER([4]加工記録２!$E:$E,[4]加工記録２!$U:$U=B860),_xlfn.SEQUENCE(11))="","",INDEX(_xlfn._xlws.FILTER([4]加工記録２!$E:$E,[4]加工記録２!$U:$U=B860),_xlfn.SEQUENCE(11)) &amp; IF(INDEX(_xlfn._xlws.FILTER([4]加工記録２!$F:$F,[4]加工記録２!$U:$U=B860),_xlfn.SEQUENCE(11))="","", " × " &amp; INDEX(_xlfn._xlws.FILTER([4]加工記録２!$F:$F,[4]加工記録２!$U:$U=B860),_xlfn.SEQUENCE(11)))),"")</f>
        <v/>
      </c>
      <c r="C900" s="73"/>
      <c r="D900" s="74"/>
      <c r="E900" s="75"/>
      <c r="F900" s="76"/>
      <c r="G900" s="77"/>
      <c r="H900" s="78"/>
      <c r="I900" s="104" t="s">
        <v>169</v>
      </c>
      <c r="J900" s="105"/>
      <c r="K900" s="79"/>
    </row>
    <row r="901" spans="1:14" s="15" customFormat="1" ht="18" customHeight="1">
      <c r="A901" s="67" t="str">
        <v/>
      </c>
      <c r="B901" s="71" t="str">
        <v/>
      </c>
      <c r="C901" s="80"/>
      <c r="D901" s="81"/>
      <c r="E901" s="82"/>
      <c r="F901" s="83"/>
      <c r="G901" s="80"/>
      <c r="H901" s="84"/>
      <c r="I901" s="85" t="s">
        <v>170</v>
      </c>
      <c r="J901" s="84" t="str" cm="1">
        <f t="array" ref="J901:J910">IFERROR(INDEX(_xlfn._xlws.FILTER([4]加工記録２!R:R, [4]加工記録２!U:U=B860),_xlfn.SEQUENCE(10)),"")</f>
        <v/>
      </c>
      <c r="K901" s="79"/>
    </row>
    <row r="902" spans="1:14" s="90" customFormat="1" ht="18.95" customHeight="1">
      <c r="A902" s="68" t="str">
        <v/>
      </c>
      <c r="B902" s="71" t="str">
        <v/>
      </c>
      <c r="C902" s="80"/>
      <c r="D902" s="81"/>
      <c r="E902" s="82"/>
      <c r="F902" s="83"/>
      <c r="G902" s="80"/>
      <c r="H902" s="84"/>
      <c r="I902" s="85" t="s">
        <v>171</v>
      </c>
      <c r="J902" s="84" t="str">
        <v/>
      </c>
      <c r="K902" s="88"/>
      <c r="L902" s="89"/>
      <c r="M902" s="89"/>
      <c r="N902" s="89"/>
    </row>
    <row r="903" spans="1:14" s="93" customFormat="1" ht="18.95" customHeight="1">
      <c r="A903" s="68" t="str">
        <v/>
      </c>
      <c r="B903" s="71" t="str">
        <v/>
      </c>
      <c r="C903" s="80"/>
      <c r="D903" s="81"/>
      <c r="E903" s="82"/>
      <c r="F903" s="83"/>
      <c r="G903" s="80"/>
      <c r="H903" s="84"/>
      <c r="I903" s="85" t="s">
        <v>172</v>
      </c>
      <c r="J903" s="84" t="str">
        <v/>
      </c>
      <c r="K903" s="91"/>
      <c r="L903" s="92"/>
      <c r="M903" s="92"/>
      <c r="N903" s="92"/>
    </row>
    <row r="904" spans="1:14" s="93" customFormat="1" ht="18.95" customHeight="1">
      <c r="A904" s="68" t="str">
        <v/>
      </c>
      <c r="B904" s="71" t="str">
        <v/>
      </c>
      <c r="C904" s="80"/>
      <c r="D904" s="81"/>
      <c r="E904" s="82"/>
      <c r="F904" s="83"/>
      <c r="G904" s="80"/>
      <c r="H904" s="84"/>
      <c r="I904" s="85" t="s">
        <v>173</v>
      </c>
      <c r="J904" s="84" t="str">
        <v/>
      </c>
      <c r="K904" s="91"/>
      <c r="L904" s="92"/>
      <c r="M904" s="92"/>
      <c r="N904" s="92"/>
    </row>
    <row r="905" spans="1:14" s="93" customFormat="1" ht="18.95" customHeight="1">
      <c r="A905" s="68" t="str">
        <v/>
      </c>
      <c r="B905" s="71" t="str">
        <v/>
      </c>
      <c r="C905" s="80"/>
      <c r="D905" s="81"/>
      <c r="E905" s="82"/>
      <c r="F905" s="83"/>
      <c r="G905" s="80"/>
      <c r="H905" s="84"/>
      <c r="I905" s="85" t="s">
        <v>174</v>
      </c>
      <c r="J905" s="84" t="str">
        <v/>
      </c>
      <c r="K905" s="91"/>
      <c r="L905" s="92"/>
      <c r="M905" s="92"/>
      <c r="N905" s="92"/>
    </row>
    <row r="906" spans="1:14" s="93" customFormat="1" ht="18.95" customHeight="1">
      <c r="A906" s="68" t="str">
        <v/>
      </c>
      <c r="B906" s="71" t="str">
        <v/>
      </c>
      <c r="C906" s="80"/>
      <c r="D906" s="81"/>
      <c r="E906" s="82"/>
      <c r="F906" s="83"/>
      <c r="G906" s="80"/>
      <c r="H906" s="84"/>
      <c r="I906" s="85" t="s">
        <v>175</v>
      </c>
      <c r="J906" s="84" t="str">
        <v/>
      </c>
      <c r="K906" s="91"/>
      <c r="L906" s="92"/>
      <c r="M906" s="92"/>
      <c r="N906" s="92"/>
    </row>
    <row r="907" spans="1:14" s="93" customFormat="1" ht="18.95" customHeight="1">
      <c r="A907" s="68" t="str">
        <v/>
      </c>
      <c r="B907" s="71" t="str">
        <v/>
      </c>
      <c r="C907" s="80"/>
      <c r="D907" s="81"/>
      <c r="E907" s="82"/>
      <c r="F907" s="83"/>
      <c r="G907" s="80"/>
      <c r="H907" s="84"/>
      <c r="I907" s="94" t="s">
        <v>176</v>
      </c>
      <c r="J907" s="84" t="str">
        <v/>
      </c>
      <c r="K907" s="91"/>
      <c r="L907" s="92"/>
      <c r="M907" s="92"/>
      <c r="N907" s="92"/>
    </row>
    <row r="908" spans="1:14" s="93" customFormat="1" ht="18.95" customHeight="1">
      <c r="A908" s="68" t="str">
        <v/>
      </c>
      <c r="B908" s="71" t="str">
        <v/>
      </c>
      <c r="C908" s="80"/>
      <c r="D908" s="81"/>
      <c r="E908" s="82"/>
      <c r="F908" s="83"/>
      <c r="G908" s="80"/>
      <c r="H908" s="84"/>
      <c r="I908" s="94" t="s">
        <v>177</v>
      </c>
      <c r="J908" s="84" t="str">
        <v/>
      </c>
      <c r="K908" s="91"/>
      <c r="L908" s="92"/>
      <c r="M908" s="92"/>
      <c r="N908" s="92"/>
    </row>
    <row r="909" spans="1:14" s="93" customFormat="1" ht="18.95" customHeight="1">
      <c r="A909" s="68" t="str">
        <v/>
      </c>
      <c r="B909" s="71" t="str">
        <v/>
      </c>
      <c r="C909" s="80"/>
      <c r="D909" s="81"/>
      <c r="E909" s="82"/>
      <c r="F909" s="83"/>
      <c r="G909" s="80"/>
      <c r="H909" s="84"/>
      <c r="I909" s="85" t="s">
        <v>178</v>
      </c>
      <c r="J909" s="86" t="str">
        <v/>
      </c>
      <c r="K909" s="91"/>
      <c r="L909" s="92"/>
      <c r="M909" s="92"/>
      <c r="N909" s="92"/>
    </row>
    <row r="910" spans="1:14" s="93" customFormat="1" ht="18.95" customHeight="1" thickBot="1">
      <c r="A910" s="69" t="str">
        <v/>
      </c>
      <c r="B910" s="72" t="str">
        <v/>
      </c>
      <c r="C910" s="95"/>
      <c r="D910" s="96"/>
      <c r="E910" s="97"/>
      <c r="F910" s="98"/>
      <c r="G910" s="99"/>
      <c r="H910" s="100"/>
      <c r="I910" s="101" t="s">
        <v>179</v>
      </c>
      <c r="J910" s="87" t="str">
        <v/>
      </c>
      <c r="K910" s="91"/>
      <c r="L910" s="92"/>
      <c r="M910" s="92"/>
      <c r="N910" s="92"/>
    </row>
    <row r="911" spans="1:14" ht="6" customHeight="1" thickBot="1">
      <c r="A911" s="102"/>
      <c r="B911" s="103"/>
      <c r="C911" s="103"/>
      <c r="D911" s="102"/>
      <c r="E911" s="103"/>
      <c r="F911" s="103"/>
      <c r="G911" s="103"/>
      <c r="H911" s="103"/>
    </row>
    <row r="912" spans="1:14" ht="6" customHeight="1" thickTop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ht="14.25" customHeight="1" thickBot="1">
      <c r="A913" s="1"/>
      <c r="B913" s="150" t="s">
        <v>0</v>
      </c>
      <c r="C913" s="119"/>
      <c r="D913" s="119"/>
      <c r="E913" s="1"/>
      <c r="F913" s="1"/>
      <c r="G913" s="1"/>
      <c r="H913" s="1"/>
      <c r="I913" s="1"/>
      <c r="J913" s="1"/>
    </row>
    <row r="914" spans="1:10" ht="14.25" customHeight="1" thickTop="1">
      <c r="A914" s="3"/>
      <c r="B914" s="119"/>
      <c r="C914" s="119"/>
      <c r="D914" s="119"/>
      <c r="E914" s="3"/>
      <c r="F914" s="3"/>
      <c r="G914" s="3"/>
      <c r="H914" s="3"/>
      <c r="I914" s="3"/>
      <c r="J914" s="3"/>
    </row>
    <row r="915" spans="1:10" ht="14.25" customHeight="1">
      <c r="A915" s="151" t="s">
        <v>1</v>
      </c>
      <c r="B915" s="151" t="s">
        <v>94</v>
      </c>
      <c r="C915" s="151" t="s">
        <v>3</v>
      </c>
      <c r="D915" s="152">
        <v>888</v>
      </c>
      <c r="E915" s="151" t="s">
        <v>4</v>
      </c>
      <c r="F915" s="147" t="s">
        <v>95</v>
      </c>
      <c r="G915" s="119"/>
      <c r="H915" s="119"/>
      <c r="I915" s="4" t="s">
        <v>6</v>
      </c>
      <c r="J915" s="4" t="s">
        <v>7</v>
      </c>
    </row>
    <row r="916" spans="1:10" ht="14.25" customHeight="1">
      <c r="A916" s="119"/>
      <c r="B916" s="119"/>
      <c r="C916" s="119"/>
      <c r="D916" s="119"/>
      <c r="E916" s="119"/>
      <c r="F916" s="119"/>
      <c r="G916" s="119"/>
      <c r="H916" s="119"/>
      <c r="I916" s="148"/>
      <c r="J916" s="148"/>
    </row>
    <row r="917" spans="1:10" ht="17.45" customHeight="1">
      <c r="A917" s="139" t="s">
        <v>8</v>
      </c>
      <c r="B917" s="139" t="s">
        <v>117</v>
      </c>
      <c r="E917" s="139" t="s">
        <v>10</v>
      </c>
      <c r="F917" s="140" t="s">
        <v>97</v>
      </c>
      <c r="G917" s="119"/>
      <c r="H917" s="119"/>
      <c r="I917" s="149"/>
      <c r="J917" s="149"/>
    </row>
    <row r="918" spans="1:10" ht="17.45" customHeight="1">
      <c r="A918" s="119"/>
      <c r="B918" s="119"/>
      <c r="E918" s="119"/>
      <c r="F918" s="119"/>
      <c r="G918" s="119"/>
      <c r="H918" s="119"/>
      <c r="I918" s="7"/>
      <c r="J918" s="7"/>
    </row>
    <row r="919" spans="1:10" ht="17.45" customHeight="1">
      <c r="A919" s="139" t="s">
        <v>12</v>
      </c>
      <c r="B919" s="139" t="s">
        <v>118</v>
      </c>
      <c r="E919" s="8" t="s">
        <v>14</v>
      </c>
      <c r="F919" s="140" t="s">
        <v>15</v>
      </c>
      <c r="G919" s="119"/>
      <c r="H919" s="6"/>
      <c r="I919" s="7"/>
      <c r="J919" s="7"/>
    </row>
    <row r="920" spans="1:10" ht="17.45" customHeight="1">
      <c r="A920" s="119"/>
      <c r="B920" s="119"/>
      <c r="E920" s="8" t="s">
        <v>16</v>
      </c>
      <c r="F920" s="6" t="s">
        <v>17</v>
      </c>
      <c r="G920" s="6"/>
      <c r="H920" s="6"/>
      <c r="I920" s="9"/>
      <c r="J920" s="9"/>
    </row>
    <row r="921" spans="1:10" ht="17.45" customHeight="1">
      <c r="A921" s="8" t="s">
        <v>18</v>
      </c>
      <c r="B921" s="10">
        <v>46134</v>
      </c>
      <c r="E921" s="8" t="s">
        <v>19</v>
      </c>
      <c r="F921" s="141">
        <v>100</v>
      </c>
      <c r="G921" s="119"/>
      <c r="H921" s="6"/>
    </row>
    <row r="922" spans="1:10" ht="17.45" customHeight="1">
      <c r="A922" s="8" t="s">
        <v>20</v>
      </c>
      <c r="B922" s="10">
        <v>46134</v>
      </c>
      <c r="E922" s="8" t="s">
        <v>21</v>
      </c>
      <c r="F922" s="6">
        <v>20</v>
      </c>
      <c r="G922" s="142" t="s">
        <v>22</v>
      </c>
      <c r="H922" s="144">
        <v>2000</v>
      </c>
      <c r="I922" s="145"/>
      <c r="J922" s="146"/>
    </row>
    <row r="923" spans="1:10" ht="17.45" customHeight="1">
      <c r="A923" s="11"/>
      <c r="B923" s="12"/>
      <c r="C923" s="12"/>
      <c r="D923" s="12"/>
      <c r="E923" s="8" t="s">
        <v>23</v>
      </c>
      <c r="F923" s="6" t="s">
        <v>24</v>
      </c>
      <c r="G923" s="143"/>
      <c r="H923" s="143"/>
      <c r="I923" s="125"/>
      <c r="J923" s="133"/>
    </row>
    <row r="924" spans="1:10" ht="13.5" customHeight="1">
      <c r="A924" s="127" t="s">
        <v>99</v>
      </c>
      <c r="B924" s="119"/>
      <c r="C924" s="119"/>
      <c r="D924" s="12"/>
      <c r="F924" s="5"/>
      <c r="G924" s="128" t="s">
        <v>26</v>
      </c>
      <c r="H924" s="130" t="s">
        <v>27</v>
      </c>
      <c r="I924" s="131" t="s">
        <v>28</v>
      </c>
      <c r="J924" s="132"/>
    </row>
    <row r="925" spans="1:10" ht="13.5" customHeight="1">
      <c r="A925" s="119"/>
      <c r="B925" s="119"/>
      <c r="C925" s="119"/>
      <c r="D925" s="12"/>
      <c r="F925" s="5"/>
      <c r="G925" s="129"/>
      <c r="H925" s="129"/>
      <c r="I925" s="125"/>
      <c r="J925" s="133"/>
    </row>
    <row r="926" spans="1:10" ht="13.5" customHeight="1">
      <c r="A926" s="2" t="s">
        <v>29</v>
      </c>
    </row>
    <row r="927" spans="1:10" ht="63" customHeight="1" thickBot="1">
      <c r="A927" s="134"/>
      <c r="B927" s="135"/>
      <c r="C927" s="135"/>
      <c r="D927" s="135"/>
      <c r="E927" s="135"/>
      <c r="F927" s="135"/>
      <c r="G927" s="135"/>
      <c r="H927" s="135"/>
      <c r="I927" s="135"/>
      <c r="J927" s="135"/>
    </row>
    <row r="928" spans="1:10" ht="18.75">
      <c r="A928" s="13" t="s">
        <v>30</v>
      </c>
      <c r="B928" s="14" t="s">
        <v>31</v>
      </c>
      <c r="C928" s="136" t="s">
        <v>32</v>
      </c>
      <c r="D928" s="137"/>
      <c r="E928" s="14" t="s">
        <v>33</v>
      </c>
      <c r="F928" s="136" t="s">
        <v>34</v>
      </c>
      <c r="G928" s="137"/>
      <c r="H928" s="137"/>
      <c r="I928" s="138" t="s">
        <v>35</v>
      </c>
      <c r="J928" s="137"/>
    </row>
    <row r="929" spans="1:10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 spans="1:10" ht="16.5" customHeight="1">
      <c r="A930" s="17">
        <v>1</v>
      </c>
      <c r="B930" s="18" t="s">
        <v>36</v>
      </c>
      <c r="C930" s="118" t="s">
        <v>37</v>
      </c>
      <c r="D930" s="119"/>
      <c r="E930" s="18" t="s">
        <v>38</v>
      </c>
      <c r="F930" s="118" t="s">
        <v>39</v>
      </c>
      <c r="G930" s="119"/>
      <c r="H930" s="119"/>
      <c r="I930" s="126"/>
      <c r="J930" s="119"/>
    </row>
    <row r="931" spans="1:10" ht="16.5" customHeight="1">
      <c r="A931" s="17">
        <v>1</v>
      </c>
      <c r="B931" s="20" t="s">
        <v>36</v>
      </c>
      <c r="C931" s="118" t="s">
        <v>37</v>
      </c>
      <c r="D931" s="119"/>
      <c r="E931" s="18" t="s">
        <v>40</v>
      </c>
      <c r="F931" s="118" t="s">
        <v>41</v>
      </c>
      <c r="G931" s="119"/>
      <c r="H931" s="119"/>
      <c r="I931" s="126"/>
      <c r="J931" s="119"/>
    </row>
    <row r="932" spans="1:10" ht="16.5" customHeight="1">
      <c r="A932" s="17"/>
      <c r="B932" s="20"/>
      <c r="C932" s="118"/>
      <c r="D932" s="119"/>
      <c r="E932" s="18"/>
      <c r="F932" s="118"/>
      <c r="G932" s="119"/>
      <c r="H932" s="119"/>
      <c r="I932" s="126"/>
      <c r="J932" s="119"/>
    </row>
    <row r="933" spans="1:10" ht="16.5" customHeight="1">
      <c r="A933" s="17"/>
      <c r="B933" s="20"/>
      <c r="C933" s="118"/>
      <c r="D933" s="119"/>
      <c r="E933" s="18"/>
      <c r="F933" s="118"/>
      <c r="G933" s="119"/>
      <c r="H933" s="119"/>
      <c r="I933" s="126"/>
      <c r="J933" s="119"/>
    </row>
    <row r="934" spans="1:10" ht="16.5" customHeight="1">
      <c r="A934" s="17"/>
      <c r="B934" s="20"/>
      <c r="C934" s="118"/>
      <c r="D934" s="119"/>
      <c r="E934" s="18"/>
      <c r="F934" s="118"/>
      <c r="G934" s="119"/>
      <c r="H934" s="119"/>
      <c r="I934" s="126"/>
      <c r="J934" s="119"/>
    </row>
    <row r="935" spans="1:10" ht="16.5" customHeight="1">
      <c r="A935" s="17"/>
      <c r="B935" s="20"/>
      <c r="C935" s="118"/>
      <c r="D935" s="119"/>
      <c r="E935" s="18"/>
      <c r="F935" s="118"/>
      <c r="G935" s="119"/>
      <c r="H935" s="119"/>
      <c r="I935" s="126"/>
      <c r="J935" s="119"/>
    </row>
    <row r="936" spans="1:10" ht="16.5" customHeight="1" thickBo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spans="1:10" ht="18.75">
      <c r="A937" s="122" t="s">
        <v>42</v>
      </c>
      <c r="B937" s="123"/>
      <c r="C937" s="122" t="s">
        <v>43</v>
      </c>
      <c r="D937" s="123"/>
      <c r="E937" s="123"/>
      <c r="F937" s="22" t="s">
        <v>44</v>
      </c>
      <c r="G937" s="122" t="s">
        <v>45</v>
      </c>
      <c r="H937" s="123"/>
      <c r="I937" s="122" t="s">
        <v>46</v>
      </c>
      <c r="J937" s="123"/>
    </row>
    <row r="938" spans="1:10" ht="14.25" customHeight="1">
      <c r="A938" s="23"/>
      <c r="B938" s="24"/>
      <c r="C938" s="124" t="s">
        <v>47</v>
      </c>
      <c r="D938" s="125"/>
      <c r="E938" s="24"/>
      <c r="F938" s="124" t="s">
        <v>29</v>
      </c>
      <c r="G938" s="125"/>
      <c r="H938" s="125"/>
      <c r="I938" s="125"/>
      <c r="J938" s="125"/>
    </row>
    <row r="939" spans="1:10">
      <c r="A939" s="25"/>
      <c r="C939" s="19"/>
      <c r="D939" s="19"/>
      <c r="E939" s="19"/>
    </row>
    <row r="940" spans="1:10" ht="14.25" customHeight="1">
      <c r="A940" s="118" t="s">
        <v>48</v>
      </c>
      <c r="B940" s="119"/>
      <c r="C940" s="118" t="s">
        <v>49</v>
      </c>
      <c r="D940" s="119"/>
      <c r="E940" s="119"/>
      <c r="F940" s="18" t="s">
        <v>27</v>
      </c>
      <c r="G940" s="120">
        <v>1000</v>
      </c>
      <c r="H940" s="119"/>
      <c r="I940" s="120">
        <v>10</v>
      </c>
      <c r="J940" s="119"/>
    </row>
    <row r="941" spans="1:10" ht="24.95" customHeight="1">
      <c r="A941" s="121" t="s">
        <v>50</v>
      </c>
      <c r="B941" s="119"/>
      <c r="C941" s="118"/>
      <c r="D941" s="119"/>
      <c r="E941" s="119"/>
      <c r="F941" s="118"/>
      <c r="G941" s="119"/>
      <c r="H941" s="119"/>
      <c r="I941" s="119"/>
      <c r="J941" s="119"/>
    </row>
    <row r="942" spans="1:10" ht="14.25" customHeight="1">
      <c r="A942" s="118" t="s">
        <v>88</v>
      </c>
      <c r="B942" s="119"/>
      <c r="C942" s="118" t="s">
        <v>89</v>
      </c>
      <c r="D942" s="119"/>
      <c r="E942" s="119"/>
      <c r="F942" s="18" t="s">
        <v>36</v>
      </c>
      <c r="G942" s="120">
        <v>20</v>
      </c>
      <c r="H942" s="119"/>
      <c r="I942" s="120">
        <v>0.2</v>
      </c>
      <c r="J942" s="119"/>
    </row>
    <row r="943" spans="1:10" ht="24.95" customHeight="1">
      <c r="A943" s="121" t="s">
        <v>90</v>
      </c>
      <c r="B943" s="119"/>
      <c r="C943" s="118" t="s">
        <v>91</v>
      </c>
      <c r="D943" s="119"/>
      <c r="E943" s="119"/>
      <c r="F943" s="118"/>
      <c r="G943" s="119"/>
      <c r="H943" s="119"/>
      <c r="I943" s="119"/>
      <c r="J943" s="119"/>
    </row>
    <row r="944" spans="1:10" ht="14.25" customHeight="1">
      <c r="A944" s="118" t="s">
        <v>100</v>
      </c>
      <c r="B944" s="119"/>
      <c r="C944" s="118" t="s">
        <v>57</v>
      </c>
      <c r="D944" s="119"/>
      <c r="E944" s="119"/>
      <c r="F944" s="18"/>
      <c r="G944" s="120">
        <v>220</v>
      </c>
      <c r="H944" s="119"/>
      <c r="I944" s="120">
        <v>2.2000000000000002</v>
      </c>
      <c r="J944" s="119"/>
    </row>
    <row r="945" spans="1:14" ht="24.95" customHeight="1">
      <c r="A945" s="121" t="s">
        <v>101</v>
      </c>
      <c r="B945" s="119"/>
      <c r="C945" s="118" t="s">
        <v>102</v>
      </c>
      <c r="D945" s="119"/>
      <c r="E945" s="119"/>
      <c r="F945" s="118"/>
      <c r="G945" s="119"/>
      <c r="H945" s="119"/>
      <c r="I945" s="119"/>
      <c r="J945" s="119"/>
    </row>
    <row r="946" spans="1:14" ht="14.25" customHeight="1">
      <c r="A946" s="118" t="s">
        <v>60</v>
      </c>
      <c r="B946" s="119"/>
      <c r="C946" s="118" t="s">
        <v>61</v>
      </c>
      <c r="D946" s="119"/>
      <c r="E946" s="119"/>
      <c r="F946" s="18"/>
      <c r="G946" s="120">
        <v>2</v>
      </c>
      <c r="H946" s="119"/>
      <c r="I946" s="120">
        <v>0.02</v>
      </c>
      <c r="J946" s="119"/>
    </row>
    <row r="947" spans="1:14" ht="24.95" customHeight="1">
      <c r="A947" s="121" t="s">
        <v>62</v>
      </c>
      <c r="B947" s="119"/>
      <c r="C947" s="118" t="s">
        <v>63</v>
      </c>
      <c r="D947" s="119"/>
      <c r="E947" s="119"/>
      <c r="F947" s="118"/>
      <c r="G947" s="119"/>
      <c r="H947" s="119"/>
      <c r="I947" s="119"/>
      <c r="J947" s="119"/>
    </row>
    <row r="948" spans="1:14" ht="14.25" customHeight="1">
      <c r="A948" s="118"/>
      <c r="B948" s="119"/>
      <c r="C948" s="118"/>
      <c r="D948" s="119"/>
      <c r="E948" s="119"/>
      <c r="F948" s="18"/>
      <c r="G948" s="120"/>
      <c r="H948" s="119"/>
      <c r="I948" s="120"/>
      <c r="J948" s="119"/>
    </row>
    <row r="949" spans="1:14" ht="24.95" customHeight="1" thickBot="1">
      <c r="A949" s="121"/>
      <c r="B949" s="119"/>
      <c r="C949" s="118"/>
      <c r="D949" s="119"/>
      <c r="E949" s="119"/>
      <c r="F949" s="118"/>
      <c r="G949" s="119"/>
      <c r="H949" s="119"/>
      <c r="I949" s="119"/>
      <c r="J949" s="119"/>
    </row>
    <row r="950" spans="1:14" s="15" customFormat="1" ht="18" customHeight="1">
      <c r="A950" s="27" t="s">
        <v>143</v>
      </c>
      <c r="B950" s="28" t="s">
        <v>144</v>
      </c>
      <c r="C950" s="108" t="s">
        <v>145</v>
      </c>
      <c r="D950" s="109"/>
      <c r="E950" s="29" t="s">
        <v>146</v>
      </c>
      <c r="F950" s="30" t="s">
        <v>147</v>
      </c>
      <c r="G950" s="31" t="s">
        <v>148</v>
      </c>
      <c r="H950" s="32" t="s">
        <v>149</v>
      </c>
      <c r="I950" s="106" t="s">
        <v>150</v>
      </c>
      <c r="J950" s="107"/>
    </row>
    <row r="951" spans="1:14" s="19" customFormat="1" ht="18" customHeight="1">
      <c r="A951" s="33" t="str">
        <f>_xlfn.XLOOKUP(B915,[3]VFDB2!$A:$A,[3]VFDB2!$J:$J)</f>
        <v>〇</v>
      </c>
      <c r="B951" s="34">
        <f>D915</f>
        <v>888</v>
      </c>
      <c r="C951" s="110" t="str">
        <f>_xlfn.XLOOKUP(B915,[3]VFDB2!$A:$A,[3]VFDB2!$Z:$Z)</f>
        <v>LED-A888</v>
      </c>
      <c r="D951" s="111"/>
      <c r="E951" s="112" t="str" cm="1">
        <f t="array" ref="E951">IFERROR(INDEX(_xlfn._xlws.FILTER([4]加工記録２!C:C,[4]加工記録２!U:U=B917),9),"")</f>
        <v/>
      </c>
      <c r="F951" s="35" t="str" cm="1">
        <f t="array" ref="F951">IFERROR("切断加工：" &amp;_xlfn.TEXTJOIN(" / ",TRUE,INDEX(_xlfn._xlws.FILTER([4]加工記録２!M:M,[4]加工記録２!U:U=B917),9),INDEX(_xlfn._xlws.FILTER([4]加工記録２!N:N,[4]加工記録２!U:U=B917),9)),"")</f>
        <v/>
      </c>
      <c r="G951" s="36" t="str" cm="1">
        <f t="array" ref="G951">IFERROR(IF(_xlfn.TAKE(_xlfn._xlws.FILTER([4]加工記録２!$M:$N,[4]加工記録２!$U:$U=B917),5)=0,"",_xlfn.TAKE(_xlfn._xlws.FILTER([4]加工記録２!$M:$N,[4]加工記録２!$U:$U=B917),5)),"")</f>
        <v/>
      </c>
      <c r="H951" s="37"/>
      <c r="I951" s="38" t="s">
        <v>151</v>
      </c>
      <c r="J951" s="39" t="str" cm="1">
        <f t="array" ref="J951:J956">IFERROR(INDEX(_xlfn._xlws.FILTER([4]加工記録２!P:P, [4]加工記録２!U:U=B917),_xlfn.SEQUENCE(6)),"")</f>
        <v/>
      </c>
    </row>
    <row r="952" spans="1:14" s="15" customFormat="1" ht="18" customHeight="1">
      <c r="A952" s="43" t="s">
        <v>152</v>
      </c>
      <c r="B952" s="44" t="s">
        <v>153</v>
      </c>
      <c r="C952" s="110"/>
      <c r="D952" s="111"/>
      <c r="E952" s="112"/>
      <c r="F952" s="45" t="str" cm="1">
        <f t="array" ref="F952">IFERROR("外観検査：" &amp;_xlfn.TEXTJOIN(" / ",TRUE,INDEX(_xlfn._xlws.FILTER([4]加工記録２!M:M,[4]加工記録２!U:U=B917),10),INDEX(_xlfn._xlws.FILTER([4]加工記録２!N:N,[4]加工記録２!U:U=B917),10)),"")</f>
        <v/>
      </c>
      <c r="G952" s="36"/>
      <c r="H952" s="37"/>
      <c r="I952" s="38" t="s">
        <v>154</v>
      </c>
      <c r="J952" s="40" t="str">
        <v/>
      </c>
      <c r="K952" s="46"/>
    </row>
    <row r="953" spans="1:14" s="19" customFormat="1" ht="18" customHeight="1">
      <c r="A953" s="47" t="str">
        <f>_xlfn.XLOOKUP(B915,[3]VFDB2!$A:$A,[3]VFDB2!$L:$L)</f>
        <v>+0.5</v>
      </c>
      <c r="B953" s="48" t="str">
        <f>_xlfn.XLOOKUP(B915,[3]VFDB2!$A:$A,[3]VFDB2!$AC:$AC)</f>
        <v>換算表確認</v>
      </c>
      <c r="C953" s="113" t="s">
        <v>155</v>
      </c>
      <c r="D953" s="114" t="str">
        <f>_xlfn.XLOOKUP(B915,[3]VFDB2!$A:$A,[3]VFDB2!$W:$W)</f>
        <v>L=888用　クラフト紙</v>
      </c>
      <c r="E953" s="114"/>
      <c r="F953" s="115"/>
      <c r="G953" s="36"/>
      <c r="H953" s="37"/>
      <c r="I953" s="38" t="s">
        <v>156</v>
      </c>
      <c r="J953" s="40" t="str">
        <v/>
      </c>
      <c r="K953" s="49"/>
    </row>
    <row r="954" spans="1:14" s="15" customFormat="1" ht="18" customHeight="1">
      <c r="A954" s="50" t="s">
        <v>157</v>
      </c>
      <c r="B954" s="51" t="s">
        <v>158</v>
      </c>
      <c r="C954" s="113"/>
      <c r="D954" s="114" t="str">
        <f>_xlfn.XLOOKUP(B915,[3]VFDB2!$A:$A,[3]VFDB2!$R:$R)</f>
        <v>ラベル１枚　長手無　鉢巻１回</v>
      </c>
      <c r="E954" s="114"/>
      <c r="F954" s="115"/>
      <c r="G954" s="36"/>
      <c r="H954" s="37"/>
      <c r="I954" s="38" t="s">
        <v>159</v>
      </c>
      <c r="J954" s="40" t="str">
        <v/>
      </c>
      <c r="K954" s="46"/>
    </row>
    <row r="955" spans="1:14" s="19" customFormat="1" ht="18" customHeight="1" thickBot="1">
      <c r="A955" s="52" t="str">
        <f>_xlfn.XLOOKUP(B915,[3]VFDB2!$A:$A,[3]VFDB2!$K:$K)</f>
        <v>－0.5</v>
      </c>
      <c r="B955" s="53">
        <f>_xlfn.XLOOKUP(B915,[3]VFDB2!$A:$A,[3]VFDB2!$P:$P)</f>
        <v>2</v>
      </c>
      <c r="C955" s="54" t="s">
        <v>160</v>
      </c>
      <c r="D955" s="116" t="str">
        <f>_xlfn.XLOOKUP(B915,[3]VFDB2!$A:$A,[3]VFDB2!$V:$V)</f>
        <v>1箱目の梱包数 目視確認　以降、重量測定</v>
      </c>
      <c r="E955" s="116"/>
      <c r="F955" s="117"/>
      <c r="G955" s="55"/>
      <c r="H955" s="56"/>
      <c r="I955" s="38" t="s">
        <v>161</v>
      </c>
      <c r="J955" s="41" t="str">
        <v/>
      </c>
      <c r="K955" s="49"/>
    </row>
    <row r="956" spans="1:14" s="15" customFormat="1" ht="18" customHeight="1" thickBot="1">
      <c r="A956" s="57" t="s">
        <v>162</v>
      </c>
      <c r="B956" s="58" t="str" cm="1">
        <f t="array" ref="B956">IF(SUM(--(ISTEXT(B957:B967)*(B957:B967&lt;&gt;"")))=0,"計測Lot","計測Lot・加工数")</f>
        <v>計測Lot</v>
      </c>
      <c r="C956" s="59" t="s">
        <v>163</v>
      </c>
      <c r="D956" s="60" t="s">
        <v>164</v>
      </c>
      <c r="E956" s="61" t="s">
        <v>165</v>
      </c>
      <c r="F956" s="62" t="str" cm="1">
        <f t="array" ref="F956">IF(SUM(--(ISTEXT(B957:B967)*(B957:B967&lt;&gt;"")))=0,"記入不要","使用Lot")</f>
        <v>記入不要</v>
      </c>
      <c r="G956" s="63" t="s">
        <v>166</v>
      </c>
      <c r="H956" s="64" t="s">
        <v>167</v>
      </c>
      <c r="I956" s="65" t="s">
        <v>168</v>
      </c>
      <c r="J956" s="42" t="str">
        <v/>
      </c>
      <c r="K956" s="46"/>
    </row>
    <row r="957" spans="1:14" s="19" customFormat="1" ht="18" customHeight="1">
      <c r="A957" s="66" t="str" cm="1">
        <f t="array" ref="A957:A967">IFERROR(INDEX(_xlfn._xlws.FILTER([4]加工記録２!$D:$D,[4]加工記録２!$U:$U=B917),_xlfn.SEQUENCE(11),0),"")</f>
        <v/>
      </c>
      <c r="B957" s="70" t="str" cm="1">
        <f t="array" ref="B957:B967">IFERROR(IF(INDEX(_xlfn._xlws.FILTER([4]加工記録２!$E:$E,[4]加工記録２!$U:$U=B917),_xlfn.SEQUENCE(11))="","",INDEX(_xlfn._xlws.FILTER([4]加工記録２!$E:$E,[4]加工記録２!$U:$U=B917),_xlfn.SEQUENCE(11)) &amp; IF(INDEX(_xlfn._xlws.FILTER([4]加工記録２!$F:$F,[4]加工記録２!$U:$U=B917),_xlfn.SEQUENCE(11))="","", " × " &amp; INDEX(_xlfn._xlws.FILTER([4]加工記録２!$F:$F,[4]加工記録２!$U:$U=B917),_xlfn.SEQUENCE(11)))),"")</f>
        <v/>
      </c>
      <c r="C957" s="73"/>
      <c r="D957" s="74"/>
      <c r="E957" s="75"/>
      <c r="F957" s="76"/>
      <c r="G957" s="77"/>
      <c r="H957" s="78"/>
      <c r="I957" s="104" t="s">
        <v>169</v>
      </c>
      <c r="J957" s="105"/>
      <c r="K957" s="79"/>
    </row>
    <row r="958" spans="1:14" s="15" customFormat="1" ht="18" customHeight="1">
      <c r="A958" s="67" t="str">
        <v/>
      </c>
      <c r="B958" s="71" t="str">
        <v/>
      </c>
      <c r="C958" s="80"/>
      <c r="D958" s="81"/>
      <c r="E958" s="82"/>
      <c r="F958" s="83"/>
      <c r="G958" s="80"/>
      <c r="H958" s="84"/>
      <c r="I958" s="85" t="s">
        <v>170</v>
      </c>
      <c r="J958" s="84" t="str" cm="1">
        <f t="array" ref="J958:J967">IFERROR(INDEX(_xlfn._xlws.FILTER([4]加工記録２!R:R, [4]加工記録２!U:U=B917),_xlfn.SEQUENCE(10)),"")</f>
        <v/>
      </c>
      <c r="K958" s="79"/>
    </row>
    <row r="959" spans="1:14" s="90" customFormat="1" ht="18.95" customHeight="1">
      <c r="A959" s="68" t="str">
        <v/>
      </c>
      <c r="B959" s="71" t="str">
        <v/>
      </c>
      <c r="C959" s="80"/>
      <c r="D959" s="81"/>
      <c r="E959" s="82"/>
      <c r="F959" s="83"/>
      <c r="G959" s="80"/>
      <c r="H959" s="84"/>
      <c r="I959" s="85" t="s">
        <v>171</v>
      </c>
      <c r="J959" s="84" t="str">
        <v/>
      </c>
      <c r="K959" s="88"/>
      <c r="L959" s="89"/>
      <c r="M959" s="89"/>
      <c r="N959" s="89"/>
    </row>
    <row r="960" spans="1:14" s="93" customFormat="1" ht="18.95" customHeight="1">
      <c r="A960" s="68" t="str">
        <v/>
      </c>
      <c r="B960" s="71" t="str">
        <v/>
      </c>
      <c r="C960" s="80"/>
      <c r="D960" s="81"/>
      <c r="E960" s="82"/>
      <c r="F960" s="83"/>
      <c r="G960" s="80"/>
      <c r="H960" s="84"/>
      <c r="I960" s="85" t="s">
        <v>172</v>
      </c>
      <c r="J960" s="84" t="str">
        <v/>
      </c>
      <c r="K960" s="91"/>
      <c r="L960" s="92"/>
      <c r="M960" s="92"/>
      <c r="N960" s="92"/>
    </row>
    <row r="961" spans="1:14" s="93" customFormat="1" ht="18.95" customHeight="1">
      <c r="A961" s="68" t="str">
        <v/>
      </c>
      <c r="B961" s="71" t="str">
        <v/>
      </c>
      <c r="C961" s="80"/>
      <c r="D961" s="81"/>
      <c r="E961" s="82"/>
      <c r="F961" s="83"/>
      <c r="G961" s="80"/>
      <c r="H961" s="84"/>
      <c r="I961" s="85" t="s">
        <v>173</v>
      </c>
      <c r="J961" s="84" t="str">
        <v/>
      </c>
      <c r="K961" s="91"/>
      <c r="L961" s="92"/>
      <c r="M961" s="92"/>
      <c r="N961" s="92"/>
    </row>
    <row r="962" spans="1:14" s="93" customFormat="1" ht="18.95" customHeight="1">
      <c r="A962" s="68" t="str">
        <v/>
      </c>
      <c r="B962" s="71" t="str">
        <v/>
      </c>
      <c r="C962" s="80"/>
      <c r="D962" s="81"/>
      <c r="E962" s="82"/>
      <c r="F962" s="83"/>
      <c r="G962" s="80"/>
      <c r="H962" s="84"/>
      <c r="I962" s="85" t="s">
        <v>174</v>
      </c>
      <c r="J962" s="84" t="str">
        <v/>
      </c>
      <c r="K962" s="91"/>
      <c r="L962" s="92"/>
      <c r="M962" s="92"/>
      <c r="N962" s="92"/>
    </row>
    <row r="963" spans="1:14" s="93" customFormat="1" ht="18.95" customHeight="1">
      <c r="A963" s="68" t="str">
        <v/>
      </c>
      <c r="B963" s="71" t="str">
        <v/>
      </c>
      <c r="C963" s="80"/>
      <c r="D963" s="81"/>
      <c r="E963" s="82"/>
      <c r="F963" s="83"/>
      <c r="G963" s="80"/>
      <c r="H963" s="84"/>
      <c r="I963" s="85" t="s">
        <v>175</v>
      </c>
      <c r="J963" s="84" t="str">
        <v/>
      </c>
      <c r="K963" s="91"/>
      <c r="L963" s="92"/>
      <c r="M963" s="92"/>
      <c r="N963" s="92"/>
    </row>
    <row r="964" spans="1:14" s="93" customFormat="1" ht="18.95" customHeight="1">
      <c r="A964" s="68" t="str">
        <v/>
      </c>
      <c r="B964" s="71" t="str">
        <v/>
      </c>
      <c r="C964" s="80"/>
      <c r="D964" s="81"/>
      <c r="E964" s="82"/>
      <c r="F964" s="83"/>
      <c r="G964" s="80"/>
      <c r="H964" s="84"/>
      <c r="I964" s="94" t="s">
        <v>176</v>
      </c>
      <c r="J964" s="84" t="str">
        <v/>
      </c>
      <c r="K964" s="91"/>
      <c r="L964" s="92"/>
      <c r="M964" s="92"/>
      <c r="N964" s="92"/>
    </row>
    <row r="965" spans="1:14" s="93" customFormat="1" ht="18.95" customHeight="1">
      <c r="A965" s="68" t="str">
        <v/>
      </c>
      <c r="B965" s="71" t="str">
        <v/>
      </c>
      <c r="C965" s="80"/>
      <c r="D965" s="81"/>
      <c r="E965" s="82"/>
      <c r="F965" s="83"/>
      <c r="G965" s="80"/>
      <c r="H965" s="84"/>
      <c r="I965" s="94" t="s">
        <v>177</v>
      </c>
      <c r="J965" s="84" t="str">
        <v/>
      </c>
      <c r="K965" s="91"/>
      <c r="L965" s="92"/>
      <c r="M965" s="92"/>
      <c r="N965" s="92"/>
    </row>
    <row r="966" spans="1:14" s="93" customFormat="1" ht="18.95" customHeight="1">
      <c r="A966" s="68" t="str">
        <v/>
      </c>
      <c r="B966" s="71" t="str">
        <v/>
      </c>
      <c r="C966" s="80"/>
      <c r="D966" s="81"/>
      <c r="E966" s="82"/>
      <c r="F966" s="83"/>
      <c r="G966" s="80"/>
      <c r="H966" s="84"/>
      <c r="I966" s="85" t="s">
        <v>178</v>
      </c>
      <c r="J966" s="86" t="str">
        <v/>
      </c>
      <c r="K966" s="91"/>
      <c r="L966" s="92"/>
      <c r="M966" s="92"/>
      <c r="N966" s="92"/>
    </row>
    <row r="967" spans="1:14" s="93" customFormat="1" ht="18.95" customHeight="1" thickBot="1">
      <c r="A967" s="69" t="str">
        <v/>
      </c>
      <c r="B967" s="72" t="str">
        <v/>
      </c>
      <c r="C967" s="95"/>
      <c r="D967" s="96"/>
      <c r="E967" s="97"/>
      <c r="F967" s="98"/>
      <c r="G967" s="99"/>
      <c r="H967" s="100"/>
      <c r="I967" s="101" t="s">
        <v>179</v>
      </c>
      <c r="J967" s="87" t="str">
        <v/>
      </c>
      <c r="K967" s="91"/>
      <c r="L967" s="92"/>
      <c r="M967" s="92"/>
      <c r="N967" s="92"/>
    </row>
    <row r="968" spans="1:14" ht="6" customHeight="1" thickBot="1">
      <c r="A968" s="102"/>
      <c r="B968" s="103"/>
      <c r="C968" s="103"/>
      <c r="D968" s="102"/>
      <c r="E968" s="103"/>
      <c r="F968" s="103"/>
      <c r="G968" s="103"/>
      <c r="H968" s="103"/>
    </row>
    <row r="969" spans="1:14" ht="6" customHeight="1" thickTop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</row>
    <row r="970" spans="1:14" ht="14.25" customHeight="1" thickBot="1">
      <c r="A970" s="1"/>
      <c r="B970" s="150" t="s">
        <v>0</v>
      </c>
      <c r="C970" s="119"/>
      <c r="D970" s="119"/>
      <c r="E970" s="1"/>
      <c r="F970" s="1"/>
      <c r="G970" s="1"/>
      <c r="H970" s="1"/>
      <c r="I970" s="1"/>
      <c r="J970" s="1"/>
    </row>
    <row r="971" spans="1:14" ht="14.25" customHeight="1" thickTop="1">
      <c r="A971" s="3"/>
      <c r="B971" s="119"/>
      <c r="C971" s="119"/>
      <c r="D971" s="119"/>
      <c r="E971" s="3"/>
      <c r="F971" s="3"/>
      <c r="G971" s="3"/>
      <c r="H971" s="3"/>
      <c r="I971" s="3"/>
      <c r="J971" s="3"/>
    </row>
    <row r="972" spans="1:14" ht="14.25" customHeight="1">
      <c r="A972" s="151" t="s">
        <v>1</v>
      </c>
      <c r="B972" s="151" t="s">
        <v>94</v>
      </c>
      <c r="C972" s="151" t="s">
        <v>3</v>
      </c>
      <c r="D972" s="152">
        <v>888</v>
      </c>
      <c r="E972" s="151" t="s">
        <v>4</v>
      </c>
      <c r="F972" s="147" t="s">
        <v>95</v>
      </c>
      <c r="G972" s="119"/>
      <c r="H972" s="119"/>
      <c r="I972" s="4" t="s">
        <v>6</v>
      </c>
      <c r="J972" s="4" t="s">
        <v>7</v>
      </c>
    </row>
    <row r="973" spans="1:14" ht="14.25" customHeight="1">
      <c r="A973" s="119"/>
      <c r="B973" s="119"/>
      <c r="C973" s="119"/>
      <c r="D973" s="119"/>
      <c r="E973" s="119"/>
      <c r="F973" s="119"/>
      <c r="G973" s="119"/>
      <c r="H973" s="119"/>
      <c r="I973" s="148"/>
      <c r="J973" s="148"/>
    </row>
    <row r="974" spans="1:14" ht="17.45" customHeight="1">
      <c r="A974" s="139" t="s">
        <v>8</v>
      </c>
      <c r="B974" s="139" t="s">
        <v>119</v>
      </c>
      <c r="E974" s="139" t="s">
        <v>10</v>
      </c>
      <c r="F974" s="140" t="s">
        <v>97</v>
      </c>
      <c r="G974" s="119"/>
      <c r="H974" s="119"/>
      <c r="I974" s="149"/>
      <c r="J974" s="149"/>
    </row>
    <row r="975" spans="1:14" ht="17.45" customHeight="1">
      <c r="A975" s="119"/>
      <c r="B975" s="119"/>
      <c r="E975" s="119"/>
      <c r="F975" s="119"/>
      <c r="G975" s="119"/>
      <c r="H975" s="119"/>
      <c r="I975" s="7"/>
      <c r="J975" s="7"/>
    </row>
    <row r="976" spans="1:14" ht="17.45" customHeight="1">
      <c r="A976" s="139" t="s">
        <v>12</v>
      </c>
      <c r="B976" s="139" t="s">
        <v>120</v>
      </c>
      <c r="E976" s="8" t="s">
        <v>14</v>
      </c>
      <c r="F976" s="140" t="s">
        <v>15</v>
      </c>
      <c r="G976" s="119"/>
      <c r="H976" s="6"/>
      <c r="I976" s="7"/>
      <c r="J976" s="7"/>
    </row>
    <row r="977" spans="1:10" ht="17.45" customHeight="1">
      <c r="A977" s="119"/>
      <c r="B977" s="119"/>
      <c r="E977" s="8" t="s">
        <v>16</v>
      </c>
      <c r="F977" s="6" t="s">
        <v>17</v>
      </c>
      <c r="G977" s="6"/>
      <c r="H977" s="6"/>
      <c r="I977" s="9"/>
      <c r="J977" s="9"/>
    </row>
    <row r="978" spans="1:10" ht="17.45" customHeight="1">
      <c r="A978" s="8" t="s">
        <v>18</v>
      </c>
      <c r="B978" s="10">
        <v>46139</v>
      </c>
      <c r="E978" s="8" t="s">
        <v>19</v>
      </c>
      <c r="F978" s="141">
        <v>100</v>
      </c>
      <c r="G978" s="119"/>
      <c r="H978" s="6"/>
    </row>
    <row r="979" spans="1:10" ht="17.45" customHeight="1">
      <c r="A979" s="8" t="s">
        <v>20</v>
      </c>
      <c r="B979" s="10">
        <v>46139</v>
      </c>
      <c r="E979" s="8" t="s">
        <v>21</v>
      </c>
      <c r="F979" s="6">
        <v>8</v>
      </c>
      <c r="G979" s="142" t="s">
        <v>22</v>
      </c>
      <c r="H979" s="144">
        <v>800</v>
      </c>
      <c r="I979" s="145"/>
      <c r="J979" s="146"/>
    </row>
    <row r="980" spans="1:10" ht="17.45" customHeight="1">
      <c r="A980" s="11"/>
      <c r="B980" s="12"/>
      <c r="C980" s="12"/>
      <c r="D980" s="12"/>
      <c r="E980" s="8" t="s">
        <v>23</v>
      </c>
      <c r="F980" s="6" t="s">
        <v>24</v>
      </c>
      <c r="G980" s="143"/>
      <c r="H980" s="143"/>
      <c r="I980" s="125"/>
      <c r="J980" s="133"/>
    </row>
    <row r="981" spans="1:10" ht="13.5" customHeight="1">
      <c r="A981" s="127" t="s">
        <v>99</v>
      </c>
      <c r="B981" s="119"/>
      <c r="C981" s="119"/>
      <c r="D981" s="12"/>
      <c r="F981" s="5"/>
      <c r="G981" s="128" t="s">
        <v>26</v>
      </c>
      <c r="H981" s="130" t="s">
        <v>27</v>
      </c>
      <c r="I981" s="131" t="s">
        <v>28</v>
      </c>
      <c r="J981" s="132"/>
    </row>
    <row r="982" spans="1:10" ht="13.5" customHeight="1">
      <c r="A982" s="119"/>
      <c r="B982" s="119"/>
      <c r="C982" s="119"/>
      <c r="D982" s="12"/>
      <c r="F982" s="5"/>
      <c r="G982" s="129"/>
      <c r="H982" s="129"/>
      <c r="I982" s="125"/>
      <c r="J982" s="133"/>
    </row>
    <row r="983" spans="1:10" ht="13.5" customHeight="1">
      <c r="A983" s="2" t="s">
        <v>29</v>
      </c>
    </row>
    <row r="984" spans="1:10" ht="63" customHeight="1" thickBot="1">
      <c r="A984" s="134"/>
      <c r="B984" s="135"/>
      <c r="C984" s="135"/>
      <c r="D984" s="135"/>
      <c r="E984" s="135"/>
      <c r="F984" s="135"/>
      <c r="G984" s="135"/>
      <c r="H984" s="135"/>
      <c r="I984" s="135"/>
      <c r="J984" s="135"/>
    </row>
    <row r="985" spans="1:10" ht="18.75">
      <c r="A985" s="13" t="s">
        <v>30</v>
      </c>
      <c r="B985" s="14" t="s">
        <v>31</v>
      </c>
      <c r="C985" s="136" t="s">
        <v>32</v>
      </c>
      <c r="D985" s="137"/>
      <c r="E985" s="14" t="s">
        <v>33</v>
      </c>
      <c r="F985" s="136" t="s">
        <v>34</v>
      </c>
      <c r="G985" s="137"/>
      <c r="H985" s="137"/>
      <c r="I985" s="138" t="s">
        <v>35</v>
      </c>
      <c r="J985" s="137"/>
    </row>
    <row r="986" spans="1:10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 spans="1:10" ht="16.5" customHeight="1">
      <c r="A987" s="17">
        <v>1</v>
      </c>
      <c r="B987" s="18" t="s">
        <v>36</v>
      </c>
      <c r="C987" s="118" t="s">
        <v>37</v>
      </c>
      <c r="D987" s="119"/>
      <c r="E987" s="18" t="s">
        <v>38</v>
      </c>
      <c r="F987" s="118" t="s">
        <v>39</v>
      </c>
      <c r="G987" s="119"/>
      <c r="H987" s="119"/>
      <c r="I987" s="126"/>
      <c r="J987" s="119"/>
    </row>
    <row r="988" spans="1:10" ht="16.5" customHeight="1">
      <c r="A988" s="17">
        <v>1</v>
      </c>
      <c r="B988" s="20" t="s">
        <v>36</v>
      </c>
      <c r="C988" s="118" t="s">
        <v>37</v>
      </c>
      <c r="D988" s="119"/>
      <c r="E988" s="18" t="s">
        <v>40</v>
      </c>
      <c r="F988" s="118" t="s">
        <v>41</v>
      </c>
      <c r="G988" s="119"/>
      <c r="H988" s="119"/>
      <c r="I988" s="126"/>
      <c r="J988" s="119"/>
    </row>
    <row r="989" spans="1:10" ht="16.5" customHeight="1">
      <c r="A989" s="17"/>
      <c r="B989" s="20"/>
      <c r="C989" s="118"/>
      <c r="D989" s="119"/>
      <c r="E989" s="18"/>
      <c r="F989" s="118"/>
      <c r="G989" s="119"/>
      <c r="H989" s="119"/>
      <c r="I989" s="126"/>
      <c r="J989" s="119"/>
    </row>
    <row r="990" spans="1:10" ht="16.5" customHeight="1">
      <c r="A990" s="17"/>
      <c r="B990" s="20"/>
      <c r="C990" s="118"/>
      <c r="D990" s="119"/>
      <c r="E990" s="18"/>
      <c r="F990" s="118"/>
      <c r="G990" s="119"/>
      <c r="H990" s="119"/>
      <c r="I990" s="126"/>
      <c r="J990" s="119"/>
    </row>
    <row r="991" spans="1:10" ht="16.5" customHeight="1">
      <c r="A991" s="17"/>
      <c r="B991" s="20"/>
      <c r="C991" s="118"/>
      <c r="D991" s="119"/>
      <c r="E991" s="18"/>
      <c r="F991" s="118"/>
      <c r="G991" s="119"/>
      <c r="H991" s="119"/>
      <c r="I991" s="126"/>
      <c r="J991" s="119"/>
    </row>
    <row r="992" spans="1:10" ht="16.5" customHeight="1">
      <c r="A992" s="17"/>
      <c r="B992" s="20"/>
      <c r="C992" s="118"/>
      <c r="D992" s="119"/>
      <c r="E992" s="18"/>
      <c r="F992" s="118"/>
      <c r="G992" s="119"/>
      <c r="H992" s="119"/>
      <c r="I992" s="126"/>
      <c r="J992" s="119"/>
    </row>
    <row r="993" spans="1:10" ht="16.5" customHeight="1" thickBo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spans="1:10" ht="18.75">
      <c r="A994" s="122" t="s">
        <v>42</v>
      </c>
      <c r="B994" s="123"/>
      <c r="C994" s="122" t="s">
        <v>43</v>
      </c>
      <c r="D994" s="123"/>
      <c r="E994" s="123"/>
      <c r="F994" s="22" t="s">
        <v>44</v>
      </c>
      <c r="G994" s="122" t="s">
        <v>45</v>
      </c>
      <c r="H994" s="123"/>
      <c r="I994" s="122" t="s">
        <v>46</v>
      </c>
      <c r="J994" s="123"/>
    </row>
    <row r="995" spans="1:10" ht="14.25" customHeight="1">
      <c r="A995" s="23"/>
      <c r="B995" s="24"/>
      <c r="C995" s="124" t="s">
        <v>47</v>
      </c>
      <c r="D995" s="125"/>
      <c r="E995" s="24"/>
      <c r="F995" s="124" t="s">
        <v>29</v>
      </c>
      <c r="G995" s="125"/>
      <c r="H995" s="125"/>
      <c r="I995" s="125"/>
      <c r="J995" s="125"/>
    </row>
    <row r="996" spans="1:10">
      <c r="A996" s="25"/>
      <c r="C996" s="19"/>
      <c r="D996" s="19"/>
      <c r="E996" s="19"/>
    </row>
    <row r="997" spans="1:10" ht="14.25" customHeight="1">
      <c r="A997" s="118" t="s">
        <v>48</v>
      </c>
      <c r="B997" s="119"/>
      <c r="C997" s="118" t="s">
        <v>49</v>
      </c>
      <c r="D997" s="119"/>
      <c r="E997" s="119"/>
      <c r="F997" s="18" t="s">
        <v>27</v>
      </c>
      <c r="G997" s="120">
        <v>400</v>
      </c>
      <c r="H997" s="119"/>
      <c r="I997" s="120">
        <v>4</v>
      </c>
      <c r="J997" s="119"/>
    </row>
    <row r="998" spans="1:10" ht="24.95" customHeight="1">
      <c r="A998" s="121" t="s">
        <v>50</v>
      </c>
      <c r="B998" s="119"/>
      <c r="C998" s="118"/>
      <c r="D998" s="119"/>
      <c r="E998" s="119"/>
      <c r="F998" s="118"/>
      <c r="G998" s="119"/>
      <c r="H998" s="119"/>
      <c r="I998" s="119"/>
      <c r="J998" s="119"/>
    </row>
    <row r="999" spans="1:10" ht="14.25" customHeight="1">
      <c r="A999" s="118" t="s">
        <v>88</v>
      </c>
      <c r="B999" s="119"/>
      <c r="C999" s="118" t="s">
        <v>89</v>
      </c>
      <c r="D999" s="119"/>
      <c r="E999" s="119"/>
      <c r="F999" s="18" t="s">
        <v>36</v>
      </c>
      <c r="G999" s="120">
        <v>8</v>
      </c>
      <c r="H999" s="119"/>
      <c r="I999" s="120">
        <v>0.08</v>
      </c>
      <c r="J999" s="119"/>
    </row>
    <row r="1000" spans="1:10" ht="24.95" customHeight="1">
      <c r="A1000" s="121" t="s">
        <v>90</v>
      </c>
      <c r="B1000" s="119"/>
      <c r="C1000" s="118" t="s">
        <v>91</v>
      </c>
      <c r="D1000" s="119"/>
      <c r="E1000" s="119"/>
      <c r="F1000" s="118"/>
      <c r="G1000" s="119"/>
      <c r="H1000" s="119"/>
      <c r="I1000" s="119"/>
      <c r="J1000" s="119"/>
    </row>
    <row r="1001" spans="1:10" ht="14.25" customHeight="1">
      <c r="A1001" s="118" t="s">
        <v>100</v>
      </c>
      <c r="B1001" s="119"/>
      <c r="C1001" s="118" t="s">
        <v>57</v>
      </c>
      <c r="D1001" s="119"/>
      <c r="E1001" s="119"/>
      <c r="F1001" s="18"/>
      <c r="G1001" s="120">
        <v>88</v>
      </c>
      <c r="H1001" s="119"/>
      <c r="I1001" s="120">
        <v>0.88</v>
      </c>
      <c r="J1001" s="119"/>
    </row>
    <row r="1002" spans="1:10" ht="24.95" customHeight="1">
      <c r="A1002" s="121" t="s">
        <v>101</v>
      </c>
      <c r="B1002" s="119"/>
      <c r="C1002" s="118" t="s">
        <v>102</v>
      </c>
      <c r="D1002" s="119"/>
      <c r="E1002" s="119"/>
      <c r="F1002" s="118"/>
      <c r="G1002" s="119"/>
      <c r="H1002" s="119"/>
      <c r="I1002" s="119"/>
      <c r="J1002" s="119"/>
    </row>
    <row r="1003" spans="1:10" ht="14.25" customHeight="1">
      <c r="A1003" s="118" t="s">
        <v>60</v>
      </c>
      <c r="B1003" s="119"/>
      <c r="C1003" s="118" t="s">
        <v>61</v>
      </c>
      <c r="D1003" s="119"/>
      <c r="E1003" s="119"/>
      <c r="F1003" s="18"/>
      <c r="G1003" s="120">
        <v>0.8</v>
      </c>
      <c r="H1003" s="119"/>
      <c r="I1003" s="120">
        <v>8.0000000000000002E-3</v>
      </c>
      <c r="J1003" s="119"/>
    </row>
    <row r="1004" spans="1:10" ht="24.95" customHeight="1">
      <c r="A1004" s="121" t="s">
        <v>62</v>
      </c>
      <c r="B1004" s="119"/>
      <c r="C1004" s="118" t="s">
        <v>63</v>
      </c>
      <c r="D1004" s="119"/>
      <c r="E1004" s="119"/>
      <c r="F1004" s="118"/>
      <c r="G1004" s="119"/>
      <c r="H1004" s="119"/>
      <c r="I1004" s="119"/>
      <c r="J1004" s="119"/>
    </row>
    <row r="1005" spans="1:10" ht="14.25" customHeight="1">
      <c r="A1005" s="118"/>
      <c r="B1005" s="119"/>
      <c r="C1005" s="118"/>
      <c r="D1005" s="119"/>
      <c r="E1005" s="119"/>
      <c r="F1005" s="18"/>
      <c r="G1005" s="120"/>
      <c r="H1005" s="119"/>
      <c r="I1005" s="120"/>
      <c r="J1005" s="119"/>
    </row>
    <row r="1006" spans="1:10" ht="24.95" customHeight="1" thickBot="1">
      <c r="A1006" s="121"/>
      <c r="B1006" s="119"/>
      <c r="C1006" s="118"/>
      <c r="D1006" s="119"/>
      <c r="E1006" s="119"/>
      <c r="F1006" s="118"/>
      <c r="G1006" s="119"/>
      <c r="H1006" s="119"/>
      <c r="I1006" s="119"/>
      <c r="J1006" s="119"/>
    </row>
    <row r="1007" spans="1:10" s="15" customFormat="1" ht="18" customHeight="1">
      <c r="A1007" s="27" t="s">
        <v>143</v>
      </c>
      <c r="B1007" s="28" t="s">
        <v>144</v>
      </c>
      <c r="C1007" s="108" t="s">
        <v>145</v>
      </c>
      <c r="D1007" s="109"/>
      <c r="E1007" s="29" t="s">
        <v>146</v>
      </c>
      <c r="F1007" s="30" t="s">
        <v>147</v>
      </c>
      <c r="G1007" s="31" t="s">
        <v>148</v>
      </c>
      <c r="H1007" s="32" t="s">
        <v>149</v>
      </c>
      <c r="I1007" s="106" t="s">
        <v>150</v>
      </c>
      <c r="J1007" s="107"/>
    </row>
    <row r="1008" spans="1:10" s="19" customFormat="1" ht="18" customHeight="1">
      <c r="A1008" s="33" t="str">
        <f>_xlfn.XLOOKUP(B972,[3]VFDB2!$A:$A,[3]VFDB2!$J:$J)</f>
        <v>〇</v>
      </c>
      <c r="B1008" s="34">
        <f>D972</f>
        <v>888</v>
      </c>
      <c r="C1008" s="110" t="str">
        <f>_xlfn.XLOOKUP(B972,[3]VFDB2!$A:$A,[3]VFDB2!$Z:$Z)</f>
        <v>LED-A888</v>
      </c>
      <c r="D1008" s="111"/>
      <c r="E1008" s="112" t="str" cm="1">
        <f t="array" ref="E1008">IFERROR(INDEX(_xlfn._xlws.FILTER([4]加工記録２!C:C,[4]加工記録２!U:U=B974),9),"")</f>
        <v/>
      </c>
      <c r="F1008" s="35" t="str" cm="1">
        <f t="array" ref="F1008">IFERROR("切断加工：" &amp;_xlfn.TEXTJOIN(" / ",TRUE,INDEX(_xlfn._xlws.FILTER([4]加工記録２!M:M,[4]加工記録２!U:U=B974),9),INDEX(_xlfn._xlws.FILTER([4]加工記録２!N:N,[4]加工記録２!U:U=B974),9)),"")</f>
        <v/>
      </c>
      <c r="G1008" s="36" t="str" cm="1">
        <f t="array" ref="G1008">IFERROR(IF(_xlfn.TAKE(_xlfn._xlws.FILTER([4]加工記録２!$M:$N,[4]加工記録２!$U:$U=B974),5)=0,"",_xlfn.TAKE(_xlfn._xlws.FILTER([4]加工記録２!$M:$N,[4]加工記録２!$U:$U=B974),5)),"")</f>
        <v/>
      </c>
      <c r="H1008" s="37"/>
      <c r="I1008" s="38" t="s">
        <v>151</v>
      </c>
      <c r="J1008" s="39" t="str" cm="1">
        <f t="array" ref="J1008:J1013">IFERROR(INDEX(_xlfn._xlws.FILTER([4]加工記録２!P:P, [4]加工記録２!U:U=B974),_xlfn.SEQUENCE(6)),"")</f>
        <v/>
      </c>
    </row>
    <row r="1009" spans="1:14" s="15" customFormat="1" ht="18" customHeight="1">
      <c r="A1009" s="43" t="s">
        <v>152</v>
      </c>
      <c r="B1009" s="44" t="s">
        <v>153</v>
      </c>
      <c r="C1009" s="110"/>
      <c r="D1009" s="111"/>
      <c r="E1009" s="112"/>
      <c r="F1009" s="45" t="str" cm="1">
        <f t="array" ref="F1009">IFERROR("外観検査：" &amp;_xlfn.TEXTJOIN(" / ",TRUE,INDEX(_xlfn._xlws.FILTER([4]加工記録２!M:M,[4]加工記録２!U:U=B974),10),INDEX(_xlfn._xlws.FILTER([4]加工記録２!N:N,[4]加工記録２!U:U=B974),10)),"")</f>
        <v/>
      </c>
      <c r="G1009" s="36"/>
      <c r="H1009" s="37"/>
      <c r="I1009" s="38" t="s">
        <v>154</v>
      </c>
      <c r="J1009" s="40" t="str">
        <v/>
      </c>
      <c r="K1009" s="46"/>
    </row>
    <row r="1010" spans="1:14" s="19" customFormat="1" ht="18" customHeight="1">
      <c r="A1010" s="47" t="str">
        <f>_xlfn.XLOOKUP(B972,[3]VFDB2!$A:$A,[3]VFDB2!$L:$L)</f>
        <v>+0.5</v>
      </c>
      <c r="B1010" s="48" t="str">
        <f>_xlfn.XLOOKUP(B972,[3]VFDB2!$A:$A,[3]VFDB2!$AC:$AC)</f>
        <v>換算表確認</v>
      </c>
      <c r="C1010" s="113" t="s">
        <v>155</v>
      </c>
      <c r="D1010" s="114" t="str">
        <f>_xlfn.XLOOKUP(B972,[3]VFDB2!$A:$A,[3]VFDB2!$W:$W)</f>
        <v>L=888用　クラフト紙</v>
      </c>
      <c r="E1010" s="114"/>
      <c r="F1010" s="115"/>
      <c r="G1010" s="36"/>
      <c r="H1010" s="37"/>
      <c r="I1010" s="38" t="s">
        <v>156</v>
      </c>
      <c r="J1010" s="40" t="str">
        <v/>
      </c>
      <c r="K1010" s="49"/>
    </row>
    <row r="1011" spans="1:14" s="15" customFormat="1" ht="18" customHeight="1">
      <c r="A1011" s="50" t="s">
        <v>157</v>
      </c>
      <c r="B1011" s="51" t="s">
        <v>158</v>
      </c>
      <c r="C1011" s="113"/>
      <c r="D1011" s="114" t="str">
        <f>_xlfn.XLOOKUP(B972,[3]VFDB2!$A:$A,[3]VFDB2!$R:$R)</f>
        <v>ラベル１枚　長手無　鉢巻１回</v>
      </c>
      <c r="E1011" s="114"/>
      <c r="F1011" s="115"/>
      <c r="G1011" s="36"/>
      <c r="H1011" s="37"/>
      <c r="I1011" s="38" t="s">
        <v>159</v>
      </c>
      <c r="J1011" s="40" t="str">
        <v/>
      </c>
      <c r="K1011" s="46"/>
    </row>
    <row r="1012" spans="1:14" s="19" customFormat="1" ht="18" customHeight="1" thickBot="1">
      <c r="A1012" s="52" t="str">
        <f>_xlfn.XLOOKUP(B972,[3]VFDB2!$A:$A,[3]VFDB2!$K:$K)</f>
        <v>－0.5</v>
      </c>
      <c r="B1012" s="53">
        <f>_xlfn.XLOOKUP(B972,[3]VFDB2!$A:$A,[3]VFDB2!$P:$P)</f>
        <v>2</v>
      </c>
      <c r="C1012" s="54" t="s">
        <v>160</v>
      </c>
      <c r="D1012" s="116" t="str">
        <f>_xlfn.XLOOKUP(B972,[3]VFDB2!$A:$A,[3]VFDB2!$V:$V)</f>
        <v>1箱目の梱包数 目視確認　以降、重量測定</v>
      </c>
      <c r="E1012" s="116"/>
      <c r="F1012" s="117"/>
      <c r="G1012" s="55"/>
      <c r="H1012" s="56"/>
      <c r="I1012" s="38" t="s">
        <v>161</v>
      </c>
      <c r="J1012" s="41" t="str">
        <v/>
      </c>
      <c r="K1012" s="49"/>
    </row>
    <row r="1013" spans="1:14" s="15" customFormat="1" ht="18" customHeight="1" thickBot="1">
      <c r="A1013" s="57" t="s">
        <v>162</v>
      </c>
      <c r="B1013" s="58" t="str" cm="1">
        <f t="array" ref="B1013">IF(SUM(--(ISTEXT(B1014:B1024)*(B1014:B1024&lt;&gt;"")))=0,"計測Lot","計測Lot・加工数")</f>
        <v>計測Lot</v>
      </c>
      <c r="C1013" s="59" t="s">
        <v>163</v>
      </c>
      <c r="D1013" s="60" t="s">
        <v>164</v>
      </c>
      <c r="E1013" s="61" t="s">
        <v>165</v>
      </c>
      <c r="F1013" s="62" t="str" cm="1">
        <f t="array" ref="F1013">IF(SUM(--(ISTEXT(B1014:B1024)*(B1014:B1024&lt;&gt;"")))=0,"記入不要","使用Lot")</f>
        <v>記入不要</v>
      </c>
      <c r="G1013" s="63" t="s">
        <v>166</v>
      </c>
      <c r="H1013" s="64" t="s">
        <v>167</v>
      </c>
      <c r="I1013" s="65" t="s">
        <v>168</v>
      </c>
      <c r="J1013" s="42" t="str">
        <v/>
      </c>
      <c r="K1013" s="46"/>
    </row>
    <row r="1014" spans="1:14" s="19" customFormat="1" ht="18" customHeight="1">
      <c r="A1014" s="66" t="str" cm="1">
        <f t="array" ref="A1014:A1024">IFERROR(INDEX(_xlfn._xlws.FILTER([4]加工記録２!$D:$D,[4]加工記録２!$U:$U=B974),_xlfn.SEQUENCE(11),0),"")</f>
        <v/>
      </c>
      <c r="B1014" s="70" t="str" cm="1">
        <f t="array" ref="B1014:B1024">IFERROR(IF(INDEX(_xlfn._xlws.FILTER([4]加工記録２!$E:$E,[4]加工記録２!$U:$U=B974),_xlfn.SEQUENCE(11))="","",INDEX(_xlfn._xlws.FILTER([4]加工記録２!$E:$E,[4]加工記録２!$U:$U=B974),_xlfn.SEQUENCE(11)) &amp; IF(INDEX(_xlfn._xlws.FILTER([4]加工記録２!$F:$F,[4]加工記録２!$U:$U=B974),_xlfn.SEQUENCE(11))="","", " × " &amp; INDEX(_xlfn._xlws.FILTER([4]加工記録２!$F:$F,[4]加工記録２!$U:$U=B974),_xlfn.SEQUENCE(11)))),"")</f>
        <v/>
      </c>
      <c r="C1014" s="73"/>
      <c r="D1014" s="74"/>
      <c r="E1014" s="75"/>
      <c r="F1014" s="76"/>
      <c r="G1014" s="77"/>
      <c r="H1014" s="78"/>
      <c r="I1014" s="104" t="s">
        <v>169</v>
      </c>
      <c r="J1014" s="105"/>
      <c r="K1014" s="79"/>
    </row>
    <row r="1015" spans="1:14" s="15" customFormat="1" ht="18" customHeight="1">
      <c r="A1015" s="67" t="str">
        <v/>
      </c>
      <c r="B1015" s="71" t="str">
        <v/>
      </c>
      <c r="C1015" s="80"/>
      <c r="D1015" s="81"/>
      <c r="E1015" s="82"/>
      <c r="F1015" s="83"/>
      <c r="G1015" s="80"/>
      <c r="H1015" s="84"/>
      <c r="I1015" s="85" t="s">
        <v>170</v>
      </c>
      <c r="J1015" s="84" t="str" cm="1">
        <f t="array" ref="J1015:J1024">IFERROR(INDEX(_xlfn._xlws.FILTER([4]加工記録２!R:R, [4]加工記録２!U:U=B974),_xlfn.SEQUENCE(10)),"")</f>
        <v/>
      </c>
      <c r="K1015" s="79"/>
    </row>
    <row r="1016" spans="1:14" s="90" customFormat="1" ht="18.95" customHeight="1">
      <c r="A1016" s="68" t="str">
        <v/>
      </c>
      <c r="B1016" s="71" t="str">
        <v/>
      </c>
      <c r="C1016" s="80"/>
      <c r="D1016" s="81"/>
      <c r="E1016" s="82"/>
      <c r="F1016" s="83"/>
      <c r="G1016" s="80"/>
      <c r="H1016" s="84"/>
      <c r="I1016" s="85" t="s">
        <v>171</v>
      </c>
      <c r="J1016" s="84" t="str">
        <v/>
      </c>
      <c r="K1016" s="88"/>
      <c r="L1016" s="89"/>
      <c r="M1016" s="89"/>
      <c r="N1016" s="89"/>
    </row>
    <row r="1017" spans="1:14" s="93" customFormat="1" ht="18.95" customHeight="1">
      <c r="A1017" s="68" t="str">
        <v/>
      </c>
      <c r="B1017" s="71" t="str">
        <v/>
      </c>
      <c r="C1017" s="80"/>
      <c r="D1017" s="81"/>
      <c r="E1017" s="82"/>
      <c r="F1017" s="83"/>
      <c r="G1017" s="80"/>
      <c r="H1017" s="84"/>
      <c r="I1017" s="85" t="s">
        <v>172</v>
      </c>
      <c r="J1017" s="84" t="str">
        <v/>
      </c>
      <c r="K1017" s="91"/>
      <c r="L1017" s="92"/>
      <c r="M1017" s="92"/>
      <c r="N1017" s="92"/>
    </row>
    <row r="1018" spans="1:14" s="93" customFormat="1" ht="18.95" customHeight="1">
      <c r="A1018" s="68" t="str">
        <v/>
      </c>
      <c r="B1018" s="71" t="str">
        <v/>
      </c>
      <c r="C1018" s="80"/>
      <c r="D1018" s="81"/>
      <c r="E1018" s="82"/>
      <c r="F1018" s="83"/>
      <c r="G1018" s="80"/>
      <c r="H1018" s="84"/>
      <c r="I1018" s="85" t="s">
        <v>173</v>
      </c>
      <c r="J1018" s="84" t="str">
        <v/>
      </c>
      <c r="K1018" s="91"/>
      <c r="L1018" s="92"/>
      <c r="M1018" s="92"/>
      <c r="N1018" s="92"/>
    </row>
    <row r="1019" spans="1:14" s="93" customFormat="1" ht="18.95" customHeight="1">
      <c r="A1019" s="68" t="str">
        <v/>
      </c>
      <c r="B1019" s="71" t="str">
        <v/>
      </c>
      <c r="C1019" s="80"/>
      <c r="D1019" s="81"/>
      <c r="E1019" s="82"/>
      <c r="F1019" s="83"/>
      <c r="G1019" s="80"/>
      <c r="H1019" s="84"/>
      <c r="I1019" s="85" t="s">
        <v>174</v>
      </c>
      <c r="J1019" s="84" t="str">
        <v/>
      </c>
      <c r="K1019" s="91"/>
      <c r="L1019" s="92"/>
      <c r="M1019" s="92"/>
      <c r="N1019" s="92"/>
    </row>
    <row r="1020" spans="1:14" s="93" customFormat="1" ht="18.95" customHeight="1">
      <c r="A1020" s="68" t="str">
        <v/>
      </c>
      <c r="B1020" s="71" t="str">
        <v/>
      </c>
      <c r="C1020" s="80"/>
      <c r="D1020" s="81"/>
      <c r="E1020" s="82"/>
      <c r="F1020" s="83"/>
      <c r="G1020" s="80"/>
      <c r="H1020" s="84"/>
      <c r="I1020" s="85" t="s">
        <v>175</v>
      </c>
      <c r="J1020" s="84" t="str">
        <v/>
      </c>
      <c r="K1020" s="91"/>
      <c r="L1020" s="92"/>
      <c r="M1020" s="92"/>
      <c r="N1020" s="92"/>
    </row>
    <row r="1021" spans="1:14" s="93" customFormat="1" ht="18.95" customHeight="1">
      <c r="A1021" s="68" t="str">
        <v/>
      </c>
      <c r="B1021" s="71" t="str">
        <v/>
      </c>
      <c r="C1021" s="80"/>
      <c r="D1021" s="81"/>
      <c r="E1021" s="82"/>
      <c r="F1021" s="83"/>
      <c r="G1021" s="80"/>
      <c r="H1021" s="84"/>
      <c r="I1021" s="94" t="s">
        <v>176</v>
      </c>
      <c r="J1021" s="84" t="str">
        <v/>
      </c>
      <c r="K1021" s="91"/>
      <c r="L1021" s="92"/>
      <c r="M1021" s="92"/>
      <c r="N1021" s="92"/>
    </row>
    <row r="1022" spans="1:14" s="93" customFormat="1" ht="18.95" customHeight="1">
      <c r="A1022" s="68" t="str">
        <v/>
      </c>
      <c r="B1022" s="71" t="str">
        <v/>
      </c>
      <c r="C1022" s="80"/>
      <c r="D1022" s="81"/>
      <c r="E1022" s="82"/>
      <c r="F1022" s="83"/>
      <c r="G1022" s="80"/>
      <c r="H1022" s="84"/>
      <c r="I1022" s="94" t="s">
        <v>177</v>
      </c>
      <c r="J1022" s="84" t="str">
        <v/>
      </c>
      <c r="K1022" s="91"/>
      <c r="L1022" s="92"/>
      <c r="M1022" s="92"/>
      <c r="N1022" s="92"/>
    </row>
    <row r="1023" spans="1:14" s="93" customFormat="1" ht="18.95" customHeight="1">
      <c r="A1023" s="68" t="str">
        <v/>
      </c>
      <c r="B1023" s="71" t="str">
        <v/>
      </c>
      <c r="C1023" s="80"/>
      <c r="D1023" s="81"/>
      <c r="E1023" s="82"/>
      <c r="F1023" s="83"/>
      <c r="G1023" s="80"/>
      <c r="H1023" s="84"/>
      <c r="I1023" s="85" t="s">
        <v>178</v>
      </c>
      <c r="J1023" s="86" t="str">
        <v/>
      </c>
      <c r="K1023" s="91"/>
      <c r="L1023" s="92"/>
      <c r="M1023" s="92"/>
      <c r="N1023" s="92"/>
    </row>
    <row r="1024" spans="1:14" s="93" customFormat="1" ht="18.95" customHeight="1" thickBot="1">
      <c r="A1024" s="69" t="str">
        <v/>
      </c>
      <c r="B1024" s="72" t="str">
        <v/>
      </c>
      <c r="C1024" s="95"/>
      <c r="D1024" s="96"/>
      <c r="E1024" s="97"/>
      <c r="F1024" s="98"/>
      <c r="G1024" s="99"/>
      <c r="H1024" s="100"/>
      <c r="I1024" s="101" t="s">
        <v>179</v>
      </c>
      <c r="J1024" s="87" t="str">
        <v/>
      </c>
      <c r="K1024" s="91"/>
      <c r="L1024" s="92"/>
      <c r="M1024" s="92"/>
      <c r="N1024" s="92"/>
    </row>
    <row r="1025" spans="1:10" ht="6" customHeight="1" thickBot="1">
      <c r="A1025" s="102"/>
      <c r="B1025" s="103"/>
      <c r="C1025" s="103"/>
      <c r="D1025" s="102"/>
      <c r="E1025" s="103"/>
      <c r="F1025" s="103"/>
      <c r="G1025" s="103"/>
      <c r="H1025" s="103"/>
    </row>
    <row r="1026" spans="1:10" ht="6" customHeight="1" thickTop="1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</row>
    <row r="1027" spans="1:10" ht="14.25" customHeight="1" thickBot="1">
      <c r="A1027" s="1"/>
      <c r="B1027" s="150" t="s">
        <v>0</v>
      </c>
      <c r="C1027" s="119"/>
      <c r="D1027" s="119"/>
      <c r="E1027" s="1"/>
      <c r="F1027" s="1"/>
      <c r="G1027" s="1"/>
      <c r="H1027" s="1"/>
      <c r="I1027" s="1"/>
      <c r="J1027" s="1"/>
    </row>
    <row r="1028" spans="1:10" ht="14.25" customHeight="1" thickTop="1">
      <c r="A1028" s="3"/>
      <c r="B1028" s="119"/>
      <c r="C1028" s="119"/>
      <c r="D1028" s="119"/>
      <c r="E1028" s="3"/>
      <c r="F1028" s="3"/>
      <c r="G1028" s="3"/>
      <c r="H1028" s="3"/>
      <c r="I1028" s="3"/>
      <c r="J1028" s="3"/>
    </row>
    <row r="1029" spans="1:10" ht="14.25" customHeight="1">
      <c r="A1029" s="151" t="s">
        <v>1</v>
      </c>
      <c r="B1029" s="151" t="s">
        <v>121</v>
      </c>
      <c r="C1029" s="151" t="s">
        <v>3</v>
      </c>
      <c r="D1029" s="152">
        <v>1478</v>
      </c>
      <c r="E1029" s="151" t="s">
        <v>4</v>
      </c>
      <c r="F1029" s="147" t="s">
        <v>122</v>
      </c>
      <c r="G1029" s="119"/>
      <c r="H1029" s="119"/>
      <c r="I1029" s="4" t="s">
        <v>6</v>
      </c>
      <c r="J1029" s="4" t="s">
        <v>7</v>
      </c>
    </row>
    <row r="1030" spans="1:10" ht="14.25" customHeight="1">
      <c r="A1030" s="119"/>
      <c r="B1030" s="119"/>
      <c r="C1030" s="119"/>
      <c r="D1030" s="119"/>
      <c r="E1030" s="119"/>
      <c r="F1030" s="119"/>
      <c r="G1030" s="119"/>
      <c r="H1030" s="119"/>
      <c r="I1030" s="148"/>
      <c r="J1030" s="148"/>
    </row>
    <row r="1031" spans="1:10" ht="17.45" customHeight="1">
      <c r="A1031" s="139" t="s">
        <v>8</v>
      </c>
      <c r="B1031" s="139" t="s">
        <v>123</v>
      </c>
      <c r="E1031" s="139" t="s">
        <v>10</v>
      </c>
      <c r="F1031" s="140" t="s">
        <v>124</v>
      </c>
      <c r="G1031" s="119"/>
      <c r="H1031" s="119"/>
      <c r="I1031" s="149"/>
      <c r="J1031" s="149"/>
    </row>
    <row r="1032" spans="1:10" ht="17.45" customHeight="1">
      <c r="A1032" s="119"/>
      <c r="B1032" s="119"/>
      <c r="E1032" s="119"/>
      <c r="F1032" s="119"/>
      <c r="G1032" s="119"/>
      <c r="H1032" s="119"/>
      <c r="I1032" s="7"/>
      <c r="J1032" s="7"/>
    </row>
    <row r="1033" spans="1:10" ht="17.45" customHeight="1">
      <c r="A1033" s="139" t="s">
        <v>12</v>
      </c>
      <c r="B1033" s="139" t="s">
        <v>125</v>
      </c>
      <c r="E1033" s="8" t="s">
        <v>14</v>
      </c>
      <c r="F1033" s="140" t="s">
        <v>15</v>
      </c>
      <c r="G1033" s="119"/>
      <c r="H1033" s="6"/>
      <c r="I1033" s="7"/>
      <c r="J1033" s="7"/>
    </row>
    <row r="1034" spans="1:10" ht="17.45" customHeight="1">
      <c r="A1034" s="119"/>
      <c r="B1034" s="119"/>
      <c r="E1034" s="8" t="s">
        <v>16</v>
      </c>
      <c r="F1034" s="6" t="s">
        <v>17</v>
      </c>
      <c r="G1034" s="6"/>
      <c r="H1034" s="6"/>
      <c r="I1034" s="9"/>
      <c r="J1034" s="9"/>
    </row>
    <row r="1035" spans="1:10" ht="17.45" customHeight="1">
      <c r="A1035" s="8" t="s">
        <v>18</v>
      </c>
      <c r="B1035" s="10">
        <v>46113</v>
      </c>
      <c r="E1035" s="8" t="s">
        <v>19</v>
      </c>
      <c r="F1035" s="141">
        <v>100</v>
      </c>
      <c r="G1035" s="119"/>
      <c r="H1035" s="6"/>
    </row>
    <row r="1036" spans="1:10" ht="17.45" customHeight="1">
      <c r="A1036" s="8" t="s">
        <v>20</v>
      </c>
      <c r="B1036" s="10">
        <v>46113</v>
      </c>
      <c r="E1036" s="8" t="s">
        <v>21</v>
      </c>
      <c r="F1036" s="6">
        <v>1</v>
      </c>
      <c r="G1036" s="142" t="s">
        <v>22</v>
      </c>
      <c r="H1036" s="144">
        <v>100</v>
      </c>
      <c r="I1036" s="145"/>
      <c r="J1036" s="146"/>
    </row>
    <row r="1037" spans="1:10" ht="17.45" customHeight="1">
      <c r="A1037" s="11"/>
      <c r="B1037" s="12"/>
      <c r="C1037" s="12"/>
      <c r="D1037" s="12"/>
      <c r="E1037" s="8" t="s">
        <v>23</v>
      </c>
      <c r="F1037" s="6" t="s">
        <v>24</v>
      </c>
      <c r="G1037" s="143"/>
      <c r="H1037" s="143"/>
      <c r="I1037" s="125"/>
      <c r="J1037" s="133"/>
    </row>
    <row r="1038" spans="1:10" ht="13.5" customHeight="1">
      <c r="A1038" s="127" t="s">
        <v>126</v>
      </c>
      <c r="B1038" s="119"/>
      <c r="C1038" s="119"/>
      <c r="D1038" s="12"/>
      <c r="F1038" s="5"/>
      <c r="G1038" s="128" t="s">
        <v>26</v>
      </c>
      <c r="H1038" s="130" t="s">
        <v>27</v>
      </c>
      <c r="I1038" s="131" t="s">
        <v>28</v>
      </c>
      <c r="J1038" s="132"/>
    </row>
    <row r="1039" spans="1:10" ht="13.5" customHeight="1">
      <c r="A1039" s="119"/>
      <c r="B1039" s="119"/>
      <c r="C1039" s="119"/>
      <c r="D1039" s="12"/>
      <c r="F1039" s="5"/>
      <c r="G1039" s="129"/>
      <c r="H1039" s="129"/>
      <c r="I1039" s="125"/>
      <c r="J1039" s="133"/>
    </row>
    <row r="1040" spans="1:10" ht="13.5" customHeight="1">
      <c r="A1040" s="2" t="s">
        <v>29</v>
      </c>
    </row>
    <row r="1041" spans="1:10" ht="63" customHeight="1" thickBot="1">
      <c r="A1041" s="134"/>
      <c r="B1041" s="135"/>
      <c r="C1041" s="135"/>
      <c r="D1041" s="135"/>
      <c r="E1041" s="135"/>
      <c r="F1041" s="135"/>
      <c r="G1041" s="135"/>
      <c r="H1041" s="135"/>
      <c r="I1041" s="135"/>
      <c r="J1041" s="135"/>
    </row>
    <row r="1042" spans="1:10" ht="18.75">
      <c r="A1042" s="13" t="s">
        <v>30</v>
      </c>
      <c r="B1042" s="14" t="s">
        <v>31</v>
      </c>
      <c r="C1042" s="136" t="s">
        <v>32</v>
      </c>
      <c r="D1042" s="137"/>
      <c r="E1042" s="14" t="s">
        <v>33</v>
      </c>
      <c r="F1042" s="136" t="s">
        <v>34</v>
      </c>
      <c r="G1042" s="137"/>
      <c r="H1042" s="137"/>
      <c r="I1042" s="138" t="s">
        <v>35</v>
      </c>
      <c r="J1042" s="137"/>
    </row>
    <row r="1043" spans="1:10" ht="14.25" customHeight="1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</row>
    <row r="1044" spans="1:10" ht="16.5" customHeight="1">
      <c r="A1044" s="17">
        <v>1</v>
      </c>
      <c r="B1044" s="18" t="s">
        <v>36</v>
      </c>
      <c r="C1044" s="118" t="s">
        <v>37</v>
      </c>
      <c r="D1044" s="119"/>
      <c r="E1044" s="18" t="s">
        <v>38</v>
      </c>
      <c r="F1044" s="118" t="s">
        <v>39</v>
      </c>
      <c r="G1044" s="119"/>
      <c r="H1044" s="119"/>
      <c r="I1044" s="126"/>
      <c r="J1044" s="119"/>
    </row>
    <row r="1045" spans="1:10" ht="16.5" customHeight="1">
      <c r="A1045" s="17">
        <v>1</v>
      </c>
      <c r="B1045" s="20" t="s">
        <v>36</v>
      </c>
      <c r="C1045" s="118" t="s">
        <v>37</v>
      </c>
      <c r="D1045" s="119"/>
      <c r="E1045" s="18" t="s">
        <v>40</v>
      </c>
      <c r="F1045" s="118" t="s">
        <v>41</v>
      </c>
      <c r="G1045" s="119"/>
      <c r="H1045" s="119"/>
      <c r="I1045" s="126"/>
      <c r="J1045" s="119"/>
    </row>
    <row r="1046" spans="1:10" ht="16.5" customHeight="1">
      <c r="A1046" s="17"/>
      <c r="B1046" s="20"/>
      <c r="C1046" s="118"/>
      <c r="D1046" s="119"/>
      <c r="E1046" s="18"/>
      <c r="F1046" s="118"/>
      <c r="G1046" s="119"/>
      <c r="H1046" s="119"/>
      <c r="I1046" s="126"/>
      <c r="J1046" s="119"/>
    </row>
    <row r="1047" spans="1:10" ht="16.5" customHeight="1">
      <c r="A1047" s="17"/>
      <c r="B1047" s="20"/>
      <c r="C1047" s="118"/>
      <c r="D1047" s="119"/>
      <c r="E1047" s="18"/>
      <c r="F1047" s="118"/>
      <c r="G1047" s="119"/>
      <c r="H1047" s="119"/>
      <c r="I1047" s="126"/>
      <c r="J1047" s="119"/>
    </row>
    <row r="1048" spans="1:10" ht="16.5" customHeight="1">
      <c r="A1048" s="17"/>
      <c r="B1048" s="20"/>
      <c r="C1048" s="118"/>
      <c r="D1048" s="119"/>
      <c r="E1048" s="18"/>
      <c r="F1048" s="118"/>
      <c r="G1048" s="119"/>
      <c r="H1048" s="119"/>
      <c r="I1048" s="126"/>
      <c r="J1048" s="119"/>
    </row>
    <row r="1049" spans="1:10" ht="16.5" customHeight="1">
      <c r="A1049" s="17"/>
      <c r="B1049" s="20"/>
      <c r="C1049" s="118"/>
      <c r="D1049" s="119"/>
      <c r="E1049" s="18"/>
      <c r="F1049" s="118"/>
      <c r="G1049" s="119"/>
      <c r="H1049" s="119"/>
      <c r="I1049" s="126"/>
      <c r="J1049" s="119"/>
    </row>
    <row r="1050" spans="1:10" ht="16.5" customHeight="1" thickBo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</row>
    <row r="1051" spans="1:10" ht="18.75">
      <c r="A1051" s="122" t="s">
        <v>42</v>
      </c>
      <c r="B1051" s="123"/>
      <c r="C1051" s="122" t="s">
        <v>43</v>
      </c>
      <c r="D1051" s="123"/>
      <c r="E1051" s="123"/>
      <c r="F1051" s="22" t="s">
        <v>44</v>
      </c>
      <c r="G1051" s="122" t="s">
        <v>45</v>
      </c>
      <c r="H1051" s="123"/>
      <c r="I1051" s="122" t="s">
        <v>46</v>
      </c>
      <c r="J1051" s="123"/>
    </row>
    <row r="1052" spans="1:10" ht="14.25" customHeight="1">
      <c r="A1052" s="23"/>
      <c r="B1052" s="24"/>
      <c r="C1052" s="124" t="s">
        <v>47</v>
      </c>
      <c r="D1052" s="125"/>
      <c r="E1052" s="24"/>
      <c r="F1052" s="124" t="s">
        <v>29</v>
      </c>
      <c r="G1052" s="125"/>
      <c r="H1052" s="125"/>
      <c r="I1052" s="125"/>
      <c r="J1052" s="125"/>
    </row>
    <row r="1053" spans="1:10">
      <c r="A1053" s="25"/>
      <c r="C1053" s="19"/>
      <c r="D1053" s="19"/>
      <c r="E1053" s="19"/>
    </row>
    <row r="1054" spans="1:10" ht="14.25" customHeight="1">
      <c r="A1054" s="118" t="s">
        <v>48</v>
      </c>
      <c r="B1054" s="119"/>
      <c r="C1054" s="118" t="s">
        <v>49</v>
      </c>
      <c r="D1054" s="119"/>
      <c r="E1054" s="119"/>
      <c r="F1054" s="18" t="s">
        <v>27</v>
      </c>
      <c r="G1054" s="120">
        <v>100</v>
      </c>
      <c r="H1054" s="119"/>
      <c r="I1054" s="120">
        <v>1</v>
      </c>
      <c r="J1054" s="119"/>
    </row>
    <row r="1055" spans="1:10" ht="24.95" customHeight="1">
      <c r="A1055" s="121" t="s">
        <v>50</v>
      </c>
      <c r="B1055" s="119"/>
      <c r="C1055" s="118"/>
      <c r="D1055" s="119"/>
      <c r="E1055" s="119"/>
      <c r="F1055" s="118"/>
      <c r="G1055" s="119"/>
      <c r="H1055" s="119"/>
      <c r="I1055" s="119"/>
      <c r="J1055" s="119"/>
    </row>
    <row r="1056" spans="1:10" ht="14.25" customHeight="1">
      <c r="A1056" s="118" t="s">
        <v>127</v>
      </c>
      <c r="B1056" s="119"/>
      <c r="C1056" s="118" t="s">
        <v>128</v>
      </c>
      <c r="D1056" s="119"/>
      <c r="E1056" s="119"/>
      <c r="F1056" s="18" t="s">
        <v>53</v>
      </c>
      <c r="G1056" s="120">
        <v>1</v>
      </c>
      <c r="H1056" s="119"/>
      <c r="I1056" s="120">
        <v>0.01</v>
      </c>
      <c r="J1056" s="119"/>
    </row>
    <row r="1057" spans="1:11" ht="24.95" customHeight="1">
      <c r="A1057" s="121" t="s">
        <v>129</v>
      </c>
      <c r="B1057" s="119"/>
      <c r="C1057" s="118" t="s">
        <v>130</v>
      </c>
      <c r="D1057" s="119"/>
      <c r="E1057" s="119"/>
      <c r="F1057" s="118"/>
      <c r="G1057" s="119"/>
      <c r="H1057" s="119"/>
      <c r="I1057" s="119"/>
      <c r="J1057" s="119"/>
    </row>
    <row r="1058" spans="1:11" ht="14.25" customHeight="1">
      <c r="A1058" s="118" t="s">
        <v>56</v>
      </c>
      <c r="B1058" s="119"/>
      <c r="C1058" s="118" t="s">
        <v>57</v>
      </c>
      <c r="D1058" s="119"/>
      <c r="E1058" s="119"/>
      <c r="F1058" s="18"/>
      <c r="G1058" s="120">
        <v>0.2</v>
      </c>
      <c r="H1058" s="119"/>
      <c r="I1058" s="120">
        <v>2E-3</v>
      </c>
      <c r="J1058" s="119"/>
    </row>
    <row r="1059" spans="1:11" ht="24.95" customHeight="1">
      <c r="A1059" s="121" t="s">
        <v>58</v>
      </c>
      <c r="B1059" s="119"/>
      <c r="C1059" s="118" t="s">
        <v>59</v>
      </c>
      <c r="D1059" s="119"/>
      <c r="E1059" s="119"/>
      <c r="F1059" s="118"/>
      <c r="G1059" s="119"/>
      <c r="H1059" s="119"/>
      <c r="I1059" s="119"/>
      <c r="J1059" s="119"/>
    </row>
    <row r="1060" spans="1:11" ht="14.25" customHeight="1">
      <c r="A1060" s="118" t="s">
        <v>60</v>
      </c>
      <c r="B1060" s="119"/>
      <c r="C1060" s="118" t="s">
        <v>61</v>
      </c>
      <c r="D1060" s="119"/>
      <c r="E1060" s="119"/>
      <c r="F1060" s="18"/>
      <c r="G1060" s="120">
        <v>0.1</v>
      </c>
      <c r="H1060" s="119"/>
      <c r="I1060" s="120">
        <v>1E-3</v>
      </c>
      <c r="J1060" s="119"/>
    </row>
    <row r="1061" spans="1:11" ht="24.95" customHeight="1">
      <c r="A1061" s="121" t="s">
        <v>62</v>
      </c>
      <c r="B1061" s="119"/>
      <c r="C1061" s="118" t="s">
        <v>63</v>
      </c>
      <c r="D1061" s="119"/>
      <c r="E1061" s="119"/>
      <c r="F1061" s="118"/>
      <c r="G1061" s="119"/>
      <c r="H1061" s="119"/>
      <c r="I1061" s="119"/>
      <c r="J1061" s="119"/>
    </row>
    <row r="1062" spans="1:11" ht="14.25" customHeight="1">
      <c r="A1062" s="118"/>
      <c r="B1062" s="119"/>
      <c r="C1062" s="118"/>
      <c r="D1062" s="119"/>
      <c r="E1062" s="119"/>
      <c r="F1062" s="18"/>
      <c r="G1062" s="120"/>
      <c r="H1062" s="119"/>
      <c r="I1062" s="120"/>
      <c r="J1062" s="119"/>
    </row>
    <row r="1063" spans="1:11" ht="24.95" customHeight="1" thickBot="1">
      <c r="A1063" s="121"/>
      <c r="B1063" s="119"/>
      <c r="C1063" s="118"/>
      <c r="D1063" s="119"/>
      <c r="E1063" s="119"/>
      <c r="F1063" s="118"/>
      <c r="G1063" s="119"/>
      <c r="H1063" s="119"/>
      <c r="I1063" s="119"/>
      <c r="J1063" s="119"/>
    </row>
    <row r="1064" spans="1:11" s="15" customFormat="1" ht="18" customHeight="1">
      <c r="A1064" s="27" t="s">
        <v>143</v>
      </c>
      <c r="B1064" s="28" t="s">
        <v>144</v>
      </c>
      <c r="C1064" s="108" t="s">
        <v>145</v>
      </c>
      <c r="D1064" s="109"/>
      <c r="E1064" s="29" t="s">
        <v>146</v>
      </c>
      <c r="F1064" s="30" t="s">
        <v>147</v>
      </c>
      <c r="G1064" s="31" t="s">
        <v>148</v>
      </c>
      <c r="H1064" s="32" t="s">
        <v>149</v>
      </c>
      <c r="I1064" s="106" t="s">
        <v>150</v>
      </c>
      <c r="J1064" s="107"/>
    </row>
    <row r="1065" spans="1:11" s="19" customFormat="1" ht="18" customHeight="1">
      <c r="A1065" s="33" t="str">
        <f>_xlfn.XLOOKUP(B1029,[3]VFDB2!$A:$A,[3]VFDB2!$J:$J)</f>
        <v>〇</v>
      </c>
      <c r="B1065" s="34">
        <f>D1029</f>
        <v>1478</v>
      </c>
      <c r="C1065" s="110" t="str">
        <f>_xlfn.XLOOKUP(B1029,[3]VFDB2!$A:$A,[3]VFDB2!$Z:$Z)</f>
        <v>LED-A1478</v>
      </c>
      <c r="D1065" s="111"/>
      <c r="E1065" s="112" t="str" cm="1">
        <f t="array" ref="E1065">IFERROR(INDEX(_xlfn._xlws.FILTER([4]加工記録２!C:C,[4]加工記録２!U:U=B1031),9),"")</f>
        <v/>
      </c>
      <c r="F1065" s="35" t="str" cm="1">
        <f t="array" ref="F1065">IFERROR("切断加工：" &amp;_xlfn.TEXTJOIN(" / ",TRUE,INDEX(_xlfn._xlws.FILTER([4]加工記録２!M:M,[4]加工記録２!U:U=B1031),9),INDEX(_xlfn._xlws.FILTER([4]加工記録２!N:N,[4]加工記録２!U:U=B1031),9)),"")</f>
        <v/>
      </c>
      <c r="G1065" s="36" t="str" cm="1">
        <f t="array" ref="G1065">IFERROR(IF(_xlfn.TAKE(_xlfn._xlws.FILTER([4]加工記録２!$M:$N,[4]加工記録２!$U:$U=B1031),5)=0,"",_xlfn.TAKE(_xlfn._xlws.FILTER([4]加工記録２!$M:$N,[4]加工記録２!$U:$U=B1031),5)),"")</f>
        <v/>
      </c>
      <c r="H1065" s="37"/>
      <c r="I1065" s="38" t="s">
        <v>151</v>
      </c>
      <c r="J1065" s="39" t="str" cm="1">
        <f t="array" ref="J1065:J1070">IFERROR(INDEX(_xlfn._xlws.FILTER([4]加工記録２!P:P, [4]加工記録２!U:U=B1031),_xlfn.SEQUENCE(6)),"")</f>
        <v/>
      </c>
    </row>
    <row r="1066" spans="1:11" s="15" customFormat="1" ht="18" customHeight="1">
      <c r="A1066" s="43" t="s">
        <v>152</v>
      </c>
      <c r="B1066" s="44" t="s">
        <v>153</v>
      </c>
      <c r="C1066" s="110"/>
      <c r="D1066" s="111"/>
      <c r="E1066" s="112"/>
      <c r="F1066" s="45" t="str" cm="1">
        <f t="array" ref="F1066">IFERROR("外観検査：" &amp;_xlfn.TEXTJOIN(" / ",TRUE,INDEX(_xlfn._xlws.FILTER([4]加工記録２!M:M,[4]加工記録２!U:U=B1031),10),INDEX(_xlfn._xlws.FILTER([4]加工記録２!N:N,[4]加工記録２!U:U=B1031),10)),"")</f>
        <v/>
      </c>
      <c r="G1066" s="36"/>
      <c r="H1066" s="37"/>
      <c r="I1066" s="38" t="s">
        <v>154</v>
      </c>
      <c r="J1066" s="40" t="str">
        <v/>
      </c>
      <c r="K1066" s="46"/>
    </row>
    <row r="1067" spans="1:11" s="19" customFormat="1" ht="18" customHeight="1">
      <c r="A1067" s="47" t="str">
        <f>_xlfn.XLOOKUP(B1029,[3]VFDB2!$A:$A,[3]VFDB2!$L:$L)</f>
        <v>+0.5</v>
      </c>
      <c r="B1067" s="48" t="str">
        <f>_xlfn.XLOOKUP(B1029,[3]VFDB2!$A:$A,[3]VFDB2!$AC:$AC)</f>
        <v>換算表確認</v>
      </c>
      <c r="C1067" s="113" t="s">
        <v>155</v>
      </c>
      <c r="D1067" s="114" t="str">
        <f>_xlfn.XLOOKUP(B1029,[3]VFDB2!$A:$A,[3]VFDB2!$W:$W)</f>
        <v>クラフト紙：1478型</v>
      </c>
      <c r="E1067" s="114"/>
      <c r="F1067" s="115"/>
      <c r="G1067" s="36"/>
      <c r="H1067" s="37"/>
      <c r="I1067" s="38" t="s">
        <v>156</v>
      </c>
      <c r="J1067" s="40" t="str">
        <v/>
      </c>
      <c r="K1067" s="49"/>
    </row>
    <row r="1068" spans="1:11" s="15" customFormat="1" ht="18" customHeight="1">
      <c r="A1068" s="50" t="s">
        <v>157</v>
      </c>
      <c r="B1068" s="51" t="s">
        <v>158</v>
      </c>
      <c r="C1068" s="113"/>
      <c r="D1068" s="114" t="str">
        <f>_xlfn.XLOOKUP(B1029,[3]VFDB2!$A:$A,[3]VFDB2!$R:$R)</f>
        <v>ラベル１枚　長手無　鉢巻１回</v>
      </c>
      <c r="E1068" s="114"/>
      <c r="F1068" s="115"/>
      <c r="G1068" s="36"/>
      <c r="H1068" s="37"/>
      <c r="I1068" s="38" t="s">
        <v>159</v>
      </c>
      <c r="J1068" s="40" t="str">
        <v/>
      </c>
      <c r="K1068" s="46"/>
    </row>
    <row r="1069" spans="1:11" s="19" customFormat="1" ht="18" customHeight="1" thickBot="1">
      <c r="A1069" s="52" t="str">
        <f>_xlfn.XLOOKUP(B1029,[3]VFDB2!$A:$A,[3]VFDB2!$K:$K)</f>
        <v>－0.5</v>
      </c>
      <c r="B1069" s="53">
        <f>_xlfn.XLOOKUP(B1029,[3]VFDB2!$A:$A,[3]VFDB2!$P:$P)</f>
        <v>1</v>
      </c>
      <c r="C1069" s="54" t="s">
        <v>160</v>
      </c>
      <c r="D1069" s="116" t="str">
        <f>_xlfn.XLOOKUP(B1029,[3]VFDB2!$A:$A,[3]VFDB2!$V:$V)</f>
        <v>1箱目の梱包数 目視確認　以降、重量測定</v>
      </c>
      <c r="E1069" s="116"/>
      <c r="F1069" s="117"/>
      <c r="G1069" s="55"/>
      <c r="H1069" s="56"/>
      <c r="I1069" s="38" t="s">
        <v>161</v>
      </c>
      <c r="J1069" s="41" t="str">
        <v/>
      </c>
      <c r="K1069" s="49"/>
    </row>
    <row r="1070" spans="1:11" s="15" customFormat="1" ht="18" customHeight="1" thickBot="1">
      <c r="A1070" s="57" t="s">
        <v>162</v>
      </c>
      <c r="B1070" s="58" t="str" cm="1">
        <f t="array" ref="B1070">IF(SUM(--(ISTEXT(B1071:B1081)*(B1071:B1081&lt;&gt;"")))=0,"計測Lot","計測Lot・加工数")</f>
        <v>計測Lot</v>
      </c>
      <c r="C1070" s="59" t="s">
        <v>163</v>
      </c>
      <c r="D1070" s="60" t="s">
        <v>164</v>
      </c>
      <c r="E1070" s="61" t="s">
        <v>165</v>
      </c>
      <c r="F1070" s="62" t="str" cm="1">
        <f t="array" ref="F1070">IF(SUM(--(ISTEXT(B1071:B1081)*(B1071:B1081&lt;&gt;"")))=0,"記入不要","使用Lot")</f>
        <v>記入不要</v>
      </c>
      <c r="G1070" s="63" t="s">
        <v>166</v>
      </c>
      <c r="H1070" s="64" t="s">
        <v>167</v>
      </c>
      <c r="I1070" s="65" t="s">
        <v>168</v>
      </c>
      <c r="J1070" s="42" t="str">
        <v/>
      </c>
      <c r="K1070" s="46"/>
    </row>
    <row r="1071" spans="1:11" s="19" customFormat="1" ht="18" customHeight="1">
      <c r="A1071" s="66" t="str" cm="1">
        <f t="array" ref="A1071:A1081">IFERROR(INDEX(_xlfn._xlws.FILTER([4]加工記録２!$D:$D,[4]加工記録２!$U:$U=B1031),_xlfn.SEQUENCE(11),0),"")</f>
        <v/>
      </c>
      <c r="B1071" s="70" t="str" cm="1">
        <f t="array" ref="B1071:B1081">IFERROR(IF(INDEX(_xlfn._xlws.FILTER([4]加工記録２!$E:$E,[4]加工記録２!$U:$U=B1031),_xlfn.SEQUENCE(11))="","",INDEX(_xlfn._xlws.FILTER([4]加工記録２!$E:$E,[4]加工記録２!$U:$U=B1031),_xlfn.SEQUENCE(11)) &amp; IF(INDEX(_xlfn._xlws.FILTER([4]加工記録２!$F:$F,[4]加工記録２!$U:$U=B1031),_xlfn.SEQUENCE(11))="","", " × " &amp; INDEX(_xlfn._xlws.FILTER([4]加工記録２!$F:$F,[4]加工記録２!$U:$U=B1031),_xlfn.SEQUENCE(11)))),"")</f>
        <v/>
      </c>
      <c r="C1071" s="73"/>
      <c r="D1071" s="74"/>
      <c r="E1071" s="75"/>
      <c r="F1071" s="76"/>
      <c r="G1071" s="77"/>
      <c r="H1071" s="78"/>
      <c r="I1071" s="104" t="s">
        <v>169</v>
      </c>
      <c r="J1071" s="105"/>
      <c r="K1071" s="79"/>
    </row>
    <row r="1072" spans="1:11" s="15" customFormat="1" ht="18" customHeight="1">
      <c r="A1072" s="67" t="str">
        <v/>
      </c>
      <c r="B1072" s="71" t="str">
        <v/>
      </c>
      <c r="C1072" s="80"/>
      <c r="D1072" s="81"/>
      <c r="E1072" s="82"/>
      <c r="F1072" s="83"/>
      <c r="G1072" s="80"/>
      <c r="H1072" s="84"/>
      <c r="I1072" s="85" t="s">
        <v>170</v>
      </c>
      <c r="J1072" s="84" t="str" cm="1">
        <f t="array" ref="J1072:J1081">IFERROR(INDEX(_xlfn._xlws.FILTER([4]加工記録２!R:R, [4]加工記録２!U:U=B1031),_xlfn.SEQUENCE(10)),"")</f>
        <v/>
      </c>
      <c r="K1072" s="79"/>
    </row>
    <row r="1073" spans="1:14" s="90" customFormat="1" ht="18.95" customHeight="1">
      <c r="A1073" s="68" t="str">
        <v/>
      </c>
      <c r="B1073" s="71" t="str">
        <v/>
      </c>
      <c r="C1073" s="80"/>
      <c r="D1073" s="81"/>
      <c r="E1073" s="82"/>
      <c r="F1073" s="83"/>
      <c r="G1073" s="80"/>
      <c r="H1073" s="84"/>
      <c r="I1073" s="85" t="s">
        <v>171</v>
      </c>
      <c r="J1073" s="84" t="str">
        <v/>
      </c>
      <c r="K1073" s="88"/>
      <c r="L1073" s="89"/>
      <c r="M1073" s="89"/>
      <c r="N1073" s="89"/>
    </row>
    <row r="1074" spans="1:14" s="93" customFormat="1" ht="18.95" customHeight="1">
      <c r="A1074" s="68" t="str">
        <v/>
      </c>
      <c r="B1074" s="71" t="str">
        <v/>
      </c>
      <c r="C1074" s="80"/>
      <c r="D1074" s="81"/>
      <c r="E1074" s="82"/>
      <c r="F1074" s="83"/>
      <c r="G1074" s="80"/>
      <c r="H1074" s="84"/>
      <c r="I1074" s="85" t="s">
        <v>172</v>
      </c>
      <c r="J1074" s="84" t="str">
        <v/>
      </c>
      <c r="K1074" s="91"/>
      <c r="L1074" s="92"/>
      <c r="M1074" s="92"/>
      <c r="N1074" s="92"/>
    </row>
    <row r="1075" spans="1:14" s="93" customFormat="1" ht="18.95" customHeight="1">
      <c r="A1075" s="68" t="str">
        <v/>
      </c>
      <c r="B1075" s="71" t="str">
        <v/>
      </c>
      <c r="C1075" s="80"/>
      <c r="D1075" s="81"/>
      <c r="E1075" s="82"/>
      <c r="F1075" s="83"/>
      <c r="G1075" s="80"/>
      <c r="H1075" s="84"/>
      <c r="I1075" s="85" t="s">
        <v>173</v>
      </c>
      <c r="J1075" s="84" t="str">
        <v/>
      </c>
      <c r="K1075" s="91"/>
      <c r="L1075" s="92"/>
      <c r="M1075" s="92"/>
      <c r="N1075" s="92"/>
    </row>
    <row r="1076" spans="1:14" s="93" customFormat="1" ht="18.95" customHeight="1">
      <c r="A1076" s="68" t="str">
        <v/>
      </c>
      <c r="B1076" s="71" t="str">
        <v/>
      </c>
      <c r="C1076" s="80"/>
      <c r="D1076" s="81"/>
      <c r="E1076" s="82"/>
      <c r="F1076" s="83"/>
      <c r="G1076" s="80"/>
      <c r="H1076" s="84"/>
      <c r="I1076" s="85" t="s">
        <v>174</v>
      </c>
      <c r="J1076" s="84" t="str">
        <v/>
      </c>
      <c r="K1076" s="91"/>
      <c r="L1076" s="92"/>
      <c r="M1076" s="92"/>
      <c r="N1076" s="92"/>
    </row>
    <row r="1077" spans="1:14" s="93" customFormat="1" ht="18.95" customHeight="1">
      <c r="A1077" s="68" t="str">
        <v/>
      </c>
      <c r="B1077" s="71" t="str">
        <v/>
      </c>
      <c r="C1077" s="80"/>
      <c r="D1077" s="81"/>
      <c r="E1077" s="82"/>
      <c r="F1077" s="83"/>
      <c r="G1077" s="80"/>
      <c r="H1077" s="84"/>
      <c r="I1077" s="85" t="s">
        <v>175</v>
      </c>
      <c r="J1077" s="84" t="str">
        <v/>
      </c>
      <c r="K1077" s="91"/>
      <c r="L1077" s="92"/>
      <c r="M1077" s="92"/>
      <c r="N1077" s="92"/>
    </row>
    <row r="1078" spans="1:14" s="93" customFormat="1" ht="18.95" customHeight="1">
      <c r="A1078" s="68" t="str">
        <v/>
      </c>
      <c r="B1078" s="71" t="str">
        <v/>
      </c>
      <c r="C1078" s="80"/>
      <c r="D1078" s="81"/>
      <c r="E1078" s="82"/>
      <c r="F1078" s="83"/>
      <c r="G1078" s="80"/>
      <c r="H1078" s="84"/>
      <c r="I1078" s="94" t="s">
        <v>176</v>
      </c>
      <c r="J1078" s="84" t="str">
        <v/>
      </c>
      <c r="K1078" s="91"/>
      <c r="L1078" s="92"/>
      <c r="M1078" s="92"/>
      <c r="N1078" s="92"/>
    </row>
    <row r="1079" spans="1:14" s="93" customFormat="1" ht="18.95" customHeight="1">
      <c r="A1079" s="68" t="str">
        <v/>
      </c>
      <c r="B1079" s="71" t="str">
        <v/>
      </c>
      <c r="C1079" s="80"/>
      <c r="D1079" s="81"/>
      <c r="E1079" s="82"/>
      <c r="F1079" s="83"/>
      <c r="G1079" s="80"/>
      <c r="H1079" s="84"/>
      <c r="I1079" s="94" t="s">
        <v>177</v>
      </c>
      <c r="J1079" s="84" t="str">
        <v/>
      </c>
      <c r="K1079" s="91"/>
      <c r="L1079" s="92"/>
      <c r="M1079" s="92"/>
      <c r="N1079" s="92"/>
    </row>
    <row r="1080" spans="1:14" s="93" customFormat="1" ht="18.95" customHeight="1">
      <c r="A1080" s="68" t="str">
        <v/>
      </c>
      <c r="B1080" s="71" t="str">
        <v/>
      </c>
      <c r="C1080" s="80"/>
      <c r="D1080" s="81"/>
      <c r="E1080" s="82"/>
      <c r="F1080" s="83"/>
      <c r="G1080" s="80"/>
      <c r="H1080" s="84"/>
      <c r="I1080" s="85" t="s">
        <v>178</v>
      </c>
      <c r="J1080" s="86" t="str">
        <v/>
      </c>
      <c r="K1080" s="91"/>
      <c r="L1080" s="92"/>
      <c r="M1080" s="92"/>
      <c r="N1080" s="92"/>
    </row>
    <row r="1081" spans="1:14" s="93" customFormat="1" ht="18.95" customHeight="1" thickBot="1">
      <c r="A1081" s="69" t="str">
        <v/>
      </c>
      <c r="B1081" s="72" t="str">
        <v/>
      </c>
      <c r="C1081" s="95"/>
      <c r="D1081" s="96"/>
      <c r="E1081" s="97"/>
      <c r="F1081" s="98"/>
      <c r="G1081" s="99"/>
      <c r="H1081" s="100"/>
      <c r="I1081" s="101" t="s">
        <v>179</v>
      </c>
      <c r="J1081" s="87" t="str">
        <v/>
      </c>
      <c r="K1081" s="91"/>
      <c r="L1081" s="92"/>
      <c r="M1081" s="92"/>
      <c r="N1081" s="92"/>
    </row>
    <row r="1082" spans="1:14" ht="6" customHeight="1" thickBot="1">
      <c r="A1082" s="102"/>
      <c r="B1082" s="103"/>
      <c r="C1082" s="103"/>
      <c r="D1082" s="102"/>
      <c r="E1082" s="103"/>
      <c r="F1082" s="103"/>
      <c r="G1082" s="103"/>
      <c r="H1082" s="103"/>
    </row>
    <row r="1083" spans="1:14" ht="6" customHeight="1" thickTop="1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</row>
    <row r="1084" spans="1:14" ht="14.25" customHeight="1" thickBot="1">
      <c r="A1084" s="1"/>
      <c r="B1084" s="150" t="s">
        <v>0</v>
      </c>
      <c r="C1084" s="119"/>
      <c r="D1084" s="119"/>
      <c r="E1084" s="1"/>
      <c r="F1084" s="1"/>
      <c r="G1084" s="1"/>
      <c r="H1084" s="1"/>
      <c r="I1084" s="1"/>
      <c r="J1084" s="1"/>
    </row>
    <row r="1085" spans="1:14" ht="14.25" customHeight="1" thickTop="1">
      <c r="A1085" s="3"/>
      <c r="B1085" s="119"/>
      <c r="C1085" s="119"/>
      <c r="D1085" s="119"/>
      <c r="E1085" s="3"/>
      <c r="F1085" s="3"/>
      <c r="G1085" s="3"/>
      <c r="H1085" s="3"/>
      <c r="I1085" s="3"/>
      <c r="J1085" s="3"/>
    </row>
    <row r="1086" spans="1:14" ht="14.25" customHeight="1">
      <c r="A1086" s="151" t="s">
        <v>1</v>
      </c>
      <c r="B1086" s="151" t="s">
        <v>121</v>
      </c>
      <c r="C1086" s="151" t="s">
        <v>3</v>
      </c>
      <c r="D1086" s="152">
        <v>1478</v>
      </c>
      <c r="E1086" s="151" t="s">
        <v>4</v>
      </c>
      <c r="F1086" s="147" t="s">
        <v>122</v>
      </c>
      <c r="G1086" s="119"/>
      <c r="H1086" s="119"/>
      <c r="I1086" s="4" t="s">
        <v>6</v>
      </c>
      <c r="J1086" s="4" t="s">
        <v>7</v>
      </c>
    </row>
    <row r="1087" spans="1:14" ht="14.25" customHeight="1">
      <c r="A1087" s="119"/>
      <c r="B1087" s="119"/>
      <c r="C1087" s="119"/>
      <c r="D1087" s="119"/>
      <c r="E1087" s="119"/>
      <c r="F1087" s="119"/>
      <c r="G1087" s="119"/>
      <c r="H1087" s="119"/>
      <c r="I1087" s="148"/>
      <c r="J1087" s="148"/>
    </row>
    <row r="1088" spans="1:14" ht="17.45" customHeight="1">
      <c r="A1088" s="139" t="s">
        <v>8</v>
      </c>
      <c r="B1088" s="139" t="s">
        <v>131</v>
      </c>
      <c r="E1088" s="139" t="s">
        <v>10</v>
      </c>
      <c r="F1088" s="140" t="s">
        <v>124</v>
      </c>
      <c r="G1088" s="119"/>
      <c r="H1088" s="119"/>
      <c r="I1088" s="149"/>
      <c r="J1088" s="149"/>
    </row>
    <row r="1089" spans="1:10" ht="17.45" customHeight="1">
      <c r="A1089" s="119"/>
      <c r="B1089" s="119"/>
      <c r="E1089" s="119"/>
      <c r="F1089" s="119"/>
      <c r="G1089" s="119"/>
      <c r="H1089" s="119"/>
      <c r="I1089" s="7"/>
      <c r="J1089" s="7"/>
    </row>
    <row r="1090" spans="1:10" ht="17.45" customHeight="1">
      <c r="A1090" s="139" t="s">
        <v>12</v>
      </c>
      <c r="B1090" s="139" t="s">
        <v>132</v>
      </c>
      <c r="E1090" s="8" t="s">
        <v>14</v>
      </c>
      <c r="F1090" s="140" t="s">
        <v>15</v>
      </c>
      <c r="G1090" s="119"/>
      <c r="H1090" s="6"/>
      <c r="I1090" s="7"/>
      <c r="J1090" s="7"/>
    </row>
    <row r="1091" spans="1:10" ht="17.45" customHeight="1">
      <c r="A1091" s="119"/>
      <c r="B1091" s="119"/>
      <c r="E1091" s="8" t="s">
        <v>16</v>
      </c>
      <c r="F1091" s="6" t="s">
        <v>17</v>
      </c>
      <c r="G1091" s="6"/>
      <c r="H1091" s="6"/>
      <c r="I1091" s="9"/>
      <c r="J1091" s="9"/>
    </row>
    <row r="1092" spans="1:10" ht="17.45" customHeight="1">
      <c r="A1092" s="8" t="s">
        <v>18</v>
      </c>
      <c r="B1092" s="10">
        <v>46125</v>
      </c>
      <c r="E1092" s="8" t="s">
        <v>19</v>
      </c>
      <c r="F1092" s="141">
        <v>100</v>
      </c>
      <c r="G1092" s="119"/>
      <c r="H1092" s="6"/>
    </row>
    <row r="1093" spans="1:10" ht="17.45" customHeight="1">
      <c r="A1093" s="8" t="s">
        <v>20</v>
      </c>
      <c r="B1093" s="10">
        <v>46125</v>
      </c>
      <c r="E1093" s="8" t="s">
        <v>21</v>
      </c>
      <c r="F1093" s="6">
        <v>4</v>
      </c>
      <c r="G1093" s="142" t="s">
        <v>22</v>
      </c>
      <c r="H1093" s="144">
        <v>400</v>
      </c>
      <c r="I1093" s="145"/>
      <c r="J1093" s="146"/>
    </row>
    <row r="1094" spans="1:10" ht="17.45" customHeight="1">
      <c r="A1094" s="11"/>
      <c r="B1094" s="12"/>
      <c r="C1094" s="12"/>
      <c r="D1094" s="12"/>
      <c r="E1094" s="8" t="s">
        <v>23</v>
      </c>
      <c r="F1094" s="6" t="s">
        <v>24</v>
      </c>
      <c r="G1094" s="143"/>
      <c r="H1094" s="143"/>
      <c r="I1094" s="125"/>
      <c r="J1094" s="133"/>
    </row>
    <row r="1095" spans="1:10" ht="13.5" customHeight="1">
      <c r="A1095" s="127" t="s">
        <v>126</v>
      </c>
      <c r="B1095" s="119"/>
      <c r="C1095" s="119"/>
      <c r="D1095" s="12"/>
      <c r="F1095" s="5"/>
      <c r="G1095" s="128" t="s">
        <v>26</v>
      </c>
      <c r="H1095" s="130" t="s">
        <v>27</v>
      </c>
      <c r="I1095" s="131" t="s">
        <v>28</v>
      </c>
      <c r="J1095" s="132"/>
    </row>
    <row r="1096" spans="1:10" ht="13.5" customHeight="1">
      <c r="A1096" s="119"/>
      <c r="B1096" s="119"/>
      <c r="C1096" s="119"/>
      <c r="D1096" s="12"/>
      <c r="F1096" s="5"/>
      <c r="G1096" s="129"/>
      <c r="H1096" s="129"/>
      <c r="I1096" s="125"/>
      <c r="J1096" s="133"/>
    </row>
    <row r="1097" spans="1:10" ht="13.5" customHeight="1">
      <c r="A1097" s="2" t="s">
        <v>29</v>
      </c>
    </row>
    <row r="1098" spans="1:10" ht="63" customHeight="1" thickBot="1">
      <c r="A1098" s="134"/>
      <c r="B1098" s="135"/>
      <c r="C1098" s="135"/>
      <c r="D1098" s="135"/>
      <c r="E1098" s="135"/>
      <c r="F1098" s="135"/>
      <c r="G1098" s="135"/>
      <c r="H1098" s="135"/>
      <c r="I1098" s="135"/>
      <c r="J1098" s="135"/>
    </row>
    <row r="1099" spans="1:10" ht="18.75">
      <c r="A1099" s="13" t="s">
        <v>30</v>
      </c>
      <c r="B1099" s="14" t="s">
        <v>31</v>
      </c>
      <c r="C1099" s="136" t="s">
        <v>32</v>
      </c>
      <c r="D1099" s="137"/>
      <c r="E1099" s="14" t="s">
        <v>33</v>
      </c>
      <c r="F1099" s="136" t="s">
        <v>34</v>
      </c>
      <c r="G1099" s="137"/>
      <c r="H1099" s="137"/>
      <c r="I1099" s="138" t="s">
        <v>35</v>
      </c>
      <c r="J1099" s="137"/>
    </row>
    <row r="1100" spans="1:10" ht="14.25" customHeight="1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</row>
    <row r="1101" spans="1:10" ht="16.5" customHeight="1">
      <c r="A1101" s="17">
        <v>1</v>
      </c>
      <c r="B1101" s="18" t="s">
        <v>36</v>
      </c>
      <c r="C1101" s="118" t="s">
        <v>37</v>
      </c>
      <c r="D1101" s="119"/>
      <c r="E1101" s="18" t="s">
        <v>38</v>
      </c>
      <c r="F1101" s="118" t="s">
        <v>39</v>
      </c>
      <c r="G1101" s="119"/>
      <c r="H1101" s="119"/>
      <c r="I1101" s="126"/>
      <c r="J1101" s="119"/>
    </row>
    <row r="1102" spans="1:10" ht="16.5" customHeight="1">
      <c r="A1102" s="17">
        <v>1</v>
      </c>
      <c r="B1102" s="20" t="s">
        <v>36</v>
      </c>
      <c r="C1102" s="118" t="s">
        <v>37</v>
      </c>
      <c r="D1102" s="119"/>
      <c r="E1102" s="18" t="s">
        <v>40</v>
      </c>
      <c r="F1102" s="118" t="s">
        <v>41</v>
      </c>
      <c r="G1102" s="119"/>
      <c r="H1102" s="119"/>
      <c r="I1102" s="126"/>
      <c r="J1102" s="119"/>
    </row>
    <row r="1103" spans="1:10" ht="16.5" customHeight="1">
      <c r="A1103" s="17"/>
      <c r="B1103" s="20"/>
      <c r="C1103" s="118"/>
      <c r="D1103" s="119"/>
      <c r="E1103" s="18"/>
      <c r="F1103" s="118"/>
      <c r="G1103" s="119"/>
      <c r="H1103" s="119"/>
      <c r="I1103" s="126"/>
      <c r="J1103" s="119"/>
    </row>
    <row r="1104" spans="1:10" ht="16.5" customHeight="1">
      <c r="A1104" s="17"/>
      <c r="B1104" s="20"/>
      <c r="C1104" s="118"/>
      <c r="D1104" s="119"/>
      <c r="E1104" s="18"/>
      <c r="F1104" s="118"/>
      <c r="G1104" s="119"/>
      <c r="H1104" s="119"/>
      <c r="I1104" s="126"/>
      <c r="J1104" s="119"/>
    </row>
    <row r="1105" spans="1:10" ht="16.5" customHeight="1">
      <c r="A1105" s="17"/>
      <c r="B1105" s="20"/>
      <c r="C1105" s="118"/>
      <c r="D1105" s="119"/>
      <c r="E1105" s="18"/>
      <c r="F1105" s="118"/>
      <c r="G1105" s="119"/>
      <c r="H1105" s="119"/>
      <c r="I1105" s="126"/>
      <c r="J1105" s="119"/>
    </row>
    <row r="1106" spans="1:10" ht="16.5" customHeight="1">
      <c r="A1106" s="17"/>
      <c r="B1106" s="20"/>
      <c r="C1106" s="118"/>
      <c r="D1106" s="119"/>
      <c r="E1106" s="18"/>
      <c r="F1106" s="118"/>
      <c r="G1106" s="119"/>
      <c r="H1106" s="119"/>
      <c r="I1106" s="126"/>
      <c r="J1106" s="119"/>
    </row>
    <row r="1107" spans="1:10" ht="16.5" customHeight="1" thickBo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</row>
    <row r="1108" spans="1:10" ht="18.75">
      <c r="A1108" s="122" t="s">
        <v>42</v>
      </c>
      <c r="B1108" s="123"/>
      <c r="C1108" s="122" t="s">
        <v>43</v>
      </c>
      <c r="D1108" s="123"/>
      <c r="E1108" s="123"/>
      <c r="F1108" s="22" t="s">
        <v>44</v>
      </c>
      <c r="G1108" s="122" t="s">
        <v>45</v>
      </c>
      <c r="H1108" s="123"/>
      <c r="I1108" s="122" t="s">
        <v>46</v>
      </c>
      <c r="J1108" s="123"/>
    </row>
    <row r="1109" spans="1:10" ht="14.25" customHeight="1">
      <c r="A1109" s="23"/>
      <c r="B1109" s="24"/>
      <c r="C1109" s="124" t="s">
        <v>47</v>
      </c>
      <c r="D1109" s="125"/>
      <c r="E1109" s="24"/>
      <c r="F1109" s="124" t="s">
        <v>29</v>
      </c>
      <c r="G1109" s="125"/>
      <c r="H1109" s="125"/>
      <c r="I1109" s="125"/>
      <c r="J1109" s="125"/>
    </row>
    <row r="1110" spans="1:10">
      <c r="A1110" s="25"/>
      <c r="C1110" s="19"/>
      <c r="D1110" s="19"/>
      <c r="E1110" s="19"/>
    </row>
    <row r="1111" spans="1:10" ht="14.25" customHeight="1">
      <c r="A1111" s="118" t="s">
        <v>48</v>
      </c>
      <c r="B1111" s="119"/>
      <c r="C1111" s="118" t="s">
        <v>49</v>
      </c>
      <c r="D1111" s="119"/>
      <c r="E1111" s="119"/>
      <c r="F1111" s="18" t="s">
        <v>27</v>
      </c>
      <c r="G1111" s="120">
        <v>400</v>
      </c>
      <c r="H1111" s="119"/>
      <c r="I1111" s="120">
        <v>4</v>
      </c>
      <c r="J1111" s="119"/>
    </row>
    <row r="1112" spans="1:10" ht="24.95" customHeight="1">
      <c r="A1112" s="121" t="s">
        <v>50</v>
      </c>
      <c r="B1112" s="119"/>
      <c r="C1112" s="118"/>
      <c r="D1112" s="119"/>
      <c r="E1112" s="119"/>
      <c r="F1112" s="118"/>
      <c r="G1112" s="119"/>
      <c r="H1112" s="119"/>
      <c r="I1112" s="119"/>
      <c r="J1112" s="119"/>
    </row>
    <row r="1113" spans="1:10" ht="14.25" customHeight="1">
      <c r="A1113" s="118" t="s">
        <v>127</v>
      </c>
      <c r="B1113" s="119"/>
      <c r="C1113" s="118" t="s">
        <v>128</v>
      </c>
      <c r="D1113" s="119"/>
      <c r="E1113" s="119"/>
      <c r="F1113" s="18" t="s">
        <v>53</v>
      </c>
      <c r="G1113" s="120">
        <v>4</v>
      </c>
      <c r="H1113" s="119"/>
      <c r="I1113" s="120">
        <v>0.04</v>
      </c>
      <c r="J1113" s="119"/>
    </row>
    <row r="1114" spans="1:10" ht="24.95" customHeight="1">
      <c r="A1114" s="121" t="s">
        <v>129</v>
      </c>
      <c r="B1114" s="119"/>
      <c r="C1114" s="118" t="s">
        <v>130</v>
      </c>
      <c r="D1114" s="119"/>
      <c r="E1114" s="119"/>
      <c r="F1114" s="118"/>
      <c r="G1114" s="119"/>
      <c r="H1114" s="119"/>
      <c r="I1114" s="119"/>
      <c r="J1114" s="119"/>
    </row>
    <row r="1115" spans="1:10" ht="14.25" customHeight="1">
      <c r="A1115" s="118" t="s">
        <v>56</v>
      </c>
      <c r="B1115" s="119"/>
      <c r="C1115" s="118" t="s">
        <v>57</v>
      </c>
      <c r="D1115" s="119"/>
      <c r="E1115" s="119"/>
      <c r="F1115" s="18"/>
      <c r="G1115" s="120">
        <v>0.8</v>
      </c>
      <c r="H1115" s="119"/>
      <c r="I1115" s="120">
        <v>8.0000000000000002E-3</v>
      </c>
      <c r="J1115" s="119"/>
    </row>
    <row r="1116" spans="1:10" ht="24.95" customHeight="1">
      <c r="A1116" s="121" t="s">
        <v>58</v>
      </c>
      <c r="B1116" s="119"/>
      <c r="C1116" s="118" t="s">
        <v>59</v>
      </c>
      <c r="D1116" s="119"/>
      <c r="E1116" s="119"/>
      <c r="F1116" s="118"/>
      <c r="G1116" s="119"/>
      <c r="H1116" s="119"/>
      <c r="I1116" s="119"/>
      <c r="J1116" s="119"/>
    </row>
    <row r="1117" spans="1:10" ht="14.25" customHeight="1">
      <c r="A1117" s="118" t="s">
        <v>60</v>
      </c>
      <c r="B1117" s="119"/>
      <c r="C1117" s="118" t="s">
        <v>61</v>
      </c>
      <c r="D1117" s="119"/>
      <c r="E1117" s="119"/>
      <c r="F1117" s="18"/>
      <c r="G1117" s="120">
        <v>0.4</v>
      </c>
      <c r="H1117" s="119"/>
      <c r="I1117" s="120">
        <v>4.0000000000000001E-3</v>
      </c>
      <c r="J1117" s="119"/>
    </row>
    <row r="1118" spans="1:10" ht="24.95" customHeight="1">
      <c r="A1118" s="121" t="s">
        <v>62</v>
      </c>
      <c r="B1118" s="119"/>
      <c r="C1118" s="118" t="s">
        <v>63</v>
      </c>
      <c r="D1118" s="119"/>
      <c r="E1118" s="119"/>
      <c r="F1118" s="118"/>
      <c r="G1118" s="119"/>
      <c r="H1118" s="119"/>
      <c r="I1118" s="119"/>
      <c r="J1118" s="119"/>
    </row>
    <row r="1119" spans="1:10" ht="14.25" customHeight="1">
      <c r="A1119" s="118"/>
      <c r="B1119" s="119"/>
      <c r="C1119" s="118"/>
      <c r="D1119" s="119"/>
      <c r="E1119" s="119"/>
      <c r="F1119" s="18"/>
      <c r="G1119" s="120"/>
      <c r="H1119" s="119"/>
      <c r="I1119" s="120"/>
      <c r="J1119" s="119"/>
    </row>
    <row r="1120" spans="1:10" ht="24.95" customHeight="1" thickBot="1">
      <c r="A1120" s="121"/>
      <c r="B1120" s="119"/>
      <c r="C1120" s="118"/>
      <c r="D1120" s="119"/>
      <c r="E1120" s="119"/>
      <c r="F1120" s="118"/>
      <c r="G1120" s="119"/>
      <c r="H1120" s="119"/>
      <c r="I1120" s="119"/>
      <c r="J1120" s="119"/>
    </row>
    <row r="1121" spans="1:14" s="15" customFormat="1" ht="18" customHeight="1">
      <c r="A1121" s="27" t="s">
        <v>143</v>
      </c>
      <c r="B1121" s="28" t="s">
        <v>144</v>
      </c>
      <c r="C1121" s="108" t="s">
        <v>145</v>
      </c>
      <c r="D1121" s="109"/>
      <c r="E1121" s="29" t="s">
        <v>146</v>
      </c>
      <c r="F1121" s="30" t="s">
        <v>147</v>
      </c>
      <c r="G1121" s="31" t="s">
        <v>148</v>
      </c>
      <c r="H1121" s="32" t="s">
        <v>149</v>
      </c>
      <c r="I1121" s="106" t="s">
        <v>150</v>
      </c>
      <c r="J1121" s="107"/>
    </row>
    <row r="1122" spans="1:14" s="19" customFormat="1" ht="18" customHeight="1">
      <c r="A1122" s="33" t="str">
        <f>_xlfn.XLOOKUP(B1086,[3]VFDB2!$A:$A,[3]VFDB2!$J:$J)</f>
        <v>〇</v>
      </c>
      <c r="B1122" s="34">
        <f>D1086</f>
        <v>1478</v>
      </c>
      <c r="C1122" s="110" t="str">
        <f>_xlfn.XLOOKUP(B1086,[3]VFDB2!$A:$A,[3]VFDB2!$Z:$Z)</f>
        <v>LED-A1478</v>
      </c>
      <c r="D1122" s="111"/>
      <c r="E1122" s="112" t="str" cm="1">
        <f t="array" ref="E1122">IFERROR(INDEX(_xlfn._xlws.FILTER([4]加工記録２!C:C,[4]加工記録２!U:U=B1088),9),"")</f>
        <v/>
      </c>
      <c r="F1122" s="35" t="str" cm="1">
        <f t="array" ref="F1122">IFERROR("切断加工：" &amp;_xlfn.TEXTJOIN(" / ",TRUE,INDEX(_xlfn._xlws.FILTER([4]加工記録２!M:M,[4]加工記録２!U:U=B1088),9),INDEX(_xlfn._xlws.FILTER([4]加工記録２!N:N,[4]加工記録２!U:U=B1088),9)),"")</f>
        <v/>
      </c>
      <c r="G1122" s="36" t="str" cm="1">
        <f t="array" ref="G1122">IFERROR(IF(_xlfn.TAKE(_xlfn._xlws.FILTER([4]加工記録２!$M:$N,[4]加工記録２!$U:$U=B1088),5)=0,"",_xlfn.TAKE(_xlfn._xlws.FILTER([4]加工記録２!$M:$N,[4]加工記録２!$U:$U=B1088),5)),"")</f>
        <v/>
      </c>
      <c r="H1122" s="37"/>
      <c r="I1122" s="38" t="s">
        <v>151</v>
      </c>
      <c r="J1122" s="39" t="str" cm="1">
        <f t="array" ref="J1122:J1127">IFERROR(INDEX(_xlfn._xlws.FILTER([4]加工記録２!P:P, [4]加工記録２!U:U=B1088),_xlfn.SEQUENCE(6)),"")</f>
        <v/>
      </c>
    </row>
    <row r="1123" spans="1:14" s="15" customFormat="1" ht="18" customHeight="1">
      <c r="A1123" s="43" t="s">
        <v>152</v>
      </c>
      <c r="B1123" s="44" t="s">
        <v>153</v>
      </c>
      <c r="C1123" s="110"/>
      <c r="D1123" s="111"/>
      <c r="E1123" s="112"/>
      <c r="F1123" s="45" t="str" cm="1">
        <f t="array" ref="F1123">IFERROR("外観検査：" &amp;_xlfn.TEXTJOIN(" / ",TRUE,INDEX(_xlfn._xlws.FILTER([4]加工記録２!M:M,[4]加工記録２!U:U=B1088),10),INDEX(_xlfn._xlws.FILTER([4]加工記録２!N:N,[4]加工記録２!U:U=B1088),10)),"")</f>
        <v/>
      </c>
      <c r="G1123" s="36"/>
      <c r="H1123" s="37"/>
      <c r="I1123" s="38" t="s">
        <v>154</v>
      </c>
      <c r="J1123" s="40" t="str">
        <v/>
      </c>
      <c r="K1123" s="46"/>
    </row>
    <row r="1124" spans="1:14" s="19" customFormat="1" ht="18" customHeight="1">
      <c r="A1124" s="47" t="str">
        <f>_xlfn.XLOOKUP(B1086,[3]VFDB2!$A:$A,[3]VFDB2!$L:$L)</f>
        <v>+0.5</v>
      </c>
      <c r="B1124" s="48" t="str">
        <f>_xlfn.XLOOKUP(B1086,[3]VFDB2!$A:$A,[3]VFDB2!$AC:$AC)</f>
        <v>換算表確認</v>
      </c>
      <c r="C1124" s="113" t="s">
        <v>155</v>
      </c>
      <c r="D1124" s="114" t="str">
        <f>_xlfn.XLOOKUP(B1086,[3]VFDB2!$A:$A,[3]VFDB2!$W:$W)</f>
        <v>クラフト紙：1478型</v>
      </c>
      <c r="E1124" s="114"/>
      <c r="F1124" s="115"/>
      <c r="G1124" s="36"/>
      <c r="H1124" s="37"/>
      <c r="I1124" s="38" t="s">
        <v>156</v>
      </c>
      <c r="J1124" s="40" t="str">
        <v/>
      </c>
      <c r="K1124" s="49"/>
    </row>
    <row r="1125" spans="1:14" s="15" customFormat="1" ht="18" customHeight="1">
      <c r="A1125" s="50" t="s">
        <v>157</v>
      </c>
      <c r="B1125" s="51" t="s">
        <v>158</v>
      </c>
      <c r="C1125" s="113"/>
      <c r="D1125" s="114" t="str">
        <f>_xlfn.XLOOKUP(B1086,[3]VFDB2!$A:$A,[3]VFDB2!$R:$R)</f>
        <v>ラベル１枚　長手無　鉢巻１回</v>
      </c>
      <c r="E1125" s="114"/>
      <c r="F1125" s="115"/>
      <c r="G1125" s="36"/>
      <c r="H1125" s="37"/>
      <c r="I1125" s="38" t="s">
        <v>159</v>
      </c>
      <c r="J1125" s="40" t="str">
        <v/>
      </c>
      <c r="K1125" s="46"/>
    </row>
    <row r="1126" spans="1:14" s="19" customFormat="1" ht="18" customHeight="1" thickBot="1">
      <c r="A1126" s="52" t="str">
        <f>_xlfn.XLOOKUP(B1086,[3]VFDB2!$A:$A,[3]VFDB2!$K:$K)</f>
        <v>－0.5</v>
      </c>
      <c r="B1126" s="53">
        <f>_xlfn.XLOOKUP(B1086,[3]VFDB2!$A:$A,[3]VFDB2!$P:$P)</f>
        <v>1</v>
      </c>
      <c r="C1126" s="54" t="s">
        <v>160</v>
      </c>
      <c r="D1126" s="116" t="str">
        <f>_xlfn.XLOOKUP(B1086,[3]VFDB2!$A:$A,[3]VFDB2!$V:$V)</f>
        <v>1箱目の梱包数 目視確認　以降、重量測定</v>
      </c>
      <c r="E1126" s="116"/>
      <c r="F1126" s="117"/>
      <c r="G1126" s="55"/>
      <c r="H1126" s="56"/>
      <c r="I1126" s="38" t="s">
        <v>161</v>
      </c>
      <c r="J1126" s="41" t="str">
        <v/>
      </c>
      <c r="K1126" s="49"/>
    </row>
    <row r="1127" spans="1:14" s="15" customFormat="1" ht="18" customHeight="1" thickBot="1">
      <c r="A1127" s="57" t="s">
        <v>162</v>
      </c>
      <c r="B1127" s="58" t="str" cm="1">
        <f t="array" ref="B1127">IF(SUM(--(ISTEXT(B1128:B1138)*(B1128:B1138&lt;&gt;"")))=0,"計測Lot","計測Lot・加工数")</f>
        <v>計測Lot</v>
      </c>
      <c r="C1127" s="59" t="s">
        <v>163</v>
      </c>
      <c r="D1127" s="60" t="s">
        <v>164</v>
      </c>
      <c r="E1127" s="61" t="s">
        <v>165</v>
      </c>
      <c r="F1127" s="62" t="str" cm="1">
        <f t="array" ref="F1127">IF(SUM(--(ISTEXT(B1128:B1138)*(B1128:B1138&lt;&gt;"")))=0,"記入不要","使用Lot")</f>
        <v>記入不要</v>
      </c>
      <c r="G1127" s="63" t="s">
        <v>166</v>
      </c>
      <c r="H1127" s="64" t="s">
        <v>167</v>
      </c>
      <c r="I1127" s="65" t="s">
        <v>168</v>
      </c>
      <c r="J1127" s="42" t="str">
        <v/>
      </c>
      <c r="K1127" s="46"/>
    </row>
    <row r="1128" spans="1:14" s="19" customFormat="1" ht="18" customHeight="1">
      <c r="A1128" s="66" t="str" cm="1">
        <f t="array" ref="A1128:A1138">IFERROR(INDEX(_xlfn._xlws.FILTER([4]加工記録２!$D:$D,[4]加工記録２!$U:$U=B1088),_xlfn.SEQUENCE(11),0),"")</f>
        <v/>
      </c>
      <c r="B1128" s="70" t="str" cm="1">
        <f t="array" ref="B1128:B1138">IFERROR(IF(INDEX(_xlfn._xlws.FILTER([4]加工記録２!$E:$E,[4]加工記録２!$U:$U=B1088),_xlfn.SEQUENCE(11))="","",INDEX(_xlfn._xlws.FILTER([4]加工記録２!$E:$E,[4]加工記録２!$U:$U=B1088),_xlfn.SEQUENCE(11)) &amp; IF(INDEX(_xlfn._xlws.FILTER([4]加工記録２!$F:$F,[4]加工記録２!$U:$U=B1088),_xlfn.SEQUENCE(11))="","", " × " &amp; INDEX(_xlfn._xlws.FILTER([4]加工記録２!$F:$F,[4]加工記録２!$U:$U=B1088),_xlfn.SEQUENCE(11)))),"")</f>
        <v/>
      </c>
      <c r="C1128" s="73"/>
      <c r="D1128" s="74"/>
      <c r="E1128" s="75"/>
      <c r="F1128" s="76"/>
      <c r="G1128" s="77"/>
      <c r="H1128" s="78"/>
      <c r="I1128" s="104" t="s">
        <v>169</v>
      </c>
      <c r="J1128" s="105"/>
      <c r="K1128" s="79"/>
    </row>
    <row r="1129" spans="1:14" s="15" customFormat="1" ht="18" customHeight="1">
      <c r="A1129" s="67" t="str">
        <v/>
      </c>
      <c r="B1129" s="71" t="str">
        <v/>
      </c>
      <c r="C1129" s="80"/>
      <c r="D1129" s="81"/>
      <c r="E1129" s="82"/>
      <c r="F1129" s="83"/>
      <c r="G1129" s="80"/>
      <c r="H1129" s="84"/>
      <c r="I1129" s="85" t="s">
        <v>170</v>
      </c>
      <c r="J1129" s="84" t="str" cm="1">
        <f t="array" ref="J1129:J1138">IFERROR(INDEX(_xlfn._xlws.FILTER([4]加工記録２!R:R, [4]加工記録２!U:U=B1088),_xlfn.SEQUENCE(10)),"")</f>
        <v/>
      </c>
      <c r="K1129" s="79"/>
    </row>
    <row r="1130" spans="1:14" s="90" customFormat="1" ht="18.95" customHeight="1">
      <c r="A1130" s="68" t="str">
        <v/>
      </c>
      <c r="B1130" s="71" t="str">
        <v/>
      </c>
      <c r="C1130" s="80"/>
      <c r="D1130" s="81"/>
      <c r="E1130" s="82"/>
      <c r="F1130" s="83"/>
      <c r="G1130" s="80"/>
      <c r="H1130" s="84"/>
      <c r="I1130" s="85" t="s">
        <v>171</v>
      </c>
      <c r="J1130" s="84" t="str">
        <v/>
      </c>
      <c r="K1130" s="88"/>
      <c r="L1130" s="89"/>
      <c r="M1130" s="89"/>
      <c r="N1130" s="89"/>
    </row>
    <row r="1131" spans="1:14" s="93" customFormat="1" ht="18.95" customHeight="1">
      <c r="A1131" s="68" t="str">
        <v/>
      </c>
      <c r="B1131" s="71" t="str">
        <v/>
      </c>
      <c r="C1131" s="80"/>
      <c r="D1131" s="81"/>
      <c r="E1131" s="82"/>
      <c r="F1131" s="83"/>
      <c r="G1131" s="80"/>
      <c r="H1131" s="84"/>
      <c r="I1131" s="85" t="s">
        <v>172</v>
      </c>
      <c r="J1131" s="84" t="str">
        <v/>
      </c>
      <c r="K1131" s="91"/>
      <c r="L1131" s="92"/>
      <c r="M1131" s="92"/>
      <c r="N1131" s="92"/>
    </row>
    <row r="1132" spans="1:14" s="93" customFormat="1" ht="18.95" customHeight="1">
      <c r="A1132" s="68" t="str">
        <v/>
      </c>
      <c r="B1132" s="71" t="str">
        <v/>
      </c>
      <c r="C1132" s="80"/>
      <c r="D1132" s="81"/>
      <c r="E1132" s="82"/>
      <c r="F1132" s="83"/>
      <c r="G1132" s="80"/>
      <c r="H1132" s="84"/>
      <c r="I1132" s="85" t="s">
        <v>173</v>
      </c>
      <c r="J1132" s="84" t="str">
        <v/>
      </c>
      <c r="K1132" s="91"/>
      <c r="L1132" s="92"/>
      <c r="M1132" s="92"/>
      <c r="N1132" s="92"/>
    </row>
    <row r="1133" spans="1:14" s="93" customFormat="1" ht="18.95" customHeight="1">
      <c r="A1133" s="68" t="str">
        <v/>
      </c>
      <c r="B1133" s="71" t="str">
        <v/>
      </c>
      <c r="C1133" s="80"/>
      <c r="D1133" s="81"/>
      <c r="E1133" s="82"/>
      <c r="F1133" s="83"/>
      <c r="G1133" s="80"/>
      <c r="H1133" s="84"/>
      <c r="I1133" s="85" t="s">
        <v>174</v>
      </c>
      <c r="J1133" s="84" t="str">
        <v/>
      </c>
      <c r="K1133" s="91"/>
      <c r="L1133" s="92"/>
      <c r="M1133" s="92"/>
      <c r="N1133" s="92"/>
    </row>
    <row r="1134" spans="1:14" s="93" customFormat="1" ht="18.95" customHeight="1">
      <c r="A1134" s="68" t="str">
        <v/>
      </c>
      <c r="B1134" s="71" t="str">
        <v/>
      </c>
      <c r="C1134" s="80"/>
      <c r="D1134" s="81"/>
      <c r="E1134" s="82"/>
      <c r="F1134" s="83"/>
      <c r="G1134" s="80"/>
      <c r="H1134" s="84"/>
      <c r="I1134" s="85" t="s">
        <v>175</v>
      </c>
      <c r="J1134" s="84" t="str">
        <v/>
      </c>
      <c r="K1134" s="91"/>
      <c r="L1134" s="92"/>
      <c r="M1134" s="92"/>
      <c r="N1134" s="92"/>
    </row>
    <row r="1135" spans="1:14" s="93" customFormat="1" ht="18.95" customHeight="1">
      <c r="A1135" s="68" t="str">
        <v/>
      </c>
      <c r="B1135" s="71" t="str">
        <v/>
      </c>
      <c r="C1135" s="80"/>
      <c r="D1135" s="81"/>
      <c r="E1135" s="82"/>
      <c r="F1135" s="83"/>
      <c r="G1135" s="80"/>
      <c r="H1135" s="84"/>
      <c r="I1135" s="94" t="s">
        <v>176</v>
      </c>
      <c r="J1135" s="84" t="str">
        <v/>
      </c>
      <c r="K1135" s="91"/>
      <c r="L1135" s="92"/>
      <c r="M1135" s="92"/>
      <c r="N1135" s="92"/>
    </row>
    <row r="1136" spans="1:14" s="93" customFormat="1" ht="18.95" customHeight="1">
      <c r="A1136" s="68" t="str">
        <v/>
      </c>
      <c r="B1136" s="71" t="str">
        <v/>
      </c>
      <c r="C1136" s="80"/>
      <c r="D1136" s="81"/>
      <c r="E1136" s="82"/>
      <c r="F1136" s="83"/>
      <c r="G1136" s="80"/>
      <c r="H1136" s="84"/>
      <c r="I1136" s="94" t="s">
        <v>177</v>
      </c>
      <c r="J1136" s="84" t="str">
        <v/>
      </c>
      <c r="K1136" s="91"/>
      <c r="L1136" s="92"/>
      <c r="M1136" s="92"/>
      <c r="N1136" s="92"/>
    </row>
    <row r="1137" spans="1:14" s="93" customFormat="1" ht="18.95" customHeight="1">
      <c r="A1137" s="68" t="str">
        <v/>
      </c>
      <c r="B1137" s="71" t="str">
        <v/>
      </c>
      <c r="C1137" s="80"/>
      <c r="D1137" s="81"/>
      <c r="E1137" s="82"/>
      <c r="F1137" s="83"/>
      <c r="G1137" s="80"/>
      <c r="H1137" s="84"/>
      <c r="I1137" s="85" t="s">
        <v>178</v>
      </c>
      <c r="J1137" s="86" t="str">
        <v/>
      </c>
      <c r="K1137" s="91"/>
      <c r="L1137" s="92"/>
      <c r="M1137" s="92"/>
      <c r="N1137" s="92"/>
    </row>
    <row r="1138" spans="1:14" s="93" customFormat="1" ht="18.95" customHeight="1" thickBot="1">
      <c r="A1138" s="69" t="str">
        <v/>
      </c>
      <c r="B1138" s="72" t="str">
        <v/>
      </c>
      <c r="C1138" s="95"/>
      <c r="D1138" s="96"/>
      <c r="E1138" s="97"/>
      <c r="F1138" s="98"/>
      <c r="G1138" s="99"/>
      <c r="H1138" s="100"/>
      <c r="I1138" s="101" t="s">
        <v>179</v>
      </c>
      <c r="J1138" s="87" t="str">
        <v/>
      </c>
      <c r="K1138" s="91"/>
      <c r="L1138" s="92"/>
      <c r="M1138" s="92"/>
      <c r="N1138" s="92"/>
    </row>
    <row r="1139" spans="1:14" ht="6" customHeight="1" thickBot="1">
      <c r="A1139" s="102"/>
      <c r="B1139" s="103"/>
      <c r="C1139" s="103"/>
      <c r="D1139" s="102"/>
      <c r="E1139" s="103"/>
      <c r="F1139" s="103"/>
      <c r="G1139" s="103"/>
      <c r="H1139" s="103"/>
    </row>
    <row r="1140" spans="1:14" ht="6" customHeight="1" thickTop="1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</row>
    <row r="1141" spans="1:14" ht="14.25" customHeight="1" thickBot="1">
      <c r="A1141" s="1"/>
      <c r="B1141" s="150" t="s">
        <v>0</v>
      </c>
      <c r="C1141" s="119"/>
      <c r="D1141" s="119"/>
      <c r="E1141" s="1"/>
      <c r="F1141" s="1"/>
      <c r="G1141" s="1"/>
      <c r="H1141" s="1"/>
      <c r="I1141" s="1"/>
      <c r="J1141" s="1"/>
    </row>
    <row r="1142" spans="1:14" ht="14.25" customHeight="1" thickTop="1">
      <c r="A1142" s="3"/>
      <c r="B1142" s="119"/>
      <c r="C1142" s="119"/>
      <c r="D1142" s="119"/>
      <c r="E1142" s="3"/>
      <c r="F1142" s="3"/>
      <c r="G1142" s="3"/>
      <c r="H1142" s="3"/>
      <c r="I1142" s="3"/>
      <c r="J1142" s="3"/>
    </row>
    <row r="1143" spans="1:14" ht="14.25" customHeight="1">
      <c r="A1143" s="151" t="s">
        <v>1</v>
      </c>
      <c r="B1143" s="151" t="s">
        <v>121</v>
      </c>
      <c r="C1143" s="151" t="s">
        <v>3</v>
      </c>
      <c r="D1143" s="152">
        <v>1478</v>
      </c>
      <c r="E1143" s="151" t="s">
        <v>4</v>
      </c>
      <c r="F1143" s="147" t="s">
        <v>122</v>
      </c>
      <c r="G1143" s="119"/>
      <c r="H1143" s="119"/>
      <c r="I1143" s="4" t="s">
        <v>6</v>
      </c>
      <c r="J1143" s="4" t="s">
        <v>7</v>
      </c>
    </row>
    <row r="1144" spans="1:14" ht="14.25" customHeight="1">
      <c r="A1144" s="119"/>
      <c r="B1144" s="119"/>
      <c r="C1144" s="119"/>
      <c r="D1144" s="119"/>
      <c r="E1144" s="119"/>
      <c r="F1144" s="119"/>
      <c r="G1144" s="119"/>
      <c r="H1144" s="119"/>
      <c r="I1144" s="148"/>
      <c r="J1144" s="148"/>
    </row>
    <row r="1145" spans="1:14" ht="17.45" customHeight="1">
      <c r="A1145" s="139" t="s">
        <v>8</v>
      </c>
      <c r="B1145" s="139" t="s">
        <v>133</v>
      </c>
      <c r="E1145" s="139" t="s">
        <v>10</v>
      </c>
      <c r="F1145" s="140" t="s">
        <v>124</v>
      </c>
      <c r="G1145" s="119"/>
      <c r="H1145" s="119"/>
      <c r="I1145" s="149"/>
      <c r="J1145" s="149"/>
    </row>
    <row r="1146" spans="1:14" ht="17.45" customHeight="1">
      <c r="A1146" s="119"/>
      <c r="B1146" s="119"/>
      <c r="E1146" s="119"/>
      <c r="F1146" s="119"/>
      <c r="G1146" s="119"/>
      <c r="H1146" s="119"/>
      <c r="I1146" s="7"/>
      <c r="J1146" s="7"/>
    </row>
    <row r="1147" spans="1:14" ht="17.45" customHeight="1">
      <c r="A1147" s="139" t="s">
        <v>12</v>
      </c>
      <c r="B1147" s="139" t="s">
        <v>134</v>
      </c>
      <c r="E1147" s="8" t="s">
        <v>14</v>
      </c>
      <c r="F1147" s="140" t="s">
        <v>15</v>
      </c>
      <c r="G1147" s="119"/>
      <c r="H1147" s="6"/>
      <c r="I1147" s="7"/>
      <c r="J1147" s="7"/>
    </row>
    <row r="1148" spans="1:14" ht="17.45" customHeight="1">
      <c r="A1148" s="119"/>
      <c r="B1148" s="119"/>
      <c r="E1148" s="8" t="s">
        <v>16</v>
      </c>
      <c r="F1148" s="6" t="s">
        <v>17</v>
      </c>
      <c r="G1148" s="6"/>
      <c r="H1148" s="6"/>
      <c r="I1148" s="9"/>
      <c r="J1148" s="9"/>
    </row>
    <row r="1149" spans="1:14" ht="17.45" customHeight="1">
      <c r="A1149" s="8" t="s">
        <v>18</v>
      </c>
      <c r="B1149" s="10">
        <v>46125</v>
      </c>
      <c r="E1149" s="8" t="s">
        <v>19</v>
      </c>
      <c r="F1149" s="141">
        <v>100</v>
      </c>
      <c r="G1149" s="119"/>
      <c r="H1149" s="6"/>
    </row>
    <row r="1150" spans="1:14" ht="17.45" customHeight="1">
      <c r="A1150" s="8" t="s">
        <v>20</v>
      </c>
      <c r="B1150" s="10">
        <v>46125</v>
      </c>
      <c r="E1150" s="8" t="s">
        <v>21</v>
      </c>
      <c r="F1150" s="6">
        <v>5</v>
      </c>
      <c r="G1150" s="142" t="s">
        <v>22</v>
      </c>
      <c r="H1150" s="144">
        <v>500</v>
      </c>
      <c r="I1150" s="145"/>
      <c r="J1150" s="146"/>
    </row>
    <row r="1151" spans="1:14" ht="17.45" customHeight="1">
      <c r="A1151" s="11"/>
      <c r="B1151" s="12"/>
      <c r="C1151" s="12"/>
      <c r="D1151" s="12"/>
      <c r="E1151" s="8" t="s">
        <v>23</v>
      </c>
      <c r="F1151" s="6" t="s">
        <v>24</v>
      </c>
      <c r="G1151" s="143"/>
      <c r="H1151" s="143"/>
      <c r="I1151" s="125"/>
      <c r="J1151" s="133"/>
    </row>
    <row r="1152" spans="1:14" ht="13.5" customHeight="1">
      <c r="A1152" s="127" t="s">
        <v>126</v>
      </c>
      <c r="B1152" s="119"/>
      <c r="C1152" s="119"/>
      <c r="D1152" s="12"/>
      <c r="F1152" s="5"/>
      <c r="G1152" s="128" t="s">
        <v>26</v>
      </c>
      <c r="H1152" s="130" t="s">
        <v>27</v>
      </c>
      <c r="I1152" s="131" t="s">
        <v>28</v>
      </c>
      <c r="J1152" s="132"/>
    </row>
    <row r="1153" spans="1:10" ht="13.5" customHeight="1">
      <c r="A1153" s="119"/>
      <c r="B1153" s="119"/>
      <c r="C1153" s="119"/>
      <c r="D1153" s="12"/>
      <c r="F1153" s="5"/>
      <c r="G1153" s="129"/>
      <c r="H1153" s="129"/>
      <c r="I1153" s="125"/>
      <c r="J1153" s="133"/>
    </row>
    <row r="1154" spans="1:10" ht="13.5" customHeight="1">
      <c r="A1154" s="2" t="s">
        <v>29</v>
      </c>
    </row>
    <row r="1155" spans="1:10" ht="63" customHeight="1" thickBot="1">
      <c r="A1155" s="134"/>
      <c r="B1155" s="135"/>
      <c r="C1155" s="135"/>
      <c r="D1155" s="135"/>
      <c r="E1155" s="135"/>
      <c r="F1155" s="135"/>
      <c r="G1155" s="135"/>
      <c r="H1155" s="135"/>
      <c r="I1155" s="135"/>
      <c r="J1155" s="135"/>
    </row>
    <row r="1156" spans="1:10" ht="18.75">
      <c r="A1156" s="13" t="s">
        <v>30</v>
      </c>
      <c r="B1156" s="14" t="s">
        <v>31</v>
      </c>
      <c r="C1156" s="136" t="s">
        <v>32</v>
      </c>
      <c r="D1156" s="137"/>
      <c r="E1156" s="14" t="s">
        <v>33</v>
      </c>
      <c r="F1156" s="136" t="s">
        <v>34</v>
      </c>
      <c r="G1156" s="137"/>
      <c r="H1156" s="137"/>
      <c r="I1156" s="138" t="s">
        <v>35</v>
      </c>
      <c r="J1156" s="137"/>
    </row>
    <row r="1157" spans="1:10" ht="14.25" customHeight="1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</row>
    <row r="1158" spans="1:10" ht="16.5" customHeight="1">
      <c r="A1158" s="17">
        <v>1</v>
      </c>
      <c r="B1158" s="18" t="s">
        <v>36</v>
      </c>
      <c r="C1158" s="118" t="s">
        <v>37</v>
      </c>
      <c r="D1158" s="119"/>
      <c r="E1158" s="18" t="s">
        <v>38</v>
      </c>
      <c r="F1158" s="118" t="s">
        <v>39</v>
      </c>
      <c r="G1158" s="119"/>
      <c r="H1158" s="119"/>
      <c r="I1158" s="126"/>
      <c r="J1158" s="119"/>
    </row>
    <row r="1159" spans="1:10" ht="16.5" customHeight="1">
      <c r="A1159" s="17">
        <v>1</v>
      </c>
      <c r="B1159" s="20" t="s">
        <v>36</v>
      </c>
      <c r="C1159" s="118" t="s">
        <v>37</v>
      </c>
      <c r="D1159" s="119"/>
      <c r="E1159" s="18" t="s">
        <v>40</v>
      </c>
      <c r="F1159" s="118" t="s">
        <v>41</v>
      </c>
      <c r="G1159" s="119"/>
      <c r="H1159" s="119"/>
      <c r="I1159" s="126"/>
      <c r="J1159" s="119"/>
    </row>
    <row r="1160" spans="1:10" ht="16.5" customHeight="1">
      <c r="A1160" s="17"/>
      <c r="B1160" s="20"/>
      <c r="C1160" s="118"/>
      <c r="D1160" s="119"/>
      <c r="E1160" s="18"/>
      <c r="F1160" s="118"/>
      <c r="G1160" s="119"/>
      <c r="H1160" s="119"/>
      <c r="I1160" s="126"/>
      <c r="J1160" s="119"/>
    </row>
    <row r="1161" spans="1:10" ht="16.5" customHeight="1">
      <c r="A1161" s="17"/>
      <c r="B1161" s="20"/>
      <c r="C1161" s="118"/>
      <c r="D1161" s="119"/>
      <c r="E1161" s="18"/>
      <c r="F1161" s="118"/>
      <c r="G1161" s="119"/>
      <c r="H1161" s="119"/>
      <c r="I1161" s="126"/>
      <c r="J1161" s="119"/>
    </row>
    <row r="1162" spans="1:10" ht="16.5" customHeight="1">
      <c r="A1162" s="17"/>
      <c r="B1162" s="20"/>
      <c r="C1162" s="118"/>
      <c r="D1162" s="119"/>
      <c r="E1162" s="18"/>
      <c r="F1162" s="118"/>
      <c r="G1162" s="119"/>
      <c r="H1162" s="119"/>
      <c r="I1162" s="126"/>
      <c r="J1162" s="119"/>
    </row>
    <row r="1163" spans="1:10" ht="16.5" customHeight="1">
      <c r="A1163" s="17"/>
      <c r="B1163" s="20"/>
      <c r="C1163" s="118"/>
      <c r="D1163" s="119"/>
      <c r="E1163" s="18"/>
      <c r="F1163" s="118"/>
      <c r="G1163" s="119"/>
      <c r="H1163" s="119"/>
      <c r="I1163" s="126"/>
      <c r="J1163" s="119"/>
    </row>
    <row r="1164" spans="1:10" ht="16.5" customHeight="1" thickBo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</row>
    <row r="1165" spans="1:10" ht="18.75">
      <c r="A1165" s="122" t="s">
        <v>42</v>
      </c>
      <c r="B1165" s="123"/>
      <c r="C1165" s="122" t="s">
        <v>43</v>
      </c>
      <c r="D1165" s="123"/>
      <c r="E1165" s="123"/>
      <c r="F1165" s="22" t="s">
        <v>44</v>
      </c>
      <c r="G1165" s="122" t="s">
        <v>45</v>
      </c>
      <c r="H1165" s="123"/>
      <c r="I1165" s="122" t="s">
        <v>46</v>
      </c>
      <c r="J1165" s="123"/>
    </row>
    <row r="1166" spans="1:10" ht="14.25" customHeight="1">
      <c r="A1166" s="23"/>
      <c r="B1166" s="24"/>
      <c r="C1166" s="124" t="s">
        <v>47</v>
      </c>
      <c r="D1166" s="125"/>
      <c r="E1166" s="24"/>
      <c r="F1166" s="124" t="s">
        <v>29</v>
      </c>
      <c r="G1166" s="125"/>
      <c r="H1166" s="125"/>
      <c r="I1166" s="125"/>
      <c r="J1166" s="125"/>
    </row>
    <row r="1167" spans="1:10">
      <c r="A1167" s="25"/>
      <c r="C1167" s="19"/>
      <c r="D1167" s="19"/>
      <c r="E1167" s="19"/>
    </row>
    <row r="1168" spans="1:10" ht="14.25" customHeight="1">
      <c r="A1168" s="118" t="s">
        <v>48</v>
      </c>
      <c r="B1168" s="119"/>
      <c r="C1168" s="118" t="s">
        <v>49</v>
      </c>
      <c r="D1168" s="119"/>
      <c r="E1168" s="119"/>
      <c r="F1168" s="18" t="s">
        <v>27</v>
      </c>
      <c r="G1168" s="120">
        <v>500</v>
      </c>
      <c r="H1168" s="119"/>
      <c r="I1168" s="120">
        <v>5</v>
      </c>
      <c r="J1168" s="119"/>
    </row>
    <row r="1169" spans="1:11" ht="24.95" customHeight="1">
      <c r="A1169" s="121" t="s">
        <v>50</v>
      </c>
      <c r="B1169" s="119"/>
      <c r="C1169" s="118"/>
      <c r="D1169" s="119"/>
      <c r="E1169" s="119"/>
      <c r="F1169" s="118"/>
      <c r="G1169" s="119"/>
      <c r="H1169" s="119"/>
      <c r="I1169" s="119"/>
      <c r="J1169" s="119"/>
    </row>
    <row r="1170" spans="1:11" ht="14.25" customHeight="1">
      <c r="A1170" s="118" t="s">
        <v>127</v>
      </c>
      <c r="B1170" s="119"/>
      <c r="C1170" s="118" t="s">
        <v>128</v>
      </c>
      <c r="D1170" s="119"/>
      <c r="E1170" s="119"/>
      <c r="F1170" s="18" t="s">
        <v>53</v>
      </c>
      <c r="G1170" s="120">
        <v>5</v>
      </c>
      <c r="H1170" s="119"/>
      <c r="I1170" s="120">
        <v>0.05</v>
      </c>
      <c r="J1170" s="119"/>
    </row>
    <row r="1171" spans="1:11" ht="24.95" customHeight="1">
      <c r="A1171" s="121" t="s">
        <v>129</v>
      </c>
      <c r="B1171" s="119"/>
      <c r="C1171" s="118" t="s">
        <v>130</v>
      </c>
      <c r="D1171" s="119"/>
      <c r="E1171" s="119"/>
      <c r="F1171" s="118"/>
      <c r="G1171" s="119"/>
      <c r="H1171" s="119"/>
      <c r="I1171" s="119"/>
      <c r="J1171" s="119"/>
    </row>
    <row r="1172" spans="1:11" ht="14.25" customHeight="1">
      <c r="A1172" s="118" t="s">
        <v>56</v>
      </c>
      <c r="B1172" s="119"/>
      <c r="C1172" s="118" t="s">
        <v>57</v>
      </c>
      <c r="D1172" s="119"/>
      <c r="E1172" s="119"/>
      <c r="F1172" s="18"/>
      <c r="G1172" s="120">
        <v>1</v>
      </c>
      <c r="H1172" s="119"/>
      <c r="I1172" s="120">
        <v>0.01</v>
      </c>
      <c r="J1172" s="119"/>
    </row>
    <row r="1173" spans="1:11" ht="24.95" customHeight="1">
      <c r="A1173" s="121" t="s">
        <v>58</v>
      </c>
      <c r="B1173" s="119"/>
      <c r="C1173" s="118" t="s">
        <v>59</v>
      </c>
      <c r="D1173" s="119"/>
      <c r="E1173" s="119"/>
      <c r="F1173" s="118"/>
      <c r="G1173" s="119"/>
      <c r="H1173" s="119"/>
      <c r="I1173" s="119"/>
      <c r="J1173" s="119"/>
    </row>
    <row r="1174" spans="1:11" ht="14.25" customHeight="1">
      <c r="A1174" s="118" t="s">
        <v>60</v>
      </c>
      <c r="B1174" s="119"/>
      <c r="C1174" s="118" t="s">
        <v>61</v>
      </c>
      <c r="D1174" s="119"/>
      <c r="E1174" s="119"/>
      <c r="F1174" s="18"/>
      <c r="G1174" s="120">
        <v>0.5</v>
      </c>
      <c r="H1174" s="119"/>
      <c r="I1174" s="120">
        <v>5.0000000000000001E-3</v>
      </c>
      <c r="J1174" s="119"/>
    </row>
    <row r="1175" spans="1:11" ht="24.95" customHeight="1">
      <c r="A1175" s="121" t="s">
        <v>62</v>
      </c>
      <c r="B1175" s="119"/>
      <c r="C1175" s="118" t="s">
        <v>63</v>
      </c>
      <c r="D1175" s="119"/>
      <c r="E1175" s="119"/>
      <c r="F1175" s="118"/>
      <c r="G1175" s="119"/>
      <c r="H1175" s="119"/>
      <c r="I1175" s="119"/>
      <c r="J1175" s="119"/>
    </row>
    <row r="1176" spans="1:11" ht="14.25" customHeight="1">
      <c r="A1176" s="118"/>
      <c r="B1176" s="119"/>
      <c r="C1176" s="118"/>
      <c r="D1176" s="119"/>
      <c r="E1176" s="119"/>
      <c r="F1176" s="18"/>
      <c r="G1176" s="120"/>
      <c r="H1176" s="119"/>
      <c r="I1176" s="120"/>
      <c r="J1176" s="119"/>
    </row>
    <row r="1177" spans="1:11" ht="24.95" customHeight="1" thickBot="1">
      <c r="A1177" s="121"/>
      <c r="B1177" s="119"/>
      <c r="C1177" s="118"/>
      <c r="D1177" s="119"/>
      <c r="E1177" s="119"/>
      <c r="F1177" s="118"/>
      <c r="G1177" s="119"/>
      <c r="H1177" s="119"/>
      <c r="I1177" s="119"/>
      <c r="J1177" s="119"/>
    </row>
    <row r="1178" spans="1:11" s="15" customFormat="1" ht="18" customHeight="1">
      <c r="A1178" s="27" t="s">
        <v>143</v>
      </c>
      <c r="B1178" s="28" t="s">
        <v>144</v>
      </c>
      <c r="C1178" s="108" t="s">
        <v>145</v>
      </c>
      <c r="D1178" s="109"/>
      <c r="E1178" s="29" t="s">
        <v>146</v>
      </c>
      <c r="F1178" s="30" t="s">
        <v>147</v>
      </c>
      <c r="G1178" s="31" t="s">
        <v>148</v>
      </c>
      <c r="H1178" s="32" t="s">
        <v>149</v>
      </c>
      <c r="I1178" s="106" t="s">
        <v>150</v>
      </c>
      <c r="J1178" s="107"/>
    </row>
    <row r="1179" spans="1:11" s="19" customFormat="1" ht="18" customHeight="1">
      <c r="A1179" s="33" t="str">
        <f>_xlfn.XLOOKUP(B1143,[3]VFDB2!$A:$A,[3]VFDB2!$J:$J)</f>
        <v>〇</v>
      </c>
      <c r="B1179" s="34">
        <f>D1143</f>
        <v>1478</v>
      </c>
      <c r="C1179" s="110" t="str">
        <f>_xlfn.XLOOKUP(B1143,[3]VFDB2!$A:$A,[3]VFDB2!$Z:$Z)</f>
        <v>LED-A1478</v>
      </c>
      <c r="D1179" s="111"/>
      <c r="E1179" s="112" t="str" cm="1">
        <f t="array" ref="E1179">IFERROR(INDEX(_xlfn._xlws.FILTER([4]加工記録２!C:C,[4]加工記録２!U:U=B1145),9),"")</f>
        <v/>
      </c>
      <c r="F1179" s="35" t="str" cm="1">
        <f t="array" ref="F1179">IFERROR("切断加工：" &amp;_xlfn.TEXTJOIN(" / ",TRUE,INDEX(_xlfn._xlws.FILTER([4]加工記録２!M:M,[4]加工記録２!U:U=B1145),9),INDEX(_xlfn._xlws.FILTER([4]加工記録２!N:N,[4]加工記録２!U:U=B1145),9)),"")</f>
        <v/>
      </c>
      <c r="G1179" s="36" t="str" cm="1">
        <f t="array" ref="G1179">IFERROR(IF(_xlfn.TAKE(_xlfn._xlws.FILTER([4]加工記録２!$M:$N,[4]加工記録２!$U:$U=B1145),5)=0,"",_xlfn.TAKE(_xlfn._xlws.FILTER([4]加工記録２!$M:$N,[4]加工記録２!$U:$U=B1145),5)),"")</f>
        <v/>
      </c>
      <c r="H1179" s="37"/>
      <c r="I1179" s="38" t="s">
        <v>151</v>
      </c>
      <c r="J1179" s="39" t="str" cm="1">
        <f t="array" ref="J1179:J1184">IFERROR(INDEX(_xlfn._xlws.FILTER([4]加工記録２!P:P, [4]加工記録２!U:U=B1145),_xlfn.SEQUENCE(6)),"")</f>
        <v/>
      </c>
    </row>
    <row r="1180" spans="1:11" s="15" customFormat="1" ht="18" customHeight="1">
      <c r="A1180" s="43" t="s">
        <v>152</v>
      </c>
      <c r="B1180" s="44" t="s">
        <v>153</v>
      </c>
      <c r="C1180" s="110"/>
      <c r="D1180" s="111"/>
      <c r="E1180" s="112"/>
      <c r="F1180" s="45" t="str" cm="1">
        <f t="array" ref="F1180">IFERROR("外観検査：" &amp;_xlfn.TEXTJOIN(" / ",TRUE,INDEX(_xlfn._xlws.FILTER([4]加工記録２!M:M,[4]加工記録２!U:U=B1145),10),INDEX(_xlfn._xlws.FILTER([4]加工記録２!N:N,[4]加工記録２!U:U=B1145),10)),"")</f>
        <v/>
      </c>
      <c r="G1180" s="36"/>
      <c r="H1180" s="37"/>
      <c r="I1180" s="38" t="s">
        <v>154</v>
      </c>
      <c r="J1180" s="40" t="str">
        <v/>
      </c>
      <c r="K1180" s="46"/>
    </row>
    <row r="1181" spans="1:11" s="19" customFormat="1" ht="18" customHeight="1">
      <c r="A1181" s="47" t="str">
        <f>_xlfn.XLOOKUP(B1143,[3]VFDB2!$A:$A,[3]VFDB2!$L:$L)</f>
        <v>+0.5</v>
      </c>
      <c r="B1181" s="48" t="str">
        <f>_xlfn.XLOOKUP(B1143,[3]VFDB2!$A:$A,[3]VFDB2!$AC:$AC)</f>
        <v>換算表確認</v>
      </c>
      <c r="C1181" s="113" t="s">
        <v>155</v>
      </c>
      <c r="D1181" s="114" t="str">
        <f>_xlfn.XLOOKUP(B1143,[3]VFDB2!$A:$A,[3]VFDB2!$W:$W)</f>
        <v>クラフト紙：1478型</v>
      </c>
      <c r="E1181" s="114"/>
      <c r="F1181" s="115"/>
      <c r="G1181" s="36"/>
      <c r="H1181" s="37"/>
      <c r="I1181" s="38" t="s">
        <v>156</v>
      </c>
      <c r="J1181" s="40" t="str">
        <v/>
      </c>
      <c r="K1181" s="49"/>
    </row>
    <row r="1182" spans="1:11" s="15" customFormat="1" ht="18" customHeight="1">
      <c r="A1182" s="50" t="s">
        <v>157</v>
      </c>
      <c r="B1182" s="51" t="s">
        <v>158</v>
      </c>
      <c r="C1182" s="113"/>
      <c r="D1182" s="114" t="str">
        <f>_xlfn.XLOOKUP(B1143,[3]VFDB2!$A:$A,[3]VFDB2!$R:$R)</f>
        <v>ラベル１枚　長手無　鉢巻１回</v>
      </c>
      <c r="E1182" s="114"/>
      <c r="F1182" s="115"/>
      <c r="G1182" s="36"/>
      <c r="H1182" s="37"/>
      <c r="I1182" s="38" t="s">
        <v>159</v>
      </c>
      <c r="J1182" s="40" t="str">
        <v/>
      </c>
      <c r="K1182" s="46"/>
    </row>
    <row r="1183" spans="1:11" s="19" customFormat="1" ht="18" customHeight="1" thickBot="1">
      <c r="A1183" s="52" t="str">
        <f>_xlfn.XLOOKUP(B1143,[3]VFDB2!$A:$A,[3]VFDB2!$K:$K)</f>
        <v>－0.5</v>
      </c>
      <c r="B1183" s="53">
        <f>_xlfn.XLOOKUP(B1143,[3]VFDB2!$A:$A,[3]VFDB2!$P:$P)</f>
        <v>1</v>
      </c>
      <c r="C1183" s="54" t="s">
        <v>160</v>
      </c>
      <c r="D1183" s="116" t="str">
        <f>_xlfn.XLOOKUP(B1143,[3]VFDB2!$A:$A,[3]VFDB2!$V:$V)</f>
        <v>1箱目の梱包数 目視確認　以降、重量測定</v>
      </c>
      <c r="E1183" s="116"/>
      <c r="F1183" s="117"/>
      <c r="G1183" s="55"/>
      <c r="H1183" s="56"/>
      <c r="I1183" s="38" t="s">
        <v>161</v>
      </c>
      <c r="J1183" s="41" t="str">
        <v/>
      </c>
      <c r="K1183" s="49"/>
    </row>
    <row r="1184" spans="1:11" s="15" customFormat="1" ht="18" customHeight="1" thickBot="1">
      <c r="A1184" s="57" t="s">
        <v>162</v>
      </c>
      <c r="B1184" s="58" t="str" cm="1">
        <f t="array" ref="B1184">IF(SUM(--(ISTEXT(B1185:B1195)*(B1185:B1195&lt;&gt;"")))=0,"計測Lot","計測Lot・加工数")</f>
        <v>計測Lot</v>
      </c>
      <c r="C1184" s="59" t="s">
        <v>163</v>
      </c>
      <c r="D1184" s="60" t="s">
        <v>164</v>
      </c>
      <c r="E1184" s="61" t="s">
        <v>165</v>
      </c>
      <c r="F1184" s="62" t="str" cm="1">
        <f t="array" ref="F1184">IF(SUM(--(ISTEXT(B1185:B1195)*(B1185:B1195&lt;&gt;"")))=0,"記入不要","使用Lot")</f>
        <v>記入不要</v>
      </c>
      <c r="G1184" s="63" t="s">
        <v>166</v>
      </c>
      <c r="H1184" s="64" t="s">
        <v>167</v>
      </c>
      <c r="I1184" s="65" t="s">
        <v>168</v>
      </c>
      <c r="J1184" s="42" t="str">
        <v/>
      </c>
      <c r="K1184" s="46"/>
    </row>
    <row r="1185" spans="1:14" s="19" customFormat="1" ht="18" customHeight="1">
      <c r="A1185" s="66" t="str" cm="1">
        <f t="array" ref="A1185:A1195">IFERROR(INDEX(_xlfn._xlws.FILTER([4]加工記録２!$D:$D,[4]加工記録２!$U:$U=B1145),_xlfn.SEQUENCE(11),0),"")</f>
        <v/>
      </c>
      <c r="B1185" s="70" t="str" cm="1">
        <f t="array" ref="B1185:B1195">IFERROR(IF(INDEX(_xlfn._xlws.FILTER([4]加工記録２!$E:$E,[4]加工記録２!$U:$U=B1145),_xlfn.SEQUENCE(11))="","",INDEX(_xlfn._xlws.FILTER([4]加工記録２!$E:$E,[4]加工記録２!$U:$U=B1145),_xlfn.SEQUENCE(11)) &amp; IF(INDEX(_xlfn._xlws.FILTER([4]加工記録２!$F:$F,[4]加工記録２!$U:$U=B1145),_xlfn.SEQUENCE(11))="","", " × " &amp; INDEX(_xlfn._xlws.FILTER([4]加工記録２!$F:$F,[4]加工記録２!$U:$U=B1145),_xlfn.SEQUENCE(11)))),"")</f>
        <v/>
      </c>
      <c r="C1185" s="73"/>
      <c r="D1185" s="74"/>
      <c r="E1185" s="75"/>
      <c r="F1185" s="76"/>
      <c r="G1185" s="77"/>
      <c r="H1185" s="78"/>
      <c r="I1185" s="104" t="s">
        <v>169</v>
      </c>
      <c r="J1185" s="105"/>
      <c r="K1185" s="79"/>
    </row>
    <row r="1186" spans="1:14" s="15" customFormat="1" ht="18" customHeight="1">
      <c r="A1186" s="67" t="str">
        <v/>
      </c>
      <c r="B1186" s="71" t="str">
        <v/>
      </c>
      <c r="C1186" s="80"/>
      <c r="D1186" s="81"/>
      <c r="E1186" s="82"/>
      <c r="F1186" s="83"/>
      <c r="G1186" s="80"/>
      <c r="H1186" s="84"/>
      <c r="I1186" s="85" t="s">
        <v>170</v>
      </c>
      <c r="J1186" s="84" t="str" cm="1">
        <f t="array" ref="J1186:J1195">IFERROR(INDEX(_xlfn._xlws.FILTER([4]加工記録２!R:R, [4]加工記録２!U:U=B1145),_xlfn.SEQUENCE(10)),"")</f>
        <v/>
      </c>
      <c r="K1186" s="79"/>
    </row>
    <row r="1187" spans="1:14" s="90" customFormat="1" ht="18.95" customHeight="1">
      <c r="A1187" s="68" t="str">
        <v/>
      </c>
      <c r="B1187" s="71" t="str">
        <v/>
      </c>
      <c r="C1187" s="80"/>
      <c r="D1187" s="81"/>
      <c r="E1187" s="82"/>
      <c r="F1187" s="83"/>
      <c r="G1187" s="80"/>
      <c r="H1187" s="84"/>
      <c r="I1187" s="85" t="s">
        <v>171</v>
      </c>
      <c r="J1187" s="84" t="str">
        <v/>
      </c>
      <c r="K1187" s="88"/>
      <c r="L1187" s="89"/>
      <c r="M1187" s="89"/>
      <c r="N1187" s="89"/>
    </row>
    <row r="1188" spans="1:14" s="93" customFormat="1" ht="18.95" customHeight="1">
      <c r="A1188" s="68" t="str">
        <v/>
      </c>
      <c r="B1188" s="71" t="str">
        <v/>
      </c>
      <c r="C1188" s="80"/>
      <c r="D1188" s="81"/>
      <c r="E1188" s="82"/>
      <c r="F1188" s="83"/>
      <c r="G1188" s="80"/>
      <c r="H1188" s="84"/>
      <c r="I1188" s="85" t="s">
        <v>172</v>
      </c>
      <c r="J1188" s="84" t="str">
        <v/>
      </c>
      <c r="K1188" s="91"/>
      <c r="L1188" s="92"/>
      <c r="M1188" s="92"/>
      <c r="N1188" s="92"/>
    </row>
    <row r="1189" spans="1:14" s="93" customFormat="1" ht="18.95" customHeight="1">
      <c r="A1189" s="68" t="str">
        <v/>
      </c>
      <c r="B1189" s="71" t="str">
        <v/>
      </c>
      <c r="C1189" s="80"/>
      <c r="D1189" s="81"/>
      <c r="E1189" s="82"/>
      <c r="F1189" s="83"/>
      <c r="G1189" s="80"/>
      <c r="H1189" s="84"/>
      <c r="I1189" s="85" t="s">
        <v>173</v>
      </c>
      <c r="J1189" s="84" t="str">
        <v/>
      </c>
      <c r="K1189" s="91"/>
      <c r="L1189" s="92"/>
      <c r="M1189" s="92"/>
      <c r="N1189" s="92"/>
    </row>
    <row r="1190" spans="1:14" s="93" customFormat="1" ht="18.95" customHeight="1">
      <c r="A1190" s="68" t="str">
        <v/>
      </c>
      <c r="B1190" s="71" t="str">
        <v/>
      </c>
      <c r="C1190" s="80"/>
      <c r="D1190" s="81"/>
      <c r="E1190" s="82"/>
      <c r="F1190" s="83"/>
      <c r="G1190" s="80"/>
      <c r="H1190" s="84"/>
      <c r="I1190" s="85" t="s">
        <v>174</v>
      </c>
      <c r="J1190" s="84" t="str">
        <v/>
      </c>
      <c r="K1190" s="91"/>
      <c r="L1190" s="92"/>
      <c r="M1190" s="92"/>
      <c r="N1190" s="92"/>
    </row>
    <row r="1191" spans="1:14" s="93" customFormat="1" ht="18.95" customHeight="1">
      <c r="A1191" s="68" t="str">
        <v/>
      </c>
      <c r="B1191" s="71" t="str">
        <v/>
      </c>
      <c r="C1191" s="80"/>
      <c r="D1191" s="81"/>
      <c r="E1191" s="82"/>
      <c r="F1191" s="83"/>
      <c r="G1191" s="80"/>
      <c r="H1191" s="84"/>
      <c r="I1191" s="85" t="s">
        <v>175</v>
      </c>
      <c r="J1191" s="84" t="str">
        <v/>
      </c>
      <c r="K1191" s="91"/>
      <c r="L1191" s="92"/>
      <c r="M1191" s="92"/>
      <c r="N1191" s="92"/>
    </row>
    <row r="1192" spans="1:14" s="93" customFormat="1" ht="18.95" customHeight="1">
      <c r="A1192" s="68" t="str">
        <v/>
      </c>
      <c r="B1192" s="71" t="str">
        <v/>
      </c>
      <c r="C1192" s="80"/>
      <c r="D1192" s="81"/>
      <c r="E1192" s="82"/>
      <c r="F1192" s="83"/>
      <c r="G1192" s="80"/>
      <c r="H1192" s="84"/>
      <c r="I1192" s="94" t="s">
        <v>176</v>
      </c>
      <c r="J1192" s="84" t="str">
        <v/>
      </c>
      <c r="K1192" s="91"/>
      <c r="L1192" s="92"/>
      <c r="M1192" s="92"/>
      <c r="N1192" s="92"/>
    </row>
    <row r="1193" spans="1:14" s="93" customFormat="1" ht="18.95" customHeight="1">
      <c r="A1193" s="68" t="str">
        <v/>
      </c>
      <c r="B1193" s="71" t="str">
        <v/>
      </c>
      <c r="C1193" s="80"/>
      <c r="D1193" s="81"/>
      <c r="E1193" s="82"/>
      <c r="F1193" s="83"/>
      <c r="G1193" s="80"/>
      <c r="H1193" s="84"/>
      <c r="I1193" s="94" t="s">
        <v>177</v>
      </c>
      <c r="J1193" s="84" t="str">
        <v/>
      </c>
      <c r="K1193" s="91"/>
      <c r="L1193" s="92"/>
      <c r="M1193" s="92"/>
      <c r="N1193" s="92"/>
    </row>
    <row r="1194" spans="1:14" s="93" customFormat="1" ht="18.95" customHeight="1">
      <c r="A1194" s="68" t="str">
        <v/>
      </c>
      <c r="B1194" s="71" t="str">
        <v/>
      </c>
      <c r="C1194" s="80"/>
      <c r="D1194" s="81"/>
      <c r="E1194" s="82"/>
      <c r="F1194" s="83"/>
      <c r="G1194" s="80"/>
      <c r="H1194" s="84"/>
      <c r="I1194" s="85" t="s">
        <v>178</v>
      </c>
      <c r="J1194" s="86" t="str">
        <v/>
      </c>
      <c r="K1194" s="91"/>
      <c r="L1194" s="92"/>
      <c r="M1194" s="92"/>
      <c r="N1194" s="92"/>
    </row>
    <row r="1195" spans="1:14" s="93" customFormat="1" ht="18.95" customHeight="1" thickBot="1">
      <c r="A1195" s="69" t="str">
        <v/>
      </c>
      <c r="B1195" s="72" t="str">
        <v/>
      </c>
      <c r="C1195" s="95"/>
      <c r="D1195" s="96"/>
      <c r="E1195" s="97"/>
      <c r="F1195" s="98"/>
      <c r="G1195" s="99"/>
      <c r="H1195" s="100"/>
      <c r="I1195" s="101" t="s">
        <v>179</v>
      </c>
      <c r="J1195" s="87" t="str">
        <v/>
      </c>
      <c r="K1195" s="91"/>
      <c r="L1195" s="92"/>
      <c r="M1195" s="92"/>
      <c r="N1195" s="92"/>
    </row>
    <row r="1196" spans="1:14" ht="6" customHeight="1" thickBot="1">
      <c r="A1196" s="102"/>
      <c r="B1196" s="103"/>
      <c r="C1196" s="103"/>
      <c r="D1196" s="102"/>
      <c r="E1196" s="103"/>
      <c r="F1196" s="103"/>
      <c r="G1196" s="103"/>
      <c r="H1196" s="103"/>
    </row>
    <row r="1197" spans="1:14" ht="6" customHeight="1" thickTop="1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</row>
    <row r="1198" spans="1:14" ht="14.25" customHeight="1" thickBot="1">
      <c r="A1198" s="1"/>
      <c r="B1198" s="150" t="s">
        <v>0</v>
      </c>
      <c r="C1198" s="119"/>
      <c r="D1198" s="119"/>
      <c r="E1198" s="1"/>
      <c r="F1198" s="1"/>
      <c r="G1198" s="1"/>
      <c r="H1198" s="1"/>
      <c r="I1198" s="1"/>
      <c r="J1198" s="1"/>
    </row>
    <row r="1199" spans="1:14" ht="14.25" customHeight="1" thickTop="1">
      <c r="A1199" s="3"/>
      <c r="B1199" s="119"/>
      <c r="C1199" s="119"/>
      <c r="D1199" s="119"/>
      <c r="E1199" s="3"/>
      <c r="F1199" s="3"/>
      <c r="G1199" s="3"/>
      <c r="H1199" s="3"/>
      <c r="I1199" s="3"/>
      <c r="J1199" s="3"/>
    </row>
    <row r="1200" spans="1:14" ht="14.25" customHeight="1">
      <c r="A1200" s="151" t="s">
        <v>1</v>
      </c>
      <c r="B1200" s="151" t="s">
        <v>121</v>
      </c>
      <c r="C1200" s="151" t="s">
        <v>3</v>
      </c>
      <c r="D1200" s="152">
        <v>1478</v>
      </c>
      <c r="E1200" s="151" t="s">
        <v>4</v>
      </c>
      <c r="F1200" s="147" t="s">
        <v>122</v>
      </c>
      <c r="G1200" s="119"/>
      <c r="H1200" s="119"/>
      <c r="I1200" s="4" t="s">
        <v>6</v>
      </c>
      <c r="J1200" s="4" t="s">
        <v>7</v>
      </c>
    </row>
    <row r="1201" spans="1:10" ht="14.25" customHeight="1">
      <c r="A1201" s="119"/>
      <c r="B1201" s="119"/>
      <c r="C1201" s="119"/>
      <c r="D1201" s="119"/>
      <c r="E1201" s="119"/>
      <c r="F1201" s="119"/>
      <c r="G1201" s="119"/>
      <c r="H1201" s="119"/>
      <c r="I1201" s="148"/>
      <c r="J1201" s="148"/>
    </row>
    <row r="1202" spans="1:10" ht="17.45" customHeight="1">
      <c r="A1202" s="139" t="s">
        <v>8</v>
      </c>
      <c r="B1202" s="139" t="s">
        <v>135</v>
      </c>
      <c r="E1202" s="139" t="s">
        <v>10</v>
      </c>
      <c r="F1202" s="140" t="s">
        <v>124</v>
      </c>
      <c r="G1202" s="119"/>
      <c r="H1202" s="119"/>
      <c r="I1202" s="149"/>
      <c r="J1202" s="149"/>
    </row>
    <row r="1203" spans="1:10" ht="17.45" customHeight="1">
      <c r="A1203" s="119"/>
      <c r="B1203" s="119"/>
      <c r="E1203" s="119"/>
      <c r="F1203" s="119"/>
      <c r="G1203" s="119"/>
      <c r="H1203" s="119"/>
      <c r="I1203" s="7"/>
      <c r="J1203" s="7"/>
    </row>
    <row r="1204" spans="1:10" ht="17.45" customHeight="1">
      <c r="A1204" s="139" t="s">
        <v>12</v>
      </c>
      <c r="B1204" s="139" t="s">
        <v>136</v>
      </c>
      <c r="E1204" s="8" t="s">
        <v>14</v>
      </c>
      <c r="F1204" s="140" t="s">
        <v>15</v>
      </c>
      <c r="G1204" s="119"/>
      <c r="H1204" s="6"/>
      <c r="I1204" s="7"/>
      <c r="J1204" s="7"/>
    </row>
    <row r="1205" spans="1:10" ht="17.45" customHeight="1">
      <c r="A1205" s="119"/>
      <c r="B1205" s="119"/>
      <c r="E1205" s="8" t="s">
        <v>16</v>
      </c>
      <c r="F1205" s="6" t="s">
        <v>17</v>
      </c>
      <c r="G1205" s="6"/>
      <c r="H1205" s="6"/>
      <c r="I1205" s="9"/>
      <c r="J1205" s="9"/>
    </row>
    <row r="1206" spans="1:10" ht="17.45" customHeight="1">
      <c r="A1206" s="8" t="s">
        <v>18</v>
      </c>
      <c r="B1206" s="10">
        <v>46125</v>
      </c>
      <c r="E1206" s="8" t="s">
        <v>19</v>
      </c>
      <c r="F1206" s="141">
        <v>100</v>
      </c>
      <c r="G1206" s="119"/>
      <c r="H1206" s="6"/>
    </row>
    <row r="1207" spans="1:10" ht="17.45" customHeight="1">
      <c r="A1207" s="8" t="s">
        <v>20</v>
      </c>
      <c r="B1207" s="10">
        <v>46125</v>
      </c>
      <c r="E1207" s="8" t="s">
        <v>21</v>
      </c>
      <c r="F1207" s="6">
        <v>2</v>
      </c>
      <c r="G1207" s="142" t="s">
        <v>22</v>
      </c>
      <c r="H1207" s="144">
        <v>200</v>
      </c>
      <c r="I1207" s="145"/>
      <c r="J1207" s="146"/>
    </row>
    <row r="1208" spans="1:10" ht="17.45" customHeight="1">
      <c r="A1208" s="11"/>
      <c r="B1208" s="12"/>
      <c r="C1208" s="12"/>
      <c r="D1208" s="12"/>
      <c r="E1208" s="8" t="s">
        <v>23</v>
      </c>
      <c r="F1208" s="6" t="s">
        <v>24</v>
      </c>
      <c r="G1208" s="143"/>
      <c r="H1208" s="143"/>
      <c r="I1208" s="125"/>
      <c r="J1208" s="133"/>
    </row>
    <row r="1209" spans="1:10" ht="13.5" customHeight="1">
      <c r="A1209" s="127" t="s">
        <v>126</v>
      </c>
      <c r="B1209" s="119"/>
      <c r="C1209" s="119"/>
      <c r="D1209" s="12"/>
      <c r="F1209" s="5"/>
      <c r="G1209" s="128" t="s">
        <v>26</v>
      </c>
      <c r="H1209" s="130" t="s">
        <v>27</v>
      </c>
      <c r="I1209" s="131" t="s">
        <v>28</v>
      </c>
      <c r="J1209" s="132"/>
    </row>
    <row r="1210" spans="1:10" ht="13.5" customHeight="1">
      <c r="A1210" s="119"/>
      <c r="B1210" s="119"/>
      <c r="C1210" s="119"/>
      <c r="D1210" s="12"/>
      <c r="F1210" s="5"/>
      <c r="G1210" s="129"/>
      <c r="H1210" s="129"/>
      <c r="I1210" s="125"/>
      <c r="J1210" s="133"/>
    </row>
    <row r="1211" spans="1:10" ht="13.5" customHeight="1">
      <c r="A1211" s="2" t="s">
        <v>29</v>
      </c>
    </row>
    <row r="1212" spans="1:10" ht="63" customHeight="1" thickBot="1">
      <c r="A1212" s="134"/>
      <c r="B1212" s="135"/>
      <c r="C1212" s="135"/>
      <c r="D1212" s="135"/>
      <c r="E1212" s="135"/>
      <c r="F1212" s="135"/>
      <c r="G1212" s="135"/>
      <c r="H1212" s="135"/>
      <c r="I1212" s="135"/>
      <c r="J1212" s="135"/>
    </row>
    <row r="1213" spans="1:10" ht="18.75">
      <c r="A1213" s="13" t="s">
        <v>30</v>
      </c>
      <c r="B1213" s="14" t="s">
        <v>31</v>
      </c>
      <c r="C1213" s="136" t="s">
        <v>32</v>
      </c>
      <c r="D1213" s="137"/>
      <c r="E1213" s="14" t="s">
        <v>33</v>
      </c>
      <c r="F1213" s="136" t="s">
        <v>34</v>
      </c>
      <c r="G1213" s="137"/>
      <c r="H1213" s="137"/>
      <c r="I1213" s="138" t="s">
        <v>35</v>
      </c>
      <c r="J1213" s="137"/>
    </row>
    <row r="1214" spans="1:10" ht="14.25" customHeight="1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</row>
    <row r="1215" spans="1:10" ht="16.5" customHeight="1">
      <c r="A1215" s="17">
        <v>1</v>
      </c>
      <c r="B1215" s="18" t="s">
        <v>36</v>
      </c>
      <c r="C1215" s="118" t="s">
        <v>37</v>
      </c>
      <c r="D1215" s="119"/>
      <c r="E1215" s="18" t="s">
        <v>38</v>
      </c>
      <c r="F1215" s="118" t="s">
        <v>39</v>
      </c>
      <c r="G1215" s="119"/>
      <c r="H1215" s="119"/>
      <c r="I1215" s="126"/>
      <c r="J1215" s="119"/>
    </row>
    <row r="1216" spans="1:10" ht="16.5" customHeight="1">
      <c r="A1216" s="17">
        <v>1</v>
      </c>
      <c r="B1216" s="20" t="s">
        <v>36</v>
      </c>
      <c r="C1216" s="118" t="s">
        <v>37</v>
      </c>
      <c r="D1216" s="119"/>
      <c r="E1216" s="18" t="s">
        <v>40</v>
      </c>
      <c r="F1216" s="118" t="s">
        <v>41</v>
      </c>
      <c r="G1216" s="119"/>
      <c r="H1216" s="119"/>
      <c r="I1216" s="126"/>
      <c r="J1216" s="119"/>
    </row>
    <row r="1217" spans="1:10" ht="16.5" customHeight="1">
      <c r="A1217" s="17"/>
      <c r="B1217" s="20"/>
      <c r="C1217" s="118"/>
      <c r="D1217" s="119"/>
      <c r="E1217" s="18"/>
      <c r="F1217" s="118"/>
      <c r="G1217" s="119"/>
      <c r="H1217" s="119"/>
      <c r="I1217" s="126"/>
      <c r="J1217" s="119"/>
    </row>
    <row r="1218" spans="1:10" ht="16.5" customHeight="1">
      <c r="A1218" s="17"/>
      <c r="B1218" s="20"/>
      <c r="C1218" s="118"/>
      <c r="D1218" s="119"/>
      <c r="E1218" s="18"/>
      <c r="F1218" s="118"/>
      <c r="G1218" s="119"/>
      <c r="H1218" s="119"/>
      <c r="I1218" s="126"/>
      <c r="J1218" s="119"/>
    </row>
    <row r="1219" spans="1:10" ht="16.5" customHeight="1">
      <c r="A1219" s="17"/>
      <c r="B1219" s="20"/>
      <c r="C1219" s="118"/>
      <c r="D1219" s="119"/>
      <c r="E1219" s="18"/>
      <c r="F1219" s="118"/>
      <c r="G1219" s="119"/>
      <c r="H1219" s="119"/>
      <c r="I1219" s="126"/>
      <c r="J1219" s="119"/>
    </row>
    <row r="1220" spans="1:10" ht="16.5" customHeight="1">
      <c r="A1220" s="17"/>
      <c r="B1220" s="20"/>
      <c r="C1220" s="118"/>
      <c r="D1220" s="119"/>
      <c r="E1220" s="18"/>
      <c r="F1220" s="118"/>
      <c r="G1220" s="119"/>
      <c r="H1220" s="119"/>
      <c r="I1220" s="126"/>
      <c r="J1220" s="119"/>
    </row>
    <row r="1221" spans="1:10" ht="16.5" customHeight="1" thickBo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</row>
    <row r="1222" spans="1:10" ht="18.75">
      <c r="A1222" s="122" t="s">
        <v>42</v>
      </c>
      <c r="B1222" s="123"/>
      <c r="C1222" s="122" t="s">
        <v>43</v>
      </c>
      <c r="D1222" s="123"/>
      <c r="E1222" s="123"/>
      <c r="F1222" s="22" t="s">
        <v>44</v>
      </c>
      <c r="G1222" s="122" t="s">
        <v>45</v>
      </c>
      <c r="H1222" s="123"/>
      <c r="I1222" s="122" t="s">
        <v>46</v>
      </c>
      <c r="J1222" s="123"/>
    </row>
    <row r="1223" spans="1:10" ht="14.25" customHeight="1">
      <c r="A1223" s="23"/>
      <c r="B1223" s="24"/>
      <c r="C1223" s="124" t="s">
        <v>47</v>
      </c>
      <c r="D1223" s="125"/>
      <c r="E1223" s="24"/>
      <c r="F1223" s="124" t="s">
        <v>29</v>
      </c>
      <c r="G1223" s="125"/>
      <c r="H1223" s="125"/>
      <c r="I1223" s="125"/>
      <c r="J1223" s="125"/>
    </row>
    <row r="1224" spans="1:10">
      <c r="A1224" s="25"/>
      <c r="C1224" s="19"/>
      <c r="D1224" s="19"/>
      <c r="E1224" s="19"/>
    </row>
    <row r="1225" spans="1:10" ht="14.25" customHeight="1">
      <c r="A1225" s="118" t="s">
        <v>48</v>
      </c>
      <c r="B1225" s="119"/>
      <c r="C1225" s="118" t="s">
        <v>49</v>
      </c>
      <c r="D1225" s="119"/>
      <c r="E1225" s="119"/>
      <c r="F1225" s="18" t="s">
        <v>27</v>
      </c>
      <c r="G1225" s="120">
        <v>200</v>
      </c>
      <c r="H1225" s="119"/>
      <c r="I1225" s="120">
        <v>2</v>
      </c>
      <c r="J1225" s="119"/>
    </row>
    <row r="1226" spans="1:10" ht="24.95" customHeight="1">
      <c r="A1226" s="121" t="s">
        <v>50</v>
      </c>
      <c r="B1226" s="119"/>
      <c r="C1226" s="118"/>
      <c r="D1226" s="119"/>
      <c r="E1226" s="119"/>
      <c r="F1226" s="118"/>
      <c r="G1226" s="119"/>
      <c r="H1226" s="119"/>
      <c r="I1226" s="119"/>
      <c r="J1226" s="119"/>
    </row>
    <row r="1227" spans="1:10" ht="14.25" customHeight="1">
      <c r="A1227" s="118" t="s">
        <v>127</v>
      </c>
      <c r="B1227" s="119"/>
      <c r="C1227" s="118" t="s">
        <v>128</v>
      </c>
      <c r="D1227" s="119"/>
      <c r="E1227" s="119"/>
      <c r="F1227" s="18" t="s">
        <v>53</v>
      </c>
      <c r="G1227" s="120">
        <v>2</v>
      </c>
      <c r="H1227" s="119"/>
      <c r="I1227" s="120">
        <v>0.02</v>
      </c>
      <c r="J1227" s="119"/>
    </row>
    <row r="1228" spans="1:10" ht="24.95" customHeight="1">
      <c r="A1228" s="121" t="s">
        <v>129</v>
      </c>
      <c r="B1228" s="119"/>
      <c r="C1228" s="118" t="s">
        <v>130</v>
      </c>
      <c r="D1228" s="119"/>
      <c r="E1228" s="119"/>
      <c r="F1228" s="118"/>
      <c r="G1228" s="119"/>
      <c r="H1228" s="119"/>
      <c r="I1228" s="119"/>
      <c r="J1228" s="119"/>
    </row>
    <row r="1229" spans="1:10" ht="14.25" customHeight="1">
      <c r="A1229" s="118" t="s">
        <v>56</v>
      </c>
      <c r="B1229" s="119"/>
      <c r="C1229" s="118" t="s">
        <v>57</v>
      </c>
      <c r="D1229" s="119"/>
      <c r="E1229" s="119"/>
      <c r="F1229" s="18"/>
      <c r="G1229" s="120">
        <v>0.4</v>
      </c>
      <c r="H1229" s="119"/>
      <c r="I1229" s="120">
        <v>4.0000000000000001E-3</v>
      </c>
      <c r="J1229" s="119"/>
    </row>
    <row r="1230" spans="1:10" ht="24.95" customHeight="1">
      <c r="A1230" s="121" t="s">
        <v>58</v>
      </c>
      <c r="B1230" s="119"/>
      <c r="C1230" s="118" t="s">
        <v>59</v>
      </c>
      <c r="D1230" s="119"/>
      <c r="E1230" s="119"/>
      <c r="F1230" s="118"/>
      <c r="G1230" s="119"/>
      <c r="H1230" s="119"/>
      <c r="I1230" s="119"/>
      <c r="J1230" s="119"/>
    </row>
    <row r="1231" spans="1:10" ht="14.25" customHeight="1">
      <c r="A1231" s="118" t="s">
        <v>60</v>
      </c>
      <c r="B1231" s="119"/>
      <c r="C1231" s="118" t="s">
        <v>61</v>
      </c>
      <c r="D1231" s="119"/>
      <c r="E1231" s="119"/>
      <c r="F1231" s="18"/>
      <c r="G1231" s="120">
        <v>0.2</v>
      </c>
      <c r="H1231" s="119"/>
      <c r="I1231" s="120">
        <v>2E-3</v>
      </c>
      <c r="J1231" s="119"/>
    </row>
    <row r="1232" spans="1:10" ht="24.95" customHeight="1">
      <c r="A1232" s="121" t="s">
        <v>62</v>
      </c>
      <c r="B1232" s="119"/>
      <c r="C1232" s="118" t="s">
        <v>63</v>
      </c>
      <c r="D1232" s="119"/>
      <c r="E1232" s="119"/>
      <c r="F1232" s="118"/>
      <c r="G1232" s="119"/>
      <c r="H1232" s="119"/>
      <c r="I1232" s="119"/>
      <c r="J1232" s="119"/>
    </row>
    <row r="1233" spans="1:14" ht="14.25" customHeight="1">
      <c r="A1233" s="118"/>
      <c r="B1233" s="119"/>
      <c r="C1233" s="118"/>
      <c r="D1233" s="119"/>
      <c r="E1233" s="119"/>
      <c r="F1233" s="18"/>
      <c r="G1233" s="120"/>
      <c r="H1233" s="119"/>
      <c r="I1233" s="120"/>
      <c r="J1233" s="119"/>
    </row>
    <row r="1234" spans="1:14" ht="24.95" customHeight="1" thickBot="1">
      <c r="A1234" s="121"/>
      <c r="B1234" s="119"/>
      <c r="C1234" s="118"/>
      <c r="D1234" s="119"/>
      <c r="E1234" s="119"/>
      <c r="F1234" s="118"/>
      <c r="G1234" s="119"/>
      <c r="H1234" s="119"/>
      <c r="I1234" s="119"/>
      <c r="J1234" s="119"/>
    </row>
    <row r="1235" spans="1:14" s="15" customFormat="1" ht="18" customHeight="1">
      <c r="A1235" s="27" t="s">
        <v>143</v>
      </c>
      <c r="B1235" s="28" t="s">
        <v>144</v>
      </c>
      <c r="C1235" s="108" t="s">
        <v>145</v>
      </c>
      <c r="D1235" s="109"/>
      <c r="E1235" s="29" t="s">
        <v>146</v>
      </c>
      <c r="F1235" s="30" t="s">
        <v>147</v>
      </c>
      <c r="G1235" s="31" t="s">
        <v>148</v>
      </c>
      <c r="H1235" s="32" t="s">
        <v>149</v>
      </c>
      <c r="I1235" s="106" t="s">
        <v>150</v>
      </c>
      <c r="J1235" s="107"/>
    </row>
    <row r="1236" spans="1:14" s="19" customFormat="1" ht="18" customHeight="1">
      <c r="A1236" s="33" t="str">
        <f>_xlfn.XLOOKUP(B1200,[3]VFDB2!$A:$A,[3]VFDB2!$J:$J)</f>
        <v>〇</v>
      </c>
      <c r="B1236" s="34">
        <f>D1200</f>
        <v>1478</v>
      </c>
      <c r="C1236" s="110" t="str">
        <f>_xlfn.XLOOKUP(B1200,[3]VFDB2!$A:$A,[3]VFDB2!$Z:$Z)</f>
        <v>LED-A1478</v>
      </c>
      <c r="D1236" s="111"/>
      <c r="E1236" s="112" t="str" cm="1">
        <f t="array" ref="E1236">IFERROR(INDEX(_xlfn._xlws.FILTER([4]加工記録２!C:C,[4]加工記録２!U:U=B1202),9),"")</f>
        <v/>
      </c>
      <c r="F1236" s="35" t="str" cm="1">
        <f t="array" ref="F1236">IFERROR("切断加工：" &amp;_xlfn.TEXTJOIN(" / ",TRUE,INDEX(_xlfn._xlws.FILTER([4]加工記録２!M:M,[4]加工記録２!U:U=B1202),9),INDEX(_xlfn._xlws.FILTER([4]加工記録２!N:N,[4]加工記録２!U:U=B1202),9)),"")</f>
        <v/>
      </c>
      <c r="G1236" s="36" t="str" cm="1">
        <f t="array" ref="G1236">IFERROR(IF(_xlfn.TAKE(_xlfn._xlws.FILTER([4]加工記録２!$M:$N,[4]加工記録２!$U:$U=B1202),5)=0,"",_xlfn.TAKE(_xlfn._xlws.FILTER([4]加工記録２!$M:$N,[4]加工記録２!$U:$U=B1202),5)),"")</f>
        <v/>
      </c>
      <c r="H1236" s="37"/>
      <c r="I1236" s="38" t="s">
        <v>151</v>
      </c>
      <c r="J1236" s="39" t="str" cm="1">
        <f t="array" ref="J1236:J1241">IFERROR(INDEX(_xlfn._xlws.FILTER([4]加工記録２!P:P, [4]加工記録２!U:U=B1202),_xlfn.SEQUENCE(6)),"")</f>
        <v/>
      </c>
    </row>
    <row r="1237" spans="1:14" s="15" customFormat="1" ht="18" customHeight="1">
      <c r="A1237" s="43" t="s">
        <v>152</v>
      </c>
      <c r="B1237" s="44" t="s">
        <v>153</v>
      </c>
      <c r="C1237" s="110"/>
      <c r="D1237" s="111"/>
      <c r="E1237" s="112"/>
      <c r="F1237" s="45" t="str" cm="1">
        <f t="array" ref="F1237">IFERROR("外観検査：" &amp;_xlfn.TEXTJOIN(" / ",TRUE,INDEX(_xlfn._xlws.FILTER([4]加工記録２!M:M,[4]加工記録２!U:U=B1202),10),INDEX(_xlfn._xlws.FILTER([4]加工記録２!N:N,[4]加工記録２!U:U=B1202),10)),"")</f>
        <v/>
      </c>
      <c r="G1237" s="36"/>
      <c r="H1237" s="37"/>
      <c r="I1237" s="38" t="s">
        <v>154</v>
      </c>
      <c r="J1237" s="40" t="str">
        <v/>
      </c>
      <c r="K1237" s="46"/>
    </row>
    <row r="1238" spans="1:14" s="19" customFormat="1" ht="18" customHeight="1">
      <c r="A1238" s="47" t="str">
        <f>_xlfn.XLOOKUP(B1200,[3]VFDB2!$A:$A,[3]VFDB2!$L:$L)</f>
        <v>+0.5</v>
      </c>
      <c r="B1238" s="48" t="str">
        <f>_xlfn.XLOOKUP(B1200,[3]VFDB2!$A:$A,[3]VFDB2!$AC:$AC)</f>
        <v>換算表確認</v>
      </c>
      <c r="C1238" s="113" t="s">
        <v>155</v>
      </c>
      <c r="D1238" s="114" t="str">
        <f>_xlfn.XLOOKUP(B1200,[3]VFDB2!$A:$A,[3]VFDB2!$W:$W)</f>
        <v>クラフト紙：1478型</v>
      </c>
      <c r="E1238" s="114"/>
      <c r="F1238" s="115"/>
      <c r="G1238" s="36"/>
      <c r="H1238" s="37"/>
      <c r="I1238" s="38" t="s">
        <v>156</v>
      </c>
      <c r="J1238" s="40" t="str">
        <v/>
      </c>
      <c r="K1238" s="49"/>
    </row>
    <row r="1239" spans="1:14" s="15" customFormat="1" ht="18" customHeight="1">
      <c r="A1239" s="50" t="s">
        <v>157</v>
      </c>
      <c r="B1239" s="51" t="s">
        <v>158</v>
      </c>
      <c r="C1239" s="113"/>
      <c r="D1239" s="114" t="str">
        <f>_xlfn.XLOOKUP(B1200,[3]VFDB2!$A:$A,[3]VFDB2!$R:$R)</f>
        <v>ラベル１枚　長手無　鉢巻１回</v>
      </c>
      <c r="E1239" s="114"/>
      <c r="F1239" s="115"/>
      <c r="G1239" s="36"/>
      <c r="H1239" s="37"/>
      <c r="I1239" s="38" t="s">
        <v>159</v>
      </c>
      <c r="J1239" s="40" t="str">
        <v/>
      </c>
      <c r="K1239" s="46"/>
    </row>
    <row r="1240" spans="1:14" s="19" customFormat="1" ht="18" customHeight="1" thickBot="1">
      <c r="A1240" s="52" t="str">
        <f>_xlfn.XLOOKUP(B1200,[3]VFDB2!$A:$A,[3]VFDB2!$K:$K)</f>
        <v>－0.5</v>
      </c>
      <c r="B1240" s="53">
        <f>_xlfn.XLOOKUP(B1200,[3]VFDB2!$A:$A,[3]VFDB2!$P:$P)</f>
        <v>1</v>
      </c>
      <c r="C1240" s="54" t="s">
        <v>160</v>
      </c>
      <c r="D1240" s="116" t="str">
        <f>_xlfn.XLOOKUP(B1200,[3]VFDB2!$A:$A,[3]VFDB2!$V:$V)</f>
        <v>1箱目の梱包数 目視確認　以降、重量測定</v>
      </c>
      <c r="E1240" s="116"/>
      <c r="F1240" s="117"/>
      <c r="G1240" s="55"/>
      <c r="H1240" s="56"/>
      <c r="I1240" s="38" t="s">
        <v>161</v>
      </c>
      <c r="J1240" s="41" t="str">
        <v/>
      </c>
      <c r="K1240" s="49"/>
    </row>
    <row r="1241" spans="1:14" s="15" customFormat="1" ht="18" customHeight="1" thickBot="1">
      <c r="A1241" s="57" t="s">
        <v>162</v>
      </c>
      <c r="B1241" s="58" t="str" cm="1">
        <f t="array" ref="B1241">IF(SUM(--(ISTEXT(B1242:B1252)*(B1242:B1252&lt;&gt;"")))=0,"計測Lot","計測Lot・加工数")</f>
        <v>計測Lot</v>
      </c>
      <c r="C1241" s="59" t="s">
        <v>163</v>
      </c>
      <c r="D1241" s="60" t="s">
        <v>164</v>
      </c>
      <c r="E1241" s="61" t="s">
        <v>165</v>
      </c>
      <c r="F1241" s="62" t="str" cm="1">
        <f t="array" ref="F1241">IF(SUM(--(ISTEXT(B1242:B1252)*(B1242:B1252&lt;&gt;"")))=0,"記入不要","使用Lot")</f>
        <v>記入不要</v>
      </c>
      <c r="G1241" s="63" t="s">
        <v>166</v>
      </c>
      <c r="H1241" s="64" t="s">
        <v>167</v>
      </c>
      <c r="I1241" s="65" t="s">
        <v>168</v>
      </c>
      <c r="J1241" s="42" t="str">
        <v/>
      </c>
      <c r="K1241" s="46"/>
    </row>
    <row r="1242" spans="1:14" s="19" customFormat="1" ht="18" customHeight="1">
      <c r="A1242" s="66" t="str" cm="1">
        <f t="array" ref="A1242:A1252">IFERROR(INDEX(_xlfn._xlws.FILTER([4]加工記録２!$D:$D,[4]加工記録２!$U:$U=B1202),_xlfn.SEQUENCE(11),0),"")</f>
        <v/>
      </c>
      <c r="B1242" s="70" t="str" cm="1">
        <f t="array" ref="B1242:B1252">IFERROR(IF(INDEX(_xlfn._xlws.FILTER([4]加工記録２!$E:$E,[4]加工記録２!$U:$U=B1202),_xlfn.SEQUENCE(11))="","",INDEX(_xlfn._xlws.FILTER([4]加工記録２!$E:$E,[4]加工記録２!$U:$U=B1202),_xlfn.SEQUENCE(11)) &amp; IF(INDEX(_xlfn._xlws.FILTER([4]加工記録２!$F:$F,[4]加工記録２!$U:$U=B1202),_xlfn.SEQUENCE(11))="","", " × " &amp; INDEX(_xlfn._xlws.FILTER([4]加工記録２!$F:$F,[4]加工記録２!$U:$U=B1202),_xlfn.SEQUENCE(11)))),"")</f>
        <v/>
      </c>
      <c r="C1242" s="73"/>
      <c r="D1242" s="74"/>
      <c r="E1242" s="75"/>
      <c r="F1242" s="76"/>
      <c r="G1242" s="77"/>
      <c r="H1242" s="78"/>
      <c r="I1242" s="104" t="s">
        <v>169</v>
      </c>
      <c r="J1242" s="105"/>
      <c r="K1242" s="79"/>
    </row>
    <row r="1243" spans="1:14" s="15" customFormat="1" ht="18" customHeight="1">
      <c r="A1243" s="67" t="str">
        <v/>
      </c>
      <c r="B1243" s="71" t="str">
        <v/>
      </c>
      <c r="C1243" s="80"/>
      <c r="D1243" s="81"/>
      <c r="E1243" s="82"/>
      <c r="F1243" s="83"/>
      <c r="G1243" s="80"/>
      <c r="H1243" s="84"/>
      <c r="I1243" s="85" t="s">
        <v>170</v>
      </c>
      <c r="J1243" s="84" t="str" cm="1">
        <f t="array" ref="J1243:J1252">IFERROR(INDEX(_xlfn._xlws.FILTER([4]加工記録２!R:R, [4]加工記録２!U:U=B1202),_xlfn.SEQUENCE(10)),"")</f>
        <v/>
      </c>
      <c r="K1243" s="79"/>
    </row>
    <row r="1244" spans="1:14" s="90" customFormat="1" ht="18.95" customHeight="1">
      <c r="A1244" s="68" t="str">
        <v/>
      </c>
      <c r="B1244" s="71" t="str">
        <v/>
      </c>
      <c r="C1244" s="80"/>
      <c r="D1244" s="81"/>
      <c r="E1244" s="82"/>
      <c r="F1244" s="83"/>
      <c r="G1244" s="80"/>
      <c r="H1244" s="84"/>
      <c r="I1244" s="85" t="s">
        <v>171</v>
      </c>
      <c r="J1244" s="84" t="str">
        <v/>
      </c>
      <c r="K1244" s="88"/>
      <c r="L1244" s="89"/>
      <c r="M1244" s="89"/>
      <c r="N1244" s="89"/>
    </row>
    <row r="1245" spans="1:14" s="93" customFormat="1" ht="18.95" customHeight="1">
      <c r="A1245" s="68" t="str">
        <v/>
      </c>
      <c r="B1245" s="71" t="str">
        <v/>
      </c>
      <c r="C1245" s="80"/>
      <c r="D1245" s="81"/>
      <c r="E1245" s="82"/>
      <c r="F1245" s="83"/>
      <c r="G1245" s="80"/>
      <c r="H1245" s="84"/>
      <c r="I1245" s="85" t="s">
        <v>172</v>
      </c>
      <c r="J1245" s="84" t="str">
        <v/>
      </c>
      <c r="K1245" s="91"/>
      <c r="L1245" s="92"/>
      <c r="M1245" s="92"/>
      <c r="N1245" s="92"/>
    </row>
    <row r="1246" spans="1:14" s="93" customFormat="1" ht="18.95" customHeight="1">
      <c r="A1246" s="68" t="str">
        <v/>
      </c>
      <c r="B1246" s="71" t="str">
        <v/>
      </c>
      <c r="C1246" s="80"/>
      <c r="D1246" s="81"/>
      <c r="E1246" s="82"/>
      <c r="F1246" s="83"/>
      <c r="G1246" s="80"/>
      <c r="H1246" s="84"/>
      <c r="I1246" s="85" t="s">
        <v>173</v>
      </c>
      <c r="J1246" s="84" t="str">
        <v/>
      </c>
      <c r="K1246" s="91"/>
      <c r="L1246" s="92"/>
      <c r="M1246" s="92"/>
      <c r="N1246" s="92"/>
    </row>
    <row r="1247" spans="1:14" s="93" customFormat="1" ht="18.95" customHeight="1">
      <c r="A1247" s="68" t="str">
        <v/>
      </c>
      <c r="B1247" s="71" t="str">
        <v/>
      </c>
      <c r="C1247" s="80"/>
      <c r="D1247" s="81"/>
      <c r="E1247" s="82"/>
      <c r="F1247" s="83"/>
      <c r="G1247" s="80"/>
      <c r="H1247" s="84"/>
      <c r="I1247" s="85" t="s">
        <v>174</v>
      </c>
      <c r="J1247" s="84" t="str">
        <v/>
      </c>
      <c r="K1247" s="91"/>
      <c r="L1247" s="92"/>
      <c r="M1247" s="92"/>
      <c r="N1247" s="92"/>
    </row>
    <row r="1248" spans="1:14" s="93" customFormat="1" ht="18.95" customHeight="1">
      <c r="A1248" s="68" t="str">
        <v/>
      </c>
      <c r="B1248" s="71" t="str">
        <v/>
      </c>
      <c r="C1248" s="80"/>
      <c r="D1248" s="81"/>
      <c r="E1248" s="82"/>
      <c r="F1248" s="83"/>
      <c r="G1248" s="80"/>
      <c r="H1248" s="84"/>
      <c r="I1248" s="85" t="s">
        <v>175</v>
      </c>
      <c r="J1248" s="84" t="str">
        <v/>
      </c>
      <c r="K1248" s="91"/>
      <c r="L1248" s="92"/>
      <c r="M1248" s="92"/>
      <c r="N1248" s="92"/>
    </row>
    <row r="1249" spans="1:14" s="93" customFormat="1" ht="18.95" customHeight="1">
      <c r="A1249" s="68" t="str">
        <v/>
      </c>
      <c r="B1249" s="71" t="str">
        <v/>
      </c>
      <c r="C1249" s="80"/>
      <c r="D1249" s="81"/>
      <c r="E1249" s="82"/>
      <c r="F1249" s="83"/>
      <c r="G1249" s="80"/>
      <c r="H1249" s="84"/>
      <c r="I1249" s="94" t="s">
        <v>176</v>
      </c>
      <c r="J1249" s="84" t="str">
        <v/>
      </c>
      <c r="K1249" s="91"/>
      <c r="L1249" s="92"/>
      <c r="M1249" s="92"/>
      <c r="N1249" s="92"/>
    </row>
    <row r="1250" spans="1:14" s="93" customFormat="1" ht="18.95" customHeight="1">
      <c r="A1250" s="68" t="str">
        <v/>
      </c>
      <c r="B1250" s="71" t="str">
        <v/>
      </c>
      <c r="C1250" s="80"/>
      <c r="D1250" s="81"/>
      <c r="E1250" s="82"/>
      <c r="F1250" s="83"/>
      <c r="G1250" s="80"/>
      <c r="H1250" s="84"/>
      <c r="I1250" s="94" t="s">
        <v>177</v>
      </c>
      <c r="J1250" s="84" t="str">
        <v/>
      </c>
      <c r="K1250" s="91"/>
      <c r="L1250" s="92"/>
      <c r="M1250" s="92"/>
      <c r="N1250" s="92"/>
    </row>
    <row r="1251" spans="1:14" s="93" customFormat="1" ht="18.95" customHeight="1">
      <c r="A1251" s="68" t="str">
        <v/>
      </c>
      <c r="B1251" s="71" t="str">
        <v/>
      </c>
      <c r="C1251" s="80"/>
      <c r="D1251" s="81"/>
      <c r="E1251" s="82"/>
      <c r="F1251" s="83"/>
      <c r="G1251" s="80"/>
      <c r="H1251" s="84"/>
      <c r="I1251" s="85" t="s">
        <v>178</v>
      </c>
      <c r="J1251" s="86" t="str">
        <v/>
      </c>
      <c r="K1251" s="91"/>
      <c r="L1251" s="92"/>
      <c r="M1251" s="92"/>
      <c r="N1251" s="92"/>
    </row>
    <row r="1252" spans="1:14" s="93" customFormat="1" ht="18.95" customHeight="1" thickBot="1">
      <c r="A1252" s="69" t="str">
        <v/>
      </c>
      <c r="B1252" s="72" t="str">
        <v/>
      </c>
      <c r="C1252" s="95"/>
      <c r="D1252" s="96"/>
      <c r="E1252" s="97"/>
      <c r="F1252" s="98"/>
      <c r="G1252" s="99"/>
      <c r="H1252" s="100"/>
      <c r="I1252" s="101" t="s">
        <v>179</v>
      </c>
      <c r="J1252" s="87" t="str">
        <v/>
      </c>
      <c r="K1252" s="91"/>
      <c r="L1252" s="92"/>
      <c r="M1252" s="92"/>
      <c r="N1252" s="92"/>
    </row>
    <row r="1253" spans="1:14" ht="6" customHeight="1" thickBot="1">
      <c r="A1253" s="102"/>
      <c r="B1253" s="103"/>
      <c r="C1253" s="103"/>
      <c r="D1253" s="102"/>
      <c r="E1253" s="103"/>
      <c r="F1253" s="103"/>
      <c r="G1253" s="103"/>
      <c r="H1253" s="103"/>
    </row>
    <row r="1254" spans="1:14" ht="6" customHeight="1" thickTop="1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</row>
    <row r="1255" spans="1:14" ht="14.25" customHeight="1" thickBot="1">
      <c r="A1255" s="1"/>
      <c r="B1255" s="150" t="s">
        <v>0</v>
      </c>
      <c r="C1255" s="119"/>
      <c r="D1255" s="119"/>
      <c r="E1255" s="1"/>
      <c r="F1255" s="1"/>
      <c r="G1255" s="1"/>
      <c r="H1255" s="1"/>
      <c r="I1255" s="1"/>
      <c r="J1255" s="1"/>
    </row>
    <row r="1256" spans="1:14" ht="14.25" customHeight="1" thickTop="1">
      <c r="A1256" s="3"/>
      <c r="B1256" s="119"/>
      <c r="C1256" s="119"/>
      <c r="D1256" s="119"/>
      <c r="E1256" s="3"/>
      <c r="F1256" s="3"/>
      <c r="G1256" s="3"/>
      <c r="H1256" s="3"/>
      <c r="I1256" s="3"/>
      <c r="J1256" s="3"/>
    </row>
    <row r="1257" spans="1:14" ht="14.25" customHeight="1">
      <c r="A1257" s="151" t="s">
        <v>1</v>
      </c>
      <c r="B1257" s="151" t="s">
        <v>121</v>
      </c>
      <c r="C1257" s="151" t="s">
        <v>3</v>
      </c>
      <c r="D1257" s="152">
        <v>1478</v>
      </c>
      <c r="E1257" s="151" t="s">
        <v>4</v>
      </c>
      <c r="F1257" s="147" t="s">
        <v>122</v>
      </c>
      <c r="G1257" s="119"/>
      <c r="H1257" s="119"/>
      <c r="I1257" s="4" t="s">
        <v>6</v>
      </c>
      <c r="J1257" s="4" t="s">
        <v>7</v>
      </c>
    </row>
    <row r="1258" spans="1:14" ht="14.25" customHeight="1">
      <c r="A1258" s="119"/>
      <c r="B1258" s="119"/>
      <c r="C1258" s="119"/>
      <c r="D1258" s="119"/>
      <c r="E1258" s="119"/>
      <c r="F1258" s="119"/>
      <c r="G1258" s="119"/>
      <c r="H1258" s="119"/>
      <c r="I1258" s="148"/>
      <c r="J1258" s="148"/>
    </row>
    <row r="1259" spans="1:14" ht="17.45" customHeight="1">
      <c r="A1259" s="139" t="s">
        <v>8</v>
      </c>
      <c r="B1259" s="139" t="s">
        <v>137</v>
      </c>
      <c r="E1259" s="139" t="s">
        <v>10</v>
      </c>
      <c r="F1259" s="140" t="s">
        <v>124</v>
      </c>
      <c r="G1259" s="119"/>
      <c r="H1259" s="119"/>
      <c r="I1259" s="149"/>
      <c r="J1259" s="149"/>
    </row>
    <row r="1260" spans="1:14" ht="17.45" customHeight="1">
      <c r="A1260" s="119"/>
      <c r="B1260" s="119"/>
      <c r="E1260" s="119"/>
      <c r="F1260" s="119"/>
      <c r="G1260" s="119"/>
      <c r="H1260" s="119"/>
      <c r="I1260" s="7"/>
      <c r="J1260" s="7"/>
    </row>
    <row r="1261" spans="1:14" ht="17.45" customHeight="1">
      <c r="A1261" s="139" t="s">
        <v>12</v>
      </c>
      <c r="B1261" s="139" t="s">
        <v>138</v>
      </c>
      <c r="E1261" s="8" t="s">
        <v>14</v>
      </c>
      <c r="F1261" s="140" t="s">
        <v>15</v>
      </c>
      <c r="G1261" s="119"/>
      <c r="H1261" s="6"/>
      <c r="I1261" s="7"/>
      <c r="J1261" s="7"/>
    </row>
    <row r="1262" spans="1:14" ht="17.45" customHeight="1">
      <c r="A1262" s="119"/>
      <c r="B1262" s="119"/>
      <c r="E1262" s="8" t="s">
        <v>16</v>
      </c>
      <c r="F1262" s="6" t="s">
        <v>17</v>
      </c>
      <c r="G1262" s="6"/>
      <c r="H1262" s="6"/>
      <c r="I1262" s="9"/>
      <c r="J1262" s="9"/>
    </row>
    <row r="1263" spans="1:14" ht="17.45" customHeight="1">
      <c r="A1263" s="8" t="s">
        <v>18</v>
      </c>
      <c r="B1263" s="10">
        <v>46139</v>
      </c>
      <c r="E1263" s="8" t="s">
        <v>19</v>
      </c>
      <c r="F1263" s="141">
        <v>100</v>
      </c>
      <c r="G1263" s="119"/>
      <c r="H1263" s="6"/>
    </row>
    <row r="1264" spans="1:14" ht="17.45" customHeight="1">
      <c r="A1264" s="8" t="s">
        <v>20</v>
      </c>
      <c r="B1264" s="10">
        <v>46139</v>
      </c>
      <c r="E1264" s="8" t="s">
        <v>21</v>
      </c>
      <c r="F1264" s="6">
        <v>7</v>
      </c>
      <c r="G1264" s="142" t="s">
        <v>22</v>
      </c>
      <c r="H1264" s="144">
        <v>700</v>
      </c>
      <c r="I1264" s="145"/>
      <c r="J1264" s="146"/>
    </row>
    <row r="1265" spans="1:10" ht="17.45" customHeight="1">
      <c r="A1265" s="11"/>
      <c r="B1265" s="12"/>
      <c r="C1265" s="12"/>
      <c r="D1265" s="12"/>
      <c r="E1265" s="8" t="s">
        <v>23</v>
      </c>
      <c r="F1265" s="6" t="s">
        <v>24</v>
      </c>
      <c r="G1265" s="143"/>
      <c r="H1265" s="143"/>
      <c r="I1265" s="125"/>
      <c r="J1265" s="133"/>
    </row>
    <row r="1266" spans="1:10" ht="13.5" customHeight="1">
      <c r="A1266" s="127" t="s">
        <v>126</v>
      </c>
      <c r="B1266" s="119"/>
      <c r="C1266" s="119"/>
      <c r="D1266" s="12"/>
      <c r="F1266" s="5"/>
      <c r="G1266" s="128" t="s">
        <v>26</v>
      </c>
      <c r="H1266" s="130" t="s">
        <v>27</v>
      </c>
      <c r="I1266" s="131" t="s">
        <v>28</v>
      </c>
      <c r="J1266" s="132"/>
    </row>
    <row r="1267" spans="1:10" ht="13.5" customHeight="1">
      <c r="A1267" s="119"/>
      <c r="B1267" s="119"/>
      <c r="C1267" s="119"/>
      <c r="D1267" s="12"/>
      <c r="F1267" s="5"/>
      <c r="G1267" s="129"/>
      <c r="H1267" s="129"/>
      <c r="I1267" s="125"/>
      <c r="J1267" s="133"/>
    </row>
    <row r="1268" spans="1:10" ht="13.5" customHeight="1">
      <c r="A1268" s="2" t="s">
        <v>29</v>
      </c>
    </row>
    <row r="1269" spans="1:10" ht="63" customHeight="1" thickBot="1">
      <c r="A1269" s="134"/>
      <c r="B1269" s="135"/>
      <c r="C1269" s="135"/>
      <c r="D1269" s="135"/>
      <c r="E1269" s="135"/>
      <c r="F1269" s="135"/>
      <c r="G1269" s="135"/>
      <c r="H1269" s="135"/>
      <c r="I1269" s="135"/>
      <c r="J1269" s="135"/>
    </row>
    <row r="1270" spans="1:10" ht="18.75">
      <c r="A1270" s="13" t="s">
        <v>30</v>
      </c>
      <c r="B1270" s="14" t="s">
        <v>31</v>
      </c>
      <c r="C1270" s="136" t="s">
        <v>32</v>
      </c>
      <c r="D1270" s="137"/>
      <c r="E1270" s="14" t="s">
        <v>33</v>
      </c>
      <c r="F1270" s="136" t="s">
        <v>34</v>
      </c>
      <c r="G1270" s="137"/>
      <c r="H1270" s="137"/>
      <c r="I1270" s="138" t="s">
        <v>35</v>
      </c>
      <c r="J1270" s="137"/>
    </row>
    <row r="1271" spans="1:10" ht="14.25" customHeight="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</row>
    <row r="1272" spans="1:10" ht="16.5" customHeight="1">
      <c r="A1272" s="17">
        <v>1</v>
      </c>
      <c r="B1272" s="18" t="s">
        <v>36</v>
      </c>
      <c r="C1272" s="118" t="s">
        <v>37</v>
      </c>
      <c r="D1272" s="119"/>
      <c r="E1272" s="18" t="s">
        <v>38</v>
      </c>
      <c r="F1272" s="118" t="s">
        <v>39</v>
      </c>
      <c r="G1272" s="119"/>
      <c r="H1272" s="119"/>
      <c r="I1272" s="126"/>
      <c r="J1272" s="119"/>
    </row>
    <row r="1273" spans="1:10" ht="16.5" customHeight="1">
      <c r="A1273" s="17">
        <v>1</v>
      </c>
      <c r="B1273" s="20" t="s">
        <v>36</v>
      </c>
      <c r="C1273" s="118" t="s">
        <v>37</v>
      </c>
      <c r="D1273" s="119"/>
      <c r="E1273" s="18" t="s">
        <v>40</v>
      </c>
      <c r="F1273" s="118" t="s">
        <v>41</v>
      </c>
      <c r="G1273" s="119"/>
      <c r="H1273" s="119"/>
      <c r="I1273" s="126"/>
      <c r="J1273" s="119"/>
    </row>
    <row r="1274" spans="1:10" ht="16.5" customHeight="1">
      <c r="A1274" s="17"/>
      <c r="B1274" s="20"/>
      <c r="C1274" s="118"/>
      <c r="D1274" s="119"/>
      <c r="E1274" s="18"/>
      <c r="F1274" s="118"/>
      <c r="G1274" s="119"/>
      <c r="H1274" s="119"/>
      <c r="I1274" s="126"/>
      <c r="J1274" s="119"/>
    </row>
    <row r="1275" spans="1:10" ht="16.5" customHeight="1">
      <c r="A1275" s="17"/>
      <c r="B1275" s="20"/>
      <c r="C1275" s="118"/>
      <c r="D1275" s="119"/>
      <c r="E1275" s="18"/>
      <c r="F1275" s="118"/>
      <c r="G1275" s="119"/>
      <c r="H1275" s="119"/>
      <c r="I1275" s="126"/>
      <c r="J1275" s="119"/>
    </row>
    <row r="1276" spans="1:10" ht="16.5" customHeight="1">
      <c r="A1276" s="17"/>
      <c r="B1276" s="20"/>
      <c r="C1276" s="118"/>
      <c r="D1276" s="119"/>
      <c r="E1276" s="18"/>
      <c r="F1276" s="118"/>
      <c r="G1276" s="119"/>
      <c r="H1276" s="119"/>
      <c r="I1276" s="126"/>
      <c r="J1276" s="119"/>
    </row>
    <row r="1277" spans="1:10" ht="16.5" customHeight="1">
      <c r="A1277" s="17"/>
      <c r="B1277" s="20"/>
      <c r="C1277" s="118"/>
      <c r="D1277" s="119"/>
      <c r="E1277" s="18"/>
      <c r="F1277" s="118"/>
      <c r="G1277" s="119"/>
      <c r="H1277" s="119"/>
      <c r="I1277" s="126"/>
      <c r="J1277" s="119"/>
    </row>
    <row r="1278" spans="1:10" ht="16.5" customHeight="1" thickBot="1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</row>
    <row r="1279" spans="1:10" ht="18.75">
      <c r="A1279" s="122" t="s">
        <v>42</v>
      </c>
      <c r="B1279" s="123"/>
      <c r="C1279" s="122" t="s">
        <v>43</v>
      </c>
      <c r="D1279" s="123"/>
      <c r="E1279" s="123"/>
      <c r="F1279" s="22" t="s">
        <v>44</v>
      </c>
      <c r="G1279" s="122" t="s">
        <v>45</v>
      </c>
      <c r="H1279" s="123"/>
      <c r="I1279" s="122" t="s">
        <v>46</v>
      </c>
      <c r="J1279" s="123"/>
    </row>
    <row r="1280" spans="1:10" ht="14.25" customHeight="1">
      <c r="A1280" s="23"/>
      <c r="B1280" s="24"/>
      <c r="C1280" s="124" t="s">
        <v>47</v>
      </c>
      <c r="D1280" s="125"/>
      <c r="E1280" s="24"/>
      <c r="F1280" s="124" t="s">
        <v>29</v>
      </c>
      <c r="G1280" s="125"/>
      <c r="H1280" s="125"/>
      <c r="I1280" s="125"/>
      <c r="J1280" s="125"/>
    </row>
    <row r="1281" spans="1:11">
      <c r="A1281" s="25"/>
      <c r="C1281" s="19"/>
      <c r="D1281" s="19"/>
      <c r="E1281" s="19"/>
    </row>
    <row r="1282" spans="1:11" ht="14.25" customHeight="1">
      <c r="A1282" s="118" t="s">
        <v>48</v>
      </c>
      <c r="B1282" s="119"/>
      <c r="C1282" s="118" t="s">
        <v>49</v>
      </c>
      <c r="D1282" s="119"/>
      <c r="E1282" s="119"/>
      <c r="F1282" s="18" t="s">
        <v>27</v>
      </c>
      <c r="G1282" s="120">
        <v>700</v>
      </c>
      <c r="H1282" s="119"/>
      <c r="I1282" s="120">
        <v>7</v>
      </c>
      <c r="J1282" s="119"/>
    </row>
    <row r="1283" spans="1:11" ht="24.95" customHeight="1">
      <c r="A1283" s="121" t="s">
        <v>50</v>
      </c>
      <c r="B1283" s="119"/>
      <c r="C1283" s="118"/>
      <c r="D1283" s="119"/>
      <c r="E1283" s="119"/>
      <c r="F1283" s="118"/>
      <c r="G1283" s="119"/>
      <c r="H1283" s="119"/>
      <c r="I1283" s="119"/>
      <c r="J1283" s="119"/>
    </row>
    <row r="1284" spans="1:11" ht="14.25" customHeight="1">
      <c r="A1284" s="118" t="s">
        <v>127</v>
      </c>
      <c r="B1284" s="119"/>
      <c r="C1284" s="118" t="s">
        <v>128</v>
      </c>
      <c r="D1284" s="119"/>
      <c r="E1284" s="119"/>
      <c r="F1284" s="18" t="s">
        <v>53</v>
      </c>
      <c r="G1284" s="120">
        <v>7</v>
      </c>
      <c r="H1284" s="119"/>
      <c r="I1284" s="120">
        <v>7.0000000000000007E-2</v>
      </c>
      <c r="J1284" s="119"/>
    </row>
    <row r="1285" spans="1:11" ht="24.95" customHeight="1">
      <c r="A1285" s="121" t="s">
        <v>129</v>
      </c>
      <c r="B1285" s="119"/>
      <c r="C1285" s="118" t="s">
        <v>130</v>
      </c>
      <c r="D1285" s="119"/>
      <c r="E1285" s="119"/>
      <c r="F1285" s="118"/>
      <c r="G1285" s="119"/>
      <c r="H1285" s="119"/>
      <c r="I1285" s="119"/>
      <c r="J1285" s="119"/>
    </row>
    <row r="1286" spans="1:11" ht="14.25" customHeight="1">
      <c r="A1286" s="118" t="s">
        <v>56</v>
      </c>
      <c r="B1286" s="119"/>
      <c r="C1286" s="118" t="s">
        <v>57</v>
      </c>
      <c r="D1286" s="119"/>
      <c r="E1286" s="119"/>
      <c r="F1286" s="18"/>
      <c r="G1286" s="120">
        <v>1.4</v>
      </c>
      <c r="H1286" s="119"/>
      <c r="I1286" s="120">
        <v>1.4E-2</v>
      </c>
      <c r="J1286" s="119"/>
    </row>
    <row r="1287" spans="1:11" ht="24.95" customHeight="1">
      <c r="A1287" s="121" t="s">
        <v>58</v>
      </c>
      <c r="B1287" s="119"/>
      <c r="C1287" s="118" t="s">
        <v>59</v>
      </c>
      <c r="D1287" s="119"/>
      <c r="E1287" s="119"/>
      <c r="F1287" s="118"/>
      <c r="G1287" s="119"/>
      <c r="H1287" s="119"/>
      <c r="I1287" s="119"/>
      <c r="J1287" s="119"/>
    </row>
    <row r="1288" spans="1:11" ht="14.25" customHeight="1">
      <c r="A1288" s="118" t="s">
        <v>60</v>
      </c>
      <c r="B1288" s="119"/>
      <c r="C1288" s="118" t="s">
        <v>61</v>
      </c>
      <c r="D1288" s="119"/>
      <c r="E1288" s="119"/>
      <c r="F1288" s="18"/>
      <c r="G1288" s="120">
        <v>0.7</v>
      </c>
      <c r="H1288" s="119"/>
      <c r="I1288" s="120">
        <v>7.0000000000000001E-3</v>
      </c>
      <c r="J1288" s="119"/>
    </row>
    <row r="1289" spans="1:11" ht="24.95" customHeight="1">
      <c r="A1289" s="121" t="s">
        <v>62</v>
      </c>
      <c r="B1289" s="119"/>
      <c r="C1289" s="118" t="s">
        <v>63</v>
      </c>
      <c r="D1289" s="119"/>
      <c r="E1289" s="119"/>
      <c r="F1289" s="118"/>
      <c r="G1289" s="119"/>
      <c r="H1289" s="119"/>
      <c r="I1289" s="119"/>
      <c r="J1289" s="119"/>
    </row>
    <row r="1290" spans="1:11" ht="14.25" customHeight="1">
      <c r="A1290" s="118"/>
      <c r="B1290" s="119"/>
      <c r="C1290" s="118"/>
      <c r="D1290" s="119"/>
      <c r="E1290" s="119"/>
      <c r="F1290" s="18"/>
      <c r="G1290" s="120"/>
      <c r="H1290" s="119"/>
      <c r="I1290" s="120"/>
      <c r="J1290" s="119"/>
    </row>
    <row r="1291" spans="1:11" ht="24.95" customHeight="1" thickBot="1">
      <c r="A1291" s="121"/>
      <c r="B1291" s="119"/>
      <c r="C1291" s="118"/>
      <c r="D1291" s="119"/>
      <c r="E1291" s="119"/>
      <c r="F1291" s="118"/>
      <c r="G1291" s="119"/>
      <c r="H1291" s="119"/>
      <c r="I1291" s="119"/>
      <c r="J1291" s="119"/>
    </row>
    <row r="1292" spans="1:11" s="15" customFormat="1" ht="18" customHeight="1">
      <c r="A1292" s="27" t="s">
        <v>143</v>
      </c>
      <c r="B1292" s="28" t="s">
        <v>144</v>
      </c>
      <c r="C1292" s="108" t="s">
        <v>145</v>
      </c>
      <c r="D1292" s="109"/>
      <c r="E1292" s="29" t="s">
        <v>146</v>
      </c>
      <c r="F1292" s="30" t="s">
        <v>147</v>
      </c>
      <c r="G1292" s="31" t="s">
        <v>148</v>
      </c>
      <c r="H1292" s="32" t="s">
        <v>149</v>
      </c>
      <c r="I1292" s="106" t="s">
        <v>150</v>
      </c>
      <c r="J1292" s="107"/>
    </row>
    <row r="1293" spans="1:11" s="19" customFormat="1" ht="18" customHeight="1">
      <c r="A1293" s="33" t="str">
        <f>_xlfn.XLOOKUP(B1257,[3]VFDB2!$A:$A,[3]VFDB2!$J:$J)</f>
        <v>〇</v>
      </c>
      <c r="B1293" s="34">
        <f>D1257</f>
        <v>1478</v>
      </c>
      <c r="C1293" s="110" t="str">
        <f>_xlfn.XLOOKUP(B1257,[3]VFDB2!$A:$A,[3]VFDB2!$Z:$Z)</f>
        <v>LED-A1478</v>
      </c>
      <c r="D1293" s="111"/>
      <c r="E1293" s="112" t="str" cm="1">
        <f t="array" ref="E1293">IFERROR(INDEX(_xlfn._xlws.FILTER([4]加工記録２!C:C,[4]加工記録２!U:U=B1259),9),"")</f>
        <v/>
      </c>
      <c r="F1293" s="35" t="str" cm="1">
        <f t="array" ref="F1293">IFERROR("切断加工：" &amp;_xlfn.TEXTJOIN(" / ",TRUE,INDEX(_xlfn._xlws.FILTER([4]加工記録２!M:M,[4]加工記録２!U:U=B1259),9),INDEX(_xlfn._xlws.FILTER([4]加工記録２!N:N,[4]加工記録２!U:U=B1259),9)),"")</f>
        <v/>
      </c>
      <c r="G1293" s="36" t="str" cm="1">
        <f t="array" ref="G1293">IFERROR(IF(_xlfn.TAKE(_xlfn._xlws.FILTER([4]加工記録２!$M:$N,[4]加工記録２!$U:$U=B1259),5)=0,"",_xlfn.TAKE(_xlfn._xlws.FILTER([4]加工記録２!$M:$N,[4]加工記録２!$U:$U=B1259),5)),"")</f>
        <v/>
      </c>
      <c r="H1293" s="37"/>
      <c r="I1293" s="38" t="s">
        <v>151</v>
      </c>
      <c r="J1293" s="39" t="str" cm="1">
        <f t="array" ref="J1293:J1298">IFERROR(INDEX(_xlfn._xlws.FILTER([4]加工記録２!P:P, [4]加工記録２!U:U=B1259),_xlfn.SEQUENCE(6)),"")</f>
        <v/>
      </c>
    </row>
    <row r="1294" spans="1:11" s="15" customFormat="1" ht="18" customHeight="1">
      <c r="A1294" s="43" t="s">
        <v>152</v>
      </c>
      <c r="B1294" s="44" t="s">
        <v>153</v>
      </c>
      <c r="C1294" s="110"/>
      <c r="D1294" s="111"/>
      <c r="E1294" s="112"/>
      <c r="F1294" s="45" t="str" cm="1">
        <f t="array" ref="F1294">IFERROR("外観検査：" &amp;_xlfn.TEXTJOIN(" / ",TRUE,INDEX(_xlfn._xlws.FILTER([4]加工記録２!M:M,[4]加工記録２!U:U=B1259),10),INDEX(_xlfn._xlws.FILTER([4]加工記録２!N:N,[4]加工記録２!U:U=B1259),10)),"")</f>
        <v/>
      </c>
      <c r="G1294" s="36"/>
      <c r="H1294" s="37"/>
      <c r="I1294" s="38" t="s">
        <v>154</v>
      </c>
      <c r="J1294" s="40" t="str">
        <v/>
      </c>
      <c r="K1294" s="46"/>
    </row>
    <row r="1295" spans="1:11" s="19" customFormat="1" ht="18" customHeight="1">
      <c r="A1295" s="47" t="str">
        <f>_xlfn.XLOOKUP(B1257,[3]VFDB2!$A:$A,[3]VFDB2!$L:$L)</f>
        <v>+0.5</v>
      </c>
      <c r="B1295" s="48" t="str">
        <f>_xlfn.XLOOKUP(B1257,[3]VFDB2!$A:$A,[3]VFDB2!$AC:$AC)</f>
        <v>換算表確認</v>
      </c>
      <c r="C1295" s="113" t="s">
        <v>155</v>
      </c>
      <c r="D1295" s="114" t="str">
        <f>_xlfn.XLOOKUP(B1257,[3]VFDB2!$A:$A,[3]VFDB2!$W:$W)</f>
        <v>クラフト紙：1478型</v>
      </c>
      <c r="E1295" s="114"/>
      <c r="F1295" s="115"/>
      <c r="G1295" s="36"/>
      <c r="H1295" s="37"/>
      <c r="I1295" s="38" t="s">
        <v>156</v>
      </c>
      <c r="J1295" s="40" t="str">
        <v/>
      </c>
      <c r="K1295" s="49"/>
    </row>
    <row r="1296" spans="1:11" s="15" customFormat="1" ht="18" customHeight="1">
      <c r="A1296" s="50" t="s">
        <v>157</v>
      </c>
      <c r="B1296" s="51" t="s">
        <v>158</v>
      </c>
      <c r="C1296" s="113"/>
      <c r="D1296" s="114" t="str">
        <f>_xlfn.XLOOKUP(B1257,[3]VFDB2!$A:$A,[3]VFDB2!$R:$R)</f>
        <v>ラベル１枚　長手無　鉢巻１回</v>
      </c>
      <c r="E1296" s="114"/>
      <c r="F1296" s="115"/>
      <c r="G1296" s="36"/>
      <c r="H1296" s="37"/>
      <c r="I1296" s="38" t="s">
        <v>159</v>
      </c>
      <c r="J1296" s="40" t="str">
        <v/>
      </c>
      <c r="K1296" s="46"/>
    </row>
    <row r="1297" spans="1:14" s="19" customFormat="1" ht="18" customHeight="1" thickBot="1">
      <c r="A1297" s="52" t="str">
        <f>_xlfn.XLOOKUP(B1257,[3]VFDB2!$A:$A,[3]VFDB2!$K:$K)</f>
        <v>－0.5</v>
      </c>
      <c r="B1297" s="53">
        <f>_xlfn.XLOOKUP(B1257,[3]VFDB2!$A:$A,[3]VFDB2!$P:$P)</f>
        <v>1</v>
      </c>
      <c r="C1297" s="54" t="s">
        <v>160</v>
      </c>
      <c r="D1297" s="116" t="str">
        <f>_xlfn.XLOOKUP(B1257,[3]VFDB2!$A:$A,[3]VFDB2!$V:$V)</f>
        <v>1箱目の梱包数 目視確認　以降、重量測定</v>
      </c>
      <c r="E1297" s="116"/>
      <c r="F1297" s="117"/>
      <c r="G1297" s="55"/>
      <c r="H1297" s="56"/>
      <c r="I1297" s="38" t="s">
        <v>161</v>
      </c>
      <c r="J1297" s="41" t="str">
        <v/>
      </c>
      <c r="K1297" s="49"/>
    </row>
    <row r="1298" spans="1:14" s="15" customFormat="1" ht="18" customHeight="1" thickBot="1">
      <c r="A1298" s="57" t="s">
        <v>162</v>
      </c>
      <c r="B1298" s="58" t="str" cm="1">
        <f t="array" ref="B1298">IF(SUM(--(ISTEXT(B1299:B1309)*(B1299:B1309&lt;&gt;"")))=0,"計測Lot","計測Lot・加工数")</f>
        <v>計測Lot</v>
      </c>
      <c r="C1298" s="59" t="s">
        <v>163</v>
      </c>
      <c r="D1298" s="60" t="s">
        <v>164</v>
      </c>
      <c r="E1298" s="61" t="s">
        <v>165</v>
      </c>
      <c r="F1298" s="62" t="str" cm="1">
        <f t="array" ref="F1298">IF(SUM(--(ISTEXT(B1299:B1309)*(B1299:B1309&lt;&gt;"")))=0,"記入不要","使用Lot")</f>
        <v>記入不要</v>
      </c>
      <c r="G1298" s="63" t="s">
        <v>166</v>
      </c>
      <c r="H1298" s="64" t="s">
        <v>167</v>
      </c>
      <c r="I1298" s="65" t="s">
        <v>168</v>
      </c>
      <c r="J1298" s="42" t="str">
        <v/>
      </c>
      <c r="K1298" s="46"/>
    </row>
    <row r="1299" spans="1:14" s="19" customFormat="1" ht="18" customHeight="1">
      <c r="A1299" s="66" t="str" cm="1">
        <f t="array" ref="A1299:A1309">IFERROR(INDEX(_xlfn._xlws.FILTER([4]加工記録２!$D:$D,[4]加工記録２!$U:$U=B1259),_xlfn.SEQUENCE(11),0),"")</f>
        <v/>
      </c>
      <c r="B1299" s="70" t="str" cm="1">
        <f t="array" ref="B1299:B1309">IFERROR(IF(INDEX(_xlfn._xlws.FILTER([4]加工記録２!$E:$E,[4]加工記録２!$U:$U=B1259),_xlfn.SEQUENCE(11))="","",INDEX(_xlfn._xlws.FILTER([4]加工記録２!$E:$E,[4]加工記録２!$U:$U=B1259),_xlfn.SEQUENCE(11)) &amp; IF(INDEX(_xlfn._xlws.FILTER([4]加工記録２!$F:$F,[4]加工記録２!$U:$U=B1259),_xlfn.SEQUENCE(11))="","", " × " &amp; INDEX(_xlfn._xlws.FILTER([4]加工記録２!$F:$F,[4]加工記録２!$U:$U=B1259),_xlfn.SEQUENCE(11)))),"")</f>
        <v/>
      </c>
      <c r="C1299" s="73"/>
      <c r="D1299" s="74"/>
      <c r="E1299" s="75"/>
      <c r="F1299" s="76"/>
      <c r="G1299" s="77"/>
      <c r="H1299" s="78"/>
      <c r="I1299" s="104" t="s">
        <v>169</v>
      </c>
      <c r="J1299" s="105"/>
      <c r="K1299" s="79"/>
    </row>
    <row r="1300" spans="1:14" s="15" customFormat="1" ht="18" customHeight="1">
      <c r="A1300" s="67" t="str">
        <v/>
      </c>
      <c r="B1300" s="71" t="str">
        <v/>
      </c>
      <c r="C1300" s="80"/>
      <c r="D1300" s="81"/>
      <c r="E1300" s="82"/>
      <c r="F1300" s="83"/>
      <c r="G1300" s="80"/>
      <c r="H1300" s="84"/>
      <c r="I1300" s="85" t="s">
        <v>170</v>
      </c>
      <c r="J1300" s="84" t="str" cm="1">
        <f t="array" ref="J1300:J1309">IFERROR(INDEX(_xlfn._xlws.FILTER([4]加工記録２!R:R, [4]加工記録２!U:U=B1259),_xlfn.SEQUENCE(10)),"")</f>
        <v/>
      </c>
      <c r="K1300" s="79"/>
    </row>
    <row r="1301" spans="1:14" s="90" customFormat="1" ht="18.95" customHeight="1">
      <c r="A1301" s="68" t="str">
        <v/>
      </c>
      <c r="B1301" s="71" t="str">
        <v/>
      </c>
      <c r="C1301" s="80"/>
      <c r="D1301" s="81"/>
      <c r="E1301" s="82"/>
      <c r="F1301" s="83"/>
      <c r="G1301" s="80"/>
      <c r="H1301" s="84"/>
      <c r="I1301" s="85" t="s">
        <v>171</v>
      </c>
      <c r="J1301" s="84" t="str">
        <v/>
      </c>
      <c r="K1301" s="88"/>
      <c r="L1301" s="89"/>
      <c r="M1301" s="89"/>
      <c r="N1301" s="89"/>
    </row>
    <row r="1302" spans="1:14" s="93" customFormat="1" ht="18.95" customHeight="1">
      <c r="A1302" s="68" t="str">
        <v/>
      </c>
      <c r="B1302" s="71" t="str">
        <v/>
      </c>
      <c r="C1302" s="80"/>
      <c r="D1302" s="81"/>
      <c r="E1302" s="82"/>
      <c r="F1302" s="83"/>
      <c r="G1302" s="80"/>
      <c r="H1302" s="84"/>
      <c r="I1302" s="85" t="s">
        <v>172</v>
      </c>
      <c r="J1302" s="84" t="str">
        <v/>
      </c>
      <c r="K1302" s="91"/>
      <c r="L1302" s="92"/>
      <c r="M1302" s="92"/>
      <c r="N1302" s="92"/>
    </row>
    <row r="1303" spans="1:14" s="93" customFormat="1" ht="18.95" customHeight="1">
      <c r="A1303" s="68" t="str">
        <v/>
      </c>
      <c r="B1303" s="71" t="str">
        <v/>
      </c>
      <c r="C1303" s="80"/>
      <c r="D1303" s="81"/>
      <c r="E1303" s="82"/>
      <c r="F1303" s="83"/>
      <c r="G1303" s="80"/>
      <c r="H1303" s="84"/>
      <c r="I1303" s="85" t="s">
        <v>173</v>
      </c>
      <c r="J1303" s="84" t="str">
        <v/>
      </c>
      <c r="K1303" s="91"/>
      <c r="L1303" s="92"/>
      <c r="M1303" s="92"/>
      <c r="N1303" s="92"/>
    </row>
    <row r="1304" spans="1:14" s="93" customFormat="1" ht="18.95" customHeight="1">
      <c r="A1304" s="68" t="str">
        <v/>
      </c>
      <c r="B1304" s="71" t="str">
        <v/>
      </c>
      <c r="C1304" s="80"/>
      <c r="D1304" s="81"/>
      <c r="E1304" s="82"/>
      <c r="F1304" s="83"/>
      <c r="G1304" s="80"/>
      <c r="H1304" s="84"/>
      <c r="I1304" s="85" t="s">
        <v>174</v>
      </c>
      <c r="J1304" s="84" t="str">
        <v/>
      </c>
      <c r="K1304" s="91"/>
      <c r="L1304" s="92"/>
      <c r="M1304" s="92"/>
      <c r="N1304" s="92"/>
    </row>
    <row r="1305" spans="1:14" s="93" customFormat="1" ht="18.95" customHeight="1">
      <c r="A1305" s="68" t="str">
        <v/>
      </c>
      <c r="B1305" s="71" t="str">
        <v/>
      </c>
      <c r="C1305" s="80"/>
      <c r="D1305" s="81"/>
      <c r="E1305" s="82"/>
      <c r="F1305" s="83"/>
      <c r="G1305" s="80"/>
      <c r="H1305" s="84"/>
      <c r="I1305" s="85" t="s">
        <v>175</v>
      </c>
      <c r="J1305" s="84" t="str">
        <v/>
      </c>
      <c r="K1305" s="91"/>
      <c r="L1305" s="92"/>
      <c r="M1305" s="92"/>
      <c r="N1305" s="92"/>
    </row>
    <row r="1306" spans="1:14" s="93" customFormat="1" ht="18.95" customHeight="1">
      <c r="A1306" s="68" t="str">
        <v/>
      </c>
      <c r="B1306" s="71" t="str">
        <v/>
      </c>
      <c r="C1306" s="80"/>
      <c r="D1306" s="81"/>
      <c r="E1306" s="82"/>
      <c r="F1306" s="83"/>
      <c r="G1306" s="80"/>
      <c r="H1306" s="84"/>
      <c r="I1306" s="94" t="s">
        <v>176</v>
      </c>
      <c r="J1306" s="84" t="str">
        <v/>
      </c>
      <c r="K1306" s="91"/>
      <c r="L1306" s="92"/>
      <c r="M1306" s="92"/>
      <c r="N1306" s="92"/>
    </row>
    <row r="1307" spans="1:14" s="93" customFormat="1" ht="18.95" customHeight="1">
      <c r="A1307" s="68" t="str">
        <v/>
      </c>
      <c r="B1307" s="71" t="str">
        <v/>
      </c>
      <c r="C1307" s="80"/>
      <c r="D1307" s="81"/>
      <c r="E1307" s="82"/>
      <c r="F1307" s="83"/>
      <c r="G1307" s="80"/>
      <c r="H1307" s="84"/>
      <c r="I1307" s="94" t="s">
        <v>177</v>
      </c>
      <c r="J1307" s="84" t="str">
        <v/>
      </c>
      <c r="K1307" s="91"/>
      <c r="L1307" s="92"/>
      <c r="M1307" s="92"/>
      <c r="N1307" s="92"/>
    </row>
    <row r="1308" spans="1:14" s="93" customFormat="1" ht="18.95" customHeight="1">
      <c r="A1308" s="68" t="str">
        <v/>
      </c>
      <c r="B1308" s="71" t="str">
        <v/>
      </c>
      <c r="C1308" s="80"/>
      <c r="D1308" s="81"/>
      <c r="E1308" s="82"/>
      <c r="F1308" s="83"/>
      <c r="G1308" s="80"/>
      <c r="H1308" s="84"/>
      <c r="I1308" s="85" t="s">
        <v>178</v>
      </c>
      <c r="J1308" s="86" t="str">
        <v/>
      </c>
      <c r="K1308" s="91"/>
      <c r="L1308" s="92"/>
      <c r="M1308" s="92"/>
      <c r="N1308" s="92"/>
    </row>
    <row r="1309" spans="1:14" s="93" customFormat="1" ht="18.95" customHeight="1" thickBot="1">
      <c r="A1309" s="69" t="str">
        <v/>
      </c>
      <c r="B1309" s="72" t="str">
        <v/>
      </c>
      <c r="C1309" s="95"/>
      <c r="D1309" s="96"/>
      <c r="E1309" s="97"/>
      <c r="F1309" s="98"/>
      <c r="G1309" s="99"/>
      <c r="H1309" s="100"/>
      <c r="I1309" s="101" t="s">
        <v>179</v>
      </c>
      <c r="J1309" s="87" t="str">
        <v/>
      </c>
      <c r="K1309" s="91"/>
      <c r="L1309" s="92"/>
      <c r="M1309" s="92"/>
      <c r="N1309" s="92"/>
    </row>
    <row r="1310" spans="1:14" ht="6" customHeight="1" thickBot="1">
      <c r="A1310" s="102"/>
      <c r="B1310" s="103"/>
      <c r="C1310" s="103"/>
      <c r="D1310" s="102"/>
      <c r="E1310" s="103"/>
      <c r="F1310" s="103"/>
      <c r="G1310" s="103"/>
      <c r="H1310" s="103"/>
    </row>
    <row r="1311" spans="1:14" ht="6" customHeight="1" thickTop="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</row>
    <row r="1312" spans="1:14" ht="14.25" customHeight="1" thickBot="1">
      <c r="A1312" s="1"/>
      <c r="B1312" s="150" t="s">
        <v>0</v>
      </c>
      <c r="C1312" s="119"/>
      <c r="D1312" s="119"/>
      <c r="E1312" s="1"/>
      <c r="F1312" s="1"/>
      <c r="G1312" s="1"/>
      <c r="H1312" s="1"/>
      <c r="I1312" s="1"/>
      <c r="J1312" s="1"/>
    </row>
    <row r="1313" spans="1:10" ht="14.25" customHeight="1" thickTop="1">
      <c r="A1313" s="3"/>
      <c r="B1313" s="119"/>
      <c r="C1313" s="119"/>
      <c r="D1313" s="119"/>
      <c r="E1313" s="3"/>
      <c r="F1313" s="3"/>
      <c r="G1313" s="3"/>
      <c r="H1313" s="3"/>
      <c r="I1313" s="3"/>
      <c r="J1313" s="3"/>
    </row>
    <row r="1314" spans="1:10" ht="14.25" customHeight="1">
      <c r="A1314" s="151" t="s">
        <v>1</v>
      </c>
      <c r="B1314" s="151" t="s">
        <v>121</v>
      </c>
      <c r="C1314" s="151" t="s">
        <v>3</v>
      </c>
      <c r="D1314" s="152">
        <v>1478</v>
      </c>
      <c r="E1314" s="151" t="s">
        <v>4</v>
      </c>
      <c r="F1314" s="147" t="s">
        <v>122</v>
      </c>
      <c r="G1314" s="119"/>
      <c r="H1314" s="119"/>
      <c r="I1314" s="4" t="s">
        <v>6</v>
      </c>
      <c r="J1314" s="4" t="s">
        <v>7</v>
      </c>
    </row>
    <row r="1315" spans="1:10" ht="14.25" customHeight="1">
      <c r="A1315" s="119"/>
      <c r="B1315" s="119"/>
      <c r="C1315" s="119"/>
      <c r="D1315" s="119"/>
      <c r="E1315" s="119"/>
      <c r="F1315" s="119"/>
      <c r="G1315" s="119"/>
      <c r="H1315" s="119"/>
      <c r="I1315" s="148"/>
      <c r="J1315" s="148"/>
    </row>
    <row r="1316" spans="1:10" ht="17.45" customHeight="1">
      <c r="A1316" s="139" t="s">
        <v>8</v>
      </c>
      <c r="B1316" s="139" t="s">
        <v>139</v>
      </c>
      <c r="E1316" s="139" t="s">
        <v>10</v>
      </c>
      <c r="F1316" s="140" t="s">
        <v>124</v>
      </c>
      <c r="G1316" s="119"/>
      <c r="H1316" s="119"/>
      <c r="I1316" s="149"/>
      <c r="J1316" s="149"/>
    </row>
    <row r="1317" spans="1:10" ht="17.45" customHeight="1">
      <c r="A1317" s="119"/>
      <c r="B1317" s="119"/>
      <c r="E1317" s="119"/>
      <c r="F1317" s="119"/>
      <c r="G1317" s="119"/>
      <c r="H1317" s="119"/>
      <c r="I1317" s="7"/>
      <c r="J1317" s="7"/>
    </row>
    <row r="1318" spans="1:10" ht="17.45" customHeight="1">
      <c r="A1318" s="139" t="s">
        <v>12</v>
      </c>
      <c r="B1318" s="139" t="s">
        <v>140</v>
      </c>
      <c r="E1318" s="8" t="s">
        <v>14</v>
      </c>
      <c r="F1318" s="140" t="s">
        <v>15</v>
      </c>
      <c r="G1318" s="119"/>
      <c r="H1318" s="6"/>
      <c r="I1318" s="7"/>
      <c r="J1318" s="7"/>
    </row>
    <row r="1319" spans="1:10" ht="17.45" customHeight="1">
      <c r="A1319" s="119"/>
      <c r="B1319" s="119"/>
      <c r="E1319" s="8" t="s">
        <v>16</v>
      </c>
      <c r="F1319" s="6" t="s">
        <v>17</v>
      </c>
      <c r="G1319" s="6"/>
      <c r="H1319" s="6"/>
      <c r="I1319" s="9"/>
      <c r="J1319" s="9"/>
    </row>
    <row r="1320" spans="1:10" ht="17.45" customHeight="1">
      <c r="A1320" s="8" t="s">
        <v>18</v>
      </c>
      <c r="B1320" s="10">
        <v>46139</v>
      </c>
      <c r="E1320" s="8" t="s">
        <v>19</v>
      </c>
      <c r="F1320" s="141">
        <v>100</v>
      </c>
      <c r="G1320" s="119"/>
      <c r="H1320" s="6"/>
    </row>
    <row r="1321" spans="1:10" ht="17.45" customHeight="1">
      <c r="A1321" s="8" t="s">
        <v>20</v>
      </c>
      <c r="B1321" s="10">
        <v>46139</v>
      </c>
      <c r="E1321" s="8" t="s">
        <v>21</v>
      </c>
      <c r="F1321" s="6">
        <v>1</v>
      </c>
      <c r="G1321" s="142" t="s">
        <v>22</v>
      </c>
      <c r="H1321" s="144">
        <v>100</v>
      </c>
      <c r="I1321" s="145"/>
      <c r="J1321" s="146"/>
    </row>
    <row r="1322" spans="1:10" ht="17.45" customHeight="1">
      <c r="A1322" s="11"/>
      <c r="B1322" s="12"/>
      <c r="C1322" s="12"/>
      <c r="D1322" s="12"/>
      <c r="E1322" s="8" t="s">
        <v>23</v>
      </c>
      <c r="F1322" s="6" t="s">
        <v>24</v>
      </c>
      <c r="G1322" s="143"/>
      <c r="H1322" s="143"/>
      <c r="I1322" s="125"/>
      <c r="J1322" s="133"/>
    </row>
    <row r="1323" spans="1:10" ht="13.5" customHeight="1">
      <c r="A1323" s="127" t="s">
        <v>126</v>
      </c>
      <c r="B1323" s="119"/>
      <c r="C1323" s="119"/>
      <c r="D1323" s="12"/>
      <c r="F1323" s="5"/>
      <c r="G1323" s="128" t="s">
        <v>26</v>
      </c>
      <c r="H1323" s="130" t="s">
        <v>27</v>
      </c>
      <c r="I1323" s="131" t="s">
        <v>28</v>
      </c>
      <c r="J1323" s="132"/>
    </row>
    <row r="1324" spans="1:10" ht="13.5" customHeight="1">
      <c r="A1324" s="119"/>
      <c r="B1324" s="119"/>
      <c r="C1324" s="119"/>
      <c r="D1324" s="12"/>
      <c r="F1324" s="5"/>
      <c r="G1324" s="129"/>
      <c r="H1324" s="129"/>
      <c r="I1324" s="125"/>
      <c r="J1324" s="133"/>
    </row>
    <row r="1325" spans="1:10" ht="13.5" customHeight="1">
      <c r="A1325" s="2" t="s">
        <v>29</v>
      </c>
    </row>
    <row r="1326" spans="1:10" ht="63" customHeight="1" thickBot="1">
      <c r="A1326" s="134"/>
      <c r="B1326" s="135"/>
      <c r="C1326" s="135"/>
      <c r="D1326" s="135"/>
      <c r="E1326" s="135"/>
      <c r="F1326" s="135"/>
      <c r="G1326" s="135"/>
      <c r="H1326" s="135"/>
      <c r="I1326" s="135"/>
      <c r="J1326" s="135"/>
    </row>
    <row r="1327" spans="1:10" ht="18.75">
      <c r="A1327" s="13" t="s">
        <v>30</v>
      </c>
      <c r="B1327" s="14" t="s">
        <v>31</v>
      </c>
      <c r="C1327" s="136" t="s">
        <v>32</v>
      </c>
      <c r="D1327" s="137"/>
      <c r="E1327" s="14" t="s">
        <v>33</v>
      </c>
      <c r="F1327" s="136" t="s">
        <v>34</v>
      </c>
      <c r="G1327" s="137"/>
      <c r="H1327" s="137"/>
      <c r="I1327" s="138" t="s">
        <v>35</v>
      </c>
      <c r="J1327" s="137"/>
    </row>
    <row r="1328" spans="1:10" ht="14.25" customHeight="1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</row>
    <row r="1329" spans="1:10" ht="16.5" customHeight="1">
      <c r="A1329" s="17">
        <v>1</v>
      </c>
      <c r="B1329" s="18" t="s">
        <v>36</v>
      </c>
      <c r="C1329" s="118" t="s">
        <v>37</v>
      </c>
      <c r="D1329" s="119"/>
      <c r="E1329" s="18" t="s">
        <v>38</v>
      </c>
      <c r="F1329" s="118" t="s">
        <v>39</v>
      </c>
      <c r="G1329" s="119"/>
      <c r="H1329" s="119"/>
      <c r="I1329" s="126"/>
      <c r="J1329" s="119"/>
    </row>
    <row r="1330" spans="1:10" ht="16.5" customHeight="1">
      <c r="A1330" s="17">
        <v>1</v>
      </c>
      <c r="B1330" s="20" t="s">
        <v>36</v>
      </c>
      <c r="C1330" s="118" t="s">
        <v>37</v>
      </c>
      <c r="D1330" s="119"/>
      <c r="E1330" s="18" t="s">
        <v>40</v>
      </c>
      <c r="F1330" s="118" t="s">
        <v>41</v>
      </c>
      <c r="G1330" s="119"/>
      <c r="H1330" s="119"/>
      <c r="I1330" s="126"/>
      <c r="J1330" s="119"/>
    </row>
    <row r="1331" spans="1:10" ht="16.5" customHeight="1">
      <c r="A1331" s="17"/>
      <c r="B1331" s="20"/>
      <c r="C1331" s="118"/>
      <c r="D1331" s="119"/>
      <c r="E1331" s="18"/>
      <c r="F1331" s="118"/>
      <c r="G1331" s="119"/>
      <c r="H1331" s="119"/>
      <c r="I1331" s="126"/>
      <c r="J1331" s="119"/>
    </row>
    <row r="1332" spans="1:10" ht="16.5" customHeight="1">
      <c r="A1332" s="17"/>
      <c r="B1332" s="20"/>
      <c r="C1332" s="118"/>
      <c r="D1332" s="119"/>
      <c r="E1332" s="18"/>
      <c r="F1332" s="118"/>
      <c r="G1332" s="119"/>
      <c r="H1332" s="119"/>
      <c r="I1332" s="126"/>
      <c r="J1332" s="119"/>
    </row>
    <row r="1333" spans="1:10" ht="16.5" customHeight="1">
      <c r="A1333" s="17"/>
      <c r="B1333" s="20"/>
      <c r="C1333" s="118"/>
      <c r="D1333" s="119"/>
      <c r="E1333" s="18"/>
      <c r="F1333" s="118"/>
      <c r="G1333" s="119"/>
      <c r="H1333" s="119"/>
      <c r="I1333" s="126"/>
      <c r="J1333" s="119"/>
    </row>
    <row r="1334" spans="1:10" ht="16.5" customHeight="1">
      <c r="A1334" s="17"/>
      <c r="B1334" s="20"/>
      <c r="C1334" s="118"/>
      <c r="D1334" s="119"/>
      <c r="E1334" s="18"/>
      <c r="F1334" s="118"/>
      <c r="G1334" s="119"/>
      <c r="H1334" s="119"/>
      <c r="I1334" s="126"/>
      <c r="J1334" s="119"/>
    </row>
    <row r="1335" spans="1:10" ht="16.5" customHeight="1" thickBot="1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</row>
    <row r="1336" spans="1:10" ht="18.75">
      <c r="A1336" s="122" t="s">
        <v>42</v>
      </c>
      <c r="B1336" s="123"/>
      <c r="C1336" s="122" t="s">
        <v>43</v>
      </c>
      <c r="D1336" s="123"/>
      <c r="E1336" s="123"/>
      <c r="F1336" s="22" t="s">
        <v>44</v>
      </c>
      <c r="G1336" s="122" t="s">
        <v>45</v>
      </c>
      <c r="H1336" s="123"/>
      <c r="I1336" s="122" t="s">
        <v>46</v>
      </c>
      <c r="J1336" s="123"/>
    </row>
    <row r="1337" spans="1:10" ht="14.25" customHeight="1">
      <c r="A1337" s="23"/>
      <c r="B1337" s="24"/>
      <c r="C1337" s="124" t="s">
        <v>47</v>
      </c>
      <c r="D1337" s="125"/>
      <c r="E1337" s="24"/>
      <c r="F1337" s="124" t="s">
        <v>29</v>
      </c>
      <c r="G1337" s="125"/>
      <c r="H1337" s="125"/>
      <c r="I1337" s="125"/>
      <c r="J1337" s="125"/>
    </row>
    <row r="1338" spans="1:10">
      <c r="A1338" s="25"/>
      <c r="C1338" s="19"/>
      <c r="D1338" s="19"/>
      <c r="E1338" s="19"/>
    </row>
    <row r="1339" spans="1:10" ht="14.25" customHeight="1">
      <c r="A1339" s="118" t="s">
        <v>48</v>
      </c>
      <c r="B1339" s="119"/>
      <c r="C1339" s="118" t="s">
        <v>49</v>
      </c>
      <c r="D1339" s="119"/>
      <c r="E1339" s="119"/>
      <c r="F1339" s="18" t="s">
        <v>27</v>
      </c>
      <c r="G1339" s="120">
        <v>100</v>
      </c>
      <c r="H1339" s="119"/>
      <c r="I1339" s="120">
        <v>1</v>
      </c>
      <c r="J1339" s="119"/>
    </row>
    <row r="1340" spans="1:10" ht="24.95" customHeight="1">
      <c r="A1340" s="121" t="s">
        <v>50</v>
      </c>
      <c r="B1340" s="119"/>
      <c r="C1340" s="118"/>
      <c r="D1340" s="119"/>
      <c r="E1340" s="119"/>
      <c r="F1340" s="118"/>
      <c r="G1340" s="119"/>
      <c r="H1340" s="119"/>
      <c r="I1340" s="119"/>
      <c r="J1340" s="119"/>
    </row>
    <row r="1341" spans="1:10" ht="14.25" customHeight="1">
      <c r="A1341" s="118" t="s">
        <v>127</v>
      </c>
      <c r="B1341" s="119"/>
      <c r="C1341" s="118" t="s">
        <v>128</v>
      </c>
      <c r="D1341" s="119"/>
      <c r="E1341" s="119"/>
      <c r="F1341" s="18" t="s">
        <v>53</v>
      </c>
      <c r="G1341" s="120">
        <v>1</v>
      </c>
      <c r="H1341" s="119"/>
      <c r="I1341" s="120">
        <v>0.01</v>
      </c>
      <c r="J1341" s="119"/>
    </row>
    <row r="1342" spans="1:10" ht="24.95" customHeight="1">
      <c r="A1342" s="121" t="s">
        <v>129</v>
      </c>
      <c r="B1342" s="119"/>
      <c r="C1342" s="118" t="s">
        <v>130</v>
      </c>
      <c r="D1342" s="119"/>
      <c r="E1342" s="119"/>
      <c r="F1342" s="118"/>
      <c r="G1342" s="119"/>
      <c r="H1342" s="119"/>
      <c r="I1342" s="119"/>
      <c r="J1342" s="119"/>
    </row>
    <row r="1343" spans="1:10" ht="14.25" customHeight="1">
      <c r="A1343" s="118" t="s">
        <v>56</v>
      </c>
      <c r="B1343" s="119"/>
      <c r="C1343" s="118" t="s">
        <v>57</v>
      </c>
      <c r="D1343" s="119"/>
      <c r="E1343" s="119"/>
      <c r="F1343" s="18"/>
      <c r="G1343" s="120">
        <v>0.2</v>
      </c>
      <c r="H1343" s="119"/>
      <c r="I1343" s="120">
        <v>2E-3</v>
      </c>
      <c r="J1343" s="119"/>
    </row>
    <row r="1344" spans="1:10" ht="24.95" customHeight="1">
      <c r="A1344" s="121" t="s">
        <v>58</v>
      </c>
      <c r="B1344" s="119"/>
      <c r="C1344" s="118" t="s">
        <v>59</v>
      </c>
      <c r="D1344" s="119"/>
      <c r="E1344" s="119"/>
      <c r="F1344" s="118"/>
      <c r="G1344" s="119"/>
      <c r="H1344" s="119"/>
      <c r="I1344" s="119"/>
      <c r="J1344" s="119"/>
    </row>
    <row r="1345" spans="1:14" ht="14.25" customHeight="1">
      <c r="A1345" s="118" t="s">
        <v>60</v>
      </c>
      <c r="B1345" s="119"/>
      <c r="C1345" s="118" t="s">
        <v>61</v>
      </c>
      <c r="D1345" s="119"/>
      <c r="E1345" s="119"/>
      <c r="F1345" s="18"/>
      <c r="G1345" s="120">
        <v>0.1</v>
      </c>
      <c r="H1345" s="119"/>
      <c r="I1345" s="120">
        <v>1E-3</v>
      </c>
      <c r="J1345" s="119"/>
    </row>
    <row r="1346" spans="1:14" ht="24.95" customHeight="1">
      <c r="A1346" s="121" t="s">
        <v>62</v>
      </c>
      <c r="B1346" s="119"/>
      <c r="C1346" s="118" t="s">
        <v>63</v>
      </c>
      <c r="D1346" s="119"/>
      <c r="E1346" s="119"/>
      <c r="F1346" s="118"/>
      <c r="G1346" s="119"/>
      <c r="H1346" s="119"/>
      <c r="I1346" s="119"/>
      <c r="J1346" s="119"/>
    </row>
    <row r="1347" spans="1:14" ht="14.25" customHeight="1">
      <c r="A1347" s="118"/>
      <c r="B1347" s="119"/>
      <c r="C1347" s="118"/>
      <c r="D1347" s="119"/>
      <c r="E1347" s="119"/>
      <c r="F1347" s="18"/>
      <c r="G1347" s="120"/>
      <c r="H1347" s="119"/>
      <c r="I1347" s="120"/>
      <c r="J1347" s="119"/>
    </row>
    <row r="1348" spans="1:14" ht="24.95" customHeight="1" thickBot="1">
      <c r="A1348" s="121"/>
      <c r="B1348" s="119"/>
      <c r="C1348" s="118"/>
      <c r="D1348" s="119"/>
      <c r="E1348" s="119"/>
      <c r="F1348" s="118"/>
      <c r="G1348" s="119"/>
      <c r="H1348" s="119"/>
      <c r="I1348" s="119"/>
      <c r="J1348" s="119"/>
    </row>
    <row r="1349" spans="1:14" s="15" customFormat="1" ht="18" customHeight="1">
      <c r="A1349" s="27" t="s">
        <v>143</v>
      </c>
      <c r="B1349" s="28" t="s">
        <v>144</v>
      </c>
      <c r="C1349" s="108" t="s">
        <v>145</v>
      </c>
      <c r="D1349" s="109"/>
      <c r="E1349" s="29" t="s">
        <v>146</v>
      </c>
      <c r="F1349" s="30" t="s">
        <v>147</v>
      </c>
      <c r="G1349" s="31" t="s">
        <v>148</v>
      </c>
      <c r="H1349" s="32" t="s">
        <v>149</v>
      </c>
      <c r="I1349" s="106" t="s">
        <v>150</v>
      </c>
      <c r="J1349" s="107"/>
    </row>
    <row r="1350" spans="1:14" s="19" customFormat="1" ht="18" customHeight="1">
      <c r="A1350" s="33" t="str">
        <f>_xlfn.XLOOKUP(B1314,[3]VFDB2!$A:$A,[3]VFDB2!$J:$J)</f>
        <v>〇</v>
      </c>
      <c r="B1350" s="34">
        <f>D1314</f>
        <v>1478</v>
      </c>
      <c r="C1350" s="110" t="str">
        <f>_xlfn.XLOOKUP(B1314,[3]VFDB2!$A:$A,[3]VFDB2!$Z:$Z)</f>
        <v>LED-A1478</v>
      </c>
      <c r="D1350" s="111"/>
      <c r="E1350" s="112" t="str" cm="1">
        <f t="array" ref="E1350">IFERROR(INDEX(_xlfn._xlws.FILTER([4]加工記録２!C:C,[4]加工記録２!U:U=B1316),9),"")</f>
        <v/>
      </c>
      <c r="F1350" s="35" t="str" cm="1">
        <f t="array" ref="F1350">IFERROR("切断加工：" &amp;_xlfn.TEXTJOIN(" / ",TRUE,INDEX(_xlfn._xlws.FILTER([4]加工記録２!M:M,[4]加工記録２!U:U=B1316),9),INDEX(_xlfn._xlws.FILTER([4]加工記録２!N:N,[4]加工記録２!U:U=B1316),9)),"")</f>
        <v/>
      </c>
      <c r="G1350" s="36" t="str" cm="1">
        <f t="array" ref="G1350">IFERROR(IF(_xlfn.TAKE(_xlfn._xlws.FILTER([4]加工記録２!$M:$N,[4]加工記録２!$U:$U=B1316),5)=0,"",_xlfn.TAKE(_xlfn._xlws.FILTER([4]加工記録２!$M:$N,[4]加工記録２!$U:$U=B1316),5)),"")</f>
        <v/>
      </c>
      <c r="H1350" s="37"/>
      <c r="I1350" s="38" t="s">
        <v>151</v>
      </c>
      <c r="J1350" s="39" t="str" cm="1">
        <f t="array" ref="J1350:J1355">IFERROR(INDEX(_xlfn._xlws.FILTER([4]加工記録２!P:P, [4]加工記録２!U:U=B1316),_xlfn.SEQUENCE(6)),"")</f>
        <v/>
      </c>
    </row>
    <row r="1351" spans="1:14" s="15" customFormat="1" ht="18" customHeight="1">
      <c r="A1351" s="43" t="s">
        <v>152</v>
      </c>
      <c r="B1351" s="44" t="s">
        <v>153</v>
      </c>
      <c r="C1351" s="110"/>
      <c r="D1351" s="111"/>
      <c r="E1351" s="112"/>
      <c r="F1351" s="45" t="str" cm="1">
        <f t="array" ref="F1351">IFERROR("外観検査：" &amp;_xlfn.TEXTJOIN(" / ",TRUE,INDEX(_xlfn._xlws.FILTER([4]加工記録２!M:M,[4]加工記録２!U:U=B1316),10),INDEX(_xlfn._xlws.FILTER([4]加工記録２!N:N,[4]加工記録２!U:U=B1316),10)),"")</f>
        <v/>
      </c>
      <c r="G1351" s="36"/>
      <c r="H1351" s="37"/>
      <c r="I1351" s="38" t="s">
        <v>154</v>
      </c>
      <c r="J1351" s="40" t="str">
        <v/>
      </c>
      <c r="K1351" s="46"/>
    </row>
    <row r="1352" spans="1:14" s="19" customFormat="1" ht="18" customHeight="1">
      <c r="A1352" s="47" t="str">
        <f>_xlfn.XLOOKUP(B1314,[3]VFDB2!$A:$A,[3]VFDB2!$L:$L)</f>
        <v>+0.5</v>
      </c>
      <c r="B1352" s="48" t="str">
        <f>_xlfn.XLOOKUP(B1314,[3]VFDB2!$A:$A,[3]VFDB2!$AC:$AC)</f>
        <v>換算表確認</v>
      </c>
      <c r="C1352" s="113" t="s">
        <v>155</v>
      </c>
      <c r="D1352" s="114" t="str">
        <f>_xlfn.XLOOKUP(B1314,[3]VFDB2!$A:$A,[3]VFDB2!$W:$W)</f>
        <v>クラフト紙：1478型</v>
      </c>
      <c r="E1352" s="114"/>
      <c r="F1352" s="115"/>
      <c r="G1352" s="36"/>
      <c r="H1352" s="37"/>
      <c r="I1352" s="38" t="s">
        <v>156</v>
      </c>
      <c r="J1352" s="40" t="str">
        <v/>
      </c>
      <c r="K1352" s="49"/>
    </row>
    <row r="1353" spans="1:14" s="15" customFormat="1" ht="18" customHeight="1">
      <c r="A1353" s="50" t="s">
        <v>157</v>
      </c>
      <c r="B1353" s="51" t="s">
        <v>158</v>
      </c>
      <c r="C1353" s="113"/>
      <c r="D1353" s="114" t="str">
        <f>_xlfn.XLOOKUP(B1314,[3]VFDB2!$A:$A,[3]VFDB2!$R:$R)</f>
        <v>ラベル１枚　長手無　鉢巻１回</v>
      </c>
      <c r="E1353" s="114"/>
      <c r="F1353" s="115"/>
      <c r="G1353" s="36"/>
      <c r="H1353" s="37"/>
      <c r="I1353" s="38" t="s">
        <v>159</v>
      </c>
      <c r="J1353" s="40" t="str">
        <v/>
      </c>
      <c r="K1353" s="46"/>
    </row>
    <row r="1354" spans="1:14" s="19" customFormat="1" ht="18" customHeight="1" thickBot="1">
      <c r="A1354" s="52" t="str">
        <f>_xlfn.XLOOKUP(B1314,[3]VFDB2!$A:$A,[3]VFDB2!$K:$K)</f>
        <v>－0.5</v>
      </c>
      <c r="B1354" s="53">
        <f>_xlfn.XLOOKUP(B1314,[3]VFDB2!$A:$A,[3]VFDB2!$P:$P)</f>
        <v>1</v>
      </c>
      <c r="C1354" s="54" t="s">
        <v>160</v>
      </c>
      <c r="D1354" s="116" t="str">
        <f>_xlfn.XLOOKUP(B1314,[3]VFDB2!$A:$A,[3]VFDB2!$V:$V)</f>
        <v>1箱目の梱包数 目視確認　以降、重量測定</v>
      </c>
      <c r="E1354" s="116"/>
      <c r="F1354" s="117"/>
      <c r="G1354" s="55"/>
      <c r="H1354" s="56"/>
      <c r="I1354" s="38" t="s">
        <v>161</v>
      </c>
      <c r="J1354" s="41" t="str">
        <v/>
      </c>
      <c r="K1354" s="49"/>
    </row>
    <row r="1355" spans="1:14" s="15" customFormat="1" ht="18" customHeight="1" thickBot="1">
      <c r="A1355" s="57" t="s">
        <v>162</v>
      </c>
      <c r="B1355" s="58" t="str" cm="1">
        <f t="array" ref="B1355">IF(SUM(--(ISTEXT(B1356:B1366)*(B1356:B1366&lt;&gt;"")))=0,"計測Lot","計測Lot・加工数")</f>
        <v>計測Lot</v>
      </c>
      <c r="C1355" s="59" t="s">
        <v>163</v>
      </c>
      <c r="D1355" s="60" t="s">
        <v>164</v>
      </c>
      <c r="E1355" s="61" t="s">
        <v>165</v>
      </c>
      <c r="F1355" s="62" t="str" cm="1">
        <f t="array" ref="F1355">IF(SUM(--(ISTEXT(B1356:B1366)*(B1356:B1366&lt;&gt;"")))=0,"記入不要","使用Lot")</f>
        <v>記入不要</v>
      </c>
      <c r="G1355" s="63" t="s">
        <v>166</v>
      </c>
      <c r="H1355" s="64" t="s">
        <v>167</v>
      </c>
      <c r="I1355" s="65" t="s">
        <v>168</v>
      </c>
      <c r="J1355" s="42" t="str">
        <v/>
      </c>
      <c r="K1355" s="46"/>
    </row>
    <row r="1356" spans="1:14" s="19" customFormat="1" ht="18" customHeight="1">
      <c r="A1356" s="66" t="str" cm="1">
        <f t="array" ref="A1356:A1366">IFERROR(INDEX(_xlfn._xlws.FILTER([4]加工記録２!$D:$D,[4]加工記録２!$U:$U=B1316),_xlfn.SEQUENCE(11),0),"")</f>
        <v/>
      </c>
      <c r="B1356" s="70" t="str" cm="1">
        <f t="array" ref="B1356:B1366">IFERROR(IF(INDEX(_xlfn._xlws.FILTER([4]加工記録２!$E:$E,[4]加工記録２!$U:$U=B1316),_xlfn.SEQUENCE(11))="","",INDEX(_xlfn._xlws.FILTER([4]加工記録２!$E:$E,[4]加工記録２!$U:$U=B1316),_xlfn.SEQUENCE(11)) &amp; IF(INDEX(_xlfn._xlws.FILTER([4]加工記録２!$F:$F,[4]加工記録２!$U:$U=B1316),_xlfn.SEQUENCE(11))="","", " × " &amp; INDEX(_xlfn._xlws.FILTER([4]加工記録２!$F:$F,[4]加工記録２!$U:$U=B1316),_xlfn.SEQUENCE(11)))),"")</f>
        <v/>
      </c>
      <c r="C1356" s="73"/>
      <c r="D1356" s="74"/>
      <c r="E1356" s="75"/>
      <c r="F1356" s="76"/>
      <c r="G1356" s="77"/>
      <c r="H1356" s="78"/>
      <c r="I1356" s="104" t="s">
        <v>169</v>
      </c>
      <c r="J1356" s="105"/>
      <c r="K1356" s="79"/>
    </row>
    <row r="1357" spans="1:14" s="15" customFormat="1" ht="18" customHeight="1">
      <c r="A1357" s="67" t="str">
        <v/>
      </c>
      <c r="B1357" s="71" t="str">
        <v/>
      </c>
      <c r="C1357" s="80"/>
      <c r="D1357" s="81"/>
      <c r="E1357" s="82"/>
      <c r="F1357" s="83"/>
      <c r="G1357" s="80"/>
      <c r="H1357" s="84"/>
      <c r="I1357" s="85" t="s">
        <v>170</v>
      </c>
      <c r="J1357" s="84" t="str" cm="1">
        <f t="array" ref="J1357:J1366">IFERROR(INDEX(_xlfn._xlws.FILTER([4]加工記録２!R:R, [4]加工記録２!U:U=B1316),_xlfn.SEQUENCE(10)),"")</f>
        <v/>
      </c>
      <c r="K1357" s="79"/>
    </row>
    <row r="1358" spans="1:14" s="90" customFormat="1" ht="18.95" customHeight="1">
      <c r="A1358" s="68" t="str">
        <v/>
      </c>
      <c r="B1358" s="71" t="str">
        <v/>
      </c>
      <c r="C1358" s="80"/>
      <c r="D1358" s="81"/>
      <c r="E1358" s="82"/>
      <c r="F1358" s="83"/>
      <c r="G1358" s="80"/>
      <c r="H1358" s="84"/>
      <c r="I1358" s="85" t="s">
        <v>171</v>
      </c>
      <c r="J1358" s="84" t="str">
        <v/>
      </c>
      <c r="K1358" s="88"/>
      <c r="L1358" s="89"/>
      <c r="M1358" s="89"/>
      <c r="N1358" s="89"/>
    </row>
    <row r="1359" spans="1:14" s="93" customFormat="1" ht="18.95" customHeight="1">
      <c r="A1359" s="68" t="str">
        <v/>
      </c>
      <c r="B1359" s="71" t="str">
        <v/>
      </c>
      <c r="C1359" s="80"/>
      <c r="D1359" s="81"/>
      <c r="E1359" s="82"/>
      <c r="F1359" s="83"/>
      <c r="G1359" s="80"/>
      <c r="H1359" s="84"/>
      <c r="I1359" s="85" t="s">
        <v>172</v>
      </c>
      <c r="J1359" s="84" t="str">
        <v/>
      </c>
      <c r="K1359" s="91"/>
      <c r="L1359" s="92"/>
      <c r="M1359" s="92"/>
      <c r="N1359" s="92"/>
    </row>
    <row r="1360" spans="1:14" s="93" customFormat="1" ht="18.95" customHeight="1">
      <c r="A1360" s="68" t="str">
        <v/>
      </c>
      <c r="B1360" s="71" t="str">
        <v/>
      </c>
      <c r="C1360" s="80"/>
      <c r="D1360" s="81"/>
      <c r="E1360" s="82"/>
      <c r="F1360" s="83"/>
      <c r="G1360" s="80"/>
      <c r="H1360" s="84"/>
      <c r="I1360" s="85" t="s">
        <v>173</v>
      </c>
      <c r="J1360" s="84" t="str">
        <v/>
      </c>
      <c r="K1360" s="91"/>
      <c r="L1360" s="92"/>
      <c r="M1360" s="92"/>
      <c r="N1360" s="92"/>
    </row>
    <row r="1361" spans="1:14" s="93" customFormat="1" ht="18.95" customHeight="1">
      <c r="A1361" s="68" t="str">
        <v/>
      </c>
      <c r="B1361" s="71" t="str">
        <v/>
      </c>
      <c r="C1361" s="80"/>
      <c r="D1361" s="81"/>
      <c r="E1361" s="82"/>
      <c r="F1361" s="83"/>
      <c r="G1361" s="80"/>
      <c r="H1361" s="84"/>
      <c r="I1361" s="85" t="s">
        <v>174</v>
      </c>
      <c r="J1361" s="84" t="str">
        <v/>
      </c>
      <c r="K1361" s="91"/>
      <c r="L1361" s="92"/>
      <c r="M1361" s="92"/>
      <c r="N1361" s="92"/>
    </row>
    <row r="1362" spans="1:14" s="93" customFormat="1" ht="18.95" customHeight="1">
      <c r="A1362" s="68" t="str">
        <v/>
      </c>
      <c r="B1362" s="71" t="str">
        <v/>
      </c>
      <c r="C1362" s="80"/>
      <c r="D1362" s="81"/>
      <c r="E1362" s="82"/>
      <c r="F1362" s="83"/>
      <c r="G1362" s="80"/>
      <c r="H1362" s="84"/>
      <c r="I1362" s="85" t="s">
        <v>175</v>
      </c>
      <c r="J1362" s="84" t="str">
        <v/>
      </c>
      <c r="K1362" s="91"/>
      <c r="L1362" s="92"/>
      <c r="M1362" s="92"/>
      <c r="N1362" s="92"/>
    </row>
    <row r="1363" spans="1:14" s="93" customFormat="1" ht="18.95" customHeight="1">
      <c r="A1363" s="68" t="str">
        <v/>
      </c>
      <c r="B1363" s="71" t="str">
        <v/>
      </c>
      <c r="C1363" s="80"/>
      <c r="D1363" s="81"/>
      <c r="E1363" s="82"/>
      <c r="F1363" s="83"/>
      <c r="G1363" s="80"/>
      <c r="H1363" s="84"/>
      <c r="I1363" s="94" t="s">
        <v>176</v>
      </c>
      <c r="J1363" s="84" t="str">
        <v/>
      </c>
      <c r="K1363" s="91"/>
      <c r="L1363" s="92"/>
      <c r="M1363" s="92"/>
      <c r="N1363" s="92"/>
    </row>
    <row r="1364" spans="1:14" s="93" customFormat="1" ht="18.95" customHeight="1">
      <c r="A1364" s="68" t="str">
        <v/>
      </c>
      <c r="B1364" s="71" t="str">
        <v/>
      </c>
      <c r="C1364" s="80"/>
      <c r="D1364" s="81"/>
      <c r="E1364" s="82"/>
      <c r="F1364" s="83"/>
      <c r="G1364" s="80"/>
      <c r="H1364" s="84"/>
      <c r="I1364" s="94" t="s">
        <v>177</v>
      </c>
      <c r="J1364" s="84" t="str">
        <v/>
      </c>
      <c r="K1364" s="91"/>
      <c r="L1364" s="92"/>
      <c r="M1364" s="92"/>
      <c r="N1364" s="92"/>
    </row>
    <row r="1365" spans="1:14" s="93" customFormat="1" ht="18.95" customHeight="1">
      <c r="A1365" s="68" t="str">
        <v/>
      </c>
      <c r="B1365" s="71" t="str">
        <v/>
      </c>
      <c r="C1365" s="80"/>
      <c r="D1365" s="81"/>
      <c r="E1365" s="82"/>
      <c r="F1365" s="83"/>
      <c r="G1365" s="80"/>
      <c r="H1365" s="84"/>
      <c r="I1365" s="85" t="s">
        <v>178</v>
      </c>
      <c r="J1365" s="86" t="str">
        <v/>
      </c>
      <c r="K1365" s="91"/>
      <c r="L1365" s="92"/>
      <c r="M1365" s="92"/>
      <c r="N1365" s="92"/>
    </row>
    <row r="1366" spans="1:14" s="93" customFormat="1" ht="18.95" customHeight="1" thickBot="1">
      <c r="A1366" s="69" t="str">
        <v/>
      </c>
      <c r="B1366" s="72" t="str">
        <v/>
      </c>
      <c r="C1366" s="95"/>
      <c r="D1366" s="96"/>
      <c r="E1366" s="97"/>
      <c r="F1366" s="98"/>
      <c r="G1366" s="99"/>
      <c r="H1366" s="100"/>
      <c r="I1366" s="101" t="s">
        <v>179</v>
      </c>
      <c r="J1366" s="87" t="str">
        <v/>
      </c>
      <c r="K1366" s="91"/>
      <c r="L1366" s="92"/>
      <c r="M1366" s="92"/>
      <c r="N1366" s="92"/>
    </row>
    <row r="1367" spans="1:14" ht="6" customHeight="1" thickBot="1">
      <c r="A1367" s="102"/>
      <c r="B1367" s="103"/>
      <c r="C1367" s="103"/>
      <c r="D1367" s="102"/>
      <c r="E1367" s="103"/>
      <c r="F1367" s="103"/>
      <c r="G1367" s="103"/>
      <c r="H1367" s="103"/>
    </row>
    <row r="1368" spans="1:14" ht="6" customHeight="1" thickTop="1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</row>
    <row r="1369" spans="1:14" ht="14.25" customHeight="1" thickBot="1">
      <c r="A1369" s="1"/>
      <c r="B1369" s="150" t="s">
        <v>0</v>
      </c>
      <c r="C1369" s="119"/>
      <c r="D1369" s="119"/>
      <c r="E1369" s="1"/>
      <c r="F1369" s="1"/>
      <c r="G1369" s="1"/>
      <c r="H1369" s="1"/>
      <c r="I1369" s="1"/>
      <c r="J1369" s="1"/>
    </row>
    <row r="1370" spans="1:14" ht="14.25" customHeight="1" thickTop="1">
      <c r="A1370" s="3"/>
      <c r="B1370" s="119"/>
      <c r="C1370" s="119"/>
      <c r="D1370" s="119"/>
      <c r="E1370" s="3"/>
      <c r="F1370" s="3"/>
      <c r="G1370" s="3"/>
      <c r="H1370" s="3"/>
      <c r="I1370" s="3"/>
      <c r="J1370" s="3"/>
    </row>
    <row r="1371" spans="1:14" ht="14.25" customHeight="1">
      <c r="A1371" s="151" t="s">
        <v>1</v>
      </c>
      <c r="B1371" s="151" t="s">
        <v>121</v>
      </c>
      <c r="C1371" s="151" t="s">
        <v>3</v>
      </c>
      <c r="D1371" s="152">
        <v>1478</v>
      </c>
      <c r="E1371" s="151" t="s">
        <v>4</v>
      </c>
      <c r="F1371" s="147" t="s">
        <v>122</v>
      </c>
      <c r="G1371" s="119"/>
      <c r="H1371" s="119"/>
      <c r="I1371" s="4" t="s">
        <v>6</v>
      </c>
      <c r="J1371" s="4" t="s">
        <v>7</v>
      </c>
    </row>
    <row r="1372" spans="1:14" ht="14.25" customHeight="1">
      <c r="A1372" s="119"/>
      <c r="B1372" s="119"/>
      <c r="C1372" s="119"/>
      <c r="D1372" s="119"/>
      <c r="E1372" s="119"/>
      <c r="F1372" s="119"/>
      <c r="G1372" s="119"/>
      <c r="H1372" s="119"/>
      <c r="I1372" s="148"/>
      <c r="J1372" s="148"/>
    </row>
    <row r="1373" spans="1:14" ht="17.45" customHeight="1">
      <c r="A1373" s="139" t="s">
        <v>8</v>
      </c>
      <c r="B1373" s="139" t="s">
        <v>141</v>
      </c>
      <c r="E1373" s="139" t="s">
        <v>10</v>
      </c>
      <c r="F1373" s="140" t="s">
        <v>124</v>
      </c>
      <c r="G1373" s="119"/>
      <c r="H1373" s="119"/>
      <c r="I1373" s="149"/>
      <c r="J1373" s="149"/>
    </row>
    <row r="1374" spans="1:14" ht="17.45" customHeight="1">
      <c r="A1374" s="119"/>
      <c r="B1374" s="119"/>
      <c r="E1374" s="119"/>
      <c r="F1374" s="119"/>
      <c r="G1374" s="119"/>
      <c r="H1374" s="119"/>
      <c r="I1374" s="7"/>
      <c r="J1374" s="7"/>
    </row>
    <row r="1375" spans="1:14" ht="17.45" customHeight="1">
      <c r="A1375" s="139" t="s">
        <v>12</v>
      </c>
      <c r="B1375" s="139" t="s">
        <v>142</v>
      </c>
      <c r="E1375" s="8" t="s">
        <v>14</v>
      </c>
      <c r="F1375" s="140" t="s">
        <v>15</v>
      </c>
      <c r="G1375" s="119"/>
      <c r="H1375" s="6"/>
      <c r="I1375" s="7"/>
      <c r="J1375" s="7"/>
    </row>
    <row r="1376" spans="1:14" ht="17.45" customHeight="1">
      <c r="A1376" s="119"/>
      <c r="B1376" s="119"/>
      <c r="E1376" s="8" t="s">
        <v>16</v>
      </c>
      <c r="F1376" s="6" t="s">
        <v>17</v>
      </c>
      <c r="G1376" s="6"/>
      <c r="H1376" s="6"/>
      <c r="I1376" s="9"/>
      <c r="J1376" s="9"/>
    </row>
    <row r="1377" spans="1:10" ht="17.45" customHeight="1">
      <c r="A1377" s="8" t="s">
        <v>18</v>
      </c>
      <c r="B1377" s="10">
        <v>46139</v>
      </c>
      <c r="E1377" s="8" t="s">
        <v>19</v>
      </c>
      <c r="F1377" s="141">
        <v>100</v>
      </c>
      <c r="G1377" s="119"/>
      <c r="H1377" s="6"/>
    </row>
    <row r="1378" spans="1:10" ht="17.45" customHeight="1">
      <c r="A1378" s="8" t="s">
        <v>20</v>
      </c>
      <c r="B1378" s="10">
        <v>46139</v>
      </c>
      <c r="E1378" s="8" t="s">
        <v>21</v>
      </c>
      <c r="F1378" s="6">
        <v>4</v>
      </c>
      <c r="G1378" s="142" t="s">
        <v>22</v>
      </c>
      <c r="H1378" s="144">
        <v>400</v>
      </c>
      <c r="I1378" s="145"/>
      <c r="J1378" s="146"/>
    </row>
    <row r="1379" spans="1:10" ht="17.45" customHeight="1">
      <c r="A1379" s="11"/>
      <c r="B1379" s="12"/>
      <c r="C1379" s="12"/>
      <c r="D1379" s="12"/>
      <c r="E1379" s="8" t="s">
        <v>23</v>
      </c>
      <c r="F1379" s="6" t="s">
        <v>24</v>
      </c>
      <c r="G1379" s="143"/>
      <c r="H1379" s="143"/>
      <c r="I1379" s="125"/>
      <c r="J1379" s="133"/>
    </row>
    <row r="1380" spans="1:10" ht="13.5" customHeight="1">
      <c r="A1380" s="127" t="s">
        <v>126</v>
      </c>
      <c r="B1380" s="119"/>
      <c r="C1380" s="119"/>
      <c r="D1380" s="12"/>
      <c r="F1380" s="5"/>
      <c r="G1380" s="128" t="s">
        <v>26</v>
      </c>
      <c r="H1380" s="130" t="s">
        <v>27</v>
      </c>
      <c r="I1380" s="131" t="s">
        <v>28</v>
      </c>
      <c r="J1380" s="132"/>
    </row>
    <row r="1381" spans="1:10" ht="13.5" customHeight="1">
      <c r="A1381" s="119"/>
      <c r="B1381" s="119"/>
      <c r="C1381" s="119"/>
      <c r="D1381" s="12"/>
      <c r="F1381" s="5"/>
      <c r="G1381" s="129"/>
      <c r="H1381" s="129"/>
      <c r="I1381" s="125"/>
      <c r="J1381" s="133"/>
    </row>
    <row r="1382" spans="1:10" ht="13.5" customHeight="1">
      <c r="A1382" s="2" t="s">
        <v>29</v>
      </c>
    </row>
    <row r="1383" spans="1:10" ht="63" customHeight="1" thickBot="1">
      <c r="A1383" s="134"/>
      <c r="B1383" s="135"/>
      <c r="C1383" s="135"/>
      <c r="D1383" s="135"/>
      <c r="E1383" s="135"/>
      <c r="F1383" s="135"/>
      <c r="G1383" s="135"/>
      <c r="H1383" s="135"/>
      <c r="I1383" s="135"/>
      <c r="J1383" s="135"/>
    </row>
    <row r="1384" spans="1:10" ht="18.75">
      <c r="A1384" s="13" t="s">
        <v>30</v>
      </c>
      <c r="B1384" s="14" t="s">
        <v>31</v>
      </c>
      <c r="C1384" s="136" t="s">
        <v>32</v>
      </c>
      <c r="D1384" s="137"/>
      <c r="E1384" s="14" t="s">
        <v>33</v>
      </c>
      <c r="F1384" s="136" t="s">
        <v>34</v>
      </c>
      <c r="G1384" s="137"/>
      <c r="H1384" s="137"/>
      <c r="I1384" s="138" t="s">
        <v>35</v>
      </c>
      <c r="J1384" s="137"/>
    </row>
    <row r="1385" spans="1:10" ht="14.25" customHeight="1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</row>
    <row r="1386" spans="1:10" ht="16.5" customHeight="1">
      <c r="A1386" s="17">
        <v>1</v>
      </c>
      <c r="B1386" s="18" t="s">
        <v>36</v>
      </c>
      <c r="C1386" s="118" t="s">
        <v>37</v>
      </c>
      <c r="D1386" s="119"/>
      <c r="E1386" s="18" t="s">
        <v>38</v>
      </c>
      <c r="F1386" s="118" t="s">
        <v>39</v>
      </c>
      <c r="G1386" s="119"/>
      <c r="H1386" s="119"/>
      <c r="I1386" s="126"/>
      <c r="J1386" s="119"/>
    </row>
    <row r="1387" spans="1:10" ht="16.5" customHeight="1">
      <c r="A1387" s="17">
        <v>1</v>
      </c>
      <c r="B1387" s="20" t="s">
        <v>36</v>
      </c>
      <c r="C1387" s="118" t="s">
        <v>37</v>
      </c>
      <c r="D1387" s="119"/>
      <c r="E1387" s="18" t="s">
        <v>40</v>
      </c>
      <c r="F1387" s="118" t="s">
        <v>41</v>
      </c>
      <c r="G1387" s="119"/>
      <c r="H1387" s="119"/>
      <c r="I1387" s="126"/>
      <c r="J1387" s="119"/>
    </row>
    <row r="1388" spans="1:10" ht="16.5" customHeight="1">
      <c r="A1388" s="17"/>
      <c r="B1388" s="20"/>
      <c r="C1388" s="118"/>
      <c r="D1388" s="119"/>
      <c r="E1388" s="18"/>
      <c r="F1388" s="118"/>
      <c r="G1388" s="119"/>
      <c r="H1388" s="119"/>
      <c r="I1388" s="126"/>
      <c r="J1388" s="119"/>
    </row>
    <row r="1389" spans="1:10" ht="16.5" customHeight="1">
      <c r="A1389" s="17"/>
      <c r="B1389" s="20"/>
      <c r="C1389" s="118"/>
      <c r="D1389" s="119"/>
      <c r="E1389" s="18"/>
      <c r="F1389" s="118"/>
      <c r="G1389" s="119"/>
      <c r="H1389" s="119"/>
      <c r="I1389" s="126"/>
      <c r="J1389" s="119"/>
    </row>
    <row r="1390" spans="1:10" ht="16.5" customHeight="1">
      <c r="A1390" s="17"/>
      <c r="B1390" s="20"/>
      <c r="C1390" s="118"/>
      <c r="D1390" s="119"/>
      <c r="E1390" s="18"/>
      <c r="F1390" s="118"/>
      <c r="G1390" s="119"/>
      <c r="H1390" s="119"/>
      <c r="I1390" s="126"/>
      <c r="J1390" s="119"/>
    </row>
    <row r="1391" spans="1:10" ht="16.5" customHeight="1">
      <c r="A1391" s="17"/>
      <c r="B1391" s="20"/>
      <c r="C1391" s="118"/>
      <c r="D1391" s="119"/>
      <c r="E1391" s="18"/>
      <c r="F1391" s="118"/>
      <c r="G1391" s="119"/>
      <c r="H1391" s="119"/>
      <c r="I1391" s="126"/>
      <c r="J1391" s="119"/>
    </row>
    <row r="1392" spans="1:10" ht="16.5" customHeight="1" thickBot="1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</row>
    <row r="1393" spans="1:11" ht="18.75">
      <c r="A1393" s="122" t="s">
        <v>42</v>
      </c>
      <c r="B1393" s="123"/>
      <c r="C1393" s="122" t="s">
        <v>43</v>
      </c>
      <c r="D1393" s="123"/>
      <c r="E1393" s="123"/>
      <c r="F1393" s="22" t="s">
        <v>44</v>
      </c>
      <c r="G1393" s="122" t="s">
        <v>45</v>
      </c>
      <c r="H1393" s="123"/>
      <c r="I1393" s="122" t="s">
        <v>46</v>
      </c>
      <c r="J1393" s="123"/>
    </row>
    <row r="1394" spans="1:11" ht="14.25" customHeight="1">
      <c r="A1394" s="23"/>
      <c r="B1394" s="24"/>
      <c r="C1394" s="124" t="s">
        <v>47</v>
      </c>
      <c r="D1394" s="125"/>
      <c r="E1394" s="24"/>
      <c r="F1394" s="124" t="s">
        <v>29</v>
      </c>
      <c r="G1394" s="125"/>
      <c r="H1394" s="125"/>
      <c r="I1394" s="125"/>
      <c r="J1394" s="125"/>
    </row>
    <row r="1395" spans="1:11">
      <c r="A1395" s="25"/>
      <c r="C1395" s="19"/>
      <c r="D1395" s="19"/>
      <c r="E1395" s="19"/>
    </row>
    <row r="1396" spans="1:11" ht="14.25" customHeight="1">
      <c r="A1396" s="118" t="s">
        <v>48</v>
      </c>
      <c r="B1396" s="119"/>
      <c r="C1396" s="118" t="s">
        <v>49</v>
      </c>
      <c r="D1396" s="119"/>
      <c r="E1396" s="119"/>
      <c r="F1396" s="18" t="s">
        <v>27</v>
      </c>
      <c r="G1396" s="120">
        <v>400</v>
      </c>
      <c r="H1396" s="119"/>
      <c r="I1396" s="120">
        <v>4</v>
      </c>
      <c r="J1396" s="119"/>
    </row>
    <row r="1397" spans="1:11" ht="24.95" customHeight="1">
      <c r="A1397" s="121" t="s">
        <v>50</v>
      </c>
      <c r="B1397" s="119"/>
      <c r="C1397" s="118"/>
      <c r="D1397" s="119"/>
      <c r="E1397" s="119"/>
      <c r="F1397" s="118"/>
      <c r="G1397" s="119"/>
      <c r="H1397" s="119"/>
      <c r="I1397" s="119"/>
      <c r="J1397" s="119"/>
    </row>
    <row r="1398" spans="1:11" ht="14.25" customHeight="1">
      <c r="A1398" s="118" t="s">
        <v>127</v>
      </c>
      <c r="B1398" s="119"/>
      <c r="C1398" s="118" t="s">
        <v>128</v>
      </c>
      <c r="D1398" s="119"/>
      <c r="E1398" s="119"/>
      <c r="F1398" s="18" t="s">
        <v>53</v>
      </c>
      <c r="G1398" s="120">
        <v>4</v>
      </c>
      <c r="H1398" s="119"/>
      <c r="I1398" s="120">
        <v>0.04</v>
      </c>
      <c r="J1398" s="119"/>
    </row>
    <row r="1399" spans="1:11" ht="24.95" customHeight="1">
      <c r="A1399" s="121" t="s">
        <v>129</v>
      </c>
      <c r="B1399" s="119"/>
      <c r="C1399" s="118" t="s">
        <v>130</v>
      </c>
      <c r="D1399" s="119"/>
      <c r="E1399" s="119"/>
      <c r="F1399" s="118"/>
      <c r="G1399" s="119"/>
      <c r="H1399" s="119"/>
      <c r="I1399" s="119"/>
      <c r="J1399" s="119"/>
    </row>
    <row r="1400" spans="1:11" ht="14.25" customHeight="1">
      <c r="A1400" s="118" t="s">
        <v>56</v>
      </c>
      <c r="B1400" s="119"/>
      <c r="C1400" s="118" t="s">
        <v>57</v>
      </c>
      <c r="D1400" s="119"/>
      <c r="E1400" s="119"/>
      <c r="F1400" s="18"/>
      <c r="G1400" s="120">
        <v>0.8</v>
      </c>
      <c r="H1400" s="119"/>
      <c r="I1400" s="120">
        <v>8.0000000000000002E-3</v>
      </c>
      <c r="J1400" s="119"/>
    </row>
    <row r="1401" spans="1:11" ht="24.95" customHeight="1">
      <c r="A1401" s="121" t="s">
        <v>58</v>
      </c>
      <c r="B1401" s="119"/>
      <c r="C1401" s="118" t="s">
        <v>59</v>
      </c>
      <c r="D1401" s="119"/>
      <c r="E1401" s="119"/>
      <c r="F1401" s="118"/>
      <c r="G1401" s="119"/>
      <c r="H1401" s="119"/>
      <c r="I1401" s="119"/>
      <c r="J1401" s="119"/>
    </row>
    <row r="1402" spans="1:11" ht="14.25" customHeight="1">
      <c r="A1402" s="118" t="s">
        <v>60</v>
      </c>
      <c r="B1402" s="119"/>
      <c r="C1402" s="118" t="s">
        <v>61</v>
      </c>
      <c r="D1402" s="119"/>
      <c r="E1402" s="119"/>
      <c r="F1402" s="18"/>
      <c r="G1402" s="120">
        <v>0.4</v>
      </c>
      <c r="H1402" s="119"/>
      <c r="I1402" s="120">
        <v>4.0000000000000001E-3</v>
      </c>
      <c r="J1402" s="119"/>
    </row>
    <row r="1403" spans="1:11" ht="24.95" customHeight="1">
      <c r="A1403" s="121" t="s">
        <v>62</v>
      </c>
      <c r="B1403" s="119"/>
      <c r="C1403" s="118" t="s">
        <v>63</v>
      </c>
      <c r="D1403" s="119"/>
      <c r="E1403" s="119"/>
      <c r="F1403" s="118"/>
      <c r="G1403" s="119"/>
      <c r="H1403" s="119"/>
      <c r="I1403" s="119"/>
      <c r="J1403" s="119"/>
    </row>
    <row r="1404" spans="1:11" ht="14.25" customHeight="1">
      <c r="A1404" s="118"/>
      <c r="B1404" s="119"/>
      <c r="C1404" s="118"/>
      <c r="D1404" s="119"/>
      <c r="E1404" s="119"/>
      <c r="F1404" s="18"/>
      <c r="G1404" s="120"/>
      <c r="H1404" s="119"/>
      <c r="I1404" s="120"/>
      <c r="J1404" s="119"/>
    </row>
    <row r="1405" spans="1:11" ht="24.95" customHeight="1" thickBot="1">
      <c r="A1405" s="121"/>
      <c r="B1405" s="119"/>
      <c r="C1405" s="118"/>
      <c r="D1405" s="119"/>
      <c r="E1405" s="119"/>
      <c r="F1405" s="118"/>
      <c r="G1405" s="119"/>
      <c r="H1405" s="119"/>
      <c r="I1405" s="119"/>
      <c r="J1405" s="119"/>
    </row>
    <row r="1406" spans="1:11" s="15" customFormat="1" ht="18" customHeight="1">
      <c r="A1406" s="27" t="s">
        <v>143</v>
      </c>
      <c r="B1406" s="28" t="s">
        <v>144</v>
      </c>
      <c r="C1406" s="108" t="s">
        <v>145</v>
      </c>
      <c r="D1406" s="109"/>
      <c r="E1406" s="29" t="s">
        <v>146</v>
      </c>
      <c r="F1406" s="30" t="s">
        <v>147</v>
      </c>
      <c r="G1406" s="31" t="s">
        <v>148</v>
      </c>
      <c r="H1406" s="32" t="s">
        <v>149</v>
      </c>
      <c r="I1406" s="106" t="s">
        <v>150</v>
      </c>
      <c r="J1406" s="107"/>
    </row>
    <row r="1407" spans="1:11" s="19" customFormat="1" ht="18" customHeight="1">
      <c r="A1407" s="33" t="str">
        <f>_xlfn.XLOOKUP(B1371,[3]VFDB2!$A:$A,[3]VFDB2!$J:$J)</f>
        <v>〇</v>
      </c>
      <c r="B1407" s="34">
        <f>D1371</f>
        <v>1478</v>
      </c>
      <c r="C1407" s="110" t="str">
        <f>_xlfn.XLOOKUP(B1371,[3]VFDB2!$A:$A,[3]VFDB2!$Z:$Z)</f>
        <v>LED-A1478</v>
      </c>
      <c r="D1407" s="111"/>
      <c r="E1407" s="112" t="str" cm="1">
        <f t="array" ref="E1407">IFERROR(INDEX(_xlfn._xlws.FILTER([4]加工記録２!C:C,[4]加工記録２!U:U=B1373),9),"")</f>
        <v/>
      </c>
      <c r="F1407" s="35" t="str" cm="1">
        <f t="array" ref="F1407">IFERROR("切断加工：" &amp;_xlfn.TEXTJOIN(" / ",TRUE,INDEX(_xlfn._xlws.FILTER([4]加工記録２!M:M,[4]加工記録２!U:U=B1373),9),INDEX(_xlfn._xlws.FILTER([4]加工記録２!N:N,[4]加工記録２!U:U=B1373),9)),"")</f>
        <v/>
      </c>
      <c r="G1407" s="36" t="str" cm="1">
        <f t="array" ref="G1407">IFERROR(IF(_xlfn.TAKE(_xlfn._xlws.FILTER([4]加工記録２!$M:$N,[4]加工記録２!$U:$U=B1373),5)=0,"",_xlfn.TAKE(_xlfn._xlws.FILTER([4]加工記録２!$M:$N,[4]加工記録２!$U:$U=B1373),5)),"")</f>
        <v/>
      </c>
      <c r="H1407" s="37"/>
      <c r="I1407" s="38" t="s">
        <v>151</v>
      </c>
      <c r="J1407" s="39" t="str" cm="1">
        <f t="array" ref="J1407:J1412">IFERROR(INDEX(_xlfn._xlws.FILTER([4]加工記録２!P:P, [4]加工記録２!U:U=B1373),_xlfn.SEQUENCE(6)),"")</f>
        <v/>
      </c>
    </row>
    <row r="1408" spans="1:11" s="15" customFormat="1" ht="18" customHeight="1">
      <c r="A1408" s="43" t="s">
        <v>152</v>
      </c>
      <c r="B1408" s="44" t="s">
        <v>153</v>
      </c>
      <c r="C1408" s="110"/>
      <c r="D1408" s="111"/>
      <c r="E1408" s="112"/>
      <c r="F1408" s="45" t="str" cm="1">
        <f t="array" ref="F1408">IFERROR("外観検査：" &amp;_xlfn.TEXTJOIN(" / ",TRUE,INDEX(_xlfn._xlws.FILTER([4]加工記録２!M:M,[4]加工記録２!U:U=B1373),10),INDEX(_xlfn._xlws.FILTER([4]加工記録２!N:N,[4]加工記録２!U:U=B1373),10)),"")</f>
        <v/>
      </c>
      <c r="G1408" s="36"/>
      <c r="H1408" s="37"/>
      <c r="I1408" s="38" t="s">
        <v>154</v>
      </c>
      <c r="J1408" s="40" t="str">
        <v/>
      </c>
      <c r="K1408" s="46"/>
    </row>
    <row r="1409" spans="1:14" s="19" customFormat="1" ht="18" customHeight="1">
      <c r="A1409" s="47" t="str">
        <f>_xlfn.XLOOKUP(B1371,[3]VFDB2!$A:$A,[3]VFDB2!$L:$L)</f>
        <v>+0.5</v>
      </c>
      <c r="B1409" s="48" t="str">
        <f>_xlfn.XLOOKUP(B1371,[3]VFDB2!$A:$A,[3]VFDB2!$AC:$AC)</f>
        <v>換算表確認</v>
      </c>
      <c r="C1409" s="113" t="s">
        <v>155</v>
      </c>
      <c r="D1409" s="114" t="str">
        <f>_xlfn.XLOOKUP(B1371,[3]VFDB2!$A:$A,[3]VFDB2!$W:$W)</f>
        <v>クラフト紙：1478型</v>
      </c>
      <c r="E1409" s="114"/>
      <c r="F1409" s="115"/>
      <c r="G1409" s="36"/>
      <c r="H1409" s="37"/>
      <c r="I1409" s="38" t="s">
        <v>156</v>
      </c>
      <c r="J1409" s="40" t="str">
        <v/>
      </c>
      <c r="K1409" s="49"/>
    </row>
    <row r="1410" spans="1:14" s="15" customFormat="1" ht="18" customHeight="1">
      <c r="A1410" s="50" t="s">
        <v>157</v>
      </c>
      <c r="B1410" s="51" t="s">
        <v>158</v>
      </c>
      <c r="C1410" s="113"/>
      <c r="D1410" s="114" t="str">
        <f>_xlfn.XLOOKUP(B1371,[3]VFDB2!$A:$A,[3]VFDB2!$R:$R)</f>
        <v>ラベル１枚　長手無　鉢巻１回</v>
      </c>
      <c r="E1410" s="114"/>
      <c r="F1410" s="115"/>
      <c r="G1410" s="36"/>
      <c r="H1410" s="37"/>
      <c r="I1410" s="38" t="s">
        <v>159</v>
      </c>
      <c r="J1410" s="40" t="str">
        <v/>
      </c>
      <c r="K1410" s="46"/>
    </row>
    <row r="1411" spans="1:14" s="19" customFormat="1" ht="18" customHeight="1" thickBot="1">
      <c r="A1411" s="52" t="str">
        <f>_xlfn.XLOOKUP(B1371,[3]VFDB2!$A:$A,[3]VFDB2!$K:$K)</f>
        <v>－0.5</v>
      </c>
      <c r="B1411" s="53">
        <f>_xlfn.XLOOKUP(B1371,[3]VFDB2!$A:$A,[3]VFDB2!$P:$P)</f>
        <v>1</v>
      </c>
      <c r="C1411" s="54" t="s">
        <v>160</v>
      </c>
      <c r="D1411" s="116" t="str">
        <f>_xlfn.XLOOKUP(B1371,[3]VFDB2!$A:$A,[3]VFDB2!$V:$V)</f>
        <v>1箱目の梱包数 目視確認　以降、重量測定</v>
      </c>
      <c r="E1411" s="116"/>
      <c r="F1411" s="117"/>
      <c r="G1411" s="55"/>
      <c r="H1411" s="56"/>
      <c r="I1411" s="38" t="s">
        <v>161</v>
      </c>
      <c r="J1411" s="41" t="str">
        <v/>
      </c>
      <c r="K1411" s="49"/>
    </row>
    <row r="1412" spans="1:14" s="15" customFormat="1" ht="18" customHeight="1" thickBot="1">
      <c r="A1412" s="57" t="s">
        <v>162</v>
      </c>
      <c r="B1412" s="58" t="str" cm="1">
        <f t="array" ref="B1412">IF(SUM(--(ISTEXT(B1413:B1423)*(B1413:B1423&lt;&gt;"")))=0,"計測Lot","計測Lot・加工数")</f>
        <v>計測Lot</v>
      </c>
      <c r="C1412" s="59" t="s">
        <v>163</v>
      </c>
      <c r="D1412" s="60" t="s">
        <v>164</v>
      </c>
      <c r="E1412" s="61" t="s">
        <v>165</v>
      </c>
      <c r="F1412" s="62" t="str" cm="1">
        <f t="array" ref="F1412">IF(SUM(--(ISTEXT(B1413:B1423)*(B1413:B1423&lt;&gt;"")))=0,"記入不要","使用Lot")</f>
        <v>記入不要</v>
      </c>
      <c r="G1412" s="63" t="s">
        <v>166</v>
      </c>
      <c r="H1412" s="64" t="s">
        <v>167</v>
      </c>
      <c r="I1412" s="65" t="s">
        <v>168</v>
      </c>
      <c r="J1412" s="42" t="str">
        <v/>
      </c>
      <c r="K1412" s="46"/>
    </row>
    <row r="1413" spans="1:14" s="19" customFormat="1" ht="18" customHeight="1">
      <c r="A1413" s="66" t="str" cm="1">
        <f t="array" ref="A1413:A1423">IFERROR(INDEX(_xlfn._xlws.FILTER([4]加工記録２!$D:$D,[4]加工記録２!$U:$U=B1373),_xlfn.SEQUENCE(11),0),"")</f>
        <v/>
      </c>
      <c r="B1413" s="70" t="str" cm="1">
        <f t="array" ref="B1413:B1423">IFERROR(IF(INDEX(_xlfn._xlws.FILTER([4]加工記録２!$E:$E,[4]加工記録２!$U:$U=B1373),_xlfn.SEQUENCE(11))="","",INDEX(_xlfn._xlws.FILTER([4]加工記録２!$E:$E,[4]加工記録２!$U:$U=B1373),_xlfn.SEQUENCE(11)) &amp; IF(INDEX(_xlfn._xlws.FILTER([4]加工記録２!$F:$F,[4]加工記録２!$U:$U=B1373),_xlfn.SEQUENCE(11))="","", " × " &amp; INDEX(_xlfn._xlws.FILTER([4]加工記録２!$F:$F,[4]加工記録２!$U:$U=B1373),_xlfn.SEQUENCE(11)))),"")</f>
        <v/>
      </c>
      <c r="C1413" s="73"/>
      <c r="D1413" s="74"/>
      <c r="E1413" s="75"/>
      <c r="F1413" s="76"/>
      <c r="G1413" s="77"/>
      <c r="H1413" s="78"/>
      <c r="I1413" s="104" t="s">
        <v>169</v>
      </c>
      <c r="J1413" s="105"/>
      <c r="K1413" s="79"/>
    </row>
    <row r="1414" spans="1:14" s="15" customFormat="1" ht="18" customHeight="1">
      <c r="A1414" s="67" t="str">
        <v/>
      </c>
      <c r="B1414" s="71" t="str">
        <v/>
      </c>
      <c r="C1414" s="80"/>
      <c r="D1414" s="81"/>
      <c r="E1414" s="82"/>
      <c r="F1414" s="83"/>
      <c r="G1414" s="80"/>
      <c r="H1414" s="84"/>
      <c r="I1414" s="85" t="s">
        <v>170</v>
      </c>
      <c r="J1414" s="84" t="str" cm="1">
        <f t="array" ref="J1414:J1423">IFERROR(INDEX(_xlfn._xlws.FILTER([4]加工記録２!R:R, [4]加工記録２!U:U=B1373),_xlfn.SEQUENCE(10)),"")</f>
        <v/>
      </c>
      <c r="K1414" s="79"/>
    </row>
    <row r="1415" spans="1:14" s="90" customFormat="1" ht="18.95" customHeight="1">
      <c r="A1415" s="68" t="str">
        <v/>
      </c>
      <c r="B1415" s="71" t="str">
        <v/>
      </c>
      <c r="C1415" s="80"/>
      <c r="D1415" s="81"/>
      <c r="E1415" s="82"/>
      <c r="F1415" s="83"/>
      <c r="G1415" s="80"/>
      <c r="H1415" s="84"/>
      <c r="I1415" s="85" t="s">
        <v>171</v>
      </c>
      <c r="J1415" s="84" t="str">
        <v/>
      </c>
      <c r="K1415" s="88"/>
      <c r="L1415" s="89"/>
      <c r="M1415" s="89"/>
      <c r="N1415" s="89"/>
    </row>
    <row r="1416" spans="1:14" s="93" customFormat="1" ht="18.95" customHeight="1">
      <c r="A1416" s="68" t="str">
        <v/>
      </c>
      <c r="B1416" s="71" t="str">
        <v/>
      </c>
      <c r="C1416" s="80"/>
      <c r="D1416" s="81"/>
      <c r="E1416" s="82"/>
      <c r="F1416" s="83"/>
      <c r="G1416" s="80"/>
      <c r="H1416" s="84"/>
      <c r="I1416" s="85" t="s">
        <v>172</v>
      </c>
      <c r="J1416" s="84" t="str">
        <v/>
      </c>
      <c r="K1416" s="91"/>
      <c r="L1416" s="92"/>
      <c r="M1416" s="92"/>
      <c r="N1416" s="92"/>
    </row>
    <row r="1417" spans="1:14" s="93" customFormat="1" ht="18.95" customHeight="1">
      <c r="A1417" s="68" t="str">
        <v/>
      </c>
      <c r="B1417" s="71" t="str">
        <v/>
      </c>
      <c r="C1417" s="80"/>
      <c r="D1417" s="81"/>
      <c r="E1417" s="82"/>
      <c r="F1417" s="83"/>
      <c r="G1417" s="80"/>
      <c r="H1417" s="84"/>
      <c r="I1417" s="85" t="s">
        <v>173</v>
      </c>
      <c r="J1417" s="84" t="str">
        <v/>
      </c>
      <c r="K1417" s="91"/>
      <c r="L1417" s="92"/>
      <c r="M1417" s="92"/>
      <c r="N1417" s="92"/>
    </row>
    <row r="1418" spans="1:14" s="93" customFormat="1" ht="18.95" customHeight="1">
      <c r="A1418" s="68" t="str">
        <v/>
      </c>
      <c r="B1418" s="71" t="str">
        <v/>
      </c>
      <c r="C1418" s="80"/>
      <c r="D1418" s="81"/>
      <c r="E1418" s="82"/>
      <c r="F1418" s="83"/>
      <c r="G1418" s="80"/>
      <c r="H1418" s="84"/>
      <c r="I1418" s="85" t="s">
        <v>174</v>
      </c>
      <c r="J1418" s="84" t="str">
        <v/>
      </c>
      <c r="K1418" s="91"/>
      <c r="L1418" s="92"/>
      <c r="M1418" s="92"/>
      <c r="N1418" s="92"/>
    </row>
    <row r="1419" spans="1:14" s="93" customFormat="1" ht="18.95" customHeight="1">
      <c r="A1419" s="68" t="str">
        <v/>
      </c>
      <c r="B1419" s="71" t="str">
        <v/>
      </c>
      <c r="C1419" s="80"/>
      <c r="D1419" s="81"/>
      <c r="E1419" s="82"/>
      <c r="F1419" s="83"/>
      <c r="G1419" s="80"/>
      <c r="H1419" s="84"/>
      <c r="I1419" s="85" t="s">
        <v>175</v>
      </c>
      <c r="J1419" s="84" t="str">
        <v/>
      </c>
      <c r="K1419" s="91"/>
      <c r="L1419" s="92"/>
      <c r="M1419" s="92"/>
      <c r="N1419" s="92"/>
    </row>
    <row r="1420" spans="1:14" s="93" customFormat="1" ht="18.95" customHeight="1">
      <c r="A1420" s="68" t="str">
        <v/>
      </c>
      <c r="B1420" s="71" t="str">
        <v/>
      </c>
      <c r="C1420" s="80"/>
      <c r="D1420" s="81"/>
      <c r="E1420" s="82"/>
      <c r="F1420" s="83"/>
      <c r="G1420" s="80"/>
      <c r="H1420" s="84"/>
      <c r="I1420" s="94" t="s">
        <v>176</v>
      </c>
      <c r="J1420" s="84" t="str">
        <v/>
      </c>
      <c r="K1420" s="91"/>
      <c r="L1420" s="92"/>
      <c r="M1420" s="92"/>
      <c r="N1420" s="92"/>
    </row>
    <row r="1421" spans="1:14" s="93" customFormat="1" ht="18.95" customHeight="1">
      <c r="A1421" s="68" t="str">
        <v/>
      </c>
      <c r="B1421" s="71" t="str">
        <v/>
      </c>
      <c r="C1421" s="80"/>
      <c r="D1421" s="81"/>
      <c r="E1421" s="82"/>
      <c r="F1421" s="83"/>
      <c r="G1421" s="80"/>
      <c r="H1421" s="84"/>
      <c r="I1421" s="94" t="s">
        <v>177</v>
      </c>
      <c r="J1421" s="84" t="str">
        <v/>
      </c>
      <c r="K1421" s="91"/>
      <c r="L1421" s="92"/>
      <c r="M1421" s="92"/>
      <c r="N1421" s="92"/>
    </row>
    <row r="1422" spans="1:14" s="93" customFormat="1" ht="18.95" customHeight="1">
      <c r="A1422" s="68" t="str">
        <v/>
      </c>
      <c r="B1422" s="71" t="str">
        <v/>
      </c>
      <c r="C1422" s="80"/>
      <c r="D1422" s="81"/>
      <c r="E1422" s="82"/>
      <c r="F1422" s="83"/>
      <c r="G1422" s="80"/>
      <c r="H1422" s="84"/>
      <c r="I1422" s="85" t="s">
        <v>178</v>
      </c>
      <c r="J1422" s="86" t="str">
        <v/>
      </c>
      <c r="K1422" s="91"/>
      <c r="L1422" s="92"/>
      <c r="M1422" s="92"/>
      <c r="N1422" s="92"/>
    </row>
    <row r="1423" spans="1:14" s="93" customFormat="1" ht="18.95" customHeight="1" thickBot="1">
      <c r="A1423" s="69" t="str">
        <v/>
      </c>
      <c r="B1423" s="72" t="str">
        <v/>
      </c>
      <c r="C1423" s="95"/>
      <c r="D1423" s="96"/>
      <c r="E1423" s="97"/>
      <c r="F1423" s="98"/>
      <c r="G1423" s="99"/>
      <c r="H1423" s="100"/>
      <c r="I1423" s="101" t="s">
        <v>179</v>
      </c>
      <c r="J1423" s="87" t="str">
        <v/>
      </c>
      <c r="K1423" s="91"/>
      <c r="L1423" s="92"/>
      <c r="M1423" s="92"/>
      <c r="N1423" s="92"/>
    </row>
    <row r="1424" spans="1:14" ht="6" customHeight="1" thickBot="1">
      <c r="A1424" s="102"/>
      <c r="B1424" s="103"/>
      <c r="C1424" s="103"/>
      <c r="D1424" s="102"/>
      <c r="E1424" s="103"/>
      <c r="F1424" s="103"/>
      <c r="G1424" s="103"/>
      <c r="H1424" s="103"/>
    </row>
    <row r="1425" spans="1:10" ht="6" customHeight="1" thickTop="1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</row>
  </sheetData>
  <mergeCells count="2375">
    <mergeCell ref="I22:J22"/>
    <mergeCell ref="C23:D23"/>
    <mergeCell ref="F23:H23"/>
    <mergeCell ref="I23:J23"/>
    <mergeCell ref="C20:D20"/>
    <mergeCell ref="F20:H20"/>
    <mergeCell ref="I20:J20"/>
    <mergeCell ref="C21:D21"/>
    <mergeCell ref="F21:H21"/>
    <mergeCell ref="I21:J21"/>
    <mergeCell ref="B1:D2"/>
    <mergeCell ref="A3:A4"/>
    <mergeCell ref="B3:B4"/>
    <mergeCell ref="C3:C4"/>
    <mergeCell ref="D3:D4"/>
    <mergeCell ref="E3:E4"/>
    <mergeCell ref="A12:C13"/>
    <mergeCell ref="G12:G13"/>
    <mergeCell ref="H12:H13"/>
    <mergeCell ref="I12:J13"/>
    <mergeCell ref="A15:J15"/>
    <mergeCell ref="C16:D16"/>
    <mergeCell ref="F16:H16"/>
    <mergeCell ref="I16:J16"/>
    <mergeCell ref="A7:A8"/>
    <mergeCell ref="B7:B8"/>
    <mergeCell ref="F7:G7"/>
    <mergeCell ref="F9:G9"/>
    <mergeCell ref="G10:G11"/>
    <mergeCell ref="H10:J11"/>
    <mergeCell ref="F3:H4"/>
    <mergeCell ref="I4:I5"/>
    <mergeCell ref="J4:J5"/>
    <mergeCell ref="A5:A6"/>
    <mergeCell ref="B5:B6"/>
    <mergeCell ref="E5:E6"/>
    <mergeCell ref="F5:H6"/>
    <mergeCell ref="A32:B32"/>
    <mergeCell ref="C32:E32"/>
    <mergeCell ref="G32:H32"/>
    <mergeCell ref="I32:J32"/>
    <mergeCell ref="A33:B33"/>
    <mergeCell ref="C33:E33"/>
    <mergeCell ref="F33:J33"/>
    <mergeCell ref="A30:B30"/>
    <mergeCell ref="C30:E30"/>
    <mergeCell ref="G30:H30"/>
    <mergeCell ref="I30:J30"/>
    <mergeCell ref="A31:B31"/>
    <mergeCell ref="C31:E31"/>
    <mergeCell ref="F31:J31"/>
    <mergeCell ref="A28:B28"/>
    <mergeCell ref="C28:E28"/>
    <mergeCell ref="G28:H28"/>
    <mergeCell ref="I28:J28"/>
    <mergeCell ref="A29:B29"/>
    <mergeCell ref="C29:E29"/>
    <mergeCell ref="F29:J29"/>
    <mergeCell ref="C18:D18"/>
    <mergeCell ref="F18:H18"/>
    <mergeCell ref="I18:J18"/>
    <mergeCell ref="C19:D19"/>
    <mergeCell ref="F19:H19"/>
    <mergeCell ref="I19:J19"/>
    <mergeCell ref="D42:F42"/>
    <mergeCell ref="D43:F43"/>
    <mergeCell ref="A36:B36"/>
    <mergeCell ref="C36:E36"/>
    <mergeCell ref="G36:H36"/>
    <mergeCell ref="I36:J36"/>
    <mergeCell ref="A37:B37"/>
    <mergeCell ref="C37:E37"/>
    <mergeCell ref="F37:J37"/>
    <mergeCell ref="A34:B34"/>
    <mergeCell ref="C34:E34"/>
    <mergeCell ref="G34:H34"/>
    <mergeCell ref="I34:J34"/>
    <mergeCell ref="A35:B35"/>
    <mergeCell ref="C35:E35"/>
    <mergeCell ref="F35:J35"/>
    <mergeCell ref="C26:D26"/>
    <mergeCell ref="F26:J26"/>
    <mergeCell ref="C22:D22"/>
    <mergeCell ref="F22:H22"/>
    <mergeCell ref="A64:A65"/>
    <mergeCell ref="B64:B65"/>
    <mergeCell ref="F64:G64"/>
    <mergeCell ref="F66:G66"/>
    <mergeCell ref="G67:G68"/>
    <mergeCell ref="H67:J68"/>
    <mergeCell ref="F60:H61"/>
    <mergeCell ref="I61:I62"/>
    <mergeCell ref="J61:J62"/>
    <mergeCell ref="A62:A63"/>
    <mergeCell ref="B62:B63"/>
    <mergeCell ref="E62:E63"/>
    <mergeCell ref="F62:H63"/>
    <mergeCell ref="B58:D59"/>
    <mergeCell ref="A60:A61"/>
    <mergeCell ref="B60:B61"/>
    <mergeCell ref="C60:C61"/>
    <mergeCell ref="D60:D61"/>
    <mergeCell ref="E60:E61"/>
    <mergeCell ref="A25:B25"/>
    <mergeCell ref="C25:E25"/>
    <mergeCell ref="G25:H25"/>
    <mergeCell ref="I25:J25"/>
    <mergeCell ref="I45:J45"/>
    <mergeCell ref="I38:J38"/>
    <mergeCell ref="C38:D38"/>
    <mergeCell ref="C39:D40"/>
    <mergeCell ref="E39:E40"/>
    <mergeCell ref="C41:C42"/>
    <mergeCell ref="D41:F41"/>
    <mergeCell ref="C77:D77"/>
    <mergeCell ref="F77:H77"/>
    <mergeCell ref="I77:J77"/>
    <mergeCell ref="C78:D78"/>
    <mergeCell ref="F78:H78"/>
    <mergeCell ref="I78:J78"/>
    <mergeCell ref="C75:D75"/>
    <mergeCell ref="F75:H75"/>
    <mergeCell ref="I75:J75"/>
    <mergeCell ref="C76:D76"/>
    <mergeCell ref="F76:H76"/>
    <mergeCell ref="I76:J76"/>
    <mergeCell ref="A69:C70"/>
    <mergeCell ref="G69:G70"/>
    <mergeCell ref="H69:H70"/>
    <mergeCell ref="I69:J70"/>
    <mergeCell ref="A72:J72"/>
    <mergeCell ref="C73:D73"/>
    <mergeCell ref="F73:H73"/>
    <mergeCell ref="I73:J73"/>
    <mergeCell ref="A85:B85"/>
    <mergeCell ref="C85:E85"/>
    <mergeCell ref="G85:H85"/>
    <mergeCell ref="I85:J85"/>
    <mergeCell ref="A86:B86"/>
    <mergeCell ref="C86:E86"/>
    <mergeCell ref="F86:J86"/>
    <mergeCell ref="A82:B82"/>
    <mergeCell ref="C82:E82"/>
    <mergeCell ref="G82:H82"/>
    <mergeCell ref="I82:J82"/>
    <mergeCell ref="C83:D83"/>
    <mergeCell ref="F83:J83"/>
    <mergeCell ref="C79:D79"/>
    <mergeCell ref="F79:H79"/>
    <mergeCell ref="I79:J79"/>
    <mergeCell ref="C80:D80"/>
    <mergeCell ref="F80:H80"/>
    <mergeCell ref="I80:J80"/>
    <mergeCell ref="A91:B91"/>
    <mergeCell ref="C91:E91"/>
    <mergeCell ref="G91:H91"/>
    <mergeCell ref="I91:J91"/>
    <mergeCell ref="A92:B92"/>
    <mergeCell ref="C92:E92"/>
    <mergeCell ref="F92:J92"/>
    <mergeCell ref="A89:B89"/>
    <mergeCell ref="C89:E89"/>
    <mergeCell ref="G89:H89"/>
    <mergeCell ref="I89:J89"/>
    <mergeCell ref="A90:B90"/>
    <mergeCell ref="C90:E90"/>
    <mergeCell ref="F90:J90"/>
    <mergeCell ref="A87:B87"/>
    <mergeCell ref="C87:E87"/>
    <mergeCell ref="G87:H87"/>
    <mergeCell ref="I87:J87"/>
    <mergeCell ref="A88:B88"/>
    <mergeCell ref="C88:E88"/>
    <mergeCell ref="F88:J88"/>
    <mergeCell ref="B115:D116"/>
    <mergeCell ref="A117:A118"/>
    <mergeCell ref="B117:B118"/>
    <mergeCell ref="C117:C118"/>
    <mergeCell ref="D117:D118"/>
    <mergeCell ref="E117:E118"/>
    <mergeCell ref="C98:C99"/>
    <mergeCell ref="D98:F98"/>
    <mergeCell ref="D99:F99"/>
    <mergeCell ref="D100:F100"/>
    <mergeCell ref="I102:J102"/>
    <mergeCell ref="I95:J95"/>
    <mergeCell ref="A93:B93"/>
    <mergeCell ref="C93:E93"/>
    <mergeCell ref="G93:H93"/>
    <mergeCell ref="I93:J93"/>
    <mergeCell ref="A94:B94"/>
    <mergeCell ref="C94:E94"/>
    <mergeCell ref="F94:J94"/>
    <mergeCell ref="C95:D95"/>
    <mergeCell ref="C96:D97"/>
    <mergeCell ref="E96:E97"/>
    <mergeCell ref="A126:C127"/>
    <mergeCell ref="G126:G127"/>
    <mergeCell ref="H126:H127"/>
    <mergeCell ref="I126:J127"/>
    <mergeCell ref="A129:J129"/>
    <mergeCell ref="C130:D130"/>
    <mergeCell ref="F130:H130"/>
    <mergeCell ref="I130:J130"/>
    <mergeCell ref="A121:A122"/>
    <mergeCell ref="B121:B122"/>
    <mergeCell ref="F121:G121"/>
    <mergeCell ref="F123:G123"/>
    <mergeCell ref="G124:G125"/>
    <mergeCell ref="H124:J125"/>
    <mergeCell ref="F117:H118"/>
    <mergeCell ref="I118:I119"/>
    <mergeCell ref="J118:J119"/>
    <mergeCell ref="A119:A120"/>
    <mergeCell ref="B119:B120"/>
    <mergeCell ref="E119:E120"/>
    <mergeCell ref="F119:H120"/>
    <mergeCell ref="C136:D136"/>
    <mergeCell ref="F136:H136"/>
    <mergeCell ref="I136:J136"/>
    <mergeCell ref="C137:D137"/>
    <mergeCell ref="F137:H137"/>
    <mergeCell ref="I137:J137"/>
    <mergeCell ref="C134:D134"/>
    <mergeCell ref="F134:H134"/>
    <mergeCell ref="I134:J134"/>
    <mergeCell ref="C135:D135"/>
    <mergeCell ref="F135:H135"/>
    <mergeCell ref="I135:J135"/>
    <mergeCell ref="C132:D132"/>
    <mergeCell ref="F132:H132"/>
    <mergeCell ref="I132:J132"/>
    <mergeCell ref="C133:D133"/>
    <mergeCell ref="F133:H133"/>
    <mergeCell ref="I133:J133"/>
    <mergeCell ref="A144:B144"/>
    <mergeCell ref="C144:E144"/>
    <mergeCell ref="G144:H144"/>
    <mergeCell ref="I144:J144"/>
    <mergeCell ref="A145:B145"/>
    <mergeCell ref="C145:E145"/>
    <mergeCell ref="F145:J145"/>
    <mergeCell ref="A142:B142"/>
    <mergeCell ref="C142:E142"/>
    <mergeCell ref="G142:H142"/>
    <mergeCell ref="I142:J142"/>
    <mergeCell ref="A143:B143"/>
    <mergeCell ref="C143:E143"/>
    <mergeCell ref="F143:J143"/>
    <mergeCell ref="A139:B139"/>
    <mergeCell ref="C139:E139"/>
    <mergeCell ref="G139:H139"/>
    <mergeCell ref="I139:J139"/>
    <mergeCell ref="C140:D140"/>
    <mergeCell ref="F140:J140"/>
    <mergeCell ref="I152:J152"/>
    <mergeCell ref="A150:B150"/>
    <mergeCell ref="C150:E150"/>
    <mergeCell ref="G150:H150"/>
    <mergeCell ref="I150:J150"/>
    <mergeCell ref="A151:B151"/>
    <mergeCell ref="C151:E151"/>
    <mergeCell ref="F151:J151"/>
    <mergeCell ref="A148:B148"/>
    <mergeCell ref="C148:E148"/>
    <mergeCell ref="G148:H148"/>
    <mergeCell ref="I148:J148"/>
    <mergeCell ref="A149:B149"/>
    <mergeCell ref="C149:E149"/>
    <mergeCell ref="F149:J149"/>
    <mergeCell ref="C152:D152"/>
    <mergeCell ref="A146:B146"/>
    <mergeCell ref="C146:E146"/>
    <mergeCell ref="G146:H146"/>
    <mergeCell ref="I146:J146"/>
    <mergeCell ref="A147:B147"/>
    <mergeCell ref="C147:E147"/>
    <mergeCell ref="F147:J147"/>
    <mergeCell ref="F174:H175"/>
    <mergeCell ref="I175:I176"/>
    <mergeCell ref="J175:J176"/>
    <mergeCell ref="A176:A177"/>
    <mergeCell ref="B176:B177"/>
    <mergeCell ref="E176:E177"/>
    <mergeCell ref="F176:H177"/>
    <mergeCell ref="B172:D173"/>
    <mergeCell ref="A174:A175"/>
    <mergeCell ref="B174:B175"/>
    <mergeCell ref="C174:C175"/>
    <mergeCell ref="D174:D175"/>
    <mergeCell ref="E174:E175"/>
    <mergeCell ref="C153:D154"/>
    <mergeCell ref="E153:E154"/>
    <mergeCell ref="C155:C156"/>
    <mergeCell ref="D155:F155"/>
    <mergeCell ref="D156:F156"/>
    <mergeCell ref="D157:F157"/>
    <mergeCell ref="I159:J159"/>
    <mergeCell ref="C189:D189"/>
    <mergeCell ref="F189:H189"/>
    <mergeCell ref="I189:J189"/>
    <mergeCell ref="C190:D190"/>
    <mergeCell ref="F190:H190"/>
    <mergeCell ref="I190:J190"/>
    <mergeCell ref="A183:C184"/>
    <mergeCell ref="G183:G184"/>
    <mergeCell ref="H183:H184"/>
    <mergeCell ref="I183:J184"/>
    <mergeCell ref="A186:J186"/>
    <mergeCell ref="C187:D187"/>
    <mergeCell ref="F187:H187"/>
    <mergeCell ref="I187:J187"/>
    <mergeCell ref="A178:A179"/>
    <mergeCell ref="B178:B179"/>
    <mergeCell ref="F178:G178"/>
    <mergeCell ref="F180:G180"/>
    <mergeCell ref="G181:G182"/>
    <mergeCell ref="H181:J182"/>
    <mergeCell ref="A196:B196"/>
    <mergeCell ref="C196:E196"/>
    <mergeCell ref="G196:H196"/>
    <mergeCell ref="I196:J196"/>
    <mergeCell ref="C197:D197"/>
    <mergeCell ref="F197:J197"/>
    <mergeCell ref="C193:D193"/>
    <mergeCell ref="F193:H193"/>
    <mergeCell ref="I193:J193"/>
    <mergeCell ref="C194:D194"/>
    <mergeCell ref="F194:H194"/>
    <mergeCell ref="I194:J194"/>
    <mergeCell ref="C191:D191"/>
    <mergeCell ref="F191:H191"/>
    <mergeCell ref="I191:J191"/>
    <mergeCell ref="C192:D192"/>
    <mergeCell ref="F192:H192"/>
    <mergeCell ref="I192:J192"/>
    <mergeCell ref="A203:B203"/>
    <mergeCell ref="C203:E203"/>
    <mergeCell ref="G203:H203"/>
    <mergeCell ref="I203:J203"/>
    <mergeCell ref="A204:B204"/>
    <mergeCell ref="C204:E204"/>
    <mergeCell ref="F204:J204"/>
    <mergeCell ref="A201:B201"/>
    <mergeCell ref="C201:E201"/>
    <mergeCell ref="G201:H201"/>
    <mergeCell ref="I201:J201"/>
    <mergeCell ref="A202:B202"/>
    <mergeCell ref="C202:E202"/>
    <mergeCell ref="F202:J202"/>
    <mergeCell ref="A199:B199"/>
    <mergeCell ref="C199:E199"/>
    <mergeCell ref="G199:H199"/>
    <mergeCell ref="I199:J199"/>
    <mergeCell ref="A200:B200"/>
    <mergeCell ref="C200:E200"/>
    <mergeCell ref="F200:J200"/>
    <mergeCell ref="I216:J216"/>
    <mergeCell ref="I209:J209"/>
    <mergeCell ref="C209:D209"/>
    <mergeCell ref="C210:D211"/>
    <mergeCell ref="E210:E211"/>
    <mergeCell ref="C212:C213"/>
    <mergeCell ref="D212:F212"/>
    <mergeCell ref="D213:F213"/>
    <mergeCell ref="D214:F214"/>
    <mergeCell ref="A207:B207"/>
    <mergeCell ref="C207:E207"/>
    <mergeCell ref="G207:H207"/>
    <mergeCell ref="I207:J207"/>
    <mergeCell ref="A208:B208"/>
    <mergeCell ref="C208:E208"/>
    <mergeCell ref="F208:J208"/>
    <mergeCell ref="A205:B205"/>
    <mergeCell ref="C205:E205"/>
    <mergeCell ref="G205:H205"/>
    <mergeCell ref="I205:J205"/>
    <mergeCell ref="A206:B206"/>
    <mergeCell ref="C206:E206"/>
    <mergeCell ref="F206:J206"/>
    <mergeCell ref="A235:A236"/>
    <mergeCell ref="B235:B236"/>
    <mergeCell ref="F235:G235"/>
    <mergeCell ref="F237:G237"/>
    <mergeCell ref="G238:G239"/>
    <mergeCell ref="H238:J239"/>
    <mergeCell ref="F231:H232"/>
    <mergeCell ref="I232:I233"/>
    <mergeCell ref="J232:J233"/>
    <mergeCell ref="A233:A234"/>
    <mergeCell ref="B233:B234"/>
    <mergeCell ref="E233:E234"/>
    <mergeCell ref="F233:H234"/>
    <mergeCell ref="B229:D230"/>
    <mergeCell ref="A231:A232"/>
    <mergeCell ref="B231:B232"/>
    <mergeCell ref="C231:C232"/>
    <mergeCell ref="D231:D232"/>
    <mergeCell ref="E231:E232"/>
    <mergeCell ref="C248:D248"/>
    <mergeCell ref="F248:H248"/>
    <mergeCell ref="I248:J248"/>
    <mergeCell ref="C249:D249"/>
    <mergeCell ref="F249:H249"/>
    <mergeCell ref="I249:J249"/>
    <mergeCell ref="C246:D246"/>
    <mergeCell ref="F246:H246"/>
    <mergeCell ref="I246:J246"/>
    <mergeCell ref="C247:D247"/>
    <mergeCell ref="F247:H247"/>
    <mergeCell ref="I247:J247"/>
    <mergeCell ref="A240:C241"/>
    <mergeCell ref="G240:G241"/>
    <mergeCell ref="H240:H241"/>
    <mergeCell ref="I240:J241"/>
    <mergeCell ref="A243:J243"/>
    <mergeCell ref="C244:D244"/>
    <mergeCell ref="F244:H244"/>
    <mergeCell ref="I244:J244"/>
    <mergeCell ref="A256:B256"/>
    <mergeCell ref="C256:E256"/>
    <mergeCell ref="G256:H256"/>
    <mergeCell ref="I256:J256"/>
    <mergeCell ref="A257:B257"/>
    <mergeCell ref="C257:E257"/>
    <mergeCell ref="F257:J257"/>
    <mergeCell ref="A253:B253"/>
    <mergeCell ref="C253:E253"/>
    <mergeCell ref="G253:H253"/>
    <mergeCell ref="I253:J253"/>
    <mergeCell ref="C254:D254"/>
    <mergeCell ref="F254:J254"/>
    <mergeCell ref="C250:D250"/>
    <mergeCell ref="F250:H250"/>
    <mergeCell ref="I250:J250"/>
    <mergeCell ref="C251:D251"/>
    <mergeCell ref="F251:H251"/>
    <mergeCell ref="I251:J251"/>
    <mergeCell ref="A262:B262"/>
    <mergeCell ref="C262:E262"/>
    <mergeCell ref="G262:H262"/>
    <mergeCell ref="I262:J262"/>
    <mergeCell ref="A263:B263"/>
    <mergeCell ref="C263:E263"/>
    <mergeCell ref="F263:J263"/>
    <mergeCell ref="A260:B260"/>
    <mergeCell ref="C260:E260"/>
    <mergeCell ref="G260:H260"/>
    <mergeCell ref="I260:J260"/>
    <mergeCell ref="A261:B261"/>
    <mergeCell ref="C261:E261"/>
    <mergeCell ref="F261:J261"/>
    <mergeCell ref="A258:B258"/>
    <mergeCell ref="C258:E258"/>
    <mergeCell ref="G258:H258"/>
    <mergeCell ref="I258:J258"/>
    <mergeCell ref="A259:B259"/>
    <mergeCell ref="C259:E259"/>
    <mergeCell ref="F259:J259"/>
    <mergeCell ref="B286:D287"/>
    <mergeCell ref="A288:A289"/>
    <mergeCell ref="B288:B289"/>
    <mergeCell ref="C288:C289"/>
    <mergeCell ref="D288:D289"/>
    <mergeCell ref="E288:E289"/>
    <mergeCell ref="C269:C270"/>
    <mergeCell ref="D269:F269"/>
    <mergeCell ref="D270:F270"/>
    <mergeCell ref="D271:F271"/>
    <mergeCell ref="I273:J273"/>
    <mergeCell ref="I266:J266"/>
    <mergeCell ref="A264:B264"/>
    <mergeCell ref="C264:E264"/>
    <mergeCell ref="G264:H264"/>
    <mergeCell ref="I264:J264"/>
    <mergeCell ref="A265:B265"/>
    <mergeCell ref="C265:E265"/>
    <mergeCell ref="F265:J265"/>
    <mergeCell ref="C266:D266"/>
    <mergeCell ref="C267:D268"/>
    <mergeCell ref="E267:E268"/>
    <mergeCell ref="A297:C298"/>
    <mergeCell ref="G297:G298"/>
    <mergeCell ref="H297:H298"/>
    <mergeCell ref="I297:J298"/>
    <mergeCell ref="A300:J300"/>
    <mergeCell ref="C301:D301"/>
    <mergeCell ref="F301:H301"/>
    <mergeCell ref="I301:J301"/>
    <mergeCell ref="A292:A293"/>
    <mergeCell ref="B292:B293"/>
    <mergeCell ref="F292:G292"/>
    <mergeCell ref="F294:G294"/>
    <mergeCell ref="G295:G296"/>
    <mergeCell ref="H295:J296"/>
    <mergeCell ref="F288:H289"/>
    <mergeCell ref="I289:I290"/>
    <mergeCell ref="J289:J290"/>
    <mergeCell ref="A290:A291"/>
    <mergeCell ref="B290:B291"/>
    <mergeCell ref="E290:E291"/>
    <mergeCell ref="F290:H291"/>
    <mergeCell ref="C307:D307"/>
    <mergeCell ref="F307:H307"/>
    <mergeCell ref="I307:J307"/>
    <mergeCell ref="C308:D308"/>
    <mergeCell ref="F308:H308"/>
    <mergeCell ref="I308:J308"/>
    <mergeCell ref="C305:D305"/>
    <mergeCell ref="F305:H305"/>
    <mergeCell ref="I305:J305"/>
    <mergeCell ref="C306:D306"/>
    <mergeCell ref="F306:H306"/>
    <mergeCell ref="I306:J306"/>
    <mergeCell ref="C303:D303"/>
    <mergeCell ref="F303:H303"/>
    <mergeCell ref="I303:J303"/>
    <mergeCell ref="C304:D304"/>
    <mergeCell ref="F304:H304"/>
    <mergeCell ref="I304:J304"/>
    <mergeCell ref="A315:B315"/>
    <mergeCell ref="C315:E315"/>
    <mergeCell ref="G315:H315"/>
    <mergeCell ref="I315:J315"/>
    <mergeCell ref="A316:B316"/>
    <mergeCell ref="C316:E316"/>
    <mergeCell ref="F316:J316"/>
    <mergeCell ref="A313:B313"/>
    <mergeCell ref="C313:E313"/>
    <mergeCell ref="G313:H313"/>
    <mergeCell ref="I313:J313"/>
    <mergeCell ref="A314:B314"/>
    <mergeCell ref="C314:E314"/>
    <mergeCell ref="F314:J314"/>
    <mergeCell ref="A310:B310"/>
    <mergeCell ref="C310:E310"/>
    <mergeCell ref="G310:H310"/>
    <mergeCell ref="I310:J310"/>
    <mergeCell ref="C311:D311"/>
    <mergeCell ref="F311:J311"/>
    <mergeCell ref="I323:J323"/>
    <mergeCell ref="A321:B321"/>
    <mergeCell ref="C321:E321"/>
    <mergeCell ref="G321:H321"/>
    <mergeCell ref="I321:J321"/>
    <mergeCell ref="A322:B322"/>
    <mergeCell ref="C322:E322"/>
    <mergeCell ref="F322:J322"/>
    <mergeCell ref="A319:B319"/>
    <mergeCell ref="C319:E319"/>
    <mergeCell ref="G319:H319"/>
    <mergeCell ref="I319:J319"/>
    <mergeCell ref="A320:B320"/>
    <mergeCell ref="C320:E320"/>
    <mergeCell ref="F320:J320"/>
    <mergeCell ref="C323:D323"/>
    <mergeCell ref="A317:B317"/>
    <mergeCell ref="C317:E317"/>
    <mergeCell ref="G317:H317"/>
    <mergeCell ref="I317:J317"/>
    <mergeCell ref="A318:B318"/>
    <mergeCell ref="C318:E318"/>
    <mergeCell ref="F318:J318"/>
    <mergeCell ref="F345:H346"/>
    <mergeCell ref="I346:I347"/>
    <mergeCell ref="J346:J347"/>
    <mergeCell ref="A347:A348"/>
    <mergeCell ref="B347:B348"/>
    <mergeCell ref="E347:E348"/>
    <mergeCell ref="F347:H348"/>
    <mergeCell ref="B343:D344"/>
    <mergeCell ref="A345:A346"/>
    <mergeCell ref="B345:B346"/>
    <mergeCell ref="C345:C346"/>
    <mergeCell ref="D345:D346"/>
    <mergeCell ref="E345:E346"/>
    <mergeCell ref="C324:D325"/>
    <mergeCell ref="E324:E325"/>
    <mergeCell ref="C326:C327"/>
    <mergeCell ref="D326:F326"/>
    <mergeCell ref="D327:F327"/>
    <mergeCell ref="D328:F328"/>
    <mergeCell ref="I330:J330"/>
    <mergeCell ref="C360:D360"/>
    <mergeCell ref="F360:H360"/>
    <mergeCell ref="I360:J360"/>
    <mergeCell ref="C361:D361"/>
    <mergeCell ref="F361:H361"/>
    <mergeCell ref="I361:J361"/>
    <mergeCell ref="A354:C355"/>
    <mergeCell ref="G354:G355"/>
    <mergeCell ref="H354:H355"/>
    <mergeCell ref="I354:J355"/>
    <mergeCell ref="A357:J357"/>
    <mergeCell ref="C358:D358"/>
    <mergeCell ref="F358:H358"/>
    <mergeCell ref="I358:J358"/>
    <mergeCell ref="A349:A350"/>
    <mergeCell ref="B349:B350"/>
    <mergeCell ref="F349:G349"/>
    <mergeCell ref="F351:G351"/>
    <mergeCell ref="G352:G353"/>
    <mergeCell ref="H352:J353"/>
    <mergeCell ref="A367:B367"/>
    <mergeCell ref="C367:E367"/>
    <mergeCell ref="G367:H367"/>
    <mergeCell ref="I367:J367"/>
    <mergeCell ref="C368:D368"/>
    <mergeCell ref="F368:J368"/>
    <mergeCell ref="C364:D364"/>
    <mergeCell ref="F364:H364"/>
    <mergeCell ref="I364:J364"/>
    <mergeCell ref="C365:D365"/>
    <mergeCell ref="F365:H365"/>
    <mergeCell ref="I365:J365"/>
    <mergeCell ref="C362:D362"/>
    <mergeCell ref="F362:H362"/>
    <mergeCell ref="I362:J362"/>
    <mergeCell ref="C363:D363"/>
    <mergeCell ref="F363:H363"/>
    <mergeCell ref="I363:J363"/>
    <mergeCell ref="A374:B374"/>
    <mergeCell ref="C374:E374"/>
    <mergeCell ref="G374:H374"/>
    <mergeCell ref="I374:J374"/>
    <mergeCell ref="A375:B375"/>
    <mergeCell ref="C375:E375"/>
    <mergeCell ref="F375:J375"/>
    <mergeCell ref="A372:B372"/>
    <mergeCell ref="C372:E372"/>
    <mergeCell ref="G372:H372"/>
    <mergeCell ref="I372:J372"/>
    <mergeCell ref="A373:B373"/>
    <mergeCell ref="C373:E373"/>
    <mergeCell ref="F373:J373"/>
    <mergeCell ref="A370:B370"/>
    <mergeCell ref="C370:E370"/>
    <mergeCell ref="G370:H370"/>
    <mergeCell ref="I370:J370"/>
    <mergeCell ref="A371:B371"/>
    <mergeCell ref="C371:E371"/>
    <mergeCell ref="F371:J371"/>
    <mergeCell ref="I387:J387"/>
    <mergeCell ref="I380:J380"/>
    <mergeCell ref="C380:D380"/>
    <mergeCell ref="C381:D382"/>
    <mergeCell ref="E381:E382"/>
    <mergeCell ref="C383:C384"/>
    <mergeCell ref="D383:F383"/>
    <mergeCell ref="D384:F384"/>
    <mergeCell ref="D385:F385"/>
    <mergeCell ref="A378:B378"/>
    <mergeCell ref="C378:E378"/>
    <mergeCell ref="G378:H378"/>
    <mergeCell ref="I378:J378"/>
    <mergeCell ref="A379:B379"/>
    <mergeCell ref="C379:E379"/>
    <mergeCell ref="F379:J379"/>
    <mergeCell ref="A376:B376"/>
    <mergeCell ref="C376:E376"/>
    <mergeCell ref="G376:H376"/>
    <mergeCell ref="I376:J376"/>
    <mergeCell ref="A377:B377"/>
    <mergeCell ref="C377:E377"/>
    <mergeCell ref="F377:J377"/>
    <mergeCell ref="A406:A407"/>
    <mergeCell ref="B406:B407"/>
    <mergeCell ref="F406:G406"/>
    <mergeCell ref="F408:G408"/>
    <mergeCell ref="G409:G410"/>
    <mergeCell ref="H409:J410"/>
    <mergeCell ref="F402:H403"/>
    <mergeCell ref="I403:I404"/>
    <mergeCell ref="J403:J404"/>
    <mergeCell ref="A404:A405"/>
    <mergeCell ref="B404:B405"/>
    <mergeCell ref="E404:E405"/>
    <mergeCell ref="F404:H405"/>
    <mergeCell ref="B400:D401"/>
    <mergeCell ref="A402:A403"/>
    <mergeCell ref="B402:B403"/>
    <mergeCell ref="C402:C403"/>
    <mergeCell ref="D402:D403"/>
    <mergeCell ref="E402:E403"/>
    <mergeCell ref="C419:D419"/>
    <mergeCell ref="F419:H419"/>
    <mergeCell ref="I419:J419"/>
    <mergeCell ref="C420:D420"/>
    <mergeCell ref="F420:H420"/>
    <mergeCell ref="I420:J420"/>
    <mergeCell ref="C417:D417"/>
    <mergeCell ref="F417:H417"/>
    <mergeCell ref="I417:J417"/>
    <mergeCell ref="C418:D418"/>
    <mergeCell ref="F418:H418"/>
    <mergeCell ref="I418:J418"/>
    <mergeCell ref="A411:C412"/>
    <mergeCell ref="G411:G412"/>
    <mergeCell ref="H411:H412"/>
    <mergeCell ref="I411:J412"/>
    <mergeCell ref="A414:J414"/>
    <mergeCell ref="C415:D415"/>
    <mergeCell ref="F415:H415"/>
    <mergeCell ref="I415:J415"/>
    <mergeCell ref="A427:B427"/>
    <mergeCell ref="C427:E427"/>
    <mergeCell ref="G427:H427"/>
    <mergeCell ref="I427:J427"/>
    <mergeCell ref="A428:B428"/>
    <mergeCell ref="C428:E428"/>
    <mergeCell ref="F428:J428"/>
    <mergeCell ref="A424:B424"/>
    <mergeCell ref="C424:E424"/>
    <mergeCell ref="G424:H424"/>
    <mergeCell ref="I424:J424"/>
    <mergeCell ref="C425:D425"/>
    <mergeCell ref="F425:J425"/>
    <mergeCell ref="C421:D421"/>
    <mergeCell ref="F421:H421"/>
    <mergeCell ref="I421:J421"/>
    <mergeCell ref="C422:D422"/>
    <mergeCell ref="F422:H422"/>
    <mergeCell ref="I422:J422"/>
    <mergeCell ref="A433:B433"/>
    <mergeCell ref="C433:E433"/>
    <mergeCell ref="G433:H433"/>
    <mergeCell ref="I433:J433"/>
    <mergeCell ref="A434:B434"/>
    <mergeCell ref="C434:E434"/>
    <mergeCell ref="F434:J434"/>
    <mergeCell ref="A431:B431"/>
    <mergeCell ref="C431:E431"/>
    <mergeCell ref="G431:H431"/>
    <mergeCell ref="I431:J431"/>
    <mergeCell ref="A432:B432"/>
    <mergeCell ref="C432:E432"/>
    <mergeCell ref="F432:J432"/>
    <mergeCell ref="A429:B429"/>
    <mergeCell ref="C429:E429"/>
    <mergeCell ref="G429:H429"/>
    <mergeCell ref="I429:J429"/>
    <mergeCell ref="A430:B430"/>
    <mergeCell ref="C430:E430"/>
    <mergeCell ref="F430:J430"/>
    <mergeCell ref="B457:D458"/>
    <mergeCell ref="A459:A460"/>
    <mergeCell ref="B459:B460"/>
    <mergeCell ref="C459:C460"/>
    <mergeCell ref="D459:D460"/>
    <mergeCell ref="E459:E460"/>
    <mergeCell ref="C440:C441"/>
    <mergeCell ref="D440:F440"/>
    <mergeCell ref="D441:F441"/>
    <mergeCell ref="D442:F442"/>
    <mergeCell ref="I444:J444"/>
    <mergeCell ref="I437:J437"/>
    <mergeCell ref="A435:B435"/>
    <mergeCell ref="C435:E435"/>
    <mergeCell ref="G435:H435"/>
    <mergeCell ref="I435:J435"/>
    <mergeCell ref="A436:B436"/>
    <mergeCell ref="C436:E436"/>
    <mergeCell ref="F436:J436"/>
    <mergeCell ref="C437:D437"/>
    <mergeCell ref="C438:D439"/>
    <mergeCell ref="E438:E439"/>
    <mergeCell ref="A468:C469"/>
    <mergeCell ref="G468:G469"/>
    <mergeCell ref="H468:H469"/>
    <mergeCell ref="I468:J469"/>
    <mergeCell ref="A471:J471"/>
    <mergeCell ref="C472:D472"/>
    <mergeCell ref="F472:H472"/>
    <mergeCell ref="I472:J472"/>
    <mergeCell ref="A463:A464"/>
    <mergeCell ref="B463:B464"/>
    <mergeCell ref="F463:G463"/>
    <mergeCell ref="F465:G465"/>
    <mergeCell ref="G466:G467"/>
    <mergeCell ref="H466:J467"/>
    <mergeCell ref="F459:H460"/>
    <mergeCell ref="I460:I461"/>
    <mergeCell ref="J460:J461"/>
    <mergeCell ref="A461:A462"/>
    <mergeCell ref="B461:B462"/>
    <mergeCell ref="E461:E462"/>
    <mergeCell ref="F461:H462"/>
    <mergeCell ref="C478:D478"/>
    <mergeCell ref="F478:H478"/>
    <mergeCell ref="I478:J478"/>
    <mergeCell ref="C479:D479"/>
    <mergeCell ref="F479:H479"/>
    <mergeCell ref="I479:J479"/>
    <mergeCell ref="C476:D476"/>
    <mergeCell ref="F476:H476"/>
    <mergeCell ref="I476:J476"/>
    <mergeCell ref="C477:D477"/>
    <mergeCell ref="F477:H477"/>
    <mergeCell ref="I477:J477"/>
    <mergeCell ref="C474:D474"/>
    <mergeCell ref="F474:H474"/>
    <mergeCell ref="I474:J474"/>
    <mergeCell ref="C475:D475"/>
    <mergeCell ref="F475:H475"/>
    <mergeCell ref="I475:J475"/>
    <mergeCell ref="A486:B486"/>
    <mergeCell ref="C486:E486"/>
    <mergeCell ref="G486:H486"/>
    <mergeCell ref="I486:J486"/>
    <mergeCell ref="A487:B487"/>
    <mergeCell ref="C487:E487"/>
    <mergeCell ref="F487:J487"/>
    <mergeCell ref="A484:B484"/>
    <mergeCell ref="C484:E484"/>
    <mergeCell ref="G484:H484"/>
    <mergeCell ref="I484:J484"/>
    <mergeCell ref="A485:B485"/>
    <mergeCell ref="C485:E485"/>
    <mergeCell ref="F485:J485"/>
    <mergeCell ref="A481:B481"/>
    <mergeCell ref="C481:E481"/>
    <mergeCell ref="G481:H481"/>
    <mergeCell ref="I481:J481"/>
    <mergeCell ref="C482:D482"/>
    <mergeCell ref="F482:J482"/>
    <mergeCell ref="I494:J494"/>
    <mergeCell ref="A492:B492"/>
    <mergeCell ref="C492:E492"/>
    <mergeCell ref="G492:H492"/>
    <mergeCell ref="I492:J492"/>
    <mergeCell ref="A493:B493"/>
    <mergeCell ref="C493:E493"/>
    <mergeCell ref="F493:J493"/>
    <mergeCell ref="A490:B490"/>
    <mergeCell ref="C490:E490"/>
    <mergeCell ref="G490:H490"/>
    <mergeCell ref="I490:J490"/>
    <mergeCell ref="A491:B491"/>
    <mergeCell ref="C491:E491"/>
    <mergeCell ref="F491:J491"/>
    <mergeCell ref="C494:D494"/>
    <mergeCell ref="A488:B488"/>
    <mergeCell ref="C488:E488"/>
    <mergeCell ref="G488:H488"/>
    <mergeCell ref="I488:J488"/>
    <mergeCell ref="A489:B489"/>
    <mergeCell ref="C489:E489"/>
    <mergeCell ref="F489:J489"/>
    <mergeCell ref="F516:H517"/>
    <mergeCell ref="I517:I518"/>
    <mergeCell ref="J517:J518"/>
    <mergeCell ref="A518:A519"/>
    <mergeCell ref="B518:B519"/>
    <mergeCell ref="E518:E519"/>
    <mergeCell ref="F518:H519"/>
    <mergeCell ref="B514:D515"/>
    <mergeCell ref="A516:A517"/>
    <mergeCell ref="B516:B517"/>
    <mergeCell ref="C516:C517"/>
    <mergeCell ref="D516:D517"/>
    <mergeCell ref="E516:E517"/>
    <mergeCell ref="C495:D496"/>
    <mergeCell ref="E495:E496"/>
    <mergeCell ref="C497:C498"/>
    <mergeCell ref="D497:F497"/>
    <mergeCell ref="D498:F498"/>
    <mergeCell ref="D499:F499"/>
    <mergeCell ref="I501:J501"/>
    <mergeCell ref="C531:D531"/>
    <mergeCell ref="F531:H531"/>
    <mergeCell ref="I531:J531"/>
    <mergeCell ref="C532:D532"/>
    <mergeCell ref="F532:H532"/>
    <mergeCell ref="I532:J532"/>
    <mergeCell ref="A525:C526"/>
    <mergeCell ref="G525:G526"/>
    <mergeCell ref="H525:H526"/>
    <mergeCell ref="I525:J526"/>
    <mergeCell ref="A528:J528"/>
    <mergeCell ref="C529:D529"/>
    <mergeCell ref="F529:H529"/>
    <mergeCell ref="I529:J529"/>
    <mergeCell ref="A520:A521"/>
    <mergeCell ref="B520:B521"/>
    <mergeCell ref="F520:G520"/>
    <mergeCell ref="F522:G522"/>
    <mergeCell ref="G523:G524"/>
    <mergeCell ref="H523:J524"/>
    <mergeCell ref="A538:B538"/>
    <mergeCell ref="C538:E538"/>
    <mergeCell ref="G538:H538"/>
    <mergeCell ref="I538:J538"/>
    <mergeCell ref="C539:D539"/>
    <mergeCell ref="F539:J539"/>
    <mergeCell ref="C535:D535"/>
    <mergeCell ref="F535:H535"/>
    <mergeCell ref="I535:J535"/>
    <mergeCell ref="C536:D536"/>
    <mergeCell ref="F536:H536"/>
    <mergeCell ref="I536:J536"/>
    <mergeCell ref="C533:D533"/>
    <mergeCell ref="F533:H533"/>
    <mergeCell ref="I533:J533"/>
    <mergeCell ref="C534:D534"/>
    <mergeCell ref="F534:H534"/>
    <mergeCell ref="I534:J534"/>
    <mergeCell ref="A545:B545"/>
    <mergeCell ref="C545:E545"/>
    <mergeCell ref="G545:H545"/>
    <mergeCell ref="I545:J545"/>
    <mergeCell ref="A546:B546"/>
    <mergeCell ref="C546:E546"/>
    <mergeCell ref="F546:J546"/>
    <mergeCell ref="A543:B543"/>
    <mergeCell ref="C543:E543"/>
    <mergeCell ref="G543:H543"/>
    <mergeCell ref="I543:J543"/>
    <mergeCell ref="A544:B544"/>
    <mergeCell ref="C544:E544"/>
    <mergeCell ref="F544:J544"/>
    <mergeCell ref="A541:B541"/>
    <mergeCell ref="C541:E541"/>
    <mergeCell ref="G541:H541"/>
    <mergeCell ref="I541:J541"/>
    <mergeCell ref="A542:B542"/>
    <mergeCell ref="C542:E542"/>
    <mergeCell ref="F542:J542"/>
    <mergeCell ref="I558:J558"/>
    <mergeCell ref="I551:J551"/>
    <mergeCell ref="C551:D551"/>
    <mergeCell ref="C552:D553"/>
    <mergeCell ref="E552:E553"/>
    <mergeCell ref="C554:C555"/>
    <mergeCell ref="D554:F554"/>
    <mergeCell ref="D555:F555"/>
    <mergeCell ref="D556:F556"/>
    <mergeCell ref="A549:B549"/>
    <mergeCell ref="C549:E549"/>
    <mergeCell ref="G549:H549"/>
    <mergeCell ref="I549:J549"/>
    <mergeCell ref="A550:B550"/>
    <mergeCell ref="C550:E550"/>
    <mergeCell ref="F550:J550"/>
    <mergeCell ref="A547:B547"/>
    <mergeCell ref="C547:E547"/>
    <mergeCell ref="G547:H547"/>
    <mergeCell ref="I547:J547"/>
    <mergeCell ref="A548:B548"/>
    <mergeCell ref="C548:E548"/>
    <mergeCell ref="F548:J548"/>
    <mergeCell ref="A577:A578"/>
    <mergeCell ref="B577:B578"/>
    <mergeCell ref="F577:G577"/>
    <mergeCell ref="F579:G579"/>
    <mergeCell ref="G580:G581"/>
    <mergeCell ref="H580:J581"/>
    <mergeCell ref="F573:H574"/>
    <mergeCell ref="I574:I575"/>
    <mergeCell ref="J574:J575"/>
    <mergeCell ref="A575:A576"/>
    <mergeCell ref="B575:B576"/>
    <mergeCell ref="E575:E576"/>
    <mergeCell ref="F575:H576"/>
    <mergeCell ref="B571:D572"/>
    <mergeCell ref="A573:A574"/>
    <mergeCell ref="B573:B574"/>
    <mergeCell ref="C573:C574"/>
    <mergeCell ref="D573:D574"/>
    <mergeCell ref="E573:E574"/>
    <mergeCell ref="C590:D590"/>
    <mergeCell ref="F590:H590"/>
    <mergeCell ref="I590:J590"/>
    <mergeCell ref="C591:D591"/>
    <mergeCell ref="F591:H591"/>
    <mergeCell ref="I591:J591"/>
    <mergeCell ref="C588:D588"/>
    <mergeCell ref="F588:H588"/>
    <mergeCell ref="I588:J588"/>
    <mergeCell ref="C589:D589"/>
    <mergeCell ref="F589:H589"/>
    <mergeCell ref="I589:J589"/>
    <mergeCell ref="A582:C583"/>
    <mergeCell ref="G582:G583"/>
    <mergeCell ref="H582:H583"/>
    <mergeCell ref="I582:J583"/>
    <mergeCell ref="A585:J585"/>
    <mergeCell ref="C586:D586"/>
    <mergeCell ref="F586:H586"/>
    <mergeCell ref="I586:J586"/>
    <mergeCell ref="A598:B598"/>
    <mergeCell ref="C598:E598"/>
    <mergeCell ref="G598:H598"/>
    <mergeCell ref="I598:J598"/>
    <mergeCell ref="A599:B599"/>
    <mergeCell ref="C599:E599"/>
    <mergeCell ref="F599:J599"/>
    <mergeCell ref="A595:B595"/>
    <mergeCell ref="C595:E595"/>
    <mergeCell ref="G595:H595"/>
    <mergeCell ref="I595:J595"/>
    <mergeCell ref="C596:D596"/>
    <mergeCell ref="F596:J596"/>
    <mergeCell ref="C592:D592"/>
    <mergeCell ref="F592:H592"/>
    <mergeCell ref="I592:J592"/>
    <mergeCell ref="C593:D593"/>
    <mergeCell ref="F593:H593"/>
    <mergeCell ref="I593:J593"/>
    <mergeCell ref="A604:B604"/>
    <mergeCell ref="C604:E604"/>
    <mergeCell ref="G604:H604"/>
    <mergeCell ref="I604:J604"/>
    <mergeCell ref="A605:B605"/>
    <mergeCell ref="C605:E605"/>
    <mergeCell ref="F605:J605"/>
    <mergeCell ref="A602:B602"/>
    <mergeCell ref="C602:E602"/>
    <mergeCell ref="G602:H602"/>
    <mergeCell ref="I602:J602"/>
    <mergeCell ref="A603:B603"/>
    <mergeCell ref="C603:E603"/>
    <mergeCell ref="F603:J603"/>
    <mergeCell ref="A600:B600"/>
    <mergeCell ref="C600:E600"/>
    <mergeCell ref="G600:H600"/>
    <mergeCell ref="I600:J600"/>
    <mergeCell ref="A601:B601"/>
    <mergeCell ref="C601:E601"/>
    <mergeCell ref="F601:J601"/>
    <mergeCell ref="B628:D629"/>
    <mergeCell ref="A630:A631"/>
    <mergeCell ref="B630:B631"/>
    <mergeCell ref="C630:C631"/>
    <mergeCell ref="D630:D631"/>
    <mergeCell ref="E630:E631"/>
    <mergeCell ref="C611:C612"/>
    <mergeCell ref="D611:F611"/>
    <mergeCell ref="D612:F612"/>
    <mergeCell ref="D613:F613"/>
    <mergeCell ref="I615:J615"/>
    <mergeCell ref="I608:J608"/>
    <mergeCell ref="A606:B606"/>
    <mergeCell ref="C606:E606"/>
    <mergeCell ref="G606:H606"/>
    <mergeCell ref="I606:J606"/>
    <mergeCell ref="A607:B607"/>
    <mergeCell ref="C607:E607"/>
    <mergeCell ref="F607:J607"/>
    <mergeCell ref="C608:D608"/>
    <mergeCell ref="C609:D610"/>
    <mergeCell ref="E609:E610"/>
    <mergeCell ref="A639:C640"/>
    <mergeCell ref="G639:G640"/>
    <mergeCell ref="H639:H640"/>
    <mergeCell ref="I639:J640"/>
    <mergeCell ref="A642:J642"/>
    <mergeCell ref="C643:D643"/>
    <mergeCell ref="F643:H643"/>
    <mergeCell ref="I643:J643"/>
    <mergeCell ref="A634:A635"/>
    <mergeCell ref="B634:B635"/>
    <mergeCell ref="F634:G634"/>
    <mergeCell ref="F636:G636"/>
    <mergeCell ref="G637:G638"/>
    <mergeCell ref="H637:J638"/>
    <mergeCell ref="F630:H631"/>
    <mergeCell ref="I631:I632"/>
    <mergeCell ref="J631:J632"/>
    <mergeCell ref="A632:A633"/>
    <mergeCell ref="B632:B633"/>
    <mergeCell ref="E632:E633"/>
    <mergeCell ref="F632:H633"/>
    <mergeCell ref="C649:D649"/>
    <mergeCell ref="F649:H649"/>
    <mergeCell ref="I649:J649"/>
    <mergeCell ref="C650:D650"/>
    <mergeCell ref="F650:H650"/>
    <mergeCell ref="I650:J650"/>
    <mergeCell ref="C647:D647"/>
    <mergeCell ref="F647:H647"/>
    <mergeCell ref="I647:J647"/>
    <mergeCell ref="C648:D648"/>
    <mergeCell ref="F648:H648"/>
    <mergeCell ref="I648:J648"/>
    <mergeCell ref="C645:D645"/>
    <mergeCell ref="F645:H645"/>
    <mergeCell ref="I645:J645"/>
    <mergeCell ref="C646:D646"/>
    <mergeCell ref="F646:H646"/>
    <mergeCell ref="I646:J646"/>
    <mergeCell ref="A657:B657"/>
    <mergeCell ref="C657:E657"/>
    <mergeCell ref="G657:H657"/>
    <mergeCell ref="I657:J657"/>
    <mergeCell ref="A658:B658"/>
    <mergeCell ref="C658:E658"/>
    <mergeCell ref="F658:J658"/>
    <mergeCell ref="A655:B655"/>
    <mergeCell ref="C655:E655"/>
    <mergeCell ref="G655:H655"/>
    <mergeCell ref="I655:J655"/>
    <mergeCell ref="A656:B656"/>
    <mergeCell ref="C656:E656"/>
    <mergeCell ref="F656:J656"/>
    <mergeCell ref="A652:B652"/>
    <mergeCell ref="C652:E652"/>
    <mergeCell ref="G652:H652"/>
    <mergeCell ref="I652:J652"/>
    <mergeCell ref="C653:D653"/>
    <mergeCell ref="F653:J653"/>
    <mergeCell ref="I665:J665"/>
    <mergeCell ref="A663:B663"/>
    <mergeCell ref="C663:E663"/>
    <mergeCell ref="G663:H663"/>
    <mergeCell ref="I663:J663"/>
    <mergeCell ref="A664:B664"/>
    <mergeCell ref="C664:E664"/>
    <mergeCell ref="F664:J664"/>
    <mergeCell ref="A661:B661"/>
    <mergeCell ref="C661:E661"/>
    <mergeCell ref="G661:H661"/>
    <mergeCell ref="I661:J661"/>
    <mergeCell ref="A662:B662"/>
    <mergeCell ref="C662:E662"/>
    <mergeCell ref="F662:J662"/>
    <mergeCell ref="C665:D665"/>
    <mergeCell ref="A659:B659"/>
    <mergeCell ref="C659:E659"/>
    <mergeCell ref="G659:H659"/>
    <mergeCell ref="I659:J659"/>
    <mergeCell ref="A660:B660"/>
    <mergeCell ref="C660:E660"/>
    <mergeCell ref="F660:J660"/>
    <mergeCell ref="F687:H688"/>
    <mergeCell ref="I688:I689"/>
    <mergeCell ref="J688:J689"/>
    <mergeCell ref="A689:A690"/>
    <mergeCell ref="B689:B690"/>
    <mergeCell ref="E689:E690"/>
    <mergeCell ref="F689:H690"/>
    <mergeCell ref="B685:D686"/>
    <mergeCell ref="A687:A688"/>
    <mergeCell ref="B687:B688"/>
    <mergeCell ref="C687:C688"/>
    <mergeCell ref="D687:D688"/>
    <mergeCell ref="E687:E688"/>
    <mergeCell ref="C666:D667"/>
    <mergeCell ref="E666:E667"/>
    <mergeCell ref="C668:C669"/>
    <mergeCell ref="D668:F668"/>
    <mergeCell ref="D669:F669"/>
    <mergeCell ref="D670:F670"/>
    <mergeCell ref="I672:J672"/>
    <mergeCell ref="C702:D702"/>
    <mergeCell ref="F702:H702"/>
    <mergeCell ref="I702:J702"/>
    <mergeCell ref="C703:D703"/>
    <mergeCell ref="F703:H703"/>
    <mergeCell ref="I703:J703"/>
    <mergeCell ref="A696:C697"/>
    <mergeCell ref="G696:G697"/>
    <mergeCell ref="H696:H697"/>
    <mergeCell ref="I696:J697"/>
    <mergeCell ref="A699:J699"/>
    <mergeCell ref="C700:D700"/>
    <mergeCell ref="F700:H700"/>
    <mergeCell ref="I700:J700"/>
    <mergeCell ref="A691:A692"/>
    <mergeCell ref="B691:B692"/>
    <mergeCell ref="F691:G691"/>
    <mergeCell ref="F693:G693"/>
    <mergeCell ref="G694:G695"/>
    <mergeCell ref="H694:J695"/>
    <mergeCell ref="A709:B709"/>
    <mergeCell ref="C709:E709"/>
    <mergeCell ref="G709:H709"/>
    <mergeCell ref="I709:J709"/>
    <mergeCell ref="C710:D710"/>
    <mergeCell ref="F710:J710"/>
    <mergeCell ref="C706:D706"/>
    <mergeCell ref="F706:H706"/>
    <mergeCell ref="I706:J706"/>
    <mergeCell ref="C707:D707"/>
    <mergeCell ref="F707:H707"/>
    <mergeCell ref="I707:J707"/>
    <mergeCell ref="C704:D704"/>
    <mergeCell ref="F704:H704"/>
    <mergeCell ref="I704:J704"/>
    <mergeCell ref="C705:D705"/>
    <mergeCell ref="F705:H705"/>
    <mergeCell ref="I705:J705"/>
    <mergeCell ref="A716:B716"/>
    <mergeCell ref="C716:E716"/>
    <mergeCell ref="G716:H716"/>
    <mergeCell ref="I716:J716"/>
    <mergeCell ref="A717:B717"/>
    <mergeCell ref="C717:E717"/>
    <mergeCell ref="F717:J717"/>
    <mergeCell ref="A714:B714"/>
    <mergeCell ref="C714:E714"/>
    <mergeCell ref="G714:H714"/>
    <mergeCell ref="I714:J714"/>
    <mergeCell ref="A715:B715"/>
    <mergeCell ref="C715:E715"/>
    <mergeCell ref="F715:J715"/>
    <mergeCell ref="A712:B712"/>
    <mergeCell ref="C712:E712"/>
    <mergeCell ref="G712:H712"/>
    <mergeCell ref="I712:J712"/>
    <mergeCell ref="A713:B713"/>
    <mergeCell ref="C713:E713"/>
    <mergeCell ref="F713:J713"/>
    <mergeCell ref="I729:J729"/>
    <mergeCell ref="I722:J722"/>
    <mergeCell ref="C722:D722"/>
    <mergeCell ref="C723:D724"/>
    <mergeCell ref="E723:E724"/>
    <mergeCell ref="C725:C726"/>
    <mergeCell ref="D725:F725"/>
    <mergeCell ref="D726:F726"/>
    <mergeCell ref="D727:F727"/>
    <mergeCell ref="A720:B720"/>
    <mergeCell ref="C720:E720"/>
    <mergeCell ref="G720:H720"/>
    <mergeCell ref="I720:J720"/>
    <mergeCell ref="A721:B721"/>
    <mergeCell ref="C721:E721"/>
    <mergeCell ref="F721:J721"/>
    <mergeCell ref="A718:B718"/>
    <mergeCell ref="C718:E718"/>
    <mergeCell ref="G718:H718"/>
    <mergeCell ref="I718:J718"/>
    <mergeCell ref="A719:B719"/>
    <mergeCell ref="C719:E719"/>
    <mergeCell ref="F719:J719"/>
    <mergeCell ref="A748:A749"/>
    <mergeCell ref="B748:B749"/>
    <mergeCell ref="F748:G748"/>
    <mergeCell ref="F750:G750"/>
    <mergeCell ref="G751:G752"/>
    <mergeCell ref="H751:J752"/>
    <mergeCell ref="F744:H745"/>
    <mergeCell ref="I745:I746"/>
    <mergeCell ref="J745:J746"/>
    <mergeCell ref="A746:A747"/>
    <mergeCell ref="B746:B747"/>
    <mergeCell ref="E746:E747"/>
    <mergeCell ref="F746:H747"/>
    <mergeCell ref="B742:D743"/>
    <mergeCell ref="A744:A745"/>
    <mergeCell ref="B744:B745"/>
    <mergeCell ref="C744:C745"/>
    <mergeCell ref="D744:D745"/>
    <mergeCell ref="E744:E745"/>
    <mergeCell ref="C761:D761"/>
    <mergeCell ref="F761:H761"/>
    <mergeCell ref="I761:J761"/>
    <mergeCell ref="C762:D762"/>
    <mergeCell ref="F762:H762"/>
    <mergeCell ref="I762:J762"/>
    <mergeCell ref="C759:D759"/>
    <mergeCell ref="F759:H759"/>
    <mergeCell ref="I759:J759"/>
    <mergeCell ref="C760:D760"/>
    <mergeCell ref="F760:H760"/>
    <mergeCell ref="I760:J760"/>
    <mergeCell ref="A753:C754"/>
    <mergeCell ref="G753:G754"/>
    <mergeCell ref="H753:H754"/>
    <mergeCell ref="I753:J754"/>
    <mergeCell ref="A756:J756"/>
    <mergeCell ref="C757:D757"/>
    <mergeCell ref="F757:H757"/>
    <mergeCell ref="I757:J757"/>
    <mergeCell ref="A769:B769"/>
    <mergeCell ref="C769:E769"/>
    <mergeCell ref="G769:H769"/>
    <mergeCell ref="I769:J769"/>
    <mergeCell ref="A770:B770"/>
    <mergeCell ref="C770:E770"/>
    <mergeCell ref="F770:J770"/>
    <mergeCell ref="A766:B766"/>
    <mergeCell ref="C766:E766"/>
    <mergeCell ref="G766:H766"/>
    <mergeCell ref="I766:J766"/>
    <mergeCell ref="C767:D767"/>
    <mergeCell ref="F767:J767"/>
    <mergeCell ref="C763:D763"/>
    <mergeCell ref="F763:H763"/>
    <mergeCell ref="I763:J763"/>
    <mergeCell ref="C764:D764"/>
    <mergeCell ref="F764:H764"/>
    <mergeCell ref="I764:J764"/>
    <mergeCell ref="A775:B775"/>
    <mergeCell ref="C775:E775"/>
    <mergeCell ref="G775:H775"/>
    <mergeCell ref="I775:J775"/>
    <mergeCell ref="A776:B776"/>
    <mergeCell ref="C776:E776"/>
    <mergeCell ref="F776:J776"/>
    <mergeCell ref="A773:B773"/>
    <mergeCell ref="C773:E773"/>
    <mergeCell ref="G773:H773"/>
    <mergeCell ref="I773:J773"/>
    <mergeCell ref="A774:B774"/>
    <mergeCell ref="C774:E774"/>
    <mergeCell ref="F774:J774"/>
    <mergeCell ref="A771:B771"/>
    <mergeCell ref="C771:E771"/>
    <mergeCell ref="G771:H771"/>
    <mergeCell ref="I771:J771"/>
    <mergeCell ref="A772:B772"/>
    <mergeCell ref="C772:E772"/>
    <mergeCell ref="F772:J772"/>
    <mergeCell ref="B799:D800"/>
    <mergeCell ref="A801:A802"/>
    <mergeCell ref="B801:B802"/>
    <mergeCell ref="C801:C802"/>
    <mergeCell ref="D801:D802"/>
    <mergeCell ref="E801:E802"/>
    <mergeCell ref="C782:C783"/>
    <mergeCell ref="D782:F782"/>
    <mergeCell ref="D783:F783"/>
    <mergeCell ref="D784:F784"/>
    <mergeCell ref="I786:J786"/>
    <mergeCell ref="I779:J779"/>
    <mergeCell ref="A777:B777"/>
    <mergeCell ref="C777:E777"/>
    <mergeCell ref="G777:H777"/>
    <mergeCell ref="I777:J777"/>
    <mergeCell ref="A778:B778"/>
    <mergeCell ref="C778:E778"/>
    <mergeCell ref="F778:J778"/>
    <mergeCell ref="C779:D779"/>
    <mergeCell ref="C780:D781"/>
    <mergeCell ref="E780:E781"/>
    <mergeCell ref="A810:C811"/>
    <mergeCell ref="G810:G811"/>
    <mergeCell ref="H810:H811"/>
    <mergeCell ref="I810:J811"/>
    <mergeCell ref="A813:J813"/>
    <mergeCell ref="C814:D814"/>
    <mergeCell ref="F814:H814"/>
    <mergeCell ref="I814:J814"/>
    <mergeCell ref="A805:A806"/>
    <mergeCell ref="B805:B806"/>
    <mergeCell ref="F805:G805"/>
    <mergeCell ref="F807:G807"/>
    <mergeCell ref="G808:G809"/>
    <mergeCell ref="H808:J809"/>
    <mergeCell ref="F801:H802"/>
    <mergeCell ref="I802:I803"/>
    <mergeCell ref="J802:J803"/>
    <mergeCell ref="A803:A804"/>
    <mergeCell ref="B803:B804"/>
    <mergeCell ref="E803:E804"/>
    <mergeCell ref="F803:H804"/>
    <mergeCell ref="C820:D820"/>
    <mergeCell ref="F820:H820"/>
    <mergeCell ref="I820:J820"/>
    <mergeCell ref="C821:D821"/>
    <mergeCell ref="F821:H821"/>
    <mergeCell ref="I821:J821"/>
    <mergeCell ref="C818:D818"/>
    <mergeCell ref="F818:H818"/>
    <mergeCell ref="I818:J818"/>
    <mergeCell ref="C819:D819"/>
    <mergeCell ref="F819:H819"/>
    <mergeCell ref="I819:J819"/>
    <mergeCell ref="C816:D816"/>
    <mergeCell ref="F816:H816"/>
    <mergeCell ref="I816:J816"/>
    <mergeCell ref="C817:D817"/>
    <mergeCell ref="F817:H817"/>
    <mergeCell ref="I817:J817"/>
    <mergeCell ref="A828:B828"/>
    <mergeCell ref="C828:E828"/>
    <mergeCell ref="G828:H828"/>
    <mergeCell ref="I828:J828"/>
    <mergeCell ref="A829:B829"/>
    <mergeCell ref="C829:E829"/>
    <mergeCell ref="F829:J829"/>
    <mergeCell ref="A826:B826"/>
    <mergeCell ref="C826:E826"/>
    <mergeCell ref="G826:H826"/>
    <mergeCell ref="I826:J826"/>
    <mergeCell ref="A827:B827"/>
    <mergeCell ref="C827:E827"/>
    <mergeCell ref="F827:J827"/>
    <mergeCell ref="A823:B823"/>
    <mergeCell ref="C823:E823"/>
    <mergeCell ref="G823:H823"/>
    <mergeCell ref="I823:J823"/>
    <mergeCell ref="C824:D824"/>
    <mergeCell ref="F824:J824"/>
    <mergeCell ref="I836:J836"/>
    <mergeCell ref="A834:B834"/>
    <mergeCell ref="C834:E834"/>
    <mergeCell ref="G834:H834"/>
    <mergeCell ref="I834:J834"/>
    <mergeCell ref="A835:B835"/>
    <mergeCell ref="C835:E835"/>
    <mergeCell ref="F835:J835"/>
    <mergeCell ref="A832:B832"/>
    <mergeCell ref="C832:E832"/>
    <mergeCell ref="G832:H832"/>
    <mergeCell ref="I832:J832"/>
    <mergeCell ref="A833:B833"/>
    <mergeCell ref="C833:E833"/>
    <mergeCell ref="F833:J833"/>
    <mergeCell ref="C836:D836"/>
    <mergeCell ref="A830:B830"/>
    <mergeCell ref="C830:E830"/>
    <mergeCell ref="G830:H830"/>
    <mergeCell ref="I830:J830"/>
    <mergeCell ref="A831:B831"/>
    <mergeCell ref="C831:E831"/>
    <mergeCell ref="F831:J831"/>
    <mergeCell ref="F858:H859"/>
    <mergeCell ref="I859:I860"/>
    <mergeCell ref="J859:J860"/>
    <mergeCell ref="A860:A861"/>
    <mergeCell ref="B860:B861"/>
    <mergeCell ref="E860:E861"/>
    <mergeCell ref="F860:H861"/>
    <mergeCell ref="B856:D857"/>
    <mergeCell ref="A858:A859"/>
    <mergeCell ref="B858:B859"/>
    <mergeCell ref="C858:C859"/>
    <mergeCell ref="D858:D859"/>
    <mergeCell ref="E858:E859"/>
    <mergeCell ref="C837:D838"/>
    <mergeCell ref="E837:E838"/>
    <mergeCell ref="C839:C840"/>
    <mergeCell ref="D839:F839"/>
    <mergeCell ref="D840:F840"/>
    <mergeCell ref="D841:F841"/>
    <mergeCell ref="I843:J843"/>
    <mergeCell ref="C873:D873"/>
    <mergeCell ref="F873:H873"/>
    <mergeCell ref="I873:J873"/>
    <mergeCell ref="C874:D874"/>
    <mergeCell ref="F874:H874"/>
    <mergeCell ref="I874:J874"/>
    <mergeCell ref="A867:C868"/>
    <mergeCell ref="G867:G868"/>
    <mergeCell ref="H867:H868"/>
    <mergeCell ref="I867:J868"/>
    <mergeCell ref="A870:J870"/>
    <mergeCell ref="C871:D871"/>
    <mergeCell ref="F871:H871"/>
    <mergeCell ref="I871:J871"/>
    <mergeCell ref="A862:A863"/>
    <mergeCell ref="B862:B863"/>
    <mergeCell ref="F862:G862"/>
    <mergeCell ref="F864:G864"/>
    <mergeCell ref="G865:G866"/>
    <mergeCell ref="H865:J866"/>
    <mergeCell ref="A880:B880"/>
    <mergeCell ref="C880:E880"/>
    <mergeCell ref="G880:H880"/>
    <mergeCell ref="I880:J880"/>
    <mergeCell ref="C881:D881"/>
    <mergeCell ref="F881:J881"/>
    <mergeCell ref="C877:D877"/>
    <mergeCell ref="F877:H877"/>
    <mergeCell ref="I877:J877"/>
    <mergeCell ref="C878:D878"/>
    <mergeCell ref="F878:H878"/>
    <mergeCell ref="I878:J878"/>
    <mergeCell ref="C875:D875"/>
    <mergeCell ref="F875:H875"/>
    <mergeCell ref="I875:J875"/>
    <mergeCell ref="C876:D876"/>
    <mergeCell ref="F876:H876"/>
    <mergeCell ref="I876:J876"/>
    <mergeCell ref="A887:B887"/>
    <mergeCell ref="C887:E887"/>
    <mergeCell ref="G887:H887"/>
    <mergeCell ref="I887:J887"/>
    <mergeCell ref="A888:B888"/>
    <mergeCell ref="C888:E888"/>
    <mergeCell ref="F888:J888"/>
    <mergeCell ref="A885:B885"/>
    <mergeCell ref="C885:E885"/>
    <mergeCell ref="G885:H885"/>
    <mergeCell ref="I885:J885"/>
    <mergeCell ref="A886:B886"/>
    <mergeCell ref="C886:E886"/>
    <mergeCell ref="F886:J886"/>
    <mergeCell ref="A883:B883"/>
    <mergeCell ref="C883:E883"/>
    <mergeCell ref="G883:H883"/>
    <mergeCell ref="I883:J883"/>
    <mergeCell ref="A884:B884"/>
    <mergeCell ref="C884:E884"/>
    <mergeCell ref="F884:J884"/>
    <mergeCell ref="I900:J900"/>
    <mergeCell ref="I893:J893"/>
    <mergeCell ref="C893:D893"/>
    <mergeCell ref="C894:D895"/>
    <mergeCell ref="E894:E895"/>
    <mergeCell ref="C896:C897"/>
    <mergeCell ref="D896:F896"/>
    <mergeCell ref="D897:F897"/>
    <mergeCell ref="D898:F898"/>
    <mergeCell ref="A891:B891"/>
    <mergeCell ref="C891:E891"/>
    <mergeCell ref="G891:H891"/>
    <mergeCell ref="I891:J891"/>
    <mergeCell ref="A892:B892"/>
    <mergeCell ref="C892:E892"/>
    <mergeCell ref="F892:J892"/>
    <mergeCell ref="A889:B889"/>
    <mergeCell ref="C889:E889"/>
    <mergeCell ref="G889:H889"/>
    <mergeCell ref="I889:J889"/>
    <mergeCell ref="A890:B890"/>
    <mergeCell ref="C890:E890"/>
    <mergeCell ref="F890:J890"/>
    <mergeCell ref="A919:A920"/>
    <mergeCell ref="B919:B920"/>
    <mergeCell ref="F919:G919"/>
    <mergeCell ref="F921:G921"/>
    <mergeCell ref="G922:G923"/>
    <mergeCell ref="H922:J923"/>
    <mergeCell ref="F915:H916"/>
    <mergeCell ref="I916:I917"/>
    <mergeCell ref="J916:J917"/>
    <mergeCell ref="A917:A918"/>
    <mergeCell ref="B917:B918"/>
    <mergeCell ref="E917:E918"/>
    <mergeCell ref="F917:H918"/>
    <mergeCell ref="B913:D914"/>
    <mergeCell ref="A915:A916"/>
    <mergeCell ref="B915:B916"/>
    <mergeCell ref="C915:C916"/>
    <mergeCell ref="D915:D916"/>
    <mergeCell ref="E915:E916"/>
    <mergeCell ref="C932:D932"/>
    <mergeCell ref="F932:H932"/>
    <mergeCell ref="I932:J932"/>
    <mergeCell ref="C933:D933"/>
    <mergeCell ref="F933:H933"/>
    <mergeCell ref="I933:J933"/>
    <mergeCell ref="C930:D930"/>
    <mergeCell ref="F930:H930"/>
    <mergeCell ref="I930:J930"/>
    <mergeCell ref="C931:D931"/>
    <mergeCell ref="F931:H931"/>
    <mergeCell ref="I931:J931"/>
    <mergeCell ref="A924:C925"/>
    <mergeCell ref="G924:G925"/>
    <mergeCell ref="H924:H925"/>
    <mergeCell ref="I924:J925"/>
    <mergeCell ref="A927:J927"/>
    <mergeCell ref="C928:D928"/>
    <mergeCell ref="F928:H928"/>
    <mergeCell ref="I928:J928"/>
    <mergeCell ref="A940:B940"/>
    <mergeCell ref="C940:E940"/>
    <mergeCell ref="G940:H940"/>
    <mergeCell ref="I940:J940"/>
    <mergeCell ref="A941:B941"/>
    <mergeCell ref="C941:E941"/>
    <mergeCell ref="F941:J941"/>
    <mergeCell ref="A937:B937"/>
    <mergeCell ref="C937:E937"/>
    <mergeCell ref="G937:H937"/>
    <mergeCell ref="I937:J937"/>
    <mergeCell ref="C938:D938"/>
    <mergeCell ref="F938:J938"/>
    <mergeCell ref="C934:D934"/>
    <mergeCell ref="F934:H934"/>
    <mergeCell ref="I934:J934"/>
    <mergeCell ref="C935:D935"/>
    <mergeCell ref="F935:H935"/>
    <mergeCell ref="I935:J935"/>
    <mergeCell ref="A946:B946"/>
    <mergeCell ref="C946:E946"/>
    <mergeCell ref="G946:H946"/>
    <mergeCell ref="I946:J946"/>
    <mergeCell ref="A947:B947"/>
    <mergeCell ref="C947:E947"/>
    <mergeCell ref="F947:J947"/>
    <mergeCell ref="A944:B944"/>
    <mergeCell ref="C944:E944"/>
    <mergeCell ref="G944:H944"/>
    <mergeCell ref="I944:J944"/>
    <mergeCell ref="A945:B945"/>
    <mergeCell ref="C945:E945"/>
    <mergeCell ref="F945:J945"/>
    <mergeCell ref="A942:B942"/>
    <mergeCell ref="C942:E942"/>
    <mergeCell ref="G942:H942"/>
    <mergeCell ref="I942:J942"/>
    <mergeCell ref="A943:B943"/>
    <mergeCell ref="C943:E943"/>
    <mergeCell ref="F943:J943"/>
    <mergeCell ref="B970:D971"/>
    <mergeCell ref="A972:A973"/>
    <mergeCell ref="B972:B973"/>
    <mergeCell ref="C972:C973"/>
    <mergeCell ref="D972:D973"/>
    <mergeCell ref="E972:E973"/>
    <mergeCell ref="C953:C954"/>
    <mergeCell ref="D953:F953"/>
    <mergeCell ref="D954:F954"/>
    <mergeCell ref="D955:F955"/>
    <mergeCell ref="I957:J957"/>
    <mergeCell ref="I950:J950"/>
    <mergeCell ref="A948:B948"/>
    <mergeCell ref="C948:E948"/>
    <mergeCell ref="G948:H948"/>
    <mergeCell ref="I948:J948"/>
    <mergeCell ref="A949:B949"/>
    <mergeCell ref="C949:E949"/>
    <mergeCell ref="F949:J949"/>
    <mergeCell ref="C950:D950"/>
    <mergeCell ref="C951:D952"/>
    <mergeCell ref="E951:E952"/>
    <mergeCell ref="A981:C982"/>
    <mergeCell ref="G981:G982"/>
    <mergeCell ref="H981:H982"/>
    <mergeCell ref="I981:J982"/>
    <mergeCell ref="A984:J984"/>
    <mergeCell ref="C985:D985"/>
    <mergeCell ref="F985:H985"/>
    <mergeCell ref="I985:J985"/>
    <mergeCell ref="A976:A977"/>
    <mergeCell ref="B976:B977"/>
    <mergeCell ref="F976:G976"/>
    <mergeCell ref="F978:G978"/>
    <mergeCell ref="G979:G980"/>
    <mergeCell ref="H979:J980"/>
    <mergeCell ref="F972:H973"/>
    <mergeCell ref="I973:I974"/>
    <mergeCell ref="J973:J974"/>
    <mergeCell ref="A974:A975"/>
    <mergeCell ref="B974:B975"/>
    <mergeCell ref="E974:E975"/>
    <mergeCell ref="F974:H975"/>
    <mergeCell ref="C991:D991"/>
    <mergeCell ref="F991:H991"/>
    <mergeCell ref="I991:J991"/>
    <mergeCell ref="C992:D992"/>
    <mergeCell ref="F992:H992"/>
    <mergeCell ref="I992:J992"/>
    <mergeCell ref="C989:D989"/>
    <mergeCell ref="F989:H989"/>
    <mergeCell ref="I989:J989"/>
    <mergeCell ref="C990:D990"/>
    <mergeCell ref="F990:H990"/>
    <mergeCell ref="I990:J990"/>
    <mergeCell ref="C987:D987"/>
    <mergeCell ref="F987:H987"/>
    <mergeCell ref="I987:J987"/>
    <mergeCell ref="C988:D988"/>
    <mergeCell ref="F988:H988"/>
    <mergeCell ref="I988:J988"/>
    <mergeCell ref="A999:B999"/>
    <mergeCell ref="C999:E999"/>
    <mergeCell ref="G999:H999"/>
    <mergeCell ref="I999:J999"/>
    <mergeCell ref="A1000:B1000"/>
    <mergeCell ref="C1000:E1000"/>
    <mergeCell ref="F1000:J1000"/>
    <mergeCell ref="A997:B997"/>
    <mergeCell ref="C997:E997"/>
    <mergeCell ref="G997:H997"/>
    <mergeCell ref="I997:J997"/>
    <mergeCell ref="A998:B998"/>
    <mergeCell ref="C998:E998"/>
    <mergeCell ref="F998:J998"/>
    <mergeCell ref="A994:B994"/>
    <mergeCell ref="C994:E994"/>
    <mergeCell ref="G994:H994"/>
    <mergeCell ref="I994:J994"/>
    <mergeCell ref="C995:D995"/>
    <mergeCell ref="F995:J995"/>
    <mergeCell ref="I1007:J1007"/>
    <mergeCell ref="A1005:B1005"/>
    <mergeCell ref="C1005:E1005"/>
    <mergeCell ref="G1005:H1005"/>
    <mergeCell ref="I1005:J1005"/>
    <mergeCell ref="A1006:B1006"/>
    <mergeCell ref="C1006:E1006"/>
    <mergeCell ref="F1006:J1006"/>
    <mergeCell ref="A1003:B1003"/>
    <mergeCell ref="C1003:E1003"/>
    <mergeCell ref="G1003:H1003"/>
    <mergeCell ref="I1003:J1003"/>
    <mergeCell ref="A1004:B1004"/>
    <mergeCell ref="C1004:E1004"/>
    <mergeCell ref="F1004:J1004"/>
    <mergeCell ref="C1007:D1007"/>
    <mergeCell ref="A1001:B1001"/>
    <mergeCell ref="C1001:E1001"/>
    <mergeCell ref="G1001:H1001"/>
    <mergeCell ref="I1001:J1001"/>
    <mergeCell ref="A1002:B1002"/>
    <mergeCell ref="C1002:E1002"/>
    <mergeCell ref="F1002:J1002"/>
    <mergeCell ref="F1029:H1030"/>
    <mergeCell ref="I1030:I1031"/>
    <mergeCell ref="J1030:J1031"/>
    <mergeCell ref="A1031:A1032"/>
    <mergeCell ref="B1031:B1032"/>
    <mergeCell ref="E1031:E1032"/>
    <mergeCell ref="F1031:H1032"/>
    <mergeCell ref="B1027:D1028"/>
    <mergeCell ref="A1029:A1030"/>
    <mergeCell ref="B1029:B1030"/>
    <mergeCell ref="C1029:C1030"/>
    <mergeCell ref="D1029:D1030"/>
    <mergeCell ref="E1029:E1030"/>
    <mergeCell ref="C1008:D1009"/>
    <mergeCell ref="E1008:E1009"/>
    <mergeCell ref="C1010:C1011"/>
    <mergeCell ref="D1010:F1010"/>
    <mergeCell ref="D1011:F1011"/>
    <mergeCell ref="D1012:F1012"/>
    <mergeCell ref="I1014:J1014"/>
    <mergeCell ref="C1044:D1044"/>
    <mergeCell ref="F1044:H1044"/>
    <mergeCell ref="I1044:J1044"/>
    <mergeCell ref="C1045:D1045"/>
    <mergeCell ref="F1045:H1045"/>
    <mergeCell ref="I1045:J1045"/>
    <mergeCell ref="A1038:C1039"/>
    <mergeCell ref="G1038:G1039"/>
    <mergeCell ref="H1038:H1039"/>
    <mergeCell ref="I1038:J1039"/>
    <mergeCell ref="A1041:J1041"/>
    <mergeCell ref="C1042:D1042"/>
    <mergeCell ref="F1042:H1042"/>
    <mergeCell ref="I1042:J1042"/>
    <mergeCell ref="A1033:A1034"/>
    <mergeCell ref="B1033:B1034"/>
    <mergeCell ref="F1033:G1033"/>
    <mergeCell ref="F1035:G1035"/>
    <mergeCell ref="G1036:G1037"/>
    <mergeCell ref="H1036:J1037"/>
    <mergeCell ref="A1051:B1051"/>
    <mergeCell ref="C1051:E1051"/>
    <mergeCell ref="G1051:H1051"/>
    <mergeCell ref="I1051:J1051"/>
    <mergeCell ref="C1052:D1052"/>
    <mergeCell ref="F1052:J1052"/>
    <mergeCell ref="C1048:D1048"/>
    <mergeCell ref="F1048:H1048"/>
    <mergeCell ref="I1048:J1048"/>
    <mergeCell ref="C1049:D1049"/>
    <mergeCell ref="F1049:H1049"/>
    <mergeCell ref="I1049:J1049"/>
    <mergeCell ref="C1046:D1046"/>
    <mergeCell ref="F1046:H1046"/>
    <mergeCell ref="I1046:J1046"/>
    <mergeCell ref="C1047:D1047"/>
    <mergeCell ref="F1047:H1047"/>
    <mergeCell ref="I1047:J1047"/>
    <mergeCell ref="A1058:B1058"/>
    <mergeCell ref="C1058:E1058"/>
    <mergeCell ref="G1058:H1058"/>
    <mergeCell ref="I1058:J1058"/>
    <mergeCell ref="A1059:B1059"/>
    <mergeCell ref="C1059:E1059"/>
    <mergeCell ref="F1059:J1059"/>
    <mergeCell ref="A1056:B1056"/>
    <mergeCell ref="C1056:E1056"/>
    <mergeCell ref="G1056:H1056"/>
    <mergeCell ref="I1056:J1056"/>
    <mergeCell ref="A1057:B1057"/>
    <mergeCell ref="C1057:E1057"/>
    <mergeCell ref="F1057:J1057"/>
    <mergeCell ref="A1054:B1054"/>
    <mergeCell ref="C1054:E1054"/>
    <mergeCell ref="G1054:H1054"/>
    <mergeCell ref="I1054:J1054"/>
    <mergeCell ref="A1055:B1055"/>
    <mergeCell ref="C1055:E1055"/>
    <mergeCell ref="F1055:J1055"/>
    <mergeCell ref="I1071:J1071"/>
    <mergeCell ref="I1064:J1064"/>
    <mergeCell ref="C1064:D1064"/>
    <mergeCell ref="C1065:D1066"/>
    <mergeCell ref="E1065:E1066"/>
    <mergeCell ref="C1067:C1068"/>
    <mergeCell ref="D1067:F1067"/>
    <mergeCell ref="D1068:F1068"/>
    <mergeCell ref="D1069:F1069"/>
    <mergeCell ref="A1062:B1062"/>
    <mergeCell ref="C1062:E1062"/>
    <mergeCell ref="G1062:H1062"/>
    <mergeCell ref="I1062:J1062"/>
    <mergeCell ref="A1063:B1063"/>
    <mergeCell ref="C1063:E1063"/>
    <mergeCell ref="F1063:J1063"/>
    <mergeCell ref="A1060:B1060"/>
    <mergeCell ref="C1060:E1060"/>
    <mergeCell ref="G1060:H1060"/>
    <mergeCell ref="I1060:J1060"/>
    <mergeCell ref="A1061:B1061"/>
    <mergeCell ref="C1061:E1061"/>
    <mergeCell ref="F1061:J1061"/>
    <mergeCell ref="A1090:A1091"/>
    <mergeCell ref="B1090:B1091"/>
    <mergeCell ref="F1090:G1090"/>
    <mergeCell ref="F1092:G1092"/>
    <mergeCell ref="G1093:G1094"/>
    <mergeCell ref="H1093:J1094"/>
    <mergeCell ref="F1086:H1087"/>
    <mergeCell ref="I1087:I1088"/>
    <mergeCell ref="J1087:J1088"/>
    <mergeCell ref="A1088:A1089"/>
    <mergeCell ref="B1088:B1089"/>
    <mergeCell ref="E1088:E1089"/>
    <mergeCell ref="F1088:H1089"/>
    <mergeCell ref="B1084:D1085"/>
    <mergeCell ref="A1086:A1087"/>
    <mergeCell ref="B1086:B1087"/>
    <mergeCell ref="C1086:C1087"/>
    <mergeCell ref="D1086:D1087"/>
    <mergeCell ref="E1086:E1087"/>
    <mergeCell ref="C1103:D1103"/>
    <mergeCell ref="F1103:H1103"/>
    <mergeCell ref="I1103:J1103"/>
    <mergeCell ref="C1104:D1104"/>
    <mergeCell ref="F1104:H1104"/>
    <mergeCell ref="I1104:J1104"/>
    <mergeCell ref="C1101:D1101"/>
    <mergeCell ref="F1101:H1101"/>
    <mergeCell ref="I1101:J1101"/>
    <mergeCell ref="C1102:D1102"/>
    <mergeCell ref="F1102:H1102"/>
    <mergeCell ref="I1102:J1102"/>
    <mergeCell ref="A1095:C1096"/>
    <mergeCell ref="G1095:G1096"/>
    <mergeCell ref="H1095:H1096"/>
    <mergeCell ref="I1095:J1096"/>
    <mergeCell ref="A1098:J1098"/>
    <mergeCell ref="C1099:D1099"/>
    <mergeCell ref="F1099:H1099"/>
    <mergeCell ref="I1099:J1099"/>
    <mergeCell ref="A1111:B1111"/>
    <mergeCell ref="C1111:E1111"/>
    <mergeCell ref="G1111:H1111"/>
    <mergeCell ref="I1111:J1111"/>
    <mergeCell ref="A1112:B1112"/>
    <mergeCell ref="C1112:E1112"/>
    <mergeCell ref="F1112:J1112"/>
    <mergeCell ref="A1108:B1108"/>
    <mergeCell ref="C1108:E1108"/>
    <mergeCell ref="G1108:H1108"/>
    <mergeCell ref="I1108:J1108"/>
    <mergeCell ref="C1109:D1109"/>
    <mergeCell ref="F1109:J1109"/>
    <mergeCell ref="C1105:D1105"/>
    <mergeCell ref="F1105:H1105"/>
    <mergeCell ref="I1105:J1105"/>
    <mergeCell ref="C1106:D1106"/>
    <mergeCell ref="F1106:H1106"/>
    <mergeCell ref="I1106:J1106"/>
    <mergeCell ref="A1117:B1117"/>
    <mergeCell ref="C1117:E1117"/>
    <mergeCell ref="G1117:H1117"/>
    <mergeCell ref="I1117:J1117"/>
    <mergeCell ref="A1118:B1118"/>
    <mergeCell ref="C1118:E1118"/>
    <mergeCell ref="F1118:J1118"/>
    <mergeCell ref="A1115:B1115"/>
    <mergeCell ref="C1115:E1115"/>
    <mergeCell ref="G1115:H1115"/>
    <mergeCell ref="I1115:J1115"/>
    <mergeCell ref="A1116:B1116"/>
    <mergeCell ref="C1116:E1116"/>
    <mergeCell ref="F1116:J1116"/>
    <mergeCell ref="A1113:B1113"/>
    <mergeCell ref="C1113:E1113"/>
    <mergeCell ref="G1113:H1113"/>
    <mergeCell ref="I1113:J1113"/>
    <mergeCell ref="A1114:B1114"/>
    <mergeCell ref="C1114:E1114"/>
    <mergeCell ref="F1114:J1114"/>
    <mergeCell ref="B1141:D1142"/>
    <mergeCell ref="A1143:A1144"/>
    <mergeCell ref="B1143:B1144"/>
    <mergeCell ref="C1143:C1144"/>
    <mergeCell ref="D1143:D1144"/>
    <mergeCell ref="E1143:E1144"/>
    <mergeCell ref="C1124:C1125"/>
    <mergeCell ref="D1124:F1124"/>
    <mergeCell ref="D1125:F1125"/>
    <mergeCell ref="D1126:F1126"/>
    <mergeCell ref="I1128:J1128"/>
    <mergeCell ref="I1121:J1121"/>
    <mergeCell ref="A1119:B1119"/>
    <mergeCell ref="C1119:E1119"/>
    <mergeCell ref="G1119:H1119"/>
    <mergeCell ref="I1119:J1119"/>
    <mergeCell ref="A1120:B1120"/>
    <mergeCell ref="C1120:E1120"/>
    <mergeCell ref="F1120:J1120"/>
    <mergeCell ref="C1121:D1121"/>
    <mergeCell ref="C1122:D1123"/>
    <mergeCell ref="E1122:E1123"/>
    <mergeCell ref="A1152:C1153"/>
    <mergeCell ref="G1152:G1153"/>
    <mergeCell ref="H1152:H1153"/>
    <mergeCell ref="I1152:J1153"/>
    <mergeCell ref="A1155:J1155"/>
    <mergeCell ref="C1156:D1156"/>
    <mergeCell ref="F1156:H1156"/>
    <mergeCell ref="I1156:J1156"/>
    <mergeCell ref="A1147:A1148"/>
    <mergeCell ref="B1147:B1148"/>
    <mergeCell ref="F1147:G1147"/>
    <mergeCell ref="F1149:G1149"/>
    <mergeCell ref="G1150:G1151"/>
    <mergeCell ref="H1150:J1151"/>
    <mergeCell ref="F1143:H1144"/>
    <mergeCell ref="I1144:I1145"/>
    <mergeCell ref="J1144:J1145"/>
    <mergeCell ref="A1145:A1146"/>
    <mergeCell ref="B1145:B1146"/>
    <mergeCell ref="E1145:E1146"/>
    <mergeCell ref="F1145:H1146"/>
    <mergeCell ref="C1162:D1162"/>
    <mergeCell ref="F1162:H1162"/>
    <mergeCell ref="I1162:J1162"/>
    <mergeCell ref="C1163:D1163"/>
    <mergeCell ref="F1163:H1163"/>
    <mergeCell ref="I1163:J1163"/>
    <mergeCell ref="C1160:D1160"/>
    <mergeCell ref="F1160:H1160"/>
    <mergeCell ref="I1160:J1160"/>
    <mergeCell ref="C1161:D1161"/>
    <mergeCell ref="F1161:H1161"/>
    <mergeCell ref="I1161:J1161"/>
    <mergeCell ref="C1158:D1158"/>
    <mergeCell ref="F1158:H1158"/>
    <mergeCell ref="I1158:J1158"/>
    <mergeCell ref="C1159:D1159"/>
    <mergeCell ref="F1159:H1159"/>
    <mergeCell ref="I1159:J1159"/>
    <mergeCell ref="A1170:B1170"/>
    <mergeCell ref="C1170:E1170"/>
    <mergeCell ref="G1170:H1170"/>
    <mergeCell ref="I1170:J1170"/>
    <mergeCell ref="A1171:B1171"/>
    <mergeCell ref="C1171:E1171"/>
    <mergeCell ref="F1171:J1171"/>
    <mergeCell ref="A1168:B1168"/>
    <mergeCell ref="C1168:E1168"/>
    <mergeCell ref="G1168:H1168"/>
    <mergeCell ref="I1168:J1168"/>
    <mergeCell ref="A1169:B1169"/>
    <mergeCell ref="C1169:E1169"/>
    <mergeCell ref="F1169:J1169"/>
    <mergeCell ref="A1165:B1165"/>
    <mergeCell ref="C1165:E1165"/>
    <mergeCell ref="G1165:H1165"/>
    <mergeCell ref="I1165:J1165"/>
    <mergeCell ref="C1166:D1166"/>
    <mergeCell ref="F1166:J1166"/>
    <mergeCell ref="I1178:J1178"/>
    <mergeCell ref="A1176:B1176"/>
    <mergeCell ref="C1176:E1176"/>
    <mergeCell ref="G1176:H1176"/>
    <mergeCell ref="I1176:J1176"/>
    <mergeCell ref="A1177:B1177"/>
    <mergeCell ref="C1177:E1177"/>
    <mergeCell ref="F1177:J1177"/>
    <mergeCell ref="A1174:B1174"/>
    <mergeCell ref="C1174:E1174"/>
    <mergeCell ref="G1174:H1174"/>
    <mergeCell ref="I1174:J1174"/>
    <mergeCell ref="A1175:B1175"/>
    <mergeCell ref="C1175:E1175"/>
    <mergeCell ref="F1175:J1175"/>
    <mergeCell ref="C1178:D1178"/>
    <mergeCell ref="A1172:B1172"/>
    <mergeCell ref="C1172:E1172"/>
    <mergeCell ref="G1172:H1172"/>
    <mergeCell ref="I1172:J1172"/>
    <mergeCell ref="A1173:B1173"/>
    <mergeCell ref="C1173:E1173"/>
    <mergeCell ref="F1173:J1173"/>
    <mergeCell ref="F1200:H1201"/>
    <mergeCell ref="I1201:I1202"/>
    <mergeCell ref="J1201:J1202"/>
    <mergeCell ref="A1202:A1203"/>
    <mergeCell ref="B1202:B1203"/>
    <mergeCell ref="E1202:E1203"/>
    <mergeCell ref="F1202:H1203"/>
    <mergeCell ref="B1198:D1199"/>
    <mergeCell ref="A1200:A1201"/>
    <mergeCell ref="B1200:B1201"/>
    <mergeCell ref="C1200:C1201"/>
    <mergeCell ref="D1200:D1201"/>
    <mergeCell ref="E1200:E1201"/>
    <mergeCell ref="C1179:D1180"/>
    <mergeCell ref="E1179:E1180"/>
    <mergeCell ref="C1181:C1182"/>
    <mergeCell ref="D1181:F1181"/>
    <mergeCell ref="D1182:F1182"/>
    <mergeCell ref="D1183:F1183"/>
    <mergeCell ref="I1185:J1185"/>
    <mergeCell ref="C1215:D1215"/>
    <mergeCell ref="F1215:H1215"/>
    <mergeCell ref="I1215:J1215"/>
    <mergeCell ref="C1216:D1216"/>
    <mergeCell ref="F1216:H1216"/>
    <mergeCell ref="I1216:J1216"/>
    <mergeCell ref="A1209:C1210"/>
    <mergeCell ref="G1209:G1210"/>
    <mergeCell ref="H1209:H1210"/>
    <mergeCell ref="I1209:J1210"/>
    <mergeCell ref="A1212:J1212"/>
    <mergeCell ref="C1213:D1213"/>
    <mergeCell ref="F1213:H1213"/>
    <mergeCell ref="I1213:J1213"/>
    <mergeCell ref="A1204:A1205"/>
    <mergeCell ref="B1204:B1205"/>
    <mergeCell ref="F1204:G1204"/>
    <mergeCell ref="F1206:G1206"/>
    <mergeCell ref="G1207:G1208"/>
    <mergeCell ref="H1207:J1208"/>
    <mergeCell ref="A1222:B1222"/>
    <mergeCell ref="C1222:E1222"/>
    <mergeCell ref="G1222:H1222"/>
    <mergeCell ref="I1222:J1222"/>
    <mergeCell ref="C1223:D1223"/>
    <mergeCell ref="F1223:J1223"/>
    <mergeCell ref="C1219:D1219"/>
    <mergeCell ref="F1219:H1219"/>
    <mergeCell ref="I1219:J1219"/>
    <mergeCell ref="C1220:D1220"/>
    <mergeCell ref="F1220:H1220"/>
    <mergeCell ref="I1220:J1220"/>
    <mergeCell ref="C1217:D1217"/>
    <mergeCell ref="F1217:H1217"/>
    <mergeCell ref="I1217:J1217"/>
    <mergeCell ref="C1218:D1218"/>
    <mergeCell ref="F1218:H1218"/>
    <mergeCell ref="I1218:J1218"/>
    <mergeCell ref="A1229:B1229"/>
    <mergeCell ref="C1229:E1229"/>
    <mergeCell ref="G1229:H1229"/>
    <mergeCell ref="I1229:J1229"/>
    <mergeCell ref="A1230:B1230"/>
    <mergeCell ref="C1230:E1230"/>
    <mergeCell ref="F1230:J1230"/>
    <mergeCell ref="A1227:B1227"/>
    <mergeCell ref="C1227:E1227"/>
    <mergeCell ref="G1227:H1227"/>
    <mergeCell ref="I1227:J1227"/>
    <mergeCell ref="A1228:B1228"/>
    <mergeCell ref="C1228:E1228"/>
    <mergeCell ref="F1228:J1228"/>
    <mergeCell ref="A1225:B1225"/>
    <mergeCell ref="C1225:E1225"/>
    <mergeCell ref="G1225:H1225"/>
    <mergeCell ref="I1225:J1225"/>
    <mergeCell ref="A1226:B1226"/>
    <mergeCell ref="C1226:E1226"/>
    <mergeCell ref="F1226:J1226"/>
    <mergeCell ref="I1242:J1242"/>
    <mergeCell ref="I1235:J1235"/>
    <mergeCell ref="C1235:D1235"/>
    <mergeCell ref="C1236:D1237"/>
    <mergeCell ref="E1236:E1237"/>
    <mergeCell ref="C1238:C1239"/>
    <mergeCell ref="D1238:F1238"/>
    <mergeCell ref="D1239:F1239"/>
    <mergeCell ref="D1240:F1240"/>
    <mergeCell ref="A1233:B1233"/>
    <mergeCell ref="C1233:E1233"/>
    <mergeCell ref="G1233:H1233"/>
    <mergeCell ref="I1233:J1233"/>
    <mergeCell ref="A1234:B1234"/>
    <mergeCell ref="C1234:E1234"/>
    <mergeCell ref="F1234:J1234"/>
    <mergeCell ref="A1231:B1231"/>
    <mergeCell ref="C1231:E1231"/>
    <mergeCell ref="G1231:H1231"/>
    <mergeCell ref="I1231:J1231"/>
    <mergeCell ref="A1232:B1232"/>
    <mergeCell ref="C1232:E1232"/>
    <mergeCell ref="F1232:J1232"/>
    <mergeCell ref="A1261:A1262"/>
    <mergeCell ref="B1261:B1262"/>
    <mergeCell ref="F1261:G1261"/>
    <mergeCell ref="F1263:G1263"/>
    <mergeCell ref="G1264:G1265"/>
    <mergeCell ref="H1264:J1265"/>
    <mergeCell ref="F1257:H1258"/>
    <mergeCell ref="I1258:I1259"/>
    <mergeCell ref="J1258:J1259"/>
    <mergeCell ref="A1259:A1260"/>
    <mergeCell ref="B1259:B1260"/>
    <mergeCell ref="E1259:E1260"/>
    <mergeCell ref="F1259:H1260"/>
    <mergeCell ref="B1255:D1256"/>
    <mergeCell ref="A1257:A1258"/>
    <mergeCell ref="B1257:B1258"/>
    <mergeCell ref="C1257:C1258"/>
    <mergeCell ref="D1257:D1258"/>
    <mergeCell ref="E1257:E1258"/>
    <mergeCell ref="C1274:D1274"/>
    <mergeCell ref="F1274:H1274"/>
    <mergeCell ref="I1274:J1274"/>
    <mergeCell ref="C1275:D1275"/>
    <mergeCell ref="F1275:H1275"/>
    <mergeCell ref="I1275:J1275"/>
    <mergeCell ref="C1272:D1272"/>
    <mergeCell ref="F1272:H1272"/>
    <mergeCell ref="I1272:J1272"/>
    <mergeCell ref="C1273:D1273"/>
    <mergeCell ref="F1273:H1273"/>
    <mergeCell ref="I1273:J1273"/>
    <mergeCell ref="A1266:C1267"/>
    <mergeCell ref="G1266:G1267"/>
    <mergeCell ref="H1266:H1267"/>
    <mergeCell ref="I1266:J1267"/>
    <mergeCell ref="A1269:J1269"/>
    <mergeCell ref="C1270:D1270"/>
    <mergeCell ref="F1270:H1270"/>
    <mergeCell ref="I1270:J1270"/>
    <mergeCell ref="A1282:B1282"/>
    <mergeCell ref="C1282:E1282"/>
    <mergeCell ref="G1282:H1282"/>
    <mergeCell ref="I1282:J1282"/>
    <mergeCell ref="A1283:B1283"/>
    <mergeCell ref="C1283:E1283"/>
    <mergeCell ref="F1283:J1283"/>
    <mergeCell ref="A1279:B1279"/>
    <mergeCell ref="C1279:E1279"/>
    <mergeCell ref="G1279:H1279"/>
    <mergeCell ref="I1279:J1279"/>
    <mergeCell ref="C1280:D1280"/>
    <mergeCell ref="F1280:J1280"/>
    <mergeCell ref="C1276:D1276"/>
    <mergeCell ref="F1276:H1276"/>
    <mergeCell ref="I1276:J1276"/>
    <mergeCell ref="C1277:D1277"/>
    <mergeCell ref="F1277:H1277"/>
    <mergeCell ref="I1277:J1277"/>
    <mergeCell ref="A1288:B1288"/>
    <mergeCell ref="C1288:E1288"/>
    <mergeCell ref="G1288:H1288"/>
    <mergeCell ref="I1288:J1288"/>
    <mergeCell ref="A1289:B1289"/>
    <mergeCell ref="C1289:E1289"/>
    <mergeCell ref="F1289:J1289"/>
    <mergeCell ref="A1286:B1286"/>
    <mergeCell ref="C1286:E1286"/>
    <mergeCell ref="G1286:H1286"/>
    <mergeCell ref="I1286:J1286"/>
    <mergeCell ref="A1287:B1287"/>
    <mergeCell ref="C1287:E1287"/>
    <mergeCell ref="F1287:J1287"/>
    <mergeCell ref="A1284:B1284"/>
    <mergeCell ref="C1284:E1284"/>
    <mergeCell ref="G1284:H1284"/>
    <mergeCell ref="I1284:J1284"/>
    <mergeCell ref="A1285:B1285"/>
    <mergeCell ref="C1285:E1285"/>
    <mergeCell ref="F1285:J1285"/>
    <mergeCell ref="B1312:D1313"/>
    <mergeCell ref="A1314:A1315"/>
    <mergeCell ref="B1314:B1315"/>
    <mergeCell ref="C1314:C1315"/>
    <mergeCell ref="D1314:D1315"/>
    <mergeCell ref="E1314:E1315"/>
    <mergeCell ref="C1295:C1296"/>
    <mergeCell ref="D1295:F1295"/>
    <mergeCell ref="D1296:F1296"/>
    <mergeCell ref="D1297:F1297"/>
    <mergeCell ref="I1299:J1299"/>
    <mergeCell ref="I1292:J1292"/>
    <mergeCell ref="A1290:B1290"/>
    <mergeCell ref="C1290:E1290"/>
    <mergeCell ref="G1290:H1290"/>
    <mergeCell ref="I1290:J1290"/>
    <mergeCell ref="A1291:B1291"/>
    <mergeCell ref="C1291:E1291"/>
    <mergeCell ref="F1291:J1291"/>
    <mergeCell ref="C1292:D1292"/>
    <mergeCell ref="C1293:D1294"/>
    <mergeCell ref="E1293:E1294"/>
    <mergeCell ref="A1323:C1324"/>
    <mergeCell ref="G1323:G1324"/>
    <mergeCell ref="H1323:H1324"/>
    <mergeCell ref="I1323:J1324"/>
    <mergeCell ref="A1326:J1326"/>
    <mergeCell ref="C1327:D1327"/>
    <mergeCell ref="F1327:H1327"/>
    <mergeCell ref="I1327:J1327"/>
    <mergeCell ref="A1318:A1319"/>
    <mergeCell ref="B1318:B1319"/>
    <mergeCell ref="F1318:G1318"/>
    <mergeCell ref="F1320:G1320"/>
    <mergeCell ref="G1321:G1322"/>
    <mergeCell ref="H1321:J1322"/>
    <mergeCell ref="F1314:H1315"/>
    <mergeCell ref="I1315:I1316"/>
    <mergeCell ref="J1315:J1316"/>
    <mergeCell ref="A1316:A1317"/>
    <mergeCell ref="B1316:B1317"/>
    <mergeCell ref="E1316:E1317"/>
    <mergeCell ref="F1316:H1317"/>
    <mergeCell ref="C1333:D1333"/>
    <mergeCell ref="F1333:H1333"/>
    <mergeCell ref="I1333:J1333"/>
    <mergeCell ref="C1334:D1334"/>
    <mergeCell ref="F1334:H1334"/>
    <mergeCell ref="I1334:J1334"/>
    <mergeCell ref="C1331:D1331"/>
    <mergeCell ref="F1331:H1331"/>
    <mergeCell ref="I1331:J1331"/>
    <mergeCell ref="C1332:D1332"/>
    <mergeCell ref="F1332:H1332"/>
    <mergeCell ref="I1332:J1332"/>
    <mergeCell ref="C1329:D1329"/>
    <mergeCell ref="F1329:H1329"/>
    <mergeCell ref="I1329:J1329"/>
    <mergeCell ref="C1330:D1330"/>
    <mergeCell ref="F1330:H1330"/>
    <mergeCell ref="I1330:J1330"/>
    <mergeCell ref="A1341:B1341"/>
    <mergeCell ref="C1341:E1341"/>
    <mergeCell ref="G1341:H1341"/>
    <mergeCell ref="I1341:J1341"/>
    <mergeCell ref="A1342:B1342"/>
    <mergeCell ref="C1342:E1342"/>
    <mergeCell ref="F1342:J1342"/>
    <mergeCell ref="A1339:B1339"/>
    <mergeCell ref="C1339:E1339"/>
    <mergeCell ref="G1339:H1339"/>
    <mergeCell ref="I1339:J1339"/>
    <mergeCell ref="A1340:B1340"/>
    <mergeCell ref="C1340:E1340"/>
    <mergeCell ref="F1340:J1340"/>
    <mergeCell ref="A1336:B1336"/>
    <mergeCell ref="C1336:E1336"/>
    <mergeCell ref="G1336:H1336"/>
    <mergeCell ref="I1336:J1336"/>
    <mergeCell ref="C1337:D1337"/>
    <mergeCell ref="F1337:J1337"/>
    <mergeCell ref="I1349:J1349"/>
    <mergeCell ref="A1347:B1347"/>
    <mergeCell ref="C1347:E1347"/>
    <mergeCell ref="G1347:H1347"/>
    <mergeCell ref="I1347:J1347"/>
    <mergeCell ref="A1348:B1348"/>
    <mergeCell ref="C1348:E1348"/>
    <mergeCell ref="F1348:J1348"/>
    <mergeCell ref="A1345:B1345"/>
    <mergeCell ref="C1345:E1345"/>
    <mergeCell ref="G1345:H1345"/>
    <mergeCell ref="I1345:J1345"/>
    <mergeCell ref="A1346:B1346"/>
    <mergeCell ref="C1346:E1346"/>
    <mergeCell ref="F1346:J1346"/>
    <mergeCell ref="C1349:D1349"/>
    <mergeCell ref="A1343:B1343"/>
    <mergeCell ref="C1343:E1343"/>
    <mergeCell ref="G1343:H1343"/>
    <mergeCell ref="I1343:J1343"/>
    <mergeCell ref="A1344:B1344"/>
    <mergeCell ref="C1344:E1344"/>
    <mergeCell ref="F1344:J1344"/>
    <mergeCell ref="F1371:H1372"/>
    <mergeCell ref="I1372:I1373"/>
    <mergeCell ref="J1372:J1373"/>
    <mergeCell ref="A1373:A1374"/>
    <mergeCell ref="B1373:B1374"/>
    <mergeCell ref="E1373:E1374"/>
    <mergeCell ref="F1373:H1374"/>
    <mergeCell ref="B1369:D1370"/>
    <mergeCell ref="A1371:A1372"/>
    <mergeCell ref="B1371:B1372"/>
    <mergeCell ref="C1371:C1372"/>
    <mergeCell ref="D1371:D1372"/>
    <mergeCell ref="E1371:E1372"/>
    <mergeCell ref="C1350:D1351"/>
    <mergeCell ref="E1350:E1351"/>
    <mergeCell ref="C1352:C1353"/>
    <mergeCell ref="D1352:F1352"/>
    <mergeCell ref="D1353:F1353"/>
    <mergeCell ref="D1354:F1354"/>
    <mergeCell ref="I1356:J1356"/>
    <mergeCell ref="C1386:D1386"/>
    <mergeCell ref="F1386:H1386"/>
    <mergeCell ref="I1386:J1386"/>
    <mergeCell ref="C1387:D1387"/>
    <mergeCell ref="F1387:H1387"/>
    <mergeCell ref="I1387:J1387"/>
    <mergeCell ref="A1380:C1381"/>
    <mergeCell ref="G1380:G1381"/>
    <mergeCell ref="H1380:H1381"/>
    <mergeCell ref="I1380:J1381"/>
    <mergeCell ref="A1383:J1383"/>
    <mergeCell ref="C1384:D1384"/>
    <mergeCell ref="F1384:H1384"/>
    <mergeCell ref="I1384:J1384"/>
    <mergeCell ref="A1375:A1376"/>
    <mergeCell ref="B1375:B1376"/>
    <mergeCell ref="F1375:G1375"/>
    <mergeCell ref="F1377:G1377"/>
    <mergeCell ref="G1378:G1379"/>
    <mergeCell ref="H1378:J1379"/>
    <mergeCell ref="A1393:B1393"/>
    <mergeCell ref="C1393:E1393"/>
    <mergeCell ref="G1393:H1393"/>
    <mergeCell ref="I1393:J1393"/>
    <mergeCell ref="C1394:D1394"/>
    <mergeCell ref="F1394:J1394"/>
    <mergeCell ref="C1390:D1390"/>
    <mergeCell ref="F1390:H1390"/>
    <mergeCell ref="I1390:J1390"/>
    <mergeCell ref="C1391:D1391"/>
    <mergeCell ref="F1391:H1391"/>
    <mergeCell ref="I1391:J1391"/>
    <mergeCell ref="C1388:D1388"/>
    <mergeCell ref="F1388:H1388"/>
    <mergeCell ref="I1388:J1388"/>
    <mergeCell ref="C1389:D1389"/>
    <mergeCell ref="F1389:H1389"/>
    <mergeCell ref="I1389:J1389"/>
    <mergeCell ref="A1400:B1400"/>
    <mergeCell ref="C1400:E1400"/>
    <mergeCell ref="G1400:H1400"/>
    <mergeCell ref="I1400:J1400"/>
    <mergeCell ref="A1401:B1401"/>
    <mergeCell ref="C1401:E1401"/>
    <mergeCell ref="F1401:J1401"/>
    <mergeCell ref="A1398:B1398"/>
    <mergeCell ref="C1398:E1398"/>
    <mergeCell ref="G1398:H1398"/>
    <mergeCell ref="I1398:J1398"/>
    <mergeCell ref="A1399:B1399"/>
    <mergeCell ref="C1399:E1399"/>
    <mergeCell ref="F1399:J1399"/>
    <mergeCell ref="A1396:B1396"/>
    <mergeCell ref="C1396:E1396"/>
    <mergeCell ref="G1396:H1396"/>
    <mergeCell ref="I1396:J1396"/>
    <mergeCell ref="A1397:B1397"/>
    <mergeCell ref="C1397:E1397"/>
    <mergeCell ref="F1397:J1397"/>
    <mergeCell ref="I1413:J1413"/>
    <mergeCell ref="I1406:J1406"/>
    <mergeCell ref="C1406:D1406"/>
    <mergeCell ref="C1407:D1408"/>
    <mergeCell ref="E1407:E1408"/>
    <mergeCell ref="C1409:C1410"/>
    <mergeCell ref="D1409:F1409"/>
    <mergeCell ref="D1410:F1410"/>
    <mergeCell ref="D1411:F1411"/>
    <mergeCell ref="A1404:B1404"/>
    <mergeCell ref="C1404:E1404"/>
    <mergeCell ref="G1404:H1404"/>
    <mergeCell ref="I1404:J1404"/>
    <mergeCell ref="A1405:B1405"/>
    <mergeCell ref="C1405:E1405"/>
    <mergeCell ref="F1405:J1405"/>
    <mergeCell ref="A1402:B1402"/>
    <mergeCell ref="C1402:E1402"/>
    <mergeCell ref="G1402:H1402"/>
    <mergeCell ref="I1402:J1402"/>
    <mergeCell ref="A1403:B1403"/>
    <mergeCell ref="C1403:E1403"/>
    <mergeCell ref="F1403:J1403"/>
  </mergeCells>
  <phoneticPr fontId="2"/>
  <conditionalFormatting sqref="A102:B112 C103:E112 D102:E102">
    <cfRule type="cellIs" dxfId="50" priority="18" operator="between">
      <formula>0</formula>
      <formula>0</formula>
    </cfRule>
  </conditionalFormatting>
  <conditionalFormatting sqref="A159:B169 C160:E169 D159:E159">
    <cfRule type="cellIs" dxfId="49" priority="46" operator="between">
      <formula>0</formula>
      <formula>0</formula>
    </cfRule>
  </conditionalFormatting>
  <conditionalFormatting sqref="A216:B226 C217:E226 D216:E216">
    <cfRule type="cellIs" dxfId="48" priority="12" operator="between">
      <formula>0</formula>
      <formula>0</formula>
    </cfRule>
  </conditionalFormatting>
  <conditionalFormatting sqref="A273:B283 C274:E283 D273:E273">
    <cfRule type="cellIs" dxfId="47" priority="16" operator="between">
      <formula>0</formula>
      <formula>0</formula>
    </cfRule>
  </conditionalFormatting>
  <conditionalFormatting sqref="A330:B340 C331:E340 D330:E330">
    <cfRule type="cellIs" dxfId="46" priority="40" operator="between">
      <formula>0</formula>
      <formula>0</formula>
    </cfRule>
  </conditionalFormatting>
  <conditionalFormatting sqref="A387:B397 C388:E397 D387:E387">
    <cfRule type="cellIs" dxfId="45" priority="38" operator="between">
      <formula>0</formula>
      <formula>0</formula>
    </cfRule>
  </conditionalFormatting>
  <conditionalFormatting sqref="A444:B454 C445:E454 D444:E444">
    <cfRule type="cellIs" dxfId="44" priority="56" operator="between">
      <formula>0</formula>
      <formula>0</formula>
    </cfRule>
  </conditionalFormatting>
  <conditionalFormatting sqref="A501:B511 C502:E511 D501:E501">
    <cfRule type="cellIs" dxfId="43" priority="10" operator="between">
      <formula>0</formula>
      <formula>0</formula>
    </cfRule>
  </conditionalFormatting>
  <conditionalFormatting sqref="A558:B568 C559:E568 D558:E558">
    <cfRule type="cellIs" dxfId="42" priority="14" operator="between">
      <formula>0</formula>
      <formula>0</formula>
    </cfRule>
  </conditionalFormatting>
  <conditionalFormatting sqref="A615:B625 C616:E625 D615:E615">
    <cfRule type="cellIs" dxfId="41" priority="36" operator="between">
      <formula>0</formula>
      <formula>0</formula>
    </cfRule>
  </conditionalFormatting>
  <conditionalFormatting sqref="A672:B682 C673:E682 D672:E672">
    <cfRule type="cellIs" dxfId="40" priority="34" operator="between">
      <formula>0</formula>
      <formula>0</formula>
    </cfRule>
  </conditionalFormatting>
  <conditionalFormatting sqref="A729:B739 C730:E739 D729:E729">
    <cfRule type="cellIs" dxfId="39" priority="32" operator="between">
      <formula>0</formula>
      <formula>0</formula>
    </cfRule>
  </conditionalFormatting>
  <conditionalFormatting sqref="A786:B796 C787:E796 D786:E786">
    <cfRule type="cellIs" dxfId="38" priority="30" operator="between">
      <formula>0</formula>
      <formula>0</formula>
    </cfRule>
  </conditionalFormatting>
  <conditionalFormatting sqref="A843:B853 C844:E853 D843:E843">
    <cfRule type="cellIs" dxfId="37" priority="28" operator="between">
      <formula>0</formula>
      <formula>0</formula>
    </cfRule>
  </conditionalFormatting>
  <conditionalFormatting sqref="A900:B910 C901:E910 D900:E900">
    <cfRule type="cellIs" dxfId="36" priority="42" operator="between">
      <formula>0</formula>
      <formula>0</formula>
    </cfRule>
  </conditionalFormatting>
  <conditionalFormatting sqref="A957:B967 C958:E967 D957:E957">
    <cfRule type="cellIs" dxfId="35" priority="44" operator="between">
      <formula>0</formula>
      <formula>0</formula>
    </cfRule>
  </conditionalFormatting>
  <conditionalFormatting sqref="A1014:B1024 C1015:E1024 D1014:E1014">
    <cfRule type="cellIs" dxfId="34" priority="54" operator="between">
      <formula>0</formula>
      <formula>0</formula>
    </cfRule>
  </conditionalFormatting>
  <conditionalFormatting sqref="A1071:B1081 C1072:E1081 D1071:E1071">
    <cfRule type="cellIs" dxfId="33" priority="8" operator="between">
      <formula>0</formula>
      <formula>0</formula>
    </cfRule>
  </conditionalFormatting>
  <conditionalFormatting sqref="A1128:B1138 C1129:E1138 D1128:E1128">
    <cfRule type="cellIs" dxfId="32" priority="26" operator="between">
      <formula>0</formula>
      <formula>0</formula>
    </cfRule>
  </conditionalFormatting>
  <conditionalFormatting sqref="A1185:B1195 C1186:E1195 D1185:E1185">
    <cfRule type="cellIs" dxfId="31" priority="24" operator="between">
      <formula>0</formula>
      <formula>0</formula>
    </cfRule>
  </conditionalFormatting>
  <conditionalFormatting sqref="A1242:B1252 C1243:E1252 D1242:E1242">
    <cfRule type="cellIs" dxfId="30" priority="22" operator="between">
      <formula>0</formula>
      <formula>0</formula>
    </cfRule>
  </conditionalFormatting>
  <conditionalFormatting sqref="A1299:B1309 C1300:E1309 D1299:E1299">
    <cfRule type="cellIs" dxfId="29" priority="52" operator="between">
      <formula>0</formula>
      <formula>0</formula>
    </cfRule>
  </conditionalFormatting>
  <conditionalFormatting sqref="A1356:B1366 C1357:E1366 D1356:E1356">
    <cfRule type="cellIs" dxfId="28" priority="50" operator="between">
      <formula>0</formula>
      <formula>0</formula>
    </cfRule>
  </conditionalFormatting>
  <conditionalFormatting sqref="A1413:B1423 C1414:E1423 D1413:E1413">
    <cfRule type="cellIs" dxfId="27" priority="48" operator="between">
      <formula>0</formula>
      <formula>0</formula>
    </cfRule>
  </conditionalFormatting>
  <conditionalFormatting sqref="A112:H112">
    <cfRule type="expression" dxfId="25" priority="17">
      <formula>ISNUMBER(SEARCH("灯具",$F60))</formula>
    </cfRule>
  </conditionalFormatting>
  <conditionalFormatting sqref="A169:H169">
    <cfRule type="expression" dxfId="24" priority="45">
      <formula>ISNUMBER(SEARCH("灯具",$F117))</formula>
    </cfRule>
  </conditionalFormatting>
  <conditionalFormatting sqref="A226:H226">
    <cfRule type="expression" dxfId="23" priority="11">
      <formula>ISNUMBER(SEARCH("灯具",$F174))</formula>
    </cfRule>
  </conditionalFormatting>
  <conditionalFormatting sqref="A283:H283">
    <cfRule type="expression" dxfId="22" priority="15">
      <formula>ISNUMBER(SEARCH("灯具",$F231))</formula>
    </cfRule>
  </conditionalFormatting>
  <conditionalFormatting sqref="A340:H340">
    <cfRule type="expression" dxfId="21" priority="39">
      <formula>ISNUMBER(SEARCH("灯具",$F288))</formula>
    </cfRule>
  </conditionalFormatting>
  <conditionalFormatting sqref="A397:H397">
    <cfRule type="expression" dxfId="20" priority="37">
      <formula>ISNUMBER(SEARCH("灯具",$F345))</formula>
    </cfRule>
  </conditionalFormatting>
  <conditionalFormatting sqref="A454:H454">
    <cfRule type="expression" dxfId="19" priority="55">
      <formula>ISNUMBER(SEARCH("灯具",$F402))</formula>
    </cfRule>
  </conditionalFormatting>
  <conditionalFormatting sqref="A511:H511">
    <cfRule type="expression" dxfId="18" priority="9">
      <formula>ISNUMBER(SEARCH("灯具",$F459))</formula>
    </cfRule>
  </conditionalFormatting>
  <conditionalFormatting sqref="A568:H568">
    <cfRule type="expression" dxfId="17" priority="13">
      <formula>ISNUMBER(SEARCH("灯具",$F516))</formula>
    </cfRule>
  </conditionalFormatting>
  <conditionalFormatting sqref="A625:H625">
    <cfRule type="expression" dxfId="16" priority="35">
      <formula>ISNUMBER(SEARCH("灯具",$F573))</formula>
    </cfRule>
  </conditionalFormatting>
  <conditionalFormatting sqref="A682:H682">
    <cfRule type="expression" dxfId="15" priority="33">
      <formula>ISNUMBER(SEARCH("灯具",$F630))</formula>
    </cfRule>
  </conditionalFormatting>
  <conditionalFormatting sqref="A739:H739">
    <cfRule type="expression" dxfId="14" priority="31">
      <formula>ISNUMBER(SEARCH("灯具",$F687))</formula>
    </cfRule>
  </conditionalFormatting>
  <conditionalFormatting sqref="A796:H796">
    <cfRule type="expression" dxfId="13" priority="29">
      <formula>ISNUMBER(SEARCH("灯具",$F744))</formula>
    </cfRule>
  </conditionalFormatting>
  <conditionalFormatting sqref="A853:H853">
    <cfRule type="expression" dxfId="12" priority="27">
      <formula>ISNUMBER(SEARCH("灯具",$F801))</formula>
    </cfRule>
  </conditionalFormatting>
  <conditionalFormatting sqref="A910:H910">
    <cfRule type="expression" dxfId="11" priority="41">
      <formula>ISNUMBER(SEARCH("灯具",$F858))</formula>
    </cfRule>
  </conditionalFormatting>
  <conditionalFormatting sqref="A967:H967">
    <cfRule type="expression" dxfId="10" priority="43">
      <formula>ISNUMBER(SEARCH("灯具",$F915))</formula>
    </cfRule>
  </conditionalFormatting>
  <conditionalFormatting sqref="A1024:H1024">
    <cfRule type="expression" dxfId="9" priority="53">
      <formula>ISNUMBER(SEARCH("灯具",$F972))</formula>
    </cfRule>
  </conditionalFormatting>
  <conditionalFormatting sqref="A1081:H1081">
    <cfRule type="expression" dxfId="8" priority="7">
      <formula>ISNUMBER(SEARCH("灯具",$F1029))</formula>
    </cfRule>
  </conditionalFormatting>
  <conditionalFormatting sqref="A1138:H1138">
    <cfRule type="expression" dxfId="7" priority="25">
      <formula>ISNUMBER(SEARCH("灯具",$F1086))</formula>
    </cfRule>
  </conditionalFormatting>
  <conditionalFormatting sqref="A1195:H1195">
    <cfRule type="expression" dxfId="6" priority="23">
      <formula>ISNUMBER(SEARCH("灯具",$F1143))</formula>
    </cfRule>
  </conditionalFormatting>
  <conditionalFormatting sqref="A1252:H1252">
    <cfRule type="expression" dxfId="5" priority="21">
      <formula>ISNUMBER(SEARCH("灯具",$F1200))</formula>
    </cfRule>
  </conditionalFormatting>
  <conditionalFormatting sqref="A1309:H1309">
    <cfRule type="expression" dxfId="4" priority="51">
      <formula>ISNUMBER(SEARCH("灯具",$F1257))</formula>
    </cfRule>
  </conditionalFormatting>
  <conditionalFormatting sqref="A1366:H1366">
    <cfRule type="expression" dxfId="3" priority="49">
      <formula>ISNUMBER(SEARCH("灯具",$F1314))</formula>
    </cfRule>
  </conditionalFormatting>
  <conditionalFormatting sqref="A1423:H1423">
    <cfRule type="expression" dxfId="2" priority="47">
      <formula>ISNUMBER(SEARCH("灯具",$F1371))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4" manualBreakCount="24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  <brk id="1026" max="16383" man="1"/>
    <brk id="1083" max="16383" man="1"/>
    <brk id="1140" max="16383" man="1"/>
    <brk id="1197" max="16383" man="1"/>
    <brk id="1254" max="16383" man="1"/>
    <brk id="1311" max="16383" man="1"/>
    <brk id="13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上瀬 隆司</dc:creator>
  <cp:lastModifiedBy>鉄平 富田</cp:lastModifiedBy>
  <cp:lastPrinted>2026-04-27T22:40:05Z</cp:lastPrinted>
  <dcterms:created xsi:type="dcterms:W3CDTF">2026-03-23T00:11:22Z</dcterms:created>
  <dcterms:modified xsi:type="dcterms:W3CDTF">2026-06-05T10:17:25Z</dcterms:modified>
</cp:coreProperties>
</file>