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264" documentId="13_ncr:1_{EB2FC320-7411-4243-BA59-D7F135392A5C}" xr6:coauthVersionLast="47" xr6:coauthVersionMax="47" xr10:uidLastSave="{F4BCACA4-6775-4F76-960F-A0D032C0306C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101" i="1" a="1"/>
  <c r="F101" i="1" s="1"/>
  <c r="B101" i="1" a="1"/>
  <c r="B101" i="1" s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<sst xmlns="http://schemas.openxmlformats.org/spreadsheetml/2006/main" count="222" uniqueCount="110">
  <si>
    <t>検査梱包指示書</t>
  </si>
  <si>
    <t>品目番号</t>
  </si>
  <si>
    <t>J1ZAFJB00219230</t>
  </si>
  <si>
    <t>Ｌ寸</t>
  </si>
  <si>
    <t>名称</t>
  </si>
  <si>
    <t>463301-2100灯具ｶﾊﾞｰPC IN</t>
  </si>
  <si>
    <t>上長</t>
  </si>
  <si>
    <t>係員</t>
  </si>
  <si>
    <t>製造指図№</t>
  </si>
  <si>
    <t>000000000013895</t>
  </si>
  <si>
    <t>原料名</t>
  </si>
  <si>
    <t>J6VZ041</t>
  </si>
  <si>
    <t>発注明細№</t>
  </si>
  <si>
    <t>000000000849853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</si>
  <si>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</si>
  <si>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</si>
  <si>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</si>
  <si>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</si>
  <si>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</si>
  <si>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</si>
  <si>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</si>
  <si>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</si>
  <si>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</si>
  <si>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</si>
  <si>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</si>
  <si>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*J1ZAFJB00219230*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</si>
  <si>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</si>
  <si>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</si>
  <si>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</si>
  <si>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</si>
  <si>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</si>
  <si>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</si>
  <si>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</si>
  <si>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</si>
  <si>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</si>
  <si>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</si>
  <si>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</si>
  <si>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</si>
  <si>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</si>
  <si>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</si>
  <si>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</si>
  <si>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</si>
  <si>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</si>
  <si>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</si>
  <si>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</si>
  <si>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</si>
  <si>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</si>
  <si>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</si>
  <si>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J1ZAFJA00219230</t>
  </si>
  <si>
    <t>@463301-2100灯具ｶﾊﾞｰPCIN</t>
  </si>
  <si>
    <t>V3J04</t>
  </si>
  <si>
    <t>*J1ZAFJA00219230*</t>
  </si>
  <si>
    <t>J6DW0044</t>
  </si>
  <si>
    <t>灯具-2</t>
  </si>
  <si>
    <t>*J6DW0044*</t>
  </si>
  <si>
    <t>J6XX0050</t>
  </si>
  <si>
    <t>(管理外)筋入ｸﾗﾌﾄ紙</t>
  </si>
  <si>
    <t>*J6XX0050*</t>
  </si>
  <si>
    <t>300＊100</t>
  </si>
  <si>
    <t>000000000013896</t>
  </si>
  <si>
    <t>000000000849854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</si>
  <si>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</si>
  <si>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</si>
  <si>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</si>
  <si>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</si>
  <si>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</si>
  <si>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</si>
  <si>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</si>
  <si>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</si>
  <si>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</si>
  <si>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</si>
  <si>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</si>
  <si>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</si>
  <si>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</si>
  <si>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</si>
  <si>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</si>
  <si>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</si>
  <si>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</si>
  <si>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</si>
  <si>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</si>
  <si>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</si>
  <si>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</si>
  <si>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</si>
  <si>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</si>
  <si>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</si>
  <si>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</si>
  <si>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</si>
  <si>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</si>
  <si>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</si>
  <si>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</si>
  <si>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</si>
  <si>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</si>
  <si>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</si>
  <si>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</si>
  <si>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</si>
  <si>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</si>
  <si>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</si>
  <si>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</si>
  <si>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-</t>
  </si>
  <si>
    <t>換算表確認</t>
  </si>
  <si>
    <t>灯具-2　L＝1996</t>
  </si>
  <si>
    <t>クラフト紙：1996型</t>
  </si>
  <si>
    <t>ラベル2枚　長手有　鉢巻１</t>
  </si>
  <si>
    <t>梱包箱:灯具-2　L1996</t>
  </si>
  <si>
    <t/>
  </si>
  <si>
    <t>不良補填</t>
  </si>
  <si>
    <t xml:space="preserve">切断加工： / </t>
  </si>
  <si>
    <t>26D16-01 × 73</t>
  </si>
  <si>
    <t>26D16-01</t>
  </si>
  <si>
    <t xml:space="preserve">外観検査：T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</si>
</sst>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77" fontId="10" fillId="0" borderId="0" xfId="1" applyNumberFormat="1" applyFont="1" applyAlignment="1">
      <alignment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0" xfId="1" applyNumberFormat="1" applyFont="1" applyAlignment="1">
      <alignment horizontal="left"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31EBA671-7FB2-41CD-B4F4-C0F8A032AF48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4</xdr:row>
      <xdr:rowOff>9525</xdr:rowOff>
    </xdr:from>
    <xdr:to>
      <xdr:col>9</xdr:col>
      <xdr:colOff>752475</xdr:colOff>
      <xdr:row>6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25D1FE-3108-5022-DA3D-65DF57BE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73342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61</xdr:row>
      <xdr:rowOff>47625</xdr:rowOff>
    </xdr:from>
    <xdr:to>
      <xdr:col>9</xdr:col>
      <xdr:colOff>685800</xdr:colOff>
      <xdr:row>63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95D0D2-ECD2-85EB-34D8-D8DEB9793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400175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61</xdr:row>
      <xdr:rowOff>47625</xdr:rowOff>
    </xdr:from>
    <xdr:to>
      <xdr:col>8</xdr:col>
      <xdr:colOff>695325</xdr:colOff>
      <xdr:row>63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BBAA5E7-D6E1-C94E-801B-B75E05843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140017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4</xdr:row>
      <xdr:rowOff>47626</xdr:rowOff>
    </xdr:from>
    <xdr:to>
      <xdr:col>8</xdr:col>
      <xdr:colOff>666751</xdr:colOff>
      <xdr:row>6</xdr:row>
      <xdr:rowOff>161926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C4DED3-25F5-D2C1-8CB1-2A624CF6C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1" y="771526"/>
          <a:ext cx="552450" cy="552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8" t="s">
        <v>0</v>
      </c>
      <c r="C1" s="112"/>
      <c r="D1" s="112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2"/>
      <c r="C2" s="112"/>
      <c r="D2" s="112"/>
      <c r="E2" s="12"/>
      <c r="F2" s="12"/>
      <c r="G2" s="12"/>
      <c r="H2" s="12"/>
      <c r="I2" s="12"/>
      <c r="J2" s="12"/>
    </row>
    <row r="3" spans="1:10" ht="14.25" customHeight="1">
      <c r="A3" s="111" t="s">
        <v>1</v>
      </c>
      <c r="B3" s="111" t="s">
        <v>2</v>
      </c>
      <c r="C3" s="111" t="s">
        <v>3</v>
      </c>
      <c r="D3" s="139">
        <v>1923</v>
      </c>
      <c r="E3" s="111" t="s">
        <v>4</v>
      </c>
      <c r="F3" s="142" t="s">
        <v>5</v>
      </c>
      <c r="G3" s="112"/>
      <c r="H3" s="112"/>
      <c r="I3" s="24" t="s">
        <v>6</v>
      </c>
      <c r="J3" s="24" t="s">
        <v>7</v>
      </c>
    </row>
    <row r="4" spans="1:10" ht="14.25" customHeight="1">
      <c r="A4" s="112"/>
      <c r="B4" s="112"/>
      <c r="C4" s="112"/>
      <c r="D4" s="112"/>
      <c r="E4" s="112"/>
      <c r="F4" s="112"/>
      <c r="G4" s="112"/>
      <c r="H4" s="112"/>
      <c r="I4" s="123"/>
      <c r="J4" s="123"/>
    </row>
    <row r="5" spans="1:10" ht="17.45" customHeight="1">
      <c r="A5" s="121" t="s">
        <v>8</v>
      </c>
      <c r="B5" s="121" t="s">
        <v>9</v>
      </c>
      <c r="E5" s="121" t="s">
        <v>10</v>
      </c>
      <c r="F5" s="129" t="s">
        <v>11</v>
      </c>
      <c r="G5" s="112"/>
      <c r="H5" s="112"/>
      <c r="I5" s="124"/>
      <c r="J5" s="124"/>
    </row>
    <row r="6" spans="1:10" ht="17.45" customHeight="1">
      <c r="A6" s="112"/>
      <c r="B6" s="112"/>
      <c r="E6" s="112"/>
      <c r="F6" s="112"/>
      <c r="G6" s="112"/>
      <c r="H6" s="112"/>
      <c r="I6" s="13"/>
      <c r="J6" s="13"/>
    </row>
    <row r="7" spans="1:10" ht="17.45" customHeight="1">
      <c r="A7" s="121" t="s">
        <v>12</v>
      </c>
      <c r="B7" s="121" t="s">
        <v>13</v>
      </c>
      <c r="E7" s="2" t="s">
        <v>14</v>
      </c>
      <c r="F7" s="129" t="s">
        <v>15</v>
      </c>
      <c r="G7" s="112"/>
      <c r="H7" s="21"/>
      <c r="I7" s="13"/>
      <c r="J7" s="13"/>
    </row>
    <row r="8" spans="1:10" ht="17.45" customHeight="1">
      <c r="A8" s="112"/>
      <c r="B8" s="112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46155</v>
      </c>
      <c r="E9" s="2" t="s">
        <v>19</v>
      </c>
      <c r="F9" s="150">
        <v>16</v>
      </c>
      <c r="G9" s="112"/>
      <c r="H9" s="21"/>
    </row>
    <row r="10" spans="1:10" ht="17.45" customHeight="1">
      <c r="A10" s="2" t="s">
        <v>20</v>
      </c>
      <c r="B10" s="4">
        <v>46155</v>
      </c>
      <c r="E10" s="2" t="s">
        <v>21</v>
      </c>
      <c r="F10" s="21">
        <v>2</v>
      </c>
      <c r="G10" s="149" t="s">
        <v>22</v>
      </c>
      <c r="H10" s="143">
        <v>32</v>
      </c>
      <c r="I10" s="144"/>
      <c r="J10" s="14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6"/>
      <c r="H11" s="146"/>
      <c r="I11" s="126"/>
      <c r="J11" s="136"/>
    </row>
    <row r="12" spans="1:10" ht="13.5" customHeight="1">
      <c r="A12" s="120" t="s">
        <v>25</v>
      </c>
      <c r="B12" s="112"/>
      <c r="C12" s="112"/>
      <c r="D12" s="20"/>
      <c r="F12" s="3"/>
      <c r="G12" s="130" t="s">
        <v>26</v>
      </c>
      <c r="H12" s="151" t="s">
        <v>27</v>
      </c>
      <c r="I12" s="134" t="s">
        <v>28</v>
      </c>
      <c r="J12" s="135"/>
    </row>
    <row r="13" spans="1:10" ht="13.5" customHeight="1">
      <c r="A13" s="112"/>
      <c r="B13" s="112"/>
      <c r="C13" s="112"/>
      <c r="D13" s="20"/>
      <c r="F13" s="3"/>
      <c r="G13" s="131"/>
      <c r="H13" s="131"/>
      <c r="I13" s="126"/>
      <c r="J13" s="136"/>
    </row>
    <row r="14" spans="1:10" ht="13.5" customHeight="1">
      <c r="A14" s="1" t="s">
        <v>29</v>
      </c>
    </row>
    <row r="15" spans="1:10" ht="63" customHeight="1" thickBot="1">
      <c r="A15" s="132"/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ht="18.75">
      <c r="A16" s="23" t="s">
        <v>30</v>
      </c>
      <c r="B16" s="16" t="s">
        <v>31</v>
      </c>
      <c r="C16" s="140" t="s">
        <v>32</v>
      </c>
      <c r="D16" s="141"/>
      <c r="E16" s="16" t="s">
        <v>33</v>
      </c>
      <c r="F16" s="140" t="s">
        <v>34</v>
      </c>
      <c r="G16" s="141"/>
      <c r="H16" s="141"/>
      <c r="I16" s="147" t="s">
        <v>35</v>
      </c>
      <c r="J16" s="14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3" t="s">
        <v>37</v>
      </c>
      <c r="D18" s="117"/>
      <c r="E18" s="25" t="s">
        <v>38</v>
      </c>
      <c r="F18" s="113" t="s">
        <v>39</v>
      </c>
      <c r="G18" s="117"/>
      <c r="H18" s="117"/>
      <c r="I18" s="116"/>
      <c r="J18" s="117"/>
    </row>
    <row r="19" spans="1:10" s="7" customFormat="1" ht="16.5" customHeight="1">
      <c r="A19" s="22">
        <v>1</v>
      </c>
      <c r="B19" s="26" t="s">
        <v>36</v>
      </c>
      <c r="C19" s="113" t="s">
        <v>37</v>
      </c>
      <c r="D19" s="117"/>
      <c r="E19" s="25" t="s">
        <v>40</v>
      </c>
      <c r="F19" s="113" t="s">
        <v>41</v>
      </c>
      <c r="G19" s="117"/>
      <c r="H19" s="117"/>
      <c r="I19" s="116"/>
      <c r="J19" s="117"/>
    </row>
    <row r="20" spans="1:10" s="7" customFormat="1" ht="16.5" customHeight="1">
      <c r="A20" s="22"/>
      <c r="B20" s="26"/>
      <c r="C20" s="113"/>
      <c r="D20" s="117"/>
      <c r="E20" s="25"/>
      <c r="F20" s="113"/>
      <c r="G20" s="117"/>
      <c r="H20" s="117"/>
      <c r="I20" s="116"/>
      <c r="J20" s="117"/>
    </row>
    <row r="21" spans="1:10" s="7" customFormat="1" ht="16.5" customHeight="1">
      <c r="A21" s="22"/>
      <c r="B21" s="26"/>
      <c r="C21" s="113"/>
      <c r="D21" s="117"/>
      <c r="E21" s="25"/>
      <c r="F21" s="113"/>
      <c r="G21" s="117"/>
      <c r="H21" s="117"/>
      <c r="I21" s="116"/>
      <c r="J21" s="117"/>
    </row>
    <row r="22" spans="1:10" s="7" customFormat="1" ht="16.5" customHeight="1">
      <c r="A22" s="22"/>
      <c r="B22" s="26"/>
      <c r="C22" s="113"/>
      <c r="D22" s="117"/>
      <c r="E22" s="25"/>
      <c r="F22" s="113"/>
      <c r="G22" s="117"/>
      <c r="H22" s="117"/>
      <c r="I22" s="116"/>
      <c r="J22" s="117"/>
    </row>
    <row r="23" spans="1:10" s="7" customFormat="1" ht="16.5" customHeight="1">
      <c r="A23" s="22"/>
      <c r="B23" s="26"/>
      <c r="C23" s="113"/>
      <c r="D23" s="117"/>
      <c r="E23" s="25"/>
      <c r="F23" s="113"/>
      <c r="G23" s="117"/>
      <c r="H23" s="117"/>
      <c r="I23" s="116"/>
      <c r="J23" s="11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8" t="s">
        <v>42</v>
      </c>
      <c r="B25" s="119"/>
      <c r="C25" s="118" t="s">
        <v>43</v>
      </c>
      <c r="D25" s="119"/>
      <c r="E25" s="119"/>
      <c r="F25" s="17" t="s">
        <v>44</v>
      </c>
      <c r="G25" s="118" t="s">
        <v>45</v>
      </c>
      <c r="H25" s="119"/>
      <c r="I25" s="118" t="s">
        <v>46</v>
      </c>
      <c r="J25" s="119"/>
    </row>
    <row r="26" spans="1:10" ht="14.25" customHeight="1">
      <c r="A26" s="8"/>
      <c r="B26" s="18"/>
      <c r="C26" s="125" t="s">
        <v>47</v>
      </c>
      <c r="D26" s="126"/>
      <c r="E26" s="18"/>
      <c r="F26" s="125" t="s">
        <v>29</v>
      </c>
      <c r="G26" s="126"/>
      <c r="H26" s="126"/>
      <c r="I26" s="126"/>
      <c r="J26" s="126"/>
    </row>
    <row r="27" spans="1:10">
      <c r="A27" s="9"/>
      <c r="C27" s="7"/>
      <c r="D27" s="7"/>
      <c r="E27" s="7"/>
    </row>
    <row r="28" spans="1:10" s="5" customFormat="1" ht="14.25" customHeight="1">
      <c r="A28" s="113" t="s">
        <v>48</v>
      </c>
      <c r="B28" s="115"/>
      <c r="C28" s="113" t="s">
        <v>49</v>
      </c>
      <c r="D28" s="115"/>
      <c r="E28" s="115"/>
      <c r="F28" s="27" t="s">
        <v>50</v>
      </c>
      <c r="G28" s="114">
        <v>32</v>
      </c>
      <c r="H28" s="115"/>
      <c r="I28" s="114">
        <v>2</v>
      </c>
      <c r="J28" s="115"/>
    </row>
    <row r="29" spans="1:10" s="7" customFormat="1" ht="24.95" customHeight="1">
      <c r="A29" s="122" t="s">
        <v>51</v>
      </c>
      <c r="B29" s="117"/>
      <c r="C29" s="113" t="s">
        <v>11</v>
      </c>
      <c r="D29" s="117"/>
      <c r="E29" s="117"/>
      <c r="F29" s="113"/>
      <c r="G29" s="117"/>
      <c r="H29" s="117"/>
      <c r="I29" s="117"/>
      <c r="J29" s="117"/>
    </row>
    <row r="30" spans="1:10" s="5" customFormat="1" ht="14.25" customHeight="1">
      <c r="A30" s="113" t="s">
        <v>52</v>
      </c>
      <c r="B30" s="115"/>
      <c r="C30" s="113" t="s">
        <v>53</v>
      </c>
      <c r="D30" s="115"/>
      <c r="E30" s="115"/>
      <c r="F30" s="27" t="s">
        <v>27</v>
      </c>
      <c r="G30" s="114">
        <v>2.016</v>
      </c>
      <c r="H30" s="115"/>
      <c r="I30" s="114">
        <v>0.126</v>
      </c>
      <c r="J30" s="115"/>
    </row>
    <row r="31" spans="1:10" s="7" customFormat="1" ht="24.95" customHeight="1">
      <c r="A31" s="122" t="s">
        <v>54</v>
      </c>
      <c r="B31" s="117"/>
      <c r="C31" s="113"/>
      <c r="D31" s="117"/>
      <c r="E31" s="117"/>
      <c r="F31" s="113"/>
      <c r="G31" s="117"/>
      <c r="H31" s="117"/>
      <c r="I31" s="117"/>
      <c r="J31" s="117"/>
    </row>
    <row r="32" spans="1:10" s="5" customFormat="1" ht="14.25" customHeight="1">
      <c r="A32" s="113" t="s">
        <v>55</v>
      </c>
      <c r="B32" s="115"/>
      <c r="C32" s="113" t="s">
        <v>56</v>
      </c>
      <c r="D32" s="115"/>
      <c r="E32" s="115"/>
      <c r="F32" s="27"/>
      <c r="G32" s="114">
        <v>0.192</v>
      </c>
      <c r="H32" s="115"/>
      <c r="I32" s="114">
        <v>1.2E-2</v>
      </c>
      <c r="J32" s="115"/>
    </row>
    <row r="33" spans="1:14" s="7" customFormat="1" ht="24.95" customHeight="1">
      <c r="A33" s="122" t="s">
        <v>57</v>
      </c>
      <c r="B33" s="117"/>
      <c r="C33" s="113" t="s">
        <v>58</v>
      </c>
      <c r="D33" s="117"/>
      <c r="E33" s="117"/>
      <c r="F33" s="113"/>
      <c r="G33" s="117"/>
      <c r="H33" s="117"/>
      <c r="I33" s="117"/>
      <c r="J33" s="117"/>
    </row>
    <row r="34" spans="1:14" s="5" customFormat="1" ht="14.25" customHeight="1">
      <c r="A34" s="113"/>
      <c r="B34" s="115"/>
      <c r="C34" s="113"/>
      <c r="D34" s="115"/>
      <c r="E34" s="115"/>
      <c r="F34" s="27"/>
      <c r="G34" s="114"/>
      <c r="H34" s="115"/>
      <c r="I34" s="114"/>
      <c r="J34" s="115"/>
    </row>
    <row r="35" spans="1:14" s="7" customFormat="1" ht="24.95" customHeight="1">
      <c r="A35" s="122"/>
      <c r="B35" s="117"/>
      <c r="C35" s="113"/>
      <c r="D35" s="117"/>
      <c r="E35" s="117"/>
      <c r="F35" s="113"/>
      <c r="G35" s="117"/>
      <c r="H35" s="117"/>
      <c r="I35" s="117"/>
      <c r="J35" s="117"/>
    </row>
    <row r="36" spans="1:14" s="5" customFormat="1" ht="14.25" customHeight="1">
      <c r="A36" s="113"/>
      <c r="B36" s="115"/>
      <c r="C36" s="113"/>
      <c r="D36" s="115"/>
      <c r="E36" s="115"/>
      <c r="F36" s="27"/>
      <c r="G36" s="114"/>
      <c r="H36" s="115"/>
      <c r="I36" s="114"/>
      <c r="J36" s="115"/>
    </row>
    <row r="37" spans="1:14" s="7" customFormat="1" ht="24.95" customHeight="1" thickBot="1">
      <c r="A37" s="122"/>
      <c r="B37" s="117"/>
      <c r="C37" s="113"/>
      <c r="D37" s="117"/>
      <c r="E37" s="117"/>
      <c r="F37" s="113"/>
      <c r="G37" s="117"/>
      <c r="H37" s="117"/>
      <c r="I37" s="117"/>
      <c r="J37" s="117"/>
    </row>
    <row r="38" spans="1:14" s="5" customFormat="1" ht="18" customHeight="1">
      <c r="A38" s="28" t="s">
        <v>61</v>
      </c>
      <c r="B38" s="29" t="s">
        <v>62</v>
      </c>
      <c r="C38" s="154" t="s">
        <v>63</v>
      </c>
      <c r="D38" s="155"/>
      <c r="E38" s="30" t="s">
        <v>64</v>
      </c>
      <c r="F38" s="31" t="s">
        <v>65</v>
      </c>
      <c r="G38" s="32" t="s">
        <v>66</v>
      </c>
      <c r="H38" s="33" t="s">
        <v>67</v>
      </c>
      <c r="I38" s="137" t="s">
        <v>68</v>
      </c>
      <c r="J38" s="138"/>
    </row>
    <row r="39" spans="1:14" s="7" customFormat="1" ht="18" customHeight="1">
      <c r="A39" s="34" t="str">
        <f>_xlfn.XLOOKUP(B3,[1]VFDB2!$A:$A,[1]VFDB2!$J:$J)</f>
        <v>-</v>
      </c>
      <c r="B39" s="35">
        <f>D3</f>
        <v>1923</v>
      </c>
      <c r="C39" s="152" t="str">
        <f>_xlfn.XLOOKUP(B3,[1]VFDB2!$A:$A,[1]VFDB2!$Z:$Z)</f>
        <v>灯具-2　L＝1996</v>
      </c>
      <c r="D39" s="153"/>
      <c r="E39" s="10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69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70</v>
      </c>
      <c r="B40" s="45" t="s">
        <v>71</v>
      </c>
      <c r="C40" s="152"/>
      <c r="D40" s="153"/>
      <c r="E40" s="10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72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08" t="s">
        <v>73</v>
      </c>
      <c r="D41" s="109" t="str">
        <f>_xlfn.XLOOKUP(B3,[1]VFDB2!$A:$A,[1]VFDB2!$W:$W)</f>
        <v>クラフト紙：1996型</v>
      </c>
      <c r="E41" s="109"/>
      <c r="F41" s="110"/>
      <c r="G41" s="37"/>
      <c r="H41" s="38"/>
      <c r="I41" s="39" t="s">
        <v>74</v>
      </c>
      <c r="J41" s="41" t="str">
        <v/>
      </c>
      <c r="K41" s="50"/>
    </row>
    <row r="42" spans="1:14" s="5" customFormat="1" ht="18" customHeight="1">
      <c r="A42" s="51" t="s">
        <v>75</v>
      </c>
      <c r="B42" s="52" t="s">
        <v>76</v>
      </c>
      <c r="C42" s="108"/>
      <c r="D42" s="109" t="str">
        <f>_xlfn.XLOOKUP(B3,[1]VFDB2!$A:$A,[1]VFDB2!$R:$R)</f>
        <v>ラベル2枚　長手有　鉢巻１</v>
      </c>
      <c r="E42" s="109"/>
      <c r="F42" s="110"/>
      <c r="G42" s="37"/>
      <c r="H42" s="38"/>
      <c r="I42" s="39" t="s">
        <v>77</v>
      </c>
      <c r="J42" s="41" t="str">
        <v/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1</v>
      </c>
      <c r="C43" s="55" t="s">
        <v>78</v>
      </c>
      <c r="D43" s="127" t="str">
        <f>_xlfn.XLOOKUP(B3,[1]VFDB2!$A:$A,[1]VFDB2!$V:$V)</f>
        <v>梱包箱:灯具-2　L1996</v>
      </c>
      <c r="E43" s="127"/>
      <c r="F43" s="128"/>
      <c r="G43" s="56"/>
      <c r="H43" s="57"/>
      <c r="I43" s="39" t="s">
        <v>79</v>
      </c>
      <c r="J43" s="42" t="str">
        <v/>
      </c>
      <c r="K43" s="50"/>
    </row>
    <row r="44" spans="1:14" s="5" customFormat="1" ht="18" customHeight="1" thickBot="1">
      <c r="A44" s="58" t="s">
        <v>80</v>
      </c>
      <c r="B44" s="59" t="str" cm="1">
        <f t="array" ref="B44">IF(SUM(--(ISTEXT(B45:B55)*(B45:B55&lt;&gt;"")))=0,"計測Lot","計測Lot・加工数")</f>
        <v>計測Lot</v>
      </c>
      <c r="C44" s="60" t="s">
        <v>81</v>
      </c>
      <c r="D44" s="61" t="s">
        <v>82</v>
      </c>
      <c r="E44" s="62" t="s">
        <v>83</v>
      </c>
      <c r="F44" s="63" t="str" cm="1">
        <f t="array" ref="F44">IF(SUM(--(ISTEXT(B45:B55)*(B45:B55&lt;&gt;"")))=0,"記入不要","使用Lot")</f>
        <v>記入不要</v>
      </c>
      <c r="G44" s="64" t="s">
        <v>84</v>
      </c>
      <c r="H44" s="65" t="s">
        <v>85</v>
      </c>
      <c r="I44" s="66" t="s">
        <v>86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87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88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89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90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91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92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93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94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95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96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97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8" t="s">
        <v>0</v>
      </c>
      <c r="C58" s="112"/>
      <c r="D58" s="112"/>
      <c r="E58" s="11"/>
      <c r="F58" s="11"/>
      <c r="G58" s="11"/>
      <c r="H58" s="11"/>
      <c r="I58" s="11"/>
      <c r="J58" s="11"/>
    </row>
    <row r="59" spans="1:14" ht="14.25" customHeight="1">
      <c r="A59" s="12"/>
      <c r="B59" s="112"/>
      <c r="C59" s="112"/>
      <c r="D59" s="112"/>
      <c r="E59" s="12"/>
      <c r="F59" s="12"/>
      <c r="G59" s="12"/>
      <c r="H59" s="12"/>
      <c r="I59" s="12"/>
      <c r="J59" s="12"/>
    </row>
    <row r="60" spans="1:14" ht="14.25" customHeight="1">
      <c r="A60" s="111" t="s">
        <v>1</v>
      </c>
      <c r="B60" s="111" t="s">
        <v>2</v>
      </c>
      <c r="C60" s="111" t="s">
        <v>3</v>
      </c>
      <c r="D60" s="139">
        <v>1923</v>
      </c>
      <c r="E60" s="111" t="s">
        <v>4</v>
      </c>
      <c r="F60" s="142" t="s">
        <v>5</v>
      </c>
      <c r="G60" s="112"/>
      <c r="H60" s="112"/>
      <c r="I60" s="24" t="s">
        <v>6</v>
      </c>
      <c r="J60" s="24" t="s">
        <v>7</v>
      </c>
    </row>
    <row r="61" spans="1:14" ht="14.25" customHeight="1">
      <c r="A61" s="112"/>
      <c r="B61" s="112"/>
      <c r="C61" s="112"/>
      <c r="D61" s="112"/>
      <c r="E61" s="112"/>
      <c r="F61" s="112"/>
      <c r="G61" s="112"/>
      <c r="H61" s="112"/>
      <c r="I61" s="123"/>
      <c r="J61" s="123"/>
    </row>
    <row r="62" spans="1:14" ht="17.45" customHeight="1">
      <c r="A62" s="121" t="s">
        <v>8</v>
      </c>
      <c r="B62" s="121" t="s">
        <v>59</v>
      </c>
      <c r="E62" s="121" t="s">
        <v>10</v>
      </c>
      <c r="F62" s="129" t="s">
        <v>11</v>
      </c>
      <c r="G62" s="112"/>
      <c r="H62" s="112"/>
      <c r="I62" s="124"/>
      <c r="J62" s="124"/>
    </row>
    <row r="63" spans="1:14" ht="17.45" customHeight="1">
      <c r="A63" s="112"/>
      <c r="B63" s="112"/>
      <c r="E63" s="112"/>
      <c r="F63" s="112"/>
      <c r="G63" s="112"/>
      <c r="H63" s="112"/>
      <c r="I63" s="13"/>
      <c r="J63" s="13"/>
    </row>
    <row r="64" spans="1:14" ht="17.45" customHeight="1">
      <c r="A64" s="121" t="s">
        <v>12</v>
      </c>
      <c r="B64" s="121" t="s">
        <v>60</v>
      </c>
      <c r="E64" s="2" t="s">
        <v>14</v>
      </c>
      <c r="F64" s="129" t="s">
        <v>15</v>
      </c>
      <c r="G64" s="112"/>
      <c r="H64" s="21"/>
      <c r="I64" s="13"/>
      <c r="J64" s="13"/>
    </row>
    <row r="65" spans="1:10" ht="17.45" customHeight="1">
      <c r="A65" s="112"/>
      <c r="B65" s="112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46162</v>
      </c>
      <c r="E66" s="2" t="s">
        <v>19</v>
      </c>
      <c r="F66" s="150">
        <v>16</v>
      </c>
      <c r="G66" s="112"/>
      <c r="H66" s="21"/>
    </row>
    <row r="67" spans="1:10" ht="17.45" customHeight="1">
      <c r="A67" s="2" t="s">
        <v>20</v>
      </c>
      <c r="B67" s="4">
        <v>46162</v>
      </c>
      <c r="E67" s="2" t="s">
        <v>21</v>
      </c>
      <c r="F67" s="21">
        <v>4</v>
      </c>
      <c r="G67" s="149" t="s">
        <v>22</v>
      </c>
      <c r="H67" s="143">
        <v>64</v>
      </c>
      <c r="I67" s="144"/>
      <c r="J67" s="145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6"/>
      <c r="H68" s="146"/>
      <c r="I68" s="126"/>
      <c r="J68" s="136"/>
    </row>
    <row r="69" spans="1:10" ht="13.5" customHeight="1">
      <c r="A69" s="120" t="s">
        <v>25</v>
      </c>
      <c r="B69" s="112"/>
      <c r="C69" s="112"/>
      <c r="D69" s="20"/>
      <c r="F69" s="3"/>
      <c r="G69" s="130" t="s">
        <v>26</v>
      </c>
      <c r="H69" s="151" t="s">
        <v>27</v>
      </c>
      <c r="I69" s="134" t="s">
        <v>28</v>
      </c>
      <c r="J69" s="135"/>
    </row>
    <row r="70" spans="1:10" ht="13.5" customHeight="1">
      <c r="A70" s="112"/>
      <c r="B70" s="112"/>
      <c r="C70" s="112"/>
      <c r="D70" s="20"/>
      <c r="F70" s="3"/>
      <c r="G70" s="131"/>
      <c r="H70" s="131"/>
      <c r="I70" s="126"/>
      <c r="J70" s="136"/>
    </row>
    <row r="71" spans="1:10" ht="13.5" customHeight="1">
      <c r="A71" s="1" t="s">
        <v>29</v>
      </c>
    </row>
    <row r="72" spans="1:10" ht="63" customHeight="1">
      <c r="A72" s="132"/>
      <c r="B72" s="133"/>
      <c r="C72" s="133"/>
      <c r="D72" s="133"/>
      <c r="E72" s="133"/>
      <c r="F72" s="133"/>
      <c r="G72" s="133"/>
      <c r="H72" s="133"/>
      <c r="I72" s="133"/>
      <c r="J72" s="133"/>
    </row>
    <row r="73" spans="1:10" ht="18.75">
      <c r="A73" s="23" t="s">
        <v>30</v>
      </c>
      <c r="B73" s="16" t="s">
        <v>31</v>
      </c>
      <c r="C73" s="140" t="s">
        <v>32</v>
      </c>
      <c r="D73" s="141"/>
      <c r="E73" s="16" t="s">
        <v>33</v>
      </c>
      <c r="F73" s="140" t="s">
        <v>34</v>
      </c>
      <c r="G73" s="141"/>
      <c r="H73" s="141"/>
      <c r="I73" s="147" t="s">
        <v>35</v>
      </c>
      <c r="J73" s="141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3" t="s">
        <v>37</v>
      </c>
      <c r="D75" s="112"/>
      <c r="E75" s="25" t="s">
        <v>38</v>
      </c>
      <c r="F75" s="113" t="s">
        <v>39</v>
      </c>
      <c r="G75" s="112"/>
      <c r="H75" s="112"/>
      <c r="I75" s="116"/>
      <c r="J75" s="112"/>
    </row>
    <row r="76" spans="1:10" ht="16.5" customHeight="1">
      <c r="A76" s="22">
        <v>1</v>
      </c>
      <c r="B76" s="26" t="s">
        <v>36</v>
      </c>
      <c r="C76" s="113" t="s">
        <v>37</v>
      </c>
      <c r="D76" s="112"/>
      <c r="E76" s="25" t="s">
        <v>40</v>
      </c>
      <c r="F76" s="113" t="s">
        <v>41</v>
      </c>
      <c r="G76" s="112"/>
      <c r="H76" s="112"/>
      <c r="I76" s="116"/>
      <c r="J76" s="112"/>
    </row>
    <row r="77" spans="1:10" ht="16.5" customHeight="1">
      <c r="A77" s="22"/>
      <c r="B77" s="26"/>
      <c r="C77" s="113"/>
      <c r="D77" s="112"/>
      <c r="E77" s="25"/>
      <c r="F77" s="113"/>
      <c r="G77" s="112"/>
      <c r="H77" s="112"/>
      <c r="I77" s="116"/>
      <c r="J77" s="112"/>
    </row>
    <row r="78" spans="1:10" ht="16.5" customHeight="1">
      <c r="A78" s="22"/>
      <c r="B78" s="26"/>
      <c r="C78" s="113"/>
      <c r="D78" s="112"/>
      <c r="E78" s="25"/>
      <c r="F78" s="113"/>
      <c r="G78" s="112"/>
      <c r="H78" s="112"/>
      <c r="I78" s="116"/>
      <c r="J78" s="112"/>
    </row>
    <row r="79" spans="1:10" ht="16.5" customHeight="1">
      <c r="A79" s="22"/>
      <c r="B79" s="26"/>
      <c r="C79" s="113"/>
      <c r="D79" s="112"/>
      <c r="E79" s="25"/>
      <c r="F79" s="113"/>
      <c r="G79" s="112"/>
      <c r="H79" s="112"/>
      <c r="I79" s="116"/>
      <c r="J79" s="112"/>
    </row>
    <row r="80" spans="1:10" ht="16.5" customHeight="1">
      <c r="A80" s="22"/>
      <c r="B80" s="26"/>
      <c r="C80" s="113"/>
      <c r="D80" s="112"/>
      <c r="E80" s="25"/>
      <c r="F80" s="113"/>
      <c r="G80" s="112"/>
      <c r="H80" s="112"/>
      <c r="I80" s="116"/>
      <c r="J80" s="112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8" t="s">
        <v>42</v>
      </c>
      <c r="B82" s="119"/>
      <c r="C82" s="118" t="s">
        <v>43</v>
      </c>
      <c r="D82" s="119"/>
      <c r="E82" s="119"/>
      <c r="F82" s="17" t="s">
        <v>44</v>
      </c>
      <c r="G82" s="118" t="s">
        <v>45</v>
      </c>
      <c r="H82" s="119"/>
      <c r="I82" s="118" t="s">
        <v>46</v>
      </c>
      <c r="J82" s="119"/>
    </row>
    <row r="83" spans="1:10" ht="14.25" customHeight="1">
      <c r="A83" s="8"/>
      <c r="B83" s="18"/>
      <c r="C83" s="125" t="s">
        <v>47</v>
      </c>
      <c r="D83" s="126"/>
      <c r="E83" s="18"/>
      <c r="F83" s="125" t="s">
        <v>29</v>
      </c>
      <c r="G83" s="126"/>
      <c r="H83" s="126"/>
      <c r="I83" s="126"/>
      <c r="J83" s="126"/>
    </row>
    <row r="84" spans="1:10">
      <c r="A84" s="9"/>
      <c r="C84" s="7"/>
      <c r="D84" s="7"/>
      <c r="E84" s="7"/>
    </row>
    <row r="85" spans="1:10" ht="14.25" customHeight="1">
      <c r="A85" s="113" t="s">
        <v>48</v>
      </c>
      <c r="B85" s="112"/>
      <c r="C85" s="113" t="s">
        <v>49</v>
      </c>
      <c r="D85" s="112"/>
      <c r="E85" s="112"/>
      <c r="F85" s="27" t="s">
        <v>50</v>
      </c>
      <c r="G85" s="114">
        <v>64</v>
      </c>
      <c r="H85" s="112"/>
      <c r="I85" s="114">
        <v>4</v>
      </c>
      <c r="J85" s="112"/>
    </row>
    <row r="86" spans="1:10" ht="24.95" customHeight="1">
      <c r="A86" s="122" t="s">
        <v>51</v>
      </c>
      <c r="B86" s="112"/>
      <c r="C86" s="113" t="s">
        <v>11</v>
      </c>
      <c r="D86" s="112"/>
      <c r="E86" s="112"/>
      <c r="F86" s="113"/>
      <c r="G86" s="112"/>
      <c r="H86" s="112"/>
      <c r="I86" s="112"/>
      <c r="J86" s="112"/>
    </row>
    <row r="87" spans="1:10" ht="14.25" customHeight="1">
      <c r="A87" s="113" t="s">
        <v>52</v>
      </c>
      <c r="B87" s="112"/>
      <c r="C87" s="113" t="s">
        <v>53</v>
      </c>
      <c r="D87" s="112"/>
      <c r="E87" s="112"/>
      <c r="F87" s="27" t="s">
        <v>27</v>
      </c>
      <c r="G87" s="114">
        <v>4.032</v>
      </c>
      <c r="H87" s="112"/>
      <c r="I87" s="114">
        <v>0.252</v>
      </c>
      <c r="J87" s="112"/>
    </row>
    <row r="88" spans="1:10" ht="24.95" customHeight="1">
      <c r="A88" s="122" t="s">
        <v>54</v>
      </c>
      <c r="B88" s="112"/>
      <c r="C88" s="113"/>
      <c r="D88" s="112"/>
      <c r="E88" s="112"/>
      <c r="F88" s="113"/>
      <c r="G88" s="112"/>
      <c r="H88" s="112"/>
      <c r="I88" s="112"/>
      <c r="J88" s="112"/>
    </row>
    <row r="89" spans="1:10" ht="14.25" customHeight="1">
      <c r="A89" s="113" t="s">
        <v>55</v>
      </c>
      <c r="B89" s="112"/>
      <c r="C89" s="113" t="s">
        <v>56</v>
      </c>
      <c r="D89" s="112"/>
      <c r="E89" s="112"/>
      <c r="F89" s="27"/>
      <c r="G89" s="114">
        <v>0.38400000000000001</v>
      </c>
      <c r="H89" s="112"/>
      <c r="I89" s="114">
        <v>2.4E-2</v>
      </c>
      <c r="J89" s="112"/>
    </row>
    <row r="90" spans="1:10" ht="24.95" customHeight="1">
      <c r="A90" s="122" t="s">
        <v>57</v>
      </c>
      <c r="B90" s="112"/>
      <c r="C90" s="113" t="s">
        <v>58</v>
      </c>
      <c r="D90" s="112"/>
      <c r="E90" s="112"/>
      <c r="F90" s="113"/>
      <c r="G90" s="112"/>
      <c r="H90" s="112"/>
      <c r="I90" s="112"/>
      <c r="J90" s="112"/>
    </row>
    <row r="91" spans="1:10" ht="14.25" customHeight="1">
      <c r="A91" s="113"/>
      <c r="B91" s="112"/>
      <c r="C91" s="113"/>
      <c r="D91" s="112"/>
      <c r="E91" s="112"/>
      <c r="F91" s="27"/>
      <c r="G91" s="114"/>
      <c r="H91" s="112"/>
      <c r="I91" s="114"/>
      <c r="J91" s="112"/>
    </row>
    <row r="92" spans="1:10" ht="24.95" customHeight="1">
      <c r="A92" s="122"/>
      <c r="B92" s="112"/>
      <c r="C92" s="113"/>
      <c r="D92" s="112"/>
      <c r="E92" s="112"/>
      <c r="F92" s="113"/>
      <c r="G92" s="112"/>
      <c r="H92" s="112"/>
      <c r="I92" s="112"/>
      <c r="J92" s="112"/>
    </row>
    <row r="93" spans="1:10" ht="14.25" customHeight="1">
      <c r="A93" s="113"/>
      <c r="B93" s="112"/>
      <c r="C93" s="113"/>
      <c r="D93" s="112"/>
      <c r="E93" s="112"/>
      <c r="F93" s="27"/>
      <c r="G93" s="114"/>
      <c r="H93" s="112"/>
      <c r="I93" s="114"/>
      <c r="J93" s="112"/>
    </row>
    <row r="94" spans="1:10" ht="24.95" customHeight="1" thickBot="1">
      <c r="A94" s="122"/>
      <c r="B94" s="112"/>
      <c r="C94" s="113"/>
      <c r="D94" s="112"/>
      <c r="E94" s="112"/>
      <c r="F94" s="113"/>
      <c r="G94" s="112"/>
      <c r="H94" s="112"/>
      <c r="I94" s="112"/>
      <c r="J94" s="112"/>
    </row>
    <row r="95" spans="1:10" s="5" customFormat="1" ht="18" customHeight="1">
      <c r="A95" s="28" t="s">
        <v>61</v>
      </c>
      <c r="B95" s="29" t="s">
        <v>62</v>
      </c>
      <c r="C95" s="154" t="s">
        <v>63</v>
      </c>
      <c r="D95" s="155"/>
      <c r="E95" s="30" t="s">
        <v>64</v>
      </c>
      <c r="F95" s="31" t="s">
        <v>65</v>
      </c>
      <c r="G95" s="32" t="s">
        <v>66</v>
      </c>
      <c r="H95" s="33" t="s">
        <v>67</v>
      </c>
      <c r="I95" s="137" t="s">
        <v>68</v>
      </c>
      <c r="J95" s="138"/>
    </row>
    <row r="96" spans="1:10" s="7" customFormat="1" ht="18" customHeight="1">
      <c r="A96" s="34" t="s">
        <v>98</v>
      </c>
      <c r="B96" s="35">
        <v>1923</v>
      </c>
      <c r="C96" s="152" t="s">
        <v>100</v>
      </c>
      <c r="D96" s="153"/>
      <c r="E96" s="107">
        <v>4</v>
      </c>
      <c r="F96" s="36" t="s">
        <v>106</v>
      </c>
      <c r="G96" s="37">
        <v>46150</v>
      </c>
      <c r="H96" s="38">
        <v>4</v>
      </c>
      <c r="I96" s="39" t="s">
        <v>69</v>
      </c>
      <c r="J96" s="40">
        <v>46150</v>
      </c>
    </row>
    <row r="97" spans="1:14" s="5" customFormat="1" ht="18" customHeight="1">
      <c r="A97" s="44" t="s">
        <v>70</v>
      </c>
      <c r="B97" s="45" t="s">
        <v>71</v>
      </c>
      <c r="C97" s="152"/>
      <c r="D97" s="153"/>
      <c r="E97" s="107"/>
      <c r="F97" s="46" t="s">
        <v>109</v>
      </c>
      <c r="G97" s="37"/>
      <c r="H97" s="38"/>
      <c r="I97" s="39" t="s">
        <v>72</v>
      </c>
      <c r="J97" s="41">
        <v>64</v>
      </c>
      <c r="K97" s="47"/>
    </row>
    <row r="98" spans="1:14" s="7" customFormat="1" ht="18" customHeight="1">
      <c r="A98" s="48">
        <v>2</v>
      </c>
      <c r="B98" s="49" t="s">
        <v>99</v>
      </c>
      <c r="C98" s="108" t="s">
        <v>73</v>
      </c>
      <c r="D98" s="109" t="s">
        <v>101</v>
      </c>
      <c r="E98" s="109"/>
      <c r="F98" s="110"/>
      <c r="G98" s="37"/>
      <c r="H98" s="38"/>
      <c r="I98" s="39" t="s">
        <v>74</v>
      </c>
      <c r="J98" s="41">
        <v>73</v>
      </c>
      <c r="K98" s="50"/>
    </row>
    <row r="99" spans="1:14" s="5" customFormat="1" ht="18" customHeight="1">
      <c r="A99" s="51" t="s">
        <v>75</v>
      </c>
      <c r="B99" s="52" t="s">
        <v>76</v>
      </c>
      <c r="C99" s="108"/>
      <c r="D99" s="109" t="s">
        <v>102</v>
      </c>
      <c r="E99" s="109"/>
      <c r="F99" s="110"/>
      <c r="G99" s="37"/>
      <c r="H99" s="38"/>
      <c r="I99" s="39" t="s">
        <v>77</v>
      </c>
      <c r="J99" s="41">
        <v>9</v>
      </c>
      <c r="K99" s="47"/>
    </row>
    <row r="100" spans="1:14" s="7" customFormat="1" ht="18" customHeight="1" thickBot="1">
      <c r="A100" s="53">
        <v>-2</v>
      </c>
      <c r="B100" s="54">
        <v>1</v>
      </c>
      <c r="C100" s="55" t="s">
        <v>78</v>
      </c>
      <c r="D100" s="127" t="s">
        <v>103</v>
      </c>
      <c r="E100" s="127"/>
      <c r="F100" s="128"/>
      <c r="G100" s="56"/>
      <c r="H100" s="57"/>
      <c r="I100" s="39" t="s">
        <v>79</v>
      </c>
      <c r="J100" s="42">
        <v>9</v>
      </c>
      <c r="K100" s="50"/>
    </row>
    <row r="101" spans="1:14" s="5" customFormat="1" ht="18" customHeight="1" thickBot="1">
      <c r="A101" s="58" t="s">
        <v>80</v>
      </c>
      <c r="B101" s="59" t="str" cm="1">
        <f t="array" ref="B101">IF(SUM(--(ISTEXT(B102:B112)*(B102:B112&lt;&gt;"")))=0,"計測Lot","計測Lot・加工数")</f>
        <v>計測Lot・加工数</v>
      </c>
      <c r="C101" s="60" t="s">
        <v>81</v>
      </c>
      <c r="D101" s="61" t="s">
        <v>82</v>
      </c>
      <c r="E101" s="62" t="s">
        <v>83</v>
      </c>
      <c r="F101" s="63" t="str" cm="1">
        <f t="array" ref="F101">IF(SUM(--(ISTEXT(B102:B112)*(B102:B112&lt;&gt;"")))=0,"記入不要","使用Lot")</f>
        <v>使用Lot</v>
      </c>
      <c r="G101" s="64" t="s">
        <v>84</v>
      </c>
      <c r="H101" s="65" t="s">
        <v>85</v>
      </c>
      <c r="I101" s="66" t="s">
        <v>86</v>
      </c>
      <c r="J101" s="43">
        <v>0</v>
      </c>
      <c r="K101" s="47"/>
    </row>
    <row r="102" spans="1:14" s="7" customFormat="1" ht="18" customHeight="1">
      <c r="A102" s="67"/>
      <c r="B102" s="71"/>
      <c r="C102" s="74"/>
      <c r="D102" s="75"/>
      <c r="E102" s="76"/>
      <c r="F102" s="77">
        <v>0</v>
      </c>
      <c r="G102" s="78">
        <v>0</v>
      </c>
      <c r="H102" s="79"/>
      <c r="I102" s="105" t="s">
        <v>87</v>
      </c>
      <c r="J102" s="106"/>
      <c r="K102" s="80"/>
    </row>
    <row r="103" spans="1:14" s="5" customFormat="1" ht="18" customHeight="1">
      <c r="A103" s="68">
        <v>46150</v>
      </c>
      <c r="B103" s="72" t="s">
        <v>107</v>
      </c>
      <c r="C103" s="81"/>
      <c r="D103" s="82"/>
      <c r="E103" s="83"/>
      <c r="F103" s="84" t="s">
        <v>108</v>
      </c>
      <c r="G103" s="81">
        <v>73</v>
      </c>
      <c r="H103" s="85">
        <v>73</v>
      </c>
      <c r="I103" s="86" t="s">
        <v>88</v>
      </c>
      <c r="J103" s="85">
        <v>8</v>
      </c>
      <c r="K103" s="80"/>
    </row>
    <row r="104" spans="1:14" s="91" customFormat="1" ht="18.95" customHeight="1">
      <c r="A104" s="69"/>
      <c r="B104" s="72" t="s">
        <v>104</v>
      </c>
      <c r="C104" s="81"/>
      <c r="D104" s="82"/>
      <c r="E104" s="83"/>
      <c r="F104" s="84"/>
      <c r="G104" s="81">
        <v>0</v>
      </c>
      <c r="H104" s="85"/>
      <c r="I104" s="86" t="s">
        <v>89</v>
      </c>
      <c r="J104" s="85">
        <v>1</v>
      </c>
      <c r="K104" s="89"/>
      <c r="L104" s="90"/>
      <c r="M104" s="90"/>
      <c r="N104" s="90"/>
    </row>
    <row r="105" spans="1:14" s="94" customFormat="1" ht="18.95" customHeight="1">
      <c r="A105" s="69"/>
      <c r="B105" s="72" t="s">
        <v>104</v>
      </c>
      <c r="C105" s="81"/>
      <c r="D105" s="82"/>
      <c r="E105" s="83"/>
      <c r="F105" s="84"/>
      <c r="G105" s="81">
        <v>0</v>
      </c>
      <c r="H105" s="85"/>
      <c r="I105" s="86" t="s">
        <v>90</v>
      </c>
      <c r="J105" s="85"/>
      <c r="K105" s="92"/>
      <c r="L105" s="93"/>
      <c r="M105" s="93"/>
      <c r="N105" s="93"/>
    </row>
    <row r="106" spans="1:14" s="94" customFormat="1" ht="18.95" customHeight="1">
      <c r="A106" s="69"/>
      <c r="B106" s="72" t="s">
        <v>104</v>
      </c>
      <c r="C106" s="81"/>
      <c r="D106" s="82"/>
      <c r="E106" s="83"/>
      <c r="F106" s="84"/>
      <c r="G106" s="81">
        <v>0</v>
      </c>
      <c r="H106" s="85"/>
      <c r="I106" s="86" t="s">
        <v>91</v>
      </c>
      <c r="J106" s="85"/>
      <c r="K106" s="92"/>
      <c r="L106" s="93"/>
      <c r="M106" s="93"/>
      <c r="N106" s="93"/>
    </row>
    <row r="107" spans="1:14" s="94" customFormat="1" ht="18.95" customHeight="1">
      <c r="A107" s="69"/>
      <c r="B107" s="72" t="s">
        <v>104</v>
      </c>
      <c r="C107" s="81"/>
      <c r="D107" s="82"/>
      <c r="E107" s="83"/>
      <c r="F107" s="84"/>
      <c r="G107" s="81">
        <v>0</v>
      </c>
      <c r="H107" s="85"/>
      <c r="I107" s="86" t="s">
        <v>92</v>
      </c>
      <c r="J107" s="85"/>
      <c r="K107" s="92"/>
      <c r="L107" s="93"/>
      <c r="M107" s="93"/>
      <c r="N107" s="93"/>
    </row>
    <row r="108" spans="1:14" s="94" customFormat="1" ht="18.95" customHeight="1">
      <c r="A108" s="69"/>
      <c r="B108" s="72" t="s">
        <v>104</v>
      </c>
      <c r="C108" s="81"/>
      <c r="D108" s="82"/>
      <c r="E108" s="83"/>
      <c r="F108" s="84"/>
      <c r="G108" s="81">
        <v>0</v>
      </c>
      <c r="H108" s="85"/>
      <c r="I108" s="86" t="s">
        <v>93</v>
      </c>
      <c r="J108" s="85"/>
      <c r="K108" s="92"/>
      <c r="L108" s="93"/>
      <c r="M108" s="93"/>
      <c r="N108" s="93"/>
    </row>
    <row r="109" spans="1:14" s="94" customFormat="1" ht="18.95" customHeight="1">
      <c r="A109" s="69"/>
      <c r="B109" s="72" t="s">
        <v>104</v>
      </c>
      <c r="C109" s="81"/>
      <c r="D109" s="82"/>
      <c r="E109" s="83"/>
      <c r="F109" s="84"/>
      <c r="G109" s="81">
        <v>0</v>
      </c>
      <c r="H109" s="85"/>
      <c r="I109" s="95" t="s">
        <v>94</v>
      </c>
      <c r="J109" s="85"/>
      <c r="K109" s="92"/>
      <c r="L109" s="93"/>
      <c r="M109" s="93"/>
      <c r="N109" s="93"/>
    </row>
    <row r="110" spans="1:14" s="94" customFormat="1" ht="18.95" customHeight="1">
      <c r="A110" s="69"/>
      <c r="B110" s="72" t="s">
        <v>104</v>
      </c>
      <c r="C110" s="81"/>
      <c r="D110" s="82"/>
      <c r="E110" s="83"/>
      <c r="F110" s="84"/>
      <c r="G110" s="81">
        <v>0</v>
      </c>
      <c r="H110" s="85"/>
      <c r="I110" s="95" t="s">
        <v>95</v>
      </c>
      <c r="J110" s="85"/>
      <c r="K110" s="92"/>
      <c r="L110" s="93"/>
      <c r="M110" s="93"/>
      <c r="N110" s="93"/>
    </row>
    <row r="111" spans="1:14" s="94" customFormat="1" ht="18.95" customHeight="1">
      <c r="A111" s="69"/>
      <c r="B111" s="72" t="s">
        <v>104</v>
      </c>
      <c r="C111" s="81"/>
      <c r="D111" s="82"/>
      <c r="E111" s="83"/>
      <c r="F111" s="84"/>
      <c r="G111" s="81">
        <v>0</v>
      </c>
      <c r="H111" s="85"/>
      <c r="I111" s="86" t="s">
        <v>96</v>
      </c>
      <c r="J111" s="87"/>
      <c r="K111" s="92"/>
      <c r="L111" s="93"/>
      <c r="M111" s="93"/>
      <c r="N111" s="93"/>
    </row>
    <row r="112" spans="1:14" s="94" customFormat="1" ht="18.95" customHeight="1" thickBot="1">
      <c r="A112" s="70" t="s">
        <v>105</v>
      </c>
      <c r="B112" s="73" t="s">
        <v>104</v>
      </c>
      <c r="C112" s="96"/>
      <c r="D112" s="97"/>
      <c r="E112" s="98"/>
      <c r="F112" s="99"/>
      <c r="G112" s="100"/>
      <c r="H112" s="101"/>
      <c r="I112" s="102" t="s">
        <v>97</v>
      </c>
      <c r="J112" s="88">
        <v>9</v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I95:J95"/>
    <mergeCell ref="C31:E31"/>
    <mergeCell ref="I89:J89"/>
    <mergeCell ref="F79:H79"/>
    <mergeCell ref="I21:J21"/>
    <mergeCell ref="G87:H87"/>
    <mergeCell ref="I87:J87"/>
    <mergeCell ref="C28:E28"/>
    <mergeCell ref="G32:H32"/>
    <mergeCell ref="C95:D95"/>
    <mergeCell ref="H69:H70"/>
    <mergeCell ref="C92:E92"/>
    <mergeCell ref="F37:J37"/>
    <mergeCell ref="J61:J62"/>
    <mergeCell ref="I34:J34"/>
    <mergeCell ref="G91:H91"/>
    <mergeCell ref="F90:J90"/>
    <mergeCell ref="C93:E93"/>
    <mergeCell ref="C22:D22"/>
    <mergeCell ref="F26:J26"/>
    <mergeCell ref="C21:D21"/>
    <mergeCell ref="C37:E37"/>
    <mergeCell ref="C96:D97"/>
    <mergeCell ref="E96:E97"/>
    <mergeCell ref="C98:C99"/>
    <mergeCell ref="D98:F98"/>
    <mergeCell ref="D99:F99"/>
    <mergeCell ref="C38:D38"/>
    <mergeCell ref="C39:D40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F92:J92"/>
    <mergeCell ref="A92:B92"/>
    <mergeCell ref="C94:E94"/>
    <mergeCell ref="A89:B89"/>
    <mergeCell ref="C32:E32"/>
    <mergeCell ref="B58:D59"/>
    <mergeCell ref="C60:C61"/>
    <mergeCell ref="I77:J77"/>
    <mergeCell ref="B3:B4"/>
    <mergeCell ref="I80:J80"/>
    <mergeCell ref="A87:B87"/>
    <mergeCell ref="H10:J11"/>
    <mergeCell ref="I32:J32"/>
    <mergeCell ref="D43:F43"/>
    <mergeCell ref="I45:J45"/>
    <mergeCell ref="F18:H18"/>
    <mergeCell ref="F76:H76"/>
    <mergeCell ref="F20:H20"/>
    <mergeCell ref="A32:B32"/>
    <mergeCell ref="I23:J23"/>
    <mergeCell ref="B60:B61"/>
    <mergeCell ref="A37:B37"/>
    <mergeCell ref="D3:D4"/>
    <mergeCell ref="A15:J15"/>
    <mergeCell ref="H12:H13"/>
    <mergeCell ref="C87:E87"/>
    <mergeCell ref="F9:G9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C83:D83"/>
    <mergeCell ref="A30:B30"/>
    <mergeCell ref="F35:J35"/>
    <mergeCell ref="F77:H77"/>
    <mergeCell ref="F66:G66"/>
    <mergeCell ref="A91:B91"/>
    <mergeCell ref="I82:J82"/>
    <mergeCell ref="C33:E33"/>
    <mergeCell ref="C89:E89"/>
    <mergeCell ref="G25:H25"/>
    <mergeCell ref="I19:J19"/>
    <mergeCell ref="C88:E88"/>
    <mergeCell ref="F62:H63"/>
    <mergeCell ref="F7:G7"/>
    <mergeCell ref="G89:H89"/>
    <mergeCell ref="C30:E30"/>
    <mergeCell ref="C23:D23"/>
    <mergeCell ref="I79:J79"/>
    <mergeCell ref="E62:E63"/>
    <mergeCell ref="F16:H16"/>
    <mergeCell ref="I73:J73"/>
    <mergeCell ref="A90:B90"/>
    <mergeCell ref="F33:J33"/>
    <mergeCell ref="C91:E91"/>
    <mergeCell ref="I18:J18"/>
    <mergeCell ref="G34:H34"/>
    <mergeCell ref="A33:B33"/>
    <mergeCell ref="C76:D76"/>
    <mergeCell ref="A85:B85"/>
    <mergeCell ref="F5:H6"/>
    <mergeCell ref="J4:J5"/>
    <mergeCell ref="F3:H4"/>
    <mergeCell ref="B64:B65"/>
    <mergeCell ref="F31:J31"/>
    <mergeCell ref="A35:B35"/>
    <mergeCell ref="F80:H80"/>
    <mergeCell ref="A82:B82"/>
    <mergeCell ref="A60:A61"/>
    <mergeCell ref="H67:J68"/>
    <mergeCell ref="F75:H75"/>
    <mergeCell ref="G36:H36"/>
    <mergeCell ref="A12:C13"/>
    <mergeCell ref="B5:B6"/>
    <mergeCell ref="F19:H19"/>
    <mergeCell ref="A29:B29"/>
    <mergeCell ref="C16:D16"/>
    <mergeCell ref="A25:B25"/>
    <mergeCell ref="C29:E29"/>
    <mergeCell ref="A31:B31"/>
    <mergeCell ref="C18:D18"/>
    <mergeCell ref="C35:E35"/>
    <mergeCell ref="F23:H23"/>
    <mergeCell ref="C20:D20"/>
    <mergeCell ref="D100:F100"/>
    <mergeCell ref="I85:J85"/>
    <mergeCell ref="F94:J94"/>
    <mergeCell ref="C86:E86"/>
    <mergeCell ref="A93:B93"/>
    <mergeCell ref="F64:G64"/>
    <mergeCell ref="E60:E61"/>
    <mergeCell ref="A36:B36"/>
    <mergeCell ref="A94:B94"/>
    <mergeCell ref="G69:G70"/>
    <mergeCell ref="A72:J72"/>
    <mergeCell ref="C78:D78"/>
    <mergeCell ref="C36:E36"/>
    <mergeCell ref="I69:J70"/>
    <mergeCell ref="F88:J88"/>
    <mergeCell ref="C75:D75"/>
    <mergeCell ref="C80:D80"/>
    <mergeCell ref="A62:A63"/>
    <mergeCell ref="I38:J38"/>
    <mergeCell ref="I78:J78"/>
    <mergeCell ref="D60:D61"/>
    <mergeCell ref="A64:A65"/>
    <mergeCell ref="F73:H73"/>
    <mergeCell ref="B62:B63"/>
    <mergeCell ref="I102:J102"/>
    <mergeCell ref="E39:E40"/>
    <mergeCell ref="C41:C42"/>
    <mergeCell ref="D41:F41"/>
    <mergeCell ref="D42:F42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</mergeCells>
  <phoneticPr fontId="2"/>
  <conditionalFormatting sqref="A102:B112 C103:E112 D102:E102">
    <cfRule type="cellIs" dxfId="4" priority="10" operator="between">
      <formula>0</formula>
      <formula>0</formula>
    </cfRule>
  </conditionalFormatting>
  <conditionalFormatting sqref="A112:H112">
    <cfRule type="expression" dxfId="2" priority="9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2026-04-23T02:57:43Z</cp:lastPrinted>
  <dcterms:created xsi:type="dcterms:W3CDTF">2024-07-11T02:08:33Z</dcterms:created>
  <dcterms:modified xsi:type="dcterms:W3CDTF">2026-06-05T10:17:11Z</dcterms:modified>
</cp:coreProperties>
</file>