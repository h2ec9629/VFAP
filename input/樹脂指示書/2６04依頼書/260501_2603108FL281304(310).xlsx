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4" documentId="13_ncr:1_{BF71FE65-37BB-4C67-B7DA-D3212D3DC004}" xr6:coauthVersionLast="47" xr6:coauthVersionMax="47" xr10:uidLastSave="{06BE7C1B-C0E3-4275-A784-25F0CCA176F5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  <externalReference r:id="rId4"/>
    <externalReference r:id="rId5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160" i="1" a="1"/>
  <c r="J160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/>
  <c r="E153" i="1" a="1"/>
  <c r="C153" i="1"/>
  <c r="B153" i="1"/>
  <c r="A153" i="1"/>
  <c r="J274" i="1" a="1"/>
  <c r="J274" i="1" s="1"/>
  <c r="B273" i="1" a="1"/>
  <c r="B273" i="1" s="1"/>
  <c r="A273" i="1" a="1"/>
  <c r="A273" i="1" s="1"/>
  <c r="D271" i="1"/>
  <c r="B271" i="1"/>
  <c r="A271" i="1"/>
  <c r="D270" i="1"/>
  <c r="D269" i="1"/>
  <c r="B269" i="1"/>
  <c r="A269" i="1"/>
  <c r="F268" i="1" a="1"/>
  <c r="F268" i="1" s="1"/>
  <c r="J267" i="1" a="1"/>
  <c r="J267" i="1" s="1"/>
  <c r="G267" i="1" a="1"/>
  <c r="G267" i="1" s="1"/>
  <c r="F267" i="1" a="1"/>
  <c r="F267" i="1" s="1"/>
  <c r="E267" i="1" a="1"/>
  <c r="E267" i="1" s="1"/>
  <c r="C267" i="1"/>
  <c r="B267" i="1"/>
  <c r="A267" i="1"/>
  <c r="J217" i="1" a="1"/>
  <c r="J217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 a="1"/>
  <c r="G210" i="1" s="1"/>
  <c r="F210" i="1" a="1"/>
  <c r="F210" i="1" s="1"/>
  <c r="E210" i="1" a="1"/>
  <c r="E210" i="1" s="1"/>
  <c r="C210" i="1"/>
  <c r="B210" i="1"/>
  <c r="A210" i="1"/>
  <c r="J103" i="1" a="1"/>
  <c r="J103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F44" i="1" l="1" a="1"/>
  <c r="F44" i="1" s="1"/>
  <c r="B44" i="1" a="1"/>
  <c r="B44" i="1" s="1"/>
  <c r="F158" i="1" a="1"/>
  <c r="F158" i="1" s="1"/>
  <c r="B158" i="1" a="1"/>
  <c r="B158" i="1" s="1"/>
  <c r="F215" i="1" a="1"/>
  <c r="F215" i="1" s="1"/>
  <c r="B215" i="1" a="1"/>
  <c r="B215" i="1" s="1"/>
  <c r="F101" i="1" a="1"/>
  <c r="F101" i="1" s="1"/>
  <c r="B101" i="1" a="1"/>
  <c r="B101" i="1" s="1"/>
  <c r="F272" i="1" a="1"/>
  <c r="F272" i="1" s="1"/>
  <c r="B272" i="1" a="1"/>
  <c r="B27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<sst xmlns="http://schemas.openxmlformats.org/spreadsheetml/2006/main" count="525" uniqueCount="132">
  <si>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</si>
  <si>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</si>
  <si>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</si>
  <si>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</si>
  <si>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</si>
  <si>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</si>
  <si>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</si>
  <si>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</si>
  <si>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</si>
  <si>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000000000012912</t>
  </si>
  <si>
    <t>原料名</t>
  </si>
  <si>
    <t>(CASE 297MILK-W4)</t>
  </si>
  <si>
    <t>発注明細№</t>
  </si>
  <si>
    <t>000000000839300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</si>
  <si>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</si>
  <si>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</si>
  <si>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</si>
  <si>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</si>
  <si>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</si>
  <si>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</si>
  <si>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</si>
  <si>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</si>
  <si>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</si>
  <si>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</si>
  <si>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</si>
  <si>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</si>
  <si>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</si>
  <si>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</si>
  <si>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</si>
  <si>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</si>
  <si>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</si>
  <si>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</si>
  <si>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</si>
  <si>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</si>
  <si>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</si>
  <si>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</si>
  <si>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</si>
  <si>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</si>
  <si>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</si>
  <si>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</si>
  <si>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</si>
  <si>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</si>
  <si>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</si>
  <si>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</si>
  <si>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</si>
  <si>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</si>
  <si>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</si>
  <si>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</si>
  <si>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</si>
  <si>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</si>
  <si>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</si>
  <si>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</si>
  <si>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LED-A300（旧LED-A297）307X275X166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</si>
  <si>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</si>
  <si>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</si>
  <si>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</si>
  <si>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</si>
  <si>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</si>
  <si>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</si>
  <si>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</si>
  <si>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</si>
  <si>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</si>
  <si>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</si>
  <si>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</si>
  <si>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J1JAZZB10807480</t>
  </si>
  <si>
    <t>8FL2813048310</t>
  </si>
  <si>
    <t>000000000012913</t>
  </si>
  <si>
    <t>(CASE 748MILK-W4)</t>
  </si>
  <si>
    <t>000000000839301</t>
  </si>
  <si>
    <t>*J1JAZZB10807480*</t>
  </si>
  <si>
    <t>J6DW0089</t>
  </si>
  <si>
    <t>LED-A888　898X275X166</t>
  </si>
  <si>
    <t>*J6DW0089*</t>
  </si>
  <si>
    <t>L888×W275×H166</t>
  </si>
  <si>
    <t>J1JAZZB10808880</t>
  </si>
  <si>
    <t>8FL2813045010</t>
  </si>
  <si>
    <t>000000000012914</t>
  </si>
  <si>
    <t>(CASE 888MILK-W4)</t>
  </si>
  <si>
    <t>000000000839302</t>
  </si>
  <si>
    <t>*J1JAZZB10808880*</t>
  </si>
  <si>
    <t>J6XX0044</t>
  </si>
  <si>
    <t>*J6XX0044*</t>
  </si>
  <si>
    <t>400＊900</t>
  </si>
  <si>
    <t>000000000012915</t>
  </si>
  <si>
    <t>000000000839303</t>
  </si>
  <si>
    <t>J1JAZZB10814780</t>
  </si>
  <si>
    <t>8FL2813046110</t>
  </si>
  <si>
    <t>000000000012916</t>
  </si>
  <si>
    <t>(CASE 1478MILK-W4)</t>
  </si>
  <si>
    <t>000000000839304</t>
  </si>
  <si>
    <t>*J1JAZZB10814780*</t>
  </si>
  <si>
    <t>J6DW0092</t>
  </si>
  <si>
    <t>LED-A1478　1488X275X166</t>
  </si>
  <si>
    <t>*J6DW0092*</t>
  </si>
  <si>
    <t>L1478×W275×H166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</si>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</sst>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8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9" xfId="0" applyBorder="1" applyAlignment="1"/>
    <xf numFmtId="0" fontId="0" fillId="0" borderId="11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9" xfId="1" applyNumberFormat="1" applyFont="1" applyBorder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horizontal="righ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477145D5-D883-464F-9B7D-D8BC9D57ED5C}"/>
  </cellStyles>
  <dxfs count="12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</xdr:colOff>
      <xdr:row>4</xdr:row>
      <xdr:rowOff>38100</xdr:rowOff>
    </xdr:from>
    <xdr:to>
      <xdr:col>9</xdr:col>
      <xdr:colOff>771525</xdr:colOff>
      <xdr:row>7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7690CD-4DBE-4278-B4E4-F67FAD02F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5" y="762000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</xdr:row>
      <xdr:rowOff>47625</xdr:rowOff>
    </xdr:from>
    <xdr:to>
      <xdr:col>8</xdr:col>
      <xdr:colOff>790575</xdr:colOff>
      <xdr:row>7</xdr:row>
      <xdr:rowOff>104775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1F5A866-6AA2-8595-3CE7-12A2A3517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771525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231</xdr:row>
      <xdr:rowOff>171450</xdr:rowOff>
    </xdr:from>
    <xdr:to>
      <xdr:col>9</xdr:col>
      <xdr:colOff>790575</xdr:colOff>
      <xdr:row>235</xdr:row>
      <xdr:rowOff>47625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BA7FD83-9DFB-40D6-A316-D18DFC96C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53635275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174</xdr:row>
      <xdr:rowOff>152400</xdr:rowOff>
    </xdr:from>
    <xdr:to>
      <xdr:col>9</xdr:col>
      <xdr:colOff>781050</xdr:colOff>
      <xdr:row>178</xdr:row>
      <xdr:rowOff>28575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78B27ED-E428-45A1-8032-39F8F3F97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40386000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117</xdr:row>
      <xdr:rowOff>142875</xdr:rowOff>
    </xdr:from>
    <xdr:to>
      <xdr:col>9</xdr:col>
      <xdr:colOff>762000</xdr:colOff>
      <xdr:row>121</xdr:row>
      <xdr:rowOff>19050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8E35907-C771-424D-B462-3041F22F6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0" y="27146250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61</xdr:row>
      <xdr:rowOff>9525</xdr:rowOff>
    </xdr:from>
    <xdr:to>
      <xdr:col>9</xdr:col>
      <xdr:colOff>800100</xdr:colOff>
      <xdr:row>64</xdr:row>
      <xdr:rowOff>66675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12FE8C3-77C7-4B81-95B8-1F432D310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13963650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117</xdr:row>
      <xdr:rowOff>133350</xdr:rowOff>
    </xdr:from>
    <xdr:to>
      <xdr:col>8</xdr:col>
      <xdr:colOff>771525</xdr:colOff>
      <xdr:row>121</xdr:row>
      <xdr:rowOff>9525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74A15F4-AF0B-4F21-91E9-973B67B7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27136725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231</xdr:row>
      <xdr:rowOff>161925</xdr:rowOff>
    </xdr:from>
    <xdr:to>
      <xdr:col>8</xdr:col>
      <xdr:colOff>781050</xdr:colOff>
      <xdr:row>235</xdr:row>
      <xdr:rowOff>38100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B0871FB-6F38-4F5B-93A7-8DC803D7C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53625750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61</xdr:row>
      <xdr:rowOff>28575</xdr:rowOff>
    </xdr:from>
    <xdr:to>
      <xdr:col>8</xdr:col>
      <xdr:colOff>762000</xdr:colOff>
      <xdr:row>64</xdr:row>
      <xdr:rowOff>85725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79F97F3-B315-4325-9C4E-86CD32917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13982700"/>
          <a:ext cx="714375" cy="714375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174</xdr:row>
      <xdr:rowOff>152400</xdr:rowOff>
    </xdr:from>
    <xdr:to>
      <xdr:col>8</xdr:col>
      <xdr:colOff>781050</xdr:colOff>
      <xdr:row>178</xdr:row>
      <xdr:rowOff>28575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5804312-DF78-4593-BA89-97D405D04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40386000"/>
          <a:ext cx="714375" cy="714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ser/Desktop/sgt2605.xlsm" TargetMode="External"/><Relationship Id="rId2" Type="http://schemas.openxmlformats.org/officeDocument/2006/relationships/externalLinkPath" Target="file:///C:\Users\user\Desktop\sgt2605.xlsm" TargetMode="External"/><Relationship Id="rId1" Type="http://schemas.openxmlformats.org/officeDocument/2006/relationships/externalLinkPath" Target="/Users/user/Desktop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P3">
            <v>0</v>
          </cell>
          <cell r="U3" t="str">
            <v>000000000013821</v>
          </cell>
        </row>
        <row r="4">
          <cell r="P4">
            <v>0</v>
          </cell>
          <cell r="U4" t="str">
            <v>000000000013821</v>
          </cell>
        </row>
        <row r="5">
          <cell r="C5">
            <v>100</v>
          </cell>
          <cell r="P5">
            <v>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0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0</v>
          </cell>
          <cell r="P9">
            <v>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0</v>
          </cell>
          <cell r="U11" t="str">
            <v>000000000013821</v>
          </cell>
        </row>
        <row r="12"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P14">
            <v>0</v>
          </cell>
          <cell r="U14" t="str">
            <v>000000000013822</v>
          </cell>
        </row>
        <row r="15">
          <cell r="P15">
            <v>0</v>
          </cell>
          <cell r="U15" t="str">
            <v>000000000013822</v>
          </cell>
        </row>
        <row r="16">
          <cell r="C16">
            <v>200</v>
          </cell>
          <cell r="P16">
            <v>0</v>
          </cell>
          <cell r="U16" t="str">
            <v>000000000013822</v>
          </cell>
        </row>
        <row r="17">
          <cell r="C17">
            <v>200</v>
          </cell>
          <cell r="P17">
            <v>0</v>
          </cell>
          <cell r="U17" t="str">
            <v>000000000013822</v>
          </cell>
        </row>
        <row r="18">
          <cell r="C18">
            <v>2</v>
          </cell>
          <cell r="P18">
            <v>0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0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0</v>
          </cell>
          <cell r="P20">
            <v>0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0</v>
          </cell>
          <cell r="U22" t="str">
            <v>000000000013822</v>
          </cell>
        </row>
        <row r="23">
          <cell r="R23">
            <v>0</v>
          </cell>
          <cell r="U23" t="str">
            <v>000000000013822</v>
          </cell>
        </row>
        <row r="24">
          <cell r="D24" t="str">
            <v>不良補填</v>
          </cell>
          <cell r="F24">
            <v>0</v>
          </cell>
          <cell r="U24" t="str">
            <v>000000000013822</v>
          </cell>
        </row>
        <row r="25">
          <cell r="C25" t="str">
            <v>8FL281304 5010　L=888</v>
          </cell>
          <cell r="P25">
            <v>0</v>
          </cell>
          <cell r="U25" t="str">
            <v>000000000013826</v>
          </cell>
        </row>
        <row r="26">
          <cell r="P26">
            <v>0</v>
          </cell>
          <cell r="U26" t="str">
            <v>000000000013826</v>
          </cell>
        </row>
        <row r="27">
          <cell r="C27">
            <v>700</v>
          </cell>
          <cell r="P27">
            <v>0</v>
          </cell>
          <cell r="U27" t="str">
            <v>000000000013826</v>
          </cell>
        </row>
        <row r="28">
          <cell r="C28">
            <v>2000</v>
          </cell>
          <cell r="P28">
            <v>0</v>
          </cell>
          <cell r="U28" t="str">
            <v>000000000013826</v>
          </cell>
        </row>
        <row r="29">
          <cell r="C29">
            <v>2</v>
          </cell>
          <cell r="P29">
            <v>0</v>
          </cell>
          <cell r="U29" t="str">
            <v>000000000013826</v>
          </cell>
        </row>
        <row r="30">
          <cell r="C30">
            <v>100</v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000000000013826</v>
          </cell>
        </row>
        <row r="32">
          <cell r="M32" t="str">
            <v>作業者</v>
          </cell>
          <cell r="U32" t="str">
            <v>000000000013826</v>
          </cell>
        </row>
        <row r="33">
          <cell r="C33">
            <v>0</v>
          </cell>
          <cell r="U33" t="str">
            <v>000000000013826</v>
          </cell>
        </row>
        <row r="34">
          <cell r="R34">
            <v>0</v>
          </cell>
          <cell r="U34" t="str">
            <v>000000000013826</v>
          </cell>
        </row>
        <row r="35">
          <cell r="D35" t="str">
            <v>不良補填</v>
          </cell>
          <cell r="F35">
            <v>0</v>
          </cell>
          <cell r="U35" t="str">
            <v>000000000013826</v>
          </cell>
        </row>
        <row r="36">
          <cell r="C36" t="str">
            <v>8FL281304 5010　L=888</v>
          </cell>
          <cell r="P36">
            <v>0</v>
          </cell>
          <cell r="U36" t="str">
            <v>000000000013827</v>
          </cell>
        </row>
        <row r="37">
          <cell r="P37">
            <v>0</v>
          </cell>
          <cell r="U37" t="str">
            <v>000000000013827</v>
          </cell>
        </row>
        <row r="38">
          <cell r="P38">
            <v>0</v>
          </cell>
          <cell r="U38" t="str">
            <v>000000000013827</v>
          </cell>
        </row>
        <row r="39">
          <cell r="C39">
            <v>2000</v>
          </cell>
          <cell r="P39">
            <v>0</v>
          </cell>
          <cell r="U39" t="str">
            <v>000000000013827</v>
          </cell>
        </row>
        <row r="40">
          <cell r="C40">
            <v>2</v>
          </cell>
          <cell r="P40">
            <v>0</v>
          </cell>
          <cell r="U40" t="str">
            <v>000000000013827</v>
          </cell>
        </row>
        <row r="41">
          <cell r="C41">
            <v>100</v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000000000013827</v>
          </cell>
        </row>
        <row r="43">
          <cell r="M43" t="str">
            <v>作業者</v>
          </cell>
          <cell r="U43" t="str">
            <v>000000000013827</v>
          </cell>
        </row>
        <row r="44">
          <cell r="C44">
            <v>0</v>
          </cell>
          <cell r="U44" t="str">
            <v>000000000013827</v>
          </cell>
        </row>
        <row r="45">
          <cell r="R45">
            <v>0</v>
          </cell>
          <cell r="U45" t="str">
            <v>000000000013827</v>
          </cell>
        </row>
        <row r="46">
          <cell r="D46" t="str">
            <v>不良補填</v>
          </cell>
          <cell r="F46">
            <v>0</v>
          </cell>
          <cell r="U46" t="str">
            <v>000000000013827</v>
          </cell>
        </row>
        <row r="47">
          <cell r="C47" t="str">
            <v>001EGAW　715</v>
          </cell>
          <cell r="P47">
            <v>0</v>
          </cell>
          <cell r="U47" t="str">
            <v>000000000013445</v>
          </cell>
        </row>
        <row r="48">
          <cell r="P48">
            <v>0</v>
          </cell>
          <cell r="U48" t="str">
            <v>000000000013445</v>
          </cell>
        </row>
        <row r="49">
          <cell r="P49">
            <v>0</v>
          </cell>
          <cell r="U49" t="str">
            <v>000000000013445</v>
          </cell>
        </row>
        <row r="50">
          <cell r="C50">
            <v>300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0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>
            <v/>
          </cell>
          <cell r="U57" t="str">
            <v>000000000013445</v>
          </cell>
        </row>
        <row r="58">
          <cell r="C58" t="str">
            <v>001EGAW　652</v>
          </cell>
          <cell r="P58">
            <v>0</v>
          </cell>
          <cell r="U58" t="str">
            <v>000000000013444</v>
          </cell>
        </row>
        <row r="59">
          <cell r="P59">
            <v>0</v>
          </cell>
          <cell r="U59" t="str">
            <v>000000000013444</v>
          </cell>
        </row>
        <row r="60">
          <cell r="P60">
            <v>0</v>
          </cell>
          <cell r="U60" t="str">
            <v>000000000013444</v>
          </cell>
        </row>
        <row r="61">
          <cell r="C61">
            <v>3600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000000000013444</v>
          </cell>
        </row>
        <row r="65">
          <cell r="M65" t="str">
            <v>作業者</v>
          </cell>
          <cell r="U65" t="str">
            <v>000000000013444</v>
          </cell>
        </row>
        <row r="66">
          <cell r="C66">
            <v>0</v>
          </cell>
          <cell r="U66" t="str">
            <v>000000000013444</v>
          </cell>
        </row>
        <row r="67"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>
            <v/>
          </cell>
          <cell r="U68" t="str">
            <v>000000000013444</v>
          </cell>
        </row>
        <row r="69">
          <cell r="C69" t="str">
            <v>001EGAW　565</v>
          </cell>
          <cell r="P69">
            <v>0</v>
          </cell>
          <cell r="U69" t="str">
            <v>000000000013443</v>
          </cell>
        </row>
        <row r="70">
          <cell r="P70">
            <v>0</v>
          </cell>
          <cell r="U70" t="str">
            <v>000000000013443</v>
          </cell>
        </row>
        <row r="71">
          <cell r="P71">
            <v>0</v>
          </cell>
          <cell r="U71" t="str">
            <v>000000000013443</v>
          </cell>
        </row>
        <row r="72">
          <cell r="C72">
            <v>1300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000000000013443</v>
          </cell>
        </row>
        <row r="76">
          <cell r="M76" t="str">
            <v>作業者</v>
          </cell>
          <cell r="U76" t="str">
            <v>000000000013443</v>
          </cell>
        </row>
        <row r="77">
          <cell r="C77">
            <v>0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>
            <v/>
          </cell>
          <cell r="U79" t="str">
            <v>000000000013443</v>
          </cell>
        </row>
        <row r="80">
          <cell r="C80" t="str">
            <v>001EGAW　508</v>
          </cell>
          <cell r="P80">
            <v>0</v>
          </cell>
          <cell r="U80" t="str">
            <v>000000000013442</v>
          </cell>
        </row>
        <row r="81">
          <cell r="P81">
            <v>0</v>
          </cell>
          <cell r="U81" t="str">
            <v>000000000013442</v>
          </cell>
        </row>
        <row r="82">
          <cell r="P82">
            <v>0</v>
          </cell>
          <cell r="U82" t="str">
            <v>000000000013442</v>
          </cell>
        </row>
        <row r="83">
          <cell r="C83">
            <v>1300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0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>
            <v/>
          </cell>
          <cell r="U90" t="str">
            <v>000000000013442</v>
          </cell>
        </row>
        <row r="91">
          <cell r="C91" t="str">
            <v>001EGAW　415</v>
          </cell>
          <cell r="P91">
            <v>0</v>
          </cell>
          <cell r="U91" t="str">
            <v>000000000013441</v>
          </cell>
        </row>
        <row r="92">
          <cell r="P92">
            <v>0</v>
          </cell>
          <cell r="U92" t="str">
            <v>000000000013441</v>
          </cell>
        </row>
        <row r="93">
          <cell r="P93">
            <v>0</v>
          </cell>
          <cell r="U93" t="str">
            <v>000000000013441</v>
          </cell>
        </row>
        <row r="94">
          <cell r="C94">
            <v>1500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000000000013441</v>
          </cell>
        </row>
        <row r="97">
          <cell r="C97" t="str">
            <v>S-20</v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0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>
            <v/>
          </cell>
          <cell r="U101" t="str">
            <v>000000000013441</v>
          </cell>
        </row>
        <row r="102">
          <cell r="C102" t="str">
            <v>8FL281304 4910　L=592</v>
          </cell>
          <cell r="P102">
            <v>0</v>
          </cell>
          <cell r="U102" t="str">
            <v>000000000013162</v>
          </cell>
        </row>
        <row r="103">
          <cell r="P103">
            <v>0</v>
          </cell>
          <cell r="U103" t="str">
            <v>000000000013162</v>
          </cell>
        </row>
        <row r="104">
          <cell r="C104">
            <v>100</v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U110" t="str">
            <v>000000000013162</v>
          </cell>
        </row>
        <row r="111"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灯具カバーPC IN 2110　L=1815</v>
          </cell>
          <cell r="P113">
            <v>0</v>
          </cell>
          <cell r="U113" t="str">
            <v>000000000013718</v>
          </cell>
        </row>
        <row r="114">
          <cell r="P114">
            <v>0</v>
          </cell>
          <cell r="U114" t="str">
            <v>000000000013718</v>
          </cell>
        </row>
        <row r="115">
          <cell r="P115">
            <v>0</v>
          </cell>
          <cell r="U115" t="str">
            <v>000000000013718</v>
          </cell>
        </row>
        <row r="116">
          <cell r="C116">
            <v>192</v>
          </cell>
          <cell r="P116">
            <v>0</v>
          </cell>
          <cell r="U116" t="str">
            <v>000000000013718</v>
          </cell>
        </row>
        <row r="117">
          <cell r="C117">
            <v>1</v>
          </cell>
          <cell r="P117">
            <v>0</v>
          </cell>
          <cell r="U117" t="str">
            <v>000000000013718</v>
          </cell>
        </row>
        <row r="118">
          <cell r="C118">
            <v>16</v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000000000013718</v>
          </cell>
        </row>
        <row r="119">
          <cell r="C119" t="str">
            <v>灯具-2　L＝1996</v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000000000013718</v>
          </cell>
        </row>
        <row r="120">
          <cell r="M120" t="str">
            <v>作業者</v>
          </cell>
          <cell r="U120" t="str">
            <v>000000000013718</v>
          </cell>
        </row>
        <row r="121">
          <cell r="C121">
            <v>0</v>
          </cell>
          <cell r="U121" t="str">
            <v>000000000013718</v>
          </cell>
        </row>
        <row r="122">
          <cell r="R122">
            <v>0</v>
          </cell>
          <cell r="U122" t="str">
            <v>000000000013718</v>
          </cell>
        </row>
        <row r="123">
          <cell r="D123" t="str">
            <v>不良補填</v>
          </cell>
          <cell r="F123" t="str">
            <v/>
          </cell>
          <cell r="U123" t="str">
            <v>000000000013718</v>
          </cell>
        </row>
        <row r="124">
          <cell r="C124" t="str">
            <v>灯具カバーPC IN 2100　L=1923</v>
          </cell>
          <cell r="P124">
            <v>0</v>
          </cell>
          <cell r="U124" t="str">
            <v>000000000013895</v>
          </cell>
        </row>
        <row r="125">
          <cell r="P125">
            <v>0</v>
          </cell>
          <cell r="U125" t="str">
            <v>000000000013895</v>
          </cell>
        </row>
        <row r="126">
          <cell r="P126">
            <v>0</v>
          </cell>
          <cell r="U126" t="str">
            <v>000000000013895</v>
          </cell>
        </row>
        <row r="127">
          <cell r="C127">
            <v>32</v>
          </cell>
          <cell r="P127">
            <v>0</v>
          </cell>
          <cell r="U127" t="str">
            <v>000000000013895</v>
          </cell>
        </row>
        <row r="128">
          <cell r="C128">
            <v>1</v>
          </cell>
          <cell r="P128">
            <v>0</v>
          </cell>
          <cell r="U128" t="str">
            <v>000000000013895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000000000013895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000000000013895</v>
          </cell>
        </row>
        <row r="131">
          <cell r="M131" t="str">
            <v>作業者</v>
          </cell>
          <cell r="U131" t="str">
            <v>000000000013895</v>
          </cell>
        </row>
        <row r="132">
          <cell r="C132">
            <v>0</v>
          </cell>
          <cell r="U132" t="str">
            <v>000000000013895</v>
          </cell>
        </row>
        <row r="133">
          <cell r="R133">
            <v>0</v>
          </cell>
          <cell r="U133" t="str">
            <v>000000000013895</v>
          </cell>
        </row>
        <row r="134">
          <cell r="D134" t="str">
            <v>不良補填</v>
          </cell>
          <cell r="F134" t="str">
            <v/>
          </cell>
          <cell r="U134" t="str">
            <v>000000000013895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000000000013896</v>
          </cell>
        </row>
        <row r="136">
          <cell r="P136">
            <v>0</v>
          </cell>
          <cell r="U136" t="str">
            <v>000000000013896</v>
          </cell>
        </row>
        <row r="137">
          <cell r="P137">
            <v>0</v>
          </cell>
          <cell r="U137" t="str">
            <v>000000000013896</v>
          </cell>
        </row>
        <row r="138">
          <cell r="C138">
            <v>64</v>
          </cell>
          <cell r="P138">
            <v>0</v>
          </cell>
          <cell r="U138" t="str">
            <v>000000000013896</v>
          </cell>
        </row>
        <row r="139">
          <cell r="C139">
            <v>1</v>
          </cell>
          <cell r="P139">
            <v>0</v>
          </cell>
          <cell r="U139" t="str">
            <v>000000000013896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000000000013896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000000000013896</v>
          </cell>
        </row>
        <row r="142">
          <cell r="M142" t="str">
            <v>作業者</v>
          </cell>
          <cell r="U142" t="str">
            <v>000000000013896</v>
          </cell>
        </row>
        <row r="143">
          <cell r="C143">
            <v>0</v>
          </cell>
          <cell r="U143" t="str">
            <v>000000000013896</v>
          </cell>
        </row>
        <row r="144">
          <cell r="R144">
            <v>0</v>
          </cell>
          <cell r="U144" t="str">
            <v>000000000013896</v>
          </cell>
        </row>
        <row r="145">
          <cell r="D145" t="str">
            <v>不良補填</v>
          </cell>
          <cell r="F145" t="str">
            <v/>
          </cell>
          <cell r="U145" t="str">
            <v>000000000013896</v>
          </cell>
        </row>
        <row r="146">
          <cell r="C146" t="str">
            <v>灯具カバーPC IN 2470　L=1648</v>
          </cell>
          <cell r="P146">
            <v>0</v>
          </cell>
          <cell r="U146" t="str">
            <v>000000000013717</v>
          </cell>
        </row>
        <row r="147">
          <cell r="P147">
            <v>0</v>
          </cell>
          <cell r="U147" t="str">
            <v>000000000013717</v>
          </cell>
        </row>
        <row r="148">
          <cell r="P148">
            <v>0</v>
          </cell>
          <cell r="U148" t="str">
            <v>000000000013717</v>
          </cell>
        </row>
        <row r="149">
          <cell r="C149">
            <v>96</v>
          </cell>
          <cell r="P149">
            <v>0</v>
          </cell>
          <cell r="U149" t="str">
            <v>000000000013717</v>
          </cell>
        </row>
        <row r="150">
          <cell r="C150">
            <v>1</v>
          </cell>
          <cell r="P150">
            <v>0</v>
          </cell>
          <cell r="U150" t="str">
            <v>000000000013717</v>
          </cell>
        </row>
        <row r="151">
          <cell r="C151">
            <v>16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000000000013717</v>
          </cell>
        </row>
        <row r="152">
          <cell r="C152" t="str">
            <v>灯具-1　L=1370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000000000013717</v>
          </cell>
        </row>
        <row r="153">
          <cell r="M153" t="str">
            <v>作業者</v>
          </cell>
          <cell r="U153" t="str">
            <v>000000000013717</v>
          </cell>
        </row>
        <row r="154">
          <cell r="C154">
            <v>0</v>
          </cell>
          <cell r="U154" t="str">
            <v>000000000013717</v>
          </cell>
        </row>
        <row r="155">
          <cell r="R155">
            <v>0</v>
          </cell>
          <cell r="U155" t="str">
            <v>000000000013717</v>
          </cell>
        </row>
        <row r="156">
          <cell r="D156" t="str">
            <v>不良補填</v>
          </cell>
          <cell r="F156" t="str">
            <v/>
          </cell>
          <cell r="U156" t="str">
            <v>000000000013717</v>
          </cell>
        </row>
        <row r="157">
          <cell r="C157" t="str">
            <v>灯具カバーPC IN 2490　L=1264</v>
          </cell>
          <cell r="P157">
            <v>0</v>
          </cell>
          <cell r="U157" t="str">
            <v>000000000013714</v>
          </cell>
        </row>
        <row r="158">
          <cell r="P158">
            <v>0</v>
          </cell>
          <cell r="U158" t="str">
            <v>000000000013714</v>
          </cell>
        </row>
        <row r="159">
          <cell r="P159">
            <v>0</v>
          </cell>
          <cell r="U159" t="str">
            <v>000000000013714</v>
          </cell>
        </row>
        <row r="160">
          <cell r="C160">
            <v>96</v>
          </cell>
          <cell r="P160">
            <v>0</v>
          </cell>
          <cell r="U160" t="str">
            <v>000000000013714</v>
          </cell>
        </row>
        <row r="161">
          <cell r="C161">
            <v>1</v>
          </cell>
          <cell r="P161">
            <v>0</v>
          </cell>
          <cell r="U161" t="str">
            <v>000000000013714</v>
          </cell>
        </row>
        <row r="162">
          <cell r="C162">
            <v>16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000000000013714</v>
          </cell>
        </row>
        <row r="163">
          <cell r="C163" t="str">
            <v>灯具-1　L=1370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000000000013714</v>
          </cell>
        </row>
        <row r="164">
          <cell r="M164" t="str">
            <v>作業者</v>
          </cell>
          <cell r="U164" t="str">
            <v>000000000013714</v>
          </cell>
        </row>
        <row r="165">
          <cell r="C165">
            <v>0</v>
          </cell>
          <cell r="U165" t="str">
            <v>000000000013714</v>
          </cell>
        </row>
        <row r="166">
          <cell r="R166">
            <v>0</v>
          </cell>
          <cell r="U166" t="str">
            <v>000000000013714</v>
          </cell>
        </row>
        <row r="167">
          <cell r="D167" t="str">
            <v>不良補填</v>
          </cell>
          <cell r="F167" t="str">
            <v/>
          </cell>
          <cell r="U167" t="str">
            <v>000000000013714</v>
          </cell>
        </row>
        <row r="168">
          <cell r="C168" t="str">
            <v>灯具カバーPC IN 2460　L=1291</v>
          </cell>
          <cell r="P168">
            <v>0</v>
          </cell>
          <cell r="U168" t="str">
            <v>000000000013715</v>
          </cell>
        </row>
        <row r="169">
          <cell r="P169">
            <v>0</v>
          </cell>
          <cell r="U169" t="str">
            <v>000000000013715</v>
          </cell>
        </row>
        <row r="170">
          <cell r="P170">
            <v>0</v>
          </cell>
          <cell r="U170" t="str">
            <v>000000000013715</v>
          </cell>
        </row>
        <row r="171">
          <cell r="C171">
            <v>96</v>
          </cell>
          <cell r="P171">
            <v>0</v>
          </cell>
          <cell r="U171" t="str">
            <v>000000000013715</v>
          </cell>
        </row>
        <row r="172">
          <cell r="C172">
            <v>1</v>
          </cell>
          <cell r="P172">
            <v>0</v>
          </cell>
          <cell r="U172" t="str">
            <v>000000000013715</v>
          </cell>
        </row>
        <row r="173">
          <cell r="C173">
            <v>16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000000000013715</v>
          </cell>
        </row>
        <row r="174">
          <cell r="C174" t="str">
            <v>灯具-1　L=1370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000000000013715</v>
          </cell>
        </row>
        <row r="175">
          <cell r="M175" t="str">
            <v>作業者</v>
          </cell>
          <cell r="U175" t="str">
            <v>000000000013715</v>
          </cell>
        </row>
        <row r="176">
          <cell r="C176">
            <v>0</v>
          </cell>
          <cell r="U176" t="str">
            <v>000000000013715</v>
          </cell>
        </row>
        <row r="177">
          <cell r="R177">
            <v>0</v>
          </cell>
          <cell r="U177" t="str">
            <v>000000000013715</v>
          </cell>
        </row>
        <row r="178">
          <cell r="D178" t="str">
            <v>不良補填</v>
          </cell>
          <cell r="F178" t="str">
            <v/>
          </cell>
          <cell r="U178" t="str">
            <v>000000000013715</v>
          </cell>
        </row>
        <row r="179">
          <cell r="C179" t="str">
            <v>灯具カバーPC IN 2500　L=1238</v>
          </cell>
          <cell r="P179">
            <v>0</v>
          </cell>
          <cell r="U179" t="str">
            <v>000000000013712</v>
          </cell>
        </row>
        <row r="180">
          <cell r="P180">
            <v>0</v>
          </cell>
          <cell r="U180" t="str">
            <v>000000000013712</v>
          </cell>
        </row>
        <row r="181">
          <cell r="P181">
            <v>0</v>
          </cell>
          <cell r="U181" t="str">
            <v>000000000013712</v>
          </cell>
        </row>
        <row r="182">
          <cell r="C182">
            <v>96</v>
          </cell>
          <cell r="P182">
            <v>0</v>
          </cell>
          <cell r="U182" t="str">
            <v>000000000013712</v>
          </cell>
        </row>
        <row r="183">
          <cell r="C183">
            <v>1</v>
          </cell>
          <cell r="P183">
            <v>0</v>
          </cell>
          <cell r="U183" t="str">
            <v>000000000013712</v>
          </cell>
        </row>
        <row r="184">
          <cell r="C184">
            <v>16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000000000013712</v>
          </cell>
        </row>
        <row r="185">
          <cell r="C185" t="str">
            <v>灯具-1　L=1370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000000000013712</v>
          </cell>
        </row>
        <row r="186">
          <cell r="M186" t="str">
            <v>作業者</v>
          </cell>
          <cell r="U186" t="str">
            <v>000000000013712</v>
          </cell>
        </row>
        <row r="187">
          <cell r="C187">
            <v>0</v>
          </cell>
          <cell r="U187" t="str">
            <v>000000000013712</v>
          </cell>
        </row>
        <row r="188">
          <cell r="R188">
            <v>0</v>
          </cell>
          <cell r="U188" t="str">
            <v>000000000013712</v>
          </cell>
        </row>
        <row r="189">
          <cell r="D189" t="str">
            <v>不良補填</v>
          </cell>
          <cell r="F189" t="str">
            <v/>
          </cell>
          <cell r="U189" t="str">
            <v>000000000013712</v>
          </cell>
        </row>
        <row r="190">
          <cell r="C190" t="str">
            <v>灯具カバーPC IN 2060　L=1258.5</v>
          </cell>
          <cell r="P190">
            <v>0</v>
          </cell>
          <cell r="U190" t="str">
            <v>000000000013713</v>
          </cell>
        </row>
        <row r="191">
          <cell r="P191">
            <v>0</v>
          </cell>
          <cell r="U191" t="str">
            <v>000000000013713</v>
          </cell>
        </row>
        <row r="192">
          <cell r="P192">
            <v>0</v>
          </cell>
          <cell r="U192" t="str">
            <v>000000000013713</v>
          </cell>
        </row>
        <row r="193">
          <cell r="C193">
            <v>96</v>
          </cell>
          <cell r="P193">
            <v>0</v>
          </cell>
          <cell r="U193" t="str">
            <v>000000000013713</v>
          </cell>
        </row>
        <row r="194">
          <cell r="C194">
            <v>1</v>
          </cell>
          <cell r="P194">
            <v>0</v>
          </cell>
          <cell r="U194" t="str">
            <v>000000000013713</v>
          </cell>
        </row>
        <row r="195">
          <cell r="C195">
            <v>16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000000000013713</v>
          </cell>
        </row>
        <row r="196">
          <cell r="C196" t="str">
            <v>灯具-1　L=1370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000000000013713</v>
          </cell>
        </row>
        <row r="197">
          <cell r="M197" t="str">
            <v>作業者</v>
          </cell>
          <cell r="U197" t="str">
            <v>000000000013713</v>
          </cell>
        </row>
        <row r="198">
          <cell r="C198">
            <v>0</v>
          </cell>
          <cell r="U198" t="str">
            <v>000000000013713</v>
          </cell>
        </row>
        <row r="199">
          <cell r="R199">
            <v>0</v>
          </cell>
          <cell r="U199" t="str">
            <v>000000000013713</v>
          </cell>
        </row>
        <row r="200">
          <cell r="D200" t="str">
            <v>不良補填</v>
          </cell>
          <cell r="F200" t="str">
            <v/>
          </cell>
          <cell r="U200" t="str">
            <v>000000000013713</v>
          </cell>
        </row>
        <row r="201">
          <cell r="C201" t="str">
            <v>8FL281304 6110　L=1478</v>
          </cell>
          <cell r="P201">
            <v>0</v>
          </cell>
          <cell r="U201" t="str">
            <v>000000000013824</v>
          </cell>
        </row>
        <row r="202">
          <cell r="P202">
            <v>0</v>
          </cell>
          <cell r="U202" t="str">
            <v>000000000013824</v>
          </cell>
        </row>
        <row r="203">
          <cell r="P203">
            <v>0</v>
          </cell>
          <cell r="U203" t="str">
            <v>000000000013824</v>
          </cell>
        </row>
        <row r="204">
          <cell r="C204">
            <v>700</v>
          </cell>
          <cell r="P204">
            <v>0</v>
          </cell>
          <cell r="U204" t="str">
            <v>000000000013824</v>
          </cell>
        </row>
        <row r="205">
          <cell r="C205">
            <v>1</v>
          </cell>
          <cell r="P205">
            <v>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0</v>
          </cell>
          <cell r="U209" t="str">
            <v>000000000013824</v>
          </cell>
        </row>
        <row r="210">
          <cell r="R210">
            <v>0</v>
          </cell>
          <cell r="U210" t="str">
            <v>000000000013824</v>
          </cell>
        </row>
        <row r="211">
          <cell r="D211" t="str">
            <v>不良補填</v>
          </cell>
          <cell r="F211">
            <v>0</v>
          </cell>
          <cell r="U211" t="str">
            <v>000000000013824</v>
          </cell>
        </row>
        <row r="212">
          <cell r="C212" t="str">
            <v>8FL281304 6110　L=1478</v>
          </cell>
          <cell r="P212">
            <v>0</v>
          </cell>
          <cell r="U212" t="str">
            <v>000000000014225</v>
          </cell>
        </row>
        <row r="213">
          <cell r="P213">
            <v>0</v>
          </cell>
          <cell r="U213" t="str">
            <v>000000000014225</v>
          </cell>
        </row>
        <row r="214">
          <cell r="P214">
            <v>0</v>
          </cell>
          <cell r="U214" t="str">
            <v>000000000014225</v>
          </cell>
        </row>
        <row r="215">
          <cell r="C215">
            <v>200</v>
          </cell>
          <cell r="P215">
            <v>0</v>
          </cell>
          <cell r="U215" t="str">
            <v>000000000014225</v>
          </cell>
        </row>
        <row r="216">
          <cell r="C216">
            <v>1</v>
          </cell>
          <cell r="P216">
            <v>0</v>
          </cell>
          <cell r="U216" t="str">
            <v>000000000014225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0</v>
          </cell>
          <cell r="U220" t="str">
            <v>000000000014225</v>
          </cell>
        </row>
        <row r="221">
          <cell r="R221">
            <v>0</v>
          </cell>
          <cell r="U221" t="str">
            <v>000000000014225</v>
          </cell>
        </row>
        <row r="222">
          <cell r="D222" t="str">
            <v>不良補填</v>
          </cell>
          <cell r="F222">
            <v>0</v>
          </cell>
          <cell r="U222" t="str">
            <v>000000000014225</v>
          </cell>
        </row>
        <row r="223">
          <cell r="C223" t="str">
            <v>8FL281304 6110　L=1478</v>
          </cell>
          <cell r="P223">
            <v>0</v>
          </cell>
          <cell r="U223" t="str">
            <v>000000000014226</v>
          </cell>
        </row>
        <row r="224">
          <cell r="P224">
            <v>0</v>
          </cell>
          <cell r="U224" t="str">
            <v>000000000014226</v>
          </cell>
        </row>
        <row r="225">
          <cell r="P225">
            <v>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0</v>
          </cell>
          <cell r="U231" t="str">
            <v>000000000014226</v>
          </cell>
        </row>
        <row r="232"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P234">
            <v>0</v>
          </cell>
          <cell r="U234" t="str">
            <v>000000000013820</v>
          </cell>
        </row>
        <row r="235">
          <cell r="P235">
            <v>0</v>
          </cell>
          <cell r="U235" t="str">
            <v>000000000013820</v>
          </cell>
        </row>
        <row r="236">
          <cell r="P236">
            <v>0</v>
          </cell>
          <cell r="U236" t="str">
            <v>000000000013820</v>
          </cell>
        </row>
        <row r="237">
          <cell r="C237">
            <v>800</v>
          </cell>
          <cell r="P237">
            <v>0</v>
          </cell>
          <cell r="U237" t="str">
            <v>000000000013820</v>
          </cell>
        </row>
        <row r="238">
          <cell r="C238">
            <v>2</v>
          </cell>
          <cell r="P238">
            <v>0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0</v>
          </cell>
          <cell r="U242" t="str">
            <v>000000000013820</v>
          </cell>
        </row>
        <row r="243">
          <cell r="R243">
            <v>0</v>
          </cell>
          <cell r="U243" t="str">
            <v>000000000013820</v>
          </cell>
        </row>
        <row r="244">
          <cell r="D244" t="str">
            <v>不良補填</v>
          </cell>
          <cell r="F244">
            <v>0</v>
          </cell>
          <cell r="U244" t="str">
            <v>000000000013820</v>
          </cell>
        </row>
        <row r="245">
          <cell r="C245" t="str">
            <v>採光ルーバーパネルB　L=1996</v>
          </cell>
          <cell r="P245">
            <v>0</v>
          </cell>
          <cell r="U245" t="str">
            <v>000000000014040</v>
          </cell>
        </row>
        <row r="246">
          <cell r="P246">
            <v>0</v>
          </cell>
          <cell r="U246" t="str">
            <v>000000000014040</v>
          </cell>
        </row>
        <row r="247">
          <cell r="P247">
            <v>0</v>
          </cell>
          <cell r="U247" t="str">
            <v>000000000014040</v>
          </cell>
        </row>
        <row r="248">
          <cell r="C248">
            <v>294</v>
          </cell>
          <cell r="P248">
            <v>0</v>
          </cell>
          <cell r="U248" t="str">
            <v>000000000014040</v>
          </cell>
        </row>
        <row r="249">
          <cell r="C249">
            <v>1</v>
          </cell>
          <cell r="P249">
            <v>0</v>
          </cell>
          <cell r="U249" t="str">
            <v>000000000014040</v>
          </cell>
        </row>
        <row r="250">
          <cell r="C250">
            <v>42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000000000014040</v>
          </cell>
        </row>
        <row r="251">
          <cell r="C251" t="str">
            <v>上-1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000000000014040</v>
          </cell>
        </row>
        <row r="252">
          <cell r="M252" t="str">
            <v>作業者</v>
          </cell>
          <cell r="U252" t="str">
            <v>000000000014040</v>
          </cell>
        </row>
        <row r="253">
          <cell r="C253">
            <v>0</v>
          </cell>
          <cell r="U253" t="str">
            <v>000000000014040</v>
          </cell>
        </row>
        <row r="254">
          <cell r="R254">
            <v>0</v>
          </cell>
          <cell r="U254" t="str">
            <v>000000000014040</v>
          </cell>
        </row>
        <row r="255">
          <cell r="D255" t="str">
            <v>不良補填</v>
          </cell>
          <cell r="F255" t="str">
            <v/>
          </cell>
          <cell r="U255" t="str">
            <v>000000000014040</v>
          </cell>
        </row>
        <row r="256">
          <cell r="C256" t="str">
            <v>採光ルーバーパネルB　L=1996</v>
          </cell>
          <cell r="P256">
            <v>0</v>
          </cell>
          <cell r="U256" t="str">
            <v>000000000014041</v>
          </cell>
        </row>
        <row r="257">
          <cell r="P257">
            <v>0</v>
          </cell>
          <cell r="U257" t="str">
            <v>000000000014041</v>
          </cell>
        </row>
        <row r="258">
          <cell r="P258">
            <v>0</v>
          </cell>
          <cell r="U258" t="str">
            <v>000000000014041</v>
          </cell>
        </row>
        <row r="259">
          <cell r="C259">
            <v>882</v>
          </cell>
          <cell r="P259">
            <v>0</v>
          </cell>
          <cell r="U259" t="str">
            <v>000000000014041</v>
          </cell>
        </row>
        <row r="260">
          <cell r="C260">
            <v>1</v>
          </cell>
          <cell r="P260">
            <v>0</v>
          </cell>
          <cell r="U260" t="str">
            <v>000000000014041</v>
          </cell>
        </row>
        <row r="261">
          <cell r="C261">
            <v>42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000000000014041</v>
          </cell>
        </row>
        <row r="262">
          <cell r="C262" t="str">
            <v>上-1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000000000014041</v>
          </cell>
        </row>
        <row r="263">
          <cell r="M263" t="str">
            <v>作業者</v>
          </cell>
          <cell r="U263" t="str">
            <v>000000000014041</v>
          </cell>
        </row>
        <row r="264">
          <cell r="C264">
            <v>0</v>
          </cell>
          <cell r="U264" t="str">
            <v>000000000014041</v>
          </cell>
        </row>
        <row r="265">
          <cell r="R265">
            <v>0</v>
          </cell>
          <cell r="U265" t="str">
            <v>000000000014041</v>
          </cell>
        </row>
        <row r="266">
          <cell r="D266" t="str">
            <v>不良補填</v>
          </cell>
          <cell r="F266" t="str">
            <v/>
          </cell>
          <cell r="U266" t="str">
            <v>000000000014041</v>
          </cell>
        </row>
        <row r="267">
          <cell r="C267" t="str">
            <v>8FL281304 6110　L=1478</v>
          </cell>
          <cell r="P267">
            <v>0</v>
          </cell>
          <cell r="U267" t="str">
            <v>000000000013825</v>
          </cell>
        </row>
        <row r="268">
          <cell r="P268">
            <v>0</v>
          </cell>
          <cell r="U268" t="str">
            <v>000000000013825</v>
          </cell>
        </row>
        <row r="269">
          <cell r="P269">
            <v>0</v>
          </cell>
          <cell r="U269" t="str">
            <v>000000000013825</v>
          </cell>
        </row>
        <row r="270">
          <cell r="C270">
            <v>300</v>
          </cell>
          <cell r="P270">
            <v>0</v>
          </cell>
          <cell r="U270" t="str">
            <v>000000000013825</v>
          </cell>
        </row>
        <row r="271">
          <cell r="C271">
            <v>1</v>
          </cell>
          <cell r="P271">
            <v>0</v>
          </cell>
          <cell r="U271" t="str">
            <v>000000000013825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000000000013825</v>
          </cell>
        </row>
        <row r="273">
          <cell r="C273" t="str">
            <v>LED-A1478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000000000013825</v>
          </cell>
        </row>
        <row r="274">
          <cell r="M274" t="str">
            <v>作業者</v>
          </cell>
          <cell r="U274" t="str">
            <v>000000000013825</v>
          </cell>
        </row>
        <row r="275">
          <cell r="C275">
            <v>0</v>
          </cell>
          <cell r="U275" t="str">
            <v>000000000013825</v>
          </cell>
        </row>
        <row r="276">
          <cell r="R276">
            <v>0</v>
          </cell>
          <cell r="U276" t="str">
            <v>000000000013825</v>
          </cell>
        </row>
        <row r="277">
          <cell r="D277" t="str">
            <v>不良補填</v>
          </cell>
          <cell r="F277">
            <v>0</v>
          </cell>
          <cell r="U277" t="str">
            <v>000000000013825</v>
          </cell>
        </row>
        <row r="278">
          <cell r="C278" t="str">
            <v>8FL281304 5010　L=888</v>
          </cell>
          <cell r="P278">
            <v>0</v>
          </cell>
          <cell r="U278" t="str">
            <v>000000000013823</v>
          </cell>
        </row>
        <row r="279">
          <cell r="P279">
            <v>0</v>
          </cell>
          <cell r="U279" t="str">
            <v>000000000013823</v>
          </cell>
        </row>
        <row r="280">
          <cell r="P280">
            <v>0</v>
          </cell>
          <cell r="U280" t="str">
            <v>000000000013823</v>
          </cell>
        </row>
        <row r="281">
          <cell r="C281">
            <v>800</v>
          </cell>
          <cell r="P281">
            <v>0</v>
          </cell>
          <cell r="U281" t="str">
            <v>000000000013823</v>
          </cell>
        </row>
        <row r="282">
          <cell r="C282">
            <v>2</v>
          </cell>
          <cell r="P282">
            <v>0</v>
          </cell>
          <cell r="U282" t="str">
            <v>000000000013823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000000000013823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000000000013823</v>
          </cell>
        </row>
        <row r="285">
          <cell r="M285" t="str">
            <v>作業者</v>
          </cell>
          <cell r="U285" t="str">
            <v>000000000013823</v>
          </cell>
        </row>
        <row r="286">
          <cell r="C286">
            <v>0</v>
          </cell>
          <cell r="U286" t="str">
            <v>000000000013823</v>
          </cell>
        </row>
        <row r="287">
          <cell r="R287">
            <v>0</v>
          </cell>
          <cell r="U287" t="str">
            <v>000000000013823</v>
          </cell>
        </row>
        <row r="288">
          <cell r="D288" t="str">
            <v>不良補填</v>
          </cell>
          <cell r="F288">
            <v>0</v>
          </cell>
          <cell r="U288" t="str">
            <v>000000000013823</v>
          </cell>
        </row>
        <row r="289">
          <cell r="C289" t="str">
            <v>8FL281304 8310　L=748</v>
          </cell>
          <cell r="P289">
            <v>0</v>
          </cell>
          <cell r="U289" t="str">
            <v>000000000013819</v>
          </cell>
        </row>
        <row r="290">
          <cell r="P290">
            <v>0</v>
          </cell>
          <cell r="U290" t="str">
            <v>000000000013819</v>
          </cell>
        </row>
        <row r="291">
          <cell r="P291">
            <v>0</v>
          </cell>
          <cell r="U291" t="str">
            <v>000000000013819</v>
          </cell>
        </row>
        <row r="292">
          <cell r="C292">
            <v>400</v>
          </cell>
          <cell r="P292">
            <v>0</v>
          </cell>
          <cell r="U292" t="str">
            <v>000000000013819</v>
          </cell>
        </row>
        <row r="293">
          <cell r="C293">
            <v>2</v>
          </cell>
          <cell r="P293">
            <v>0</v>
          </cell>
          <cell r="U293" t="str">
            <v>000000000013819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000000000013819</v>
          </cell>
        </row>
        <row r="295">
          <cell r="C295" t="str">
            <v>LED-A888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000000000013819</v>
          </cell>
        </row>
        <row r="296">
          <cell r="M296" t="str">
            <v>作業者</v>
          </cell>
          <cell r="U296" t="str">
            <v>000000000013819</v>
          </cell>
        </row>
        <row r="297">
          <cell r="C297">
            <v>0</v>
          </cell>
          <cell r="U297" t="str">
            <v>000000000013819</v>
          </cell>
        </row>
        <row r="298">
          <cell r="R298">
            <v>0</v>
          </cell>
          <cell r="U298" t="str">
            <v>000000000013819</v>
          </cell>
        </row>
        <row r="299">
          <cell r="D299" t="str">
            <v>不良補填</v>
          </cell>
          <cell r="F299">
            <v>0</v>
          </cell>
          <cell r="U299" t="str">
            <v>000000000013819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85"/>
  <sheetViews>
    <sheetView tabSelected="1" topLeftCell="B228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0" t="s">
        <v>0</v>
      </c>
      <c r="C1" s="120"/>
      <c r="D1" s="120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20"/>
      <c r="C2" s="120"/>
      <c r="D2" s="120"/>
      <c r="E2" s="12"/>
      <c r="F2" s="12"/>
      <c r="G2" s="12"/>
      <c r="H2" s="12"/>
      <c r="I2" s="12"/>
      <c r="J2" s="12"/>
    </row>
    <row r="3" spans="1:10" ht="14.25" customHeight="1">
      <c r="A3" s="133" t="s">
        <v>1</v>
      </c>
      <c r="B3" s="133" t="s">
        <v>2</v>
      </c>
      <c r="C3" s="133" t="s">
        <v>3</v>
      </c>
      <c r="D3" s="154">
        <v>297</v>
      </c>
      <c r="E3" s="133" t="s">
        <v>4</v>
      </c>
      <c r="F3" s="134" t="s">
        <v>5</v>
      </c>
      <c r="G3" s="120"/>
      <c r="H3" s="120"/>
      <c r="I3" s="24" t="s">
        <v>6</v>
      </c>
      <c r="J3" s="24" t="s">
        <v>7</v>
      </c>
    </row>
    <row r="4" spans="1:10" ht="14.25" customHeight="1">
      <c r="A4" s="120"/>
      <c r="B4" s="120"/>
      <c r="C4" s="120"/>
      <c r="D4" s="120"/>
      <c r="E4" s="120"/>
      <c r="F4" s="120"/>
      <c r="G4" s="120"/>
      <c r="H4" s="120"/>
      <c r="I4" s="124"/>
      <c r="J4" s="124"/>
    </row>
    <row r="5" spans="1:10" ht="17.45" customHeight="1">
      <c r="A5" s="126" t="s">
        <v>8</v>
      </c>
      <c r="B5" s="126" t="s">
        <v>9</v>
      </c>
      <c r="E5" s="126" t="s">
        <v>10</v>
      </c>
      <c r="F5" s="152" t="s">
        <v>11</v>
      </c>
      <c r="G5" s="120"/>
      <c r="H5" s="120"/>
      <c r="I5" s="125"/>
      <c r="J5" s="125"/>
    </row>
    <row r="6" spans="1:10" ht="17.45" customHeight="1">
      <c r="A6" s="120"/>
      <c r="B6" s="120"/>
      <c r="E6" s="120"/>
      <c r="F6" s="120"/>
      <c r="G6" s="120"/>
      <c r="H6" s="120"/>
      <c r="I6" s="13"/>
      <c r="J6" s="13"/>
    </row>
    <row r="7" spans="1:10" ht="17.45" customHeight="1">
      <c r="A7" s="126" t="s">
        <v>12</v>
      </c>
      <c r="B7" s="126" t="s">
        <v>13</v>
      </c>
      <c r="E7" s="2" t="s">
        <v>14</v>
      </c>
      <c r="F7" s="152" t="s">
        <v>15</v>
      </c>
      <c r="G7" s="120"/>
      <c r="H7" s="21"/>
      <c r="I7" s="13"/>
      <c r="J7" s="13"/>
    </row>
    <row r="8" spans="1:10" ht="17.45" customHeight="1">
      <c r="A8" s="120"/>
      <c r="B8" s="120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46111</v>
      </c>
      <c r="E9" s="2" t="s">
        <v>19</v>
      </c>
      <c r="F9" s="137">
        <v>100</v>
      </c>
      <c r="G9" s="120"/>
      <c r="H9" s="21"/>
    </row>
    <row r="10" spans="1:10" ht="17.45" customHeight="1">
      <c r="A10" s="2" t="s">
        <v>20</v>
      </c>
      <c r="B10" s="4">
        <v>46111</v>
      </c>
      <c r="E10" s="2" t="s">
        <v>21</v>
      </c>
      <c r="F10" s="21">
        <v>3</v>
      </c>
      <c r="G10" s="155" t="s">
        <v>22</v>
      </c>
      <c r="H10" s="142">
        <v>300</v>
      </c>
      <c r="I10" s="143"/>
      <c r="J10" s="144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5"/>
      <c r="H11" s="145"/>
      <c r="I11" s="140"/>
      <c r="J11" s="141"/>
    </row>
    <row r="12" spans="1:10" ht="13.5" customHeight="1">
      <c r="A12" s="151" t="s">
        <v>25</v>
      </c>
      <c r="B12" s="120"/>
      <c r="C12" s="120"/>
      <c r="D12" s="20"/>
      <c r="F12" s="3"/>
      <c r="G12" s="149" t="s">
        <v>26</v>
      </c>
      <c r="H12" s="135" t="s">
        <v>27</v>
      </c>
      <c r="I12" s="138" t="s">
        <v>28</v>
      </c>
      <c r="J12" s="139"/>
    </row>
    <row r="13" spans="1:10" ht="13.5" customHeight="1">
      <c r="A13" s="120"/>
      <c r="B13" s="120"/>
      <c r="C13" s="120"/>
      <c r="D13" s="20"/>
      <c r="F13" s="3"/>
      <c r="G13" s="136"/>
      <c r="H13" s="136"/>
      <c r="I13" s="140"/>
      <c r="J13" s="141"/>
    </row>
    <row r="14" spans="1:10" ht="13.5" customHeight="1">
      <c r="A14" s="1" t="s">
        <v>29</v>
      </c>
    </row>
    <row r="15" spans="1:10" ht="63" customHeight="1" thickBot="1">
      <c r="A15" s="128"/>
      <c r="B15" s="129"/>
      <c r="C15" s="129"/>
      <c r="D15" s="129"/>
      <c r="E15" s="129"/>
      <c r="F15" s="129"/>
      <c r="G15" s="129"/>
      <c r="H15" s="129"/>
      <c r="I15" s="129"/>
      <c r="J15" s="129"/>
    </row>
    <row r="16" spans="1:10" ht="18.75">
      <c r="A16" s="23" t="s">
        <v>30</v>
      </c>
      <c r="B16" s="16" t="s">
        <v>31</v>
      </c>
      <c r="C16" s="122" t="s">
        <v>32</v>
      </c>
      <c r="D16" s="123"/>
      <c r="E16" s="16" t="s">
        <v>33</v>
      </c>
      <c r="F16" s="122" t="s">
        <v>34</v>
      </c>
      <c r="G16" s="123"/>
      <c r="H16" s="123"/>
      <c r="I16" s="153" t="s">
        <v>35</v>
      </c>
      <c r="J16" s="123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9" t="s">
        <v>37</v>
      </c>
      <c r="D18" s="147"/>
      <c r="E18" s="25" t="s">
        <v>38</v>
      </c>
      <c r="F18" s="119" t="s">
        <v>39</v>
      </c>
      <c r="G18" s="147"/>
      <c r="H18" s="147"/>
      <c r="I18" s="127"/>
      <c r="J18" s="147"/>
    </row>
    <row r="19" spans="1:10" s="7" customFormat="1" ht="16.5" customHeight="1">
      <c r="A19" s="22">
        <v>1</v>
      </c>
      <c r="B19" s="26" t="s">
        <v>36</v>
      </c>
      <c r="C19" s="119" t="s">
        <v>37</v>
      </c>
      <c r="D19" s="147"/>
      <c r="E19" s="25" t="s">
        <v>40</v>
      </c>
      <c r="F19" s="119" t="s">
        <v>41</v>
      </c>
      <c r="G19" s="147"/>
      <c r="H19" s="147"/>
      <c r="I19" s="127"/>
      <c r="J19" s="147"/>
    </row>
    <row r="20" spans="1:10" s="7" customFormat="1" ht="16.5" customHeight="1">
      <c r="A20" s="22"/>
      <c r="B20" s="26"/>
      <c r="C20" s="119"/>
      <c r="D20" s="147"/>
      <c r="E20" s="25"/>
      <c r="F20" s="119"/>
      <c r="G20" s="147"/>
      <c r="H20" s="147"/>
      <c r="I20" s="127"/>
      <c r="J20" s="147"/>
    </row>
    <row r="21" spans="1:10" s="7" customFormat="1" ht="16.5" customHeight="1">
      <c r="A21" s="22"/>
      <c r="B21" s="26"/>
      <c r="C21" s="119"/>
      <c r="D21" s="147"/>
      <c r="E21" s="25"/>
      <c r="F21" s="119"/>
      <c r="G21" s="147"/>
      <c r="H21" s="147"/>
      <c r="I21" s="127"/>
      <c r="J21" s="147"/>
    </row>
    <row r="22" spans="1:10" s="7" customFormat="1" ht="16.5" customHeight="1">
      <c r="A22" s="22"/>
      <c r="B22" s="26"/>
      <c r="C22" s="119"/>
      <c r="D22" s="147"/>
      <c r="E22" s="25"/>
      <c r="F22" s="119"/>
      <c r="G22" s="147"/>
      <c r="H22" s="147"/>
      <c r="I22" s="127"/>
      <c r="J22" s="147"/>
    </row>
    <row r="23" spans="1:10" s="7" customFormat="1" ht="16.5" customHeight="1">
      <c r="A23" s="22"/>
      <c r="B23" s="26"/>
      <c r="C23" s="119"/>
      <c r="D23" s="147"/>
      <c r="E23" s="25"/>
      <c r="F23" s="119"/>
      <c r="G23" s="147"/>
      <c r="H23" s="147"/>
      <c r="I23" s="127"/>
      <c r="J23" s="147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0" t="s">
        <v>42</v>
      </c>
      <c r="B25" s="131"/>
      <c r="C25" s="130" t="s">
        <v>43</v>
      </c>
      <c r="D25" s="131"/>
      <c r="E25" s="131"/>
      <c r="F25" s="17" t="s">
        <v>44</v>
      </c>
      <c r="G25" s="130" t="s">
        <v>45</v>
      </c>
      <c r="H25" s="131"/>
      <c r="I25" s="130" t="s">
        <v>46</v>
      </c>
      <c r="J25" s="131"/>
    </row>
    <row r="26" spans="1:10" ht="14.25" customHeight="1">
      <c r="A26" s="8"/>
      <c r="B26" s="18"/>
      <c r="C26" s="146" t="s">
        <v>47</v>
      </c>
      <c r="D26" s="140"/>
      <c r="E26" s="18"/>
      <c r="F26" s="146" t="s">
        <v>29</v>
      </c>
      <c r="G26" s="140"/>
      <c r="H26" s="140"/>
      <c r="I26" s="140"/>
      <c r="J26" s="140"/>
    </row>
    <row r="27" spans="1:10">
      <c r="A27" s="9"/>
      <c r="C27" s="7"/>
      <c r="D27" s="7"/>
      <c r="E27" s="7"/>
    </row>
    <row r="28" spans="1:10" s="5" customFormat="1" ht="14.25" customHeight="1">
      <c r="A28" s="119" t="s">
        <v>48</v>
      </c>
      <c r="B28" s="148"/>
      <c r="C28" s="119" t="s">
        <v>49</v>
      </c>
      <c r="D28" s="148"/>
      <c r="E28" s="148"/>
      <c r="F28" s="27" t="s">
        <v>27</v>
      </c>
      <c r="G28" s="121">
        <v>50.1</v>
      </c>
      <c r="H28" s="148"/>
      <c r="I28" s="121">
        <v>0.501</v>
      </c>
      <c r="J28" s="148"/>
    </row>
    <row r="29" spans="1:10" s="7" customFormat="1" ht="24.95" customHeight="1">
      <c r="A29" s="132" t="s">
        <v>50</v>
      </c>
      <c r="B29" s="147"/>
      <c r="C29" s="119"/>
      <c r="D29" s="147"/>
      <c r="E29" s="147"/>
      <c r="F29" s="119"/>
      <c r="G29" s="147"/>
      <c r="H29" s="147"/>
      <c r="I29" s="147"/>
      <c r="J29" s="147"/>
    </row>
    <row r="30" spans="1:10" s="5" customFormat="1" ht="14.25" customHeight="1">
      <c r="A30" s="119" t="s">
        <v>51</v>
      </c>
      <c r="B30" s="148"/>
      <c r="C30" s="119" t="s">
        <v>52</v>
      </c>
      <c r="D30" s="148"/>
      <c r="E30" s="148"/>
      <c r="F30" s="27" t="s">
        <v>53</v>
      </c>
      <c r="G30" s="121">
        <v>3</v>
      </c>
      <c r="H30" s="148"/>
      <c r="I30" s="121">
        <v>0.03</v>
      </c>
      <c r="J30" s="148"/>
    </row>
    <row r="31" spans="1:10" s="7" customFormat="1" ht="24.95" customHeight="1">
      <c r="A31" s="132" t="s">
        <v>54</v>
      </c>
      <c r="B31" s="147"/>
      <c r="C31" s="119" t="s">
        <v>55</v>
      </c>
      <c r="D31" s="147"/>
      <c r="E31" s="147"/>
      <c r="F31" s="119"/>
      <c r="G31" s="147"/>
      <c r="H31" s="147"/>
      <c r="I31" s="147"/>
      <c r="J31" s="147"/>
    </row>
    <row r="32" spans="1:10" s="5" customFormat="1" ht="14.25" customHeight="1">
      <c r="A32" s="119" t="s">
        <v>56</v>
      </c>
      <c r="B32" s="148"/>
      <c r="C32" s="119" t="s">
        <v>57</v>
      </c>
      <c r="D32" s="148"/>
      <c r="E32" s="148"/>
      <c r="F32" s="27"/>
      <c r="G32" s="121">
        <v>0.3</v>
      </c>
      <c r="H32" s="148"/>
      <c r="I32" s="121">
        <v>3.0000000000000001E-3</v>
      </c>
      <c r="J32" s="148"/>
    </row>
    <row r="33" spans="1:14" s="7" customFormat="1" ht="24.95" customHeight="1">
      <c r="A33" s="132" t="s">
        <v>58</v>
      </c>
      <c r="B33" s="147"/>
      <c r="C33" s="119" t="s">
        <v>59</v>
      </c>
      <c r="D33" s="147"/>
      <c r="E33" s="147"/>
      <c r="F33" s="119"/>
      <c r="G33" s="147"/>
      <c r="H33" s="147"/>
      <c r="I33" s="147"/>
      <c r="J33" s="147"/>
    </row>
    <row r="34" spans="1:14" s="5" customFormat="1" ht="14.25" customHeight="1">
      <c r="A34" s="119" t="s">
        <v>60</v>
      </c>
      <c r="B34" s="148"/>
      <c r="C34" s="119" t="s">
        <v>61</v>
      </c>
      <c r="D34" s="148"/>
      <c r="E34" s="148"/>
      <c r="F34" s="27"/>
      <c r="G34" s="121">
        <v>0.3</v>
      </c>
      <c r="H34" s="148"/>
      <c r="I34" s="121">
        <v>3.0000000000000001E-3</v>
      </c>
      <c r="J34" s="148"/>
    </row>
    <row r="35" spans="1:14" s="7" customFormat="1" ht="24.95" customHeight="1">
      <c r="A35" s="132" t="s">
        <v>62</v>
      </c>
      <c r="B35" s="147"/>
      <c r="C35" s="119" t="s">
        <v>63</v>
      </c>
      <c r="D35" s="147"/>
      <c r="E35" s="147"/>
      <c r="F35" s="119"/>
      <c r="G35" s="147"/>
      <c r="H35" s="147"/>
      <c r="I35" s="147"/>
      <c r="J35" s="147"/>
    </row>
    <row r="36" spans="1:14" s="5" customFormat="1" ht="14.25" customHeight="1">
      <c r="A36" s="119"/>
      <c r="B36" s="148"/>
      <c r="C36" s="119"/>
      <c r="D36" s="148"/>
      <c r="E36" s="148"/>
      <c r="F36" s="27"/>
      <c r="G36" s="121"/>
      <c r="H36" s="148"/>
      <c r="I36" s="121"/>
      <c r="J36" s="148"/>
    </row>
    <row r="37" spans="1:14" s="7" customFormat="1" ht="24.95" customHeight="1" thickBot="1">
      <c r="A37" s="132"/>
      <c r="B37" s="147"/>
      <c r="C37" s="119"/>
      <c r="D37" s="147"/>
      <c r="E37" s="147"/>
      <c r="F37" s="119"/>
      <c r="G37" s="147"/>
      <c r="H37" s="147"/>
      <c r="I37" s="147"/>
      <c r="J37" s="147"/>
    </row>
    <row r="38" spans="1:14" s="5" customFormat="1" ht="18" customHeight="1">
      <c r="A38" s="28" t="s">
        <v>95</v>
      </c>
      <c r="B38" s="29" t="s">
        <v>96</v>
      </c>
      <c r="C38" s="107" t="s">
        <v>97</v>
      </c>
      <c r="D38" s="108"/>
      <c r="E38" s="30" t="s">
        <v>98</v>
      </c>
      <c r="F38" s="31" t="s">
        <v>99</v>
      </c>
      <c r="G38" s="32" t="s">
        <v>100</v>
      </c>
      <c r="H38" s="33" t="s">
        <v>101</v>
      </c>
      <c r="I38" s="117" t="s">
        <v>102</v>
      </c>
      <c r="J38" s="118"/>
    </row>
    <row r="39" spans="1:14" s="7" customFormat="1" ht="18" customHeight="1">
      <c r="A39" s="34" t="str">
        <f>_xlfn.XLOOKUP(B3,[1]VFDB2!$A:$A,[1]VFDB2!$J:$J)</f>
        <v>〇</v>
      </c>
      <c r="B39" s="35">
        <f>D3</f>
        <v>297</v>
      </c>
      <c r="C39" s="109" t="str">
        <f>_xlfn.XLOOKUP(B3,[1]VFDB2!$A:$A,[1]VFDB2!$Z:$Z)</f>
        <v>LED-A300</v>
      </c>
      <c r="D39" s="110"/>
      <c r="E39" s="111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103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104</v>
      </c>
      <c r="B40" s="45" t="s">
        <v>105</v>
      </c>
      <c r="C40" s="109"/>
      <c r="D40" s="110"/>
      <c r="E40" s="111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106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+0.5</v>
      </c>
      <c r="B41" s="49" t="str">
        <f>_xlfn.XLOOKUP(B3,[1]VFDB2!$A:$A,[1]VFDB2!$AC:$AC)</f>
        <v>換算表確認</v>
      </c>
      <c r="C41" s="112" t="s">
        <v>107</v>
      </c>
      <c r="D41" s="113" t="str">
        <f>_xlfn.XLOOKUP(B3,[1]VFDB2!$A:$A,[1]VFDB2!$W:$W)</f>
        <v>クラフト紙：592型　1/2</v>
      </c>
      <c r="E41" s="113"/>
      <c r="F41" s="114"/>
      <c r="G41" s="37"/>
      <c r="H41" s="38"/>
      <c r="I41" s="39" t="s">
        <v>108</v>
      </c>
      <c r="J41" s="41" t="str">
        <v/>
      </c>
      <c r="K41" s="50"/>
    </row>
    <row r="42" spans="1:14" s="5" customFormat="1" ht="18" customHeight="1">
      <c r="A42" s="51" t="s">
        <v>109</v>
      </c>
      <c r="B42" s="52" t="s">
        <v>110</v>
      </c>
      <c r="C42" s="112"/>
      <c r="D42" s="113" t="str">
        <f>_xlfn.XLOOKUP(B3,[1]VFDB2!$A:$A,[1]VFDB2!$R:$R)</f>
        <v>ラベル１枚　長手無　鉢巻１回</v>
      </c>
      <c r="E42" s="113"/>
      <c r="F42" s="114"/>
      <c r="G42" s="37"/>
      <c r="H42" s="38"/>
      <c r="I42" s="39" t="s">
        <v>111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－0.5</v>
      </c>
      <c r="B43" s="54">
        <f>_xlfn.XLOOKUP(B3,[1]VFDB2!$A:$A,[1]VFDB2!$P:$P)</f>
        <v>6</v>
      </c>
      <c r="C43" s="55" t="s">
        <v>112</v>
      </c>
      <c r="D43" s="115" t="str">
        <f>_xlfn.XLOOKUP(B3,[1]VFDB2!$A:$A,[1]VFDB2!$V:$V)</f>
        <v>1箱目の梱包数 目視確認　以降、重量測定</v>
      </c>
      <c r="E43" s="115"/>
      <c r="F43" s="116"/>
      <c r="G43" s="56"/>
      <c r="H43" s="57"/>
      <c r="I43" s="39" t="s">
        <v>113</v>
      </c>
      <c r="J43" s="42" t="str">
        <v/>
      </c>
      <c r="K43" s="50"/>
    </row>
    <row r="44" spans="1:14" s="5" customFormat="1" ht="18" customHeight="1" thickBot="1">
      <c r="A44" s="58" t="s">
        <v>114</v>
      </c>
      <c r="B44" s="59" t="str" cm="1">
        <f t="array" ref="B44">IF(SUM(--(ISTEXT(B45:B55)*(B45:B55&lt;&gt;"")))=0,"計測Lot","計測Lot・加工数")</f>
        <v>計測Lot</v>
      </c>
      <c r="C44" s="60" t="s">
        <v>115</v>
      </c>
      <c r="D44" s="61" t="s">
        <v>116</v>
      </c>
      <c r="E44" s="62" t="s">
        <v>117</v>
      </c>
      <c r="F44" s="63" t="str" cm="1">
        <f t="array" ref="F44">IF(SUM(--(ISTEXT(B45:B55)*(B45:B55&lt;&gt;"")))=0,"記入不要","使用Lot")</f>
        <v>記入不要</v>
      </c>
      <c r="G44" s="64" t="s">
        <v>118</v>
      </c>
      <c r="H44" s="65" t="s">
        <v>119</v>
      </c>
      <c r="I44" s="66" t="s">
        <v>120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5" t="s">
        <v>121</v>
      </c>
      <c r="J45" s="106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122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123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124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125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126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127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128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129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130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131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0" t="s">
        <v>0</v>
      </c>
      <c r="C58" s="120"/>
      <c r="D58" s="120"/>
      <c r="E58" s="11"/>
      <c r="F58" s="11"/>
      <c r="G58" s="11"/>
      <c r="H58" s="11"/>
      <c r="I58" s="11"/>
      <c r="J58" s="11"/>
    </row>
    <row r="59" spans="1:14" ht="14.25" customHeight="1">
      <c r="A59" s="12"/>
      <c r="B59" s="120"/>
      <c r="C59" s="120"/>
      <c r="D59" s="120"/>
      <c r="E59" s="12"/>
      <c r="F59" s="12"/>
      <c r="G59" s="12"/>
      <c r="H59" s="12"/>
      <c r="I59" s="12"/>
      <c r="J59" s="12"/>
    </row>
    <row r="60" spans="1:14" ht="14.25" customHeight="1">
      <c r="A60" s="133" t="s">
        <v>1</v>
      </c>
      <c r="B60" s="133" t="s">
        <v>64</v>
      </c>
      <c r="C60" s="133" t="s">
        <v>3</v>
      </c>
      <c r="D60" s="154">
        <v>748</v>
      </c>
      <c r="E60" s="133" t="s">
        <v>4</v>
      </c>
      <c r="F60" s="134" t="s">
        <v>65</v>
      </c>
      <c r="G60" s="120"/>
      <c r="H60" s="120"/>
      <c r="I60" s="24" t="s">
        <v>6</v>
      </c>
      <c r="J60" s="24" t="s">
        <v>7</v>
      </c>
    </row>
    <row r="61" spans="1:14" ht="14.25" customHeight="1">
      <c r="A61" s="120"/>
      <c r="B61" s="120"/>
      <c r="C61" s="120"/>
      <c r="D61" s="120"/>
      <c r="E61" s="120"/>
      <c r="F61" s="120"/>
      <c r="G61" s="120"/>
      <c r="H61" s="120"/>
      <c r="I61" s="124"/>
      <c r="J61" s="124"/>
    </row>
    <row r="62" spans="1:14" ht="17.45" customHeight="1">
      <c r="A62" s="126" t="s">
        <v>8</v>
      </c>
      <c r="B62" s="126" t="s">
        <v>66</v>
      </c>
      <c r="E62" s="126" t="s">
        <v>10</v>
      </c>
      <c r="F62" s="152" t="s">
        <v>67</v>
      </c>
      <c r="G62" s="120"/>
      <c r="H62" s="120"/>
      <c r="I62" s="125"/>
      <c r="J62" s="125"/>
    </row>
    <row r="63" spans="1:14" ht="17.45" customHeight="1">
      <c r="A63" s="120"/>
      <c r="B63" s="120"/>
      <c r="E63" s="120"/>
      <c r="F63" s="120"/>
      <c r="G63" s="120"/>
      <c r="H63" s="120"/>
      <c r="I63" s="13"/>
      <c r="J63" s="13"/>
    </row>
    <row r="64" spans="1:14" ht="17.45" customHeight="1">
      <c r="A64" s="126" t="s">
        <v>12</v>
      </c>
      <c r="B64" s="126" t="s">
        <v>68</v>
      </c>
      <c r="E64" s="2" t="s">
        <v>14</v>
      </c>
      <c r="F64" s="152" t="s">
        <v>15</v>
      </c>
      <c r="G64" s="120"/>
      <c r="H64" s="21"/>
      <c r="I64" s="13"/>
      <c r="J64" s="13"/>
    </row>
    <row r="65" spans="1:10" ht="17.45" customHeight="1">
      <c r="A65" s="120"/>
      <c r="B65" s="120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46113</v>
      </c>
      <c r="E66" s="2" t="s">
        <v>19</v>
      </c>
      <c r="F66" s="137">
        <v>100</v>
      </c>
      <c r="G66" s="120"/>
      <c r="H66" s="21"/>
    </row>
    <row r="67" spans="1:10" ht="17.45" customHeight="1">
      <c r="A67" s="2" t="s">
        <v>20</v>
      </c>
      <c r="B67" s="4">
        <v>46113</v>
      </c>
      <c r="E67" s="2" t="s">
        <v>21</v>
      </c>
      <c r="F67" s="21">
        <v>2</v>
      </c>
      <c r="G67" s="155" t="s">
        <v>22</v>
      </c>
      <c r="H67" s="142">
        <v>200</v>
      </c>
      <c r="I67" s="143"/>
      <c r="J67" s="144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45"/>
      <c r="H68" s="145"/>
      <c r="I68" s="140"/>
      <c r="J68" s="141"/>
    </row>
    <row r="69" spans="1:10" ht="13.5" customHeight="1">
      <c r="A69" s="151" t="s">
        <v>69</v>
      </c>
      <c r="B69" s="120"/>
      <c r="C69" s="120"/>
      <c r="D69" s="20"/>
      <c r="F69" s="3"/>
      <c r="G69" s="149" t="s">
        <v>26</v>
      </c>
      <c r="H69" s="135" t="s">
        <v>27</v>
      </c>
      <c r="I69" s="138" t="s">
        <v>28</v>
      </c>
      <c r="J69" s="139"/>
    </row>
    <row r="70" spans="1:10" ht="13.5" customHeight="1">
      <c r="A70" s="120"/>
      <c r="B70" s="120"/>
      <c r="C70" s="120"/>
      <c r="D70" s="20"/>
      <c r="F70" s="3"/>
      <c r="G70" s="136"/>
      <c r="H70" s="136"/>
      <c r="I70" s="140"/>
      <c r="J70" s="141"/>
    </row>
    <row r="71" spans="1:10" ht="13.5" customHeight="1">
      <c r="A71" s="1" t="s">
        <v>29</v>
      </c>
    </row>
    <row r="72" spans="1:10" ht="63" customHeight="1">
      <c r="A72" s="128"/>
      <c r="B72" s="129"/>
      <c r="C72" s="129"/>
      <c r="D72" s="129"/>
      <c r="E72" s="129"/>
      <c r="F72" s="129"/>
      <c r="G72" s="129"/>
      <c r="H72" s="129"/>
      <c r="I72" s="129"/>
      <c r="J72" s="129"/>
    </row>
    <row r="73" spans="1:10" ht="18.75">
      <c r="A73" s="23" t="s">
        <v>30</v>
      </c>
      <c r="B73" s="16" t="s">
        <v>31</v>
      </c>
      <c r="C73" s="122" t="s">
        <v>32</v>
      </c>
      <c r="D73" s="123"/>
      <c r="E73" s="16" t="s">
        <v>33</v>
      </c>
      <c r="F73" s="122" t="s">
        <v>34</v>
      </c>
      <c r="G73" s="123"/>
      <c r="H73" s="123"/>
      <c r="I73" s="153" t="s">
        <v>35</v>
      </c>
      <c r="J73" s="123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19" t="s">
        <v>37</v>
      </c>
      <c r="D75" s="120"/>
      <c r="E75" s="25" t="s">
        <v>38</v>
      </c>
      <c r="F75" s="119" t="s">
        <v>39</v>
      </c>
      <c r="G75" s="120"/>
      <c r="H75" s="120"/>
      <c r="I75" s="127"/>
      <c r="J75" s="120"/>
    </row>
    <row r="76" spans="1:10" ht="16.5" customHeight="1">
      <c r="A76" s="22">
        <v>1</v>
      </c>
      <c r="B76" s="26" t="s">
        <v>36</v>
      </c>
      <c r="C76" s="119" t="s">
        <v>37</v>
      </c>
      <c r="D76" s="120"/>
      <c r="E76" s="25" t="s">
        <v>40</v>
      </c>
      <c r="F76" s="119" t="s">
        <v>41</v>
      </c>
      <c r="G76" s="120"/>
      <c r="H76" s="120"/>
      <c r="I76" s="127"/>
      <c r="J76" s="120"/>
    </row>
    <row r="77" spans="1:10" ht="16.5" customHeight="1">
      <c r="A77" s="22"/>
      <c r="B77" s="26"/>
      <c r="C77" s="119"/>
      <c r="D77" s="120"/>
      <c r="E77" s="25"/>
      <c r="F77" s="119"/>
      <c r="G77" s="120"/>
      <c r="H77" s="120"/>
      <c r="I77" s="127"/>
      <c r="J77" s="120"/>
    </row>
    <row r="78" spans="1:10" ht="16.5" customHeight="1">
      <c r="A78" s="22"/>
      <c r="B78" s="26"/>
      <c r="C78" s="119"/>
      <c r="D78" s="120"/>
      <c r="E78" s="25"/>
      <c r="F78" s="119"/>
      <c r="G78" s="120"/>
      <c r="H78" s="120"/>
      <c r="I78" s="127"/>
      <c r="J78" s="120"/>
    </row>
    <row r="79" spans="1:10" ht="16.5" customHeight="1">
      <c r="A79" s="22"/>
      <c r="B79" s="26"/>
      <c r="C79" s="119"/>
      <c r="D79" s="120"/>
      <c r="E79" s="25"/>
      <c r="F79" s="119"/>
      <c r="G79" s="120"/>
      <c r="H79" s="120"/>
      <c r="I79" s="127"/>
      <c r="J79" s="120"/>
    </row>
    <row r="80" spans="1:10" ht="16.5" customHeight="1">
      <c r="A80" s="22"/>
      <c r="B80" s="26"/>
      <c r="C80" s="119"/>
      <c r="D80" s="120"/>
      <c r="E80" s="25"/>
      <c r="F80" s="119"/>
      <c r="G80" s="120"/>
      <c r="H80" s="120"/>
      <c r="I80" s="127"/>
      <c r="J80" s="120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0" t="s">
        <v>42</v>
      </c>
      <c r="B82" s="131"/>
      <c r="C82" s="130" t="s">
        <v>43</v>
      </c>
      <c r="D82" s="131"/>
      <c r="E82" s="131"/>
      <c r="F82" s="17" t="s">
        <v>44</v>
      </c>
      <c r="G82" s="130" t="s">
        <v>45</v>
      </c>
      <c r="H82" s="131"/>
      <c r="I82" s="130" t="s">
        <v>46</v>
      </c>
      <c r="J82" s="131"/>
    </row>
    <row r="83" spans="1:10" ht="14.25" customHeight="1">
      <c r="A83" s="8"/>
      <c r="B83" s="18"/>
      <c r="C83" s="146" t="s">
        <v>47</v>
      </c>
      <c r="D83" s="140"/>
      <c r="E83" s="18"/>
      <c r="F83" s="146" t="s">
        <v>29</v>
      </c>
      <c r="G83" s="140"/>
      <c r="H83" s="140"/>
      <c r="I83" s="140"/>
      <c r="J83" s="140"/>
    </row>
    <row r="84" spans="1:10">
      <c r="A84" s="9"/>
      <c r="C84" s="7"/>
      <c r="D84" s="7"/>
      <c r="E84" s="7"/>
    </row>
    <row r="85" spans="1:10" ht="14.25" customHeight="1">
      <c r="A85" s="119" t="s">
        <v>48</v>
      </c>
      <c r="B85" s="120"/>
      <c r="C85" s="119" t="s">
        <v>49</v>
      </c>
      <c r="D85" s="120"/>
      <c r="E85" s="120"/>
      <c r="F85" s="27" t="s">
        <v>27</v>
      </c>
      <c r="G85" s="121">
        <v>100</v>
      </c>
      <c r="H85" s="120"/>
      <c r="I85" s="121">
        <v>1</v>
      </c>
      <c r="J85" s="120"/>
    </row>
    <row r="86" spans="1:10" ht="24.95" customHeight="1">
      <c r="A86" s="132" t="s">
        <v>50</v>
      </c>
      <c r="B86" s="120"/>
      <c r="C86" s="119"/>
      <c r="D86" s="120"/>
      <c r="E86" s="120"/>
      <c r="F86" s="119"/>
      <c r="G86" s="120"/>
      <c r="H86" s="120"/>
      <c r="I86" s="120"/>
      <c r="J86" s="120"/>
    </row>
    <row r="87" spans="1:10" ht="14.25" customHeight="1">
      <c r="A87" s="119" t="s">
        <v>70</v>
      </c>
      <c r="B87" s="120"/>
      <c r="C87" s="119" t="s">
        <v>71</v>
      </c>
      <c r="D87" s="120"/>
      <c r="E87" s="120"/>
      <c r="F87" s="27" t="s">
        <v>36</v>
      </c>
      <c r="G87" s="121">
        <v>2</v>
      </c>
      <c r="H87" s="120"/>
      <c r="I87" s="121">
        <v>0.02</v>
      </c>
      <c r="J87" s="120"/>
    </row>
    <row r="88" spans="1:10" ht="24.95" customHeight="1">
      <c r="A88" s="132" t="s">
        <v>72</v>
      </c>
      <c r="B88" s="120"/>
      <c r="C88" s="119" t="s">
        <v>73</v>
      </c>
      <c r="D88" s="120"/>
      <c r="E88" s="120"/>
      <c r="F88" s="119"/>
      <c r="G88" s="120"/>
      <c r="H88" s="120"/>
      <c r="I88" s="120"/>
      <c r="J88" s="120"/>
    </row>
    <row r="89" spans="1:10" ht="14.25" customHeight="1">
      <c r="A89" s="119" t="s">
        <v>56</v>
      </c>
      <c r="B89" s="120"/>
      <c r="C89" s="119" t="s">
        <v>57</v>
      </c>
      <c r="D89" s="120"/>
      <c r="E89" s="120"/>
      <c r="F89" s="27"/>
      <c r="G89" s="121">
        <v>0.2</v>
      </c>
      <c r="H89" s="120"/>
      <c r="I89" s="121">
        <v>2E-3</v>
      </c>
      <c r="J89" s="120"/>
    </row>
    <row r="90" spans="1:10" ht="24.95" customHeight="1">
      <c r="A90" s="132" t="s">
        <v>58</v>
      </c>
      <c r="B90" s="120"/>
      <c r="C90" s="119" t="s">
        <v>59</v>
      </c>
      <c r="D90" s="120"/>
      <c r="E90" s="120"/>
      <c r="F90" s="119"/>
      <c r="G90" s="120"/>
      <c r="H90" s="120"/>
      <c r="I90" s="120"/>
      <c r="J90" s="120"/>
    </row>
    <row r="91" spans="1:10" ht="14.25" customHeight="1">
      <c r="A91" s="119" t="s">
        <v>60</v>
      </c>
      <c r="B91" s="120"/>
      <c r="C91" s="119" t="s">
        <v>61</v>
      </c>
      <c r="D91" s="120"/>
      <c r="E91" s="120"/>
      <c r="F91" s="27"/>
      <c r="G91" s="121">
        <v>0.2</v>
      </c>
      <c r="H91" s="120"/>
      <c r="I91" s="121">
        <v>2E-3</v>
      </c>
      <c r="J91" s="120"/>
    </row>
    <row r="92" spans="1:10" ht="24.95" customHeight="1">
      <c r="A92" s="132" t="s">
        <v>62</v>
      </c>
      <c r="B92" s="120"/>
      <c r="C92" s="119" t="s">
        <v>63</v>
      </c>
      <c r="D92" s="120"/>
      <c r="E92" s="120"/>
      <c r="F92" s="119"/>
      <c r="G92" s="120"/>
      <c r="H92" s="120"/>
      <c r="I92" s="120"/>
      <c r="J92" s="120"/>
    </row>
    <row r="93" spans="1:10" ht="14.25" customHeight="1">
      <c r="A93" s="119"/>
      <c r="B93" s="120"/>
      <c r="C93" s="119"/>
      <c r="D93" s="120"/>
      <c r="E93" s="120"/>
      <c r="F93" s="27"/>
      <c r="G93" s="121"/>
      <c r="H93" s="120"/>
      <c r="I93" s="121"/>
      <c r="J93" s="120"/>
    </row>
    <row r="94" spans="1:10" ht="24.95" customHeight="1" thickBot="1">
      <c r="A94" s="132"/>
      <c r="B94" s="120"/>
      <c r="C94" s="119"/>
      <c r="D94" s="120"/>
      <c r="E94" s="120"/>
      <c r="F94" s="119"/>
      <c r="G94" s="120"/>
      <c r="H94" s="120"/>
      <c r="I94" s="120"/>
      <c r="J94" s="120"/>
    </row>
    <row r="95" spans="1:10" s="5" customFormat="1" ht="18" customHeight="1">
      <c r="A95" s="28" t="s">
        <v>95</v>
      </c>
      <c r="B95" s="29" t="s">
        <v>96</v>
      </c>
      <c r="C95" s="107" t="s">
        <v>97</v>
      </c>
      <c r="D95" s="108"/>
      <c r="E95" s="30" t="s">
        <v>98</v>
      </c>
      <c r="F95" s="31" t="s">
        <v>99</v>
      </c>
      <c r="G95" s="32" t="s">
        <v>100</v>
      </c>
      <c r="H95" s="33" t="s">
        <v>101</v>
      </c>
      <c r="I95" s="117" t="s">
        <v>102</v>
      </c>
      <c r="J95" s="118"/>
    </row>
    <row r="96" spans="1:10" s="7" customFormat="1" ht="18" customHeight="1">
      <c r="A96" s="34" t="str">
        <f>_xlfn.XLOOKUP(B60,[3]VFDB2!$A:$A,[3]VFDB2!$J:$J)</f>
        <v>〇</v>
      </c>
      <c r="B96" s="35">
        <f>D60</f>
        <v>748</v>
      </c>
      <c r="C96" s="109" t="str">
        <f>_xlfn.XLOOKUP(B60,[3]VFDB2!$A:$A,[3]VFDB2!$Z:$Z)</f>
        <v>LED-A888</v>
      </c>
      <c r="D96" s="110"/>
      <c r="E96" s="111" t="str" cm="1">
        <f t="array" ref="E96">IFERROR(INDEX(_xlfn._xlws.FILTER([4]加工記録２!C:C,[4]加工記録２!U:U=B62),9),"")</f>
        <v/>
      </c>
      <c r="F96" s="36" t="str" cm="1">
        <f t="array" ref="F96">IFERROR("切断加工：" &amp;_xlfn.TEXTJOIN(" / ",TRUE,INDEX(_xlfn._xlws.FILTER([4]加工記録２!M:M,[4]加工記録２!U:U=B62),9),INDEX(_xlfn._xlws.FILTER([4]加工記録２!N:N,[4]加工記録２!U:U=B62),9)),"")</f>
        <v/>
      </c>
      <c r="G96" s="37" t="str" cm="1">
        <f t="array" ref="G96">IFERROR(IF(_xlfn.TAKE(_xlfn._xlws.FILTER([4]加工記録２!$M:$N,[4]加工記録２!$U:$U=B62),5)=0,"",_xlfn.TAKE(_xlfn._xlws.FILTER([4]加工記録２!$M:$N,[4]加工記録２!$U:$U=B62),5)),"")</f>
        <v/>
      </c>
      <c r="H96" s="38"/>
      <c r="I96" s="39" t="s">
        <v>103</v>
      </c>
      <c r="J96" s="40" t="str" cm="1">
        <f t="array" ref="J96:J101">IFERROR(INDEX(_xlfn._xlws.FILTER([4]加工記録２!P:P, [4]加工記録２!U:U=B62),_xlfn.SEQUENCE(6)),"")</f>
        <v/>
      </c>
    </row>
    <row r="97" spans="1:14" s="5" customFormat="1" ht="18" customHeight="1">
      <c r="A97" s="44" t="s">
        <v>104</v>
      </c>
      <c r="B97" s="45" t="s">
        <v>105</v>
      </c>
      <c r="C97" s="109"/>
      <c r="D97" s="110"/>
      <c r="E97" s="111"/>
      <c r="F97" s="46" t="str" cm="1">
        <f t="array" ref="F97">IFERROR("外観検査：" &amp;_xlfn.TEXTJOIN(" / ",TRUE,INDEX(_xlfn._xlws.FILTER([4]加工記録２!M:M,[4]加工記録２!U:U=B62),10),INDEX(_xlfn._xlws.FILTER([4]加工記録２!N:N,[4]加工記録２!U:U=B62),10)),"")</f>
        <v/>
      </c>
      <c r="G97" s="37"/>
      <c r="H97" s="38"/>
      <c r="I97" s="39" t="s">
        <v>106</v>
      </c>
      <c r="J97" s="41" t="str">
        <v/>
      </c>
      <c r="K97" s="47"/>
    </row>
    <row r="98" spans="1:14" s="7" customFormat="1" ht="18" customHeight="1">
      <c r="A98" s="48" t="str">
        <f>_xlfn.XLOOKUP(B60,[3]VFDB2!$A:$A,[3]VFDB2!$L:$L)</f>
        <v>+0.5</v>
      </c>
      <c r="B98" s="49" t="str">
        <f>_xlfn.XLOOKUP(B60,[3]VFDB2!$A:$A,[3]VFDB2!$AC:$AC)</f>
        <v>換算表確認</v>
      </c>
      <c r="C98" s="112" t="s">
        <v>107</v>
      </c>
      <c r="D98" s="113" t="str">
        <f>_xlfn.XLOOKUP(B60,[3]VFDB2!$A:$A,[3]VFDB2!$W:$W)</f>
        <v>L=888用　クラフト紙</v>
      </c>
      <c r="E98" s="113"/>
      <c r="F98" s="114"/>
      <c r="G98" s="37"/>
      <c r="H98" s="38"/>
      <c r="I98" s="39" t="s">
        <v>108</v>
      </c>
      <c r="J98" s="41" t="str">
        <v/>
      </c>
      <c r="K98" s="50"/>
    </row>
    <row r="99" spans="1:14" s="5" customFormat="1" ht="18" customHeight="1">
      <c r="A99" s="51" t="s">
        <v>109</v>
      </c>
      <c r="B99" s="52" t="s">
        <v>110</v>
      </c>
      <c r="C99" s="112"/>
      <c r="D99" s="113" t="str">
        <f>_xlfn.XLOOKUP(B60,[3]VFDB2!$A:$A,[3]VFDB2!$R:$R)</f>
        <v>ラベル１枚　長手無　鉢巻１回</v>
      </c>
      <c r="E99" s="113"/>
      <c r="F99" s="114"/>
      <c r="G99" s="37"/>
      <c r="H99" s="38"/>
      <c r="I99" s="39" t="s">
        <v>111</v>
      </c>
      <c r="J99" s="41" t="str">
        <v/>
      </c>
      <c r="K99" s="47"/>
    </row>
    <row r="100" spans="1:14" s="7" customFormat="1" ht="18" customHeight="1" thickBot="1">
      <c r="A100" s="53" t="str">
        <f>_xlfn.XLOOKUP(B60,[3]VFDB2!$A:$A,[3]VFDB2!$K:$K)</f>
        <v>－0.5</v>
      </c>
      <c r="B100" s="54">
        <f>_xlfn.XLOOKUP(B60,[3]VFDB2!$A:$A,[3]VFDB2!$P:$P)</f>
        <v>2</v>
      </c>
      <c r="C100" s="55" t="s">
        <v>112</v>
      </c>
      <c r="D100" s="115" t="str">
        <f>_xlfn.XLOOKUP(B60,[3]VFDB2!$A:$A,[3]VFDB2!$V:$V)</f>
        <v>1箱目の梱包数 目視確認　以降、重量測定</v>
      </c>
      <c r="E100" s="115"/>
      <c r="F100" s="116"/>
      <c r="G100" s="56"/>
      <c r="H100" s="57"/>
      <c r="I100" s="39" t="s">
        <v>113</v>
      </c>
      <c r="J100" s="42" t="str">
        <v/>
      </c>
      <c r="K100" s="50"/>
    </row>
    <row r="101" spans="1:14" s="5" customFormat="1" ht="18" customHeight="1" thickBot="1">
      <c r="A101" s="58" t="s">
        <v>114</v>
      </c>
      <c r="B101" s="59" t="str" cm="1">
        <f t="array" ref="B101">IF(SUM(--(ISTEXT(B102:B112)*(B102:B112&lt;&gt;"")))=0,"計測Lot","計測Lot・加工数")</f>
        <v>計測Lot</v>
      </c>
      <c r="C101" s="60" t="s">
        <v>115</v>
      </c>
      <c r="D101" s="61" t="s">
        <v>116</v>
      </c>
      <c r="E101" s="62" t="s">
        <v>117</v>
      </c>
      <c r="F101" s="63" t="str" cm="1">
        <f t="array" ref="F101">IF(SUM(--(ISTEXT(B102:B112)*(B102:B112&lt;&gt;"")))=0,"記入不要","使用Lot")</f>
        <v>記入不要</v>
      </c>
      <c r="G101" s="64" t="s">
        <v>118</v>
      </c>
      <c r="H101" s="65" t="s">
        <v>119</v>
      </c>
      <c r="I101" s="66" t="s">
        <v>120</v>
      </c>
      <c r="J101" s="43" t="str">
        <v/>
      </c>
      <c r="K101" s="47"/>
    </row>
    <row r="102" spans="1:14" s="7" customFormat="1" ht="18" customHeight="1">
      <c r="A102" s="67" t="str" cm="1">
        <f t="array" ref="A102:A112">IFERROR(INDEX(_xlfn._xlws.FILTER([4]加工記録２!$D:$D,[4]加工記録２!$U:$U=B62),_xlfn.SEQUENCE(11),0),"")</f>
        <v/>
      </c>
      <c r="B102" s="71" t="str" cm="1">
        <f t="array" ref="B102:B112">IFERROR(IF(INDEX(_xlfn._xlws.FILTER([4]加工記録２!$E:$E,[4]加工記録２!$U:$U=B62),_xlfn.SEQUENCE(11))="","",INDEX(_xlfn._xlws.FILTER([4]加工記録２!$E:$E,[4]加工記録２!$U:$U=B62),_xlfn.SEQUENCE(11)) &amp; IF(INDEX(_xlfn._xlws.FILTER([4]加工記録２!$F:$F,[4]加工記録２!$U:$U=B62),_xlfn.SEQUENCE(11))="","", " × " &amp; INDEX(_xlfn._xlws.FILTER([4]加工記録２!$F:$F,[4]加工記録２!$U:$U=B62),_xlfn.SEQUENCE(11)))),"")</f>
        <v/>
      </c>
      <c r="C102" s="74"/>
      <c r="D102" s="75"/>
      <c r="E102" s="76"/>
      <c r="F102" s="77"/>
      <c r="G102" s="78"/>
      <c r="H102" s="79"/>
      <c r="I102" s="105" t="s">
        <v>121</v>
      </c>
      <c r="J102" s="106"/>
      <c r="K102" s="80"/>
    </row>
    <row r="103" spans="1:14" s="5" customFormat="1" ht="18" customHeight="1">
      <c r="A103" s="68" t="str">
        <v/>
      </c>
      <c r="B103" s="72" t="str">
        <v/>
      </c>
      <c r="C103" s="81"/>
      <c r="D103" s="82"/>
      <c r="E103" s="83"/>
      <c r="F103" s="84"/>
      <c r="G103" s="81"/>
      <c r="H103" s="85"/>
      <c r="I103" s="86" t="s">
        <v>122</v>
      </c>
      <c r="J103" s="85" t="str" cm="1">
        <f t="array" ref="J103:J112">IFERROR(INDEX(_xlfn._xlws.FILTER([4]加工記録２!R:R, [4]加工記録２!U:U=B62),_xlfn.SEQUENCE(10)),"")</f>
        <v/>
      </c>
      <c r="K103" s="80"/>
    </row>
    <row r="104" spans="1:14" s="91" customFormat="1" ht="18.95" customHeight="1">
      <c r="A104" s="69" t="str">
        <v/>
      </c>
      <c r="B104" s="72" t="str">
        <v/>
      </c>
      <c r="C104" s="81"/>
      <c r="D104" s="82"/>
      <c r="E104" s="83"/>
      <c r="F104" s="84"/>
      <c r="G104" s="81"/>
      <c r="H104" s="85"/>
      <c r="I104" s="86" t="s">
        <v>123</v>
      </c>
      <c r="J104" s="85" t="str">
        <v/>
      </c>
      <c r="K104" s="89"/>
      <c r="L104" s="90"/>
      <c r="M104" s="90"/>
      <c r="N104" s="90"/>
    </row>
    <row r="105" spans="1:14" s="94" customFormat="1" ht="18.95" customHeight="1">
      <c r="A105" s="69" t="str">
        <v/>
      </c>
      <c r="B105" s="72" t="str">
        <v/>
      </c>
      <c r="C105" s="81"/>
      <c r="D105" s="82"/>
      <c r="E105" s="83"/>
      <c r="F105" s="84"/>
      <c r="G105" s="81"/>
      <c r="H105" s="85"/>
      <c r="I105" s="86" t="s">
        <v>124</v>
      </c>
      <c r="J105" s="85" t="str">
        <v/>
      </c>
      <c r="K105" s="92"/>
      <c r="L105" s="93"/>
      <c r="M105" s="93"/>
      <c r="N105" s="93"/>
    </row>
    <row r="106" spans="1:14" s="94" customFormat="1" ht="18.95" customHeight="1">
      <c r="A106" s="69" t="str">
        <v/>
      </c>
      <c r="B106" s="72" t="str">
        <v/>
      </c>
      <c r="C106" s="81"/>
      <c r="D106" s="82"/>
      <c r="E106" s="83"/>
      <c r="F106" s="84"/>
      <c r="G106" s="81"/>
      <c r="H106" s="85"/>
      <c r="I106" s="86" t="s">
        <v>125</v>
      </c>
      <c r="J106" s="85" t="str">
        <v/>
      </c>
      <c r="K106" s="92"/>
      <c r="L106" s="93"/>
      <c r="M106" s="93"/>
      <c r="N106" s="93"/>
    </row>
    <row r="107" spans="1:14" s="94" customFormat="1" ht="18.95" customHeight="1">
      <c r="A107" s="69" t="str">
        <v/>
      </c>
      <c r="B107" s="72" t="str">
        <v/>
      </c>
      <c r="C107" s="81"/>
      <c r="D107" s="82"/>
      <c r="E107" s="83"/>
      <c r="F107" s="84"/>
      <c r="G107" s="81"/>
      <c r="H107" s="85"/>
      <c r="I107" s="86" t="s">
        <v>126</v>
      </c>
      <c r="J107" s="85" t="str">
        <v/>
      </c>
      <c r="K107" s="92"/>
      <c r="L107" s="93"/>
      <c r="M107" s="93"/>
      <c r="N107" s="93"/>
    </row>
    <row r="108" spans="1:14" s="94" customFormat="1" ht="18.95" customHeight="1">
      <c r="A108" s="69" t="str">
        <v/>
      </c>
      <c r="B108" s="72" t="str">
        <v/>
      </c>
      <c r="C108" s="81"/>
      <c r="D108" s="82"/>
      <c r="E108" s="83"/>
      <c r="F108" s="84"/>
      <c r="G108" s="81"/>
      <c r="H108" s="85"/>
      <c r="I108" s="86" t="s">
        <v>127</v>
      </c>
      <c r="J108" s="85" t="str">
        <v/>
      </c>
      <c r="K108" s="92"/>
      <c r="L108" s="93"/>
      <c r="M108" s="93"/>
      <c r="N108" s="93"/>
    </row>
    <row r="109" spans="1:14" s="94" customFormat="1" ht="18.95" customHeight="1">
      <c r="A109" s="69" t="str">
        <v/>
      </c>
      <c r="B109" s="72" t="str">
        <v/>
      </c>
      <c r="C109" s="81"/>
      <c r="D109" s="82"/>
      <c r="E109" s="83"/>
      <c r="F109" s="84"/>
      <c r="G109" s="81"/>
      <c r="H109" s="85"/>
      <c r="I109" s="95" t="s">
        <v>128</v>
      </c>
      <c r="J109" s="85" t="str">
        <v/>
      </c>
      <c r="K109" s="92"/>
      <c r="L109" s="93"/>
      <c r="M109" s="93"/>
      <c r="N109" s="93"/>
    </row>
    <row r="110" spans="1:14" s="94" customFormat="1" ht="18.95" customHeight="1">
      <c r="A110" s="69" t="str">
        <v/>
      </c>
      <c r="B110" s="72" t="str">
        <v/>
      </c>
      <c r="C110" s="81"/>
      <c r="D110" s="82"/>
      <c r="E110" s="83"/>
      <c r="F110" s="84"/>
      <c r="G110" s="81"/>
      <c r="H110" s="85"/>
      <c r="I110" s="95" t="s">
        <v>129</v>
      </c>
      <c r="J110" s="85" t="str">
        <v/>
      </c>
      <c r="K110" s="92"/>
      <c r="L110" s="93"/>
      <c r="M110" s="93"/>
      <c r="N110" s="93"/>
    </row>
    <row r="111" spans="1:14" s="94" customFormat="1" ht="18.95" customHeight="1">
      <c r="A111" s="69" t="str">
        <v/>
      </c>
      <c r="B111" s="72" t="str">
        <v/>
      </c>
      <c r="C111" s="81"/>
      <c r="D111" s="82"/>
      <c r="E111" s="83"/>
      <c r="F111" s="84"/>
      <c r="G111" s="81"/>
      <c r="H111" s="85"/>
      <c r="I111" s="86" t="s">
        <v>130</v>
      </c>
      <c r="J111" s="87" t="str">
        <v/>
      </c>
      <c r="K111" s="92"/>
      <c r="L111" s="93"/>
      <c r="M111" s="93"/>
      <c r="N111" s="93"/>
    </row>
    <row r="112" spans="1:14" s="94" customFormat="1" ht="18.95" customHeight="1" thickBot="1">
      <c r="A112" s="70" t="str">
        <v/>
      </c>
      <c r="B112" s="73" t="str">
        <v/>
      </c>
      <c r="C112" s="96"/>
      <c r="D112" s="97"/>
      <c r="E112" s="98"/>
      <c r="F112" s="99"/>
      <c r="G112" s="100"/>
      <c r="H112" s="101"/>
      <c r="I112" s="102" t="s">
        <v>131</v>
      </c>
      <c r="J112" s="88" t="str">
        <v/>
      </c>
      <c r="K112" s="92"/>
      <c r="L112" s="93"/>
      <c r="M112" s="93"/>
      <c r="N112" s="93"/>
    </row>
    <row r="113" spans="1:10" ht="6" customHeight="1" thickBot="1">
      <c r="A113" s="103"/>
      <c r="B113" s="104"/>
      <c r="C113" s="104"/>
      <c r="D113" s="103"/>
      <c r="E113" s="104"/>
      <c r="F113" s="104"/>
      <c r="G113" s="104"/>
      <c r="H113" s="104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50" t="s">
        <v>0</v>
      </c>
      <c r="C115" s="120"/>
      <c r="D115" s="120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20"/>
      <c r="C116" s="120"/>
      <c r="D116" s="120"/>
      <c r="E116" s="12"/>
      <c r="F116" s="12"/>
      <c r="G116" s="12"/>
      <c r="H116" s="12"/>
      <c r="I116" s="12"/>
      <c r="J116" s="12"/>
    </row>
    <row r="117" spans="1:10" ht="14.25" customHeight="1">
      <c r="A117" s="133" t="s">
        <v>1</v>
      </c>
      <c r="B117" s="133" t="s">
        <v>74</v>
      </c>
      <c r="C117" s="133" t="s">
        <v>3</v>
      </c>
      <c r="D117" s="154">
        <v>888</v>
      </c>
      <c r="E117" s="133" t="s">
        <v>4</v>
      </c>
      <c r="F117" s="134" t="s">
        <v>75</v>
      </c>
      <c r="G117" s="120"/>
      <c r="H117" s="120"/>
      <c r="I117" s="24" t="s">
        <v>6</v>
      </c>
      <c r="J117" s="24" t="s">
        <v>7</v>
      </c>
    </row>
    <row r="118" spans="1:10" ht="14.25" customHeight="1">
      <c r="A118" s="120"/>
      <c r="B118" s="120"/>
      <c r="C118" s="120"/>
      <c r="D118" s="120"/>
      <c r="E118" s="120"/>
      <c r="F118" s="120"/>
      <c r="G118" s="120"/>
      <c r="H118" s="120"/>
      <c r="I118" s="124"/>
      <c r="J118" s="124"/>
    </row>
    <row r="119" spans="1:10" ht="17.45" customHeight="1">
      <c r="A119" s="126" t="s">
        <v>8</v>
      </c>
      <c r="B119" s="126" t="s">
        <v>76</v>
      </c>
      <c r="E119" s="126" t="s">
        <v>10</v>
      </c>
      <c r="F119" s="152" t="s">
        <v>77</v>
      </c>
      <c r="G119" s="120"/>
      <c r="H119" s="120"/>
      <c r="I119" s="125"/>
      <c r="J119" s="125"/>
    </row>
    <row r="120" spans="1:10" ht="17.45" customHeight="1">
      <c r="A120" s="120"/>
      <c r="B120" s="120"/>
      <c r="E120" s="120"/>
      <c r="F120" s="120"/>
      <c r="G120" s="120"/>
      <c r="H120" s="120"/>
      <c r="I120" s="13"/>
      <c r="J120" s="13"/>
    </row>
    <row r="121" spans="1:10" ht="17.45" customHeight="1">
      <c r="A121" s="126" t="s">
        <v>12</v>
      </c>
      <c r="B121" s="126" t="s">
        <v>78</v>
      </c>
      <c r="E121" s="2" t="s">
        <v>14</v>
      </c>
      <c r="F121" s="152" t="s">
        <v>15</v>
      </c>
      <c r="G121" s="120"/>
      <c r="H121" s="21"/>
      <c r="I121" s="13"/>
      <c r="J121" s="13"/>
    </row>
    <row r="122" spans="1:10" ht="17.45" customHeight="1">
      <c r="A122" s="120"/>
      <c r="B122" s="120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46111</v>
      </c>
      <c r="E123" s="2" t="s">
        <v>19</v>
      </c>
      <c r="F123" s="137">
        <v>100</v>
      </c>
      <c r="G123" s="120"/>
      <c r="H123" s="21"/>
    </row>
    <row r="124" spans="1:10" ht="17.45" customHeight="1">
      <c r="A124" s="2" t="s">
        <v>20</v>
      </c>
      <c r="B124" s="4">
        <v>46111</v>
      </c>
      <c r="E124" s="2" t="s">
        <v>21</v>
      </c>
      <c r="F124" s="21">
        <v>20</v>
      </c>
      <c r="G124" s="155" t="s">
        <v>22</v>
      </c>
      <c r="H124" s="142">
        <v>2000</v>
      </c>
      <c r="I124" s="143"/>
      <c r="J124" s="144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45"/>
      <c r="H125" s="145"/>
      <c r="I125" s="140"/>
      <c r="J125" s="141"/>
    </row>
    <row r="126" spans="1:10" ht="13.5" customHeight="1">
      <c r="A126" s="151" t="s">
        <v>79</v>
      </c>
      <c r="B126" s="120"/>
      <c r="C126" s="120"/>
      <c r="D126" s="20"/>
      <c r="F126" s="3"/>
      <c r="G126" s="149" t="s">
        <v>26</v>
      </c>
      <c r="H126" s="135" t="s">
        <v>27</v>
      </c>
      <c r="I126" s="138" t="s">
        <v>28</v>
      </c>
      <c r="J126" s="139"/>
    </row>
    <row r="127" spans="1:10" ht="13.5" customHeight="1">
      <c r="A127" s="120"/>
      <c r="B127" s="120"/>
      <c r="C127" s="120"/>
      <c r="D127" s="20"/>
      <c r="F127" s="3"/>
      <c r="G127" s="136"/>
      <c r="H127" s="136"/>
      <c r="I127" s="140"/>
      <c r="J127" s="141"/>
    </row>
    <row r="128" spans="1:10" ht="13.5" customHeight="1">
      <c r="A128" s="1" t="s">
        <v>29</v>
      </c>
    </row>
    <row r="129" spans="1:10" ht="63" customHeight="1">
      <c r="A129" s="128"/>
      <c r="B129" s="129"/>
      <c r="C129" s="129"/>
      <c r="D129" s="129"/>
      <c r="E129" s="129"/>
      <c r="F129" s="129"/>
      <c r="G129" s="129"/>
      <c r="H129" s="129"/>
      <c r="I129" s="129"/>
      <c r="J129" s="129"/>
    </row>
    <row r="130" spans="1:10" ht="18.75">
      <c r="A130" s="23" t="s">
        <v>30</v>
      </c>
      <c r="B130" s="16" t="s">
        <v>31</v>
      </c>
      <c r="C130" s="122" t="s">
        <v>32</v>
      </c>
      <c r="D130" s="123"/>
      <c r="E130" s="16" t="s">
        <v>33</v>
      </c>
      <c r="F130" s="122" t="s">
        <v>34</v>
      </c>
      <c r="G130" s="123"/>
      <c r="H130" s="123"/>
      <c r="I130" s="153" t="s">
        <v>35</v>
      </c>
      <c r="J130" s="123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19" t="s">
        <v>37</v>
      </c>
      <c r="D132" s="120"/>
      <c r="E132" s="25" t="s">
        <v>38</v>
      </c>
      <c r="F132" s="119" t="s">
        <v>39</v>
      </c>
      <c r="G132" s="120"/>
      <c r="H132" s="120"/>
      <c r="I132" s="127"/>
      <c r="J132" s="120"/>
    </row>
    <row r="133" spans="1:10" ht="16.5" customHeight="1">
      <c r="A133" s="22">
        <v>1</v>
      </c>
      <c r="B133" s="26" t="s">
        <v>36</v>
      </c>
      <c r="C133" s="119" t="s">
        <v>37</v>
      </c>
      <c r="D133" s="120"/>
      <c r="E133" s="25" t="s">
        <v>40</v>
      </c>
      <c r="F133" s="119" t="s">
        <v>41</v>
      </c>
      <c r="G133" s="120"/>
      <c r="H133" s="120"/>
      <c r="I133" s="127"/>
      <c r="J133" s="120"/>
    </row>
    <row r="134" spans="1:10" ht="16.5" customHeight="1">
      <c r="A134" s="22"/>
      <c r="B134" s="26"/>
      <c r="C134" s="119"/>
      <c r="D134" s="120"/>
      <c r="E134" s="25"/>
      <c r="F134" s="119"/>
      <c r="G134" s="120"/>
      <c r="H134" s="120"/>
      <c r="I134" s="127"/>
      <c r="J134" s="120"/>
    </row>
    <row r="135" spans="1:10" ht="16.5" customHeight="1">
      <c r="A135" s="22"/>
      <c r="B135" s="26"/>
      <c r="C135" s="119"/>
      <c r="D135" s="120"/>
      <c r="E135" s="25"/>
      <c r="F135" s="119"/>
      <c r="G135" s="120"/>
      <c r="H135" s="120"/>
      <c r="I135" s="127"/>
      <c r="J135" s="120"/>
    </row>
    <row r="136" spans="1:10" ht="16.5" customHeight="1">
      <c r="A136" s="22"/>
      <c r="B136" s="26"/>
      <c r="C136" s="119"/>
      <c r="D136" s="120"/>
      <c r="E136" s="25"/>
      <c r="F136" s="119"/>
      <c r="G136" s="120"/>
      <c r="H136" s="120"/>
      <c r="I136" s="127"/>
      <c r="J136" s="120"/>
    </row>
    <row r="137" spans="1:10" ht="16.5" customHeight="1">
      <c r="A137" s="22"/>
      <c r="B137" s="26"/>
      <c r="C137" s="119"/>
      <c r="D137" s="120"/>
      <c r="E137" s="25"/>
      <c r="F137" s="119"/>
      <c r="G137" s="120"/>
      <c r="H137" s="120"/>
      <c r="I137" s="127"/>
      <c r="J137" s="120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30" t="s">
        <v>42</v>
      </c>
      <c r="B139" s="131"/>
      <c r="C139" s="130" t="s">
        <v>43</v>
      </c>
      <c r="D139" s="131"/>
      <c r="E139" s="131"/>
      <c r="F139" s="17" t="s">
        <v>44</v>
      </c>
      <c r="G139" s="130" t="s">
        <v>45</v>
      </c>
      <c r="H139" s="131"/>
      <c r="I139" s="130" t="s">
        <v>46</v>
      </c>
      <c r="J139" s="131"/>
    </row>
    <row r="140" spans="1:10" ht="14.25" customHeight="1">
      <c r="A140" s="8"/>
      <c r="B140" s="18"/>
      <c r="C140" s="146" t="s">
        <v>47</v>
      </c>
      <c r="D140" s="140"/>
      <c r="E140" s="18"/>
      <c r="F140" s="146" t="s">
        <v>29</v>
      </c>
      <c r="G140" s="140"/>
      <c r="H140" s="140"/>
      <c r="I140" s="140"/>
      <c r="J140" s="140"/>
    </row>
    <row r="141" spans="1:10">
      <c r="A141" s="9"/>
      <c r="C141" s="7"/>
      <c r="D141" s="7"/>
      <c r="E141" s="7"/>
    </row>
    <row r="142" spans="1:10" ht="14.25" customHeight="1">
      <c r="A142" s="119" t="s">
        <v>48</v>
      </c>
      <c r="B142" s="120"/>
      <c r="C142" s="119" t="s">
        <v>49</v>
      </c>
      <c r="D142" s="120"/>
      <c r="E142" s="120"/>
      <c r="F142" s="27" t="s">
        <v>27</v>
      </c>
      <c r="G142" s="121">
        <v>1000</v>
      </c>
      <c r="H142" s="120"/>
      <c r="I142" s="121">
        <v>10</v>
      </c>
      <c r="J142" s="120"/>
    </row>
    <row r="143" spans="1:10" ht="24.95" customHeight="1">
      <c r="A143" s="132" t="s">
        <v>50</v>
      </c>
      <c r="B143" s="120"/>
      <c r="C143" s="119"/>
      <c r="D143" s="120"/>
      <c r="E143" s="120"/>
      <c r="F143" s="119"/>
      <c r="G143" s="120"/>
      <c r="H143" s="120"/>
      <c r="I143" s="120"/>
      <c r="J143" s="120"/>
    </row>
    <row r="144" spans="1:10" ht="14.25" customHeight="1">
      <c r="A144" s="119" t="s">
        <v>70</v>
      </c>
      <c r="B144" s="120"/>
      <c r="C144" s="119" t="s">
        <v>71</v>
      </c>
      <c r="D144" s="120"/>
      <c r="E144" s="120"/>
      <c r="F144" s="27" t="s">
        <v>36</v>
      </c>
      <c r="G144" s="121">
        <v>20</v>
      </c>
      <c r="H144" s="120"/>
      <c r="I144" s="121">
        <v>0.2</v>
      </c>
      <c r="J144" s="120"/>
    </row>
    <row r="145" spans="1:11" ht="24.95" customHeight="1">
      <c r="A145" s="132" t="s">
        <v>72</v>
      </c>
      <c r="B145" s="120"/>
      <c r="C145" s="119" t="s">
        <v>73</v>
      </c>
      <c r="D145" s="120"/>
      <c r="E145" s="120"/>
      <c r="F145" s="119"/>
      <c r="G145" s="120"/>
      <c r="H145" s="120"/>
      <c r="I145" s="120"/>
      <c r="J145" s="120"/>
    </row>
    <row r="146" spans="1:11" ht="14.25" customHeight="1">
      <c r="A146" s="119" t="s">
        <v>80</v>
      </c>
      <c r="B146" s="120"/>
      <c r="C146" s="119" t="s">
        <v>57</v>
      </c>
      <c r="D146" s="120"/>
      <c r="E146" s="120"/>
      <c r="F146" s="27"/>
      <c r="G146" s="121">
        <v>220</v>
      </c>
      <c r="H146" s="120"/>
      <c r="I146" s="121">
        <v>2.2000000000000002</v>
      </c>
      <c r="J146" s="120"/>
    </row>
    <row r="147" spans="1:11" ht="24.95" customHeight="1">
      <c r="A147" s="132" t="s">
        <v>81</v>
      </c>
      <c r="B147" s="120"/>
      <c r="C147" s="119" t="s">
        <v>82</v>
      </c>
      <c r="D147" s="120"/>
      <c r="E147" s="120"/>
      <c r="F147" s="119"/>
      <c r="G147" s="120"/>
      <c r="H147" s="120"/>
      <c r="I147" s="120"/>
      <c r="J147" s="120"/>
    </row>
    <row r="148" spans="1:11" ht="14.25" customHeight="1">
      <c r="A148" s="119" t="s">
        <v>60</v>
      </c>
      <c r="B148" s="120"/>
      <c r="C148" s="119" t="s">
        <v>61</v>
      </c>
      <c r="D148" s="120"/>
      <c r="E148" s="120"/>
      <c r="F148" s="27"/>
      <c r="G148" s="121">
        <v>2</v>
      </c>
      <c r="H148" s="120"/>
      <c r="I148" s="121">
        <v>0.02</v>
      </c>
      <c r="J148" s="120"/>
    </row>
    <row r="149" spans="1:11" ht="24.95" customHeight="1">
      <c r="A149" s="132" t="s">
        <v>62</v>
      </c>
      <c r="B149" s="120"/>
      <c r="C149" s="119" t="s">
        <v>63</v>
      </c>
      <c r="D149" s="120"/>
      <c r="E149" s="120"/>
      <c r="F149" s="119"/>
      <c r="G149" s="120"/>
      <c r="H149" s="120"/>
      <c r="I149" s="120"/>
      <c r="J149" s="120"/>
    </row>
    <row r="150" spans="1:11" ht="14.25" customHeight="1">
      <c r="A150" s="119"/>
      <c r="B150" s="120"/>
      <c r="C150" s="119"/>
      <c r="D150" s="120"/>
      <c r="E150" s="120"/>
      <c r="F150" s="27"/>
      <c r="G150" s="121"/>
      <c r="H150" s="120"/>
      <c r="I150" s="121"/>
      <c r="J150" s="120"/>
    </row>
    <row r="151" spans="1:11" ht="24.95" customHeight="1" thickBot="1">
      <c r="A151" s="132"/>
      <c r="B151" s="120"/>
      <c r="C151" s="119"/>
      <c r="D151" s="120"/>
      <c r="E151" s="120"/>
      <c r="F151" s="119"/>
      <c r="G151" s="120"/>
      <c r="H151" s="120"/>
      <c r="I151" s="120"/>
      <c r="J151" s="120"/>
    </row>
    <row r="152" spans="1:11" s="5" customFormat="1" ht="18" customHeight="1">
      <c r="A152" s="28" t="s">
        <v>95</v>
      </c>
      <c r="B152" s="29" t="s">
        <v>96</v>
      </c>
      <c r="C152" s="107" t="s">
        <v>97</v>
      </c>
      <c r="D152" s="108"/>
      <c r="E152" s="30" t="s">
        <v>98</v>
      </c>
      <c r="F152" s="31" t="s">
        <v>99</v>
      </c>
      <c r="G152" s="32" t="s">
        <v>100</v>
      </c>
      <c r="H152" s="33" t="s">
        <v>101</v>
      </c>
      <c r="I152" s="117" t="s">
        <v>102</v>
      </c>
      <c r="J152" s="118"/>
    </row>
    <row r="153" spans="1:11" s="7" customFormat="1" ht="18" customHeight="1">
      <c r="A153" s="34" t="str">
        <f>_xlfn.XLOOKUP(B117,[3]VFDB2!$A:$A,[3]VFDB2!$J:$J)</f>
        <v>〇</v>
      </c>
      <c r="B153" s="35">
        <f>D117</f>
        <v>888</v>
      </c>
      <c r="C153" s="109" t="str">
        <f>_xlfn.XLOOKUP(B117,[3]VFDB2!$A:$A,[3]VFDB2!$Z:$Z)</f>
        <v>LED-A888</v>
      </c>
      <c r="D153" s="110"/>
      <c r="E153" s="111" t="str" cm="1">
        <f t="array" ref="E153">IFERROR(INDEX(_xlfn._xlws.FILTER([4]加工記録２!C:C,[4]加工記録２!U:U=B119),9),"")</f>
        <v/>
      </c>
      <c r="F153" s="36" t="str" cm="1">
        <f t="array" ref="F153">IFERROR("切断加工：" &amp;_xlfn.TEXTJOIN(" / ",TRUE,INDEX(_xlfn._xlws.FILTER([4]加工記録２!M:M,[4]加工記録２!U:U=B119),9),INDEX(_xlfn._xlws.FILTER([4]加工記録２!N:N,[4]加工記録２!U:U=B119),9)),"")</f>
        <v/>
      </c>
      <c r="G153" s="37" t="str" cm="1">
        <f t="array" ref="G153">IFERROR(IF(_xlfn.TAKE(_xlfn._xlws.FILTER([4]加工記録２!$M:$N,[4]加工記録２!$U:$U=B119),5)=0,"",_xlfn.TAKE(_xlfn._xlws.FILTER([4]加工記録２!$M:$N,[4]加工記録２!$U:$U=B119),5)),"")</f>
        <v/>
      </c>
      <c r="H153" s="38"/>
      <c r="I153" s="39" t="s">
        <v>103</v>
      </c>
      <c r="J153" s="40" t="str" cm="1">
        <f t="array" ref="J153:J158">IFERROR(INDEX(_xlfn._xlws.FILTER([4]加工記録２!P:P, [4]加工記録２!U:U=B119),_xlfn.SEQUENCE(6)),"")</f>
        <v/>
      </c>
    </row>
    <row r="154" spans="1:11" s="5" customFormat="1" ht="18" customHeight="1">
      <c r="A154" s="44" t="s">
        <v>104</v>
      </c>
      <c r="B154" s="45" t="s">
        <v>105</v>
      </c>
      <c r="C154" s="109"/>
      <c r="D154" s="110"/>
      <c r="E154" s="111"/>
      <c r="F154" s="46" t="str" cm="1">
        <f t="array" ref="F154">IFERROR("外観検査：" &amp;_xlfn.TEXTJOIN(" / ",TRUE,INDEX(_xlfn._xlws.FILTER([4]加工記録２!M:M,[4]加工記録２!U:U=B119),10),INDEX(_xlfn._xlws.FILTER([4]加工記録２!N:N,[4]加工記録２!U:U=B119),10)),"")</f>
        <v/>
      </c>
      <c r="G154" s="37"/>
      <c r="H154" s="38"/>
      <c r="I154" s="39" t="s">
        <v>106</v>
      </c>
      <c r="J154" s="41" t="str">
        <v/>
      </c>
      <c r="K154" s="47"/>
    </row>
    <row r="155" spans="1:11" s="7" customFormat="1" ht="18" customHeight="1">
      <c r="A155" s="48" t="str">
        <f>_xlfn.XLOOKUP(B117,[3]VFDB2!$A:$A,[3]VFDB2!$L:$L)</f>
        <v>+0.5</v>
      </c>
      <c r="B155" s="49" t="str">
        <f>_xlfn.XLOOKUP(B117,[3]VFDB2!$A:$A,[3]VFDB2!$AC:$AC)</f>
        <v>換算表確認</v>
      </c>
      <c r="C155" s="112" t="s">
        <v>107</v>
      </c>
      <c r="D155" s="113" t="str">
        <f>_xlfn.XLOOKUP(B117,[3]VFDB2!$A:$A,[3]VFDB2!$W:$W)</f>
        <v>L=888用　クラフト紙</v>
      </c>
      <c r="E155" s="113"/>
      <c r="F155" s="114"/>
      <c r="G155" s="37"/>
      <c r="H155" s="38"/>
      <c r="I155" s="39" t="s">
        <v>108</v>
      </c>
      <c r="J155" s="41" t="str">
        <v/>
      </c>
      <c r="K155" s="50"/>
    </row>
    <row r="156" spans="1:11" s="5" customFormat="1" ht="18" customHeight="1">
      <c r="A156" s="51" t="s">
        <v>109</v>
      </c>
      <c r="B156" s="52" t="s">
        <v>110</v>
      </c>
      <c r="C156" s="112"/>
      <c r="D156" s="113" t="str">
        <f>_xlfn.XLOOKUP(B117,[3]VFDB2!$A:$A,[3]VFDB2!$R:$R)</f>
        <v>ラベル１枚　長手無　鉢巻１回</v>
      </c>
      <c r="E156" s="113"/>
      <c r="F156" s="114"/>
      <c r="G156" s="37"/>
      <c r="H156" s="38"/>
      <c r="I156" s="39" t="s">
        <v>111</v>
      </c>
      <c r="J156" s="41" t="str">
        <v/>
      </c>
      <c r="K156" s="47"/>
    </row>
    <row r="157" spans="1:11" s="7" customFormat="1" ht="18" customHeight="1" thickBot="1">
      <c r="A157" s="53" t="str">
        <f>_xlfn.XLOOKUP(B117,[3]VFDB2!$A:$A,[3]VFDB2!$K:$K)</f>
        <v>－0.5</v>
      </c>
      <c r="B157" s="54">
        <f>_xlfn.XLOOKUP(B117,[3]VFDB2!$A:$A,[3]VFDB2!$P:$P)</f>
        <v>2</v>
      </c>
      <c r="C157" s="55" t="s">
        <v>112</v>
      </c>
      <c r="D157" s="115" t="str">
        <f>_xlfn.XLOOKUP(B117,[3]VFDB2!$A:$A,[3]VFDB2!$V:$V)</f>
        <v>1箱目の梱包数 目視確認　以降、重量測定</v>
      </c>
      <c r="E157" s="115"/>
      <c r="F157" s="116"/>
      <c r="G157" s="56"/>
      <c r="H157" s="57"/>
      <c r="I157" s="39" t="s">
        <v>113</v>
      </c>
      <c r="J157" s="42" t="str">
        <v/>
      </c>
      <c r="K157" s="50"/>
    </row>
    <row r="158" spans="1:11" s="5" customFormat="1" ht="18" customHeight="1" thickBot="1">
      <c r="A158" s="58" t="s">
        <v>114</v>
      </c>
      <c r="B158" s="59" t="str" cm="1">
        <f t="array" ref="B158">IF(SUM(--(ISTEXT(B159:B169)*(B159:B169&lt;&gt;"")))=0,"計測Lot","計測Lot・加工数")</f>
        <v>計測Lot</v>
      </c>
      <c r="C158" s="60" t="s">
        <v>115</v>
      </c>
      <c r="D158" s="61" t="s">
        <v>116</v>
      </c>
      <c r="E158" s="62" t="s">
        <v>117</v>
      </c>
      <c r="F158" s="63" t="str" cm="1">
        <f t="array" ref="F158">IF(SUM(--(ISTEXT(B159:B169)*(B159:B169&lt;&gt;"")))=0,"記入不要","使用Lot")</f>
        <v>記入不要</v>
      </c>
      <c r="G158" s="64" t="s">
        <v>118</v>
      </c>
      <c r="H158" s="65" t="s">
        <v>119</v>
      </c>
      <c r="I158" s="66" t="s">
        <v>120</v>
      </c>
      <c r="J158" s="43" t="str">
        <v/>
      </c>
      <c r="K158" s="47"/>
    </row>
    <row r="159" spans="1:11" s="7" customFormat="1" ht="18" customHeight="1">
      <c r="A159" s="67" t="str" cm="1">
        <f t="array" ref="A159:A169">IFERROR(INDEX(_xlfn._xlws.FILTER([4]加工記録２!$D:$D,[4]加工記録２!$U:$U=B119),_xlfn.SEQUENCE(11),0),"")</f>
        <v/>
      </c>
      <c r="B159" s="71" t="str" cm="1">
        <f t="array" ref="B159:B169">IFERROR(IF(INDEX(_xlfn._xlws.FILTER([4]加工記録２!$E:$E,[4]加工記録２!$U:$U=B119),_xlfn.SEQUENCE(11))="","",INDEX(_xlfn._xlws.FILTER([4]加工記録２!$E:$E,[4]加工記録２!$U:$U=B119),_xlfn.SEQUENCE(11)) &amp; IF(INDEX(_xlfn._xlws.FILTER([4]加工記録２!$F:$F,[4]加工記録２!$U:$U=B119),_xlfn.SEQUENCE(11))="","", " × " &amp; INDEX(_xlfn._xlws.FILTER([4]加工記録２!$F:$F,[4]加工記録２!$U:$U=B119),_xlfn.SEQUENCE(11)))),"")</f>
        <v/>
      </c>
      <c r="C159" s="74"/>
      <c r="D159" s="75"/>
      <c r="E159" s="76"/>
      <c r="F159" s="77"/>
      <c r="G159" s="78"/>
      <c r="H159" s="79"/>
      <c r="I159" s="105" t="s">
        <v>121</v>
      </c>
      <c r="J159" s="106"/>
      <c r="K159" s="80"/>
    </row>
    <row r="160" spans="1:11" s="5" customFormat="1" ht="18" customHeight="1">
      <c r="A160" s="68" t="str">
        <v/>
      </c>
      <c r="B160" s="72" t="str">
        <v/>
      </c>
      <c r="C160" s="81"/>
      <c r="D160" s="82"/>
      <c r="E160" s="83"/>
      <c r="F160" s="84"/>
      <c r="G160" s="81"/>
      <c r="H160" s="85"/>
      <c r="I160" s="86" t="s">
        <v>122</v>
      </c>
      <c r="J160" s="85" t="str" cm="1">
        <f t="array" ref="J160:J169">IFERROR(INDEX(_xlfn._xlws.FILTER([4]加工記録２!R:R, [4]加工記録２!U:U=B119),_xlfn.SEQUENCE(10)),"")</f>
        <v/>
      </c>
      <c r="K160" s="80"/>
    </row>
    <row r="161" spans="1:14" s="91" customFormat="1" ht="18.95" customHeight="1">
      <c r="A161" s="69" t="str">
        <v/>
      </c>
      <c r="B161" s="72" t="str">
        <v/>
      </c>
      <c r="C161" s="81"/>
      <c r="D161" s="82"/>
      <c r="E161" s="83"/>
      <c r="F161" s="84"/>
      <c r="G161" s="81"/>
      <c r="H161" s="85"/>
      <c r="I161" s="86" t="s">
        <v>123</v>
      </c>
      <c r="J161" s="85" t="str">
        <v/>
      </c>
      <c r="K161" s="89"/>
      <c r="L161" s="90"/>
      <c r="M161" s="90"/>
      <c r="N161" s="90"/>
    </row>
    <row r="162" spans="1:14" s="94" customFormat="1" ht="18.95" customHeight="1">
      <c r="A162" s="69" t="str">
        <v/>
      </c>
      <c r="B162" s="72" t="str">
        <v/>
      </c>
      <c r="C162" s="81"/>
      <c r="D162" s="82"/>
      <c r="E162" s="83"/>
      <c r="F162" s="84"/>
      <c r="G162" s="81"/>
      <c r="H162" s="85"/>
      <c r="I162" s="86" t="s">
        <v>124</v>
      </c>
      <c r="J162" s="85" t="str">
        <v/>
      </c>
      <c r="K162" s="92"/>
      <c r="L162" s="93"/>
      <c r="M162" s="93"/>
      <c r="N162" s="93"/>
    </row>
    <row r="163" spans="1:14" s="94" customFormat="1" ht="18.95" customHeight="1">
      <c r="A163" s="69" t="str">
        <v/>
      </c>
      <c r="B163" s="72" t="str">
        <v/>
      </c>
      <c r="C163" s="81"/>
      <c r="D163" s="82"/>
      <c r="E163" s="83"/>
      <c r="F163" s="84"/>
      <c r="G163" s="81"/>
      <c r="H163" s="85"/>
      <c r="I163" s="86" t="s">
        <v>125</v>
      </c>
      <c r="J163" s="85" t="str">
        <v/>
      </c>
      <c r="K163" s="92"/>
      <c r="L163" s="93"/>
      <c r="M163" s="93"/>
      <c r="N163" s="93"/>
    </row>
    <row r="164" spans="1:14" s="94" customFormat="1" ht="18.95" customHeight="1">
      <c r="A164" s="69" t="str">
        <v/>
      </c>
      <c r="B164" s="72" t="str">
        <v/>
      </c>
      <c r="C164" s="81"/>
      <c r="D164" s="82"/>
      <c r="E164" s="83"/>
      <c r="F164" s="84"/>
      <c r="G164" s="81"/>
      <c r="H164" s="85"/>
      <c r="I164" s="86" t="s">
        <v>126</v>
      </c>
      <c r="J164" s="85" t="str">
        <v/>
      </c>
      <c r="K164" s="92"/>
      <c r="L164" s="93"/>
      <c r="M164" s="93"/>
      <c r="N164" s="93"/>
    </row>
    <row r="165" spans="1:14" s="94" customFormat="1" ht="18.95" customHeight="1">
      <c r="A165" s="69" t="str">
        <v/>
      </c>
      <c r="B165" s="72" t="str">
        <v/>
      </c>
      <c r="C165" s="81"/>
      <c r="D165" s="82"/>
      <c r="E165" s="83"/>
      <c r="F165" s="84"/>
      <c r="G165" s="81"/>
      <c r="H165" s="85"/>
      <c r="I165" s="86" t="s">
        <v>127</v>
      </c>
      <c r="J165" s="85" t="str">
        <v/>
      </c>
      <c r="K165" s="92"/>
      <c r="L165" s="93"/>
      <c r="M165" s="93"/>
      <c r="N165" s="93"/>
    </row>
    <row r="166" spans="1:14" s="94" customFormat="1" ht="18.95" customHeight="1">
      <c r="A166" s="69" t="str">
        <v/>
      </c>
      <c r="B166" s="72" t="str">
        <v/>
      </c>
      <c r="C166" s="81"/>
      <c r="D166" s="82"/>
      <c r="E166" s="83"/>
      <c r="F166" s="84"/>
      <c r="G166" s="81"/>
      <c r="H166" s="85"/>
      <c r="I166" s="95" t="s">
        <v>128</v>
      </c>
      <c r="J166" s="85" t="str">
        <v/>
      </c>
      <c r="K166" s="92"/>
      <c r="L166" s="93"/>
      <c r="M166" s="93"/>
      <c r="N166" s="93"/>
    </row>
    <row r="167" spans="1:14" s="94" customFormat="1" ht="18.95" customHeight="1">
      <c r="A167" s="69" t="str">
        <v/>
      </c>
      <c r="B167" s="72" t="str">
        <v/>
      </c>
      <c r="C167" s="81"/>
      <c r="D167" s="82"/>
      <c r="E167" s="83"/>
      <c r="F167" s="84"/>
      <c r="G167" s="81"/>
      <c r="H167" s="85"/>
      <c r="I167" s="95" t="s">
        <v>129</v>
      </c>
      <c r="J167" s="85" t="str">
        <v/>
      </c>
      <c r="K167" s="92"/>
      <c r="L167" s="93"/>
      <c r="M167" s="93"/>
      <c r="N167" s="93"/>
    </row>
    <row r="168" spans="1:14" s="94" customFormat="1" ht="18.95" customHeight="1">
      <c r="A168" s="69" t="str">
        <v/>
      </c>
      <c r="B168" s="72" t="str">
        <v/>
      </c>
      <c r="C168" s="81"/>
      <c r="D168" s="82"/>
      <c r="E168" s="83"/>
      <c r="F168" s="84"/>
      <c r="G168" s="81"/>
      <c r="H168" s="85"/>
      <c r="I168" s="86" t="s">
        <v>130</v>
      </c>
      <c r="J168" s="87" t="str">
        <v/>
      </c>
      <c r="K168" s="92"/>
      <c r="L168" s="93"/>
      <c r="M168" s="93"/>
      <c r="N168" s="93"/>
    </row>
    <row r="169" spans="1:14" s="94" customFormat="1" ht="18.95" customHeight="1" thickBot="1">
      <c r="A169" s="70" t="str">
        <v/>
      </c>
      <c r="B169" s="73" t="str">
        <v/>
      </c>
      <c r="C169" s="96"/>
      <c r="D169" s="97"/>
      <c r="E169" s="98"/>
      <c r="F169" s="99"/>
      <c r="G169" s="100"/>
      <c r="H169" s="101"/>
      <c r="I169" s="102" t="s">
        <v>131</v>
      </c>
      <c r="J169" s="88" t="str">
        <v/>
      </c>
      <c r="K169" s="92"/>
      <c r="L169" s="93"/>
      <c r="M169" s="93"/>
      <c r="N169" s="93"/>
    </row>
    <row r="170" spans="1:14" ht="6" customHeight="1" thickBot="1">
      <c r="A170" s="103"/>
      <c r="B170" s="104"/>
      <c r="C170" s="104"/>
      <c r="D170" s="103"/>
      <c r="E170" s="104"/>
      <c r="F170" s="104"/>
      <c r="G170" s="104"/>
      <c r="H170" s="104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50" t="s">
        <v>0</v>
      </c>
      <c r="C172" s="120"/>
      <c r="D172" s="120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20"/>
      <c r="C173" s="120"/>
      <c r="D173" s="120"/>
      <c r="E173" s="12"/>
      <c r="F173" s="12"/>
      <c r="G173" s="12"/>
      <c r="H173" s="12"/>
      <c r="I173" s="12"/>
      <c r="J173" s="12"/>
    </row>
    <row r="174" spans="1:14" ht="14.25" customHeight="1">
      <c r="A174" s="133" t="s">
        <v>1</v>
      </c>
      <c r="B174" s="133" t="s">
        <v>74</v>
      </c>
      <c r="C174" s="133" t="s">
        <v>3</v>
      </c>
      <c r="D174" s="154">
        <v>888</v>
      </c>
      <c r="E174" s="133" t="s">
        <v>4</v>
      </c>
      <c r="F174" s="134" t="s">
        <v>75</v>
      </c>
      <c r="G174" s="120"/>
      <c r="H174" s="120"/>
      <c r="I174" s="24" t="s">
        <v>6</v>
      </c>
      <c r="J174" s="24" t="s">
        <v>7</v>
      </c>
    </row>
    <row r="175" spans="1:14" ht="14.25" customHeight="1">
      <c r="A175" s="120"/>
      <c r="B175" s="120"/>
      <c r="C175" s="120"/>
      <c r="D175" s="120"/>
      <c r="E175" s="120"/>
      <c r="F175" s="120"/>
      <c r="G175" s="120"/>
      <c r="H175" s="120"/>
      <c r="I175" s="124"/>
      <c r="J175" s="124"/>
    </row>
    <row r="176" spans="1:14" ht="17.45" customHeight="1">
      <c r="A176" s="126" t="s">
        <v>8</v>
      </c>
      <c r="B176" s="126" t="s">
        <v>83</v>
      </c>
      <c r="E176" s="126" t="s">
        <v>10</v>
      </c>
      <c r="F176" s="152" t="s">
        <v>77</v>
      </c>
      <c r="G176" s="120"/>
      <c r="H176" s="120"/>
      <c r="I176" s="125"/>
      <c r="J176" s="125"/>
    </row>
    <row r="177" spans="1:10" ht="17.45" customHeight="1">
      <c r="A177" s="120"/>
      <c r="B177" s="120"/>
      <c r="E177" s="120"/>
      <c r="F177" s="120"/>
      <c r="G177" s="120"/>
      <c r="H177" s="120"/>
      <c r="I177" s="13"/>
      <c r="J177" s="13"/>
    </row>
    <row r="178" spans="1:10" ht="17.45" customHeight="1">
      <c r="A178" s="126" t="s">
        <v>12</v>
      </c>
      <c r="B178" s="126" t="s">
        <v>84</v>
      </c>
      <c r="E178" s="2" t="s">
        <v>14</v>
      </c>
      <c r="F178" s="152" t="s">
        <v>15</v>
      </c>
      <c r="G178" s="120"/>
      <c r="H178" s="21"/>
      <c r="I178" s="13"/>
      <c r="J178" s="13"/>
    </row>
    <row r="179" spans="1:10" ht="17.45" customHeight="1">
      <c r="A179" s="120"/>
      <c r="B179" s="120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46113</v>
      </c>
      <c r="E180" s="2" t="s">
        <v>19</v>
      </c>
      <c r="F180" s="137">
        <v>100</v>
      </c>
      <c r="G180" s="120"/>
      <c r="H180" s="21"/>
    </row>
    <row r="181" spans="1:10" ht="17.45" customHeight="1">
      <c r="A181" s="2" t="s">
        <v>20</v>
      </c>
      <c r="B181" s="4">
        <v>46113</v>
      </c>
      <c r="E181" s="2" t="s">
        <v>21</v>
      </c>
      <c r="F181" s="21">
        <v>3</v>
      </c>
      <c r="G181" s="155" t="s">
        <v>22</v>
      </c>
      <c r="H181" s="142">
        <v>300</v>
      </c>
      <c r="I181" s="143"/>
      <c r="J181" s="144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45"/>
      <c r="H182" s="145"/>
      <c r="I182" s="140"/>
      <c r="J182" s="141"/>
    </row>
    <row r="183" spans="1:10" ht="13.5" customHeight="1">
      <c r="A183" s="151" t="s">
        <v>79</v>
      </c>
      <c r="B183" s="120"/>
      <c r="C183" s="120"/>
      <c r="D183" s="20"/>
      <c r="F183" s="3"/>
      <c r="G183" s="149" t="s">
        <v>26</v>
      </c>
      <c r="H183" s="135" t="s">
        <v>27</v>
      </c>
      <c r="I183" s="138" t="s">
        <v>28</v>
      </c>
      <c r="J183" s="139"/>
    </row>
    <row r="184" spans="1:10" ht="13.5" customHeight="1">
      <c r="A184" s="120"/>
      <c r="B184" s="120"/>
      <c r="C184" s="120"/>
      <c r="D184" s="20"/>
      <c r="F184" s="3"/>
      <c r="G184" s="136"/>
      <c r="H184" s="136"/>
      <c r="I184" s="140"/>
      <c r="J184" s="141"/>
    </row>
    <row r="185" spans="1:10" ht="13.5" customHeight="1">
      <c r="A185" s="1" t="s">
        <v>29</v>
      </c>
    </row>
    <row r="186" spans="1:10" ht="63" customHeight="1">
      <c r="A186" s="128"/>
      <c r="B186" s="129"/>
      <c r="C186" s="129"/>
      <c r="D186" s="129"/>
      <c r="E186" s="129"/>
      <c r="F186" s="129"/>
      <c r="G186" s="129"/>
      <c r="H186" s="129"/>
      <c r="I186" s="129"/>
      <c r="J186" s="129"/>
    </row>
    <row r="187" spans="1:10" ht="18.75">
      <c r="A187" s="23" t="s">
        <v>30</v>
      </c>
      <c r="B187" s="16" t="s">
        <v>31</v>
      </c>
      <c r="C187" s="122" t="s">
        <v>32</v>
      </c>
      <c r="D187" s="123"/>
      <c r="E187" s="16" t="s">
        <v>33</v>
      </c>
      <c r="F187" s="122" t="s">
        <v>34</v>
      </c>
      <c r="G187" s="123"/>
      <c r="H187" s="123"/>
      <c r="I187" s="153" t="s">
        <v>35</v>
      </c>
      <c r="J187" s="123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19" t="s">
        <v>37</v>
      </c>
      <c r="D189" s="120"/>
      <c r="E189" s="25" t="s">
        <v>38</v>
      </c>
      <c r="F189" s="119" t="s">
        <v>39</v>
      </c>
      <c r="G189" s="120"/>
      <c r="H189" s="120"/>
      <c r="I189" s="127"/>
      <c r="J189" s="120"/>
    </row>
    <row r="190" spans="1:10" ht="16.5" customHeight="1">
      <c r="A190" s="22">
        <v>1</v>
      </c>
      <c r="B190" s="26" t="s">
        <v>36</v>
      </c>
      <c r="C190" s="119" t="s">
        <v>37</v>
      </c>
      <c r="D190" s="120"/>
      <c r="E190" s="25" t="s">
        <v>40</v>
      </c>
      <c r="F190" s="119" t="s">
        <v>41</v>
      </c>
      <c r="G190" s="120"/>
      <c r="H190" s="120"/>
      <c r="I190" s="127"/>
      <c r="J190" s="120"/>
    </row>
    <row r="191" spans="1:10" ht="16.5" customHeight="1">
      <c r="A191" s="22"/>
      <c r="B191" s="26"/>
      <c r="C191" s="119"/>
      <c r="D191" s="120"/>
      <c r="E191" s="25"/>
      <c r="F191" s="119"/>
      <c r="G191" s="120"/>
      <c r="H191" s="120"/>
      <c r="I191" s="127"/>
      <c r="J191" s="120"/>
    </row>
    <row r="192" spans="1:10" ht="16.5" customHeight="1">
      <c r="A192" s="22"/>
      <c r="B192" s="26"/>
      <c r="C192" s="119"/>
      <c r="D192" s="120"/>
      <c r="E192" s="25"/>
      <c r="F192" s="119"/>
      <c r="G192" s="120"/>
      <c r="H192" s="120"/>
      <c r="I192" s="127"/>
      <c r="J192" s="120"/>
    </row>
    <row r="193" spans="1:10" ht="16.5" customHeight="1">
      <c r="A193" s="22"/>
      <c r="B193" s="26"/>
      <c r="C193" s="119"/>
      <c r="D193" s="120"/>
      <c r="E193" s="25"/>
      <c r="F193" s="119"/>
      <c r="G193" s="120"/>
      <c r="H193" s="120"/>
      <c r="I193" s="127"/>
      <c r="J193" s="120"/>
    </row>
    <row r="194" spans="1:10" ht="16.5" customHeight="1">
      <c r="A194" s="22"/>
      <c r="B194" s="26"/>
      <c r="C194" s="119"/>
      <c r="D194" s="120"/>
      <c r="E194" s="25"/>
      <c r="F194" s="119"/>
      <c r="G194" s="120"/>
      <c r="H194" s="120"/>
      <c r="I194" s="127"/>
      <c r="J194" s="120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30" t="s">
        <v>42</v>
      </c>
      <c r="B196" s="131"/>
      <c r="C196" s="130" t="s">
        <v>43</v>
      </c>
      <c r="D196" s="131"/>
      <c r="E196" s="131"/>
      <c r="F196" s="17" t="s">
        <v>44</v>
      </c>
      <c r="G196" s="130" t="s">
        <v>45</v>
      </c>
      <c r="H196" s="131"/>
      <c r="I196" s="130" t="s">
        <v>46</v>
      </c>
      <c r="J196" s="131"/>
    </row>
    <row r="197" spans="1:10" ht="14.25" customHeight="1">
      <c r="A197" s="8"/>
      <c r="B197" s="18"/>
      <c r="C197" s="146" t="s">
        <v>47</v>
      </c>
      <c r="D197" s="140"/>
      <c r="E197" s="18"/>
      <c r="F197" s="146" t="s">
        <v>29</v>
      </c>
      <c r="G197" s="140"/>
      <c r="H197" s="140"/>
      <c r="I197" s="140"/>
      <c r="J197" s="140"/>
    </row>
    <row r="198" spans="1:10">
      <c r="A198" s="9"/>
      <c r="C198" s="7"/>
      <c r="D198" s="7"/>
      <c r="E198" s="7"/>
    </row>
    <row r="199" spans="1:10" ht="14.25" customHeight="1">
      <c r="A199" s="119" t="s">
        <v>48</v>
      </c>
      <c r="B199" s="120"/>
      <c r="C199" s="119" t="s">
        <v>49</v>
      </c>
      <c r="D199" s="120"/>
      <c r="E199" s="120"/>
      <c r="F199" s="27" t="s">
        <v>27</v>
      </c>
      <c r="G199" s="121">
        <v>150</v>
      </c>
      <c r="H199" s="120"/>
      <c r="I199" s="121">
        <v>1.5</v>
      </c>
      <c r="J199" s="120"/>
    </row>
    <row r="200" spans="1:10" ht="24.95" customHeight="1">
      <c r="A200" s="132" t="s">
        <v>50</v>
      </c>
      <c r="B200" s="120"/>
      <c r="C200" s="119"/>
      <c r="D200" s="120"/>
      <c r="E200" s="120"/>
      <c r="F200" s="119"/>
      <c r="G200" s="120"/>
      <c r="H200" s="120"/>
      <c r="I200" s="120"/>
      <c r="J200" s="120"/>
    </row>
    <row r="201" spans="1:10" ht="14.25" customHeight="1">
      <c r="A201" s="119" t="s">
        <v>70</v>
      </c>
      <c r="B201" s="120"/>
      <c r="C201" s="119" t="s">
        <v>71</v>
      </c>
      <c r="D201" s="120"/>
      <c r="E201" s="120"/>
      <c r="F201" s="27" t="s">
        <v>36</v>
      </c>
      <c r="G201" s="121">
        <v>3</v>
      </c>
      <c r="H201" s="120"/>
      <c r="I201" s="121">
        <v>0.03</v>
      </c>
      <c r="J201" s="120"/>
    </row>
    <row r="202" spans="1:10" ht="24.95" customHeight="1">
      <c r="A202" s="132" t="s">
        <v>72</v>
      </c>
      <c r="B202" s="120"/>
      <c r="C202" s="119" t="s">
        <v>73</v>
      </c>
      <c r="D202" s="120"/>
      <c r="E202" s="120"/>
      <c r="F202" s="119"/>
      <c r="G202" s="120"/>
      <c r="H202" s="120"/>
      <c r="I202" s="120"/>
      <c r="J202" s="120"/>
    </row>
    <row r="203" spans="1:10" ht="14.25" customHeight="1">
      <c r="A203" s="119" t="s">
        <v>80</v>
      </c>
      <c r="B203" s="120"/>
      <c r="C203" s="119" t="s">
        <v>57</v>
      </c>
      <c r="D203" s="120"/>
      <c r="E203" s="120"/>
      <c r="F203" s="27"/>
      <c r="G203" s="121">
        <v>33</v>
      </c>
      <c r="H203" s="120"/>
      <c r="I203" s="121">
        <v>0.33</v>
      </c>
      <c r="J203" s="120"/>
    </row>
    <row r="204" spans="1:10" ht="24.95" customHeight="1">
      <c r="A204" s="132" t="s">
        <v>81</v>
      </c>
      <c r="B204" s="120"/>
      <c r="C204" s="119" t="s">
        <v>82</v>
      </c>
      <c r="D204" s="120"/>
      <c r="E204" s="120"/>
      <c r="F204" s="119"/>
      <c r="G204" s="120"/>
      <c r="H204" s="120"/>
      <c r="I204" s="120"/>
      <c r="J204" s="120"/>
    </row>
    <row r="205" spans="1:10" ht="14.25" customHeight="1">
      <c r="A205" s="119" t="s">
        <v>60</v>
      </c>
      <c r="B205" s="120"/>
      <c r="C205" s="119" t="s">
        <v>61</v>
      </c>
      <c r="D205" s="120"/>
      <c r="E205" s="120"/>
      <c r="F205" s="27"/>
      <c r="G205" s="121">
        <v>0.3</v>
      </c>
      <c r="H205" s="120"/>
      <c r="I205" s="121">
        <v>3.0000000000000001E-3</v>
      </c>
      <c r="J205" s="120"/>
    </row>
    <row r="206" spans="1:10" ht="24.95" customHeight="1">
      <c r="A206" s="132" t="s">
        <v>62</v>
      </c>
      <c r="B206" s="120"/>
      <c r="C206" s="119" t="s">
        <v>63</v>
      </c>
      <c r="D206" s="120"/>
      <c r="E206" s="120"/>
      <c r="F206" s="119"/>
      <c r="G206" s="120"/>
      <c r="H206" s="120"/>
      <c r="I206" s="120"/>
      <c r="J206" s="120"/>
    </row>
    <row r="207" spans="1:10" ht="14.25" customHeight="1">
      <c r="A207" s="119"/>
      <c r="B207" s="120"/>
      <c r="C207" s="119"/>
      <c r="D207" s="120"/>
      <c r="E207" s="120"/>
      <c r="F207" s="27"/>
      <c r="G207" s="121"/>
      <c r="H207" s="120"/>
      <c r="I207" s="121"/>
      <c r="J207" s="120"/>
    </row>
    <row r="208" spans="1:10" ht="24.95" customHeight="1" thickBot="1">
      <c r="A208" s="132"/>
      <c r="B208" s="120"/>
      <c r="C208" s="119"/>
      <c r="D208" s="120"/>
      <c r="E208" s="120"/>
      <c r="F208" s="119"/>
      <c r="G208" s="120"/>
      <c r="H208" s="120"/>
      <c r="I208" s="120"/>
      <c r="J208" s="120"/>
    </row>
    <row r="209" spans="1:14" s="5" customFormat="1" ht="18" customHeight="1">
      <c r="A209" s="28" t="s">
        <v>95</v>
      </c>
      <c r="B209" s="29" t="s">
        <v>96</v>
      </c>
      <c r="C209" s="107" t="s">
        <v>97</v>
      </c>
      <c r="D209" s="108"/>
      <c r="E209" s="30" t="s">
        <v>98</v>
      </c>
      <c r="F209" s="31" t="s">
        <v>99</v>
      </c>
      <c r="G209" s="32" t="s">
        <v>100</v>
      </c>
      <c r="H209" s="33" t="s">
        <v>101</v>
      </c>
      <c r="I209" s="117" t="s">
        <v>102</v>
      </c>
      <c r="J209" s="118"/>
    </row>
    <row r="210" spans="1:14" s="7" customFormat="1" ht="18" customHeight="1">
      <c r="A210" s="34" t="str">
        <f>_xlfn.XLOOKUP(B174,[3]VFDB2!$A:$A,[3]VFDB2!$J:$J)</f>
        <v>〇</v>
      </c>
      <c r="B210" s="35">
        <f>D174</f>
        <v>888</v>
      </c>
      <c r="C210" s="109" t="str">
        <f>_xlfn.XLOOKUP(B174,[3]VFDB2!$A:$A,[3]VFDB2!$Z:$Z)</f>
        <v>LED-A888</v>
      </c>
      <c r="D210" s="110"/>
      <c r="E210" s="111" t="str" cm="1">
        <f t="array" ref="E210">IFERROR(INDEX(_xlfn._xlws.FILTER([4]加工記録２!C:C,[4]加工記録２!U:U=B176),9),"")</f>
        <v/>
      </c>
      <c r="F210" s="36" t="str" cm="1">
        <f t="array" ref="F210">IFERROR("切断加工：" &amp;_xlfn.TEXTJOIN(" / ",TRUE,INDEX(_xlfn._xlws.FILTER([4]加工記録２!M:M,[4]加工記録２!U:U=B176),9),INDEX(_xlfn._xlws.FILTER([4]加工記録２!N:N,[4]加工記録２!U:U=B176),9)),"")</f>
        <v/>
      </c>
      <c r="G210" s="37" t="str" cm="1">
        <f t="array" ref="G210">IFERROR(IF(_xlfn.TAKE(_xlfn._xlws.FILTER([4]加工記録２!$M:$N,[4]加工記録２!$U:$U=B176),5)=0,"",_xlfn.TAKE(_xlfn._xlws.FILTER([4]加工記録２!$M:$N,[4]加工記録２!$U:$U=B176),5)),"")</f>
        <v/>
      </c>
      <c r="H210" s="38"/>
      <c r="I210" s="39" t="s">
        <v>103</v>
      </c>
      <c r="J210" s="40" t="str" cm="1">
        <f t="array" ref="J210:J215">IFERROR(INDEX(_xlfn._xlws.FILTER([4]加工記録２!P:P, [4]加工記録２!U:U=B176),_xlfn.SEQUENCE(6)),"")</f>
        <v/>
      </c>
    </row>
    <row r="211" spans="1:14" s="5" customFormat="1" ht="18" customHeight="1">
      <c r="A211" s="44" t="s">
        <v>104</v>
      </c>
      <c r="B211" s="45" t="s">
        <v>105</v>
      </c>
      <c r="C211" s="109"/>
      <c r="D211" s="110"/>
      <c r="E211" s="111"/>
      <c r="F211" s="46" t="str" cm="1">
        <f t="array" ref="F211">IFERROR("外観検査：" &amp;_xlfn.TEXTJOIN(" / ",TRUE,INDEX(_xlfn._xlws.FILTER([4]加工記録２!M:M,[4]加工記録２!U:U=B176),10),INDEX(_xlfn._xlws.FILTER([4]加工記録２!N:N,[4]加工記録２!U:U=B176),10)),"")</f>
        <v/>
      </c>
      <c r="G211" s="37"/>
      <c r="H211" s="38"/>
      <c r="I211" s="39" t="s">
        <v>106</v>
      </c>
      <c r="J211" s="41" t="str">
        <v/>
      </c>
      <c r="K211" s="47"/>
    </row>
    <row r="212" spans="1:14" s="7" customFormat="1" ht="18" customHeight="1">
      <c r="A212" s="48" t="str">
        <f>_xlfn.XLOOKUP(B174,[3]VFDB2!$A:$A,[3]VFDB2!$L:$L)</f>
        <v>+0.5</v>
      </c>
      <c r="B212" s="49" t="str">
        <f>_xlfn.XLOOKUP(B174,[3]VFDB2!$A:$A,[3]VFDB2!$AC:$AC)</f>
        <v>換算表確認</v>
      </c>
      <c r="C212" s="112" t="s">
        <v>107</v>
      </c>
      <c r="D212" s="113" t="str">
        <f>_xlfn.XLOOKUP(B174,[3]VFDB2!$A:$A,[3]VFDB2!$W:$W)</f>
        <v>L=888用　クラフト紙</v>
      </c>
      <c r="E212" s="113"/>
      <c r="F212" s="114"/>
      <c r="G212" s="37"/>
      <c r="H212" s="38"/>
      <c r="I212" s="39" t="s">
        <v>108</v>
      </c>
      <c r="J212" s="41" t="str">
        <v/>
      </c>
      <c r="K212" s="50"/>
    </row>
    <row r="213" spans="1:14" s="5" customFormat="1" ht="18" customHeight="1">
      <c r="A213" s="51" t="s">
        <v>109</v>
      </c>
      <c r="B213" s="52" t="s">
        <v>110</v>
      </c>
      <c r="C213" s="112"/>
      <c r="D213" s="113" t="str">
        <f>_xlfn.XLOOKUP(B174,[3]VFDB2!$A:$A,[3]VFDB2!$R:$R)</f>
        <v>ラベル１枚　長手無　鉢巻１回</v>
      </c>
      <c r="E213" s="113"/>
      <c r="F213" s="114"/>
      <c r="G213" s="37"/>
      <c r="H213" s="38"/>
      <c r="I213" s="39" t="s">
        <v>111</v>
      </c>
      <c r="J213" s="41" t="str">
        <v/>
      </c>
      <c r="K213" s="47"/>
    </row>
    <row r="214" spans="1:14" s="7" customFormat="1" ht="18" customHeight="1" thickBot="1">
      <c r="A214" s="53" t="str">
        <f>_xlfn.XLOOKUP(B174,[3]VFDB2!$A:$A,[3]VFDB2!$K:$K)</f>
        <v>－0.5</v>
      </c>
      <c r="B214" s="54">
        <f>_xlfn.XLOOKUP(B174,[3]VFDB2!$A:$A,[3]VFDB2!$P:$P)</f>
        <v>2</v>
      </c>
      <c r="C214" s="55" t="s">
        <v>112</v>
      </c>
      <c r="D214" s="115" t="str">
        <f>_xlfn.XLOOKUP(B174,[3]VFDB2!$A:$A,[3]VFDB2!$V:$V)</f>
        <v>1箱目の梱包数 目視確認　以降、重量測定</v>
      </c>
      <c r="E214" s="115"/>
      <c r="F214" s="116"/>
      <c r="G214" s="56"/>
      <c r="H214" s="57"/>
      <c r="I214" s="39" t="s">
        <v>113</v>
      </c>
      <c r="J214" s="42" t="str">
        <v/>
      </c>
      <c r="K214" s="50"/>
    </row>
    <row r="215" spans="1:14" s="5" customFormat="1" ht="18" customHeight="1" thickBot="1">
      <c r="A215" s="58" t="s">
        <v>114</v>
      </c>
      <c r="B215" s="59" t="str" cm="1">
        <f t="array" ref="B215">IF(SUM(--(ISTEXT(B216:B226)*(B216:B226&lt;&gt;"")))=0,"計測Lot","計測Lot・加工数")</f>
        <v>計測Lot</v>
      </c>
      <c r="C215" s="60" t="s">
        <v>115</v>
      </c>
      <c r="D215" s="61" t="s">
        <v>116</v>
      </c>
      <c r="E215" s="62" t="s">
        <v>117</v>
      </c>
      <c r="F215" s="63" t="str" cm="1">
        <f t="array" ref="F215">IF(SUM(--(ISTEXT(B216:B226)*(B216:B226&lt;&gt;"")))=0,"記入不要","使用Lot")</f>
        <v>記入不要</v>
      </c>
      <c r="G215" s="64" t="s">
        <v>118</v>
      </c>
      <c r="H215" s="65" t="s">
        <v>119</v>
      </c>
      <c r="I215" s="66" t="s">
        <v>120</v>
      </c>
      <c r="J215" s="43" t="str">
        <v/>
      </c>
      <c r="K215" s="47"/>
    </row>
    <row r="216" spans="1:14" s="7" customFormat="1" ht="18" customHeight="1">
      <c r="A216" s="67" t="str" cm="1">
        <f t="array" ref="A216:A226">IFERROR(INDEX(_xlfn._xlws.FILTER([4]加工記録２!$D:$D,[4]加工記録２!$U:$U=B176),_xlfn.SEQUENCE(11),0),"")</f>
        <v/>
      </c>
      <c r="B216" s="71" t="str" cm="1">
        <f t="array" ref="B216:B226">IFERROR(IF(INDEX(_xlfn._xlws.FILTER([4]加工記録２!$E:$E,[4]加工記録２!$U:$U=B176),_xlfn.SEQUENCE(11))="","",INDEX(_xlfn._xlws.FILTER([4]加工記録２!$E:$E,[4]加工記録２!$U:$U=B176),_xlfn.SEQUENCE(11)) &amp; IF(INDEX(_xlfn._xlws.FILTER([4]加工記録２!$F:$F,[4]加工記録２!$U:$U=B176),_xlfn.SEQUENCE(11))="","", " × " &amp; INDEX(_xlfn._xlws.FILTER([4]加工記録２!$F:$F,[4]加工記録２!$U:$U=B176),_xlfn.SEQUENCE(11)))),"")</f>
        <v/>
      </c>
      <c r="C216" s="74"/>
      <c r="D216" s="75"/>
      <c r="E216" s="76"/>
      <c r="F216" s="77"/>
      <c r="G216" s="78"/>
      <c r="H216" s="79"/>
      <c r="I216" s="105" t="s">
        <v>121</v>
      </c>
      <c r="J216" s="106"/>
      <c r="K216" s="80"/>
    </row>
    <row r="217" spans="1:14" s="5" customFormat="1" ht="18" customHeight="1">
      <c r="A217" s="68" t="str">
        <v/>
      </c>
      <c r="B217" s="72" t="str">
        <v/>
      </c>
      <c r="C217" s="81"/>
      <c r="D217" s="82"/>
      <c r="E217" s="83"/>
      <c r="F217" s="84"/>
      <c r="G217" s="81"/>
      <c r="H217" s="85"/>
      <c r="I217" s="86" t="s">
        <v>122</v>
      </c>
      <c r="J217" s="85" t="str" cm="1">
        <f t="array" ref="J217:J226">IFERROR(INDEX(_xlfn._xlws.FILTER([4]加工記録２!R:R, [4]加工記録２!U:U=B176),_xlfn.SEQUENCE(10)),"")</f>
        <v/>
      </c>
      <c r="K217" s="80"/>
    </row>
    <row r="218" spans="1:14" s="91" customFormat="1" ht="18.95" customHeight="1">
      <c r="A218" s="69" t="str">
        <v/>
      </c>
      <c r="B218" s="72" t="str">
        <v/>
      </c>
      <c r="C218" s="81"/>
      <c r="D218" s="82"/>
      <c r="E218" s="83"/>
      <c r="F218" s="84"/>
      <c r="G218" s="81"/>
      <c r="H218" s="85"/>
      <c r="I218" s="86" t="s">
        <v>123</v>
      </c>
      <c r="J218" s="85" t="str">
        <v/>
      </c>
      <c r="K218" s="89"/>
      <c r="L218" s="90"/>
      <c r="M218" s="90"/>
      <c r="N218" s="90"/>
    </row>
    <row r="219" spans="1:14" s="94" customFormat="1" ht="18.95" customHeight="1">
      <c r="A219" s="69" t="str">
        <v/>
      </c>
      <c r="B219" s="72" t="str">
        <v/>
      </c>
      <c r="C219" s="81"/>
      <c r="D219" s="82"/>
      <c r="E219" s="83"/>
      <c r="F219" s="84"/>
      <c r="G219" s="81"/>
      <c r="H219" s="85"/>
      <c r="I219" s="86" t="s">
        <v>124</v>
      </c>
      <c r="J219" s="85" t="str">
        <v/>
      </c>
      <c r="K219" s="92"/>
      <c r="L219" s="93"/>
      <c r="M219" s="93"/>
      <c r="N219" s="93"/>
    </row>
    <row r="220" spans="1:14" s="94" customFormat="1" ht="18.95" customHeight="1">
      <c r="A220" s="69" t="str">
        <v/>
      </c>
      <c r="B220" s="72" t="str">
        <v/>
      </c>
      <c r="C220" s="81"/>
      <c r="D220" s="82"/>
      <c r="E220" s="83"/>
      <c r="F220" s="84"/>
      <c r="G220" s="81"/>
      <c r="H220" s="85"/>
      <c r="I220" s="86" t="s">
        <v>125</v>
      </c>
      <c r="J220" s="85" t="str">
        <v/>
      </c>
      <c r="K220" s="92"/>
      <c r="L220" s="93"/>
      <c r="M220" s="93"/>
      <c r="N220" s="93"/>
    </row>
    <row r="221" spans="1:14" s="94" customFormat="1" ht="18.95" customHeight="1">
      <c r="A221" s="69" t="str">
        <v/>
      </c>
      <c r="B221" s="72" t="str">
        <v/>
      </c>
      <c r="C221" s="81"/>
      <c r="D221" s="82"/>
      <c r="E221" s="83"/>
      <c r="F221" s="84"/>
      <c r="G221" s="81"/>
      <c r="H221" s="85"/>
      <c r="I221" s="86" t="s">
        <v>126</v>
      </c>
      <c r="J221" s="85" t="str">
        <v/>
      </c>
      <c r="K221" s="92"/>
      <c r="L221" s="93"/>
      <c r="M221" s="93"/>
      <c r="N221" s="93"/>
    </row>
    <row r="222" spans="1:14" s="94" customFormat="1" ht="18.95" customHeight="1">
      <c r="A222" s="69" t="str">
        <v/>
      </c>
      <c r="B222" s="72" t="str">
        <v/>
      </c>
      <c r="C222" s="81"/>
      <c r="D222" s="82"/>
      <c r="E222" s="83"/>
      <c r="F222" s="84"/>
      <c r="G222" s="81"/>
      <c r="H222" s="85"/>
      <c r="I222" s="86" t="s">
        <v>127</v>
      </c>
      <c r="J222" s="85" t="str">
        <v/>
      </c>
      <c r="K222" s="92"/>
      <c r="L222" s="93"/>
      <c r="M222" s="93"/>
      <c r="N222" s="93"/>
    </row>
    <row r="223" spans="1:14" s="94" customFormat="1" ht="18.95" customHeight="1">
      <c r="A223" s="69" t="str">
        <v/>
      </c>
      <c r="B223" s="72" t="str">
        <v/>
      </c>
      <c r="C223" s="81"/>
      <c r="D223" s="82"/>
      <c r="E223" s="83"/>
      <c r="F223" s="84"/>
      <c r="G223" s="81"/>
      <c r="H223" s="85"/>
      <c r="I223" s="95" t="s">
        <v>128</v>
      </c>
      <c r="J223" s="85" t="str">
        <v/>
      </c>
      <c r="K223" s="92"/>
      <c r="L223" s="93"/>
      <c r="M223" s="93"/>
      <c r="N223" s="93"/>
    </row>
    <row r="224" spans="1:14" s="94" customFormat="1" ht="18.95" customHeight="1">
      <c r="A224" s="69" t="str">
        <v/>
      </c>
      <c r="B224" s="72" t="str">
        <v/>
      </c>
      <c r="C224" s="81"/>
      <c r="D224" s="82"/>
      <c r="E224" s="83"/>
      <c r="F224" s="84"/>
      <c r="G224" s="81"/>
      <c r="H224" s="85"/>
      <c r="I224" s="95" t="s">
        <v>129</v>
      </c>
      <c r="J224" s="85" t="str">
        <v/>
      </c>
      <c r="K224" s="92"/>
      <c r="L224" s="93"/>
      <c r="M224" s="93"/>
      <c r="N224" s="93"/>
    </row>
    <row r="225" spans="1:14" s="94" customFormat="1" ht="18.95" customHeight="1">
      <c r="A225" s="69" t="str">
        <v/>
      </c>
      <c r="B225" s="72" t="str">
        <v/>
      </c>
      <c r="C225" s="81"/>
      <c r="D225" s="82"/>
      <c r="E225" s="83"/>
      <c r="F225" s="84"/>
      <c r="G225" s="81"/>
      <c r="H225" s="85"/>
      <c r="I225" s="86" t="s">
        <v>130</v>
      </c>
      <c r="J225" s="87" t="str">
        <v/>
      </c>
      <c r="K225" s="92"/>
      <c r="L225" s="93"/>
      <c r="M225" s="93"/>
      <c r="N225" s="93"/>
    </row>
    <row r="226" spans="1:14" s="94" customFormat="1" ht="18.95" customHeight="1" thickBot="1">
      <c r="A226" s="70" t="str">
        <v/>
      </c>
      <c r="B226" s="73" t="str">
        <v/>
      </c>
      <c r="C226" s="96"/>
      <c r="D226" s="97"/>
      <c r="E226" s="98"/>
      <c r="F226" s="99"/>
      <c r="G226" s="100"/>
      <c r="H226" s="101"/>
      <c r="I226" s="102" t="s">
        <v>131</v>
      </c>
      <c r="J226" s="88" t="str">
        <v/>
      </c>
      <c r="K226" s="92"/>
      <c r="L226" s="93"/>
      <c r="M226" s="93"/>
      <c r="N226" s="93"/>
    </row>
    <row r="227" spans="1:14" ht="6" customHeight="1" thickBot="1">
      <c r="A227" s="103"/>
      <c r="B227" s="104"/>
      <c r="C227" s="104"/>
      <c r="D227" s="103"/>
      <c r="E227" s="104"/>
      <c r="F227" s="104"/>
      <c r="G227" s="104"/>
      <c r="H227" s="104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50" t="s">
        <v>0</v>
      </c>
      <c r="C229" s="120"/>
      <c r="D229" s="120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20"/>
      <c r="C230" s="120"/>
      <c r="D230" s="120"/>
      <c r="E230" s="12"/>
      <c r="F230" s="12"/>
      <c r="G230" s="12"/>
      <c r="H230" s="12"/>
      <c r="I230" s="12"/>
      <c r="J230" s="12"/>
    </row>
    <row r="231" spans="1:14" ht="14.25" customHeight="1">
      <c r="A231" s="133" t="s">
        <v>1</v>
      </c>
      <c r="B231" s="133" t="s">
        <v>85</v>
      </c>
      <c r="C231" s="133" t="s">
        <v>3</v>
      </c>
      <c r="D231" s="154">
        <v>1478</v>
      </c>
      <c r="E231" s="133" t="s">
        <v>4</v>
      </c>
      <c r="F231" s="134" t="s">
        <v>86</v>
      </c>
      <c r="G231" s="120"/>
      <c r="H231" s="120"/>
      <c r="I231" s="24" t="s">
        <v>6</v>
      </c>
      <c r="J231" s="24" t="s">
        <v>7</v>
      </c>
    </row>
    <row r="232" spans="1:14" ht="14.25" customHeight="1">
      <c r="A232" s="120"/>
      <c r="B232" s="120"/>
      <c r="C232" s="120"/>
      <c r="D232" s="120"/>
      <c r="E232" s="120"/>
      <c r="F232" s="120"/>
      <c r="G232" s="120"/>
      <c r="H232" s="120"/>
      <c r="I232" s="124"/>
      <c r="J232" s="124"/>
    </row>
    <row r="233" spans="1:14" ht="17.45" customHeight="1">
      <c r="A233" s="126" t="s">
        <v>8</v>
      </c>
      <c r="B233" s="126" t="s">
        <v>87</v>
      </c>
      <c r="E233" s="126" t="s">
        <v>10</v>
      </c>
      <c r="F233" s="152" t="s">
        <v>88</v>
      </c>
      <c r="G233" s="120"/>
      <c r="H233" s="120"/>
      <c r="I233" s="125"/>
      <c r="J233" s="125"/>
    </row>
    <row r="234" spans="1:14" ht="17.45" customHeight="1">
      <c r="A234" s="120"/>
      <c r="B234" s="120"/>
      <c r="E234" s="120"/>
      <c r="F234" s="120"/>
      <c r="G234" s="120"/>
      <c r="H234" s="120"/>
      <c r="I234" s="13"/>
      <c r="J234" s="13"/>
    </row>
    <row r="235" spans="1:14" ht="17.45" customHeight="1">
      <c r="A235" s="126" t="s">
        <v>12</v>
      </c>
      <c r="B235" s="126" t="s">
        <v>89</v>
      </c>
      <c r="E235" s="2" t="s">
        <v>14</v>
      </c>
      <c r="F235" s="152" t="s">
        <v>15</v>
      </c>
      <c r="G235" s="120"/>
      <c r="H235" s="21"/>
      <c r="I235" s="13"/>
      <c r="J235" s="13"/>
    </row>
    <row r="236" spans="1:14" ht="17.45" customHeight="1">
      <c r="A236" s="120"/>
      <c r="B236" s="120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46113</v>
      </c>
      <c r="E237" s="2" t="s">
        <v>19</v>
      </c>
      <c r="F237" s="137">
        <v>100</v>
      </c>
      <c r="G237" s="120"/>
      <c r="H237" s="21"/>
    </row>
    <row r="238" spans="1:14" ht="17.45" customHeight="1">
      <c r="A238" s="2" t="s">
        <v>20</v>
      </c>
      <c r="B238" s="4">
        <v>46113</v>
      </c>
      <c r="E238" s="2" t="s">
        <v>21</v>
      </c>
      <c r="F238" s="21">
        <v>1</v>
      </c>
      <c r="G238" s="155" t="s">
        <v>22</v>
      </c>
      <c r="H238" s="142">
        <v>100</v>
      </c>
      <c r="I238" s="143"/>
      <c r="J238" s="144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45"/>
      <c r="H239" s="145"/>
      <c r="I239" s="140"/>
      <c r="J239" s="141"/>
    </row>
    <row r="240" spans="1:14" ht="13.5" customHeight="1">
      <c r="A240" s="151" t="s">
        <v>90</v>
      </c>
      <c r="B240" s="120"/>
      <c r="C240" s="120"/>
      <c r="D240" s="20"/>
      <c r="F240" s="3"/>
      <c r="G240" s="149" t="s">
        <v>26</v>
      </c>
      <c r="H240" s="135" t="s">
        <v>27</v>
      </c>
      <c r="I240" s="138" t="s">
        <v>28</v>
      </c>
      <c r="J240" s="139"/>
    </row>
    <row r="241" spans="1:10" ht="13.5" customHeight="1">
      <c r="A241" s="120"/>
      <c r="B241" s="120"/>
      <c r="C241" s="120"/>
      <c r="D241" s="20"/>
      <c r="F241" s="3"/>
      <c r="G241" s="136"/>
      <c r="H241" s="136"/>
      <c r="I241" s="140"/>
      <c r="J241" s="141"/>
    </row>
    <row r="242" spans="1:10" ht="13.5" customHeight="1">
      <c r="A242" s="1" t="s">
        <v>29</v>
      </c>
    </row>
    <row r="243" spans="1:10" ht="63" customHeight="1">
      <c r="A243" s="128"/>
      <c r="B243" s="129"/>
      <c r="C243" s="129"/>
      <c r="D243" s="129"/>
      <c r="E243" s="129"/>
      <c r="F243" s="129"/>
      <c r="G243" s="129"/>
      <c r="H243" s="129"/>
      <c r="I243" s="129"/>
      <c r="J243" s="129"/>
    </row>
    <row r="244" spans="1:10" ht="18.75">
      <c r="A244" s="23" t="s">
        <v>30</v>
      </c>
      <c r="B244" s="16" t="s">
        <v>31</v>
      </c>
      <c r="C244" s="122" t="s">
        <v>32</v>
      </c>
      <c r="D244" s="123"/>
      <c r="E244" s="16" t="s">
        <v>33</v>
      </c>
      <c r="F244" s="122" t="s">
        <v>34</v>
      </c>
      <c r="G244" s="123"/>
      <c r="H244" s="123"/>
      <c r="I244" s="153" t="s">
        <v>35</v>
      </c>
      <c r="J244" s="123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19" t="s">
        <v>37</v>
      </c>
      <c r="D246" s="120"/>
      <c r="E246" s="25" t="s">
        <v>38</v>
      </c>
      <c r="F246" s="119" t="s">
        <v>39</v>
      </c>
      <c r="G246" s="120"/>
      <c r="H246" s="120"/>
      <c r="I246" s="127"/>
      <c r="J246" s="120"/>
    </row>
    <row r="247" spans="1:10" ht="16.5" customHeight="1">
      <c r="A247" s="22">
        <v>1</v>
      </c>
      <c r="B247" s="26" t="s">
        <v>36</v>
      </c>
      <c r="C247" s="119" t="s">
        <v>37</v>
      </c>
      <c r="D247" s="120"/>
      <c r="E247" s="25" t="s">
        <v>40</v>
      </c>
      <c r="F247" s="119" t="s">
        <v>41</v>
      </c>
      <c r="G247" s="120"/>
      <c r="H247" s="120"/>
      <c r="I247" s="127"/>
      <c r="J247" s="120"/>
    </row>
    <row r="248" spans="1:10" ht="16.5" customHeight="1">
      <c r="A248" s="22"/>
      <c r="B248" s="26"/>
      <c r="C248" s="119"/>
      <c r="D248" s="120"/>
      <c r="E248" s="25"/>
      <c r="F248" s="119"/>
      <c r="G248" s="120"/>
      <c r="H248" s="120"/>
      <c r="I248" s="127"/>
      <c r="J248" s="120"/>
    </row>
    <row r="249" spans="1:10" ht="16.5" customHeight="1">
      <c r="A249" s="22"/>
      <c r="B249" s="26"/>
      <c r="C249" s="119"/>
      <c r="D249" s="120"/>
      <c r="E249" s="25"/>
      <c r="F249" s="119"/>
      <c r="G249" s="120"/>
      <c r="H249" s="120"/>
      <c r="I249" s="127"/>
      <c r="J249" s="120"/>
    </row>
    <row r="250" spans="1:10" ht="16.5" customHeight="1">
      <c r="A250" s="22"/>
      <c r="B250" s="26"/>
      <c r="C250" s="119"/>
      <c r="D250" s="120"/>
      <c r="E250" s="25"/>
      <c r="F250" s="119"/>
      <c r="G250" s="120"/>
      <c r="H250" s="120"/>
      <c r="I250" s="127"/>
      <c r="J250" s="120"/>
    </row>
    <row r="251" spans="1:10" ht="16.5" customHeight="1">
      <c r="A251" s="22"/>
      <c r="B251" s="26"/>
      <c r="C251" s="119"/>
      <c r="D251" s="120"/>
      <c r="E251" s="25"/>
      <c r="F251" s="119"/>
      <c r="G251" s="120"/>
      <c r="H251" s="120"/>
      <c r="I251" s="127"/>
      <c r="J251" s="120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30" t="s">
        <v>42</v>
      </c>
      <c r="B253" s="131"/>
      <c r="C253" s="130" t="s">
        <v>43</v>
      </c>
      <c r="D253" s="131"/>
      <c r="E253" s="131"/>
      <c r="F253" s="17" t="s">
        <v>44</v>
      </c>
      <c r="G253" s="130" t="s">
        <v>45</v>
      </c>
      <c r="H253" s="131"/>
      <c r="I253" s="130" t="s">
        <v>46</v>
      </c>
      <c r="J253" s="131"/>
    </row>
    <row r="254" spans="1:10" ht="14.25" customHeight="1">
      <c r="A254" s="8"/>
      <c r="B254" s="18"/>
      <c r="C254" s="146" t="s">
        <v>47</v>
      </c>
      <c r="D254" s="140"/>
      <c r="E254" s="18"/>
      <c r="F254" s="146" t="s">
        <v>29</v>
      </c>
      <c r="G254" s="140"/>
      <c r="H254" s="140"/>
      <c r="I254" s="140"/>
      <c r="J254" s="140"/>
    </row>
    <row r="255" spans="1:10">
      <c r="A255" s="9"/>
      <c r="C255" s="7"/>
      <c r="D255" s="7"/>
      <c r="E255" s="7"/>
    </row>
    <row r="256" spans="1:10" ht="14.25" customHeight="1">
      <c r="A256" s="119" t="s">
        <v>48</v>
      </c>
      <c r="B256" s="120"/>
      <c r="C256" s="119" t="s">
        <v>49</v>
      </c>
      <c r="D256" s="120"/>
      <c r="E256" s="120"/>
      <c r="F256" s="27" t="s">
        <v>27</v>
      </c>
      <c r="G256" s="121">
        <v>100</v>
      </c>
      <c r="H256" s="120"/>
      <c r="I256" s="121">
        <v>1</v>
      </c>
      <c r="J256" s="120"/>
    </row>
    <row r="257" spans="1:11" ht="24.95" customHeight="1">
      <c r="A257" s="132" t="s">
        <v>50</v>
      </c>
      <c r="B257" s="120"/>
      <c r="C257" s="119"/>
      <c r="D257" s="120"/>
      <c r="E257" s="120"/>
      <c r="F257" s="119"/>
      <c r="G257" s="120"/>
      <c r="H257" s="120"/>
      <c r="I257" s="120"/>
      <c r="J257" s="120"/>
    </row>
    <row r="258" spans="1:11" ht="14.25" customHeight="1">
      <c r="A258" s="119" t="s">
        <v>91</v>
      </c>
      <c r="B258" s="120"/>
      <c r="C258" s="119" t="s">
        <v>92</v>
      </c>
      <c r="D258" s="120"/>
      <c r="E258" s="120"/>
      <c r="F258" s="27" t="s">
        <v>53</v>
      </c>
      <c r="G258" s="121">
        <v>1</v>
      </c>
      <c r="H258" s="120"/>
      <c r="I258" s="121">
        <v>0.01</v>
      </c>
      <c r="J258" s="120"/>
    </row>
    <row r="259" spans="1:11" ht="24.95" customHeight="1">
      <c r="A259" s="132" t="s">
        <v>93</v>
      </c>
      <c r="B259" s="120"/>
      <c r="C259" s="119" t="s">
        <v>94</v>
      </c>
      <c r="D259" s="120"/>
      <c r="E259" s="120"/>
      <c r="F259" s="119"/>
      <c r="G259" s="120"/>
      <c r="H259" s="120"/>
      <c r="I259" s="120"/>
      <c r="J259" s="120"/>
    </row>
    <row r="260" spans="1:11" ht="14.25" customHeight="1">
      <c r="A260" s="119" t="s">
        <v>56</v>
      </c>
      <c r="B260" s="120"/>
      <c r="C260" s="119" t="s">
        <v>57</v>
      </c>
      <c r="D260" s="120"/>
      <c r="E260" s="120"/>
      <c r="F260" s="27"/>
      <c r="G260" s="121">
        <v>0.2</v>
      </c>
      <c r="H260" s="120"/>
      <c r="I260" s="121">
        <v>2E-3</v>
      </c>
      <c r="J260" s="120"/>
    </row>
    <row r="261" spans="1:11" ht="24.95" customHeight="1">
      <c r="A261" s="132" t="s">
        <v>58</v>
      </c>
      <c r="B261" s="120"/>
      <c r="C261" s="119" t="s">
        <v>59</v>
      </c>
      <c r="D261" s="120"/>
      <c r="E261" s="120"/>
      <c r="F261" s="119"/>
      <c r="G261" s="120"/>
      <c r="H261" s="120"/>
      <c r="I261" s="120"/>
      <c r="J261" s="120"/>
    </row>
    <row r="262" spans="1:11" ht="14.25" customHeight="1">
      <c r="A262" s="119" t="s">
        <v>60</v>
      </c>
      <c r="B262" s="120"/>
      <c r="C262" s="119" t="s">
        <v>61</v>
      </c>
      <c r="D262" s="120"/>
      <c r="E262" s="120"/>
      <c r="F262" s="27"/>
      <c r="G262" s="121">
        <v>0.1</v>
      </c>
      <c r="H262" s="120"/>
      <c r="I262" s="121">
        <v>1E-3</v>
      </c>
      <c r="J262" s="120"/>
    </row>
    <row r="263" spans="1:11" ht="24.95" customHeight="1">
      <c r="A263" s="132" t="s">
        <v>62</v>
      </c>
      <c r="B263" s="120"/>
      <c r="C263" s="119" t="s">
        <v>63</v>
      </c>
      <c r="D263" s="120"/>
      <c r="E263" s="120"/>
      <c r="F263" s="119"/>
      <c r="G263" s="120"/>
      <c r="H263" s="120"/>
      <c r="I263" s="120"/>
      <c r="J263" s="120"/>
    </row>
    <row r="264" spans="1:11" ht="14.25" customHeight="1">
      <c r="A264" s="119"/>
      <c r="B264" s="120"/>
      <c r="C264" s="119"/>
      <c r="D264" s="120"/>
      <c r="E264" s="120"/>
      <c r="F264" s="27"/>
      <c r="G264" s="121"/>
      <c r="H264" s="120"/>
      <c r="I264" s="121"/>
      <c r="J264" s="120"/>
    </row>
    <row r="265" spans="1:11" ht="24.95" customHeight="1" thickBot="1">
      <c r="A265" s="132"/>
      <c r="B265" s="120"/>
      <c r="C265" s="119"/>
      <c r="D265" s="120"/>
      <c r="E265" s="120"/>
      <c r="F265" s="119"/>
      <c r="G265" s="120"/>
      <c r="H265" s="120"/>
      <c r="I265" s="120"/>
      <c r="J265" s="120"/>
    </row>
    <row r="266" spans="1:11" s="5" customFormat="1" ht="18" customHeight="1">
      <c r="A266" s="28" t="s">
        <v>95</v>
      </c>
      <c r="B266" s="29" t="s">
        <v>96</v>
      </c>
      <c r="C266" s="107" t="s">
        <v>97</v>
      </c>
      <c r="D266" s="108"/>
      <c r="E266" s="30" t="s">
        <v>98</v>
      </c>
      <c r="F266" s="31" t="s">
        <v>99</v>
      </c>
      <c r="G266" s="32" t="s">
        <v>100</v>
      </c>
      <c r="H266" s="33" t="s">
        <v>101</v>
      </c>
      <c r="I266" s="117" t="s">
        <v>102</v>
      </c>
      <c r="J266" s="118"/>
    </row>
    <row r="267" spans="1:11" s="7" customFormat="1" ht="18" customHeight="1">
      <c r="A267" s="34" t="str">
        <f>_xlfn.XLOOKUP(B231,[3]VFDB2!$A:$A,[3]VFDB2!$J:$J)</f>
        <v>〇</v>
      </c>
      <c r="B267" s="35">
        <f>D231</f>
        <v>1478</v>
      </c>
      <c r="C267" s="109" t="str">
        <f>_xlfn.XLOOKUP(B231,[3]VFDB2!$A:$A,[3]VFDB2!$Z:$Z)</f>
        <v>LED-A1478</v>
      </c>
      <c r="D267" s="110"/>
      <c r="E267" s="111" t="str" cm="1">
        <f t="array" ref="E267">IFERROR(INDEX(_xlfn._xlws.FILTER([4]加工記録２!C:C,[4]加工記録２!U:U=B233),9),"")</f>
        <v/>
      </c>
      <c r="F267" s="36" t="str" cm="1">
        <f t="array" ref="F267">IFERROR("切断加工：" &amp;_xlfn.TEXTJOIN(" / ",TRUE,INDEX(_xlfn._xlws.FILTER([4]加工記録２!M:M,[4]加工記録２!U:U=B233),9),INDEX(_xlfn._xlws.FILTER([4]加工記録２!N:N,[4]加工記録２!U:U=B233),9)),"")</f>
        <v/>
      </c>
      <c r="G267" s="37" t="str" cm="1">
        <f t="array" ref="G267">IFERROR(IF(_xlfn.TAKE(_xlfn._xlws.FILTER([4]加工記録２!$M:$N,[4]加工記録２!$U:$U=B233),5)=0,"",_xlfn.TAKE(_xlfn._xlws.FILTER([4]加工記録２!$M:$N,[4]加工記録２!$U:$U=B233),5)),"")</f>
        <v/>
      </c>
      <c r="H267" s="38"/>
      <c r="I267" s="39" t="s">
        <v>103</v>
      </c>
      <c r="J267" s="40" t="str" cm="1">
        <f t="array" ref="J267:J272">IFERROR(INDEX(_xlfn._xlws.FILTER([4]加工記録２!P:P, [4]加工記録２!U:U=B233),_xlfn.SEQUENCE(6)),"")</f>
        <v/>
      </c>
    </row>
    <row r="268" spans="1:11" s="5" customFormat="1" ht="18" customHeight="1">
      <c r="A268" s="44" t="s">
        <v>104</v>
      </c>
      <c r="B268" s="45" t="s">
        <v>105</v>
      </c>
      <c r="C268" s="109"/>
      <c r="D268" s="110"/>
      <c r="E268" s="111"/>
      <c r="F268" s="46" t="str" cm="1">
        <f t="array" ref="F268">IFERROR("外観検査：" &amp;_xlfn.TEXTJOIN(" / ",TRUE,INDEX(_xlfn._xlws.FILTER([4]加工記録２!M:M,[4]加工記録２!U:U=B233),10),INDEX(_xlfn._xlws.FILTER([4]加工記録２!N:N,[4]加工記録２!U:U=B233),10)),"")</f>
        <v/>
      </c>
      <c r="G268" s="37"/>
      <c r="H268" s="38"/>
      <c r="I268" s="39" t="s">
        <v>106</v>
      </c>
      <c r="J268" s="41" t="str">
        <v/>
      </c>
      <c r="K268" s="47"/>
    </row>
    <row r="269" spans="1:11" s="7" customFormat="1" ht="18" customHeight="1">
      <c r="A269" s="48" t="str">
        <f>_xlfn.XLOOKUP(B231,[3]VFDB2!$A:$A,[3]VFDB2!$L:$L)</f>
        <v>+0.5</v>
      </c>
      <c r="B269" s="49" t="str">
        <f>_xlfn.XLOOKUP(B231,[3]VFDB2!$A:$A,[3]VFDB2!$AC:$AC)</f>
        <v>換算表確認</v>
      </c>
      <c r="C269" s="112" t="s">
        <v>107</v>
      </c>
      <c r="D269" s="113" t="str">
        <f>_xlfn.XLOOKUP(B231,[3]VFDB2!$A:$A,[3]VFDB2!$W:$W)</f>
        <v>クラフト紙：1478型</v>
      </c>
      <c r="E269" s="113"/>
      <c r="F269" s="114"/>
      <c r="G269" s="37"/>
      <c r="H269" s="38"/>
      <c r="I269" s="39" t="s">
        <v>108</v>
      </c>
      <c r="J269" s="41" t="str">
        <v/>
      </c>
      <c r="K269" s="50"/>
    </row>
    <row r="270" spans="1:11" s="5" customFormat="1" ht="18" customHeight="1">
      <c r="A270" s="51" t="s">
        <v>109</v>
      </c>
      <c r="B270" s="52" t="s">
        <v>110</v>
      </c>
      <c r="C270" s="112"/>
      <c r="D270" s="113" t="str">
        <f>_xlfn.XLOOKUP(B231,[3]VFDB2!$A:$A,[3]VFDB2!$R:$R)</f>
        <v>ラベル１枚　長手無　鉢巻１回</v>
      </c>
      <c r="E270" s="113"/>
      <c r="F270" s="114"/>
      <c r="G270" s="37"/>
      <c r="H270" s="38"/>
      <c r="I270" s="39" t="s">
        <v>111</v>
      </c>
      <c r="J270" s="41" t="str">
        <v/>
      </c>
      <c r="K270" s="47"/>
    </row>
    <row r="271" spans="1:11" s="7" customFormat="1" ht="18" customHeight="1" thickBot="1">
      <c r="A271" s="53" t="str">
        <f>_xlfn.XLOOKUP(B231,[3]VFDB2!$A:$A,[3]VFDB2!$K:$K)</f>
        <v>－0.5</v>
      </c>
      <c r="B271" s="54">
        <f>_xlfn.XLOOKUP(B231,[3]VFDB2!$A:$A,[3]VFDB2!$P:$P)</f>
        <v>1</v>
      </c>
      <c r="C271" s="55" t="s">
        <v>112</v>
      </c>
      <c r="D271" s="115" t="str">
        <f>_xlfn.XLOOKUP(B231,[3]VFDB2!$A:$A,[3]VFDB2!$V:$V)</f>
        <v>1箱目の梱包数 目視確認　以降、重量測定</v>
      </c>
      <c r="E271" s="115"/>
      <c r="F271" s="116"/>
      <c r="G271" s="56"/>
      <c r="H271" s="57"/>
      <c r="I271" s="39" t="s">
        <v>113</v>
      </c>
      <c r="J271" s="42" t="str">
        <v/>
      </c>
      <c r="K271" s="50"/>
    </row>
    <row r="272" spans="1:11" s="5" customFormat="1" ht="18" customHeight="1" thickBot="1">
      <c r="A272" s="58" t="s">
        <v>114</v>
      </c>
      <c r="B272" s="59" t="str" cm="1">
        <f t="array" ref="B272">IF(SUM(--(ISTEXT(B273:B283)*(B273:B283&lt;&gt;"")))=0,"計測Lot","計測Lot・加工数")</f>
        <v>計測Lot</v>
      </c>
      <c r="C272" s="60" t="s">
        <v>115</v>
      </c>
      <c r="D272" s="61" t="s">
        <v>116</v>
      </c>
      <c r="E272" s="62" t="s">
        <v>117</v>
      </c>
      <c r="F272" s="63" t="str" cm="1">
        <f t="array" ref="F272">IF(SUM(--(ISTEXT(B273:B283)*(B273:B283&lt;&gt;"")))=0,"記入不要","使用Lot")</f>
        <v>記入不要</v>
      </c>
      <c r="G272" s="64" t="s">
        <v>118</v>
      </c>
      <c r="H272" s="65" t="s">
        <v>119</v>
      </c>
      <c r="I272" s="66" t="s">
        <v>120</v>
      </c>
      <c r="J272" s="43" t="str">
        <v/>
      </c>
      <c r="K272" s="47"/>
    </row>
    <row r="273" spans="1:14" s="7" customFormat="1" ht="18" customHeight="1">
      <c r="A273" s="67" t="str" cm="1">
        <f t="array" ref="A273:A283">IFERROR(INDEX(_xlfn._xlws.FILTER([4]加工記録２!$D:$D,[4]加工記録２!$U:$U=B233),_xlfn.SEQUENCE(11),0),"")</f>
        <v/>
      </c>
      <c r="B273" s="71" t="str" cm="1">
        <f t="array" ref="B273:B283">IFERROR(IF(INDEX(_xlfn._xlws.FILTER([4]加工記録２!$E:$E,[4]加工記録２!$U:$U=B233),_xlfn.SEQUENCE(11))="","",INDEX(_xlfn._xlws.FILTER([4]加工記録２!$E:$E,[4]加工記録２!$U:$U=B233),_xlfn.SEQUENCE(11)) &amp; IF(INDEX(_xlfn._xlws.FILTER([4]加工記録２!$F:$F,[4]加工記録２!$U:$U=B233),_xlfn.SEQUENCE(11))="","", " × " &amp; INDEX(_xlfn._xlws.FILTER([4]加工記録２!$F:$F,[4]加工記録２!$U:$U=B233),_xlfn.SEQUENCE(11)))),"")</f>
        <v/>
      </c>
      <c r="C273" s="74"/>
      <c r="D273" s="75"/>
      <c r="E273" s="76"/>
      <c r="F273" s="77"/>
      <c r="G273" s="78"/>
      <c r="H273" s="79"/>
      <c r="I273" s="105" t="s">
        <v>121</v>
      </c>
      <c r="J273" s="106"/>
      <c r="K273" s="80"/>
    </row>
    <row r="274" spans="1:14" s="5" customFormat="1" ht="18" customHeight="1">
      <c r="A274" s="68" t="str">
        <v/>
      </c>
      <c r="B274" s="72" t="str">
        <v/>
      </c>
      <c r="C274" s="81"/>
      <c r="D274" s="82"/>
      <c r="E274" s="83"/>
      <c r="F274" s="84"/>
      <c r="G274" s="81"/>
      <c r="H274" s="85"/>
      <c r="I274" s="86" t="s">
        <v>122</v>
      </c>
      <c r="J274" s="85" t="str" cm="1">
        <f t="array" ref="J274:J283">IFERROR(INDEX(_xlfn._xlws.FILTER([4]加工記録２!R:R, [4]加工記録２!U:U=B233),_xlfn.SEQUENCE(10)),"")</f>
        <v/>
      </c>
      <c r="K274" s="80"/>
    </row>
    <row r="275" spans="1:14" s="91" customFormat="1" ht="18.95" customHeight="1">
      <c r="A275" s="69" t="str">
        <v/>
      </c>
      <c r="B275" s="72" t="str">
        <v/>
      </c>
      <c r="C275" s="81"/>
      <c r="D275" s="82"/>
      <c r="E275" s="83"/>
      <c r="F275" s="84"/>
      <c r="G275" s="81"/>
      <c r="H275" s="85"/>
      <c r="I275" s="86" t="s">
        <v>123</v>
      </c>
      <c r="J275" s="85" t="str">
        <v/>
      </c>
      <c r="K275" s="89"/>
      <c r="L275" s="90"/>
      <c r="M275" s="90"/>
      <c r="N275" s="90"/>
    </row>
    <row r="276" spans="1:14" s="94" customFormat="1" ht="18.95" customHeight="1">
      <c r="A276" s="69" t="str">
        <v/>
      </c>
      <c r="B276" s="72" t="str">
        <v/>
      </c>
      <c r="C276" s="81"/>
      <c r="D276" s="82"/>
      <c r="E276" s="83"/>
      <c r="F276" s="84"/>
      <c r="G276" s="81"/>
      <c r="H276" s="85"/>
      <c r="I276" s="86" t="s">
        <v>124</v>
      </c>
      <c r="J276" s="85" t="str">
        <v/>
      </c>
      <c r="K276" s="92"/>
      <c r="L276" s="93"/>
      <c r="M276" s="93"/>
      <c r="N276" s="93"/>
    </row>
    <row r="277" spans="1:14" s="94" customFormat="1" ht="18.95" customHeight="1">
      <c r="A277" s="69" t="str">
        <v/>
      </c>
      <c r="B277" s="72" t="str">
        <v/>
      </c>
      <c r="C277" s="81"/>
      <c r="D277" s="82"/>
      <c r="E277" s="83"/>
      <c r="F277" s="84"/>
      <c r="G277" s="81"/>
      <c r="H277" s="85"/>
      <c r="I277" s="86" t="s">
        <v>125</v>
      </c>
      <c r="J277" s="85" t="str">
        <v/>
      </c>
      <c r="K277" s="92"/>
      <c r="L277" s="93"/>
      <c r="M277" s="93"/>
      <c r="N277" s="93"/>
    </row>
    <row r="278" spans="1:14" s="94" customFormat="1" ht="18.95" customHeight="1">
      <c r="A278" s="69" t="str">
        <v/>
      </c>
      <c r="B278" s="72" t="str">
        <v/>
      </c>
      <c r="C278" s="81"/>
      <c r="D278" s="82"/>
      <c r="E278" s="83"/>
      <c r="F278" s="84"/>
      <c r="G278" s="81"/>
      <c r="H278" s="85"/>
      <c r="I278" s="86" t="s">
        <v>126</v>
      </c>
      <c r="J278" s="85" t="str">
        <v/>
      </c>
      <c r="K278" s="92"/>
      <c r="L278" s="93"/>
      <c r="M278" s="93"/>
      <c r="N278" s="93"/>
    </row>
    <row r="279" spans="1:14" s="94" customFormat="1" ht="18.95" customHeight="1">
      <c r="A279" s="69" t="str">
        <v/>
      </c>
      <c r="B279" s="72" t="str">
        <v/>
      </c>
      <c r="C279" s="81"/>
      <c r="D279" s="82"/>
      <c r="E279" s="83"/>
      <c r="F279" s="84"/>
      <c r="G279" s="81"/>
      <c r="H279" s="85"/>
      <c r="I279" s="86" t="s">
        <v>127</v>
      </c>
      <c r="J279" s="85" t="str">
        <v/>
      </c>
      <c r="K279" s="92"/>
      <c r="L279" s="93"/>
      <c r="M279" s="93"/>
      <c r="N279" s="93"/>
    </row>
    <row r="280" spans="1:14" s="94" customFormat="1" ht="18.95" customHeight="1">
      <c r="A280" s="69" t="str">
        <v/>
      </c>
      <c r="B280" s="72" t="str">
        <v/>
      </c>
      <c r="C280" s="81"/>
      <c r="D280" s="82"/>
      <c r="E280" s="83"/>
      <c r="F280" s="84"/>
      <c r="G280" s="81"/>
      <c r="H280" s="85"/>
      <c r="I280" s="95" t="s">
        <v>128</v>
      </c>
      <c r="J280" s="85" t="str">
        <v/>
      </c>
      <c r="K280" s="92"/>
      <c r="L280" s="93"/>
      <c r="M280" s="93"/>
      <c r="N280" s="93"/>
    </row>
    <row r="281" spans="1:14" s="94" customFormat="1" ht="18.95" customHeight="1">
      <c r="A281" s="69" t="str">
        <v/>
      </c>
      <c r="B281" s="72" t="str">
        <v/>
      </c>
      <c r="C281" s="81"/>
      <c r="D281" s="82"/>
      <c r="E281" s="83"/>
      <c r="F281" s="84"/>
      <c r="G281" s="81"/>
      <c r="H281" s="85"/>
      <c r="I281" s="95" t="s">
        <v>129</v>
      </c>
      <c r="J281" s="85" t="str">
        <v/>
      </c>
      <c r="K281" s="92"/>
      <c r="L281" s="93"/>
      <c r="M281" s="93"/>
      <c r="N281" s="93"/>
    </row>
    <row r="282" spans="1:14" s="94" customFormat="1" ht="18.95" customHeight="1">
      <c r="A282" s="69" t="str">
        <v/>
      </c>
      <c r="B282" s="72" t="str">
        <v/>
      </c>
      <c r="C282" s="81"/>
      <c r="D282" s="82"/>
      <c r="E282" s="83"/>
      <c r="F282" s="84"/>
      <c r="G282" s="81"/>
      <c r="H282" s="85"/>
      <c r="I282" s="86" t="s">
        <v>130</v>
      </c>
      <c r="J282" s="87" t="str">
        <v/>
      </c>
      <c r="K282" s="92"/>
      <c r="L282" s="93"/>
      <c r="M282" s="93"/>
      <c r="N282" s="93"/>
    </row>
    <row r="283" spans="1:14" s="94" customFormat="1" ht="18.95" customHeight="1" thickBot="1">
      <c r="A283" s="70" t="str">
        <v/>
      </c>
      <c r="B283" s="73" t="str">
        <v/>
      </c>
      <c r="C283" s="96"/>
      <c r="D283" s="97"/>
      <c r="E283" s="98"/>
      <c r="F283" s="99"/>
      <c r="G283" s="100"/>
      <c r="H283" s="101"/>
      <c r="I283" s="102" t="s">
        <v>131</v>
      </c>
      <c r="J283" s="88" t="str">
        <v/>
      </c>
      <c r="K283" s="92"/>
      <c r="L283" s="93"/>
      <c r="M283" s="93"/>
      <c r="N283" s="93"/>
    </row>
    <row r="284" spans="1:14" ht="6" customHeight="1" thickBot="1">
      <c r="A284" s="103"/>
      <c r="B284" s="104"/>
      <c r="C284" s="104"/>
      <c r="D284" s="103"/>
      <c r="E284" s="104"/>
      <c r="F284" s="104"/>
      <c r="G284" s="104"/>
      <c r="H284" s="104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</sheetData>
  <mergeCells count="475">
    <mergeCell ref="I4:I5"/>
    <mergeCell ref="B5:B6"/>
    <mergeCell ref="I38:J38"/>
    <mergeCell ref="F123:G123"/>
    <mergeCell ref="C78:D78"/>
    <mergeCell ref="A25:B25"/>
    <mergeCell ref="A196:B196"/>
    <mergeCell ref="I22:J22"/>
    <mergeCell ref="G264:H264"/>
    <mergeCell ref="I93:J93"/>
    <mergeCell ref="I264:J264"/>
    <mergeCell ref="A69:C70"/>
    <mergeCell ref="E119:E120"/>
    <mergeCell ref="A199:B199"/>
    <mergeCell ref="G150:H150"/>
    <mergeCell ref="C29:E29"/>
    <mergeCell ref="C200:E200"/>
    <mergeCell ref="C136:D136"/>
    <mergeCell ref="B62:B63"/>
    <mergeCell ref="F80:H80"/>
    <mergeCell ref="C3:C4"/>
    <mergeCell ref="E3:E4"/>
    <mergeCell ref="I19:J19"/>
    <mergeCell ref="F151:J151"/>
    <mergeCell ref="B7:B8"/>
    <mergeCell ref="A93:B93"/>
    <mergeCell ref="F62:H63"/>
    <mergeCell ref="E5:E6"/>
    <mergeCell ref="G67:G68"/>
    <mergeCell ref="I61:I62"/>
    <mergeCell ref="G69:G70"/>
    <mergeCell ref="F7:G7"/>
    <mergeCell ref="F16:H16"/>
    <mergeCell ref="G32:H32"/>
    <mergeCell ref="A7:A8"/>
    <mergeCell ref="I16:J16"/>
    <mergeCell ref="I18:J18"/>
    <mergeCell ref="F19:H19"/>
    <mergeCell ref="G10:G11"/>
    <mergeCell ref="A29:B29"/>
    <mergeCell ref="A64:A65"/>
    <mergeCell ref="A31:B31"/>
    <mergeCell ref="F21:H21"/>
    <mergeCell ref="F9:G9"/>
    <mergeCell ref="G36:H36"/>
    <mergeCell ref="I36:J36"/>
    <mergeCell ref="I78:J78"/>
    <mergeCell ref="C16:D16"/>
    <mergeCell ref="F20:H20"/>
    <mergeCell ref="A60:A61"/>
    <mergeCell ref="H67:J68"/>
    <mergeCell ref="C148:E148"/>
    <mergeCell ref="I91:J91"/>
    <mergeCell ref="F134:H134"/>
    <mergeCell ref="C117:C118"/>
    <mergeCell ref="F94:J94"/>
    <mergeCell ref="G93:H93"/>
    <mergeCell ref="E62:E63"/>
    <mergeCell ref="G34:H34"/>
    <mergeCell ref="I28:J28"/>
    <mergeCell ref="A148:B148"/>
    <mergeCell ref="A146:B146"/>
    <mergeCell ref="C31:E31"/>
    <mergeCell ref="B60:B61"/>
    <mergeCell ref="C32:E32"/>
    <mergeCell ref="F23:H23"/>
    <mergeCell ref="C28:E28"/>
    <mergeCell ref="C30:E30"/>
    <mergeCell ref="G28:H28"/>
    <mergeCell ref="A62:A63"/>
    <mergeCell ref="I25:J25"/>
    <mergeCell ref="C75:D75"/>
    <mergeCell ref="I76:J76"/>
    <mergeCell ref="A90:B90"/>
    <mergeCell ref="I203:J203"/>
    <mergeCell ref="I209:J209"/>
    <mergeCell ref="I133:J133"/>
    <mergeCell ref="F176:H177"/>
    <mergeCell ref="F202:J202"/>
    <mergeCell ref="I135:J135"/>
    <mergeCell ref="C91:E91"/>
    <mergeCell ref="C149:E149"/>
    <mergeCell ref="I130:J130"/>
    <mergeCell ref="A82:B82"/>
    <mergeCell ref="I139:J139"/>
    <mergeCell ref="C146:E146"/>
    <mergeCell ref="C147:E147"/>
    <mergeCell ref="F187:H187"/>
    <mergeCell ref="C93:E93"/>
    <mergeCell ref="H126:H127"/>
    <mergeCell ref="F119:H120"/>
    <mergeCell ref="A117:A118"/>
    <mergeCell ref="A85:B85"/>
    <mergeCell ref="A91:B91"/>
    <mergeCell ref="A174:A175"/>
    <mergeCell ref="A88:B88"/>
    <mergeCell ref="C267:D268"/>
    <mergeCell ref="E267:E268"/>
    <mergeCell ref="C269:C270"/>
    <mergeCell ref="D269:F269"/>
    <mergeCell ref="D270:F270"/>
    <mergeCell ref="D271:F271"/>
    <mergeCell ref="F76:H76"/>
    <mergeCell ref="C142:E142"/>
    <mergeCell ref="C202:E202"/>
    <mergeCell ref="F265:J265"/>
    <mergeCell ref="C151:E151"/>
    <mergeCell ref="F193:H193"/>
    <mergeCell ref="I77:J77"/>
    <mergeCell ref="E117:E118"/>
    <mergeCell ref="G258:H258"/>
    <mergeCell ref="F77:H77"/>
    <mergeCell ref="I258:J258"/>
    <mergeCell ref="G260:H260"/>
    <mergeCell ref="C145:E145"/>
    <mergeCell ref="D117:D118"/>
    <mergeCell ref="F149:J149"/>
    <mergeCell ref="I148:J148"/>
    <mergeCell ref="I82:J82"/>
    <mergeCell ref="I175:I176"/>
    <mergeCell ref="C266:D266"/>
    <mergeCell ref="A178:A179"/>
    <mergeCell ref="A121:A122"/>
    <mergeCell ref="B231:B232"/>
    <mergeCell ref="F137:H137"/>
    <mergeCell ref="F143:J143"/>
    <mergeCell ref="A176:A177"/>
    <mergeCell ref="A264:B264"/>
    <mergeCell ref="A265:B265"/>
    <mergeCell ref="G240:G241"/>
    <mergeCell ref="F208:J208"/>
    <mergeCell ref="C254:D254"/>
    <mergeCell ref="C256:E256"/>
    <mergeCell ref="D231:D232"/>
    <mergeCell ref="H238:J239"/>
    <mergeCell ref="F246:H246"/>
    <mergeCell ref="F206:J206"/>
    <mergeCell ref="F235:G235"/>
    <mergeCell ref="I192:J192"/>
    <mergeCell ref="C201:E201"/>
    <mergeCell ref="F247:H247"/>
    <mergeCell ref="C264:E264"/>
    <mergeCell ref="F250:H250"/>
    <mergeCell ref="A183:C184"/>
    <mergeCell ref="F35:J35"/>
    <mergeCell ref="H183:H184"/>
    <mergeCell ref="F259:J259"/>
    <mergeCell ref="F261:J261"/>
    <mergeCell ref="C35:E35"/>
    <mergeCell ref="F190:H190"/>
    <mergeCell ref="F145:J145"/>
    <mergeCell ref="C247:D247"/>
    <mergeCell ref="G205:H205"/>
    <mergeCell ref="I205:J205"/>
    <mergeCell ref="C199:E199"/>
    <mergeCell ref="G142:H142"/>
    <mergeCell ref="I142:J142"/>
    <mergeCell ref="C92:E92"/>
    <mergeCell ref="I79:J79"/>
    <mergeCell ref="G144:H144"/>
    <mergeCell ref="I73:J73"/>
    <mergeCell ref="F204:J204"/>
    <mergeCell ref="A126:C127"/>
    <mergeCell ref="G181:G182"/>
    <mergeCell ref="A259:B259"/>
    <mergeCell ref="A149:B149"/>
    <mergeCell ref="A200:B200"/>
    <mergeCell ref="F121:G121"/>
    <mergeCell ref="C263:E263"/>
    <mergeCell ref="F254:J254"/>
    <mergeCell ref="C250:D250"/>
    <mergeCell ref="A263:B263"/>
    <mergeCell ref="E210:E211"/>
    <mergeCell ref="C212:C213"/>
    <mergeCell ref="D212:F212"/>
    <mergeCell ref="D213:F213"/>
    <mergeCell ref="D214:F214"/>
    <mergeCell ref="A240:C241"/>
    <mergeCell ref="I216:J216"/>
    <mergeCell ref="I253:J253"/>
    <mergeCell ref="F231:H232"/>
    <mergeCell ref="I256:J256"/>
    <mergeCell ref="G262:H262"/>
    <mergeCell ref="A253:B253"/>
    <mergeCell ref="B233:B234"/>
    <mergeCell ref="I240:J241"/>
    <mergeCell ref="F248:H248"/>
    <mergeCell ref="F263:J263"/>
    <mergeCell ref="D3:D4"/>
    <mergeCell ref="A208:B208"/>
    <mergeCell ref="H12:H13"/>
    <mergeCell ref="C33:E33"/>
    <mergeCell ref="G25:H25"/>
    <mergeCell ref="I187:J187"/>
    <mergeCell ref="A261:B261"/>
    <mergeCell ref="A92:B92"/>
    <mergeCell ref="I12:J13"/>
    <mergeCell ref="F178:G178"/>
    <mergeCell ref="A231:A232"/>
    <mergeCell ref="F73:H73"/>
    <mergeCell ref="I132:J132"/>
    <mergeCell ref="C135:D135"/>
    <mergeCell ref="C20:D20"/>
    <mergeCell ref="B176:B177"/>
    <mergeCell ref="A256:B256"/>
    <mergeCell ref="C133:D133"/>
    <mergeCell ref="B178:B179"/>
    <mergeCell ref="C22:D22"/>
    <mergeCell ref="C193:D193"/>
    <mergeCell ref="I251:J251"/>
    <mergeCell ref="I189:J189"/>
    <mergeCell ref="I246:J246"/>
    <mergeCell ref="J4:J5"/>
    <mergeCell ref="J175:J176"/>
    <mergeCell ref="B229:D230"/>
    <mergeCell ref="C251:D251"/>
    <mergeCell ref="F191:H191"/>
    <mergeCell ref="I250:J250"/>
    <mergeCell ref="C174:C175"/>
    <mergeCell ref="E174:E175"/>
    <mergeCell ref="C19:D19"/>
    <mergeCell ref="C190:D190"/>
    <mergeCell ref="F64:G64"/>
    <mergeCell ref="H10:J11"/>
    <mergeCell ref="H181:J182"/>
    <mergeCell ref="I32:J32"/>
    <mergeCell ref="I134:J134"/>
    <mergeCell ref="A37:B37"/>
    <mergeCell ref="C137:D137"/>
    <mergeCell ref="G238:G239"/>
    <mergeCell ref="C25:E25"/>
    <mergeCell ref="C196:E196"/>
    <mergeCell ref="C85:E85"/>
    <mergeCell ref="C83:D83"/>
    <mergeCell ref="C248:D248"/>
    <mergeCell ref="D60:D61"/>
    <mergeCell ref="F29:J29"/>
    <mergeCell ref="F79:H79"/>
    <mergeCell ref="C231:C232"/>
    <mergeCell ref="J61:J62"/>
    <mergeCell ref="I34:J34"/>
    <mergeCell ref="D174:D175"/>
    <mergeCell ref="F233:H234"/>
    <mergeCell ref="G124:G125"/>
    <mergeCell ref="C82:E82"/>
    <mergeCell ref="G196:H196"/>
    <mergeCell ref="G146:H146"/>
    <mergeCell ref="I75:J75"/>
    <mergeCell ref="I146:J146"/>
    <mergeCell ref="F200:J200"/>
    <mergeCell ref="C208:E208"/>
    <mergeCell ref="B172:D173"/>
    <mergeCell ref="I191:J191"/>
    <mergeCell ref="A202:B202"/>
    <mergeCell ref="F197:J197"/>
    <mergeCell ref="C60:C61"/>
    <mergeCell ref="A203:B203"/>
    <mergeCell ref="C150:E150"/>
    <mergeCell ref="C144:E144"/>
    <mergeCell ref="C80:D80"/>
    <mergeCell ref="B1:D2"/>
    <mergeCell ref="I20:J20"/>
    <mergeCell ref="G85:H85"/>
    <mergeCell ref="G256:H256"/>
    <mergeCell ref="C206:E206"/>
    <mergeCell ref="C143:E143"/>
    <mergeCell ref="F147:J147"/>
    <mergeCell ref="B3:B4"/>
    <mergeCell ref="I80:J80"/>
    <mergeCell ref="A87:B87"/>
    <mergeCell ref="B58:D59"/>
    <mergeCell ref="A235:A236"/>
    <mergeCell ref="E60:E61"/>
    <mergeCell ref="E231:E232"/>
    <mergeCell ref="B235:B236"/>
    <mergeCell ref="C207:E207"/>
    <mergeCell ref="I118:I119"/>
    <mergeCell ref="G199:H199"/>
    <mergeCell ref="I150:J150"/>
    <mergeCell ref="F140:J140"/>
    <mergeCell ref="F192:H192"/>
    <mergeCell ref="I244:J244"/>
    <mergeCell ref="A3:A4"/>
    <mergeCell ref="F86:J86"/>
    <mergeCell ref="A5:A6"/>
    <mergeCell ref="A86:B86"/>
    <mergeCell ref="A144:B144"/>
    <mergeCell ref="A12:C13"/>
    <mergeCell ref="F3:H4"/>
    <mergeCell ref="A89:B89"/>
    <mergeCell ref="C36:E36"/>
    <mergeCell ref="F26:J26"/>
    <mergeCell ref="I21:J21"/>
    <mergeCell ref="C21:D21"/>
    <mergeCell ref="F90:J90"/>
    <mergeCell ref="A32:B32"/>
    <mergeCell ref="I23:J23"/>
    <mergeCell ref="I144:J144"/>
    <mergeCell ref="H69:H70"/>
    <mergeCell ref="G126:G127"/>
    <mergeCell ref="F5:H6"/>
    <mergeCell ref="G89:H89"/>
    <mergeCell ref="F37:J37"/>
    <mergeCell ref="F133:H133"/>
    <mergeCell ref="F75:H75"/>
    <mergeCell ref="F135:H135"/>
    <mergeCell ref="C90:E90"/>
    <mergeCell ref="C139:E139"/>
    <mergeCell ref="C26:D26"/>
    <mergeCell ref="C197:D197"/>
    <mergeCell ref="I207:J207"/>
    <mergeCell ref="B115:D116"/>
    <mergeCell ref="I194:J194"/>
    <mergeCell ref="C134:D134"/>
    <mergeCell ref="B119:B120"/>
    <mergeCell ref="C18:D18"/>
    <mergeCell ref="C189:D189"/>
    <mergeCell ref="A34:B34"/>
    <mergeCell ref="A36:B36"/>
    <mergeCell ref="B121:B122"/>
    <mergeCell ref="A207:B207"/>
    <mergeCell ref="A72:J72"/>
    <mergeCell ref="A205:B205"/>
    <mergeCell ref="I69:J70"/>
    <mergeCell ref="A35:B35"/>
    <mergeCell ref="C77:D77"/>
    <mergeCell ref="F117:H118"/>
    <mergeCell ref="C132:D132"/>
    <mergeCell ref="G30:H30"/>
    <mergeCell ref="C130:D130"/>
    <mergeCell ref="A94:B94"/>
    <mergeCell ref="I95:J95"/>
    <mergeCell ref="G12:G13"/>
    <mergeCell ref="A28:B28"/>
    <mergeCell ref="G183:G184"/>
    <mergeCell ref="I30:J30"/>
    <mergeCell ref="C205:E205"/>
    <mergeCell ref="A30:B30"/>
    <mergeCell ref="C94:E94"/>
    <mergeCell ref="E176:E177"/>
    <mergeCell ref="F180:G180"/>
    <mergeCell ref="C23:D23"/>
    <mergeCell ref="C95:D95"/>
    <mergeCell ref="C96:D97"/>
    <mergeCell ref="F22:H22"/>
    <mergeCell ref="F33:J33"/>
    <mergeCell ref="G148:H148"/>
    <mergeCell ref="G139:H139"/>
    <mergeCell ref="A33:B33"/>
    <mergeCell ref="E96:E97"/>
    <mergeCell ref="C98:C99"/>
    <mergeCell ref="D98:F98"/>
    <mergeCell ref="D99:F99"/>
    <mergeCell ref="D100:F100"/>
    <mergeCell ref="I102:J102"/>
    <mergeCell ref="I190:J190"/>
    <mergeCell ref="C37:E37"/>
    <mergeCell ref="F31:J31"/>
    <mergeCell ref="C34:E34"/>
    <mergeCell ref="F257:J257"/>
    <mergeCell ref="A15:J15"/>
    <mergeCell ref="A186:J186"/>
    <mergeCell ref="F130:H130"/>
    <mergeCell ref="F66:G66"/>
    <mergeCell ref="C192:D192"/>
    <mergeCell ref="I183:J184"/>
    <mergeCell ref="C244:D244"/>
    <mergeCell ref="F132:H132"/>
    <mergeCell ref="B174:B175"/>
    <mergeCell ref="C87:E87"/>
    <mergeCell ref="C194:D194"/>
    <mergeCell ref="G201:H201"/>
    <mergeCell ref="I201:J201"/>
    <mergeCell ref="J232:J233"/>
    <mergeCell ref="C89:E89"/>
    <mergeCell ref="F18:H18"/>
    <mergeCell ref="F189:H189"/>
    <mergeCell ref="A257:B257"/>
    <mergeCell ref="F88:J88"/>
    <mergeCell ref="I85:J85"/>
    <mergeCell ref="F60:H61"/>
    <mergeCell ref="C79:D79"/>
    <mergeCell ref="C73:D73"/>
    <mergeCell ref="A150:B150"/>
    <mergeCell ref="A262:B262"/>
    <mergeCell ref="C258:E258"/>
    <mergeCell ref="C260:E260"/>
    <mergeCell ref="C259:E259"/>
    <mergeCell ref="A143:B143"/>
    <mergeCell ref="G87:H87"/>
    <mergeCell ref="A258:B258"/>
    <mergeCell ref="A260:B260"/>
    <mergeCell ref="G82:H82"/>
    <mergeCell ref="A151:B151"/>
    <mergeCell ref="A206:B206"/>
    <mergeCell ref="C86:E86"/>
    <mergeCell ref="A204:B204"/>
    <mergeCell ref="B64:B65"/>
    <mergeCell ref="H124:J125"/>
    <mergeCell ref="I137:J137"/>
    <mergeCell ref="C140:D140"/>
    <mergeCell ref="F83:J83"/>
    <mergeCell ref="A233:A234"/>
    <mergeCell ref="C209:D209"/>
    <mergeCell ref="I87:J87"/>
    <mergeCell ref="J118:J119"/>
    <mergeCell ref="F251:H251"/>
    <mergeCell ref="G203:H203"/>
    <mergeCell ref="C88:E88"/>
    <mergeCell ref="F249:H249"/>
    <mergeCell ref="C261:E261"/>
    <mergeCell ref="C257:E257"/>
    <mergeCell ref="F174:H175"/>
    <mergeCell ref="F136:H136"/>
    <mergeCell ref="C204:E204"/>
    <mergeCell ref="F92:J92"/>
    <mergeCell ref="G91:H91"/>
    <mergeCell ref="I247:J247"/>
    <mergeCell ref="C253:E253"/>
    <mergeCell ref="G207:H207"/>
    <mergeCell ref="H240:H241"/>
    <mergeCell ref="C249:D249"/>
    <mergeCell ref="G253:H253"/>
    <mergeCell ref="C203:E203"/>
    <mergeCell ref="I248:J248"/>
    <mergeCell ref="F237:G237"/>
    <mergeCell ref="I193:J193"/>
    <mergeCell ref="I126:J127"/>
    <mergeCell ref="I89:J89"/>
    <mergeCell ref="I260:J260"/>
    <mergeCell ref="C187:D187"/>
    <mergeCell ref="F244:H244"/>
    <mergeCell ref="I232:I233"/>
    <mergeCell ref="E233:E234"/>
    <mergeCell ref="I249:J249"/>
    <mergeCell ref="A201:B201"/>
    <mergeCell ref="C246:D246"/>
    <mergeCell ref="A243:J243"/>
    <mergeCell ref="C210:D211"/>
    <mergeCell ref="C191:D191"/>
    <mergeCell ref="I196:J196"/>
    <mergeCell ref="A147:B147"/>
    <mergeCell ref="A145:B145"/>
    <mergeCell ref="A139:B139"/>
    <mergeCell ref="A129:J129"/>
    <mergeCell ref="A119:A120"/>
    <mergeCell ref="I136:J136"/>
    <mergeCell ref="B117:B118"/>
    <mergeCell ref="A142:B142"/>
    <mergeCell ref="I199:J199"/>
    <mergeCell ref="F194:H194"/>
    <mergeCell ref="I273:J273"/>
    <mergeCell ref="C38:D38"/>
    <mergeCell ref="C39:D40"/>
    <mergeCell ref="E39:E40"/>
    <mergeCell ref="C41:C42"/>
    <mergeCell ref="D41:F41"/>
    <mergeCell ref="D42:F42"/>
    <mergeCell ref="D43:F43"/>
    <mergeCell ref="I45:J45"/>
    <mergeCell ref="C152:D152"/>
    <mergeCell ref="C153:D154"/>
    <mergeCell ref="E153:E154"/>
    <mergeCell ref="C155:C156"/>
    <mergeCell ref="D155:F155"/>
    <mergeCell ref="D156:F156"/>
    <mergeCell ref="D157:F157"/>
    <mergeCell ref="I159:J159"/>
    <mergeCell ref="I152:J152"/>
    <mergeCell ref="C76:D76"/>
    <mergeCell ref="F78:H78"/>
    <mergeCell ref="I266:J266"/>
    <mergeCell ref="I262:J262"/>
    <mergeCell ref="C262:E262"/>
    <mergeCell ref="C265:E265"/>
  </mergeCells>
  <phoneticPr fontId="2"/>
  <conditionalFormatting sqref="A102:B112 C103:E112 D102:E102">
    <cfRule type="cellIs" dxfId="10" priority="16" operator="between">
      <formula>0</formula>
      <formula>0</formula>
    </cfRule>
  </conditionalFormatting>
  <conditionalFormatting sqref="A159:B169 C160:E169 D159:E159">
    <cfRule type="cellIs" dxfId="9" priority="8" operator="between">
      <formula>0</formula>
      <formula>0</formula>
    </cfRule>
  </conditionalFormatting>
  <conditionalFormatting sqref="A216:B226 C217:E226 D216:E216">
    <cfRule type="cellIs" dxfId="8" priority="14" operator="between">
      <formula>0</formula>
      <formula>0</formula>
    </cfRule>
  </conditionalFormatting>
  <conditionalFormatting sqref="A273:B283 C274:E283 D273:E273">
    <cfRule type="cellIs" dxfId="7" priority="12" operator="between">
      <formula>0</formula>
      <formula>0</formula>
    </cfRule>
  </conditionalFormatting>
  <conditionalFormatting sqref="A112:H112">
    <cfRule type="expression" dxfId="5" priority="15">
      <formula>ISNUMBER(SEARCH("灯具",$F60))</formula>
    </cfRule>
  </conditionalFormatting>
  <conditionalFormatting sqref="A169:H169">
    <cfRule type="expression" dxfId="4" priority="7">
      <formula>ISNUMBER(SEARCH("灯具",$F117))</formula>
    </cfRule>
  </conditionalFormatting>
  <conditionalFormatting sqref="A226:H226">
    <cfRule type="expression" dxfId="3" priority="13">
      <formula>ISNUMBER(SEARCH("灯具",$F174))</formula>
    </cfRule>
  </conditionalFormatting>
  <conditionalFormatting sqref="A283:H283">
    <cfRule type="expression" dxfId="2" priority="11">
      <formula>ISNUMBER(SEARCH("灯具",$F231))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4" manualBreakCount="4">
    <brk id="57" max="16383" man="1"/>
    <brk id="114" max="16383" man="1"/>
    <brk id="171" max="16383" man="1"/>
    <brk id="22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2026-03-11T06:20:58Z</cp:lastPrinted>
  <dcterms:created xsi:type="dcterms:W3CDTF">2024-07-11T02:08:33Z</dcterms:created>
  <dcterms:modified xsi:type="dcterms:W3CDTF">2026-06-05T10:17:18Z</dcterms:modified>
</cp:coreProperties>
</file>