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4" documentId="13_ncr:1_{3AC342E9-08FB-4B46-860C-2A29FE760B41}" xr6:coauthVersionLast="47" xr6:coauthVersionMax="47" xr10:uidLastSave="{500BB83F-3A44-4710-A3BA-A3C9AF97D944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<sst xmlns="http://schemas.openxmlformats.org/spreadsheetml/2006/main" count="101" uniqueCount="96">
  <si>
    <t>検査梱包指示書</t>
  </si>
  <si>
    <t>品目番号</t>
  </si>
  <si>
    <t>J1ZAFJB00212585</t>
  </si>
  <si>
    <t>Ｌ寸</t>
  </si>
  <si>
    <t>名称</t>
  </si>
  <si>
    <t>463301-2060灯具ｶﾊﾞｰPC IN</t>
  </si>
  <si>
    <t>上長</t>
  </si>
  <si>
    <t>係員</t>
  </si>
  <si>
    <t>製造指図№</t>
  </si>
  <si>
    <t>000000000012987</t>
  </si>
  <si>
    <t>原料名</t>
  </si>
  <si>
    <t>J6VZ041</t>
  </si>
  <si>
    <t>発注明細№</t>
  </si>
  <si>
    <t>000000000840069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</si>
  <si>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</si>
  <si>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</si>
  <si>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</si>
  <si>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</si>
  <si>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</si>
  <si>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</si>
  <si>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</si>
  <si>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</si>
  <si>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</si>
  <si>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</si>
  <si>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</si>
  <si>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*J1ZAFJB00212585*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</si>
  <si>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</si>
  <si>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</si>
  <si>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</si>
  <si>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</si>
  <si>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</si>
  <si>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</si>
  <si>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</si>
  <si>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</si>
  <si>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</si>
  <si>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</si>
  <si>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</si>
  <si>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</si>
  <si>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</si>
  <si>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</si>
  <si>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V3P13</t>
  </si>
  <si>
    <t>捺印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</si>
  <si>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</si>
  <si>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</si>
  <si>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</si>
  <si>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</si>
  <si>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</si>
  <si>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</si>
  <si>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J1ZAFJA00212585</t>
  </si>
  <si>
    <t>@463301-2060灯具ｶﾊﾞｰPCIN</t>
  </si>
  <si>
    <t>V3J04</t>
  </si>
  <si>
    <t>*J1ZAFJA00212585*</t>
  </si>
  <si>
    <t>J6DW0043</t>
  </si>
  <si>
    <t>灯具-1</t>
  </si>
  <si>
    <t>*J6DW0043*</t>
  </si>
  <si>
    <t>J6XX0050</t>
  </si>
  <si>
    <t>(管理外)筋入ｸﾗﾌﾄ紙</t>
  </si>
  <si>
    <t>*J6XX0050*</t>
  </si>
  <si>
    <t>300＊100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</si>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</sst>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7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ED396BAE-8A86-457C-B2D4-5A7D5CB2BEF5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57151</xdr:colOff>
      <xdr:row>4</xdr:row>
      <xdr:rowOff>28576</xdr:rowOff>
    </xdr:from>
    <xdr:to>
      <xdr:col>9</xdr:col>
      <xdr:colOff>762001</xdr:colOff>
      <xdr:row>7</xdr:row>
      <xdr:rowOff>76201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E2217B4-FAE4-860B-4BC7-B79291A26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6" y="752476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4</xdr:row>
      <xdr:rowOff>9526</xdr:rowOff>
    </xdr:from>
    <xdr:to>
      <xdr:col>8</xdr:col>
      <xdr:colOff>752476</xdr:colOff>
      <xdr:row>7</xdr:row>
      <xdr:rowOff>57151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945B587-AE3E-C333-2748-63452D715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6" y="733426"/>
          <a:ext cx="704850" cy="704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topLeftCell="A32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3" t="s">
        <v>0</v>
      </c>
      <c r="C1" s="116"/>
      <c r="D1" s="11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6"/>
      <c r="C2" s="116"/>
      <c r="D2" s="116"/>
      <c r="E2" s="12"/>
      <c r="F2" s="12"/>
      <c r="G2" s="12"/>
      <c r="H2" s="12"/>
      <c r="I2" s="12"/>
      <c r="J2" s="12"/>
    </row>
    <row r="3" spans="1:10" ht="14.25" customHeight="1">
      <c r="A3" s="117" t="s">
        <v>1</v>
      </c>
      <c r="B3" s="117" t="s">
        <v>2</v>
      </c>
      <c r="C3" s="117" t="s">
        <v>3</v>
      </c>
      <c r="D3" s="121">
        <v>1258</v>
      </c>
      <c r="E3" s="117" t="s">
        <v>4</v>
      </c>
      <c r="F3" s="115" t="s">
        <v>5</v>
      </c>
      <c r="G3" s="116"/>
      <c r="H3" s="116"/>
      <c r="I3" s="24" t="s">
        <v>6</v>
      </c>
      <c r="J3" s="24" t="s">
        <v>7</v>
      </c>
    </row>
    <row r="4" spans="1:10" ht="14.25" customHeight="1">
      <c r="A4" s="116"/>
      <c r="B4" s="116"/>
      <c r="C4" s="116"/>
      <c r="D4" s="116"/>
      <c r="E4" s="116"/>
      <c r="F4" s="116"/>
      <c r="G4" s="116"/>
      <c r="H4" s="116"/>
      <c r="I4" s="119"/>
      <c r="J4" s="119"/>
    </row>
    <row r="5" spans="1:10" ht="17.45" customHeight="1">
      <c r="A5" s="118" t="s">
        <v>8</v>
      </c>
      <c r="B5" s="118" t="s">
        <v>9</v>
      </c>
      <c r="E5" s="118" t="s">
        <v>10</v>
      </c>
      <c r="F5" s="127" t="s">
        <v>11</v>
      </c>
      <c r="G5" s="116"/>
      <c r="H5" s="116"/>
      <c r="I5" s="120"/>
      <c r="J5" s="120"/>
    </row>
    <row r="6" spans="1:10" ht="17.45" customHeight="1">
      <c r="A6" s="116"/>
      <c r="B6" s="116"/>
      <c r="E6" s="116"/>
      <c r="F6" s="116"/>
      <c r="G6" s="116"/>
      <c r="H6" s="116"/>
      <c r="I6" s="13"/>
      <c r="J6" s="13"/>
    </row>
    <row r="7" spans="1:10" ht="17.45" customHeight="1">
      <c r="A7" s="118" t="s">
        <v>12</v>
      </c>
      <c r="B7" s="118" t="s">
        <v>13</v>
      </c>
      <c r="E7" s="2" t="s">
        <v>14</v>
      </c>
      <c r="F7" s="127" t="s">
        <v>15</v>
      </c>
      <c r="G7" s="116"/>
      <c r="H7" s="21"/>
      <c r="I7" s="13"/>
      <c r="J7" s="13"/>
    </row>
    <row r="8" spans="1:10" ht="17.45" customHeight="1">
      <c r="A8" s="116"/>
      <c r="B8" s="116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46129</v>
      </c>
      <c r="E9" s="2" t="s">
        <v>19</v>
      </c>
      <c r="F9" s="153">
        <v>16</v>
      </c>
      <c r="G9" s="116"/>
      <c r="H9" s="21"/>
    </row>
    <row r="10" spans="1:10" ht="17.45" customHeight="1">
      <c r="A10" s="2" t="s">
        <v>20</v>
      </c>
      <c r="B10" s="4">
        <v>46129</v>
      </c>
      <c r="E10" s="2" t="s">
        <v>21</v>
      </c>
      <c r="F10" s="21">
        <v>6</v>
      </c>
      <c r="G10" s="143" t="s">
        <v>22</v>
      </c>
      <c r="H10" s="136">
        <v>96</v>
      </c>
      <c r="I10" s="137"/>
      <c r="J10" s="138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9"/>
      <c r="H11" s="139"/>
      <c r="I11" s="113"/>
      <c r="J11" s="126"/>
    </row>
    <row r="12" spans="1:10" ht="13.5" customHeight="1">
      <c r="A12" s="130" t="s">
        <v>25</v>
      </c>
      <c r="B12" s="116"/>
      <c r="C12" s="116"/>
      <c r="D12" s="20"/>
      <c r="F12" s="3"/>
      <c r="G12" s="134" t="s">
        <v>26</v>
      </c>
      <c r="H12" s="152" t="s">
        <v>27</v>
      </c>
      <c r="I12" s="124" t="s">
        <v>28</v>
      </c>
      <c r="J12" s="125"/>
    </row>
    <row r="13" spans="1:10" ht="13.5" customHeight="1">
      <c r="A13" s="116"/>
      <c r="B13" s="116"/>
      <c r="C13" s="116"/>
      <c r="D13" s="20"/>
      <c r="F13" s="3"/>
      <c r="G13" s="135"/>
      <c r="H13" s="135"/>
      <c r="I13" s="113"/>
      <c r="J13" s="126"/>
    </row>
    <row r="14" spans="1:10" ht="13.5" customHeight="1">
      <c r="A14" s="1" t="s">
        <v>29</v>
      </c>
    </row>
    <row r="15" spans="1:10" ht="63" customHeight="1" thickBot="1">
      <c r="A15" s="122"/>
      <c r="B15" s="123"/>
      <c r="C15" s="123"/>
      <c r="D15" s="123"/>
      <c r="E15" s="123"/>
      <c r="F15" s="123"/>
      <c r="G15" s="123"/>
      <c r="H15" s="123"/>
      <c r="I15" s="123"/>
      <c r="J15" s="123"/>
    </row>
    <row r="16" spans="1:10" ht="18.75">
      <c r="A16" s="23" t="s">
        <v>30</v>
      </c>
      <c r="B16" s="16" t="s">
        <v>31</v>
      </c>
      <c r="C16" s="128" t="s">
        <v>32</v>
      </c>
      <c r="D16" s="129"/>
      <c r="E16" s="16" t="s">
        <v>33</v>
      </c>
      <c r="F16" s="128" t="s">
        <v>34</v>
      </c>
      <c r="G16" s="129"/>
      <c r="H16" s="129"/>
      <c r="I16" s="140" t="s">
        <v>35</v>
      </c>
      <c r="J16" s="12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7" t="s">
        <v>37</v>
      </c>
      <c r="D18" s="108"/>
      <c r="E18" s="25" t="s">
        <v>38</v>
      </c>
      <c r="F18" s="107" t="s">
        <v>39</v>
      </c>
      <c r="G18" s="108"/>
      <c r="H18" s="108"/>
      <c r="I18" s="114"/>
      <c r="J18" s="108"/>
    </row>
    <row r="19" spans="1:10" s="7" customFormat="1" ht="16.5" customHeight="1">
      <c r="A19" s="22">
        <v>1</v>
      </c>
      <c r="B19" s="26" t="s">
        <v>36</v>
      </c>
      <c r="C19" s="107" t="s">
        <v>37</v>
      </c>
      <c r="D19" s="108"/>
      <c r="E19" s="25" t="s">
        <v>40</v>
      </c>
      <c r="F19" s="107" t="s">
        <v>41</v>
      </c>
      <c r="G19" s="108"/>
      <c r="H19" s="108"/>
      <c r="I19" s="114"/>
      <c r="J19" s="108"/>
    </row>
    <row r="20" spans="1:10" s="7" customFormat="1" ht="16.5" customHeight="1">
      <c r="A20" s="22"/>
      <c r="B20" s="26"/>
      <c r="C20" s="107"/>
      <c r="D20" s="108"/>
      <c r="E20" s="25"/>
      <c r="F20" s="107"/>
      <c r="G20" s="108"/>
      <c r="H20" s="108"/>
      <c r="I20" s="114"/>
      <c r="J20" s="108"/>
    </row>
    <row r="21" spans="1:10" s="7" customFormat="1" ht="16.5" customHeight="1">
      <c r="A21" s="22"/>
      <c r="B21" s="26"/>
      <c r="C21" s="107"/>
      <c r="D21" s="108"/>
      <c r="E21" s="25"/>
      <c r="F21" s="107"/>
      <c r="G21" s="108"/>
      <c r="H21" s="108"/>
      <c r="I21" s="114"/>
      <c r="J21" s="108"/>
    </row>
    <row r="22" spans="1:10" s="7" customFormat="1" ht="16.5" customHeight="1">
      <c r="A22" s="22"/>
      <c r="B22" s="26"/>
      <c r="C22" s="107"/>
      <c r="D22" s="108"/>
      <c r="E22" s="25"/>
      <c r="F22" s="107"/>
      <c r="G22" s="108"/>
      <c r="H22" s="108"/>
      <c r="I22" s="114"/>
      <c r="J22" s="108"/>
    </row>
    <row r="23" spans="1:10" s="7" customFormat="1" ht="16.5" customHeight="1">
      <c r="A23" s="22"/>
      <c r="B23" s="26"/>
      <c r="C23" s="107"/>
      <c r="D23" s="108"/>
      <c r="E23" s="25"/>
      <c r="F23" s="107"/>
      <c r="G23" s="108"/>
      <c r="H23" s="108"/>
      <c r="I23" s="114"/>
      <c r="J23" s="10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42</v>
      </c>
      <c r="B25" s="132"/>
      <c r="C25" s="131" t="s">
        <v>43</v>
      </c>
      <c r="D25" s="132"/>
      <c r="E25" s="132"/>
      <c r="F25" s="17" t="s">
        <v>44</v>
      </c>
      <c r="G25" s="131" t="s">
        <v>45</v>
      </c>
      <c r="H25" s="132"/>
      <c r="I25" s="131" t="s">
        <v>46</v>
      </c>
      <c r="J25" s="132"/>
    </row>
    <row r="26" spans="1:10" ht="14.25" customHeight="1">
      <c r="A26" s="8"/>
      <c r="B26" s="18"/>
      <c r="C26" s="112" t="s">
        <v>47</v>
      </c>
      <c r="D26" s="113"/>
      <c r="E26" s="18"/>
      <c r="F26" s="112" t="s">
        <v>29</v>
      </c>
      <c r="G26" s="113"/>
      <c r="H26" s="113"/>
      <c r="I26" s="113"/>
      <c r="J26" s="113"/>
    </row>
    <row r="27" spans="1:10">
      <c r="A27" s="9"/>
      <c r="C27" s="7"/>
      <c r="D27" s="7"/>
      <c r="E27" s="7"/>
    </row>
    <row r="28" spans="1:10" s="5" customFormat="1" ht="14.25" customHeight="1">
      <c r="A28" s="107" t="s">
        <v>48</v>
      </c>
      <c r="B28" s="110"/>
      <c r="C28" s="107" t="s">
        <v>49</v>
      </c>
      <c r="D28" s="110"/>
      <c r="E28" s="110"/>
      <c r="F28" s="27" t="s">
        <v>50</v>
      </c>
      <c r="G28" s="111">
        <v>96</v>
      </c>
      <c r="H28" s="110"/>
      <c r="I28" s="111">
        <v>6</v>
      </c>
      <c r="J28" s="110"/>
    </row>
    <row r="29" spans="1:10" s="7" customFormat="1" ht="24.95" customHeight="1">
      <c r="A29" s="109" t="s">
        <v>51</v>
      </c>
      <c r="B29" s="108"/>
      <c r="C29" s="107" t="s">
        <v>11</v>
      </c>
      <c r="D29" s="108"/>
      <c r="E29" s="108"/>
      <c r="F29" s="107"/>
      <c r="G29" s="108"/>
      <c r="H29" s="108"/>
      <c r="I29" s="108"/>
      <c r="J29" s="108"/>
    </row>
    <row r="30" spans="1:10" s="5" customFormat="1" ht="14.25" customHeight="1">
      <c r="A30" s="107" t="s">
        <v>52</v>
      </c>
      <c r="B30" s="110"/>
      <c r="C30" s="107" t="s">
        <v>53</v>
      </c>
      <c r="D30" s="110"/>
      <c r="E30" s="110"/>
      <c r="F30" s="27" t="s">
        <v>27</v>
      </c>
      <c r="G30" s="111">
        <v>6.048</v>
      </c>
      <c r="H30" s="110"/>
      <c r="I30" s="111">
        <v>0.378</v>
      </c>
      <c r="J30" s="110"/>
    </row>
    <row r="31" spans="1:10" s="7" customFormat="1" ht="24.95" customHeight="1">
      <c r="A31" s="109" t="s">
        <v>54</v>
      </c>
      <c r="B31" s="108"/>
      <c r="C31" s="107"/>
      <c r="D31" s="108"/>
      <c r="E31" s="108"/>
      <c r="F31" s="107"/>
      <c r="G31" s="108"/>
      <c r="H31" s="108"/>
      <c r="I31" s="108"/>
      <c r="J31" s="108"/>
    </row>
    <row r="32" spans="1:10" s="5" customFormat="1" ht="14.25" customHeight="1">
      <c r="A32" s="107" t="s">
        <v>55</v>
      </c>
      <c r="B32" s="110"/>
      <c r="C32" s="107" t="s">
        <v>56</v>
      </c>
      <c r="D32" s="110"/>
      <c r="E32" s="110"/>
      <c r="F32" s="27"/>
      <c r="G32" s="111">
        <v>0.38400000000000001</v>
      </c>
      <c r="H32" s="110"/>
      <c r="I32" s="111">
        <v>2.4E-2</v>
      </c>
      <c r="J32" s="110"/>
    </row>
    <row r="33" spans="1:14" s="7" customFormat="1" ht="24.95" customHeight="1">
      <c r="A33" s="109" t="s">
        <v>57</v>
      </c>
      <c r="B33" s="108"/>
      <c r="C33" s="107" t="s">
        <v>58</v>
      </c>
      <c r="D33" s="108"/>
      <c r="E33" s="108"/>
      <c r="F33" s="107"/>
      <c r="G33" s="108"/>
      <c r="H33" s="108"/>
      <c r="I33" s="108"/>
      <c r="J33" s="108"/>
    </row>
    <row r="34" spans="1:14" s="5" customFormat="1" ht="14.25" customHeight="1">
      <c r="A34" s="107"/>
      <c r="B34" s="110"/>
      <c r="C34" s="107"/>
      <c r="D34" s="110"/>
      <c r="E34" s="110"/>
      <c r="F34" s="27"/>
      <c r="G34" s="111"/>
      <c r="H34" s="110"/>
      <c r="I34" s="111"/>
      <c r="J34" s="110"/>
    </row>
    <row r="35" spans="1:14" s="7" customFormat="1" ht="24.95" customHeight="1">
      <c r="A35" s="109"/>
      <c r="B35" s="108"/>
      <c r="C35" s="107"/>
      <c r="D35" s="108"/>
      <c r="E35" s="108"/>
      <c r="F35" s="107"/>
      <c r="G35" s="108"/>
      <c r="H35" s="108"/>
      <c r="I35" s="108"/>
      <c r="J35" s="108"/>
    </row>
    <row r="36" spans="1:14" s="5" customFormat="1" ht="14.25" customHeight="1">
      <c r="A36" s="107"/>
      <c r="B36" s="110"/>
      <c r="C36" s="107"/>
      <c r="D36" s="110"/>
      <c r="E36" s="110"/>
      <c r="F36" s="27"/>
      <c r="G36" s="111"/>
      <c r="H36" s="110"/>
      <c r="I36" s="111"/>
      <c r="J36" s="110"/>
    </row>
    <row r="37" spans="1:14" s="7" customFormat="1" ht="24.95" customHeight="1" thickBot="1">
      <c r="A37" s="109"/>
      <c r="B37" s="108"/>
      <c r="C37" s="107"/>
      <c r="D37" s="108"/>
      <c r="E37" s="108"/>
      <c r="F37" s="107"/>
      <c r="G37" s="108"/>
      <c r="H37" s="108"/>
      <c r="I37" s="108"/>
      <c r="J37" s="108"/>
    </row>
    <row r="38" spans="1:14" s="5" customFormat="1" ht="18" customHeight="1">
      <c r="A38" s="28" t="s">
        <v>59</v>
      </c>
      <c r="B38" s="29" t="s">
        <v>60</v>
      </c>
      <c r="C38" s="144" t="s">
        <v>61</v>
      </c>
      <c r="D38" s="145"/>
      <c r="E38" s="30" t="s">
        <v>62</v>
      </c>
      <c r="F38" s="31" t="s">
        <v>63</v>
      </c>
      <c r="G38" s="32" t="s">
        <v>64</v>
      </c>
      <c r="H38" s="33" t="s">
        <v>65</v>
      </c>
      <c r="I38" s="105" t="s">
        <v>66</v>
      </c>
      <c r="J38" s="106"/>
    </row>
    <row r="39" spans="1:14" s="7" customFormat="1" ht="18" customHeight="1">
      <c r="A39" s="34" t="str">
        <f>_xlfn.XLOOKUP(B3,[1]VFDB2!$A:$A,[1]VFDB2!$J:$J)</f>
        <v>-</v>
      </c>
      <c r="B39" s="35">
        <f>D3</f>
        <v>1258</v>
      </c>
      <c r="C39" s="146" t="str">
        <f>_xlfn.XLOOKUP(B3,[1]VFDB2!$A:$A,[1]VFDB2!$Z:$Z)</f>
        <v>灯具-1　L=1370</v>
      </c>
      <c r="D39" s="147"/>
      <c r="E39" s="148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67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68</v>
      </c>
      <c r="B40" s="45" t="s">
        <v>69</v>
      </c>
      <c r="C40" s="146"/>
      <c r="D40" s="147"/>
      <c r="E40" s="148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70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+2</v>
      </c>
      <c r="B41" s="49" t="str">
        <f>_xlfn.XLOOKUP(B3,[1]VFDB2!$A:$A,[1]VFDB2!$AC:$AC)</f>
        <v>換算表確認</v>
      </c>
      <c r="C41" s="149" t="s">
        <v>71</v>
      </c>
      <c r="D41" s="150" t="str">
        <f>_xlfn.XLOOKUP(B3,[1]VFDB2!$A:$A,[1]VFDB2!$W:$W)</f>
        <v>クラフト紙：1370型</v>
      </c>
      <c r="E41" s="150"/>
      <c r="F41" s="151"/>
      <c r="G41" s="37"/>
      <c r="H41" s="38"/>
      <c r="I41" s="39" t="s">
        <v>72</v>
      </c>
      <c r="J41" s="41" t="str">
        <v/>
      </c>
      <c r="K41" s="50"/>
    </row>
    <row r="42" spans="1:14" s="5" customFormat="1" ht="18" customHeight="1">
      <c r="A42" s="51" t="s">
        <v>73</v>
      </c>
      <c r="B42" s="52" t="s">
        <v>74</v>
      </c>
      <c r="C42" s="149"/>
      <c r="D42" s="150" t="str">
        <f>_xlfn.XLOOKUP(B3,[1]VFDB2!$A:$A,[1]VFDB2!$R:$R)</f>
        <v>ラベル2枚　長手有　鉢巻１</v>
      </c>
      <c r="E42" s="150"/>
      <c r="F42" s="151"/>
      <c r="G42" s="37"/>
      <c r="H42" s="38"/>
      <c r="I42" s="39" t="s">
        <v>75</v>
      </c>
      <c r="J42" s="41" t="str">
        <v/>
      </c>
      <c r="K42" s="47"/>
    </row>
    <row r="43" spans="1:14" s="7" customFormat="1" ht="18" customHeight="1" thickBot="1">
      <c r="A43" s="53">
        <f>_xlfn.XLOOKUP(B3,[1]VFDB2!$A:$A,[1]VFDB2!$K:$K)</f>
        <v>-2</v>
      </c>
      <c r="B43" s="54">
        <f>_xlfn.XLOOKUP(B3,[1]VFDB2!$A:$A,[1]VFDB2!$P:$P)</f>
        <v>1</v>
      </c>
      <c r="C43" s="55" t="s">
        <v>76</v>
      </c>
      <c r="D43" s="154" t="str">
        <f>_xlfn.XLOOKUP(B3,[1]VFDB2!$A:$A,[1]VFDB2!$V:$V)</f>
        <v>梱包箱:灯具-1　L1370(隙間埋め)</v>
      </c>
      <c r="E43" s="154"/>
      <c r="F43" s="155"/>
      <c r="G43" s="56"/>
      <c r="H43" s="57"/>
      <c r="I43" s="39" t="s">
        <v>77</v>
      </c>
      <c r="J43" s="42" t="str">
        <v/>
      </c>
      <c r="K43" s="50"/>
    </row>
    <row r="44" spans="1:14" s="5" customFormat="1" ht="18" customHeight="1" thickBot="1">
      <c r="A44" s="58" t="s">
        <v>78</v>
      </c>
      <c r="B44" s="59" t="str" cm="1">
        <f t="array" ref="B44">IF(SUM(--(ISTEXT(B45:B55)*(B45:B55&lt;&gt;"")))=0,"計測Lot","計測Lot・加工数")</f>
        <v>計測Lot</v>
      </c>
      <c r="C44" s="60" t="s">
        <v>79</v>
      </c>
      <c r="D44" s="61" t="s">
        <v>80</v>
      </c>
      <c r="E44" s="62" t="s">
        <v>81</v>
      </c>
      <c r="F44" s="63" t="str" cm="1">
        <f t="array" ref="F44">IF(SUM(--(ISTEXT(B45:B55)*(B45:B55&lt;&gt;"")))=0,"記入不要","使用Lot")</f>
        <v>記入不要</v>
      </c>
      <c r="G44" s="64" t="s">
        <v>82</v>
      </c>
      <c r="H44" s="65" t="s">
        <v>83</v>
      </c>
      <c r="I44" s="66" t="s">
        <v>84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41" t="s">
        <v>85</v>
      </c>
      <c r="J45" s="142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86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87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88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89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90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91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92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93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94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95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F31:J31"/>
    <mergeCell ref="C34:E34"/>
    <mergeCell ref="C22:D22"/>
    <mergeCell ref="F26:J26"/>
    <mergeCell ref="I21:J21"/>
    <mergeCell ref="C28:E28"/>
    <mergeCell ref="C21:D21"/>
    <mergeCell ref="I22:J22"/>
    <mergeCell ref="I28:J28"/>
    <mergeCell ref="G28:H28"/>
    <mergeCell ref="I23:J23"/>
    <mergeCell ref="C30:E30"/>
    <mergeCell ref="C23:D23"/>
    <mergeCell ref="C26:D26"/>
    <mergeCell ref="G30:H30"/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  <mergeCell ref="F35:J35"/>
    <mergeCell ref="F33:J33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2026-03-15T22:48:22Z</cp:lastPrinted>
  <dcterms:created xsi:type="dcterms:W3CDTF">2024-07-11T02:08:33Z</dcterms:created>
  <dcterms:modified xsi:type="dcterms:W3CDTF">2026-06-05T10:17:23Z</dcterms:modified>
</cp:coreProperties>
</file>