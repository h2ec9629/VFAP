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" documentId="8_{FFEC3BA2-9D7C-42E0-825C-435D2A2BCCB5}" xr6:coauthVersionLast="47" xr6:coauthVersionMax="47" xr10:uidLastSave="{9835A880-03CF-473D-A30B-4218EE02E7F5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<sst xmlns="http://schemas.openxmlformats.org/spreadsheetml/2006/main" count="94" uniqueCount="89">
  <si>
    <t>検査梱包指示書</t>
  </si>
  <si>
    <t>品目番号</t>
  </si>
  <si>
    <t>J1AAFAB01299999</t>
  </si>
  <si>
    <t>名称</t>
  </si>
  <si>
    <t>GA-770 (特注)BR</t>
  </si>
  <si>
    <t>上長</t>
  </si>
  <si>
    <t>係員</t>
  </si>
  <si>
    <t>製造指図№</t>
  </si>
  <si>
    <t>000000000015577</t>
  </si>
  <si>
    <t>原料名</t>
  </si>
  <si>
    <t>J1VR256D</t>
  </si>
  <si>
    <t>発注明細№</t>
  </si>
  <si>
    <t>000000000866174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</si>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</sst>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0" fontId="12" fillId="0" borderId="0" xfId="0" applyFont="1">
      <alignment vertical="center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260365C-41E5-4D81-8B85-7112838E7873}"/>
  </cellStyles>
  <dxfs count="2"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4</xdr:row>
      <xdr:rowOff>76200</xdr:rowOff>
    </xdr:from>
    <xdr:to>
      <xdr:col>9</xdr:col>
      <xdr:colOff>666750</xdr:colOff>
      <xdr:row>6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4BD150-EE07-A0CD-2496-BBADE9CAA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8001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</xdr:row>
      <xdr:rowOff>57150</xdr:rowOff>
    </xdr:from>
    <xdr:to>
      <xdr:col>8</xdr:col>
      <xdr:colOff>695325</xdr:colOff>
      <xdr:row>7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F3A80D-86D6-8841-0E3F-E5790AA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781050"/>
          <a:ext cx="619125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Sheet1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M267">
            <v>46183</v>
          </cell>
          <cell r="N267">
            <v>9</v>
          </cell>
          <cell r="P267">
            <v>46184</v>
          </cell>
          <cell r="R267">
            <v>5</v>
          </cell>
          <cell r="U267" t="str">
            <v>000000000014599</v>
          </cell>
        </row>
        <row r="268">
          <cell r="D268">
            <v>46182</v>
          </cell>
          <cell r="E268" t="str">
            <v>26E23-05</v>
          </cell>
          <cell r="M268">
            <v>46184</v>
          </cell>
          <cell r="N268">
            <v>1</v>
          </cell>
          <cell r="P268">
            <v>1000</v>
          </cell>
          <cell r="U268" t="str">
            <v>000000000014599</v>
          </cell>
        </row>
        <row r="269">
          <cell r="C269">
            <v>1000</v>
          </cell>
          <cell r="D269">
            <v>46183</v>
          </cell>
          <cell r="E269" t="str">
            <v>26E23-05</v>
          </cell>
          <cell r="F269">
            <v>400</v>
          </cell>
          <cell r="P269">
            <v>503</v>
          </cell>
          <cell r="R269">
            <v>1</v>
          </cell>
          <cell r="U269" t="str">
            <v>000000000014599</v>
          </cell>
        </row>
        <row r="270">
          <cell r="C270">
            <v>1000</v>
          </cell>
          <cell r="D270">
            <v>46183</v>
          </cell>
          <cell r="E270" t="str">
            <v>26E23-05</v>
          </cell>
          <cell r="F270">
            <v>14</v>
          </cell>
          <cell r="P270">
            <v>6</v>
          </cell>
          <cell r="U270" t="str">
            <v>000000000014599</v>
          </cell>
        </row>
        <row r="271">
          <cell r="C271">
            <v>2</v>
          </cell>
          <cell r="D271">
            <v>46183</v>
          </cell>
          <cell r="E271" t="str">
            <v>26E26-07</v>
          </cell>
          <cell r="P271">
            <v>3</v>
          </cell>
          <cell r="U271" t="str">
            <v>000000000014599</v>
          </cell>
        </row>
        <row r="272">
          <cell r="C272">
            <v>100</v>
          </cell>
          <cell r="D272">
            <v>46183</v>
          </cell>
          <cell r="E272" t="str">
            <v>26E26-07</v>
          </cell>
          <cell r="F272">
            <v>386</v>
          </cell>
          <cell r="M272" t="str">
            <v>合計</v>
          </cell>
          <cell r="N272">
            <v>10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D273">
            <v>46183</v>
          </cell>
          <cell r="E273" t="str">
            <v>26E26-07</v>
          </cell>
          <cell r="F273">
            <v>200</v>
          </cell>
          <cell r="M273" t="str">
            <v>入数</v>
          </cell>
          <cell r="N273">
            <v>1000</v>
          </cell>
          <cell r="P273">
            <v>1006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10</v>
          </cell>
          <cell r="M275" t="str">
            <v>I</v>
          </cell>
          <cell r="U275" t="str">
            <v>000000000014599</v>
          </cell>
        </row>
        <row r="276">
          <cell r="M276" t="str">
            <v>T</v>
          </cell>
          <cell r="N276" t="str">
            <v>U</v>
          </cell>
          <cell r="R276">
            <v>6</v>
          </cell>
          <cell r="U276" t="str">
            <v>000000000014599</v>
          </cell>
        </row>
        <row r="277">
          <cell r="D277" t="str">
            <v>不良補填</v>
          </cell>
          <cell r="E277" t="str">
            <v>26E21-03</v>
          </cell>
          <cell r="F277">
            <v>6</v>
          </cell>
          <cell r="U277" t="str">
            <v>000000000014599</v>
          </cell>
        </row>
        <row r="278">
          <cell r="C278" t="str">
            <v>8FL281304 5010　L=888</v>
          </cell>
          <cell r="M278">
            <v>46184</v>
          </cell>
          <cell r="N278">
            <v>13</v>
          </cell>
          <cell r="P278">
            <v>46185</v>
          </cell>
          <cell r="R278">
            <v>5</v>
          </cell>
          <cell r="U278" t="str">
            <v>000000000014598</v>
          </cell>
        </row>
        <row r="279">
          <cell r="D279">
            <v>46183</v>
          </cell>
          <cell r="E279" t="str">
            <v>26E26-07</v>
          </cell>
          <cell r="M279">
            <v>46185</v>
          </cell>
          <cell r="N279">
            <v>7</v>
          </cell>
          <cell r="P279">
            <v>2000</v>
          </cell>
          <cell r="U279" t="str">
            <v>000000000014598</v>
          </cell>
        </row>
        <row r="280">
          <cell r="C280">
            <v>2000</v>
          </cell>
          <cell r="D280">
            <v>46183</v>
          </cell>
          <cell r="E280" t="str">
            <v>26E26-07</v>
          </cell>
          <cell r="F280">
            <v>400</v>
          </cell>
          <cell r="P280">
            <v>1006</v>
          </cell>
          <cell r="R280">
            <v>2</v>
          </cell>
          <cell r="U280" t="str">
            <v>000000000014598</v>
          </cell>
        </row>
        <row r="281">
          <cell r="C281">
            <v>2000</v>
          </cell>
          <cell r="D281">
            <v>46183</v>
          </cell>
          <cell r="E281" t="str">
            <v>26E26-07</v>
          </cell>
          <cell r="F281">
            <v>214</v>
          </cell>
          <cell r="P281">
            <v>12</v>
          </cell>
          <cell r="U281" t="str">
            <v>000000000014598</v>
          </cell>
        </row>
        <row r="282">
          <cell r="C282">
            <v>2</v>
          </cell>
          <cell r="D282">
            <v>46183</v>
          </cell>
          <cell r="E282" t="str">
            <v>26E23-06</v>
          </cell>
          <cell r="F282">
            <v>186</v>
          </cell>
          <cell r="P282">
            <v>6</v>
          </cell>
          <cell r="U282" t="str">
            <v>000000000014598</v>
          </cell>
        </row>
        <row r="283">
          <cell r="C283">
            <v>100</v>
          </cell>
          <cell r="D283">
            <v>46184</v>
          </cell>
          <cell r="E283" t="str">
            <v>26E23-06</v>
          </cell>
          <cell r="F283">
            <v>214</v>
          </cell>
          <cell r="M283" t="str">
            <v>合計</v>
          </cell>
          <cell r="N283">
            <v>20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D284">
            <v>46184</v>
          </cell>
          <cell r="E284" t="str">
            <v>26E27-08</v>
          </cell>
          <cell r="F284">
            <v>186</v>
          </cell>
          <cell r="M284" t="str">
            <v>入数</v>
          </cell>
          <cell r="N284">
            <v>2000</v>
          </cell>
          <cell r="P284">
            <v>2012</v>
          </cell>
          <cell r="R284">
            <v>1</v>
          </cell>
          <cell r="U284" t="str">
            <v>000000000014598</v>
          </cell>
        </row>
        <row r="285">
          <cell r="D285">
            <v>46184</v>
          </cell>
          <cell r="E285" t="str">
            <v>26E27-08</v>
          </cell>
          <cell r="F285">
            <v>400</v>
          </cell>
          <cell r="M285" t="str">
            <v>作業者</v>
          </cell>
          <cell r="U285" t="str">
            <v>000000000014598</v>
          </cell>
        </row>
        <row r="286">
          <cell r="C286">
            <v>20</v>
          </cell>
          <cell r="D286">
            <v>46184</v>
          </cell>
          <cell r="E286" t="str">
            <v>26E27-08</v>
          </cell>
          <cell r="F286">
            <v>400</v>
          </cell>
          <cell r="M286" t="str">
            <v>I</v>
          </cell>
          <cell r="R286">
            <v>4</v>
          </cell>
          <cell r="U286" t="str">
            <v>000000000014598</v>
          </cell>
        </row>
        <row r="287">
          <cell r="M287" t="str">
            <v>T</v>
          </cell>
          <cell r="N287" t="str">
            <v>U</v>
          </cell>
          <cell r="R287">
            <v>12</v>
          </cell>
          <cell r="U287" t="str">
            <v>000000000014598</v>
          </cell>
        </row>
        <row r="288">
          <cell r="D288" t="str">
            <v>不良補填</v>
          </cell>
          <cell r="E288" t="str">
            <v>26E27-08</v>
          </cell>
          <cell r="F288">
            <v>12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C291">
            <v>300</v>
          </cell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C302">
            <v>144</v>
          </cell>
          <cell r="P302">
            <v>0</v>
          </cell>
          <cell r="U302" t="str">
            <v>000000000014865</v>
          </cell>
        </row>
        <row r="303">
          <cell r="C303">
            <v>144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C313">
            <v>160</v>
          </cell>
          <cell r="P313">
            <v>0</v>
          </cell>
          <cell r="U313" t="str">
            <v>000000000014335</v>
          </cell>
        </row>
        <row r="314">
          <cell r="C314">
            <v>160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C324">
            <v>10</v>
          </cell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C335">
            <v>42</v>
          </cell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8FL281304 6110　L=1478</v>
          </cell>
          <cell r="P399">
            <v>0</v>
          </cell>
          <cell r="U399" t="str">
            <v>000000000015387</v>
          </cell>
        </row>
        <row r="400">
          <cell r="P400">
            <v>0</v>
          </cell>
          <cell r="U400" t="str">
            <v>000000000015387</v>
          </cell>
        </row>
        <row r="401">
          <cell r="P401">
            <v>0</v>
          </cell>
          <cell r="U401" t="str">
            <v>000000000015387</v>
          </cell>
        </row>
        <row r="402">
          <cell r="C402">
            <v>400</v>
          </cell>
          <cell r="P402">
            <v>0</v>
          </cell>
          <cell r="U402" t="str">
            <v>000000000015387</v>
          </cell>
        </row>
        <row r="403">
          <cell r="C403">
            <v>1</v>
          </cell>
          <cell r="P403">
            <v>0</v>
          </cell>
          <cell r="U403" t="str">
            <v>000000000015387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000000000015387</v>
          </cell>
        </row>
        <row r="405">
          <cell r="C405" t="str">
            <v>LED-A1478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000000000015387</v>
          </cell>
        </row>
        <row r="406">
          <cell r="M406" t="str">
            <v>作業者</v>
          </cell>
          <cell r="U406" t="str">
            <v>000000000015387</v>
          </cell>
        </row>
        <row r="407">
          <cell r="C407">
            <v>0</v>
          </cell>
          <cell r="U407" t="str">
            <v>000000000015387</v>
          </cell>
        </row>
        <row r="408">
          <cell r="R408">
            <v>0</v>
          </cell>
          <cell r="U408" t="str">
            <v>000000000015387</v>
          </cell>
        </row>
        <row r="409">
          <cell r="D409" t="str">
            <v>不良補填</v>
          </cell>
          <cell r="F409">
            <v>0</v>
          </cell>
          <cell r="U409" t="str">
            <v>000000000015387</v>
          </cell>
        </row>
        <row r="410">
          <cell r="C410" t="str">
            <v>灯具カバーPC IN 2130　L=908</v>
          </cell>
          <cell r="P410">
            <v>0</v>
          </cell>
          <cell r="U410" t="str">
            <v>000000000015460</v>
          </cell>
        </row>
        <row r="411">
          <cell r="P411">
            <v>0</v>
          </cell>
          <cell r="U411" t="str">
            <v>000000000015460</v>
          </cell>
        </row>
        <row r="412">
          <cell r="P412">
            <v>0</v>
          </cell>
          <cell r="U412" t="str">
            <v>000000000015460</v>
          </cell>
        </row>
        <row r="413">
          <cell r="C413">
            <v>48</v>
          </cell>
          <cell r="P413">
            <v>0</v>
          </cell>
          <cell r="U413" t="str">
            <v>000000000015460</v>
          </cell>
        </row>
        <row r="414">
          <cell r="C414">
            <v>1</v>
          </cell>
          <cell r="P414">
            <v>0</v>
          </cell>
          <cell r="U414" t="str">
            <v>000000000015460</v>
          </cell>
        </row>
        <row r="415">
          <cell r="C415">
            <v>16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000000000015460</v>
          </cell>
        </row>
        <row r="416">
          <cell r="C416" t="str">
            <v>灯具-3　L=970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000000000015460</v>
          </cell>
        </row>
        <row r="417">
          <cell r="M417" t="str">
            <v>作業者</v>
          </cell>
          <cell r="U417" t="str">
            <v>000000000015460</v>
          </cell>
        </row>
        <row r="418">
          <cell r="C418">
            <v>0</v>
          </cell>
          <cell r="U418" t="str">
            <v>000000000015460</v>
          </cell>
        </row>
        <row r="419">
          <cell r="R419">
            <v>0</v>
          </cell>
          <cell r="U419" t="str">
            <v>000000000015460</v>
          </cell>
        </row>
        <row r="420">
          <cell r="D420" t="str">
            <v>不良補填</v>
          </cell>
          <cell r="F420" t="str">
            <v/>
          </cell>
          <cell r="U420" t="str">
            <v>000000000015460</v>
          </cell>
        </row>
        <row r="421">
          <cell r="C421" t="str">
            <v>灯具カバーPC IN 2130　L=908</v>
          </cell>
          <cell r="P421">
            <v>0</v>
          </cell>
          <cell r="U421" t="str">
            <v>000000000015461</v>
          </cell>
        </row>
        <row r="422">
          <cell r="P422">
            <v>0</v>
          </cell>
          <cell r="U422" t="str">
            <v>000000000015461</v>
          </cell>
        </row>
        <row r="423">
          <cell r="P423">
            <v>0</v>
          </cell>
          <cell r="U423" t="str">
            <v>000000000015461</v>
          </cell>
        </row>
        <row r="424">
          <cell r="C424">
            <v>144</v>
          </cell>
          <cell r="P424">
            <v>0</v>
          </cell>
          <cell r="U424" t="str">
            <v>000000000015461</v>
          </cell>
        </row>
        <row r="425">
          <cell r="C425">
            <v>1</v>
          </cell>
          <cell r="P425">
            <v>0</v>
          </cell>
          <cell r="U425" t="str">
            <v>000000000015461</v>
          </cell>
        </row>
        <row r="426">
          <cell r="C426">
            <v>16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000000000015461</v>
          </cell>
        </row>
        <row r="427">
          <cell r="C427" t="str">
            <v>灯具-3　L=970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000000000015461</v>
          </cell>
        </row>
        <row r="428">
          <cell r="M428" t="str">
            <v>作業者</v>
          </cell>
          <cell r="U428" t="str">
            <v>000000000015461</v>
          </cell>
        </row>
        <row r="429">
          <cell r="C429">
            <v>0</v>
          </cell>
          <cell r="U429" t="str">
            <v>000000000015461</v>
          </cell>
        </row>
        <row r="430">
          <cell r="R430">
            <v>0</v>
          </cell>
          <cell r="U430" t="str">
            <v>000000000015461</v>
          </cell>
        </row>
        <row r="431">
          <cell r="D431" t="str">
            <v>不良補填</v>
          </cell>
          <cell r="F431" t="str">
            <v/>
          </cell>
          <cell r="U431" t="str">
            <v>000000000015461</v>
          </cell>
        </row>
        <row r="432">
          <cell r="C432" t="str">
            <v>灯具カバーPC  　2200    L=221.8</v>
          </cell>
          <cell r="P432">
            <v>0</v>
          </cell>
          <cell r="U432" t="str">
            <v>000000000015456</v>
          </cell>
        </row>
        <row r="433">
          <cell r="P433">
            <v>0</v>
          </cell>
          <cell r="U433" t="str">
            <v>000000000015456</v>
          </cell>
        </row>
        <row r="434">
          <cell r="P434">
            <v>0</v>
          </cell>
          <cell r="U434" t="str">
            <v>000000000015456</v>
          </cell>
        </row>
        <row r="435">
          <cell r="C435">
            <v>20</v>
          </cell>
          <cell r="P435">
            <v>0</v>
          </cell>
          <cell r="U435" t="str">
            <v>000000000015456</v>
          </cell>
        </row>
        <row r="436">
          <cell r="C436">
            <v>2</v>
          </cell>
          <cell r="P436">
            <v>0</v>
          </cell>
          <cell r="U436" t="str">
            <v>000000000015456</v>
          </cell>
        </row>
        <row r="437">
          <cell r="C437">
            <v>2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000000000015456</v>
          </cell>
        </row>
        <row r="438">
          <cell r="C438" t="str">
            <v>H型ジョイナー端材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000000000015456</v>
          </cell>
        </row>
        <row r="439">
          <cell r="M439" t="str">
            <v>作業者</v>
          </cell>
          <cell r="U439" t="str">
            <v>000000000015456</v>
          </cell>
        </row>
        <row r="440">
          <cell r="C440">
            <v>0</v>
          </cell>
          <cell r="U440" t="str">
            <v>000000000015456</v>
          </cell>
        </row>
        <row r="441">
          <cell r="R441">
            <v>0</v>
          </cell>
          <cell r="U441" t="str">
            <v>000000000015456</v>
          </cell>
        </row>
        <row r="442">
          <cell r="D442" t="str">
            <v>不良補填</v>
          </cell>
          <cell r="F442" t="str">
            <v/>
          </cell>
          <cell r="U442" t="str">
            <v>000000000015456</v>
          </cell>
        </row>
        <row r="443">
          <cell r="C443" t="str">
            <v>灯具カバーPC IN 2050　L=1183.5</v>
          </cell>
          <cell r="P443">
            <v>0</v>
          </cell>
          <cell r="U443" t="str">
            <v>000000000015463</v>
          </cell>
        </row>
        <row r="444">
          <cell r="P444">
            <v>0</v>
          </cell>
          <cell r="U444" t="str">
            <v>000000000015463</v>
          </cell>
        </row>
        <row r="445">
          <cell r="P445">
            <v>0</v>
          </cell>
          <cell r="U445" t="str">
            <v>000000000015463</v>
          </cell>
        </row>
        <row r="446">
          <cell r="C446">
            <v>192</v>
          </cell>
          <cell r="P446">
            <v>0</v>
          </cell>
          <cell r="U446" t="str">
            <v>000000000015463</v>
          </cell>
        </row>
        <row r="447">
          <cell r="C447">
            <v>1</v>
          </cell>
          <cell r="P447">
            <v>0</v>
          </cell>
          <cell r="U447" t="str">
            <v>000000000015463</v>
          </cell>
        </row>
        <row r="448">
          <cell r="C448">
            <v>16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000000000015463</v>
          </cell>
        </row>
        <row r="449">
          <cell r="C449" t="str">
            <v>灯具-1　L=1370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000000000015463</v>
          </cell>
        </row>
        <row r="450">
          <cell r="M450" t="str">
            <v>作業者</v>
          </cell>
          <cell r="U450" t="str">
            <v>000000000015463</v>
          </cell>
        </row>
        <row r="451">
          <cell r="C451">
            <v>0</v>
          </cell>
          <cell r="U451" t="str">
            <v>000000000015463</v>
          </cell>
        </row>
        <row r="452">
          <cell r="R452">
            <v>0</v>
          </cell>
          <cell r="U452" t="str">
            <v>000000000015463</v>
          </cell>
        </row>
        <row r="453">
          <cell r="D453" t="str">
            <v>不良補填</v>
          </cell>
          <cell r="F453" t="str">
            <v/>
          </cell>
          <cell r="U453" t="str">
            <v>000000000015463</v>
          </cell>
        </row>
        <row r="454">
          <cell r="C454" t="str">
            <v>灯具カバーPC IN 2090　L=840</v>
          </cell>
          <cell r="P454">
            <v>0</v>
          </cell>
          <cell r="U454" t="str">
            <v>000000000015458</v>
          </cell>
        </row>
        <row r="455">
          <cell r="P455">
            <v>0</v>
          </cell>
          <cell r="U455" t="str">
            <v>000000000015458</v>
          </cell>
        </row>
        <row r="456">
          <cell r="P456">
            <v>0</v>
          </cell>
          <cell r="U456" t="str">
            <v>000000000015458</v>
          </cell>
        </row>
        <row r="457">
          <cell r="C457">
            <v>192</v>
          </cell>
          <cell r="P457">
            <v>0</v>
          </cell>
          <cell r="U457" t="str">
            <v>000000000015458</v>
          </cell>
        </row>
        <row r="458">
          <cell r="C458">
            <v>1</v>
          </cell>
          <cell r="P458">
            <v>0</v>
          </cell>
          <cell r="U458" t="str">
            <v>000000000015458</v>
          </cell>
        </row>
        <row r="459">
          <cell r="C459">
            <v>16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000000000015458</v>
          </cell>
        </row>
        <row r="460">
          <cell r="C460" t="str">
            <v>灯具-3　L=970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000000000015458</v>
          </cell>
        </row>
        <row r="461">
          <cell r="M461" t="str">
            <v>作業者</v>
          </cell>
          <cell r="U461" t="str">
            <v>000000000015458</v>
          </cell>
        </row>
        <row r="462">
          <cell r="C462">
            <v>0</v>
          </cell>
          <cell r="U462" t="str">
            <v>000000000015458</v>
          </cell>
        </row>
        <row r="463">
          <cell r="R463">
            <v>0</v>
          </cell>
          <cell r="U463" t="str">
            <v>000000000015458</v>
          </cell>
        </row>
        <row r="464">
          <cell r="D464" t="str">
            <v>不良補填</v>
          </cell>
          <cell r="F464" t="str">
            <v/>
          </cell>
          <cell r="U464" t="str">
            <v>000000000015458</v>
          </cell>
        </row>
        <row r="465">
          <cell r="C465" t="str">
            <v>752GPSB　865</v>
          </cell>
          <cell r="P465">
            <v>0</v>
          </cell>
          <cell r="U465" t="str">
            <v>000000000014671</v>
          </cell>
        </row>
        <row r="466">
          <cell r="P466">
            <v>0</v>
          </cell>
          <cell r="U466" t="str">
            <v>000000000014671</v>
          </cell>
        </row>
        <row r="467">
          <cell r="P467">
            <v>0</v>
          </cell>
          <cell r="U467" t="str">
            <v>000000000014671</v>
          </cell>
        </row>
        <row r="468">
          <cell r="C468">
            <v>200</v>
          </cell>
          <cell r="P468">
            <v>0</v>
          </cell>
          <cell r="U468" t="str">
            <v>000000000014671</v>
          </cell>
        </row>
        <row r="469">
          <cell r="C469">
            <v>1</v>
          </cell>
          <cell r="P469">
            <v>0</v>
          </cell>
          <cell r="U469" t="str">
            <v>000000000014671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000000000014671</v>
          </cell>
        </row>
        <row r="471">
          <cell r="C471" t="str">
            <v>S-40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000000000014671</v>
          </cell>
        </row>
        <row r="472">
          <cell r="M472" t="str">
            <v>作業者</v>
          </cell>
          <cell r="U472" t="str">
            <v>000000000014671</v>
          </cell>
        </row>
        <row r="473">
          <cell r="C473">
            <v>0</v>
          </cell>
          <cell r="U473" t="str">
            <v>000000000014671</v>
          </cell>
        </row>
        <row r="474">
          <cell r="R474">
            <v>0</v>
          </cell>
          <cell r="U474" t="str">
            <v>000000000014671</v>
          </cell>
        </row>
        <row r="475">
          <cell r="D475" t="str">
            <v>不良補填</v>
          </cell>
          <cell r="F475" t="str">
            <v/>
          </cell>
          <cell r="U475" t="str">
            <v>000000000014671</v>
          </cell>
        </row>
        <row r="476">
          <cell r="C476" t="str">
            <v>752GPSB　865</v>
          </cell>
          <cell r="P476">
            <v>0</v>
          </cell>
          <cell r="U476" t="str">
            <v>000000000014671</v>
          </cell>
        </row>
        <row r="477">
          <cell r="P477">
            <v>0</v>
          </cell>
          <cell r="U477" t="str">
            <v>000000000014671</v>
          </cell>
        </row>
        <row r="478">
          <cell r="P478">
            <v>0</v>
          </cell>
          <cell r="U478" t="str">
            <v>000000000014671</v>
          </cell>
        </row>
        <row r="479">
          <cell r="C479">
            <v>200</v>
          </cell>
          <cell r="P479">
            <v>0</v>
          </cell>
          <cell r="U479" t="str">
            <v>000000000014671</v>
          </cell>
        </row>
        <row r="480">
          <cell r="C480">
            <v>1</v>
          </cell>
          <cell r="P480">
            <v>0</v>
          </cell>
          <cell r="U480" t="str">
            <v>000000000014671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000000000014671</v>
          </cell>
        </row>
        <row r="482">
          <cell r="C482" t="str">
            <v>S-40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000000000014671</v>
          </cell>
        </row>
        <row r="483">
          <cell r="M483" t="str">
            <v>作業者</v>
          </cell>
          <cell r="U483" t="str">
            <v>000000000014671</v>
          </cell>
        </row>
        <row r="484">
          <cell r="C484">
            <v>0</v>
          </cell>
          <cell r="U484" t="str">
            <v>000000000014671</v>
          </cell>
        </row>
        <row r="485">
          <cell r="R485">
            <v>0</v>
          </cell>
          <cell r="U485" t="str">
            <v>000000000014671</v>
          </cell>
        </row>
        <row r="486">
          <cell r="D486" t="str">
            <v>不良補填</v>
          </cell>
          <cell r="F486" t="str">
            <v/>
          </cell>
          <cell r="U486" t="str">
            <v>000000000014671</v>
          </cell>
        </row>
        <row r="487">
          <cell r="C487" t="str">
            <v>752GPSB　715</v>
          </cell>
          <cell r="P487">
            <v>0</v>
          </cell>
          <cell r="U487" t="str">
            <v>000000000014670</v>
          </cell>
        </row>
        <row r="488">
          <cell r="P488">
            <v>0</v>
          </cell>
          <cell r="U488" t="str">
            <v>000000000014670</v>
          </cell>
        </row>
        <row r="489">
          <cell r="P489">
            <v>0</v>
          </cell>
          <cell r="U489" t="str">
            <v>000000000014670</v>
          </cell>
        </row>
        <row r="490">
          <cell r="C490">
            <v>800</v>
          </cell>
          <cell r="P490">
            <v>0</v>
          </cell>
          <cell r="U490" t="str">
            <v>000000000014670</v>
          </cell>
        </row>
        <row r="491">
          <cell r="C491">
            <v>2</v>
          </cell>
          <cell r="P491">
            <v>0</v>
          </cell>
          <cell r="U491" t="str">
            <v>000000000014670</v>
          </cell>
        </row>
        <row r="492">
          <cell r="C492">
            <v>100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000000000014670</v>
          </cell>
        </row>
        <row r="493">
          <cell r="C493" t="str">
            <v>S-40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000000000014670</v>
          </cell>
        </row>
        <row r="494">
          <cell r="M494" t="str">
            <v>作業者</v>
          </cell>
          <cell r="U494" t="str">
            <v>000000000014670</v>
          </cell>
        </row>
        <row r="495">
          <cell r="C495">
            <v>0</v>
          </cell>
          <cell r="U495" t="str">
            <v>000000000014670</v>
          </cell>
        </row>
        <row r="496">
          <cell r="R496">
            <v>0</v>
          </cell>
          <cell r="U496" t="str">
            <v>000000000014670</v>
          </cell>
        </row>
        <row r="497">
          <cell r="D497" t="str">
            <v>不良補填</v>
          </cell>
          <cell r="F497" t="str">
            <v/>
          </cell>
          <cell r="U497" t="str">
            <v>000000000014670</v>
          </cell>
        </row>
        <row r="498">
          <cell r="C498" t="str">
            <v>752GPSB　665</v>
          </cell>
          <cell r="P498">
            <v>0</v>
          </cell>
          <cell r="U498" t="str">
            <v>000000000014669</v>
          </cell>
        </row>
        <row r="499">
          <cell r="P499">
            <v>0</v>
          </cell>
          <cell r="U499" t="str">
            <v>000000000014669</v>
          </cell>
        </row>
        <row r="500">
          <cell r="P500">
            <v>0</v>
          </cell>
          <cell r="U500" t="str">
            <v>000000000014669</v>
          </cell>
        </row>
        <row r="501">
          <cell r="C501">
            <v>100</v>
          </cell>
          <cell r="P501">
            <v>0</v>
          </cell>
          <cell r="U501" t="str">
            <v>000000000014669</v>
          </cell>
        </row>
        <row r="502">
          <cell r="C502">
            <v>2</v>
          </cell>
          <cell r="P502">
            <v>0</v>
          </cell>
          <cell r="U502" t="str">
            <v>000000000014669</v>
          </cell>
        </row>
        <row r="503">
          <cell r="C503">
            <v>100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000000000014669</v>
          </cell>
        </row>
        <row r="504">
          <cell r="C504" t="str">
            <v>S-40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000000000014669</v>
          </cell>
        </row>
        <row r="505">
          <cell r="M505" t="str">
            <v>作業者</v>
          </cell>
          <cell r="U505" t="str">
            <v>000000000014669</v>
          </cell>
        </row>
        <row r="506">
          <cell r="C506">
            <v>0</v>
          </cell>
          <cell r="U506" t="str">
            <v>000000000014669</v>
          </cell>
        </row>
        <row r="507">
          <cell r="R507">
            <v>0</v>
          </cell>
          <cell r="U507" t="str">
            <v>000000000014669</v>
          </cell>
        </row>
        <row r="508">
          <cell r="D508" t="str">
            <v>不良補填</v>
          </cell>
          <cell r="F508" t="str">
            <v/>
          </cell>
          <cell r="U508" t="str">
            <v>000000000014669</v>
          </cell>
        </row>
        <row r="509">
          <cell r="C509" t="str">
            <v>752GPSB　565</v>
          </cell>
          <cell r="P509">
            <v>0</v>
          </cell>
          <cell r="U509" t="str">
            <v>000000000014668</v>
          </cell>
        </row>
        <row r="510">
          <cell r="P510">
            <v>0</v>
          </cell>
          <cell r="U510" t="str">
            <v>000000000014668</v>
          </cell>
        </row>
        <row r="511">
          <cell r="P511">
            <v>0</v>
          </cell>
          <cell r="U511" t="str">
            <v>000000000014668</v>
          </cell>
        </row>
        <row r="512">
          <cell r="C512">
            <v>1200</v>
          </cell>
          <cell r="P512">
            <v>0</v>
          </cell>
          <cell r="U512" t="str">
            <v>000000000014668</v>
          </cell>
        </row>
        <row r="513">
          <cell r="C513">
            <v>2</v>
          </cell>
          <cell r="P513">
            <v>0</v>
          </cell>
          <cell r="U513" t="str">
            <v>000000000014668</v>
          </cell>
        </row>
        <row r="514">
          <cell r="C514">
            <v>100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000000000014668</v>
          </cell>
        </row>
        <row r="515">
          <cell r="C515" t="str">
            <v>S-30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000000000014668</v>
          </cell>
        </row>
        <row r="516">
          <cell r="M516" t="str">
            <v>作業者</v>
          </cell>
          <cell r="U516" t="str">
            <v>000000000014668</v>
          </cell>
        </row>
        <row r="517">
          <cell r="C517">
            <v>0</v>
          </cell>
          <cell r="U517" t="str">
            <v>000000000014668</v>
          </cell>
        </row>
        <row r="518">
          <cell r="R518">
            <v>0</v>
          </cell>
          <cell r="U518" t="str">
            <v>000000000014668</v>
          </cell>
        </row>
        <row r="519">
          <cell r="D519" t="str">
            <v>不良補填</v>
          </cell>
          <cell r="F519" t="str">
            <v/>
          </cell>
          <cell r="U519" t="str">
            <v>000000000014668</v>
          </cell>
        </row>
        <row r="520">
          <cell r="C520" t="str">
            <v>752GPSB　415</v>
          </cell>
          <cell r="P520">
            <v>0</v>
          </cell>
          <cell r="U520" t="str">
            <v>000000000014667</v>
          </cell>
        </row>
        <row r="521">
          <cell r="P521">
            <v>0</v>
          </cell>
          <cell r="U521" t="str">
            <v>000000000014667</v>
          </cell>
        </row>
        <row r="522">
          <cell r="P522">
            <v>0</v>
          </cell>
          <cell r="U522" t="str">
            <v>000000000014667</v>
          </cell>
        </row>
        <row r="523">
          <cell r="C523">
            <v>2100</v>
          </cell>
          <cell r="P523">
            <v>0</v>
          </cell>
          <cell r="U523" t="str">
            <v>000000000014667</v>
          </cell>
        </row>
        <row r="524">
          <cell r="C524">
            <v>3</v>
          </cell>
          <cell r="P524">
            <v>0</v>
          </cell>
          <cell r="U524" t="str">
            <v>000000000014667</v>
          </cell>
        </row>
        <row r="525">
          <cell r="C525">
            <v>100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000000000014667</v>
          </cell>
        </row>
        <row r="526">
          <cell r="C526" t="str">
            <v>S-20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000000000014667</v>
          </cell>
        </row>
        <row r="527">
          <cell r="M527" t="str">
            <v>作業者</v>
          </cell>
          <cell r="U527" t="str">
            <v>000000000014667</v>
          </cell>
        </row>
        <row r="528">
          <cell r="C528">
            <v>0</v>
          </cell>
          <cell r="U528" t="str">
            <v>000000000014667</v>
          </cell>
        </row>
        <row r="529">
          <cell r="R529">
            <v>0</v>
          </cell>
          <cell r="U529" t="str">
            <v>000000000014667</v>
          </cell>
        </row>
        <row r="530">
          <cell r="D530" t="str">
            <v>不良補填</v>
          </cell>
          <cell r="F530" t="str">
            <v/>
          </cell>
          <cell r="U530" t="str">
            <v>000000000014667</v>
          </cell>
        </row>
        <row r="531">
          <cell r="C531" t="str">
            <v>752GPSB　265</v>
          </cell>
          <cell r="P531">
            <v>0</v>
          </cell>
          <cell r="U531" t="str">
            <v>000000000014666</v>
          </cell>
        </row>
        <row r="532">
          <cell r="P532">
            <v>0</v>
          </cell>
          <cell r="U532" t="str">
            <v>000000000014666</v>
          </cell>
        </row>
        <row r="533">
          <cell r="P533">
            <v>0</v>
          </cell>
          <cell r="U533" t="str">
            <v>000000000014666</v>
          </cell>
        </row>
        <row r="534">
          <cell r="C534">
            <v>600</v>
          </cell>
          <cell r="P534">
            <v>0</v>
          </cell>
          <cell r="U534" t="str">
            <v>000000000014666</v>
          </cell>
        </row>
        <row r="535">
          <cell r="C535">
            <v>5</v>
          </cell>
          <cell r="P535">
            <v>0</v>
          </cell>
          <cell r="U535" t="str">
            <v>000000000014666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000000000014666</v>
          </cell>
        </row>
        <row r="537">
          <cell r="C537" t="str">
            <v>S-10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000000000014666</v>
          </cell>
        </row>
        <row r="538">
          <cell r="M538" t="str">
            <v>作業者</v>
          </cell>
          <cell r="U538" t="str">
            <v>000000000014666</v>
          </cell>
        </row>
        <row r="539">
          <cell r="C539">
            <v>0</v>
          </cell>
          <cell r="U539" t="str">
            <v>000000000014666</v>
          </cell>
        </row>
        <row r="540">
          <cell r="R540">
            <v>0</v>
          </cell>
          <cell r="U540" t="str">
            <v>000000000014666</v>
          </cell>
        </row>
        <row r="541">
          <cell r="D541" t="str">
            <v>不良補填</v>
          </cell>
          <cell r="F541" t="str">
            <v/>
          </cell>
          <cell r="U541" t="str">
            <v>000000000014666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000000000015388</v>
          </cell>
        </row>
        <row r="543">
          <cell r="P543">
            <v>0</v>
          </cell>
          <cell r="U543" t="str">
            <v>000000000015388</v>
          </cell>
        </row>
        <row r="544">
          <cell r="P544">
            <v>0</v>
          </cell>
          <cell r="U544" t="str">
            <v>000000000015388</v>
          </cell>
        </row>
        <row r="545">
          <cell r="C545">
            <v>700</v>
          </cell>
          <cell r="P545">
            <v>0</v>
          </cell>
          <cell r="U545" t="str">
            <v>000000000015388</v>
          </cell>
        </row>
        <row r="546">
          <cell r="C546">
            <v>1</v>
          </cell>
          <cell r="P546">
            <v>0</v>
          </cell>
          <cell r="U546" t="str">
            <v>000000000015388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000000000015388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000000000015388</v>
          </cell>
        </row>
        <row r="549">
          <cell r="M549" t="str">
            <v>作業者</v>
          </cell>
          <cell r="U549" t="str">
            <v>000000000015388</v>
          </cell>
        </row>
        <row r="550">
          <cell r="C550">
            <v>0</v>
          </cell>
          <cell r="U550" t="str">
            <v>000000000015388</v>
          </cell>
        </row>
        <row r="551">
          <cell r="R551">
            <v>0</v>
          </cell>
          <cell r="U551" t="str">
            <v>000000000015388</v>
          </cell>
        </row>
        <row r="552">
          <cell r="D552" t="str">
            <v>不良補填</v>
          </cell>
          <cell r="F552">
            <v>0</v>
          </cell>
          <cell r="U552" t="str">
            <v>000000000015388</v>
          </cell>
        </row>
        <row r="553">
          <cell r="C553" t="str">
            <v>8FL281304 4810　L=297</v>
          </cell>
          <cell r="P553">
            <v>0</v>
          </cell>
          <cell r="U553" t="str">
            <v>000000000015372</v>
          </cell>
        </row>
        <row r="554">
          <cell r="P554">
            <v>0</v>
          </cell>
          <cell r="U554" t="str">
            <v>000000000015372</v>
          </cell>
        </row>
        <row r="555">
          <cell r="P555">
            <v>0</v>
          </cell>
          <cell r="U555" t="str">
            <v>000000000015372</v>
          </cell>
        </row>
        <row r="556">
          <cell r="C556">
            <v>300</v>
          </cell>
          <cell r="P556">
            <v>0</v>
          </cell>
          <cell r="U556" t="str">
            <v>000000000015372</v>
          </cell>
        </row>
        <row r="557">
          <cell r="C557">
            <v>6</v>
          </cell>
          <cell r="P557">
            <v>0</v>
          </cell>
          <cell r="U557" t="str">
            <v>000000000015372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000000000015372</v>
          </cell>
        </row>
        <row r="559">
          <cell r="C559" t="str">
            <v>LED-A300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000000000015372</v>
          </cell>
        </row>
        <row r="560">
          <cell r="M560" t="str">
            <v>作業者</v>
          </cell>
          <cell r="U560" t="str">
            <v>000000000015372</v>
          </cell>
        </row>
        <row r="561">
          <cell r="C561">
            <v>0</v>
          </cell>
          <cell r="U561" t="str">
            <v>000000000015372</v>
          </cell>
        </row>
        <row r="562">
          <cell r="R562">
            <v>0</v>
          </cell>
          <cell r="U562" t="str">
            <v>000000000015372</v>
          </cell>
        </row>
        <row r="563">
          <cell r="D563" t="str">
            <v>不良補填</v>
          </cell>
          <cell r="F563">
            <v>0</v>
          </cell>
          <cell r="U563" t="str">
            <v>000000000015372</v>
          </cell>
        </row>
        <row r="564">
          <cell r="C564" t="str">
            <v>8FL281304 4810　L=297</v>
          </cell>
          <cell r="P564">
            <v>0</v>
          </cell>
          <cell r="U564" t="str">
            <v>000000000015373</v>
          </cell>
        </row>
        <row r="565">
          <cell r="P565">
            <v>0</v>
          </cell>
          <cell r="U565" t="str">
            <v>000000000015373</v>
          </cell>
        </row>
        <row r="566">
          <cell r="P566">
            <v>0</v>
          </cell>
          <cell r="U566" t="str">
            <v>000000000015373</v>
          </cell>
        </row>
        <row r="567">
          <cell r="C567">
            <v>300</v>
          </cell>
          <cell r="P567">
            <v>0</v>
          </cell>
          <cell r="U567" t="str">
            <v>000000000015373</v>
          </cell>
        </row>
        <row r="568">
          <cell r="C568">
            <v>6</v>
          </cell>
          <cell r="P568">
            <v>0</v>
          </cell>
          <cell r="U568" t="str">
            <v>000000000015373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000000000015373</v>
          </cell>
        </row>
        <row r="570">
          <cell r="C570" t="str">
            <v>LED-A300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000000000015373</v>
          </cell>
        </row>
        <row r="571">
          <cell r="M571" t="str">
            <v>作業者</v>
          </cell>
          <cell r="U571" t="str">
            <v>000000000015373</v>
          </cell>
        </row>
        <row r="572">
          <cell r="C572">
            <v>0</v>
          </cell>
          <cell r="U572" t="str">
            <v>000000000015373</v>
          </cell>
        </row>
        <row r="573">
          <cell r="R573">
            <v>0</v>
          </cell>
          <cell r="U573" t="str">
            <v>000000000015373</v>
          </cell>
        </row>
        <row r="574">
          <cell r="D574" t="str">
            <v>不良補填</v>
          </cell>
          <cell r="F574">
            <v>0</v>
          </cell>
          <cell r="U574" t="str">
            <v>000000000015373</v>
          </cell>
        </row>
        <row r="575">
          <cell r="C575" t="str">
            <v>8FL281304 4810　L=297</v>
          </cell>
          <cell r="P575">
            <v>0</v>
          </cell>
          <cell r="U575" t="str">
            <v>000000000015374</v>
          </cell>
        </row>
        <row r="576">
          <cell r="P576">
            <v>0</v>
          </cell>
          <cell r="U576" t="str">
            <v>000000000015374</v>
          </cell>
        </row>
        <row r="577">
          <cell r="P577">
            <v>0</v>
          </cell>
          <cell r="U577" t="str">
            <v>000000000015374</v>
          </cell>
        </row>
        <row r="578">
          <cell r="C578">
            <v>100</v>
          </cell>
          <cell r="P578">
            <v>0</v>
          </cell>
          <cell r="U578" t="str">
            <v>000000000015374</v>
          </cell>
        </row>
        <row r="579">
          <cell r="C579">
            <v>6</v>
          </cell>
          <cell r="P579">
            <v>0</v>
          </cell>
          <cell r="U579" t="str">
            <v>000000000015374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000000000015374</v>
          </cell>
        </row>
        <row r="581">
          <cell r="C581" t="str">
            <v>LED-A300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000000000015374</v>
          </cell>
        </row>
        <row r="582">
          <cell r="M582" t="str">
            <v>作業者</v>
          </cell>
          <cell r="U582" t="str">
            <v>000000000015374</v>
          </cell>
        </row>
        <row r="583">
          <cell r="C583">
            <v>0</v>
          </cell>
          <cell r="U583" t="str">
            <v>000000000015374</v>
          </cell>
        </row>
        <row r="584">
          <cell r="R584">
            <v>0</v>
          </cell>
          <cell r="U584" t="str">
            <v>000000000015374</v>
          </cell>
        </row>
        <row r="585">
          <cell r="D585" t="str">
            <v>不良補填</v>
          </cell>
          <cell r="F585">
            <v>0</v>
          </cell>
          <cell r="U585" t="str">
            <v>000000000015374</v>
          </cell>
        </row>
        <row r="586">
          <cell r="C586" t="str">
            <v>8FL281304 4810　L=297</v>
          </cell>
          <cell r="P586">
            <v>0</v>
          </cell>
          <cell r="U586" t="str">
            <v>000000000015375</v>
          </cell>
        </row>
        <row r="587">
          <cell r="P587">
            <v>0</v>
          </cell>
          <cell r="U587" t="str">
            <v>000000000015375</v>
          </cell>
        </row>
        <row r="588">
          <cell r="P588">
            <v>0</v>
          </cell>
          <cell r="U588" t="str">
            <v>000000000015375</v>
          </cell>
        </row>
        <row r="589">
          <cell r="C589">
            <v>300</v>
          </cell>
          <cell r="P589">
            <v>0</v>
          </cell>
          <cell r="U589" t="str">
            <v>000000000015375</v>
          </cell>
        </row>
        <row r="590">
          <cell r="C590">
            <v>6</v>
          </cell>
          <cell r="P590">
            <v>0</v>
          </cell>
          <cell r="U590" t="str">
            <v>000000000015375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000000000015375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000000000015375</v>
          </cell>
        </row>
        <row r="593">
          <cell r="M593" t="str">
            <v>作業者</v>
          </cell>
          <cell r="U593" t="str">
            <v>000000000015375</v>
          </cell>
        </row>
        <row r="594">
          <cell r="C594">
            <v>0</v>
          </cell>
          <cell r="U594" t="str">
            <v>000000000015375</v>
          </cell>
        </row>
        <row r="595">
          <cell r="R595">
            <v>0</v>
          </cell>
          <cell r="U595" t="str">
            <v>000000000015375</v>
          </cell>
        </row>
        <row r="596">
          <cell r="D596" t="str">
            <v>不良補填</v>
          </cell>
          <cell r="F596">
            <v>0</v>
          </cell>
          <cell r="U596" t="str">
            <v>000000000015375</v>
          </cell>
        </row>
        <row r="597">
          <cell r="C597" t="str">
            <v>8FL281304 5010　L=888</v>
          </cell>
          <cell r="P597">
            <v>0</v>
          </cell>
          <cell r="U597" t="str">
            <v>000000000015378</v>
          </cell>
        </row>
        <row r="598">
          <cell r="P598">
            <v>0</v>
          </cell>
          <cell r="U598" t="str">
            <v>000000000015378</v>
          </cell>
        </row>
        <row r="599">
          <cell r="P599">
            <v>0</v>
          </cell>
          <cell r="U599" t="str">
            <v>000000000015378</v>
          </cell>
        </row>
        <row r="600">
          <cell r="C600">
            <v>2000</v>
          </cell>
          <cell r="P600">
            <v>0</v>
          </cell>
          <cell r="U600" t="str">
            <v>000000000015378</v>
          </cell>
        </row>
        <row r="601">
          <cell r="C601">
            <v>2</v>
          </cell>
          <cell r="P601">
            <v>0</v>
          </cell>
          <cell r="U601" t="str">
            <v>000000000015378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000000000015378</v>
          </cell>
        </row>
        <row r="603">
          <cell r="C603" t="str">
            <v>LED-A888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000000000015378</v>
          </cell>
        </row>
        <row r="604">
          <cell r="M604" t="str">
            <v>作業者</v>
          </cell>
          <cell r="U604" t="str">
            <v>000000000015378</v>
          </cell>
        </row>
        <row r="605">
          <cell r="C605">
            <v>0</v>
          </cell>
          <cell r="U605" t="str">
            <v>000000000015378</v>
          </cell>
        </row>
        <row r="606">
          <cell r="R606">
            <v>0</v>
          </cell>
          <cell r="U606" t="str">
            <v>000000000015378</v>
          </cell>
        </row>
        <row r="607">
          <cell r="D607" t="str">
            <v>不良補填</v>
          </cell>
          <cell r="F607">
            <v>0</v>
          </cell>
          <cell r="U607" t="str">
            <v>000000000015378</v>
          </cell>
        </row>
        <row r="608">
          <cell r="C608" t="str">
            <v>8FL281304 5010　L=888</v>
          </cell>
          <cell r="P608">
            <v>0</v>
          </cell>
          <cell r="U608" t="str">
            <v>000000000015379</v>
          </cell>
        </row>
        <row r="609">
          <cell r="P609">
            <v>0</v>
          </cell>
          <cell r="U609" t="str">
            <v>000000000015379</v>
          </cell>
        </row>
        <row r="610">
          <cell r="P610">
            <v>0</v>
          </cell>
          <cell r="U610" t="str">
            <v>000000000015379</v>
          </cell>
        </row>
        <row r="611">
          <cell r="C611">
            <v>200</v>
          </cell>
          <cell r="P611">
            <v>0</v>
          </cell>
          <cell r="U611" t="str">
            <v>000000000015379</v>
          </cell>
        </row>
        <row r="612">
          <cell r="C612">
            <v>2</v>
          </cell>
          <cell r="P612">
            <v>0</v>
          </cell>
          <cell r="U612" t="str">
            <v>000000000015379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000000000015379</v>
          </cell>
        </row>
        <row r="614">
          <cell r="C614" t="str">
            <v>LED-A888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000000000015379</v>
          </cell>
        </row>
        <row r="615">
          <cell r="M615" t="str">
            <v>作業者</v>
          </cell>
          <cell r="U615" t="str">
            <v>000000000015379</v>
          </cell>
        </row>
        <row r="616">
          <cell r="C616">
            <v>0</v>
          </cell>
          <cell r="U616" t="str">
            <v>000000000015379</v>
          </cell>
        </row>
        <row r="617">
          <cell r="R617">
            <v>0</v>
          </cell>
          <cell r="U617" t="str">
            <v>000000000015379</v>
          </cell>
        </row>
        <row r="618">
          <cell r="D618" t="str">
            <v>不良補填</v>
          </cell>
          <cell r="F618">
            <v>0</v>
          </cell>
          <cell r="U618" t="str">
            <v>000000000015379</v>
          </cell>
        </row>
        <row r="619">
          <cell r="C619" t="str">
            <v>8FL281304 5010　L=888</v>
          </cell>
          <cell r="P619">
            <v>0</v>
          </cell>
          <cell r="U619" t="str">
            <v>000000000015380</v>
          </cell>
        </row>
        <row r="620">
          <cell r="P620">
            <v>0</v>
          </cell>
          <cell r="U620" t="str">
            <v>000000000015380</v>
          </cell>
        </row>
        <row r="621">
          <cell r="P621">
            <v>0</v>
          </cell>
          <cell r="U621" t="str">
            <v>000000000015380</v>
          </cell>
        </row>
        <row r="622">
          <cell r="C622">
            <v>100</v>
          </cell>
          <cell r="P622">
            <v>0</v>
          </cell>
          <cell r="U622" t="str">
            <v>000000000015380</v>
          </cell>
        </row>
        <row r="623">
          <cell r="C623">
            <v>2</v>
          </cell>
          <cell r="P623">
            <v>0</v>
          </cell>
          <cell r="U623" t="str">
            <v>000000000015380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000000000015380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000000000015380</v>
          </cell>
        </row>
        <row r="626">
          <cell r="M626" t="str">
            <v>作業者</v>
          </cell>
          <cell r="U626" t="str">
            <v>000000000015380</v>
          </cell>
        </row>
        <row r="627">
          <cell r="C627">
            <v>0</v>
          </cell>
          <cell r="U627" t="str">
            <v>000000000015380</v>
          </cell>
        </row>
        <row r="628">
          <cell r="R628">
            <v>0</v>
          </cell>
          <cell r="U628" t="str">
            <v>000000000015380</v>
          </cell>
        </row>
        <row r="629">
          <cell r="D629" t="str">
            <v>不良補填</v>
          </cell>
          <cell r="F629">
            <v>0</v>
          </cell>
          <cell r="U629" t="str">
            <v>000000000015380</v>
          </cell>
        </row>
        <row r="630">
          <cell r="C630" t="str">
            <v>8FL281304 5010　L=888</v>
          </cell>
          <cell r="P630">
            <v>0</v>
          </cell>
          <cell r="U630" t="str">
            <v>000000000015381</v>
          </cell>
        </row>
        <row r="631">
          <cell r="P631">
            <v>0</v>
          </cell>
          <cell r="U631" t="str">
            <v>000000000015381</v>
          </cell>
        </row>
        <row r="632">
          <cell r="P632">
            <v>0</v>
          </cell>
          <cell r="U632" t="str">
            <v>000000000015381</v>
          </cell>
        </row>
        <row r="633">
          <cell r="C633">
            <v>200</v>
          </cell>
          <cell r="P633">
            <v>0</v>
          </cell>
          <cell r="U633" t="str">
            <v>000000000015381</v>
          </cell>
        </row>
        <row r="634">
          <cell r="C634">
            <v>2</v>
          </cell>
          <cell r="P634">
            <v>0</v>
          </cell>
          <cell r="U634" t="str">
            <v>000000000015381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000000000015381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000000000015381</v>
          </cell>
        </row>
        <row r="637">
          <cell r="M637" t="str">
            <v>作業者</v>
          </cell>
          <cell r="U637" t="str">
            <v>000000000015381</v>
          </cell>
        </row>
        <row r="638">
          <cell r="C638">
            <v>0</v>
          </cell>
          <cell r="U638" t="str">
            <v>000000000015381</v>
          </cell>
        </row>
        <row r="639">
          <cell r="R639">
            <v>0</v>
          </cell>
          <cell r="U639" t="str">
            <v>000000000015381</v>
          </cell>
        </row>
        <row r="640">
          <cell r="D640" t="str">
            <v>不良補填</v>
          </cell>
          <cell r="F640">
            <v>0</v>
          </cell>
          <cell r="U640" t="str">
            <v>000000000015381</v>
          </cell>
        </row>
        <row r="641">
          <cell r="C641" t="str">
            <v>8FL281304 5010　L=888</v>
          </cell>
          <cell r="P641">
            <v>0</v>
          </cell>
          <cell r="U641" t="str">
            <v>000000000015382</v>
          </cell>
        </row>
        <row r="642">
          <cell r="P642">
            <v>0</v>
          </cell>
          <cell r="U642" t="str">
            <v>000000000015382</v>
          </cell>
        </row>
        <row r="643">
          <cell r="P643">
            <v>0</v>
          </cell>
          <cell r="U643" t="str">
            <v>000000000015382</v>
          </cell>
        </row>
        <row r="644">
          <cell r="C644">
            <v>500</v>
          </cell>
          <cell r="P644">
            <v>0</v>
          </cell>
          <cell r="U644" t="str">
            <v>000000000015382</v>
          </cell>
        </row>
        <row r="645">
          <cell r="C645">
            <v>2</v>
          </cell>
          <cell r="P645">
            <v>0</v>
          </cell>
          <cell r="U645" t="str">
            <v>000000000015382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000000000015382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000000000015382</v>
          </cell>
        </row>
        <row r="648">
          <cell r="M648" t="str">
            <v>作業者</v>
          </cell>
          <cell r="U648" t="str">
            <v>000000000015382</v>
          </cell>
        </row>
        <row r="649">
          <cell r="C649">
            <v>0</v>
          </cell>
          <cell r="U649" t="str">
            <v>000000000015382</v>
          </cell>
        </row>
        <row r="650">
          <cell r="R650">
            <v>0</v>
          </cell>
          <cell r="U650" t="str">
            <v>000000000015382</v>
          </cell>
        </row>
        <row r="651">
          <cell r="D651" t="str">
            <v>不良補填</v>
          </cell>
          <cell r="F651">
            <v>0</v>
          </cell>
          <cell r="U651" t="str">
            <v>000000000015382</v>
          </cell>
        </row>
        <row r="652">
          <cell r="C652" t="str">
            <v>8FL281304 5010　L=888</v>
          </cell>
          <cell r="P652">
            <v>0</v>
          </cell>
          <cell r="U652" t="str">
            <v>000000000015385</v>
          </cell>
        </row>
        <row r="653">
          <cell r="P653">
            <v>0</v>
          </cell>
          <cell r="U653" t="str">
            <v>000000000015385</v>
          </cell>
        </row>
        <row r="654">
          <cell r="P654">
            <v>0</v>
          </cell>
          <cell r="U654" t="str">
            <v>000000000015385</v>
          </cell>
        </row>
        <row r="655">
          <cell r="C655">
            <v>100</v>
          </cell>
          <cell r="P655">
            <v>0</v>
          </cell>
          <cell r="U655" t="str">
            <v>000000000015385</v>
          </cell>
        </row>
        <row r="656">
          <cell r="C656">
            <v>2</v>
          </cell>
          <cell r="P656">
            <v>0</v>
          </cell>
          <cell r="U656" t="str">
            <v>000000000015385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000000000015385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000000000015385</v>
          </cell>
        </row>
        <row r="659">
          <cell r="M659" t="str">
            <v>作業者</v>
          </cell>
          <cell r="U659" t="str">
            <v>000000000015385</v>
          </cell>
        </row>
        <row r="660">
          <cell r="C660">
            <v>0</v>
          </cell>
          <cell r="U660" t="str">
            <v>000000000015385</v>
          </cell>
        </row>
        <row r="661">
          <cell r="R661">
            <v>0</v>
          </cell>
          <cell r="U661" t="str">
            <v>000000000015385</v>
          </cell>
        </row>
        <row r="662">
          <cell r="D662" t="str">
            <v>不良補填</v>
          </cell>
          <cell r="F662">
            <v>0</v>
          </cell>
          <cell r="U662" t="str">
            <v>000000000015385</v>
          </cell>
        </row>
        <row r="663">
          <cell r="C663" t="str">
            <v>8FL281304 5010　L=888</v>
          </cell>
          <cell r="P663">
            <v>0</v>
          </cell>
          <cell r="U663" t="str">
            <v>000000000015384</v>
          </cell>
        </row>
        <row r="664">
          <cell r="P664">
            <v>0</v>
          </cell>
          <cell r="U664" t="str">
            <v>000000000015384</v>
          </cell>
        </row>
        <row r="665">
          <cell r="P665">
            <v>0</v>
          </cell>
          <cell r="U665" t="str">
            <v>000000000015384</v>
          </cell>
        </row>
        <row r="666">
          <cell r="C666">
            <v>400</v>
          </cell>
          <cell r="P666">
            <v>0</v>
          </cell>
          <cell r="U666" t="str">
            <v>000000000015384</v>
          </cell>
        </row>
        <row r="667">
          <cell r="C667">
            <v>2</v>
          </cell>
          <cell r="P667">
            <v>0</v>
          </cell>
          <cell r="U667" t="str">
            <v>000000000015384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000000000015384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000000000015384</v>
          </cell>
        </row>
        <row r="670">
          <cell r="M670" t="str">
            <v>作業者</v>
          </cell>
          <cell r="U670" t="str">
            <v>000000000015384</v>
          </cell>
        </row>
        <row r="671">
          <cell r="C671">
            <v>0</v>
          </cell>
          <cell r="U671" t="str">
            <v>000000000015384</v>
          </cell>
        </row>
        <row r="672">
          <cell r="R672">
            <v>0</v>
          </cell>
          <cell r="U672" t="str">
            <v>000000000015384</v>
          </cell>
        </row>
        <row r="673">
          <cell r="D673" t="str">
            <v>不良補填</v>
          </cell>
          <cell r="F673">
            <v>0</v>
          </cell>
          <cell r="U673" t="str">
            <v>000000000015384</v>
          </cell>
        </row>
        <row r="674">
          <cell r="C674" t="str">
            <v>8FL281304 8310　L=748</v>
          </cell>
          <cell r="P674">
            <v>0</v>
          </cell>
          <cell r="U674" t="str">
            <v>000000000015377</v>
          </cell>
        </row>
        <row r="675">
          <cell r="P675">
            <v>0</v>
          </cell>
          <cell r="U675" t="str">
            <v>000000000015377</v>
          </cell>
        </row>
        <row r="676">
          <cell r="P676">
            <v>0</v>
          </cell>
          <cell r="U676" t="str">
            <v>000000000015377</v>
          </cell>
        </row>
        <row r="677">
          <cell r="C677">
            <v>200</v>
          </cell>
          <cell r="P677">
            <v>0</v>
          </cell>
          <cell r="U677" t="str">
            <v>000000000015377</v>
          </cell>
        </row>
        <row r="678">
          <cell r="C678">
            <v>2</v>
          </cell>
          <cell r="P678">
            <v>0</v>
          </cell>
          <cell r="U678" t="str">
            <v>000000000015377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000000000015377</v>
          </cell>
        </row>
        <row r="680">
          <cell r="C680" t="str">
            <v>LED-A888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000000000015377</v>
          </cell>
        </row>
        <row r="681">
          <cell r="M681" t="str">
            <v>作業者</v>
          </cell>
          <cell r="U681" t="str">
            <v>000000000015377</v>
          </cell>
        </row>
        <row r="682">
          <cell r="C682">
            <v>0</v>
          </cell>
          <cell r="U682" t="str">
            <v>000000000015377</v>
          </cell>
        </row>
        <row r="683">
          <cell r="R683">
            <v>0</v>
          </cell>
          <cell r="U683" t="str">
            <v>000000000015377</v>
          </cell>
        </row>
        <row r="684">
          <cell r="D684" t="str">
            <v>不良補填</v>
          </cell>
          <cell r="F684">
            <v>0</v>
          </cell>
          <cell r="U684" t="str">
            <v>000000000015377</v>
          </cell>
        </row>
        <row r="685">
          <cell r="C685" t="str">
            <v>8FL281304 6110　L=1478</v>
          </cell>
          <cell r="P685">
            <v>0</v>
          </cell>
          <cell r="U685" t="str">
            <v>000000000015389</v>
          </cell>
        </row>
        <row r="686">
          <cell r="P686">
            <v>0</v>
          </cell>
          <cell r="U686" t="str">
            <v>000000000015389</v>
          </cell>
        </row>
        <row r="687">
          <cell r="P687">
            <v>0</v>
          </cell>
          <cell r="U687" t="str">
            <v>000000000015389</v>
          </cell>
        </row>
        <row r="688">
          <cell r="C688">
            <v>500</v>
          </cell>
          <cell r="P688">
            <v>0</v>
          </cell>
          <cell r="U688" t="str">
            <v>000000000015389</v>
          </cell>
        </row>
        <row r="689">
          <cell r="C689">
            <v>1</v>
          </cell>
          <cell r="P689">
            <v>0</v>
          </cell>
          <cell r="U689" t="str">
            <v>000000000015389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000000000015389</v>
          </cell>
        </row>
        <row r="691">
          <cell r="C691" t="str">
            <v>LED-A1478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000000000015389</v>
          </cell>
        </row>
        <row r="692">
          <cell r="M692" t="str">
            <v>作業者</v>
          </cell>
          <cell r="U692" t="str">
            <v>000000000015389</v>
          </cell>
        </row>
        <row r="693">
          <cell r="C693">
            <v>0</v>
          </cell>
          <cell r="U693" t="str">
            <v>000000000015389</v>
          </cell>
        </row>
        <row r="694">
          <cell r="R694">
            <v>0</v>
          </cell>
          <cell r="U694" t="str">
            <v>000000000015389</v>
          </cell>
        </row>
        <row r="695">
          <cell r="D695" t="str">
            <v>不良補填</v>
          </cell>
          <cell r="F695">
            <v>0</v>
          </cell>
          <cell r="U695" t="str">
            <v>000000000015389</v>
          </cell>
        </row>
        <row r="696">
          <cell r="C696" t="str">
            <v>8FL281304 4910　L=592</v>
          </cell>
          <cell r="P696">
            <v>0</v>
          </cell>
          <cell r="U696" t="str">
            <v>000000000015376</v>
          </cell>
        </row>
        <row r="697">
          <cell r="P697">
            <v>0</v>
          </cell>
          <cell r="U697" t="str">
            <v>000000000015376</v>
          </cell>
        </row>
        <row r="698">
          <cell r="P698">
            <v>0</v>
          </cell>
          <cell r="U698" t="str">
            <v>000000000015376</v>
          </cell>
        </row>
        <row r="699">
          <cell r="C699">
            <v>500</v>
          </cell>
          <cell r="P699">
            <v>0</v>
          </cell>
          <cell r="U699" t="str">
            <v>000000000015376</v>
          </cell>
        </row>
        <row r="700">
          <cell r="C700">
            <v>3</v>
          </cell>
          <cell r="P700">
            <v>0</v>
          </cell>
          <cell r="U700" t="str">
            <v>000000000015376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000000000015376</v>
          </cell>
        </row>
        <row r="702">
          <cell r="C702" t="str">
            <v>LED-A592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000000000015376</v>
          </cell>
        </row>
        <row r="703">
          <cell r="M703" t="str">
            <v>作業者</v>
          </cell>
          <cell r="U703" t="str">
            <v>000000000015376</v>
          </cell>
        </row>
        <row r="704">
          <cell r="C704">
            <v>0</v>
          </cell>
          <cell r="U704" t="str">
            <v>000000000015376</v>
          </cell>
        </row>
        <row r="705">
          <cell r="R705">
            <v>0</v>
          </cell>
          <cell r="U705" t="str">
            <v>000000000015376</v>
          </cell>
        </row>
        <row r="706">
          <cell r="D706" t="str">
            <v>不良補填</v>
          </cell>
          <cell r="F706">
            <v>0</v>
          </cell>
          <cell r="U706" t="str">
            <v>000000000015376</v>
          </cell>
        </row>
        <row r="707">
          <cell r="C707" t="str">
            <v>8FL281304 5010　L=888</v>
          </cell>
          <cell r="U707" t="str">
            <v>000000000015383</v>
          </cell>
        </row>
        <row r="708">
          <cell r="U708" t="str">
            <v>000000000015383</v>
          </cell>
        </row>
        <row r="709">
          <cell r="U709" t="str">
            <v>000000000015383</v>
          </cell>
        </row>
        <row r="710">
          <cell r="C710">
            <v>2000</v>
          </cell>
          <cell r="U710" t="str">
            <v>000000000015383</v>
          </cell>
        </row>
        <row r="711">
          <cell r="C711">
            <v>2</v>
          </cell>
          <cell r="U711" t="str">
            <v>000000000015383</v>
          </cell>
        </row>
        <row r="712">
          <cell r="C712">
            <v>100</v>
          </cell>
          <cell r="N712">
            <v>0</v>
          </cell>
          <cell r="U712" t="str">
            <v>000000000015383</v>
          </cell>
        </row>
        <row r="713">
          <cell r="C713" t="str">
            <v>LED-A888</v>
          </cell>
          <cell r="N713">
            <v>0</v>
          </cell>
          <cell r="U713" t="str">
            <v>000000000015383</v>
          </cell>
        </row>
        <row r="714">
          <cell r="U714" t="str">
            <v>000000000015383</v>
          </cell>
        </row>
        <row r="715">
          <cell r="U715" t="str">
            <v>000000000015383</v>
          </cell>
        </row>
        <row r="716">
          <cell r="U716" t="str">
            <v>000000000015383</v>
          </cell>
        </row>
        <row r="717">
          <cell r="D717" t="str">
            <v>不良補填</v>
          </cell>
          <cell r="F717">
            <v>0</v>
          </cell>
          <cell r="U717" t="str">
            <v>000000000015383</v>
          </cell>
        </row>
        <row r="718">
          <cell r="C718" t="str">
            <v>灯具カバーPC IN 2110　L=1815</v>
          </cell>
          <cell r="U718" t="str">
            <v>000000000015469</v>
          </cell>
        </row>
        <row r="719">
          <cell r="U719" t="str">
            <v>000000000015469</v>
          </cell>
        </row>
        <row r="720">
          <cell r="U720" t="str">
            <v>000000000015469</v>
          </cell>
        </row>
        <row r="721">
          <cell r="C721">
            <v>192</v>
          </cell>
          <cell r="U721" t="str">
            <v>000000000015469</v>
          </cell>
        </row>
        <row r="722">
          <cell r="C722">
            <v>1</v>
          </cell>
          <cell r="U722" t="str">
            <v>000000000015469</v>
          </cell>
        </row>
        <row r="723">
          <cell r="C723">
            <v>16</v>
          </cell>
          <cell r="N723">
            <v>0</v>
          </cell>
          <cell r="U723" t="str">
            <v>000000000015469</v>
          </cell>
        </row>
        <row r="724">
          <cell r="C724" t="str">
            <v>灯具-2　L＝1996</v>
          </cell>
          <cell r="N724">
            <v>0</v>
          </cell>
          <cell r="U724" t="str">
            <v>000000000015469</v>
          </cell>
        </row>
        <row r="725">
          <cell r="U725" t="str">
            <v>000000000015469</v>
          </cell>
        </row>
        <row r="726">
          <cell r="U726" t="str">
            <v>000000000015469</v>
          </cell>
        </row>
        <row r="727">
          <cell r="U727" t="str">
            <v>000000000015469</v>
          </cell>
        </row>
        <row r="728">
          <cell r="D728" t="str">
            <v>不良補填</v>
          </cell>
          <cell r="F728" t="str">
            <v/>
          </cell>
          <cell r="U728" t="str">
            <v>000000000015469</v>
          </cell>
        </row>
        <row r="729">
          <cell r="C729" t="str">
            <v>灯具カバーPC IN 2140　L=547</v>
          </cell>
          <cell r="U729" t="str">
            <v>000000000015457</v>
          </cell>
        </row>
        <row r="730">
          <cell r="U730" t="str">
            <v>000000000015457</v>
          </cell>
        </row>
        <row r="731">
          <cell r="U731" t="str">
            <v>000000000015457</v>
          </cell>
        </row>
        <row r="732">
          <cell r="C732">
            <v>80</v>
          </cell>
          <cell r="U732" t="str">
            <v>000000000015457</v>
          </cell>
        </row>
        <row r="733">
          <cell r="C733">
            <v>1</v>
          </cell>
          <cell r="U733" t="str">
            <v>000000000015457</v>
          </cell>
        </row>
        <row r="734">
          <cell r="C734">
            <v>16</v>
          </cell>
          <cell r="N734">
            <v>0</v>
          </cell>
          <cell r="U734" t="str">
            <v>000000000015457</v>
          </cell>
        </row>
        <row r="735">
          <cell r="C735" t="str">
            <v>灯具-1　L=1370</v>
          </cell>
          <cell r="N735">
            <v>0</v>
          </cell>
          <cell r="U735" t="str">
            <v>000000000015457</v>
          </cell>
        </row>
        <row r="736">
          <cell r="U736" t="str">
            <v>000000000015457</v>
          </cell>
        </row>
        <row r="737">
          <cell r="U737" t="str">
            <v>000000000015457</v>
          </cell>
        </row>
        <row r="738">
          <cell r="U738" t="str">
            <v>000000000015457</v>
          </cell>
        </row>
        <row r="739">
          <cell r="D739" t="str">
            <v>不良補填</v>
          </cell>
          <cell r="F739" t="str">
            <v/>
          </cell>
          <cell r="U739" t="str">
            <v>000000000015457</v>
          </cell>
        </row>
        <row r="740">
          <cell r="C740" t="str">
            <v>灯具カバーPC IN 2130　L=908</v>
          </cell>
          <cell r="U740" t="str">
            <v>000000000015462</v>
          </cell>
        </row>
        <row r="741">
          <cell r="U741" t="str">
            <v>000000000015462</v>
          </cell>
        </row>
        <row r="742">
          <cell r="U742" t="str">
            <v>000000000015462</v>
          </cell>
        </row>
        <row r="743">
          <cell r="C743">
            <v>192</v>
          </cell>
          <cell r="U743" t="str">
            <v>000000000015462</v>
          </cell>
        </row>
        <row r="744">
          <cell r="C744">
            <v>1</v>
          </cell>
          <cell r="U744" t="str">
            <v>000000000015462</v>
          </cell>
        </row>
        <row r="745">
          <cell r="C745">
            <v>16</v>
          </cell>
          <cell r="N745">
            <v>0</v>
          </cell>
          <cell r="U745" t="str">
            <v>000000000015462</v>
          </cell>
        </row>
        <row r="746">
          <cell r="C746" t="str">
            <v>灯具-3　L=970</v>
          </cell>
          <cell r="N746">
            <v>0</v>
          </cell>
          <cell r="U746" t="str">
            <v>000000000015462</v>
          </cell>
        </row>
        <row r="747">
          <cell r="U747" t="str">
            <v>000000000015462</v>
          </cell>
        </row>
        <row r="748">
          <cell r="U748" t="str">
            <v>000000000015462</v>
          </cell>
        </row>
        <row r="749">
          <cell r="U749" t="str">
            <v>000000000015462</v>
          </cell>
        </row>
        <row r="750">
          <cell r="D750" t="str">
            <v>不良補填</v>
          </cell>
          <cell r="F750" t="str">
            <v/>
          </cell>
          <cell r="U750" t="str">
            <v>000000000015462</v>
          </cell>
        </row>
        <row r="751">
          <cell r="C751" t="str">
            <v>灯具カバーPC IN 2050　L=1183.5</v>
          </cell>
          <cell r="U751" t="str">
            <v>000000000015464</v>
          </cell>
        </row>
        <row r="752">
          <cell r="U752" t="str">
            <v>000000000015464</v>
          </cell>
        </row>
        <row r="753">
          <cell r="U753" t="str">
            <v>000000000015464</v>
          </cell>
        </row>
        <row r="754">
          <cell r="C754">
            <v>192</v>
          </cell>
          <cell r="U754" t="str">
            <v>000000000015464</v>
          </cell>
        </row>
        <row r="755">
          <cell r="C755">
            <v>1</v>
          </cell>
          <cell r="U755" t="str">
            <v>000000000015464</v>
          </cell>
        </row>
        <row r="756">
          <cell r="C756">
            <v>16</v>
          </cell>
          <cell r="N756">
            <v>0</v>
          </cell>
          <cell r="U756" t="str">
            <v>000000000015464</v>
          </cell>
        </row>
        <row r="757">
          <cell r="C757" t="str">
            <v>灯具-1　L=1370</v>
          </cell>
          <cell r="N757">
            <v>0</v>
          </cell>
          <cell r="U757" t="str">
            <v>000000000015464</v>
          </cell>
        </row>
        <row r="758">
          <cell r="U758" t="str">
            <v>000000000015464</v>
          </cell>
        </row>
        <row r="759">
          <cell r="U759" t="str">
            <v>000000000015464</v>
          </cell>
        </row>
        <row r="760">
          <cell r="U760" t="str">
            <v>000000000015464</v>
          </cell>
        </row>
        <row r="761">
          <cell r="D761" t="str">
            <v>不良補填</v>
          </cell>
          <cell r="F761" t="str">
            <v/>
          </cell>
          <cell r="U761" t="str">
            <v>000000000015464</v>
          </cell>
        </row>
        <row r="762">
          <cell r="C762" t="str">
            <v>灯具カバーPC IN 2060　L=1258.5</v>
          </cell>
          <cell r="U762" t="str">
            <v>000000000015466</v>
          </cell>
        </row>
        <row r="763">
          <cell r="U763" t="str">
            <v>000000000015466</v>
          </cell>
        </row>
        <row r="764">
          <cell r="U764" t="str">
            <v>000000000015466</v>
          </cell>
        </row>
        <row r="765">
          <cell r="C765">
            <v>96</v>
          </cell>
          <cell r="U765" t="str">
            <v>000000000015466</v>
          </cell>
        </row>
        <row r="766">
          <cell r="C766">
            <v>1</v>
          </cell>
          <cell r="U766" t="str">
            <v>000000000015466</v>
          </cell>
        </row>
        <row r="767">
          <cell r="C767">
            <v>16</v>
          </cell>
          <cell r="U767" t="str">
            <v>000000000015466</v>
          </cell>
        </row>
        <row r="768">
          <cell r="C768" t="str">
            <v>灯具-1　L=1370</v>
          </cell>
          <cell r="U768" t="str">
            <v>000000000015466</v>
          </cell>
        </row>
        <row r="769">
          <cell r="U769" t="str">
            <v>000000000015466</v>
          </cell>
        </row>
        <row r="770">
          <cell r="U770" t="str">
            <v>000000000015466</v>
          </cell>
        </row>
        <row r="771">
          <cell r="U771" t="str">
            <v>000000000015466</v>
          </cell>
        </row>
        <row r="772">
          <cell r="D772" t="str">
            <v>不良補填</v>
          </cell>
          <cell r="F772" t="str">
            <v/>
          </cell>
          <cell r="U772" t="str">
            <v>000000000015466</v>
          </cell>
        </row>
        <row r="773">
          <cell r="C773" t="str">
            <v>灯具カバーPC IN 2490　L=1264</v>
          </cell>
          <cell r="U773" t="str">
            <v>000000000015467</v>
          </cell>
        </row>
        <row r="774">
          <cell r="U774" t="str">
            <v>000000000015467</v>
          </cell>
        </row>
        <row r="775">
          <cell r="U775" t="str">
            <v>000000000015467</v>
          </cell>
        </row>
        <row r="776">
          <cell r="C776">
            <v>96</v>
          </cell>
          <cell r="U776" t="str">
            <v>000000000015467</v>
          </cell>
        </row>
        <row r="777">
          <cell r="C777">
            <v>1</v>
          </cell>
          <cell r="U777" t="str">
            <v>000000000015467</v>
          </cell>
        </row>
        <row r="778">
          <cell r="C778">
            <v>16</v>
          </cell>
          <cell r="U778" t="str">
            <v>000000000015467</v>
          </cell>
        </row>
        <row r="779">
          <cell r="C779" t="str">
            <v>灯具-1　L=1370</v>
          </cell>
          <cell r="U779" t="str">
            <v>000000000015467</v>
          </cell>
        </row>
        <row r="780">
          <cell r="U780" t="str">
            <v>000000000015467</v>
          </cell>
        </row>
        <row r="781">
          <cell r="U781" t="str">
            <v>000000000015467</v>
          </cell>
        </row>
        <row r="782">
          <cell r="U782" t="str">
            <v>000000000015467</v>
          </cell>
        </row>
        <row r="783">
          <cell r="D783" t="str">
            <v>不良補填</v>
          </cell>
          <cell r="F783" t="str">
            <v/>
          </cell>
          <cell r="U783" t="str">
            <v>000000000015467</v>
          </cell>
        </row>
        <row r="784">
          <cell r="C784" t="str">
            <v>灯具カバーPC IN 2460　L=1291</v>
          </cell>
          <cell r="U784" t="str">
            <v>000000000015468</v>
          </cell>
        </row>
        <row r="785">
          <cell r="U785" t="str">
            <v>000000000015468</v>
          </cell>
        </row>
        <row r="786">
          <cell r="U786" t="str">
            <v>000000000015468</v>
          </cell>
        </row>
        <row r="787">
          <cell r="C787">
            <v>96</v>
          </cell>
          <cell r="U787" t="str">
            <v>000000000015468</v>
          </cell>
        </row>
        <row r="788">
          <cell r="C788">
            <v>1</v>
          </cell>
          <cell r="U788" t="str">
            <v>000000000015468</v>
          </cell>
        </row>
        <row r="789">
          <cell r="C789">
            <v>16</v>
          </cell>
          <cell r="U789" t="str">
            <v>000000000015468</v>
          </cell>
        </row>
        <row r="790">
          <cell r="C790" t="str">
            <v>灯具-1　L=1370</v>
          </cell>
          <cell r="U790" t="str">
            <v>000000000015468</v>
          </cell>
        </row>
        <row r="791">
          <cell r="U791" t="str">
            <v>000000000015468</v>
          </cell>
        </row>
        <row r="792">
          <cell r="U792" t="str">
            <v>000000000015468</v>
          </cell>
        </row>
        <row r="793">
          <cell r="U793" t="str">
            <v>000000000015468</v>
          </cell>
        </row>
        <row r="794">
          <cell r="D794" t="str">
            <v>不良補填</v>
          </cell>
          <cell r="F794" t="str">
            <v/>
          </cell>
          <cell r="U794" t="str">
            <v>000000000015468</v>
          </cell>
        </row>
        <row r="795">
          <cell r="C795" t="str">
            <v>灯具カバーPC IN 2100　L=1923</v>
          </cell>
          <cell r="U795" t="str">
            <v>000000000015471</v>
          </cell>
        </row>
        <row r="796">
          <cell r="U796" t="str">
            <v>000000000015471</v>
          </cell>
        </row>
        <row r="797">
          <cell r="U797" t="str">
            <v>000000000015471</v>
          </cell>
        </row>
        <row r="798">
          <cell r="C798">
            <v>96</v>
          </cell>
          <cell r="U798" t="str">
            <v>000000000015471</v>
          </cell>
        </row>
        <row r="799">
          <cell r="C799">
            <v>1</v>
          </cell>
          <cell r="U799" t="str">
            <v>000000000015471</v>
          </cell>
        </row>
        <row r="800">
          <cell r="C800">
            <v>16</v>
          </cell>
          <cell r="U800" t="str">
            <v>000000000015471</v>
          </cell>
        </row>
        <row r="801">
          <cell r="C801" t="str">
            <v>灯具-2　L＝1996</v>
          </cell>
          <cell r="U801" t="str">
            <v>000000000015471</v>
          </cell>
        </row>
        <row r="802">
          <cell r="U802" t="str">
            <v>000000000015471</v>
          </cell>
        </row>
        <row r="803">
          <cell r="U803" t="str">
            <v>000000000015471</v>
          </cell>
        </row>
        <row r="804">
          <cell r="U804" t="str">
            <v>000000000015471</v>
          </cell>
        </row>
        <row r="805">
          <cell r="U805" t="str">
            <v>000000000015471</v>
          </cell>
        </row>
        <row r="806">
          <cell r="C806" t="str">
            <v>灯具カバーPC IN 2090　L=840</v>
          </cell>
          <cell r="U806" t="str">
            <v>000000000015459</v>
          </cell>
        </row>
        <row r="807">
          <cell r="U807" t="str">
            <v>000000000015459</v>
          </cell>
        </row>
        <row r="808">
          <cell r="U808" t="str">
            <v>000000000015459</v>
          </cell>
        </row>
        <row r="809">
          <cell r="C809">
            <v>192</v>
          </cell>
          <cell r="U809" t="str">
            <v>000000000015459</v>
          </cell>
        </row>
        <row r="810">
          <cell r="C810">
            <v>1</v>
          </cell>
          <cell r="U810" t="str">
            <v>000000000015459</v>
          </cell>
        </row>
        <row r="811">
          <cell r="C811">
            <v>16</v>
          </cell>
          <cell r="U811" t="str">
            <v>000000000015459</v>
          </cell>
        </row>
        <row r="812">
          <cell r="C812" t="str">
            <v>灯具-3　L=970</v>
          </cell>
          <cell r="U812" t="str">
            <v>000000000015459</v>
          </cell>
        </row>
        <row r="813">
          <cell r="U813" t="str">
            <v>000000000015459</v>
          </cell>
        </row>
        <row r="814">
          <cell r="U814" t="str">
            <v>000000000015459</v>
          </cell>
        </row>
        <row r="815">
          <cell r="U815" t="str">
            <v>000000000015459</v>
          </cell>
        </row>
        <row r="816">
          <cell r="U816" t="str">
            <v>000000000015459</v>
          </cell>
        </row>
        <row r="817">
          <cell r="C817" t="str">
            <v>灯具カバーPC IN 2500　L=1238</v>
          </cell>
          <cell r="U817" t="str">
            <v>000000000015465</v>
          </cell>
        </row>
        <row r="818">
          <cell r="U818" t="str">
            <v>000000000015465</v>
          </cell>
        </row>
        <row r="819">
          <cell r="U819" t="str">
            <v>000000000015465</v>
          </cell>
        </row>
        <row r="820">
          <cell r="C820">
            <v>96</v>
          </cell>
          <cell r="U820" t="str">
            <v>000000000015465</v>
          </cell>
        </row>
        <row r="821">
          <cell r="C821">
            <v>1</v>
          </cell>
          <cell r="U821" t="str">
            <v>000000000015465</v>
          </cell>
        </row>
        <row r="822">
          <cell r="C822">
            <v>16</v>
          </cell>
          <cell r="U822" t="str">
            <v>000000000015465</v>
          </cell>
        </row>
        <row r="823">
          <cell r="C823" t="str">
            <v>灯具-1　L=1370</v>
          </cell>
          <cell r="U823" t="str">
            <v>000000000015465</v>
          </cell>
        </row>
        <row r="824">
          <cell r="U824" t="str">
            <v>000000000015465</v>
          </cell>
        </row>
        <row r="825">
          <cell r="U825" t="str">
            <v>000000000015465</v>
          </cell>
        </row>
        <row r="826">
          <cell r="U826" t="str">
            <v>000000000015465</v>
          </cell>
        </row>
        <row r="827">
          <cell r="U827" t="str">
            <v>000000000015465</v>
          </cell>
        </row>
        <row r="828">
          <cell r="C828" t="str">
            <v>灯具カバーPC IN 2110　L=1815</v>
          </cell>
          <cell r="U828" t="str">
            <v>000000000015470</v>
          </cell>
        </row>
        <row r="829">
          <cell r="U829" t="str">
            <v>000000000015470</v>
          </cell>
        </row>
        <row r="830">
          <cell r="U830" t="str">
            <v>000000000015470</v>
          </cell>
        </row>
        <row r="831">
          <cell r="C831">
            <v>192</v>
          </cell>
          <cell r="U831" t="str">
            <v>000000000015470</v>
          </cell>
        </row>
        <row r="832">
          <cell r="C832">
            <v>1</v>
          </cell>
          <cell r="U832" t="str">
            <v>000000000015470</v>
          </cell>
        </row>
        <row r="833">
          <cell r="C833">
            <v>16</v>
          </cell>
          <cell r="U833" t="str">
            <v>000000000015470</v>
          </cell>
        </row>
        <row r="834">
          <cell r="C834" t="str">
            <v>灯具-2　L＝1996</v>
          </cell>
          <cell r="U834" t="str">
            <v>000000000015470</v>
          </cell>
        </row>
        <row r="835">
          <cell r="U835" t="str">
            <v>000000000015470</v>
          </cell>
        </row>
        <row r="836">
          <cell r="U836" t="str">
            <v>000000000015470</v>
          </cell>
        </row>
        <row r="837">
          <cell r="U837" t="str">
            <v>000000000015470</v>
          </cell>
        </row>
        <row r="838">
          <cell r="U838" t="str">
            <v>000000000015470</v>
          </cell>
        </row>
        <row r="839">
          <cell r="C839" t="str">
            <v>8FL281304 5010　L=888</v>
          </cell>
          <cell r="U839" t="str">
            <v>000000000015386</v>
          </cell>
        </row>
        <row r="840">
          <cell r="U840" t="str">
            <v>000000000015386</v>
          </cell>
        </row>
        <row r="841">
          <cell r="U841" t="str">
            <v>000000000015386</v>
          </cell>
        </row>
        <row r="842">
          <cell r="C842">
            <v>2000</v>
          </cell>
          <cell r="U842" t="str">
            <v>000000000015386</v>
          </cell>
        </row>
        <row r="843">
          <cell r="C843">
            <v>2</v>
          </cell>
          <cell r="U843" t="str">
            <v>000000000015386</v>
          </cell>
        </row>
        <row r="844">
          <cell r="C844">
            <v>100</v>
          </cell>
          <cell r="U844" t="str">
            <v>000000000015386</v>
          </cell>
        </row>
        <row r="845">
          <cell r="C845" t="str">
            <v>LED-A888</v>
          </cell>
          <cell r="U845" t="str">
            <v>000000000015386</v>
          </cell>
        </row>
        <row r="846">
          <cell r="U846" t="str">
            <v>000000000015386</v>
          </cell>
        </row>
        <row r="847">
          <cell r="U847" t="str">
            <v>000000000015386</v>
          </cell>
        </row>
        <row r="848">
          <cell r="U848" t="str">
            <v>000000000015386</v>
          </cell>
        </row>
        <row r="849">
          <cell r="U849" t="str">
            <v>000000000015386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U8" sqref="U8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50" t="s">
        <v>0</v>
      </c>
      <c r="C1" s="29"/>
      <c r="D1" s="2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29"/>
      <c r="C2" s="29"/>
      <c r="D2" s="29"/>
      <c r="E2" s="12"/>
      <c r="F2" s="12"/>
      <c r="G2" s="12"/>
      <c r="H2" s="12"/>
      <c r="I2" s="12"/>
      <c r="J2" s="12"/>
    </row>
    <row r="3" spans="1:10" ht="14.25" customHeight="1">
      <c r="A3" s="28" t="s">
        <v>1</v>
      </c>
      <c r="B3" s="28" t="s">
        <v>2</v>
      </c>
      <c r="C3" s="28"/>
      <c r="D3" s="57"/>
      <c r="E3" s="28" t="s">
        <v>3</v>
      </c>
      <c r="F3" s="61" t="s">
        <v>4</v>
      </c>
      <c r="G3" s="29"/>
      <c r="H3" s="29"/>
      <c r="I3" s="24" t="s">
        <v>5</v>
      </c>
      <c r="J3" s="24" t="s">
        <v>6</v>
      </c>
    </row>
    <row r="4" spans="1:10" ht="14.25" customHeight="1">
      <c r="A4" s="29"/>
      <c r="B4" s="29"/>
      <c r="C4" s="29"/>
      <c r="D4" s="29"/>
      <c r="E4" s="29"/>
      <c r="F4" s="29"/>
      <c r="G4" s="29"/>
      <c r="H4" s="29"/>
      <c r="I4" s="36"/>
      <c r="J4" s="36"/>
    </row>
    <row r="5" spans="1:10" ht="17.45" customHeight="1">
      <c r="A5" s="35" t="s">
        <v>7</v>
      </c>
      <c r="B5" s="35" t="s">
        <v>8</v>
      </c>
      <c r="E5" s="35" t="s">
        <v>9</v>
      </c>
      <c r="F5" s="44" t="s">
        <v>10</v>
      </c>
      <c r="G5" s="29"/>
      <c r="H5" s="29"/>
      <c r="I5" s="37"/>
      <c r="J5" s="37"/>
    </row>
    <row r="6" spans="1:10" ht="17.45" customHeight="1">
      <c r="A6" s="29"/>
      <c r="B6" s="29"/>
      <c r="E6" s="29"/>
      <c r="F6" s="29"/>
      <c r="G6" s="29"/>
      <c r="H6" s="29"/>
      <c r="I6" s="13"/>
      <c r="J6" s="13"/>
    </row>
    <row r="7" spans="1:10" ht="17.45" customHeight="1">
      <c r="A7" s="35" t="s">
        <v>11</v>
      </c>
      <c r="B7" s="35" t="s">
        <v>12</v>
      </c>
      <c r="E7" s="2" t="s">
        <v>13</v>
      </c>
      <c r="F7" s="44" t="s">
        <v>14</v>
      </c>
      <c r="G7" s="29"/>
      <c r="H7" s="21"/>
      <c r="I7" s="13"/>
      <c r="J7" s="13"/>
    </row>
    <row r="8" spans="1:10" ht="17.45" customHeight="1">
      <c r="A8" s="29"/>
      <c r="B8" s="29"/>
      <c r="E8" s="2" t="s">
        <v>15</v>
      </c>
      <c r="F8" s="21" t="s">
        <v>16</v>
      </c>
      <c r="G8" s="21"/>
      <c r="H8" s="21"/>
      <c r="I8" s="14"/>
      <c r="J8" s="14"/>
    </row>
    <row r="9" spans="1:10" ht="17.45" customHeight="1">
      <c r="A9" s="2" t="s">
        <v>17</v>
      </c>
      <c r="B9" s="4">
        <v>46197</v>
      </c>
      <c r="E9" s="2" t="s">
        <v>18</v>
      </c>
      <c r="F9" s="63">
        <v>1</v>
      </c>
      <c r="G9" s="29"/>
      <c r="H9" s="21"/>
    </row>
    <row r="10" spans="1:10" ht="17.45" customHeight="1">
      <c r="A10" s="2" t="s">
        <v>19</v>
      </c>
      <c r="B10" s="4">
        <v>46197</v>
      </c>
      <c r="E10" s="2" t="s">
        <v>20</v>
      </c>
      <c r="F10" s="21">
        <v>6</v>
      </c>
      <c r="G10" s="64" t="s">
        <v>21</v>
      </c>
      <c r="H10" s="53">
        <v>6</v>
      </c>
      <c r="I10" s="54"/>
      <c r="J10" s="55"/>
    </row>
    <row r="11" spans="1:10" ht="17.45" customHeight="1">
      <c r="A11" s="19"/>
      <c r="B11" s="20"/>
      <c r="C11" s="20"/>
      <c r="D11" s="20"/>
      <c r="E11" s="2"/>
      <c r="F11" s="21"/>
      <c r="G11" s="56"/>
      <c r="H11" s="56"/>
      <c r="I11" s="41"/>
      <c r="J11" s="49"/>
    </row>
    <row r="12" spans="1:10" ht="13.5" customHeight="1">
      <c r="A12" s="39" t="s">
        <v>22</v>
      </c>
      <c r="B12" s="29"/>
      <c r="C12" s="29"/>
      <c r="D12" s="20"/>
      <c r="F12" s="3"/>
      <c r="G12" s="51" t="s">
        <v>23</v>
      </c>
      <c r="H12" s="62" t="s">
        <v>24</v>
      </c>
      <c r="I12" s="47" t="s">
        <v>25</v>
      </c>
      <c r="J12" s="48"/>
    </row>
    <row r="13" spans="1:10" ht="13.5" customHeight="1">
      <c r="A13" s="29"/>
      <c r="B13" s="29"/>
      <c r="C13" s="29"/>
      <c r="D13" s="20"/>
      <c r="F13" s="3"/>
      <c r="G13" s="52"/>
      <c r="H13" s="52"/>
      <c r="I13" s="41"/>
      <c r="J13" s="49"/>
    </row>
    <row r="14" spans="1:10" ht="13.5" customHeight="1">
      <c r="A14" s="1" t="s">
        <v>26</v>
      </c>
    </row>
    <row r="15" spans="1:10" ht="63" customHeight="1" thickBot="1">
      <c r="A15" s="58"/>
      <c r="B15" s="59"/>
      <c r="C15" s="59"/>
      <c r="D15" s="59"/>
      <c r="E15" s="59"/>
      <c r="F15" s="59"/>
      <c r="G15" s="59"/>
      <c r="H15" s="59"/>
      <c r="I15" s="59"/>
      <c r="J15" s="59"/>
    </row>
    <row r="16" spans="1:10" ht="18.75">
      <c r="A16" s="23" t="s">
        <v>27</v>
      </c>
      <c r="B16" s="16" t="s">
        <v>28</v>
      </c>
      <c r="C16" s="45" t="s">
        <v>29</v>
      </c>
      <c r="D16" s="46"/>
      <c r="E16" s="16" t="s">
        <v>30</v>
      </c>
      <c r="F16" s="45" t="s">
        <v>31</v>
      </c>
      <c r="G16" s="46"/>
      <c r="H16" s="46"/>
      <c r="I16" s="60" t="s">
        <v>32</v>
      </c>
      <c r="J16" s="4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33</v>
      </c>
      <c r="C18" s="34" t="s">
        <v>34</v>
      </c>
      <c r="D18" s="33"/>
      <c r="E18" s="25" t="s">
        <v>35</v>
      </c>
      <c r="F18" s="34" t="s">
        <v>36</v>
      </c>
      <c r="G18" s="33"/>
      <c r="H18" s="33"/>
      <c r="I18" s="32"/>
      <c r="J18" s="33"/>
    </row>
    <row r="19" spans="1:10" s="7" customFormat="1" ht="16.5" customHeight="1">
      <c r="A19" s="22">
        <v>1</v>
      </c>
      <c r="B19" s="26" t="s">
        <v>33</v>
      </c>
      <c r="C19" s="34" t="s">
        <v>34</v>
      </c>
      <c r="D19" s="33"/>
      <c r="E19" s="25" t="s">
        <v>37</v>
      </c>
      <c r="F19" s="34" t="s">
        <v>38</v>
      </c>
      <c r="G19" s="33"/>
      <c r="H19" s="33"/>
      <c r="I19" s="32"/>
      <c r="J19" s="33"/>
    </row>
    <row r="20" spans="1:10" s="7" customFormat="1" ht="16.5" customHeight="1">
      <c r="A20" s="22"/>
      <c r="B20" s="26"/>
      <c r="C20" s="34"/>
      <c r="D20" s="33"/>
      <c r="E20" s="25"/>
      <c r="F20" s="34"/>
      <c r="G20" s="33"/>
      <c r="H20" s="33"/>
      <c r="I20" s="32"/>
      <c r="J20" s="33"/>
    </row>
    <row r="21" spans="1:10" s="7" customFormat="1" ht="16.5" customHeight="1">
      <c r="A21" s="22"/>
      <c r="B21" s="26"/>
      <c r="C21" s="34"/>
      <c r="D21" s="33"/>
      <c r="E21" s="25"/>
      <c r="F21" s="34"/>
      <c r="G21" s="33"/>
      <c r="H21" s="33"/>
      <c r="I21" s="32"/>
      <c r="J21" s="33"/>
    </row>
    <row r="22" spans="1:10" s="7" customFormat="1" ht="16.5" customHeight="1">
      <c r="A22" s="22"/>
      <c r="B22" s="26"/>
      <c r="C22" s="34"/>
      <c r="D22" s="33"/>
      <c r="E22" s="25"/>
      <c r="F22" s="34"/>
      <c r="G22" s="33"/>
      <c r="H22" s="33"/>
      <c r="I22" s="32"/>
      <c r="J22" s="33"/>
    </row>
    <row r="23" spans="1:10" s="7" customFormat="1" ht="16.5" customHeight="1">
      <c r="A23" s="22"/>
      <c r="B23" s="26"/>
      <c r="C23" s="34"/>
      <c r="D23" s="33"/>
      <c r="E23" s="25"/>
      <c r="F23" s="34"/>
      <c r="G23" s="33"/>
      <c r="H23" s="33"/>
      <c r="I23" s="32"/>
      <c r="J23" s="33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42" t="s">
        <v>39</v>
      </c>
      <c r="B25" s="43"/>
      <c r="C25" s="42" t="s">
        <v>40</v>
      </c>
      <c r="D25" s="43"/>
      <c r="E25" s="43"/>
      <c r="F25" s="17" t="s">
        <v>41</v>
      </c>
      <c r="G25" s="42" t="s">
        <v>42</v>
      </c>
      <c r="H25" s="43"/>
      <c r="I25" s="42" t="s">
        <v>43</v>
      </c>
      <c r="J25" s="43"/>
    </row>
    <row r="26" spans="1:10" ht="14.25" customHeight="1">
      <c r="A26" s="8"/>
      <c r="B26" s="18"/>
      <c r="C26" s="40" t="s">
        <v>44</v>
      </c>
      <c r="D26" s="41"/>
      <c r="E26" s="18"/>
      <c r="F26" s="40" t="s">
        <v>26</v>
      </c>
      <c r="G26" s="41"/>
      <c r="H26" s="41"/>
      <c r="I26" s="41"/>
      <c r="J26" s="41"/>
    </row>
    <row r="27" spans="1:10">
      <c r="A27" s="9"/>
      <c r="C27" s="7"/>
      <c r="D27" s="7"/>
      <c r="E27" s="7"/>
    </row>
    <row r="28" spans="1:10" s="5" customFormat="1" ht="14.25" customHeight="1">
      <c r="A28" s="34" t="s">
        <v>45</v>
      </c>
      <c r="B28" s="31"/>
      <c r="C28" s="34" t="s">
        <v>46</v>
      </c>
      <c r="D28" s="31"/>
      <c r="E28" s="31"/>
      <c r="F28" s="27" t="s">
        <v>24</v>
      </c>
      <c r="G28" s="30">
        <v>6</v>
      </c>
      <c r="H28" s="31"/>
      <c r="I28" s="30">
        <v>0.12</v>
      </c>
      <c r="J28" s="31"/>
    </row>
    <row r="29" spans="1:10" s="7" customFormat="1" ht="24.95" customHeight="1">
      <c r="A29" s="38" t="s">
        <v>47</v>
      </c>
      <c r="B29" s="33"/>
      <c r="C29" s="34" t="s">
        <v>48</v>
      </c>
      <c r="D29" s="33"/>
      <c r="E29" s="33"/>
      <c r="F29" s="34"/>
      <c r="G29" s="33"/>
      <c r="H29" s="33"/>
      <c r="I29" s="33"/>
      <c r="J29" s="33"/>
    </row>
    <row r="30" spans="1:10" s="5" customFormat="1" ht="14.25" customHeight="1">
      <c r="A30" s="34" t="s">
        <v>49</v>
      </c>
      <c r="B30" s="31"/>
      <c r="C30" s="34" t="s">
        <v>50</v>
      </c>
      <c r="D30" s="31"/>
      <c r="E30" s="31"/>
      <c r="F30" s="27" t="s">
        <v>24</v>
      </c>
      <c r="G30" s="30">
        <v>1.02</v>
      </c>
      <c r="H30" s="31"/>
      <c r="I30" s="30">
        <v>2.0400000000000001E-2</v>
      </c>
      <c r="J30" s="31"/>
    </row>
    <row r="31" spans="1:10" s="7" customFormat="1" ht="24.95" customHeight="1">
      <c r="A31" s="38" t="s">
        <v>51</v>
      </c>
      <c r="B31" s="33"/>
      <c r="C31" s="34"/>
      <c r="D31" s="33"/>
      <c r="E31" s="33"/>
      <c r="F31" s="34"/>
      <c r="G31" s="33"/>
      <c r="H31" s="33"/>
      <c r="I31" s="33"/>
      <c r="J31" s="33"/>
    </row>
    <row r="32" spans="1:10" s="5" customFormat="1" ht="14.25" customHeight="1">
      <c r="A32" s="34"/>
      <c r="B32" s="31"/>
      <c r="C32" s="34"/>
      <c r="D32" s="31"/>
      <c r="E32" s="31"/>
      <c r="F32" s="27"/>
      <c r="G32" s="30"/>
      <c r="H32" s="31"/>
      <c r="I32" s="30"/>
      <c r="J32" s="31"/>
    </row>
    <row r="33" spans="1:14" s="7" customFormat="1" ht="24.95" customHeight="1">
      <c r="A33" s="38"/>
      <c r="B33" s="33"/>
      <c r="C33" s="34"/>
      <c r="D33" s="33"/>
      <c r="E33" s="33"/>
      <c r="F33" s="34"/>
      <c r="G33" s="33"/>
      <c r="H33" s="33"/>
      <c r="I33" s="33"/>
      <c r="J33" s="33"/>
    </row>
    <row r="34" spans="1:14" s="5" customFormat="1" ht="14.25" customHeight="1">
      <c r="A34" s="34"/>
      <c r="B34" s="31"/>
      <c r="C34" s="34"/>
      <c r="D34" s="31"/>
      <c r="E34" s="31"/>
      <c r="F34" s="27"/>
      <c r="G34" s="30"/>
      <c r="H34" s="31"/>
      <c r="I34" s="30"/>
      <c r="J34" s="31"/>
    </row>
    <row r="35" spans="1:14" s="7" customFormat="1" ht="24.95" customHeight="1">
      <c r="A35" s="38"/>
      <c r="B35" s="33"/>
      <c r="C35" s="34"/>
      <c r="D35" s="33"/>
      <c r="E35" s="33"/>
      <c r="F35" s="34"/>
      <c r="G35" s="33"/>
      <c r="H35" s="33"/>
      <c r="I35" s="33"/>
      <c r="J35" s="33"/>
    </row>
    <row r="36" spans="1:14" s="5" customFormat="1" ht="14.25" customHeight="1">
      <c r="A36" s="34"/>
      <c r="B36" s="31"/>
      <c r="C36" s="34"/>
      <c r="D36" s="31"/>
      <c r="E36" s="31"/>
      <c r="F36" s="27"/>
      <c r="G36" s="30"/>
      <c r="H36" s="31"/>
      <c r="I36" s="30"/>
      <c r="J36" s="31"/>
    </row>
    <row r="37" spans="1:14" s="7" customFormat="1" ht="24.95" customHeight="1" thickBot="1">
      <c r="A37" s="38"/>
      <c r="B37" s="33"/>
      <c r="C37" s="34"/>
      <c r="D37" s="33"/>
      <c r="E37" s="33"/>
      <c r="F37" s="34"/>
      <c r="G37" s="33"/>
      <c r="H37" s="33"/>
      <c r="I37" s="33"/>
      <c r="J37" s="33"/>
    </row>
    <row r="38" spans="1:14" s="5" customFormat="1" ht="18" customHeight="1">
      <c r="A38" s="65" t="s">
        <v>52</v>
      </c>
      <c r="B38" s="66" t="s">
        <v>53</v>
      </c>
      <c r="C38" s="67" t="s">
        <v>54</v>
      </c>
      <c r="D38" s="68"/>
      <c r="E38" s="69" t="s">
        <v>55</v>
      </c>
      <c r="F38" s="70" t="s">
        <v>56</v>
      </c>
      <c r="G38" s="71" t="s">
        <v>57</v>
      </c>
      <c r="H38" s="72" t="s">
        <v>58</v>
      </c>
      <c r="I38" s="73" t="s">
        <v>59</v>
      </c>
      <c r="J38" s="74"/>
    </row>
    <row r="39" spans="1:14" s="7" customFormat="1" ht="18" customHeight="1">
      <c r="A39" s="75" t="str">
        <f>_xlfn.XLOOKUP(B3,[1]VFDB2!$A:$A,[1]VFDB2!$J:$J)</f>
        <v>-</v>
      </c>
      <c r="B39" s="76">
        <f>D3</f>
        <v>0</v>
      </c>
      <c r="C39" s="77" t="str">
        <f>_xlfn.XLOOKUP(B3,[1]VFDB2!$A:$A,[1]VFDB2!$Z:$Z)</f>
        <v>SB-246</v>
      </c>
      <c r="D39" s="78"/>
      <c r="E39" s="79" t="str" cm="1">
        <f t="array" ref="E39">IFERROR(INDEX(_xlfn._xlws.FILTER([2]加工記録２!C:C,[2]加工記録２!U:U=B5),9),"")</f>
        <v/>
      </c>
      <c r="F39" s="80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1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2"/>
      <c r="I39" s="83" t="s">
        <v>60</v>
      </c>
      <c r="J39" s="84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88" t="s">
        <v>61</v>
      </c>
      <c r="B40" s="89" t="s">
        <v>62</v>
      </c>
      <c r="C40" s="77"/>
      <c r="D40" s="78"/>
      <c r="E40" s="79"/>
      <c r="F40" s="9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1"/>
      <c r="H40" s="82"/>
      <c r="I40" s="83" t="s">
        <v>63</v>
      </c>
      <c r="J40" s="85" t="str">
        <v/>
      </c>
      <c r="K40" s="91"/>
    </row>
    <row r="41" spans="1:14" s="7" customFormat="1" ht="18" customHeight="1">
      <c r="A41" s="92">
        <f>_xlfn.XLOOKUP(B3,[1]VFDB2!$A:$A,[1]VFDB2!$L:$L)</f>
        <v>0</v>
      </c>
      <c r="B41" s="93" t="str">
        <f>_xlfn.XLOOKUP(B3,[1]VFDB2!$A:$A,[1]VFDB2!$AC:$AC)</f>
        <v>図面確認</v>
      </c>
      <c r="C41" s="94" t="s">
        <v>64</v>
      </c>
      <c r="D41" s="95" t="str">
        <f>_xlfn.XLOOKUP(B3,[1]VFDB2!$A:$A,[1]VFDB2!$W:$W)</f>
        <v>-</v>
      </c>
      <c r="E41" s="95"/>
      <c r="F41" s="96"/>
      <c r="G41" s="81"/>
      <c r="H41" s="82"/>
      <c r="I41" s="83" t="s">
        <v>65</v>
      </c>
      <c r="J41" s="85" t="str">
        <v/>
      </c>
      <c r="K41" s="97"/>
    </row>
    <row r="42" spans="1:14" s="5" customFormat="1" ht="18" customHeight="1">
      <c r="A42" s="98" t="s">
        <v>66</v>
      </c>
      <c r="B42" s="99" t="s">
        <v>67</v>
      </c>
      <c r="C42" s="94"/>
      <c r="D42" s="95" t="e">
        <f>_xlfn.XLOOKUP(B3,[1]VFDB2!$A:$A,[1]VFDB2!$R:$R)</f>
        <v>#REF!</v>
      </c>
      <c r="E42" s="95"/>
      <c r="F42" s="96"/>
      <c r="G42" s="81"/>
      <c r="H42" s="82"/>
      <c r="I42" s="83" t="s">
        <v>68</v>
      </c>
      <c r="J42" s="85" t="str">
        <v/>
      </c>
      <c r="K42" s="91"/>
    </row>
    <row r="43" spans="1:14" s="7" customFormat="1" ht="18" customHeight="1" thickBot="1">
      <c r="A43" s="100">
        <f>_xlfn.XLOOKUP(B3,[1]VFDB2!$A:$A,[1]VFDB2!$K:$K)</f>
        <v>-1</v>
      </c>
      <c r="B43" s="101">
        <f>_xlfn.XLOOKUP(B3,[1]VFDB2!$A:$A,[1]VFDB2!$P:$P)</f>
        <v>1</v>
      </c>
      <c r="C43" s="102" t="s">
        <v>69</v>
      </c>
      <c r="D43" s="103" t="str">
        <f>_xlfn.XLOOKUP(B3,[1]VFDB2!$A:$A,[1]VFDB2!$V:$V)</f>
        <v>-</v>
      </c>
      <c r="E43" s="103"/>
      <c r="F43" s="104"/>
      <c r="G43" s="105"/>
      <c r="H43" s="106"/>
      <c r="I43" s="83" t="s">
        <v>70</v>
      </c>
      <c r="J43" s="86" t="str">
        <v/>
      </c>
      <c r="K43" s="97"/>
    </row>
    <row r="44" spans="1:14" s="5" customFormat="1" ht="18" customHeight="1" thickBot="1">
      <c r="A44" s="107" t="s">
        <v>71</v>
      </c>
      <c r="B44" s="108" t="str" cm="1">
        <f t="array" ref="B44">IF(SUM(--(ISTEXT(B45:B55)*(B45:B55&lt;&gt;"")))=0,"計測Lot","計測Lot・加工数")</f>
        <v>計測Lot</v>
      </c>
      <c r="C44" s="109" t="s">
        <v>72</v>
      </c>
      <c r="D44" s="110" t="s">
        <v>73</v>
      </c>
      <c r="E44" s="111" t="s">
        <v>74</v>
      </c>
      <c r="F44" s="112" t="str" cm="1">
        <f t="array" ref="F44">IF(SUM(--(ISTEXT(B45:B55)*(B45:B55&lt;&gt;"")))=0,"記入不要","使用Lot")</f>
        <v>記入不要</v>
      </c>
      <c r="G44" s="113" t="s">
        <v>75</v>
      </c>
      <c r="H44" s="114" t="s">
        <v>76</v>
      </c>
      <c r="I44" s="115" t="s">
        <v>77</v>
      </c>
      <c r="J44" s="87" t="str">
        <v/>
      </c>
      <c r="K44" s="91"/>
    </row>
    <row r="45" spans="1:14" s="7" customFormat="1" ht="18" customHeight="1">
      <c r="A45" s="116" t="str" cm="1">
        <f t="array" ref="A45:A55">IFERROR(INDEX(_xlfn._xlws.FILTER([2]加工記録２!$D:$D,[2]加工記録２!$U:$U=B5),_xlfn.SEQUENCE(11),0),"")</f>
        <v/>
      </c>
      <c r="B45" s="12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123"/>
      <c r="D45" s="124"/>
      <c r="E45" s="125"/>
      <c r="F45" s="126"/>
      <c r="G45" s="127"/>
      <c r="H45" s="128"/>
      <c r="I45" s="129" t="s">
        <v>78</v>
      </c>
      <c r="J45" s="130"/>
      <c r="K45" s="131"/>
    </row>
    <row r="46" spans="1:14" s="5" customFormat="1" ht="18" customHeight="1">
      <c r="A46" s="117" t="str">
        <v/>
      </c>
      <c r="B46" s="121" t="str">
        <v/>
      </c>
      <c r="C46" s="132"/>
      <c r="D46" s="133"/>
      <c r="E46" s="134"/>
      <c r="F46" s="135"/>
      <c r="G46" s="132"/>
      <c r="H46" s="136"/>
      <c r="I46" s="137" t="s">
        <v>79</v>
      </c>
      <c r="J46" s="136" t="str" cm="1">
        <f t="array" ref="J46:J55">IFERROR(INDEX(_xlfn._xlws.FILTER([2]加工記録２!R:R, [2]加工記録２!U:U=B5),_xlfn.SEQUENCE(10)),"")</f>
        <v/>
      </c>
      <c r="K46" s="131"/>
    </row>
    <row r="47" spans="1:14" s="142" customFormat="1" ht="18.95" customHeight="1">
      <c r="A47" s="118" t="str">
        <v/>
      </c>
      <c r="B47" s="121" t="str">
        <v/>
      </c>
      <c r="C47" s="132"/>
      <c r="D47" s="133"/>
      <c r="E47" s="134"/>
      <c r="F47" s="135"/>
      <c r="G47" s="132"/>
      <c r="H47" s="136"/>
      <c r="I47" s="137" t="s">
        <v>80</v>
      </c>
      <c r="J47" s="136" t="str">
        <v/>
      </c>
      <c r="K47" s="140"/>
      <c r="L47" s="141"/>
      <c r="M47" s="141"/>
      <c r="N47" s="141"/>
    </row>
    <row r="48" spans="1:14" s="145" customFormat="1" ht="18.95" customHeight="1">
      <c r="A48" s="118" t="str">
        <v/>
      </c>
      <c r="B48" s="121" t="str">
        <v/>
      </c>
      <c r="C48" s="132"/>
      <c r="D48" s="133"/>
      <c r="E48" s="134"/>
      <c r="F48" s="135"/>
      <c r="G48" s="132"/>
      <c r="H48" s="136"/>
      <c r="I48" s="137" t="s">
        <v>81</v>
      </c>
      <c r="J48" s="136" t="str">
        <v/>
      </c>
      <c r="K48" s="143"/>
      <c r="L48" s="144"/>
      <c r="M48" s="144"/>
      <c r="N48" s="144"/>
    </row>
    <row r="49" spans="1:14" s="145" customFormat="1" ht="18.95" customHeight="1">
      <c r="A49" s="118" t="str">
        <v/>
      </c>
      <c r="B49" s="121" t="str">
        <v/>
      </c>
      <c r="C49" s="132"/>
      <c r="D49" s="133"/>
      <c r="E49" s="134"/>
      <c r="F49" s="135"/>
      <c r="G49" s="132"/>
      <c r="H49" s="136"/>
      <c r="I49" s="137" t="s">
        <v>82</v>
      </c>
      <c r="J49" s="136" t="str">
        <v/>
      </c>
      <c r="K49" s="143"/>
      <c r="L49" s="144"/>
      <c r="M49" s="144"/>
      <c r="N49" s="144"/>
    </row>
    <row r="50" spans="1:14" s="145" customFormat="1" ht="18.95" customHeight="1">
      <c r="A50" s="118" t="str">
        <v/>
      </c>
      <c r="B50" s="121" t="str">
        <v/>
      </c>
      <c r="C50" s="132"/>
      <c r="D50" s="133"/>
      <c r="E50" s="134"/>
      <c r="F50" s="135"/>
      <c r="G50" s="132"/>
      <c r="H50" s="136"/>
      <c r="I50" s="137" t="s">
        <v>83</v>
      </c>
      <c r="J50" s="136" t="str">
        <v/>
      </c>
      <c r="K50" s="143"/>
      <c r="L50" s="144"/>
      <c r="M50" s="144"/>
      <c r="N50" s="144"/>
    </row>
    <row r="51" spans="1:14" s="145" customFormat="1" ht="18.95" customHeight="1">
      <c r="A51" s="118" t="str">
        <v/>
      </c>
      <c r="B51" s="121" t="str">
        <v/>
      </c>
      <c r="C51" s="132"/>
      <c r="D51" s="133"/>
      <c r="E51" s="134"/>
      <c r="F51" s="135"/>
      <c r="G51" s="132"/>
      <c r="H51" s="136"/>
      <c r="I51" s="137" t="s">
        <v>84</v>
      </c>
      <c r="J51" s="136" t="str">
        <v/>
      </c>
      <c r="K51" s="143"/>
      <c r="L51" s="144"/>
      <c r="M51" s="144"/>
      <c r="N51" s="144"/>
    </row>
    <row r="52" spans="1:14" s="145" customFormat="1" ht="18.95" customHeight="1">
      <c r="A52" s="118" t="str">
        <v/>
      </c>
      <c r="B52" s="121" t="str">
        <v/>
      </c>
      <c r="C52" s="132"/>
      <c r="D52" s="133"/>
      <c r="E52" s="134"/>
      <c r="F52" s="135"/>
      <c r="G52" s="132"/>
      <c r="H52" s="136"/>
      <c r="I52" s="146" t="s">
        <v>85</v>
      </c>
      <c r="J52" s="136" t="str">
        <v/>
      </c>
      <c r="K52" s="143"/>
      <c r="L52" s="144"/>
      <c r="M52" s="144"/>
      <c r="N52" s="144"/>
    </row>
    <row r="53" spans="1:14" s="145" customFormat="1" ht="18.95" customHeight="1">
      <c r="A53" s="118" t="str">
        <v/>
      </c>
      <c r="B53" s="121" t="str">
        <v/>
      </c>
      <c r="C53" s="132"/>
      <c r="D53" s="133"/>
      <c r="E53" s="134"/>
      <c r="F53" s="135"/>
      <c r="G53" s="132"/>
      <c r="H53" s="136"/>
      <c r="I53" s="146" t="s">
        <v>86</v>
      </c>
      <c r="J53" s="136" t="str">
        <v/>
      </c>
      <c r="K53" s="143"/>
      <c r="L53" s="144"/>
      <c r="M53" s="144"/>
      <c r="N53" s="144"/>
    </row>
    <row r="54" spans="1:14" s="145" customFormat="1" ht="18.95" customHeight="1">
      <c r="A54" s="118" t="str">
        <v/>
      </c>
      <c r="B54" s="121" t="str">
        <v/>
      </c>
      <c r="C54" s="132"/>
      <c r="D54" s="133"/>
      <c r="E54" s="134"/>
      <c r="F54" s="135"/>
      <c r="G54" s="132"/>
      <c r="H54" s="136"/>
      <c r="I54" s="137" t="s">
        <v>87</v>
      </c>
      <c r="J54" s="138" t="str">
        <v/>
      </c>
      <c r="K54" s="143"/>
      <c r="L54" s="144"/>
      <c r="M54" s="144"/>
      <c r="N54" s="144"/>
    </row>
    <row r="55" spans="1:14" s="145" customFormat="1" ht="18.95" customHeight="1" thickBot="1">
      <c r="A55" s="119" t="str">
        <v/>
      </c>
      <c r="B55" s="122" t="str">
        <v/>
      </c>
      <c r="C55" s="147"/>
      <c r="D55" s="148"/>
      <c r="E55" s="149"/>
      <c r="F55" s="150"/>
      <c r="G55" s="151"/>
      <c r="H55" s="152"/>
      <c r="I55" s="153" t="s">
        <v>88</v>
      </c>
      <c r="J55" s="139" t="str">
        <v/>
      </c>
      <c r="K55" s="143"/>
      <c r="L55" s="144"/>
      <c r="M55" s="144"/>
      <c r="N55" s="144"/>
    </row>
    <row r="56" spans="1:14" ht="6" customHeight="1" thickBot="1">
      <c r="A56" s="154"/>
      <c r="B56" s="155"/>
      <c r="C56" s="155"/>
      <c r="D56" s="154"/>
      <c r="E56" s="155"/>
      <c r="F56" s="155"/>
      <c r="G56" s="155"/>
      <c r="H56" s="155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C3:C4"/>
    <mergeCell ref="G25:H25"/>
    <mergeCell ref="E3:E4"/>
    <mergeCell ref="F18:H18"/>
    <mergeCell ref="C31:E31"/>
    <mergeCell ref="D42:F42"/>
    <mergeCell ref="D43:F43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I32:J32"/>
    <mergeCell ref="A37:B37"/>
    <mergeCell ref="D3:D4"/>
    <mergeCell ref="A15:J15"/>
    <mergeCell ref="F35:J3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I16:J16"/>
    <mergeCell ref="I25:J25"/>
    <mergeCell ref="J4:J5"/>
    <mergeCell ref="F33:J33"/>
    <mergeCell ref="F3:H4"/>
    <mergeCell ref="I18:J18"/>
    <mergeCell ref="G34:H34"/>
    <mergeCell ref="A33:B33"/>
    <mergeCell ref="A36:B36"/>
    <mergeCell ref="F7:G7"/>
    <mergeCell ref="F23:H23"/>
    <mergeCell ref="C20:D20"/>
    <mergeCell ref="C36:E36"/>
    <mergeCell ref="C22:D22"/>
    <mergeCell ref="F26:J26"/>
    <mergeCell ref="I21:J21"/>
    <mergeCell ref="C28:E28"/>
    <mergeCell ref="C21:D21"/>
    <mergeCell ref="C37:E37"/>
    <mergeCell ref="A32:B32"/>
    <mergeCell ref="I23:J23"/>
    <mergeCell ref="C30:E30"/>
    <mergeCell ref="C23:D23"/>
    <mergeCell ref="F16:H16"/>
    <mergeCell ref="F37:J37"/>
    <mergeCell ref="G32:H32"/>
    <mergeCell ref="F20:H20"/>
    <mergeCell ref="I34:J34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I38:J38"/>
    <mergeCell ref="C29:E29"/>
    <mergeCell ref="A31:B31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2026-06-16T03:28:29Z</dcterms:modified>
</cp:coreProperties>
</file>