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0540329D-4572-45B9-8006-C798EFCDE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G39" i="1" a="1"/>
  <c r="G39" i="1" s="1"/>
  <c r="E39" i="1" a="1"/>
  <c r="E39" i="1" s="1"/>
  <c r="A39" i="1"/>
  <c r="J46" i="1" l="1"/>
  <c r="I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<sst xmlns="http://schemas.openxmlformats.org/spreadsheetml/2006/main" count="93" uniqueCount="87">
  <si>
    <t>検査梱包指示書</t>
  </si>
  <si>
    <t>品目番号</t>
  </si>
  <si>
    <t>J1AKZYB00107000</t>
  </si>
  <si>
    <t>Ｌ寸</t>
  </si>
  <si>
    <t>名称</t>
  </si>
  <si>
    <t>上長</t>
  </si>
  <si>
    <t>係員</t>
  </si>
  <si>
    <t>製造指図№</t>
  </si>
  <si>
    <t>000000000008411</t>
  </si>
  <si>
    <t>原料名</t>
  </si>
  <si>
    <t>(J6VX819)(J6VX820)</t>
  </si>
  <si>
    <t>発注明細№</t>
  </si>
  <si>
    <t>000000000799270</t>
  </si>
  <si>
    <t>色　名</t>
  </si>
  <si>
    <t>YW</t>
  </si>
  <si>
    <t>製品Grp</t>
  </si>
  <si>
    <t>J1AI</t>
  </si>
  <si>
    <t>開始日</t>
  </si>
  <si>
    <t>入り数</t>
  </si>
  <si>
    <t>終了日</t>
  </si>
  <si>
    <t>梱包数</t>
  </si>
  <si>
    <t>指示数量</t>
  </si>
  <si>
    <t>金　型</t>
  </si>
  <si>
    <t>4383</t>
  </si>
  <si>
    <t>*J1AKZYB00107000*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</si>
  <si>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</si>
  <si>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</si>
  <si>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</si>
  <si>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</si>
  <si>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</si>
  <si>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</si>
  <si>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</si>
  <si>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</si>
  <si>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</si>
  <si>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</si>
  <si>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</si>
  <si>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</si>
  <si>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</si>
  <si>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</si>
  <si>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</si>
  <si>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</si>
  <si>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</si>
  <si>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</si>
  <si>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</si>
  <si>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</si>
  <si>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</si>
  <si>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</si>
  <si>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J1AKZYA00114400</t>
  </si>
  <si>
    <t>@PK-59827 L1440</t>
  </si>
  <si>
    <t>*J1AKZYA00114400*</t>
  </si>
  <si>
    <t>PK-59827 L700用</t>
  </si>
  <si>
    <t>*J6DW0100*</t>
  </si>
  <si>
    <t>J6XX0017</t>
  </si>
  <si>
    <t>(管理外)筋入ｸﾗﾌﾄ紙</t>
  </si>
  <si>
    <t>*J6XX0017*</t>
  </si>
  <si>
    <t>600＊100</t>
  </si>
  <si>
    <t>J6DW0100</t>
    <phoneticPr fontId="2"/>
  </si>
  <si>
    <t>PK-59827 L=700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</si>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</sst>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1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32" fillId="0" borderId="30" xfId="0" applyNumberFormat="1" applyFont="1" applyBorder="1" applyAlignment="1">
      <alignment horizontal="center" vertical="center"/>
    </xf>
    <xf numFmtId="193" fontId="32" fillId="0" borderId="32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" fillId="0" borderId="0" xfId="0" applyFont="1">
      <alignment vertical="center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3</xdr:row>
      <xdr:rowOff>76200</xdr:rowOff>
    </xdr:from>
    <xdr:to>
      <xdr:col>9</xdr:col>
      <xdr:colOff>628650</xdr:colOff>
      <xdr:row>5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5541111-F307-D0C6-2B23-8653D100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61912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200026</xdr:colOff>
      <xdr:row>3</xdr:row>
      <xdr:rowOff>133351</xdr:rowOff>
    </xdr:from>
    <xdr:to>
      <xdr:col>8</xdr:col>
      <xdr:colOff>619126</xdr:colOff>
      <xdr:row>5</xdr:row>
      <xdr:rowOff>152401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C78265-1AE3-8DAD-1742-78C4AD859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6" y="676276"/>
          <a:ext cx="419100" cy="41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Sheet1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K3">
            <v>0</v>
          </cell>
          <cell r="L3">
            <v>45959</v>
          </cell>
          <cell r="M3">
            <v>11</v>
          </cell>
          <cell r="O3">
            <v>45960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>
            <v>45960</v>
          </cell>
          <cell r="M4">
            <v>9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K6">
            <v>0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K7">
            <v>0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K8">
            <v>0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G9" t="str">
            <v/>
          </cell>
          <cell r="K9">
            <v>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I11">
            <v>0</v>
          </cell>
          <cell r="K11">
            <v>0</v>
          </cell>
          <cell r="L11">
            <v>45960</v>
          </cell>
          <cell r="M11">
            <v>4</v>
          </cell>
          <cell r="O11">
            <v>45960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K13">
            <v>0</v>
          </cell>
          <cell r="O13">
            <v>201</v>
          </cell>
          <cell r="T13" t="str">
            <v>000000000008361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000000000008361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>
            <v>45961</v>
          </cell>
          <cell r="M19">
            <v>2</v>
          </cell>
          <cell r="O19">
            <v>45961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K21">
            <v>0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000000000008360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>
            <v>45961</v>
          </cell>
          <cell r="M27">
            <v>2</v>
          </cell>
          <cell r="O27">
            <v>45961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K29">
            <v>0</v>
          </cell>
          <cell r="O29">
            <v>67</v>
          </cell>
          <cell r="T29" t="str">
            <v>000000000008357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000000000008357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>
            <v>45961</v>
          </cell>
          <cell r="M35">
            <v>3</v>
          </cell>
          <cell r="O35">
            <v>45961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K37">
            <v>0</v>
          </cell>
          <cell r="O37">
            <v>40</v>
          </cell>
          <cell r="T37" t="str">
            <v>000000000008354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000000000008354</v>
          </cell>
        </row>
        <row r="39">
          <cell r="C39">
            <v>6</v>
          </cell>
          <cell r="G39" t="str">
            <v/>
          </cell>
          <cell r="K39">
            <v>0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I43">
            <v>0</v>
          </cell>
          <cell r="K43" t="e">
            <v>#VALUE!</v>
          </cell>
          <cell r="L43">
            <v>45961</v>
          </cell>
          <cell r="M43">
            <v>1</v>
          </cell>
          <cell r="O43">
            <v>45961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>
            <v>6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G46" t="str">
            <v/>
          </cell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G47" t="str">
            <v/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G48" t="str">
            <v/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G49" t="str">
            <v/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G50" t="str">
            <v/>
          </cell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>
            <v>45961</v>
          </cell>
          <cell r="M51">
            <v>4</v>
          </cell>
          <cell r="O51">
            <v>45961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G52" t="str">
            <v/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G53" t="str">
            <v/>
          </cell>
          <cell r="K53">
            <v>0</v>
          </cell>
          <cell r="O53">
            <v>95</v>
          </cell>
          <cell r="T53" t="str">
            <v>000000000008709</v>
          </cell>
        </row>
        <row r="54">
          <cell r="G54" t="str">
            <v/>
          </cell>
          <cell r="K54">
            <v>0</v>
          </cell>
          <cell r="O54">
            <v>31</v>
          </cell>
          <cell r="T54" t="str">
            <v>000000000008709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I59">
            <v>0</v>
          </cell>
          <cell r="K59">
            <v>0</v>
          </cell>
          <cell r="L59">
            <v>45965</v>
          </cell>
          <cell r="M59">
            <v>5</v>
          </cell>
          <cell r="O59">
            <v>45965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G60" t="str">
            <v/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G61" t="str">
            <v/>
          </cell>
          <cell r="I61" t="str">
            <v>次回納品11/14</v>
          </cell>
          <cell r="K61">
            <v>0</v>
          </cell>
          <cell r="O61">
            <v>121</v>
          </cell>
          <cell r="T61" t="str">
            <v>000000000007926-2</v>
          </cell>
        </row>
        <row r="62">
          <cell r="G62" t="str">
            <v/>
          </cell>
          <cell r="K62">
            <v>0</v>
          </cell>
          <cell r="O62">
            <v>41</v>
          </cell>
          <cell r="T62" t="str">
            <v>000000000007926-2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G65" t="str">
            <v/>
          </cell>
          <cell r="K65">
            <v>0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>
            <v>45965</v>
          </cell>
          <cell r="M67">
            <v>10</v>
          </cell>
          <cell r="O67">
            <v>45965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G68" t="str">
            <v/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G69" t="str">
            <v/>
          </cell>
          <cell r="I69" t="str">
            <v>次回納品11/25</v>
          </cell>
          <cell r="K69">
            <v>0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G70" t="str">
            <v/>
          </cell>
          <cell r="K70">
            <v>0</v>
          </cell>
          <cell r="O70">
            <v>49</v>
          </cell>
          <cell r="T70" t="str">
            <v>000000000008710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>
            <v>45966</v>
          </cell>
          <cell r="M75">
            <v>6</v>
          </cell>
          <cell r="O75">
            <v>45966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G76" t="str">
            <v/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G77" t="str">
            <v/>
          </cell>
          <cell r="K77">
            <v>0</v>
          </cell>
          <cell r="O77">
            <v>109</v>
          </cell>
          <cell r="T77" t="str">
            <v>000000000008705</v>
          </cell>
        </row>
        <row r="78">
          <cell r="G78" t="str">
            <v/>
          </cell>
          <cell r="K78">
            <v>0</v>
          </cell>
          <cell r="O78">
            <v>13</v>
          </cell>
          <cell r="T78" t="str">
            <v>000000000008705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13</v>
          </cell>
          <cell r="T79" t="str">
            <v>000000000008705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G81" t="str">
            <v/>
          </cell>
          <cell r="K81">
            <v>0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>
            <v>45961</v>
          </cell>
          <cell r="M83">
            <v>1</v>
          </cell>
          <cell r="O83">
            <v>45966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>
            <v>45966</v>
          </cell>
          <cell r="M84">
            <v>7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K85">
            <v>0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K86">
            <v>0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K87">
            <v>0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G89" t="str">
            <v/>
          </cell>
          <cell r="K89">
            <v>0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>
            <v>45966</v>
          </cell>
          <cell r="M91">
            <v>1</v>
          </cell>
          <cell r="O91">
            <v>45967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>
            <v>45967</v>
          </cell>
          <cell r="M92">
            <v>3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K93">
            <v>0</v>
          </cell>
          <cell r="O93">
            <v>401</v>
          </cell>
          <cell r="T93" t="str">
            <v>000000000008364</v>
          </cell>
        </row>
        <row r="94">
          <cell r="G94" t="str">
            <v/>
          </cell>
          <cell r="K94">
            <v>0</v>
          </cell>
          <cell r="O94">
            <v>1</v>
          </cell>
          <cell r="T94" t="str">
            <v>000000000008364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G96" t="str">
            <v/>
          </cell>
          <cell r="K96">
            <v>0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>
            <v>45967</v>
          </cell>
          <cell r="M99">
            <v>2</v>
          </cell>
          <cell r="O99">
            <v>45967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G102" t="str">
            <v/>
          </cell>
          <cell r="K102">
            <v>0</v>
          </cell>
          <cell r="O102">
            <v>1</v>
          </cell>
          <cell r="T102" t="str">
            <v>000000000008941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>
            <v>45967</v>
          </cell>
          <cell r="M107">
            <v>2</v>
          </cell>
          <cell r="O107">
            <v>45967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191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K109">
            <v>0</v>
          </cell>
          <cell r="O109">
            <v>67</v>
          </cell>
          <cell r="T109" t="str">
            <v>000000000008358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000000000008358</v>
          </cell>
        </row>
        <row r="111">
          <cell r="C111">
            <v>3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G112" t="str">
            <v/>
          </cell>
          <cell r="K112">
            <v>0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G113" t="str">
            <v/>
          </cell>
          <cell r="K113">
            <v>0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I115">
            <v>0</v>
          </cell>
          <cell r="K115">
            <v>0</v>
          </cell>
          <cell r="L115">
            <v>45967</v>
          </cell>
          <cell r="M115">
            <v>2</v>
          </cell>
          <cell r="O115">
            <v>45967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K117">
            <v>0</v>
          </cell>
          <cell r="O117">
            <v>67</v>
          </cell>
          <cell r="T117" t="str">
            <v>000000000008359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000000000008359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K123">
            <v>0</v>
          </cell>
          <cell r="L123">
            <v>45967</v>
          </cell>
          <cell r="M123">
            <v>2</v>
          </cell>
          <cell r="O123">
            <v>45967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K125">
            <v>0</v>
          </cell>
          <cell r="O125">
            <v>31</v>
          </cell>
          <cell r="T125" t="str">
            <v>000000000008355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000000000008355</v>
          </cell>
        </row>
        <row r="127">
          <cell r="C127">
            <v>6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G128" t="str">
            <v/>
          </cell>
          <cell r="K128">
            <v>0</v>
          </cell>
          <cell r="L128" t="str">
            <v>切断</v>
          </cell>
          <cell r="M128" t="str">
            <v>C</v>
          </cell>
          <cell r="O128">
            <v>24</v>
          </cell>
          <cell r="T128" t="str">
            <v>000000000008355</v>
          </cell>
        </row>
        <row r="129">
          <cell r="C129">
            <v>2</v>
          </cell>
          <cell r="G129" t="str">
            <v/>
          </cell>
          <cell r="K129">
            <v>0</v>
          </cell>
          <cell r="L129" t="str">
            <v>検査</v>
          </cell>
          <cell r="M129" t="str">
            <v>U</v>
          </cell>
          <cell r="O129">
            <v>19</v>
          </cell>
          <cell r="T129" t="str">
            <v>000000000008355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I131">
            <v>0</v>
          </cell>
          <cell r="K131">
            <v>0</v>
          </cell>
          <cell r="L131">
            <v>45967</v>
          </cell>
          <cell r="M131">
            <v>3</v>
          </cell>
          <cell r="O131">
            <v>45967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K133">
            <v>0</v>
          </cell>
          <cell r="O133">
            <v>50</v>
          </cell>
          <cell r="T133" t="str">
            <v>000000000008356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000000000008356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K139">
            <v>0</v>
          </cell>
          <cell r="L139">
            <v>45968</v>
          </cell>
          <cell r="M139">
            <v>16</v>
          </cell>
          <cell r="O139">
            <v>45971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>
            <v>45971</v>
          </cell>
          <cell r="M140">
            <v>4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910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K142">
            <v>0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K143">
            <v>0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K144">
            <v>0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K145">
            <v>0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I147">
            <v>0</v>
          </cell>
          <cell r="K147">
            <v>0</v>
          </cell>
          <cell r="L147">
            <v>45967</v>
          </cell>
          <cell r="M147">
            <v>11</v>
          </cell>
          <cell r="O147">
            <v>45967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G148" t="str">
            <v/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G149" t="str">
            <v/>
          </cell>
          <cell r="K149">
            <v>0</v>
          </cell>
          <cell r="O149">
            <v>200</v>
          </cell>
          <cell r="T149" t="str">
            <v>000000000008703</v>
          </cell>
        </row>
        <row r="150">
          <cell r="G150" t="str">
            <v/>
          </cell>
          <cell r="K150">
            <v>0</v>
          </cell>
          <cell r="O150">
            <v>24</v>
          </cell>
          <cell r="T150" t="str">
            <v>000000000008703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24</v>
          </cell>
          <cell r="T151" t="str">
            <v>000000000008703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11</v>
          </cell>
          <cell r="G153" t="str">
            <v/>
          </cell>
          <cell r="K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I155">
            <v>0</v>
          </cell>
          <cell r="K155">
            <v>0</v>
          </cell>
          <cell r="L155">
            <v>45968</v>
          </cell>
          <cell r="M155">
            <v>9</v>
          </cell>
          <cell r="O155">
            <v>45968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G156" t="str">
            <v/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G157" t="str">
            <v/>
          </cell>
          <cell r="K157">
            <v>0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G158" t="str">
            <v/>
          </cell>
          <cell r="K158">
            <v>0</v>
          </cell>
          <cell r="O158">
            <v>43</v>
          </cell>
          <cell r="T158" t="str">
            <v>000000000008704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43</v>
          </cell>
          <cell r="T159" t="str">
            <v>000000000008704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>
            <v>45971</v>
          </cell>
          <cell r="M163">
            <v>6</v>
          </cell>
          <cell r="O163">
            <v>45971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G164" t="str">
            <v/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G165" t="str">
            <v/>
          </cell>
          <cell r="K165">
            <v>0</v>
          </cell>
          <cell r="O165">
            <v>99</v>
          </cell>
          <cell r="T165" t="str">
            <v>000000000008701</v>
          </cell>
        </row>
        <row r="166">
          <cell r="G166" t="str">
            <v/>
          </cell>
          <cell r="K166">
            <v>0</v>
          </cell>
          <cell r="O166">
            <v>3</v>
          </cell>
          <cell r="T166" t="str">
            <v>000000000008701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3</v>
          </cell>
          <cell r="G169" t="str">
            <v/>
          </cell>
          <cell r="K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>
            <v>45971</v>
          </cell>
          <cell r="M171">
            <v>15</v>
          </cell>
          <cell r="O171">
            <v>45972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>
            <v>45972</v>
          </cell>
          <cell r="M172">
            <v>15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722</v>
          </cell>
          <cell r="K173">
            <v>361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K174">
            <v>0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K175">
            <v>0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K176">
            <v>0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30</v>
          </cell>
          <cell r="G177" t="str">
            <v/>
          </cell>
          <cell r="K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I179">
            <v>0</v>
          </cell>
          <cell r="K179">
            <v>0</v>
          </cell>
          <cell r="O179">
            <v>0</v>
          </cell>
          <cell r="T179" t="str">
            <v>000000000008853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000000000008853</v>
          </cell>
        </row>
        <row r="181">
          <cell r="C181">
            <v>420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000000000008853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000000000008853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000000000008853</v>
          </cell>
        </row>
        <row r="184">
          <cell r="C184" t="str">
            <v>上-1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000000000008853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000000000008853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>
            <v>0</v>
          </cell>
          <cell r="P186">
            <v>0</v>
          </cell>
          <cell r="T186" t="str">
            <v>000000000008853</v>
          </cell>
        </row>
        <row r="187">
          <cell r="C187" t="str">
            <v>採光ルーバーパネルB　L=1996</v>
          </cell>
          <cell r="I187">
            <v>0</v>
          </cell>
          <cell r="K187">
            <v>0</v>
          </cell>
          <cell r="O187">
            <v>0</v>
          </cell>
          <cell r="T187" t="str">
            <v>000000000008854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000000000008854</v>
          </cell>
        </row>
        <row r="189">
          <cell r="C189">
            <v>126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000000000008854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000000000008854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000000000008854</v>
          </cell>
        </row>
        <row r="192">
          <cell r="C192" t="str">
            <v>上-1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000000000008854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000000000008854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>
            <v>0</v>
          </cell>
          <cell r="P194">
            <v>0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>
            <v>45972</v>
          </cell>
          <cell r="M195">
            <v>11</v>
          </cell>
          <cell r="O195">
            <v>45972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G196" t="str">
            <v/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G197" t="str">
            <v/>
          </cell>
          <cell r="K197">
            <v>0</v>
          </cell>
          <cell r="O197">
            <v>205</v>
          </cell>
          <cell r="T197" t="str">
            <v>000000000008706</v>
          </cell>
        </row>
        <row r="198">
          <cell r="G198" t="str">
            <v/>
          </cell>
          <cell r="K198">
            <v>0</v>
          </cell>
          <cell r="O198">
            <v>29</v>
          </cell>
          <cell r="T198" t="str">
            <v>000000000008706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11</v>
          </cell>
          <cell r="G201" t="str">
            <v/>
          </cell>
          <cell r="K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8FL281304 6110　L=1478</v>
          </cell>
          <cell r="I203">
            <v>0</v>
          </cell>
          <cell r="K203">
            <v>0</v>
          </cell>
          <cell r="O203">
            <v>0</v>
          </cell>
          <cell r="T203" t="str">
            <v>000000000008803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000000000008803</v>
          </cell>
        </row>
        <row r="205">
          <cell r="C205">
            <v>200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000000000008803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000000000008803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000000000008803</v>
          </cell>
        </row>
        <row r="208">
          <cell r="C208" t="str">
            <v>LED-A1478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000000000008803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000000000008803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>
            <v>0</v>
          </cell>
          <cell r="P210">
            <v>0</v>
          </cell>
          <cell r="T210" t="str">
            <v>000000000008803</v>
          </cell>
        </row>
        <row r="211">
          <cell r="C211" t="str">
            <v>8FL281304 5010　L=888</v>
          </cell>
          <cell r="I211">
            <v>0</v>
          </cell>
          <cell r="K211">
            <v>0</v>
          </cell>
          <cell r="O211">
            <v>0</v>
          </cell>
          <cell r="T211" t="str">
            <v>000000000008802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000000000008802</v>
          </cell>
        </row>
        <row r="213">
          <cell r="C213">
            <v>100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000000000008802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000000000008802</v>
          </cell>
        </row>
        <row r="215">
          <cell r="C215">
            <v>2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000000000008802</v>
          </cell>
        </row>
        <row r="216">
          <cell r="C216" t="str">
            <v>LED-A888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000000000008802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000000000008802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>
            <v>0</v>
          </cell>
          <cell r="P218">
            <v>0</v>
          </cell>
          <cell r="T218" t="str">
            <v>000000000008802</v>
          </cell>
        </row>
        <row r="219">
          <cell r="C219" t="str">
            <v>8FL281304 8310　L=748</v>
          </cell>
          <cell r="I219">
            <v>0</v>
          </cell>
          <cell r="K219">
            <v>0</v>
          </cell>
          <cell r="O219">
            <v>0</v>
          </cell>
          <cell r="T219" t="str">
            <v>000000000008801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000000000008801</v>
          </cell>
        </row>
        <row r="221">
          <cell r="C221">
            <v>200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000000000008801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000000000008801</v>
          </cell>
        </row>
        <row r="223">
          <cell r="C223">
            <v>2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000000000008801</v>
          </cell>
        </row>
        <row r="224">
          <cell r="C224" t="str">
            <v>LED-A888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000000000008801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000000000008801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>
            <v>0</v>
          </cell>
          <cell r="P226">
            <v>0</v>
          </cell>
          <cell r="T226" t="str">
            <v>000000000008801</v>
          </cell>
        </row>
        <row r="227">
          <cell r="C227" t="str">
            <v>灯具カバーPC  　7530    L=565</v>
          </cell>
          <cell r="I227">
            <v>0</v>
          </cell>
          <cell r="K227">
            <v>0</v>
          </cell>
          <cell r="O227">
            <v>0</v>
          </cell>
          <cell r="T227" t="str">
            <v>000000000008700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000000000008700</v>
          </cell>
        </row>
        <row r="229">
          <cell r="C229">
            <v>20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000000000008700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000000000008700</v>
          </cell>
        </row>
        <row r="231">
          <cell r="C231">
            <v>2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000000000008700</v>
          </cell>
        </row>
        <row r="232">
          <cell r="C232" t="str">
            <v>H型ジョイナー端材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000000000008700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000000000008700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>
            <v>0</v>
          </cell>
          <cell r="P234">
            <v>0</v>
          </cell>
          <cell r="T234" t="str">
            <v>000000000008700</v>
          </cell>
        </row>
        <row r="235">
          <cell r="C235" t="str">
            <v>灯具カバーPC  　2200    L=221.8</v>
          </cell>
          <cell r="I235">
            <v>0</v>
          </cell>
          <cell r="K235">
            <v>0</v>
          </cell>
          <cell r="O235">
            <v>0</v>
          </cell>
          <cell r="T235" t="str">
            <v>000000000008699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000000000008699</v>
          </cell>
        </row>
        <row r="237">
          <cell r="C237">
            <v>20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000000000008699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000000000008699</v>
          </cell>
        </row>
        <row r="239">
          <cell r="C239">
            <v>2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000000000008699</v>
          </cell>
        </row>
        <row r="240">
          <cell r="C240" t="str">
            <v>H型ジョイナー端材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000000000008699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000000000008699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>
            <v>0</v>
          </cell>
          <cell r="P242">
            <v>0</v>
          </cell>
          <cell r="T242" t="str">
            <v>000000000008699</v>
          </cell>
        </row>
        <row r="243">
          <cell r="C243" t="str">
            <v>灯具カバーPC IN 2090　L=840</v>
          </cell>
          <cell r="I243">
            <v>0</v>
          </cell>
          <cell r="K243">
            <v>0</v>
          </cell>
          <cell r="O243">
            <v>0</v>
          </cell>
          <cell r="T243" t="str">
            <v>000000000008702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000000000008702</v>
          </cell>
        </row>
        <row r="245">
          <cell r="C245">
            <v>192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000000000008702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000000000008702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000000000008702</v>
          </cell>
        </row>
        <row r="248">
          <cell r="C248" t="str">
            <v>灯具-2　L＝1996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000000000008702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000000000008702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>
            <v>0</v>
          </cell>
          <cell r="P250">
            <v>0</v>
          </cell>
          <cell r="T250" t="str">
            <v>000000000008702</v>
          </cell>
        </row>
        <row r="251">
          <cell r="C251" t="str">
            <v>灯具カバーPC IN 2070　L=1966</v>
          </cell>
          <cell r="I251">
            <v>0</v>
          </cell>
          <cell r="K251">
            <v>0</v>
          </cell>
          <cell r="O251">
            <v>0</v>
          </cell>
          <cell r="T251" t="str">
            <v>000000000008712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000000000008712</v>
          </cell>
        </row>
        <row r="253">
          <cell r="C253">
            <v>192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000000000008712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000000000008712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000000000008712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000000000008712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000000000008712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>
            <v>0</v>
          </cell>
          <cell r="P258">
            <v>0</v>
          </cell>
          <cell r="T258" t="str">
            <v>000000000008712</v>
          </cell>
        </row>
        <row r="259">
          <cell r="C259" t="str">
            <v>灯具カバーPC IN 2060　L=1258.5</v>
          </cell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C261">
            <v>80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C267" t="str">
            <v>灯具カバーPC IN 2050　L=1183.5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C269">
            <v>192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C275" t="str">
            <v>灯具カバーPC IN 2110　L=1815</v>
          </cell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C277">
            <v>192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C280" t="str">
            <v>灯具-2　L＝1996</v>
          </cell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C283" t="str">
            <v>採光ルーバーパネルB　L=1996</v>
          </cell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C285">
            <v>630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C291" t="str">
            <v>採光ルーバーパネルA　L=1996</v>
          </cell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C293">
            <v>280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C299" t="str">
            <v>8FL281304 5010　L=888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1000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採光ルーバーパネルB　L=1996</v>
          </cell>
          <cell r="I307">
            <v>0</v>
          </cell>
          <cell r="K307">
            <v>0</v>
          </cell>
          <cell r="O307">
            <v>0</v>
          </cell>
          <cell r="T307" t="str">
            <v>000000000009311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000000000009311</v>
          </cell>
        </row>
        <row r="309">
          <cell r="C309">
            <v>588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000000000009311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000000000009311</v>
          </cell>
        </row>
        <row r="311">
          <cell r="C311">
            <v>1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000000000009311</v>
          </cell>
        </row>
        <row r="312">
          <cell r="C312" t="str">
            <v>上-1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000000000009311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000000000009311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>
            <v>0</v>
          </cell>
          <cell r="P314">
            <v>0</v>
          </cell>
          <cell r="T314" t="str">
            <v>000000000009311</v>
          </cell>
        </row>
        <row r="315">
          <cell r="C315" t="str">
            <v>8FL281304 5010　L=888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000000000009234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000000000009234</v>
          </cell>
        </row>
        <row r="317">
          <cell r="C317">
            <v>2000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000000000009234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000000000009234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000000000009234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000000000009234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000000000009234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O322">
            <v>0</v>
          </cell>
          <cell r="P322">
            <v>0</v>
          </cell>
          <cell r="T322" t="str">
            <v>000000000009234</v>
          </cell>
        </row>
        <row r="323">
          <cell r="C323" t="str">
            <v>8FL281304 5010　L=888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000000000009235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000000000009235</v>
          </cell>
        </row>
        <row r="325">
          <cell r="C325">
            <v>100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000000000009235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000000000009235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000000000009235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000000000009235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000000000009235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O330">
            <v>0</v>
          </cell>
          <cell r="P330">
            <v>0</v>
          </cell>
          <cell r="T330" t="str">
            <v>000000000009235</v>
          </cell>
        </row>
        <row r="331">
          <cell r="C331" t="str">
            <v>8FL281304 5010　L=888</v>
          </cell>
          <cell r="I331">
            <v>0</v>
          </cell>
          <cell r="K331">
            <v>0</v>
          </cell>
          <cell r="O331">
            <v>0</v>
          </cell>
          <cell r="T331" t="str">
            <v>000000000009236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000000000009236</v>
          </cell>
        </row>
        <row r="333">
          <cell r="C333">
            <v>600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000000000009236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000000000009236</v>
          </cell>
        </row>
        <row r="335">
          <cell r="C335">
            <v>2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000000000009236</v>
          </cell>
        </row>
        <row r="336">
          <cell r="C336" t="str">
            <v>LED-A888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000000000009236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000000000009236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>
            <v>0</v>
          </cell>
          <cell r="P338">
            <v>0</v>
          </cell>
          <cell r="T338" t="str">
            <v>000000000009236</v>
          </cell>
        </row>
        <row r="339">
          <cell r="C339" t="str">
            <v>8FL281304 8310　L=748</v>
          </cell>
          <cell r="I339">
            <v>0</v>
          </cell>
          <cell r="K339">
            <v>0</v>
          </cell>
          <cell r="O339">
            <v>0</v>
          </cell>
          <cell r="T339" t="str">
            <v>000000000009232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000000000009232</v>
          </cell>
        </row>
        <row r="341">
          <cell r="C341">
            <v>200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000000000009232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000000000009232</v>
          </cell>
        </row>
        <row r="343">
          <cell r="C343">
            <v>2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000000000009232</v>
          </cell>
        </row>
        <row r="344">
          <cell r="C344" t="str">
            <v>LED-A888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000000000009232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000000000009232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>
            <v>0</v>
          </cell>
          <cell r="P346">
            <v>0</v>
          </cell>
          <cell r="T346" t="str">
            <v>000000000009232</v>
          </cell>
        </row>
        <row r="347">
          <cell r="C347" t="str">
            <v>8FL281304 6110　L=1478</v>
          </cell>
          <cell r="I347">
            <v>0</v>
          </cell>
          <cell r="K347">
            <v>0</v>
          </cell>
          <cell r="O347">
            <v>0</v>
          </cell>
          <cell r="T347" t="str">
            <v>000000000009237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000000000009237</v>
          </cell>
        </row>
        <row r="349">
          <cell r="C349">
            <v>300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000000000009237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000000000009237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000000000009237</v>
          </cell>
        </row>
        <row r="352">
          <cell r="C352" t="str">
            <v>LED-A1478</v>
          </cell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000000000009237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000000000009237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>
            <v>0</v>
          </cell>
          <cell r="P354">
            <v>0</v>
          </cell>
          <cell r="T354" t="str">
            <v>000000000009237</v>
          </cell>
        </row>
        <row r="355">
          <cell r="C355" t="str">
            <v>8FL281304 4910　L=592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000000000009231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000000000009231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000000000009231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000000000009231</v>
          </cell>
        </row>
        <row r="359">
          <cell r="C359">
            <v>3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000000000009231</v>
          </cell>
        </row>
        <row r="360">
          <cell r="C360" t="str">
            <v>LED-A592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000000000009231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000000000009231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>
            <v>0</v>
          </cell>
          <cell r="P362">
            <v>0</v>
          </cell>
          <cell r="T362" t="str">
            <v>000000000009231</v>
          </cell>
        </row>
        <row r="363">
          <cell r="C363" t="str">
            <v>8FL281304 4810　L=297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300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6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LED-A300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ランプシェード　SL-600</v>
          </cell>
          <cell r="T371" t="str">
            <v>000000000008890</v>
          </cell>
        </row>
        <row r="372">
          <cell r="T372" t="str">
            <v>000000000008890</v>
          </cell>
        </row>
        <row r="373">
          <cell r="C373">
            <v>1200</v>
          </cell>
          <cell r="T373" t="str">
            <v>000000000008890</v>
          </cell>
        </row>
        <row r="374">
          <cell r="T374" t="str">
            <v>000000000008890</v>
          </cell>
        </row>
        <row r="375">
          <cell r="C375">
            <v>2</v>
          </cell>
          <cell r="T375" t="str">
            <v>000000000008890</v>
          </cell>
        </row>
        <row r="376">
          <cell r="T376" t="str">
            <v>000000000008890</v>
          </cell>
        </row>
        <row r="377">
          <cell r="T377" t="str">
            <v>000000000008890</v>
          </cell>
        </row>
        <row r="378">
          <cell r="T378" t="str">
            <v>000000000008890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40" workbookViewId="0">
      <selection activeCell="AR27" sqref="AR27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4" t="s">
        <v>0</v>
      </c>
      <c r="C1" s="118"/>
      <c r="D1" s="11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8"/>
      <c r="C2" s="118"/>
      <c r="D2" s="118"/>
      <c r="E2" s="12"/>
      <c r="F2" s="12"/>
      <c r="G2" s="12"/>
      <c r="H2" s="12"/>
      <c r="I2" s="12"/>
      <c r="J2" s="12"/>
    </row>
    <row r="3" spans="1:10" ht="14.25" customHeight="1">
      <c r="A3" s="140" t="s">
        <v>1</v>
      </c>
      <c r="B3" s="140" t="s">
        <v>2</v>
      </c>
      <c r="C3" s="140" t="s">
        <v>3</v>
      </c>
      <c r="D3" s="146">
        <v>700</v>
      </c>
      <c r="E3" s="140" t="s">
        <v>4</v>
      </c>
      <c r="F3" s="151" t="s">
        <v>57</v>
      </c>
      <c r="G3" s="118"/>
      <c r="H3" s="152"/>
      <c r="I3" s="13" t="s">
        <v>5</v>
      </c>
      <c r="J3" s="13" t="s">
        <v>6</v>
      </c>
    </row>
    <row r="4" spans="1:10" ht="14.25" customHeight="1">
      <c r="A4" s="118"/>
      <c r="B4" s="118"/>
      <c r="C4" s="118"/>
      <c r="D4" s="118"/>
      <c r="E4" s="118"/>
      <c r="F4" s="118"/>
      <c r="G4" s="118"/>
      <c r="H4" s="152"/>
      <c r="I4" s="149"/>
      <c r="J4" s="149"/>
    </row>
    <row r="5" spans="1:10" ht="17.45" customHeight="1">
      <c r="A5" s="121" t="s">
        <v>7</v>
      </c>
      <c r="B5" s="121" t="s">
        <v>8</v>
      </c>
      <c r="E5" s="121" t="s">
        <v>9</v>
      </c>
      <c r="F5" s="159" t="s">
        <v>10</v>
      </c>
      <c r="G5" s="118"/>
      <c r="H5" s="152"/>
      <c r="I5" s="150"/>
      <c r="J5" s="150"/>
    </row>
    <row r="6" spans="1:10" ht="17.45" customHeight="1">
      <c r="A6" s="118"/>
      <c r="B6" s="118"/>
      <c r="E6" s="118"/>
      <c r="F6" s="118"/>
      <c r="G6" s="118"/>
      <c r="H6" s="152"/>
      <c r="I6" s="14"/>
      <c r="J6" s="14"/>
    </row>
    <row r="7" spans="1:10" ht="17.45" customHeight="1">
      <c r="A7" s="121" t="s">
        <v>11</v>
      </c>
      <c r="B7" s="121" t="s">
        <v>12</v>
      </c>
      <c r="E7" s="2" t="s">
        <v>13</v>
      </c>
      <c r="F7" s="160" t="s">
        <v>14</v>
      </c>
      <c r="G7" s="118"/>
      <c r="H7" s="21"/>
    </row>
    <row r="8" spans="1:10" ht="17.45" customHeight="1">
      <c r="A8" s="118"/>
      <c r="B8" s="118"/>
      <c r="E8" s="2" t="s">
        <v>15</v>
      </c>
      <c r="F8" s="21" t="s">
        <v>16</v>
      </c>
      <c r="G8" s="21"/>
      <c r="H8" s="21"/>
    </row>
    <row r="9" spans="1:10" ht="17.45" customHeight="1">
      <c r="A9" s="2" t="s">
        <v>17</v>
      </c>
      <c r="B9" s="4">
        <v>45971</v>
      </c>
      <c r="E9" s="2" t="s">
        <v>18</v>
      </c>
      <c r="F9" s="117">
        <v>34</v>
      </c>
      <c r="G9" s="118"/>
      <c r="H9" s="21"/>
    </row>
    <row r="10" spans="1:10" ht="17.45" customHeight="1">
      <c r="A10" s="2" t="s">
        <v>19</v>
      </c>
      <c r="B10" s="4">
        <v>45971</v>
      </c>
      <c r="E10" s="2" t="s">
        <v>20</v>
      </c>
      <c r="F10" s="21">
        <v>31</v>
      </c>
      <c r="G10" s="157" t="s">
        <v>21</v>
      </c>
      <c r="H10" s="141">
        <v>1054</v>
      </c>
      <c r="I10" s="142"/>
      <c r="J10" s="143"/>
    </row>
    <row r="11" spans="1:10" ht="17.45" customHeight="1">
      <c r="A11" s="19"/>
      <c r="B11" s="20"/>
      <c r="C11" s="20"/>
      <c r="D11" s="20"/>
      <c r="E11" s="2" t="s">
        <v>22</v>
      </c>
      <c r="F11" s="21" t="s">
        <v>23</v>
      </c>
      <c r="G11" s="144"/>
      <c r="H11" s="144"/>
      <c r="I11" s="133"/>
      <c r="J11" s="145"/>
    </row>
    <row r="12" spans="1:10" ht="13.5" customHeight="1">
      <c r="A12" s="156" t="s">
        <v>24</v>
      </c>
      <c r="B12" s="118"/>
      <c r="C12" s="118"/>
      <c r="D12" s="20"/>
      <c r="F12" s="3"/>
      <c r="G12" s="136" t="s">
        <v>25</v>
      </c>
      <c r="H12" s="115" t="s">
        <v>26</v>
      </c>
      <c r="I12" s="158" t="s">
        <v>27</v>
      </c>
      <c r="J12" s="152"/>
    </row>
    <row r="13" spans="1:10" ht="13.5" customHeight="1">
      <c r="A13" s="118"/>
      <c r="B13" s="118"/>
      <c r="C13" s="118"/>
      <c r="D13" s="20"/>
      <c r="F13" s="3"/>
      <c r="G13" s="116"/>
      <c r="H13" s="116"/>
      <c r="I13" s="133"/>
      <c r="J13" s="145"/>
    </row>
    <row r="14" spans="1:10" ht="13.5" customHeight="1">
      <c r="A14" s="1" t="s">
        <v>28</v>
      </c>
    </row>
    <row r="15" spans="1:10" ht="63" customHeight="1" thickBot="1">
      <c r="A15" s="147"/>
      <c r="B15" s="148"/>
      <c r="C15" s="148"/>
      <c r="D15" s="148"/>
      <c r="E15" s="148"/>
      <c r="F15" s="148"/>
      <c r="G15" s="148"/>
      <c r="H15" s="148"/>
      <c r="I15" s="148"/>
      <c r="J15" s="148"/>
    </row>
    <row r="16" spans="1:10" ht="18.75">
      <c r="A16" s="23" t="s">
        <v>29</v>
      </c>
      <c r="B16" s="16" t="s">
        <v>30</v>
      </c>
      <c r="C16" s="153" t="s">
        <v>31</v>
      </c>
      <c r="D16" s="154"/>
      <c r="E16" s="16" t="s">
        <v>32</v>
      </c>
      <c r="F16" s="153" t="s">
        <v>33</v>
      </c>
      <c r="G16" s="154"/>
      <c r="H16" s="154"/>
      <c r="I16" s="155" t="s">
        <v>34</v>
      </c>
      <c r="J16" s="15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35</v>
      </c>
      <c r="C18" s="119" t="s">
        <v>36</v>
      </c>
      <c r="D18" s="120"/>
      <c r="E18" s="24" t="s">
        <v>37</v>
      </c>
      <c r="F18" s="119" t="s">
        <v>38</v>
      </c>
      <c r="G18" s="120"/>
      <c r="H18" s="120"/>
      <c r="I18" s="135"/>
      <c r="J18" s="120"/>
    </row>
    <row r="19" spans="1:10" s="7" customFormat="1" ht="16.5" customHeight="1">
      <c r="A19" s="22">
        <v>1</v>
      </c>
      <c r="B19" s="25" t="s">
        <v>35</v>
      </c>
      <c r="C19" s="119" t="s">
        <v>36</v>
      </c>
      <c r="D19" s="120"/>
      <c r="E19" s="24" t="s">
        <v>39</v>
      </c>
      <c r="F19" s="119" t="s">
        <v>40</v>
      </c>
      <c r="G19" s="120"/>
      <c r="H19" s="120"/>
      <c r="I19" s="135"/>
      <c r="J19" s="120"/>
    </row>
    <row r="20" spans="1:10" s="7" customFormat="1" ht="16.5" customHeight="1">
      <c r="A20" s="22"/>
      <c r="B20" s="25"/>
      <c r="C20" s="119"/>
      <c r="D20" s="120"/>
      <c r="E20" s="24"/>
      <c r="F20" s="119"/>
      <c r="G20" s="120"/>
      <c r="H20" s="120"/>
      <c r="I20" s="135"/>
      <c r="J20" s="120"/>
    </row>
    <row r="21" spans="1:10" s="7" customFormat="1" ht="16.5" customHeight="1">
      <c r="A21" s="22"/>
      <c r="B21" s="25"/>
      <c r="C21" s="119"/>
      <c r="D21" s="120"/>
      <c r="E21" s="24"/>
      <c r="F21" s="119"/>
      <c r="G21" s="120"/>
      <c r="H21" s="120"/>
      <c r="I21" s="135"/>
      <c r="J21" s="120"/>
    </row>
    <row r="22" spans="1:10" s="7" customFormat="1" ht="16.5" customHeight="1">
      <c r="A22" s="22"/>
      <c r="B22" s="25"/>
      <c r="C22" s="119"/>
      <c r="D22" s="120"/>
      <c r="E22" s="24"/>
      <c r="F22" s="119"/>
      <c r="G22" s="120"/>
      <c r="H22" s="120"/>
      <c r="I22" s="135"/>
      <c r="J22" s="120"/>
    </row>
    <row r="23" spans="1:10" s="7" customFormat="1" ht="16.5" customHeight="1">
      <c r="A23" s="22"/>
      <c r="B23" s="25"/>
      <c r="C23" s="119"/>
      <c r="D23" s="120"/>
      <c r="E23" s="24"/>
      <c r="F23" s="119"/>
      <c r="G23" s="120"/>
      <c r="H23" s="120"/>
      <c r="I23" s="135"/>
      <c r="J23" s="12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7" t="s">
        <v>41</v>
      </c>
      <c r="B25" s="138"/>
      <c r="C25" s="137" t="s">
        <v>42</v>
      </c>
      <c r="D25" s="138"/>
      <c r="E25" s="138"/>
      <c r="F25" s="17" t="s">
        <v>43</v>
      </c>
      <c r="G25" s="137" t="s">
        <v>44</v>
      </c>
      <c r="H25" s="138"/>
      <c r="I25" s="137" t="s">
        <v>45</v>
      </c>
      <c r="J25" s="138"/>
    </row>
    <row r="26" spans="1:10" ht="14.25" customHeight="1">
      <c r="A26" s="8"/>
      <c r="B26" s="18"/>
      <c r="C26" s="132" t="s">
        <v>46</v>
      </c>
      <c r="D26" s="133"/>
      <c r="E26" s="18"/>
      <c r="F26" s="132" t="s">
        <v>28</v>
      </c>
      <c r="G26" s="133"/>
      <c r="H26" s="133"/>
      <c r="I26" s="133"/>
      <c r="J26" s="133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47</v>
      </c>
      <c r="B28" s="122"/>
      <c r="C28" s="119" t="s">
        <v>48</v>
      </c>
      <c r="D28" s="122"/>
      <c r="E28" s="122"/>
      <c r="F28" s="26" t="s">
        <v>26</v>
      </c>
      <c r="G28" s="123">
        <v>527</v>
      </c>
      <c r="H28" s="122"/>
      <c r="I28" s="123">
        <v>15.5</v>
      </c>
      <c r="J28" s="122"/>
    </row>
    <row r="29" spans="1:10" s="7" customFormat="1" ht="24.95" customHeight="1">
      <c r="A29" s="124" t="s">
        <v>49</v>
      </c>
      <c r="B29" s="120"/>
      <c r="C29" s="119" t="s">
        <v>10</v>
      </c>
      <c r="D29" s="120"/>
      <c r="E29" s="120"/>
      <c r="F29" s="119"/>
      <c r="G29" s="120"/>
      <c r="H29" s="120"/>
      <c r="I29" s="120"/>
      <c r="J29" s="120"/>
    </row>
    <row r="30" spans="1:10" s="5" customFormat="1" ht="14.25" customHeight="1">
      <c r="A30" s="139" t="s">
        <v>56</v>
      </c>
      <c r="B30" s="122"/>
      <c r="C30" s="119" t="s">
        <v>50</v>
      </c>
      <c r="D30" s="122"/>
      <c r="E30" s="122"/>
      <c r="F30" s="26" t="s">
        <v>26</v>
      </c>
      <c r="G30" s="123">
        <v>30.565999999999999</v>
      </c>
      <c r="H30" s="122"/>
      <c r="I30" s="123">
        <v>0.89900000000000002</v>
      </c>
      <c r="J30" s="122"/>
    </row>
    <row r="31" spans="1:10" s="7" customFormat="1" ht="24.95" customHeight="1">
      <c r="A31" s="124" t="s">
        <v>51</v>
      </c>
      <c r="B31" s="120"/>
      <c r="C31" s="119"/>
      <c r="D31" s="120"/>
      <c r="E31" s="120"/>
      <c r="F31" s="119"/>
      <c r="G31" s="120"/>
      <c r="H31" s="120"/>
      <c r="I31" s="120"/>
      <c r="J31" s="120"/>
    </row>
    <row r="32" spans="1:10" s="5" customFormat="1" ht="14.25" customHeight="1">
      <c r="A32" s="119" t="s">
        <v>52</v>
      </c>
      <c r="B32" s="122"/>
      <c r="C32" s="119" t="s">
        <v>53</v>
      </c>
      <c r="D32" s="122"/>
      <c r="E32" s="122"/>
      <c r="F32" s="26"/>
      <c r="G32" s="123">
        <v>1.054</v>
      </c>
      <c r="H32" s="122"/>
      <c r="I32" s="123">
        <v>3.1E-2</v>
      </c>
      <c r="J32" s="122"/>
    </row>
    <row r="33" spans="1:14" s="7" customFormat="1" ht="24.95" customHeight="1">
      <c r="A33" s="124" t="s">
        <v>54</v>
      </c>
      <c r="B33" s="120"/>
      <c r="C33" s="119" t="s">
        <v>55</v>
      </c>
      <c r="D33" s="120"/>
      <c r="E33" s="120"/>
      <c r="F33" s="119"/>
      <c r="G33" s="120"/>
      <c r="H33" s="120"/>
      <c r="I33" s="120"/>
      <c r="J33" s="120"/>
    </row>
    <row r="34" spans="1:14" s="5" customFormat="1" ht="14.25" customHeight="1">
      <c r="A34" s="119"/>
      <c r="B34" s="122"/>
      <c r="C34" s="119"/>
      <c r="D34" s="122"/>
      <c r="E34" s="122"/>
      <c r="F34" s="26"/>
      <c r="G34" s="123"/>
      <c r="H34" s="122"/>
      <c r="I34" s="123"/>
      <c r="J34" s="122"/>
    </row>
    <row r="35" spans="1:14" s="7" customFormat="1" ht="24.95" customHeight="1">
      <c r="A35" s="124"/>
      <c r="B35" s="120"/>
      <c r="C35" s="119"/>
      <c r="D35" s="120"/>
      <c r="E35" s="120"/>
      <c r="F35" s="119"/>
      <c r="G35" s="120"/>
      <c r="H35" s="120"/>
      <c r="I35" s="120"/>
      <c r="J35" s="120"/>
    </row>
    <row r="36" spans="1:14" s="5" customFormat="1" ht="14.25" customHeight="1">
      <c r="A36" s="119"/>
      <c r="B36" s="122"/>
      <c r="C36" s="119"/>
      <c r="D36" s="122"/>
      <c r="E36" s="122"/>
      <c r="F36" s="26"/>
      <c r="G36" s="123"/>
      <c r="H36" s="122"/>
      <c r="I36" s="123"/>
      <c r="J36" s="122"/>
    </row>
    <row r="37" spans="1:14" s="7" customFormat="1" ht="24.95" customHeight="1" thickBot="1">
      <c r="A37" s="124"/>
      <c r="B37" s="120"/>
      <c r="C37" s="119"/>
      <c r="D37" s="120"/>
      <c r="E37" s="120"/>
      <c r="F37" s="119"/>
      <c r="G37" s="120"/>
      <c r="H37" s="120"/>
      <c r="I37" s="120"/>
      <c r="J37" s="120"/>
    </row>
    <row r="38" spans="1:14" s="5" customFormat="1" ht="18" customHeight="1">
      <c r="A38" s="126" t="s">
        <v>58</v>
      </c>
      <c r="B38" s="127"/>
      <c r="C38" s="127"/>
      <c r="D38" s="127"/>
      <c r="E38" s="128" t="s">
        <v>59</v>
      </c>
      <c r="F38" s="129"/>
      <c r="G38" s="27" t="s">
        <v>60</v>
      </c>
      <c r="H38" s="130" t="s">
        <v>61</v>
      </c>
      <c r="I38" s="131"/>
      <c r="J38" s="28" t="s">
        <v>62</v>
      </c>
    </row>
    <row r="39" spans="1:14" s="7" customFormat="1" ht="18" customHeight="1">
      <c r="A39" s="111" t="str">
        <f>_xlfn.XLOOKUP(B3,[1]VFDB2!A:A,[1]VFDB2!B:B)</f>
        <v>PK-59827 L=700</v>
      </c>
      <c r="B39" s="112"/>
      <c r="C39" s="112"/>
      <c r="D39" s="112"/>
      <c r="E39" s="91" t="str" cm="1">
        <f t="array" ref="E39">IFERROR(IF(ISBLANK(INDEX(_xlfn._xlws.FILTER([1]加工記録２!$C$3:$C$999615, [1]加工記録２!$T$3:$T$999615=B5), 6)), "", INDEX(_xlfn._xlws.FILTER([1]加工記録２!$C$3:$C$999615, [1]加工記録２!$T$3:$T$999615=B5), 6)),"")</f>
        <v>PK-59827 L=700用</v>
      </c>
      <c r="F39" s="92"/>
      <c r="G39" s="125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>30</v>
      </c>
      <c r="H39" s="29" t="s">
        <v>63</v>
      </c>
      <c r="I39" s="47" cm="1">
        <f t="array" ref="I39:J39">IFERROR(IF(ISBLANK(INDEX(_xlfn._xlws.FILTER([1]加工記録２!$O$3:$P$999678, [1]加工記録２!$T$3:$T$999678=B5), 1)), "", INDEX(_xlfn._xlws.FILTER([1]加工記録２!$O$3:$P$999678, [1]加工記録２!$T$3:$T$999678=B5), 1)),"")</f>
        <v>45972</v>
      </c>
      <c r="J39" s="48">
        <v>34</v>
      </c>
    </row>
    <row r="40" spans="1:14" s="5" customFormat="1" ht="18" customHeight="1">
      <c r="A40" s="113"/>
      <c r="B40" s="114"/>
      <c r="C40" s="114"/>
      <c r="D40" s="114"/>
      <c r="E40" s="91"/>
      <c r="F40" s="92"/>
      <c r="G40" s="125"/>
      <c r="H40" s="29" t="s">
        <v>64</v>
      </c>
      <c r="I40" s="49" cm="1">
        <f t="array" ref="I40:J40">IFERROR(IF(ISBLANK(INDEX(_xlfn._xlws.FILTER([1]加工記録２!$O$3:$P$999678, [1]加工記録２!$T$3:$T$999678=B5), 2)), "", INDEX(_xlfn._xlws.FILTER([1]加工記録２!$O$3:$P$999678, [1]加工記録２!$T$3:$T$999678=B5), 2)),"")</f>
        <v>1020</v>
      </c>
      <c r="J40" s="50">
        <v>1</v>
      </c>
      <c r="K40" s="30"/>
    </row>
    <row r="41" spans="1:14" s="7" customFormat="1" ht="18" customHeight="1">
      <c r="A41" s="83" t="s">
        <v>65</v>
      </c>
      <c r="B41" s="98" t="str">
        <f>_xlfn.XLOOKUP(B3,[1]VFDB2!A:A,[1]VFDB2!J:J)</f>
        <v>〇</v>
      </c>
      <c r="C41" s="100" t="s">
        <v>66</v>
      </c>
      <c r="D41" s="102">
        <f>_xlfn.XLOOKUP(B3,[1]VFDB2!A:A,[1]VFDB2!P:P)</f>
        <v>2</v>
      </c>
      <c r="E41" s="91" t="str">
        <f>_xlfn.XLOOKUP(B3,[1]VFDB2!A:A,[1]VFDB2!V:V)</f>
        <v>11×２束+12✕1束＝34本</v>
      </c>
      <c r="F41" s="92"/>
      <c r="G41" s="93"/>
      <c r="H41" s="31" t="s">
        <v>67</v>
      </c>
      <c r="I41" s="49" cm="1">
        <f t="array" ref="I41:J41">IFERROR(IF(ISBLANK(INDEX(_xlfn._xlws.FILTER([1]加工記録２!$O$3:$P$999678, [1]加工記録２!$T$3:$T$999678=B5), 3)), "", INDEX(_xlfn._xlws.FILTER([1]加工記録２!$O$3:$P$999678, [1]加工記録２!$T$3:$T$999678=B5), 3)),"")</f>
        <v>547</v>
      </c>
      <c r="J41" s="51">
        <v>10</v>
      </c>
      <c r="K41" s="32"/>
    </row>
    <row r="42" spans="1:14" s="5" customFormat="1" ht="18" customHeight="1">
      <c r="A42" s="97"/>
      <c r="B42" s="99"/>
      <c r="C42" s="101"/>
      <c r="D42" s="103"/>
      <c r="E42" s="91"/>
      <c r="F42" s="92"/>
      <c r="G42" s="93"/>
      <c r="H42" s="31" t="s">
        <v>68</v>
      </c>
      <c r="I42" s="49" cm="1">
        <f t="array" ref="I42:J42">IFERROR(IF(ISBLANK(INDEX(_xlfn._xlws.FILTER([1]加工記録２!$O$3:$P$999678, [1]加工記録２!$T$3:$T$999678=B5), 4)), "", INDEX(_xlfn._xlws.FILTER([1]加工記録２!$O$3:$P$999678, [1]加工記録２!$T$3:$T$999678=B5), 4)),"")</f>
        <v>37</v>
      </c>
      <c r="J42" s="52" t="str">
        <v/>
      </c>
      <c r="K42" s="30"/>
    </row>
    <row r="43" spans="1:14" s="7" customFormat="1" ht="18" customHeight="1">
      <c r="A43" s="104" t="s">
        <v>69</v>
      </c>
      <c r="B43" s="106">
        <f>D3</f>
        <v>700</v>
      </c>
      <c r="C43" s="108" t="s">
        <v>70</v>
      </c>
      <c r="D43" s="89" t="str">
        <f>_xlfn.XLOOKUP(B3,[1]VFDB2!A:A,[1]VFDB2!L:L)</f>
        <v>+1</v>
      </c>
      <c r="E43" s="91" t="str">
        <f>_xlfn.XLOOKUP(B3,[1]VFDB2!A:A,[1]VFDB2!W:W)</f>
        <v>両端5cm以上ラップ</v>
      </c>
      <c r="F43" s="92"/>
      <c r="G43" s="93"/>
      <c r="H43" s="31" t="s">
        <v>71</v>
      </c>
      <c r="I43" s="49" cm="1">
        <f t="array" ref="I43:J43">IFERROR(IF(ISBLANK(INDEX(_xlfn._xlws.FILTER([1]加工記録２!$O$3:$P$999678, [1]加工記録２!$T$3:$T$999678=B5), 5)), "", INDEX(_xlfn._xlws.FILTER([1]加工記録２!$O$3:$P$999678, [1]加工記録２!$T$3:$T$999678=B5), 5)),"")</f>
        <v>74</v>
      </c>
      <c r="J43" s="53" t="str">
        <v/>
      </c>
      <c r="K43" s="32"/>
    </row>
    <row r="44" spans="1:14" s="5" customFormat="1" ht="18" customHeight="1">
      <c r="A44" s="105"/>
      <c r="B44" s="107"/>
      <c r="C44" s="109"/>
      <c r="D44" s="110"/>
      <c r="E44" s="91"/>
      <c r="F44" s="92"/>
      <c r="G44" s="93"/>
      <c r="H44" s="31" t="s">
        <v>72</v>
      </c>
      <c r="I44" s="49" cm="1">
        <f t="array" ref="I44:J44">IFERROR(IF(ISBLANK(INDEX(_xlfn._xlws.FILTER([1]加工記録２!$O$3:$P$999678, [1]加工記録２!$T$3:$T$999678=B5), 6)), "", INDEX(_xlfn._xlws.FILTER([1]加工記録２!$O$3:$P$999678, [1]加工記録２!$T$3:$T$999678=B5), 6)),"")</f>
        <v>1</v>
      </c>
      <c r="J44" s="54" t="str">
        <v/>
      </c>
      <c r="K44" s="30"/>
    </row>
    <row r="45" spans="1:14" s="7" customFormat="1" ht="18" customHeight="1">
      <c r="A45" s="83" t="s">
        <v>73</v>
      </c>
      <c r="B45" s="85" t="str">
        <f>_xlfn.XLOOKUP(B3,[1]VFDB2!A:A,[1]VFDB2!AC:AC)</f>
        <v>換算表確認</v>
      </c>
      <c r="C45" s="87" t="s">
        <v>74</v>
      </c>
      <c r="D45" s="89">
        <f>_xlfn.XLOOKUP(B3,[1]VFDB2!A:A,[1]VFDB2!K:K)</f>
        <v>-1</v>
      </c>
      <c r="E45" s="91" t="str">
        <f>_xlfn.XLOOKUP(B3,[1]VFDB2!A:A,[1]VFDB2!R:R)</f>
        <v>ラベル2枚　長手 中央部分のみ貼付</v>
      </c>
      <c r="F45" s="92"/>
      <c r="G45" s="93"/>
      <c r="H45" s="31" t="s">
        <v>75</v>
      </c>
      <c r="I45" s="49" t="str" cm="1">
        <f t="array" ref="I45">IFERROR(IF(ISBLANK(INDEX(_xlfn._xlws.FILTER([1]加工記録２!$M$3:$M$999678, [1]加工記録２!$T$3:$T$999678=B5), 6)), "", INDEX(_xlfn._xlws.FILTER([1]加工記録２!$M$3:$M$999678, [1]加工記録２!$T$3:$T$999678=B5), 6)),"")</f>
        <v>C/M</v>
      </c>
      <c r="J45" s="55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>29</v>
      </c>
      <c r="K45" s="32"/>
    </row>
    <row r="46" spans="1:14" s="5" customFormat="1" ht="18" customHeight="1" thickBot="1">
      <c r="A46" s="84"/>
      <c r="B46" s="86"/>
      <c r="C46" s="88"/>
      <c r="D46" s="90"/>
      <c r="E46" s="94"/>
      <c r="F46" s="95"/>
      <c r="G46" s="96"/>
      <c r="H46" s="33" t="s">
        <v>76</v>
      </c>
      <c r="I46" s="49" t="str" cm="1">
        <f t="array" ref="I46">IFERROR(IF(ISBLANK(INDEX(_xlfn._xlws.FILTER([1]加工記録２!$M$3:$M$999678, [1]加工記録２!$T$3:$T$999678=B5), 7)), "", INDEX(_xlfn._xlws.FILTER([1]加工記録２!$M$3:$M$999678, [1]加工記録２!$T$3:$T$999678=B5), 7)),"")</f>
        <v>T/U</v>
      </c>
      <c r="J46" s="56">
        <f>SUM(J39:J45)</f>
        <v>74</v>
      </c>
    </row>
    <row r="47" spans="1:14" s="44" customFormat="1" ht="18.95" customHeight="1">
      <c r="A47" s="34" t="s">
        <v>77</v>
      </c>
      <c r="B47" s="35" t="s">
        <v>78</v>
      </c>
      <c r="C47" s="36" t="s">
        <v>79</v>
      </c>
      <c r="D47" s="36" t="s">
        <v>80</v>
      </c>
      <c r="E47" s="37" t="s">
        <v>81</v>
      </c>
      <c r="F47" s="38" t="s">
        <v>82</v>
      </c>
      <c r="G47" s="39" t="s">
        <v>83</v>
      </c>
      <c r="H47" s="40" t="s">
        <v>84</v>
      </c>
      <c r="I47" s="41" t="s">
        <v>85</v>
      </c>
      <c r="J47" s="42" t="s">
        <v>86</v>
      </c>
      <c r="K47" s="43"/>
      <c r="L47" s="43"/>
      <c r="M47" s="43"/>
      <c r="N47" s="43"/>
    </row>
    <row r="48" spans="1:14" s="46" customFormat="1" ht="18.95" customHeight="1">
      <c r="A48" s="57" cm="1">
        <f t="array" ref="A48:J48">IFERROR(IF(ISBLANK(INDEX(_xlfn._xlws.FILTER([1]加工記録２!$D$3:$M$999678, [1]加工記録２!$T$3:$T$999678=B5), 1)), "", INDEX(_xlfn._xlws.FILTER([1]加工記録２!$D$3:$M$999678, [1]加工記録２!$T$3:$T$999678=B5), 1)),"")</f>
        <v>45922</v>
      </c>
      <c r="B48" s="58" t="str">
        <v>25I05-02</v>
      </c>
      <c r="C48" s="59" t="str">
        <v/>
      </c>
      <c r="D48" s="59" t="str">
        <v/>
      </c>
      <c r="E48" s="60" t="str">
        <v/>
      </c>
      <c r="F48" s="61" t="str">
        <v>25I05-02</v>
      </c>
      <c r="G48" s="62">
        <v>19</v>
      </c>
      <c r="H48" s="63">
        <v>9</v>
      </c>
      <c r="I48" s="64">
        <v>45971</v>
      </c>
      <c r="J48" s="65">
        <v>15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IFERROR(IF(ISBLANK(INDEX(_xlfn._xlws.FILTER([1]加工記録２!$D$3:$M$999678, [1]加工記録２!$T$3:$T$999678=B5), 2)), "", INDEX(_xlfn._xlws.FILTER([1]加工記録２!$D$3:$M$999678, [1]加工記録２!$T$3:$T$999678=B5), 2)),"")</f>
        <v>45968</v>
      </c>
      <c r="B49" s="66" t="str">
        <v>25J28</v>
      </c>
      <c r="C49" s="66">
        <v>21</v>
      </c>
      <c r="D49" s="67">
        <v>699.9</v>
      </c>
      <c r="E49" s="68">
        <v>700.16</v>
      </c>
      <c r="F49" s="69" t="str">
        <v>25J28</v>
      </c>
      <c r="G49" s="70">
        <v>352</v>
      </c>
      <c r="H49" s="71">
        <v>176</v>
      </c>
      <c r="I49" s="64">
        <v>45972</v>
      </c>
      <c r="J49" s="65">
        <v>15</v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IFERROR(IF(ISBLANK(INDEX(_xlfn._xlws.FILTER([1]加工記録２!$D$3:$M$999678, [1]加工記録２!$T$3:$T$999678=B5), 3)), "", INDEX(_xlfn._xlws.FILTER([1]加工記録２!$D$3:$M$999678, [1]加工記録２!$T$3:$T$999678=B5), 3)),"")</f>
        <v>45968</v>
      </c>
      <c r="B50" s="66" t="str">
        <v>25J28</v>
      </c>
      <c r="C50" s="66">
        <v>21</v>
      </c>
      <c r="D50" s="67">
        <v>699.9</v>
      </c>
      <c r="E50" s="68">
        <v>700.1</v>
      </c>
      <c r="F50" s="69" t="str">
        <v>25K04</v>
      </c>
      <c r="G50" s="70">
        <v>722</v>
      </c>
      <c r="H50" s="71">
        <v>361</v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cm="1">
        <f t="array" ref="A51:J51">IFERROR(IF(ISBLANK(INDEX(_xlfn._xlws.FILTER([1]加工記録２!$D$3:$M$999678, [1]加工記録２!$T$3:$T$999678=B5), 4)), "", INDEX(_xlfn._xlws.FILTER([1]加工記録２!$D$3:$M$999678, [1]加工記録２!$T$3:$T$999678=B5), 4)),"")</f>
        <v>45971</v>
      </c>
      <c r="B51" s="66" t="str">
        <v>25J28</v>
      </c>
      <c r="C51" s="66">
        <v>15</v>
      </c>
      <c r="D51" s="67">
        <v>699.61</v>
      </c>
      <c r="E51" s="68">
        <v>700.2</v>
      </c>
      <c r="F51" s="69" t="str">
        <v/>
      </c>
      <c r="G51" s="70" t="str">
        <v/>
      </c>
      <c r="H51" s="71">
        <v>0</v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cm="1">
        <f t="array" ref="A52:J52">IFERROR(IF(ISBLANK(INDEX(_xlfn._xlws.FILTER([1]加工記録２!$D$3:$M$999678, [1]加工記録２!$T$3:$T$999678=B5), 5)), "", INDEX(_xlfn._xlws.FILTER([1]加工記録２!$D$3:$M$999678, [1]加工記録２!$T$3:$T$999678=B5), 5)),"")</f>
        <v>45971</v>
      </c>
      <c r="B52" s="66" t="str">
        <v>25K04</v>
      </c>
      <c r="C52" s="66">
        <v>23</v>
      </c>
      <c r="D52" s="67">
        <v>700</v>
      </c>
      <c r="E52" s="68">
        <v>700.22</v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cm="1">
        <f t="array" ref="A53:H53">IFERROR(IF(ISBLANK(INDEX(_xlfn._xlws.FILTER([1]加工記録２!$D$3:$K$999678, [1]加工記録２!$T$3:$T$999678=B5), 6)), "", INDEX(_xlfn._xlws.FILTER([1]加工記録２!$D$3:$K$999678, [1]加工記録２!$T$3:$T$999678=B5), 6)),"")</f>
        <v>45971</v>
      </c>
      <c r="B53" s="66" t="str">
        <v>25K04</v>
      </c>
      <c r="C53" s="66">
        <v>21</v>
      </c>
      <c r="D53" s="67">
        <v>699.9</v>
      </c>
      <c r="E53" s="68">
        <v>700.2</v>
      </c>
      <c r="F53" s="69" t="str">
        <v/>
      </c>
      <c r="G53" s="70" t="str">
        <v/>
      </c>
      <c r="H53" s="71">
        <v>0</v>
      </c>
      <c r="I53" s="72"/>
      <c r="J53" s="73"/>
      <c r="K53" s="45"/>
      <c r="L53" s="45"/>
      <c r="M53" s="45"/>
      <c r="N53" s="45"/>
    </row>
    <row r="54" spans="1:14" s="46" customFormat="1" ht="18.95" customHeight="1">
      <c r="A54" s="57" t="str" cm="1">
        <f t="array" ref="A54:H54">IFERROR(IF(ISBLANK(INDEX(_xlfn._xlws.FILTER([1]加工記録２!$D$3:$K$999678, [1]加工記録２!$T$3:$T$999678=B5), 7)), "", INDEX(_xlfn._xlws.FILTER([1]加工記録２!$D$3:$K$999678, [1]加工記録２!$T$3:$T$999678=B5),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IFERROR(IF(ISBLANK(INDEX(_xlfn._xlws.FILTER([1]加工記録２!$D$3:$K$999678, [1]加工記録２!$T$3:$T$999678=B5), 8)), "", INDEX(_xlfn._xlws.FILTER([1]加工記録２!$D$3:$K$999678, [1]加工記録２!$T$3:$T$999678=B5),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/>
      <c r="J55" s="82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21:D21"/>
    <mergeCell ref="I23:J23"/>
    <mergeCell ref="C30:E30"/>
    <mergeCell ref="C23:D23"/>
    <mergeCell ref="F16:H16"/>
    <mergeCell ref="F7:G7"/>
    <mergeCell ref="F23:H23"/>
    <mergeCell ref="C20:D20"/>
    <mergeCell ref="C22:D22"/>
    <mergeCell ref="F26:J26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E38:F38"/>
    <mergeCell ref="H38:I38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38:D38"/>
    <mergeCell ref="F33:J33"/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</mergeCells>
  <phoneticPr fontId="2"/>
  <conditionalFormatting sqref="D50:D55">
    <cfRule type="cellIs" dxfId="0" priority="1" operator="equal">
      <formula>$D49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2025-10-27T05:57:26Z</cp:lastPrinted>
  <dcterms:created xsi:type="dcterms:W3CDTF">2024-07-11T02:08:33Z</dcterms:created>
  <dcterms:modified xsi:type="dcterms:W3CDTF">2025-11-11T07:43:09Z</dcterms:modified>
</cp:coreProperties>
</file>