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樹脂指示書\"/>
    </mc:Choice>
  </mc:AlternateContent>
  <xr:revisionPtr revIDLastSave="0" documentId="13_ncr:1_{4AE7D655-5050-4AC7-ADCB-7FE9069641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帳票レイアウト Copy" sheetId="1" r:id="rId1"/>
  </sheets>
  <externalReferences>
    <externalReference r:id="rId2"/>
  </externalReferences>
  <definedNames>
    <definedName name="DB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5" i="1" l="1" a="1"/>
  <c r="A55" i="1" s="1"/>
  <c r="A54" i="1" a="1"/>
  <c r="A54" i="1" s="1"/>
  <c r="A53" i="1" a="1"/>
  <c r="A53" i="1" s="1"/>
  <c r="A52" i="1" a="1"/>
  <c r="A52" i="1" s="1"/>
  <c r="A51" i="1" a="1"/>
  <c r="A51" i="1" s="1"/>
  <c r="A50" i="1" a="1"/>
  <c r="A50" i="1" s="1"/>
  <c r="A49" i="1" a="1"/>
  <c r="A49" i="1" s="1"/>
  <c r="A48" i="1" a="1"/>
  <c r="A48" i="1" s="1"/>
  <c r="I46" i="1" a="1"/>
  <c r="I46" i="1" s="1"/>
  <c r="J45" i="1" a="1"/>
  <c r="J45" i="1" s="1"/>
  <c r="I45" i="1"/>
  <c r="I45" i="1" a="1"/>
  <c r="E45" i="1"/>
  <c r="D45" i="1"/>
  <c r="B45" i="1"/>
  <c r="I44" i="1" a="1"/>
  <c r="I44" i="1" s="1"/>
  <c r="I43" i="1" a="1"/>
  <c r="I43" i="1" s="1"/>
  <c r="E43" i="1"/>
  <c r="D43" i="1"/>
  <c r="B43" i="1"/>
  <c r="I42" i="1" a="1"/>
  <c r="I42" i="1" s="1"/>
  <c r="I41" i="1" a="1"/>
  <c r="I41" i="1" s="1"/>
  <c r="E41" i="1"/>
  <c r="D41" i="1"/>
  <c r="B41" i="1"/>
  <c r="I40" i="1" a="1"/>
  <c r="I40" i="1" s="1"/>
  <c r="I39" i="1" a="1"/>
  <c r="I39" i="1" s="1"/>
  <c r="G39" i="1" a="1"/>
  <c r="G39" i="1" s="1"/>
  <c r="E39" i="1" a="1"/>
  <c r="E39" i="1" s="1"/>
  <c r="A39" i="1"/>
  <c r="J46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<sst xmlns="http://schemas.openxmlformats.org/spreadsheetml/2006/main" count="98" uniqueCount="93">
  <si>
    <t>検査梱包指示書</t>
  </si>
  <si>
    <t>品目番号</t>
  </si>
  <si>
    <t>J1JAZZB10807480</t>
  </si>
  <si>
    <t>Ｌ寸</t>
  </si>
  <si>
    <t>名称</t>
  </si>
  <si>
    <t>8FL2813048310</t>
  </si>
  <si>
    <t>上長</t>
  </si>
  <si>
    <t>係員</t>
  </si>
  <si>
    <t>製造指図№</t>
  </si>
  <si>
    <t>000000000008941</t>
  </si>
  <si>
    <t>原料名</t>
  </si>
  <si>
    <t>(CASE 748MILK-W4)</t>
  </si>
  <si>
    <t>発注明細№</t>
  </si>
  <si>
    <t>000000000803296</t>
  </si>
  <si>
    <t>色　名</t>
  </si>
  <si>
    <t>J6VZ034</t>
  </si>
  <si>
    <t>製品Grp</t>
  </si>
  <si>
    <t>J1ZB</t>
  </si>
  <si>
    <t>開始日</t>
  </si>
  <si>
    <t>入り数</t>
  </si>
  <si>
    <t>終了日</t>
  </si>
  <si>
    <t>梱包数</t>
  </si>
  <si>
    <t>指示数量</t>
  </si>
  <si>
    <t>金　型</t>
  </si>
  <si>
    <t>4350</t>
  </si>
  <si>
    <t>*J1JAZZB10807480*</t>
  </si>
  <si>
    <t>格納先</t>
  </si>
  <si>
    <t>V3J04</t>
  </si>
  <si>
    <t>樹脂第4倉庫 (在庫)</t>
  </si>
  <si>
    <t>指図書備考</t>
  </si>
  <si>
    <t>工順</t>
  </si>
  <si>
    <t>製造場所</t>
  </si>
  <si>
    <t>製造場所名</t>
  </si>
  <si>
    <t>工程</t>
  </si>
  <si>
    <t>工程名</t>
  </si>
  <si>
    <t>作業時間</t>
  </si>
  <si>
    <t>V3Z01</t>
  </si>
  <si>
    <t>黒部工業</t>
  </si>
  <si>
    <t>V3P16</t>
  </si>
  <si>
    <t>検査・梱包</t>
  </si>
  <si>
    <t>V3P05</t>
  </si>
  <si>
    <t>切断</t>
  </si>
  <si>
    <t>品目コード</t>
  </si>
  <si>
    <t>品目名１</t>
  </si>
  <si>
    <t>在庫場所</t>
  </si>
  <si>
    <t>出庫数量</t>
  </si>
  <si>
    <t>バッチ必要数</t>
  </si>
  <si>
    <t>品目名２</t>
  </si>
  <si>
    <t>J1JAZZA10818200</t>
  </si>
  <si>
    <t>@8FL28130 L1820</t>
  </si>
  <si>
    <t>*J1JAZZA10818200*</t>
  </si>
  <si>
    <t>J6DW0089</t>
  </si>
  <si>
    <t>LED-A888</t>
  </si>
  <si>
    <t>*J6DW0089*</t>
  </si>
  <si>
    <t>L888×W275×H166</t>
  </si>
  <si>
    <t>J6XX0050</t>
  </si>
  <si>
    <t>(管理外)筋入ｸﾗﾌﾄ紙</t>
  </si>
  <si>
    <t>*J6XX0050*</t>
  </si>
  <si>
    <t>300＊100</t>
  </si>
  <si>
    <t>J6XX0051</t>
  </si>
  <si>
    <t>(管理外)LLDPE規格ｼｰﾄ0.02×950×100m</t>
  </si>
  <si>
    <t>*J6XX0051*</t>
  </si>
  <si>
    <t>0.02×950×100m</t>
  </si>
  <si>
    <t>製品名</t>
    <phoneticPr fontId="2"/>
  </si>
  <si>
    <t>備考、梱包方法等</t>
    <rPh sb="0" eb="2">
      <t>ビコウ</t>
    </rPh>
    <rPh sb="3" eb="5">
      <t>コンポウ</t>
    </rPh>
    <rPh sb="5" eb="7">
      <t>ホウホウ</t>
    </rPh>
    <rPh sb="7" eb="8">
      <t>ナド</t>
    </rPh>
    <phoneticPr fontId="2"/>
  </si>
  <si>
    <t>使用数</t>
    <rPh sb="0" eb="2">
      <t>シヨウ</t>
    </rPh>
    <rPh sb="2" eb="3">
      <t>スウ</t>
    </rPh>
    <phoneticPr fontId="2"/>
  </si>
  <si>
    <t>加工内容</t>
    <rPh sb="0" eb="2">
      <t>カコウ</t>
    </rPh>
    <rPh sb="2" eb="4">
      <t>ナイヨウ</t>
    </rPh>
    <phoneticPr fontId="2"/>
  </si>
  <si>
    <t>不良内訳</t>
    <rPh sb="0" eb="2">
      <t>フリョウ</t>
    </rPh>
    <rPh sb="2" eb="4">
      <t>ウチワケ</t>
    </rPh>
    <phoneticPr fontId="2"/>
  </si>
  <si>
    <t>入庫日</t>
    <rPh sb="0" eb="3">
      <t>ニュウコビ</t>
    </rPh>
    <phoneticPr fontId="2"/>
  </si>
  <si>
    <t>入庫数</t>
    <rPh sb="0" eb="3">
      <t>ニュウコスウ</t>
    </rPh>
    <phoneticPr fontId="2"/>
  </si>
  <si>
    <t>温度換算</t>
    <phoneticPr fontId="2"/>
  </si>
  <si>
    <t>取数</t>
    <phoneticPr fontId="2"/>
  </si>
  <si>
    <t>使用基材</t>
    <rPh sb="0" eb="2">
      <t>シヨウ</t>
    </rPh>
    <rPh sb="2" eb="4">
      <t>キザイ</t>
    </rPh>
    <phoneticPr fontId="2"/>
  </si>
  <si>
    <t>基材不良</t>
    <rPh sb="0" eb="2">
      <t>キザイ</t>
    </rPh>
    <rPh sb="2" eb="4">
      <t>フリョウ</t>
    </rPh>
    <phoneticPr fontId="2"/>
  </si>
  <si>
    <t>L寸</t>
    <phoneticPr fontId="2"/>
  </si>
  <si>
    <t>+公差</t>
    <phoneticPr fontId="2"/>
  </si>
  <si>
    <t>製品不良</t>
    <rPh sb="0" eb="2">
      <t>セイヒン</t>
    </rPh>
    <rPh sb="2" eb="4">
      <t>フリョウ</t>
    </rPh>
    <phoneticPr fontId="2"/>
  </si>
  <si>
    <t>端材使用</t>
    <rPh sb="0" eb="2">
      <t>ハザイ</t>
    </rPh>
    <rPh sb="2" eb="4">
      <t>シヨウ</t>
    </rPh>
    <phoneticPr fontId="2"/>
  </si>
  <si>
    <t>切断寸法</t>
    <phoneticPr fontId="2"/>
  </si>
  <si>
    <t>-公差</t>
    <phoneticPr fontId="2"/>
  </si>
  <si>
    <t>切断者</t>
    <rPh sb="0" eb="3">
      <t>セツダンシャ</t>
    </rPh>
    <phoneticPr fontId="2"/>
  </si>
  <si>
    <t>検査者</t>
    <rPh sb="0" eb="3">
      <t>ケンサシャ</t>
    </rPh>
    <phoneticPr fontId="2"/>
  </si>
  <si>
    <t>作業日</t>
    <phoneticPr fontId="2"/>
  </si>
  <si>
    <t>計測Lot</t>
    <rPh sb="0" eb="2">
      <t>ケイソク</t>
    </rPh>
    <phoneticPr fontId="2"/>
  </si>
  <si>
    <t>温度</t>
    <phoneticPr fontId="2"/>
  </si>
  <si>
    <t>換算寸法</t>
    <phoneticPr fontId="2"/>
  </si>
  <si>
    <t>計測値</t>
    <phoneticPr fontId="2"/>
  </si>
  <si>
    <t>使用Lot</t>
    <rPh sb="0" eb="2">
      <t>シヨウ</t>
    </rPh>
    <phoneticPr fontId="2"/>
  </si>
  <si>
    <t>加工数</t>
    <phoneticPr fontId="2"/>
  </si>
  <si>
    <t>基材換算</t>
    <phoneticPr fontId="2"/>
  </si>
  <si>
    <t>加工Lot</t>
    <phoneticPr fontId="2"/>
  </si>
  <si>
    <t>箱数</t>
    <phoneticPr fontId="2"/>
  </si>
  <si>
    <t>端数品</t>
    <rPh sb="0" eb="2">
      <t>ハスウ</t>
    </rPh>
    <rPh sb="2" eb="3">
      <t>ヒン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</si>
</sst>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76" formatCode="[$-F800]dddd\,\ mmmm\ dd\,\ yyyy"/>
    <numFmt numFmtId="177" formatCode="#,##0.0_ "/>
    <numFmt numFmtId="178" formatCode="#,##0_ "/>
    <numFmt numFmtId="179" formatCode="#"/>
    <numFmt numFmtId="180" formatCode="#&quot;枚&quot;"/>
    <numFmt numFmtId="181" formatCode="m/d"/>
    <numFmt numFmtId="182" formatCode="&quot;キズ &quot;#"/>
    <numFmt numFmtId="183" formatCode="&quot;凹み &quot;#"/>
    <numFmt numFmtId="184" formatCode="&quot;異物 &quot;#"/>
    <numFmt numFmtId="185" formatCode="&quot;欠け &quot;#"/>
    <numFmt numFmtId="186" formatCode="&quot;L=&quot;0.0_ "/>
    <numFmt numFmtId="187" formatCode="&quot;ﾒﾔﾆ &quot;#"/>
    <numFmt numFmtId="188" formatCode="&quot;ﾍﾞｺﾂｷ &quot;#"/>
    <numFmt numFmtId="189" formatCode="0.00_ "/>
    <numFmt numFmtId="190" formatCode="&quot;その他 &quot;#"/>
    <numFmt numFmtId="191" formatCode="&quot;合計 &quot;#"/>
    <numFmt numFmtId="192" formatCode="yy\,mm\,dd"/>
    <numFmt numFmtId="193" formatCode="#&quot;箱&quot;"/>
    <numFmt numFmtId="194" formatCode="mm/dd"/>
    <numFmt numFmtId="195" formatCode="0.00_);[Red]\(0.00\)"/>
    <numFmt numFmtId="196" formatCode="#&quot;本&quot;"/>
  </numFmts>
  <fonts count="33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72"/>
      <name val="K's BarCodeFont Code39"/>
      <family val="2"/>
    </font>
    <font>
      <sz val="36"/>
      <name val="K's BarCodeFont Code39"/>
      <family val="2"/>
    </font>
    <font>
      <b/>
      <sz val="28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2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b/>
      <sz val="1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2"/>
      <name val="游ゴシック"/>
      <family val="3"/>
      <charset val="128"/>
    </font>
    <font>
      <b/>
      <sz val="16"/>
      <color theme="1"/>
      <name val="游ゴシック"/>
      <family val="3"/>
      <charset val="128"/>
      <scheme val="minor"/>
    </font>
    <font>
      <sz val="11"/>
      <name val="游ゴシック"/>
      <family val="3"/>
      <charset val="128"/>
    </font>
    <font>
      <b/>
      <sz val="10"/>
      <color theme="0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9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4"/>
      <color theme="1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 style="thin">
        <color auto="1"/>
      </diagonal>
    </border>
    <border diagonalUp="1"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60">
    <xf numFmtId="0" fontId="0" fillId="0" borderId="0" xfId="0">
      <alignment vertical="center"/>
    </xf>
    <xf numFmtId="49" fontId="1" fillId="0" borderId="0" xfId="1" applyNumberFormat="1" applyAlignment="1">
      <alignment vertical="center" shrinkToFit="1"/>
    </xf>
    <xf numFmtId="49" fontId="3" fillId="0" borderId="0" xfId="1" applyNumberFormat="1" applyFont="1" applyAlignment="1">
      <alignment horizontal="center" vertical="center" shrinkToFit="1"/>
    </xf>
    <xf numFmtId="49" fontId="3" fillId="0" borderId="0" xfId="1" applyNumberFormat="1" applyFont="1" applyAlignment="1">
      <alignment vertical="center" shrinkToFit="1"/>
    </xf>
    <xf numFmtId="176" fontId="3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vertical="center" shrinkToFit="1"/>
    </xf>
    <xf numFmtId="49" fontId="1" fillId="0" borderId="0" xfId="1" applyNumberFormat="1" applyAlignment="1">
      <alignment horizontal="left" vertical="center" shrinkToFit="1"/>
    </xf>
    <xf numFmtId="49" fontId="5" fillId="0" borderId="10" xfId="1" applyNumberFormat="1" applyFont="1" applyBorder="1" applyAlignment="1">
      <alignment vertical="center" shrinkToFit="1"/>
    </xf>
    <xf numFmtId="49" fontId="6" fillId="0" borderId="0" xfId="1" applyNumberFormat="1" applyFont="1" applyAlignment="1">
      <alignment vertical="center" shrinkToFit="1"/>
    </xf>
    <xf numFmtId="49" fontId="1" fillId="0" borderId="1" xfId="1" applyNumberFormat="1" applyBorder="1" applyAlignment="1">
      <alignment vertical="center" shrinkToFit="1"/>
    </xf>
    <xf numFmtId="49" fontId="1" fillId="0" borderId="0" xfId="1" applyNumberFormat="1" applyAlignment="1">
      <alignment horizontal="center" vertical="center" shrinkToFit="1"/>
    </xf>
    <xf numFmtId="49" fontId="1" fillId="0" borderId="1" xfId="1" applyNumberFormat="1" applyBorder="1" applyAlignment="1">
      <alignment horizontal="center" vertical="center" shrinkToFit="1"/>
    </xf>
    <xf numFmtId="49" fontId="1" fillId="0" borderId="2" xfId="1" applyNumberFormat="1" applyBorder="1" applyAlignment="1">
      <alignment horizontal="center" vertical="center" shrinkToFit="1"/>
    </xf>
    <xf numFmtId="49" fontId="1" fillId="0" borderId="6" xfId="1" applyNumberFormat="1" applyBorder="1" applyAlignment="1">
      <alignment vertical="center" shrinkToFit="1"/>
    </xf>
    <xf numFmtId="49" fontId="1" fillId="0" borderId="7" xfId="1" applyNumberFormat="1" applyBorder="1" applyAlignment="1">
      <alignment vertical="center" shrinkToFit="1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Border="1" applyAlignment="1">
      <alignment vertical="center" shrinkToFit="1"/>
    </xf>
    <xf numFmtId="49" fontId="1" fillId="0" borderId="10" xfId="1" applyNumberFormat="1" applyBorder="1" applyAlignment="1">
      <alignment vertical="center" shrinkToFit="1"/>
    </xf>
    <xf numFmtId="49" fontId="7" fillId="0" borderId="0" xfId="1" applyNumberFormat="1" applyFont="1" applyAlignment="1">
      <alignment horizontal="center" vertical="center" shrinkToFit="1"/>
    </xf>
    <xf numFmtId="49" fontId="7" fillId="0" borderId="0" xfId="1" applyNumberFormat="1" applyFont="1" applyAlignment="1">
      <alignment vertical="center" shrinkToFit="1"/>
    </xf>
    <xf numFmtId="49" fontId="3" fillId="0" borderId="0" xfId="1" applyNumberFormat="1" applyFont="1" applyAlignment="1">
      <alignment horizontal="left" vertical="center" shrinkToFit="1"/>
    </xf>
    <xf numFmtId="49" fontId="1" fillId="0" borderId="0" xfId="1" applyNumberFormat="1" applyAlignment="1">
      <alignment horizontal="right" vertical="center" shrinkToFit="1"/>
    </xf>
    <xf numFmtId="49" fontId="1" fillId="0" borderId="8" xfId="1" applyNumberFormat="1" applyBorder="1" applyAlignment="1">
      <alignment horizontal="right" vertical="center" shrinkToFit="1"/>
    </xf>
    <xf numFmtId="0" fontId="12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5" fillId="3" borderId="19" xfId="0" applyFont="1" applyFill="1" applyBorder="1" applyAlignment="1">
      <alignment horizontal="center" vertical="center"/>
    </xf>
    <xf numFmtId="49" fontId="6" fillId="4" borderId="19" xfId="1" applyNumberFormat="1" applyFont="1" applyFill="1" applyBorder="1" applyAlignment="1">
      <alignment horizontal="center" vertical="center" shrinkToFit="1"/>
    </xf>
    <xf numFmtId="179" fontId="19" fillId="0" borderId="21" xfId="0" applyNumberFormat="1" applyFont="1" applyBorder="1" applyAlignment="1">
      <alignment horizontal="left" vertical="center"/>
    </xf>
    <xf numFmtId="49" fontId="20" fillId="0" borderId="0" xfId="1" applyNumberFormat="1" applyFont="1" applyAlignment="1">
      <alignment horizontal="left" vertical="center" shrinkToFit="1"/>
    </xf>
    <xf numFmtId="0" fontId="19" fillId="0" borderId="21" xfId="0" applyFont="1" applyBorder="1" applyAlignment="1">
      <alignment horizontal="left" vertical="center" wrapText="1"/>
    </xf>
    <xf numFmtId="49" fontId="22" fillId="0" borderId="0" xfId="1" applyNumberFormat="1" applyFont="1" applyAlignment="1">
      <alignment horizontal="left" vertical="center" shrinkToFit="1"/>
    </xf>
    <xf numFmtId="0" fontId="19" fillId="0" borderId="30" xfId="0" applyFont="1" applyBorder="1" applyAlignment="1">
      <alignment horizontal="left" vertical="center" wrapText="1"/>
    </xf>
    <xf numFmtId="0" fontId="24" fillId="6" borderId="17" xfId="0" applyFont="1" applyFill="1" applyBorder="1" applyAlignment="1">
      <alignment horizontal="center" vertical="center"/>
    </xf>
    <xf numFmtId="49" fontId="24" fillId="6" borderId="18" xfId="1" applyNumberFormat="1" applyFont="1" applyFill="1" applyBorder="1" applyAlignment="1">
      <alignment vertical="center" shrinkToFit="1"/>
    </xf>
    <xf numFmtId="49" fontId="24" fillId="6" borderId="18" xfId="1" applyNumberFormat="1" applyFont="1" applyFill="1" applyBorder="1" applyAlignment="1">
      <alignment horizontal="center" vertical="center" shrinkToFit="1"/>
    </xf>
    <xf numFmtId="49" fontId="24" fillId="6" borderId="19" xfId="0" applyNumberFormat="1" applyFont="1" applyFill="1" applyBorder="1" applyAlignment="1">
      <alignment horizontal="center" vertical="center" shrinkToFit="1"/>
    </xf>
    <xf numFmtId="0" fontId="24" fillId="2" borderId="17" xfId="0" applyFont="1" applyFill="1" applyBorder="1">
      <alignment vertical="center"/>
    </xf>
    <xf numFmtId="49" fontId="24" fillId="2" borderId="18" xfId="0" applyNumberFormat="1" applyFont="1" applyFill="1" applyBorder="1" applyAlignment="1">
      <alignment horizontal="center" vertical="center" shrinkToFit="1"/>
    </xf>
    <xf numFmtId="49" fontId="24" fillId="2" borderId="19" xfId="0" applyNumberFormat="1" applyFont="1" applyFill="1" applyBorder="1" applyAlignment="1">
      <alignment horizontal="center" vertical="center" shrinkToFit="1"/>
    </xf>
    <xf numFmtId="0" fontId="25" fillId="3" borderId="33" xfId="0" applyFont="1" applyFill="1" applyBorder="1" applyAlignment="1">
      <alignment horizontal="center" vertical="center"/>
    </xf>
    <xf numFmtId="0" fontId="25" fillId="3" borderId="34" xfId="0" applyFont="1" applyFill="1" applyBorder="1" applyAlignment="1">
      <alignment horizontal="center" vertical="center"/>
    </xf>
    <xf numFmtId="0" fontId="26" fillId="0" borderId="0" xfId="0" applyFont="1">
      <alignment vertical="center"/>
    </xf>
    <xf numFmtId="49" fontId="27" fillId="0" borderId="0" xfId="0" applyNumberFormat="1" applyFont="1" applyAlignment="1">
      <alignment vertical="top" shrinkToFit="1"/>
    </xf>
    <xf numFmtId="0" fontId="28" fillId="0" borderId="0" xfId="0" applyFont="1">
      <alignment vertical="center"/>
    </xf>
    <xf numFmtId="49" fontId="29" fillId="0" borderId="0" xfId="0" applyNumberFormat="1" applyFont="1" applyAlignment="1">
      <alignment vertical="top" shrinkToFit="1"/>
    </xf>
    <xf numFmtId="194" fontId="30" fillId="0" borderId="2" xfId="1" applyNumberFormat="1" applyFont="1" applyBorder="1" applyAlignment="1">
      <alignment horizontal="center" vertical="center" shrinkToFit="1"/>
    </xf>
    <xf numFmtId="182" fontId="31" fillId="5" borderId="22" xfId="0" applyNumberFormat="1" applyFont="1" applyFill="1" applyBorder="1" applyAlignment="1">
      <alignment horizontal="left" vertical="center" shrinkToFit="1"/>
    </xf>
    <xf numFmtId="0" fontId="30" fillId="0" borderId="2" xfId="1" applyFont="1" applyBorder="1" applyAlignment="1">
      <alignment horizontal="center" vertical="center" shrinkToFit="1"/>
    </xf>
    <xf numFmtId="183" fontId="31" fillId="5" borderId="22" xfId="0" applyNumberFormat="1" applyFont="1" applyFill="1" applyBorder="1" applyAlignment="1">
      <alignment horizontal="left" vertical="center" shrinkToFit="1"/>
    </xf>
    <xf numFmtId="184" fontId="31" fillId="5" borderId="22" xfId="0" applyNumberFormat="1" applyFont="1" applyFill="1" applyBorder="1" applyAlignment="1">
      <alignment horizontal="left" vertical="center" shrinkToFit="1"/>
    </xf>
    <xf numFmtId="185" fontId="31" fillId="5" borderId="22" xfId="0" applyNumberFormat="1" applyFont="1" applyFill="1" applyBorder="1" applyAlignment="1">
      <alignment horizontal="left" vertical="center" shrinkToFit="1"/>
    </xf>
    <xf numFmtId="187" fontId="31" fillId="5" borderId="22" xfId="0" applyNumberFormat="1" applyFont="1" applyFill="1" applyBorder="1" applyAlignment="1">
      <alignment horizontal="left" vertical="center" shrinkToFit="1"/>
    </xf>
    <xf numFmtId="188" fontId="31" fillId="5" borderId="22" xfId="0" applyNumberFormat="1" applyFont="1" applyFill="1" applyBorder="1" applyAlignment="1">
      <alignment horizontal="left" vertical="center" shrinkToFit="1"/>
    </xf>
    <xf numFmtId="190" fontId="31" fillId="5" borderId="22" xfId="0" applyNumberFormat="1" applyFont="1" applyFill="1" applyBorder="1" applyAlignment="1">
      <alignment horizontal="left" vertical="center" shrinkToFit="1"/>
    </xf>
    <xf numFmtId="191" fontId="31" fillId="5" borderId="32" xfId="0" applyNumberFormat="1" applyFont="1" applyFill="1" applyBorder="1" applyAlignment="1">
      <alignment horizontal="left" vertical="center"/>
    </xf>
    <xf numFmtId="181" fontId="32" fillId="4" borderId="21" xfId="0" applyNumberFormat="1" applyFont="1" applyFill="1" applyBorder="1" applyAlignment="1">
      <alignment horizontal="center" vertical="center"/>
    </xf>
    <xf numFmtId="0" fontId="32" fillId="4" borderId="2" xfId="0" applyFont="1" applyFill="1" applyBorder="1" applyAlignment="1">
      <alignment horizontal="center" vertical="center"/>
    </xf>
    <xf numFmtId="0" fontId="32" fillId="4" borderId="35" xfId="0" applyFont="1" applyFill="1" applyBorder="1" applyAlignment="1">
      <alignment horizontal="center" vertical="center"/>
    </xf>
    <xf numFmtId="189" fontId="32" fillId="4" borderId="36" xfId="0" applyNumberFormat="1" applyFont="1" applyFill="1" applyBorder="1" applyAlignment="1">
      <alignment horizontal="center" vertical="center"/>
    </xf>
    <xf numFmtId="179" fontId="32" fillId="4" borderId="21" xfId="0" applyNumberFormat="1" applyFont="1" applyFill="1" applyBorder="1" applyAlignment="1">
      <alignment horizontal="center" vertical="center"/>
    </xf>
    <xf numFmtId="179" fontId="32" fillId="4" borderId="2" xfId="0" applyNumberFormat="1" applyFont="1" applyFill="1" applyBorder="1" applyAlignment="1">
      <alignment horizontal="center" vertical="center"/>
    </xf>
    <xf numFmtId="179" fontId="32" fillId="4" borderId="22" xfId="0" applyNumberFormat="1" applyFont="1" applyFill="1" applyBorder="1" applyAlignment="1">
      <alignment horizontal="center" vertical="center"/>
    </xf>
    <xf numFmtId="192" fontId="32" fillId="0" borderId="21" xfId="0" applyNumberFormat="1" applyFont="1" applyBorder="1" applyAlignment="1">
      <alignment horizontal="center" vertical="center"/>
    </xf>
    <xf numFmtId="193" fontId="32" fillId="0" borderId="22" xfId="0" applyNumberFormat="1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195" fontId="32" fillId="0" borderId="2" xfId="0" applyNumberFormat="1" applyFont="1" applyBorder="1" applyAlignment="1">
      <alignment horizontal="center" vertical="center"/>
    </xf>
    <xf numFmtId="195" fontId="32" fillId="0" borderId="22" xfId="0" applyNumberFormat="1" applyFont="1" applyBorder="1" applyAlignment="1">
      <alignment horizontal="center" vertical="center"/>
    </xf>
    <xf numFmtId="179" fontId="32" fillId="0" borderId="21" xfId="0" applyNumberFormat="1" applyFont="1" applyBorder="1" applyAlignment="1">
      <alignment horizontal="center" vertical="center"/>
    </xf>
    <xf numFmtId="179" fontId="32" fillId="0" borderId="2" xfId="0" applyNumberFormat="1" applyFont="1" applyBorder="1" applyAlignment="1">
      <alignment horizontal="center" vertical="center"/>
    </xf>
    <xf numFmtId="179" fontId="32" fillId="0" borderId="22" xfId="0" applyNumberFormat="1" applyFont="1" applyBorder="1" applyAlignment="1">
      <alignment horizontal="center" vertical="center"/>
    </xf>
    <xf numFmtId="192" fontId="32" fillId="0" borderId="24" xfId="0" applyNumberFormat="1" applyFont="1" applyBorder="1" applyAlignment="1">
      <alignment horizontal="center" vertical="center"/>
    </xf>
    <xf numFmtId="193" fontId="32" fillId="0" borderId="37" xfId="0" applyNumberFormat="1" applyFont="1" applyBorder="1" applyAlignment="1">
      <alignment horizontal="center" vertical="center"/>
    </xf>
    <xf numFmtId="181" fontId="32" fillId="4" borderId="30" xfId="0" applyNumberFormat="1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95" fontId="32" fillId="0" borderId="31" xfId="0" applyNumberFormat="1" applyFont="1" applyBorder="1" applyAlignment="1">
      <alignment horizontal="center" vertical="center"/>
    </xf>
    <xf numFmtId="195" fontId="32" fillId="0" borderId="32" xfId="0" applyNumberFormat="1" applyFont="1" applyBorder="1" applyAlignment="1">
      <alignment horizontal="center" vertical="center"/>
    </xf>
    <xf numFmtId="179" fontId="32" fillId="0" borderId="30" xfId="0" applyNumberFormat="1" applyFont="1" applyBorder="1" applyAlignment="1">
      <alignment horizontal="center" vertical="center"/>
    </xf>
    <xf numFmtId="179" fontId="32" fillId="0" borderId="31" xfId="0" applyNumberFormat="1" applyFont="1" applyBorder="1" applyAlignment="1">
      <alignment horizontal="center" vertical="center"/>
    </xf>
    <xf numFmtId="179" fontId="32" fillId="0" borderId="32" xfId="0" applyNumberFormat="1" applyFont="1" applyBorder="1" applyAlignment="1">
      <alignment horizontal="center" vertical="center"/>
    </xf>
    <xf numFmtId="49" fontId="11" fillId="0" borderId="12" xfId="1" applyNumberFormat="1" applyFont="1" applyBorder="1" applyAlignment="1">
      <alignment vertical="center" shrinkToFit="1"/>
    </xf>
    <xf numFmtId="0" fontId="0" fillId="0" borderId="4" xfId="0" applyBorder="1" applyAlignment="1"/>
    <xf numFmtId="0" fontId="0" fillId="0" borderId="10" xfId="0" applyBorder="1" applyAlignment="1"/>
    <xf numFmtId="0" fontId="0" fillId="0" borderId="12" xfId="0" applyBorder="1" applyAlignment="1"/>
    <xf numFmtId="49" fontId="11" fillId="0" borderId="4" xfId="1" applyNumberFormat="1" applyFont="1" applyBorder="1" applyAlignment="1">
      <alignment horizontal="left" vertical="center" shrinkToFit="1"/>
    </xf>
    <xf numFmtId="49" fontId="1" fillId="0" borderId="0" xfId="1" applyNumberFormat="1" applyAlignment="1">
      <alignment vertical="center" shrinkToFit="1"/>
    </xf>
    <xf numFmtId="177" fontId="12" fillId="0" borderId="0" xfId="1" applyNumberFormat="1" applyFont="1" applyAlignment="1">
      <alignment horizontal="left" vertical="center" shrinkToFit="1"/>
    </xf>
    <xf numFmtId="49" fontId="4" fillId="0" borderId="0" xfId="1" applyNumberFormat="1" applyFont="1" applyAlignment="1">
      <alignment horizontal="left" vertical="center" shrinkToFit="1"/>
    </xf>
    <xf numFmtId="49" fontId="10" fillId="0" borderId="0" xfId="1" applyNumberFormat="1" applyFont="1" applyAlignment="1">
      <alignment vertical="center" shrinkToFit="1"/>
    </xf>
    <xf numFmtId="49" fontId="12" fillId="0" borderId="9" xfId="1" applyNumberFormat="1" applyFont="1" applyBorder="1" applyAlignment="1">
      <alignment vertical="center" shrinkToFit="1"/>
    </xf>
    <xf numFmtId="0" fontId="0" fillId="0" borderId="9" xfId="0" applyBorder="1" applyAlignment="1"/>
    <xf numFmtId="0" fontId="12" fillId="0" borderId="0" xfId="0" applyFont="1">
      <alignment vertical="center"/>
    </xf>
    <xf numFmtId="49" fontId="1" fillId="0" borderId="0" xfId="1" applyNumberFormat="1" applyAlignment="1">
      <alignment horizontal="left" vertical="center" shrinkToFit="1"/>
    </xf>
    <xf numFmtId="49" fontId="8" fillId="0" borderId="0" xfId="1" applyNumberFormat="1" applyFont="1" applyAlignment="1">
      <alignment horizontal="left" vertical="center" shrinkToFit="1"/>
    </xf>
    <xf numFmtId="49" fontId="12" fillId="0" borderId="0" xfId="1" applyNumberFormat="1" applyFont="1" applyAlignment="1">
      <alignment horizontal="right" vertical="center" shrinkToFit="1"/>
    </xf>
    <xf numFmtId="49" fontId="11" fillId="0" borderId="0" xfId="1" applyNumberFormat="1" applyFont="1" applyAlignment="1">
      <alignment vertical="center" shrinkToFit="1"/>
    </xf>
    <xf numFmtId="49" fontId="1" fillId="0" borderId="3" xfId="1" applyNumberFormat="1" applyBorder="1" applyAlignment="1">
      <alignment vertical="center" shrinkToFit="1"/>
    </xf>
    <xf numFmtId="0" fontId="0" fillId="0" borderId="5" xfId="0" applyBorder="1" applyAlignment="1"/>
    <xf numFmtId="49" fontId="7" fillId="0" borderId="0" xfId="1" applyNumberFormat="1" applyFont="1" applyAlignment="1">
      <alignment vertical="center" shrinkToFit="1"/>
    </xf>
    <xf numFmtId="49" fontId="11" fillId="0" borderId="11" xfId="1" applyNumberFormat="1" applyFont="1" applyBorder="1" applyAlignment="1">
      <alignment horizontal="center" vertical="center" shrinkToFit="1"/>
    </xf>
    <xf numFmtId="0" fontId="0" fillId="0" borderId="15" xfId="0" applyBorder="1" applyAlignment="1"/>
    <xf numFmtId="49" fontId="12" fillId="0" borderId="8" xfId="1" applyNumberFormat="1" applyFont="1" applyBorder="1" applyAlignment="1">
      <alignment vertical="center" shrinkToFit="1"/>
    </xf>
    <xf numFmtId="0" fontId="0" fillId="0" borderId="8" xfId="0" applyBorder="1" applyAlignment="1"/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49" fontId="6" fillId="4" borderId="16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49" fontId="12" fillId="0" borderId="10" xfId="1" applyNumberFormat="1" applyFont="1" applyBorder="1" applyAlignment="1">
      <alignment vertical="center" shrinkToFit="1"/>
    </xf>
    <xf numFmtId="49" fontId="9" fillId="0" borderId="0" xfId="1" applyNumberFormat="1" applyFont="1" applyAlignment="1">
      <alignment vertical="center" shrinkToFit="1"/>
    </xf>
    <xf numFmtId="49" fontId="11" fillId="0" borderId="2" xfId="1" applyNumberFormat="1" applyFont="1" applyBorder="1" applyAlignment="1">
      <alignment vertical="center" shrinkToFit="1"/>
    </xf>
    <xf numFmtId="0" fontId="0" fillId="0" borderId="6" xfId="0" applyBorder="1" applyAlignment="1"/>
    <xf numFmtId="178" fontId="11" fillId="0" borderId="2" xfId="1" applyNumberFormat="1" applyFont="1" applyBorder="1" applyAlignment="1">
      <alignment horizontal="center" vertical="center" shrinkToFit="1"/>
    </xf>
    <xf numFmtId="0" fontId="0" fillId="0" borderId="13" xfId="0" applyBorder="1" applyAlignment="1"/>
    <xf numFmtId="0" fontId="0" fillId="0" borderId="14" xfId="0" applyBorder="1" applyAlignment="1"/>
    <xf numFmtId="177" fontId="10" fillId="0" borderId="0" xfId="1" applyNumberFormat="1" applyFont="1" applyAlignment="1">
      <alignment vertical="center" shrinkToFit="1"/>
    </xf>
    <xf numFmtId="49" fontId="11" fillId="0" borderId="7" xfId="1" applyNumberFormat="1" applyFont="1" applyBorder="1" applyAlignment="1">
      <alignment vertical="center" shrinkToFit="1"/>
    </xf>
    <xf numFmtId="0" fontId="0" fillId="0" borderId="7" xfId="0" applyBorder="1" applyAlignment="1"/>
    <xf numFmtId="49" fontId="10" fillId="0" borderId="4" xfId="1" applyNumberFormat="1" applyFont="1" applyBorder="1" applyAlignment="1">
      <alignment horizontal="left" vertical="center" shrinkToFit="1"/>
    </xf>
    <xf numFmtId="49" fontId="12" fillId="0" borderId="8" xfId="1" applyNumberFormat="1" applyFont="1" applyBorder="1" applyAlignment="1">
      <alignment horizontal="right" vertical="center" shrinkToFit="1"/>
    </xf>
    <xf numFmtId="49" fontId="11" fillId="0" borderId="0" xfId="1" applyNumberFormat="1" applyFont="1" applyAlignment="1">
      <alignment horizontal="left" vertical="center" shrinkToFit="1"/>
    </xf>
    <xf numFmtId="0" fontId="16" fillId="0" borderId="20" xfId="1" applyFont="1" applyBorder="1" applyAlignment="1">
      <alignment horizontal="left" vertical="center" shrinkToFit="1"/>
    </xf>
    <xf numFmtId="0" fontId="16" fillId="0" borderId="13" xfId="1" applyFont="1" applyBorder="1" applyAlignment="1">
      <alignment horizontal="left" vertical="center" shrinkToFit="1"/>
    </xf>
    <xf numFmtId="0" fontId="16" fillId="0" borderId="23" xfId="1" applyFont="1" applyBorder="1" applyAlignment="1">
      <alignment horizontal="left" vertical="center" shrinkToFit="1"/>
    </xf>
    <xf numFmtId="0" fontId="16" fillId="0" borderId="10" xfId="1" applyFont="1" applyBorder="1" applyAlignment="1">
      <alignment horizontal="left" vertical="center" shrinkToFit="1"/>
    </xf>
    <xf numFmtId="179" fontId="17" fillId="5" borderId="21" xfId="0" applyNumberFormat="1" applyFont="1" applyFill="1" applyBorder="1" applyAlignment="1">
      <alignment horizontal="left" vertical="center" shrinkToFit="1"/>
    </xf>
    <xf numFmtId="179" fontId="17" fillId="5" borderId="2" xfId="0" applyNumberFormat="1" applyFont="1" applyFill="1" applyBorder="1" applyAlignment="1">
      <alignment horizontal="left" vertical="center" shrinkToFit="1"/>
    </xf>
    <xf numFmtId="49" fontId="11" fillId="0" borderId="6" xfId="1" applyNumberFormat="1" applyFont="1" applyBorder="1" applyAlignment="1">
      <alignment vertical="center" shrinkToFit="1"/>
    </xf>
    <xf numFmtId="178" fontId="11" fillId="0" borderId="0" xfId="1" applyNumberFormat="1" applyFont="1" applyAlignment="1">
      <alignment horizontal="left" vertical="center" shrinkToFit="1"/>
    </xf>
    <xf numFmtId="180" fontId="18" fillId="0" borderId="22" xfId="1" applyNumberFormat="1" applyFont="1" applyBorder="1" applyAlignment="1">
      <alignment horizontal="center" vertical="center" shrinkToFit="1"/>
    </xf>
    <xf numFmtId="0" fontId="14" fillId="2" borderId="16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189" fontId="17" fillId="0" borderId="3" xfId="0" applyNumberFormat="1" applyFont="1" applyBorder="1" applyAlignment="1">
      <alignment horizontal="center" vertical="center"/>
    </xf>
    <xf numFmtId="189" fontId="17" fillId="0" borderId="28" xfId="0" applyNumberFormat="1" applyFont="1" applyBorder="1" applyAlignment="1">
      <alignment horizontal="center" vertical="center"/>
    </xf>
    <xf numFmtId="49" fontId="23" fillId="2" borderId="25" xfId="1" applyNumberFormat="1" applyFont="1" applyFill="1" applyBorder="1" applyAlignment="1">
      <alignment horizontal="center" vertical="center" shrinkToFit="1"/>
    </xf>
    <xf numFmtId="49" fontId="23" fillId="2" borderId="29" xfId="1" applyNumberFormat="1" applyFont="1" applyFill="1" applyBorder="1" applyAlignment="1">
      <alignment horizontal="center" vertical="center" shrinkToFit="1"/>
    </xf>
    <xf numFmtId="0" fontId="17" fillId="0" borderId="13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179" fontId="17" fillId="5" borderId="22" xfId="0" applyNumberFormat="1" applyFont="1" applyFill="1" applyBorder="1" applyAlignment="1">
      <alignment horizontal="left" vertical="center" shrinkToFit="1"/>
    </xf>
    <xf numFmtId="179" fontId="17" fillId="5" borderId="30" xfId="0" applyNumberFormat="1" applyFont="1" applyFill="1" applyBorder="1" applyAlignment="1">
      <alignment horizontal="left" vertical="center" shrinkToFit="1"/>
    </xf>
    <xf numFmtId="179" fontId="17" fillId="5" borderId="31" xfId="0" applyNumberFormat="1" applyFont="1" applyFill="1" applyBorder="1" applyAlignment="1">
      <alignment horizontal="left" vertical="center" shrinkToFit="1"/>
    </xf>
    <xf numFmtId="179" fontId="17" fillId="5" borderId="32" xfId="0" applyNumberFormat="1" applyFont="1" applyFill="1" applyBorder="1" applyAlignment="1">
      <alignment horizontal="left" vertical="center" shrinkToFit="1"/>
    </xf>
    <xf numFmtId="0" fontId="14" fillId="2" borderId="26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4" fillId="2" borderId="25" xfId="1" applyNumberFormat="1" applyFont="1" applyFill="1" applyBorder="1" applyAlignment="1">
      <alignment horizontal="center" vertical="center" shrinkToFit="1"/>
    </xf>
    <xf numFmtId="49" fontId="14" fillId="2" borderId="15" xfId="1" applyNumberFormat="1" applyFont="1" applyFill="1" applyBorder="1" applyAlignment="1">
      <alignment horizontal="center" vertical="center" shrinkToFit="1"/>
    </xf>
    <xf numFmtId="0" fontId="21" fillId="0" borderId="13" xfId="1" applyFont="1" applyBorder="1" applyAlignment="1">
      <alignment horizontal="center" vertical="center" shrinkToFit="1"/>
    </xf>
    <xf numFmtId="0" fontId="21" fillId="0" borderId="10" xfId="1" applyFont="1" applyBorder="1" applyAlignment="1">
      <alignment horizontal="center" vertical="center" shrinkToFit="1"/>
    </xf>
    <xf numFmtId="49" fontId="14" fillId="2" borderId="24" xfId="1" applyNumberFormat="1" applyFont="1" applyFill="1" applyBorder="1" applyAlignment="1">
      <alignment horizontal="center" vertical="center" shrinkToFit="1"/>
    </xf>
    <xf numFmtId="49" fontId="14" fillId="2" borderId="26" xfId="1" applyNumberFormat="1" applyFont="1" applyFill="1" applyBorder="1" applyAlignment="1">
      <alignment horizontal="center" vertical="center" shrinkToFit="1"/>
    </xf>
    <xf numFmtId="186" fontId="17" fillId="0" borderId="3" xfId="0" applyNumberFormat="1" applyFont="1" applyBorder="1" applyAlignment="1">
      <alignment horizontal="center" vertical="center"/>
    </xf>
    <xf numFmtId="186" fontId="17" fillId="0" borderId="6" xfId="0" applyNumberFormat="1" applyFont="1" applyBorder="1" applyAlignment="1">
      <alignment horizontal="center" vertical="center"/>
    </xf>
    <xf numFmtId="49" fontId="23" fillId="2" borderId="25" xfId="0" applyNumberFormat="1" applyFont="1" applyFill="1" applyBorder="1" applyAlignment="1">
      <alignment horizontal="center" vertical="center"/>
    </xf>
    <xf numFmtId="49" fontId="23" fillId="2" borderId="15" xfId="0" applyNumberFormat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192" fontId="19" fillId="4" borderId="38" xfId="0" applyNumberFormat="1" applyFont="1" applyFill="1" applyBorder="1" applyAlignment="1">
      <alignment horizontal="center" vertical="center"/>
    </xf>
    <xf numFmtId="196" fontId="32" fillId="0" borderId="39" xfId="0" applyNumberFormat="1" applyFont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200026</xdr:colOff>
      <xdr:row>3</xdr:row>
      <xdr:rowOff>66676</xdr:rowOff>
    </xdr:from>
    <xdr:to>
      <xdr:col>9</xdr:col>
      <xdr:colOff>638176</xdr:colOff>
      <xdr:row>5</xdr:row>
      <xdr:rowOff>104776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05062BB-2640-57AC-45A1-E10888243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24901" y="609601"/>
          <a:ext cx="438150" cy="438150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180976</xdr:colOff>
      <xdr:row>3</xdr:row>
      <xdr:rowOff>104776</xdr:rowOff>
    </xdr:from>
    <xdr:to>
      <xdr:col>8</xdr:col>
      <xdr:colOff>657226</xdr:colOff>
      <xdr:row>5</xdr:row>
      <xdr:rowOff>180976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FDAE511-B82D-1EBC-E69C-2DCD67651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6" y="647701"/>
          <a:ext cx="476250" cy="4762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sgt2511.xlsm" TargetMode="External"/><Relationship Id="rId1" Type="http://schemas.openxmlformats.org/officeDocument/2006/relationships/externalLinkPath" Target="/Users/user/Desktop/sgt25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日程"/>
      <sheetName val="取引"/>
      <sheetName val="加工記録２"/>
      <sheetName val="8FL基材管理"/>
      <sheetName val="依頼書保管"/>
      <sheetName val="納品明細書"/>
      <sheetName val="指図書"/>
      <sheetName val="請求"/>
      <sheetName val="VFDB2"/>
      <sheetName val="温度換算"/>
      <sheetName val="網戸日程"/>
      <sheetName val="棚卸"/>
    </sheetNames>
    <sheetDataSet>
      <sheetData sheetId="0"/>
      <sheetData sheetId="1"/>
      <sheetData sheetId="2">
        <row r="3">
          <cell r="C3" t="str">
            <v>8FL281304 5010　L=888</v>
          </cell>
          <cell r="L3" t="str">
            <v>25.10.29</v>
          </cell>
          <cell r="M3" t="str">
            <v>11箱</v>
          </cell>
          <cell r="O3">
            <v>0</v>
          </cell>
          <cell r="P3">
            <v>17</v>
          </cell>
          <cell r="T3" t="str">
            <v>000000000007955</v>
          </cell>
        </row>
        <row r="4">
          <cell r="D4">
            <v>45958</v>
          </cell>
          <cell r="E4" t="str">
            <v>25J17-03</v>
          </cell>
          <cell r="F4">
            <v>20</v>
          </cell>
          <cell r="G4">
            <v>888</v>
          </cell>
          <cell r="H4">
            <v>888.15</v>
          </cell>
          <cell r="I4" t="str">
            <v>25J17-03</v>
          </cell>
          <cell r="J4">
            <v>1276</v>
          </cell>
          <cell r="K4">
            <v>638</v>
          </cell>
          <cell r="L4" t="str">
            <v>25.10.30</v>
          </cell>
          <cell r="M4" t="str">
            <v>9箱</v>
          </cell>
          <cell r="O4">
            <v>2000</v>
          </cell>
          <cell r="P4">
            <v>2</v>
          </cell>
          <cell r="T4" t="str">
            <v>000000000007955</v>
          </cell>
        </row>
        <row r="5">
          <cell r="C5">
            <v>2000</v>
          </cell>
          <cell r="D5">
            <v>45958</v>
          </cell>
          <cell r="E5" t="str">
            <v>25J17-03</v>
          </cell>
          <cell r="F5">
            <v>20</v>
          </cell>
          <cell r="G5">
            <v>888</v>
          </cell>
          <cell r="H5">
            <v>888.08</v>
          </cell>
          <cell r="I5" t="str">
            <v>25J18-04</v>
          </cell>
          <cell r="J5">
            <v>746</v>
          </cell>
          <cell r="K5">
            <v>373</v>
          </cell>
          <cell r="O5">
            <v>1011</v>
          </cell>
          <cell r="P5">
            <v>3</v>
          </cell>
          <cell r="T5" t="str">
            <v>000000000007955</v>
          </cell>
        </row>
        <row r="6">
          <cell r="D6">
            <v>45959</v>
          </cell>
          <cell r="E6" t="str">
            <v>25J17-03</v>
          </cell>
          <cell r="F6">
            <v>22</v>
          </cell>
          <cell r="G6">
            <v>888.12</v>
          </cell>
          <cell r="H6">
            <v>888.19</v>
          </cell>
          <cell r="O6">
            <v>11</v>
          </cell>
          <cell r="T6" t="str">
            <v>000000000007955</v>
          </cell>
        </row>
        <row r="7">
          <cell r="C7">
            <v>2</v>
          </cell>
          <cell r="D7">
            <v>45959</v>
          </cell>
          <cell r="E7" t="str">
            <v>25J17-03</v>
          </cell>
          <cell r="F7">
            <v>22</v>
          </cell>
          <cell r="G7">
            <v>888.12</v>
          </cell>
          <cell r="H7">
            <v>888.21</v>
          </cell>
          <cell r="O7">
            <v>22</v>
          </cell>
          <cell r="T7" t="str">
            <v>000000000007955</v>
          </cell>
        </row>
        <row r="8">
          <cell r="C8" t="str">
            <v>LED-A888</v>
          </cell>
          <cell r="D8">
            <v>45959</v>
          </cell>
          <cell r="E8" t="str">
            <v>25J18-04</v>
          </cell>
          <cell r="F8">
            <v>22</v>
          </cell>
          <cell r="G8">
            <v>888.12</v>
          </cell>
          <cell r="H8">
            <v>888.22</v>
          </cell>
          <cell r="L8" t="str">
            <v>切断</v>
          </cell>
          <cell r="M8" t="str">
            <v>C/M</v>
          </cell>
          <cell r="O8">
            <v>0</v>
          </cell>
          <cell r="T8" t="str">
            <v>000000000007955</v>
          </cell>
        </row>
        <row r="9">
          <cell r="C9">
            <v>20</v>
          </cell>
          <cell r="L9" t="str">
            <v>検査</v>
          </cell>
          <cell r="M9" t="str">
            <v>T/U</v>
          </cell>
          <cell r="T9" t="str">
            <v>000000000007955</v>
          </cell>
        </row>
        <row r="10">
          <cell r="L10" t="str">
            <v>α端材</v>
          </cell>
          <cell r="O10">
            <v>0</v>
          </cell>
          <cell r="P10">
            <v>22</v>
          </cell>
          <cell r="T10" t="str">
            <v>000000000007955</v>
          </cell>
        </row>
        <row r="11">
          <cell r="C11" t="str">
            <v>8FL281304 5010　L=888</v>
          </cell>
          <cell r="L11" t="str">
            <v>25.10.30</v>
          </cell>
          <cell r="M11" t="str">
            <v>4箱</v>
          </cell>
          <cell r="O11">
            <v>0</v>
          </cell>
          <cell r="P11">
            <v>2</v>
          </cell>
          <cell r="T11" t="str">
            <v>000000000008361</v>
          </cell>
        </row>
        <row r="12">
          <cell r="D12">
            <v>45959</v>
          </cell>
          <cell r="E12" t="str">
            <v>25J18-04</v>
          </cell>
          <cell r="F12">
            <v>20</v>
          </cell>
          <cell r="G12">
            <v>888</v>
          </cell>
          <cell r="H12">
            <v>888.16</v>
          </cell>
          <cell r="I12" t="str">
            <v>25J18-04</v>
          </cell>
          <cell r="J12">
            <v>402</v>
          </cell>
          <cell r="K12">
            <v>201</v>
          </cell>
          <cell r="O12">
            <v>400</v>
          </cell>
          <cell r="T12" t="str">
            <v>000000000008361</v>
          </cell>
        </row>
        <row r="13">
          <cell r="C13">
            <v>400</v>
          </cell>
          <cell r="D13">
            <v>45960</v>
          </cell>
          <cell r="E13" t="str">
            <v>25J18-04</v>
          </cell>
          <cell r="F13">
            <v>20</v>
          </cell>
          <cell r="G13">
            <v>888</v>
          </cell>
          <cell r="H13">
            <v>887.95</v>
          </cell>
          <cell r="O13">
            <v>201</v>
          </cell>
          <cell r="T13" t="str">
            <v>000000000008361</v>
          </cell>
        </row>
        <row r="14">
          <cell r="O14">
            <v>1</v>
          </cell>
          <cell r="T14" t="str">
            <v>000000000008361</v>
          </cell>
        </row>
        <row r="15">
          <cell r="C15">
            <v>2</v>
          </cell>
          <cell r="O15">
            <v>2</v>
          </cell>
          <cell r="T15" t="str">
            <v>000000000008361</v>
          </cell>
        </row>
        <row r="16">
          <cell r="C16" t="str">
            <v>LED-A888</v>
          </cell>
          <cell r="L16" t="str">
            <v>切断</v>
          </cell>
          <cell r="M16" t="str">
            <v>M</v>
          </cell>
          <cell r="O16">
            <v>0</v>
          </cell>
          <cell r="T16" t="str">
            <v>000000000008361</v>
          </cell>
        </row>
        <row r="17">
          <cell r="C17">
            <v>4</v>
          </cell>
          <cell r="L17" t="str">
            <v>検査</v>
          </cell>
          <cell r="M17" t="str">
            <v>U</v>
          </cell>
          <cell r="T17" t="str">
            <v>000000000008361</v>
          </cell>
        </row>
        <row r="18">
          <cell r="L18" t="str">
            <v>α端材</v>
          </cell>
          <cell r="O18">
            <v>0</v>
          </cell>
          <cell r="P18">
            <v>2</v>
          </cell>
          <cell r="T18" t="str">
            <v>000000000008361</v>
          </cell>
        </row>
        <row r="19">
          <cell r="C19" t="str">
            <v>8FL281304 8310　L=748</v>
          </cell>
          <cell r="D19">
            <v>45906</v>
          </cell>
          <cell r="E19" t="str">
            <v>25I23-11</v>
          </cell>
          <cell r="I19" t="str">
            <v>25I23-11</v>
          </cell>
          <cell r="J19">
            <v>4</v>
          </cell>
          <cell r="K19">
            <v>2</v>
          </cell>
          <cell r="L19" t="str">
            <v>25.10.31</v>
          </cell>
          <cell r="M19" t="str">
            <v>2箱</v>
          </cell>
          <cell r="O19">
            <v>0</v>
          </cell>
          <cell r="T19" t="str">
            <v>000000000008360</v>
          </cell>
        </row>
        <row r="20">
          <cell r="D20">
            <v>45960</v>
          </cell>
          <cell r="E20" t="str">
            <v>25J18-04</v>
          </cell>
          <cell r="F20">
            <v>24</v>
          </cell>
          <cell r="G20">
            <v>748.19</v>
          </cell>
          <cell r="H20">
            <v>748.25</v>
          </cell>
          <cell r="I20" t="str">
            <v>25J18-04</v>
          </cell>
          <cell r="J20">
            <v>197</v>
          </cell>
          <cell r="K20">
            <v>99</v>
          </cell>
          <cell r="O20">
            <v>200</v>
          </cell>
          <cell r="T20" t="str">
            <v>000000000008360</v>
          </cell>
        </row>
        <row r="21">
          <cell r="C21">
            <v>200</v>
          </cell>
          <cell r="D21">
            <v>45960</v>
          </cell>
          <cell r="E21" t="str">
            <v>25J18-04</v>
          </cell>
          <cell r="F21">
            <v>24</v>
          </cell>
          <cell r="G21">
            <v>748.19</v>
          </cell>
          <cell r="H21">
            <v>748.3</v>
          </cell>
          <cell r="O21">
            <v>101</v>
          </cell>
          <cell r="P21">
            <v>1</v>
          </cell>
          <cell r="T21" t="str">
            <v>000000000008360</v>
          </cell>
        </row>
        <row r="22">
          <cell r="O22">
            <v>1</v>
          </cell>
          <cell r="T22" t="str">
            <v>000000000008360</v>
          </cell>
        </row>
        <row r="23">
          <cell r="C23">
            <v>2</v>
          </cell>
          <cell r="O23">
            <v>1</v>
          </cell>
          <cell r="T23" t="str">
            <v>000000000008360</v>
          </cell>
        </row>
        <row r="24">
          <cell r="C24" t="str">
            <v>LED-A888</v>
          </cell>
          <cell r="L24" t="str">
            <v>切断</v>
          </cell>
          <cell r="M24" t="str">
            <v>C</v>
          </cell>
          <cell r="O24">
            <v>0</v>
          </cell>
          <cell r="T24" t="str">
            <v>000000000008360</v>
          </cell>
        </row>
        <row r="25">
          <cell r="C25">
            <v>2</v>
          </cell>
          <cell r="L25" t="str">
            <v>検査</v>
          </cell>
          <cell r="M25" t="str">
            <v>U</v>
          </cell>
          <cell r="T25" t="str">
            <v>000000000008360</v>
          </cell>
        </row>
        <row r="26">
          <cell r="L26" t="str">
            <v>α端材</v>
          </cell>
          <cell r="O26">
            <v>0</v>
          </cell>
          <cell r="P26">
            <v>1</v>
          </cell>
          <cell r="T26" t="str">
            <v>000000000008360</v>
          </cell>
        </row>
        <row r="27">
          <cell r="C27" t="str">
            <v>8FL281304 4910　L=592</v>
          </cell>
          <cell r="D27">
            <v>45953</v>
          </cell>
          <cell r="E27" t="str">
            <v>25I16-15</v>
          </cell>
          <cell r="I27" t="str">
            <v>25I16-15</v>
          </cell>
          <cell r="J27">
            <v>7</v>
          </cell>
          <cell r="K27">
            <v>2</v>
          </cell>
          <cell r="L27" t="str">
            <v>25.10.31</v>
          </cell>
          <cell r="M27" t="str">
            <v>2箱</v>
          </cell>
          <cell r="O27">
            <v>0</v>
          </cell>
          <cell r="T27" t="str">
            <v>000000000008357</v>
          </cell>
        </row>
        <row r="28">
          <cell r="D28">
            <v>45960</v>
          </cell>
          <cell r="E28" t="str">
            <v>25J18-04</v>
          </cell>
          <cell r="F28">
            <v>24</v>
          </cell>
          <cell r="G28">
            <v>592.15</v>
          </cell>
          <cell r="H28">
            <v>591.77</v>
          </cell>
          <cell r="I28" t="str">
            <v>25J18-04</v>
          </cell>
          <cell r="J28">
            <v>193</v>
          </cell>
          <cell r="K28">
            <v>65</v>
          </cell>
          <cell r="O28">
            <v>200</v>
          </cell>
          <cell r="T28" t="str">
            <v>000000000008357</v>
          </cell>
        </row>
        <row r="29">
          <cell r="C29">
            <v>200</v>
          </cell>
          <cell r="D29">
            <v>45960</v>
          </cell>
          <cell r="E29" t="str">
            <v>25J18-04</v>
          </cell>
          <cell r="F29">
            <v>24</v>
          </cell>
          <cell r="G29">
            <v>592.15</v>
          </cell>
          <cell r="H29">
            <v>591.75</v>
          </cell>
          <cell r="O29">
            <v>67</v>
          </cell>
          <cell r="T29" t="str">
            <v>000000000008357</v>
          </cell>
        </row>
        <row r="30">
          <cell r="O30">
            <v>0</v>
          </cell>
          <cell r="T30" t="str">
            <v>000000000008357</v>
          </cell>
        </row>
        <row r="31">
          <cell r="C31">
            <v>3</v>
          </cell>
          <cell r="O31">
            <v>0</v>
          </cell>
          <cell r="T31" t="str">
            <v>000000000008357</v>
          </cell>
        </row>
        <row r="32">
          <cell r="C32" t="str">
            <v>LED-A592</v>
          </cell>
          <cell r="L32" t="str">
            <v>切断</v>
          </cell>
          <cell r="M32" t="str">
            <v>C</v>
          </cell>
          <cell r="O32">
            <v>1</v>
          </cell>
          <cell r="T32" t="str">
            <v>000000000008357</v>
          </cell>
        </row>
        <row r="33">
          <cell r="C33">
            <v>2</v>
          </cell>
          <cell r="L33" t="str">
            <v>検査</v>
          </cell>
          <cell r="M33" t="str">
            <v>U</v>
          </cell>
          <cell r="T33" t="str">
            <v>000000000008357</v>
          </cell>
        </row>
        <row r="34">
          <cell r="L34" t="str">
            <v>α端材</v>
          </cell>
          <cell r="M34">
            <v>1</v>
          </cell>
          <cell r="O34">
            <v>1</v>
          </cell>
          <cell r="P34">
            <v>0</v>
          </cell>
          <cell r="T34" t="str">
            <v>000000000008357</v>
          </cell>
        </row>
        <row r="35">
          <cell r="C35" t="str">
            <v>8FL281304 4810　L=297</v>
          </cell>
          <cell r="D35">
            <v>45953</v>
          </cell>
          <cell r="E35" t="str">
            <v>25I16-15</v>
          </cell>
          <cell r="I35" t="str">
            <v>25I16-15</v>
          </cell>
          <cell r="J35">
            <v>7</v>
          </cell>
          <cell r="K35">
            <v>1</v>
          </cell>
          <cell r="L35" t="str">
            <v>25.10.31</v>
          </cell>
          <cell r="M35" t="str">
            <v>3箱</v>
          </cell>
          <cell r="O35">
            <v>0</v>
          </cell>
          <cell r="P35">
            <v>5</v>
          </cell>
          <cell r="T35" t="str">
            <v>000000000008354</v>
          </cell>
        </row>
        <row r="36">
          <cell r="D36">
            <v>45960</v>
          </cell>
          <cell r="E36" t="str">
            <v>25J18-04</v>
          </cell>
          <cell r="F36">
            <v>24</v>
          </cell>
          <cell r="G36">
            <v>297.08</v>
          </cell>
          <cell r="H36">
            <v>297.27999999999997</v>
          </cell>
          <cell r="I36" t="str">
            <v>25J18-04</v>
          </cell>
          <cell r="J36">
            <v>232</v>
          </cell>
          <cell r="K36">
            <v>39</v>
          </cell>
          <cell r="O36">
            <v>300</v>
          </cell>
          <cell r="T36" t="str">
            <v>000000000008354</v>
          </cell>
        </row>
        <row r="37">
          <cell r="C37">
            <v>300</v>
          </cell>
          <cell r="D37">
            <v>45960</v>
          </cell>
          <cell r="E37" t="str">
            <v>25J18-04</v>
          </cell>
          <cell r="F37">
            <v>24</v>
          </cell>
          <cell r="G37">
            <v>297.08</v>
          </cell>
          <cell r="H37">
            <v>297.36</v>
          </cell>
          <cell r="O37">
            <v>40</v>
          </cell>
          <cell r="T37" t="str">
            <v>000000000008354</v>
          </cell>
        </row>
        <row r="38">
          <cell r="O38">
            <v>1</v>
          </cell>
          <cell r="T38" t="str">
            <v>000000000008354</v>
          </cell>
        </row>
        <row r="39">
          <cell r="C39">
            <v>6</v>
          </cell>
          <cell r="O39">
            <v>5</v>
          </cell>
          <cell r="T39" t="str">
            <v>000000000008354</v>
          </cell>
        </row>
        <row r="40">
          <cell r="C40" t="str">
            <v>LED-A300</v>
          </cell>
          <cell r="L40" t="str">
            <v>切断</v>
          </cell>
          <cell r="M40" t="str">
            <v>C</v>
          </cell>
          <cell r="O40">
            <v>67</v>
          </cell>
          <cell r="T40" t="str">
            <v>000000000008354</v>
          </cell>
        </row>
        <row r="41">
          <cell r="C41">
            <v>3</v>
          </cell>
          <cell r="L41" t="str">
            <v>検査</v>
          </cell>
          <cell r="M41" t="str">
            <v>U</v>
          </cell>
          <cell r="O41">
            <v>66</v>
          </cell>
          <cell r="T41" t="str">
            <v>000000000008354</v>
          </cell>
        </row>
        <row r="42">
          <cell r="L42" t="str">
            <v>α端材</v>
          </cell>
          <cell r="M42">
            <v>1</v>
          </cell>
          <cell r="O42">
            <v>1</v>
          </cell>
          <cell r="P42">
            <v>5</v>
          </cell>
          <cell r="T42" t="str">
            <v>000000000008354</v>
          </cell>
        </row>
        <row r="43">
          <cell r="C43" t="str">
            <v>GA-770 (特注)BR</v>
          </cell>
          <cell r="K43" t="e">
            <v>#VALUE!</v>
          </cell>
          <cell r="L43" t="str">
            <v>25.10.31</v>
          </cell>
          <cell r="M43" t="str">
            <v>1箱</v>
          </cell>
          <cell r="O43">
            <v>0</v>
          </cell>
          <cell r="T43" t="str">
            <v>000000000008942</v>
          </cell>
        </row>
        <row r="44">
          <cell r="D44">
            <v>45961</v>
          </cell>
          <cell r="E44" t="str">
            <v>22L27B</v>
          </cell>
          <cell r="G44">
            <v>866.5</v>
          </cell>
          <cell r="H44">
            <v>865.8</v>
          </cell>
          <cell r="I44" t="str">
            <v>22L27B</v>
          </cell>
          <cell r="J44">
            <v>6</v>
          </cell>
          <cell r="K44" t="e">
            <v>#VALUE!</v>
          </cell>
          <cell r="O44" t="e">
            <v>#VALUE!</v>
          </cell>
          <cell r="T44" t="str">
            <v>000000000008942</v>
          </cell>
        </row>
        <row r="45">
          <cell r="C45">
            <v>6</v>
          </cell>
          <cell r="D45">
            <v>45961</v>
          </cell>
          <cell r="E45" t="str">
            <v>22L27B</v>
          </cell>
          <cell r="G45">
            <v>866.5</v>
          </cell>
          <cell r="H45">
            <v>865.71</v>
          </cell>
          <cell r="K45" t="e">
            <v>#VALUE!</v>
          </cell>
          <cell r="O45" t="str">
            <v/>
          </cell>
          <cell r="T45" t="str">
            <v>000000000008942</v>
          </cell>
        </row>
        <row r="46">
          <cell r="K46" t="e">
            <v>#VALUE!</v>
          </cell>
          <cell r="O46" t="str">
            <v/>
          </cell>
          <cell r="T46" t="str">
            <v>000000000008942</v>
          </cell>
        </row>
        <row r="47">
          <cell r="C47" t="str">
            <v xml:space="preserve"> 図面確認</v>
          </cell>
          <cell r="K47" t="e">
            <v>#VALUE!</v>
          </cell>
          <cell r="O47">
            <v>0</v>
          </cell>
          <cell r="T47" t="str">
            <v>000000000008942</v>
          </cell>
        </row>
        <row r="48">
          <cell r="C48" t="str">
            <v>SB-246</v>
          </cell>
          <cell r="K48" t="e">
            <v>#VALUE!</v>
          </cell>
          <cell r="L48" t="str">
            <v>切断</v>
          </cell>
          <cell r="M48" t="str">
            <v>M</v>
          </cell>
          <cell r="O48" t="e">
            <v>#VALUE!</v>
          </cell>
          <cell r="T48" t="str">
            <v>000000000008942</v>
          </cell>
        </row>
        <row r="49">
          <cell r="C49">
            <v>1</v>
          </cell>
          <cell r="K49" t="e">
            <v>#VALUE!</v>
          </cell>
          <cell r="L49" t="str">
            <v>検査</v>
          </cell>
          <cell r="M49" t="str">
            <v>M</v>
          </cell>
          <cell r="T49" t="str">
            <v>000000000008942</v>
          </cell>
        </row>
        <row r="50">
          <cell r="K50" t="e">
            <v>#VALUE!</v>
          </cell>
          <cell r="L50" t="str">
            <v>α端材</v>
          </cell>
          <cell r="M50" t="e">
            <v>#VALUE!</v>
          </cell>
          <cell r="O50" t="e">
            <v>#VALUE!</v>
          </cell>
          <cell r="P50">
            <v>0</v>
          </cell>
          <cell r="T50" t="str">
            <v>000000000008942</v>
          </cell>
        </row>
        <row r="51">
          <cell r="C51" t="str">
            <v>灯具カバーPC IN 2080　L=1540</v>
          </cell>
          <cell r="D51">
            <v>45946</v>
          </cell>
          <cell r="E51" t="str">
            <v>25I27-01</v>
          </cell>
          <cell r="I51" t="str">
            <v>25I27-01</v>
          </cell>
          <cell r="J51">
            <v>5</v>
          </cell>
          <cell r="K51">
            <v>5</v>
          </cell>
          <cell r="L51" t="str">
            <v>25.10.31</v>
          </cell>
          <cell r="M51" t="str">
            <v>4箱</v>
          </cell>
          <cell r="O51">
            <v>0</v>
          </cell>
          <cell r="P51">
            <v>13</v>
          </cell>
          <cell r="T51" t="str">
            <v>000000000008709</v>
          </cell>
        </row>
        <row r="52">
          <cell r="D52">
            <v>45961</v>
          </cell>
          <cell r="E52" t="str">
            <v>25J26-01</v>
          </cell>
          <cell r="I52" t="str">
            <v>25J26-01</v>
          </cell>
          <cell r="J52">
            <v>90</v>
          </cell>
          <cell r="K52">
            <v>90</v>
          </cell>
          <cell r="O52">
            <v>64</v>
          </cell>
          <cell r="P52">
            <v>18</v>
          </cell>
          <cell r="T52" t="str">
            <v>000000000008709</v>
          </cell>
        </row>
        <row r="53">
          <cell r="C53">
            <v>64</v>
          </cell>
          <cell r="O53">
            <v>95</v>
          </cell>
          <cell r="T53" t="str">
            <v>000000000008709</v>
          </cell>
        </row>
        <row r="54">
          <cell r="O54">
            <v>31</v>
          </cell>
          <cell r="T54" t="str">
            <v>000000000008709</v>
          </cell>
        </row>
        <row r="55">
          <cell r="C55">
            <v>1</v>
          </cell>
          <cell r="O55">
            <v>31</v>
          </cell>
          <cell r="T55" t="str">
            <v>000000000008709</v>
          </cell>
        </row>
        <row r="56">
          <cell r="C56" t="str">
            <v>灯具-2　L＝1996</v>
          </cell>
          <cell r="L56" t="str">
            <v>切断</v>
          </cell>
          <cell r="M56" t="str">
            <v>-</v>
          </cell>
          <cell r="O56">
            <v>0</v>
          </cell>
          <cell r="T56" t="str">
            <v>000000000008709</v>
          </cell>
        </row>
        <row r="57">
          <cell r="C57">
            <v>4</v>
          </cell>
          <cell r="L57" t="str">
            <v>検査</v>
          </cell>
          <cell r="M57" t="str">
            <v>C</v>
          </cell>
          <cell r="T57" t="str">
            <v>000000000008709</v>
          </cell>
        </row>
        <row r="58">
          <cell r="L58" t="str">
            <v>α端材</v>
          </cell>
          <cell r="O58">
            <v>0</v>
          </cell>
          <cell r="P58">
            <v>31</v>
          </cell>
          <cell r="T58" t="str">
            <v>000000000008709</v>
          </cell>
        </row>
        <row r="59">
          <cell r="C59" t="str">
            <v>灯具カバーPC IN 2070　L=1966</v>
          </cell>
          <cell r="L59" t="str">
            <v>25.11.04</v>
          </cell>
          <cell r="M59" t="str">
            <v>5箱</v>
          </cell>
          <cell r="O59">
            <v>0</v>
          </cell>
          <cell r="P59">
            <v>5</v>
          </cell>
          <cell r="T59" t="str">
            <v>000000000007926-2</v>
          </cell>
        </row>
        <row r="60">
          <cell r="D60">
            <v>45965</v>
          </cell>
          <cell r="E60" t="str">
            <v>25J02-02</v>
          </cell>
          <cell r="I60" t="str">
            <v>25J02-02</v>
          </cell>
          <cell r="J60">
            <v>121</v>
          </cell>
          <cell r="K60">
            <v>121</v>
          </cell>
          <cell r="O60">
            <v>80</v>
          </cell>
          <cell r="P60">
            <v>36</v>
          </cell>
          <cell r="T60" t="str">
            <v>000000000007926-2</v>
          </cell>
        </row>
        <row r="61">
          <cell r="C61">
            <v>80</v>
          </cell>
          <cell r="I61" t="str">
            <v>次回納品11/14</v>
          </cell>
          <cell r="O61">
            <v>121</v>
          </cell>
          <cell r="T61" t="str">
            <v>000000000007926-2</v>
          </cell>
        </row>
        <row r="62">
          <cell r="O62">
            <v>41</v>
          </cell>
          <cell r="T62" t="str">
            <v>000000000007926-2</v>
          </cell>
        </row>
        <row r="63">
          <cell r="C63">
            <v>1</v>
          </cell>
          <cell r="O63">
            <v>41</v>
          </cell>
          <cell r="T63" t="str">
            <v>000000000007926-2</v>
          </cell>
        </row>
        <row r="64">
          <cell r="C64" t="str">
            <v>灯具-2　L＝1996</v>
          </cell>
          <cell r="L64" t="str">
            <v>切断</v>
          </cell>
          <cell r="M64" t="str">
            <v>-</v>
          </cell>
          <cell r="O64">
            <v>0</v>
          </cell>
          <cell r="T64" t="str">
            <v>000000000007926-2</v>
          </cell>
        </row>
        <row r="65">
          <cell r="C65">
            <v>5</v>
          </cell>
          <cell r="L65" t="str">
            <v>検査</v>
          </cell>
          <cell r="M65" t="str">
            <v>T</v>
          </cell>
          <cell r="T65" t="str">
            <v>000000000007926-2</v>
          </cell>
        </row>
        <row r="66">
          <cell r="L66" t="str">
            <v>α端材</v>
          </cell>
          <cell r="O66">
            <v>0</v>
          </cell>
          <cell r="P66">
            <v>41</v>
          </cell>
          <cell r="T66" t="str">
            <v>000000000007926-2</v>
          </cell>
        </row>
        <row r="67">
          <cell r="C67" t="str">
            <v>灯具カバーPC IN 2110　L=1815</v>
          </cell>
          <cell r="D67">
            <v>45957</v>
          </cell>
          <cell r="E67" t="str">
            <v>25J23-01</v>
          </cell>
          <cell r="I67" t="str">
            <v>25J23-01</v>
          </cell>
          <cell r="J67">
            <v>13</v>
          </cell>
          <cell r="K67">
            <v>13</v>
          </cell>
          <cell r="L67" t="str">
            <v>25.11.04</v>
          </cell>
          <cell r="M67" t="str">
            <v>10箱</v>
          </cell>
          <cell r="O67">
            <v>0</v>
          </cell>
          <cell r="P67">
            <v>19</v>
          </cell>
          <cell r="T67" t="str">
            <v>000000000008710</v>
          </cell>
        </row>
        <row r="68">
          <cell r="D68">
            <v>45965</v>
          </cell>
          <cell r="E68" t="str">
            <v>25J23-02</v>
          </cell>
          <cell r="I68" t="str">
            <v>25J23-02</v>
          </cell>
          <cell r="J68">
            <v>196</v>
          </cell>
          <cell r="K68">
            <v>196</v>
          </cell>
          <cell r="O68">
            <v>160</v>
          </cell>
          <cell r="P68">
            <v>29</v>
          </cell>
          <cell r="T68" t="str">
            <v>000000000008710</v>
          </cell>
        </row>
        <row r="69">
          <cell r="C69">
            <v>160</v>
          </cell>
          <cell r="I69" t="str">
            <v>次回納品11/25</v>
          </cell>
          <cell r="O69">
            <v>209</v>
          </cell>
          <cell r="P69">
            <v>1</v>
          </cell>
          <cell r="T69" t="str">
            <v>000000000008710</v>
          </cell>
        </row>
        <row r="70">
          <cell r="O70">
            <v>49</v>
          </cell>
          <cell r="T70" t="str">
            <v>000000000008710</v>
          </cell>
        </row>
        <row r="71">
          <cell r="C71">
            <v>1</v>
          </cell>
          <cell r="O71">
            <v>49</v>
          </cell>
          <cell r="T71" t="str">
            <v>000000000008710</v>
          </cell>
        </row>
        <row r="72">
          <cell r="C72" t="str">
            <v>灯具-2　L＝1996</v>
          </cell>
          <cell r="L72" t="str">
            <v>切断</v>
          </cell>
          <cell r="M72" t="str">
            <v>-</v>
          </cell>
          <cell r="O72">
            <v>0</v>
          </cell>
          <cell r="T72" t="str">
            <v>000000000008710</v>
          </cell>
        </row>
        <row r="73">
          <cell r="C73">
            <v>10</v>
          </cell>
          <cell r="L73" t="str">
            <v>検査</v>
          </cell>
          <cell r="M73" t="str">
            <v>T/C</v>
          </cell>
          <cell r="T73" t="str">
            <v>000000000008710</v>
          </cell>
        </row>
        <row r="74">
          <cell r="L74" t="str">
            <v>α端材</v>
          </cell>
          <cell r="O74">
            <v>0</v>
          </cell>
          <cell r="P74">
            <v>49</v>
          </cell>
          <cell r="T74" t="str">
            <v>000000000008710</v>
          </cell>
        </row>
        <row r="75">
          <cell r="C75" t="str">
            <v>灯具カバーPC IN 2480　L=954</v>
          </cell>
          <cell r="D75">
            <v>45918</v>
          </cell>
          <cell r="E75" t="str">
            <v>25I07-09</v>
          </cell>
          <cell r="I75" t="str">
            <v>25I07-09</v>
          </cell>
          <cell r="J75">
            <v>14</v>
          </cell>
          <cell r="K75">
            <v>14</v>
          </cell>
          <cell r="L75" t="str">
            <v>25.11.05</v>
          </cell>
          <cell r="M75" t="str">
            <v>6箱</v>
          </cell>
          <cell r="O75">
            <v>0</v>
          </cell>
          <cell r="P75">
            <v>6</v>
          </cell>
          <cell r="T75" t="str">
            <v>000000000008705</v>
          </cell>
        </row>
        <row r="76">
          <cell r="D76">
            <v>45966</v>
          </cell>
          <cell r="E76" t="str">
            <v>25J24-01</v>
          </cell>
          <cell r="I76" t="str">
            <v>25J24-01</v>
          </cell>
          <cell r="J76">
            <v>95</v>
          </cell>
          <cell r="K76">
            <v>95</v>
          </cell>
          <cell r="O76">
            <v>96</v>
          </cell>
          <cell r="P76">
            <v>7</v>
          </cell>
          <cell r="T76" t="str">
            <v>000000000008705</v>
          </cell>
        </row>
        <row r="77">
          <cell r="C77">
            <v>96</v>
          </cell>
          <cell r="O77">
            <v>109</v>
          </cell>
          <cell r="T77" t="str">
            <v>000000000008705</v>
          </cell>
        </row>
        <row r="78">
          <cell r="O78">
            <v>13</v>
          </cell>
          <cell r="T78" t="str">
            <v>000000000008705</v>
          </cell>
        </row>
        <row r="79">
          <cell r="C79">
            <v>1</v>
          </cell>
          <cell r="O79">
            <v>13</v>
          </cell>
          <cell r="T79" t="str">
            <v>000000000008705</v>
          </cell>
        </row>
        <row r="80">
          <cell r="C80" t="str">
            <v>灯具-3　L=970</v>
          </cell>
          <cell r="L80" t="str">
            <v>切断</v>
          </cell>
          <cell r="M80" t="str">
            <v>-</v>
          </cell>
          <cell r="O80">
            <v>0</v>
          </cell>
          <cell r="T80" t="str">
            <v>000000000008705</v>
          </cell>
        </row>
        <row r="81">
          <cell r="C81">
            <v>6</v>
          </cell>
          <cell r="L81" t="str">
            <v>検査</v>
          </cell>
          <cell r="M81" t="str">
            <v>T</v>
          </cell>
          <cell r="T81" t="str">
            <v>000000000008705</v>
          </cell>
        </row>
        <row r="82">
          <cell r="L82" t="str">
            <v>α端材</v>
          </cell>
          <cell r="O82">
            <v>0</v>
          </cell>
          <cell r="P82">
            <v>13</v>
          </cell>
          <cell r="T82" t="str">
            <v>000000000008705</v>
          </cell>
        </row>
        <row r="83">
          <cell r="C83" t="str">
            <v>8FL281304 5010　L=888</v>
          </cell>
          <cell r="D83">
            <v>45960</v>
          </cell>
          <cell r="E83" t="str">
            <v>25J18-04</v>
          </cell>
          <cell r="I83" t="str">
            <v>25J18-04</v>
          </cell>
          <cell r="J83">
            <v>134</v>
          </cell>
          <cell r="K83">
            <v>67</v>
          </cell>
          <cell r="L83" t="str">
            <v>25.10.31</v>
          </cell>
          <cell r="M83" t="str">
            <v>1箱</v>
          </cell>
          <cell r="O83">
            <v>0</v>
          </cell>
          <cell r="P83">
            <v>5</v>
          </cell>
          <cell r="T83" t="str">
            <v>000000000008362</v>
          </cell>
        </row>
        <row r="84">
          <cell r="D84">
            <v>45965</v>
          </cell>
          <cell r="E84" t="str">
            <v>25J19-05</v>
          </cell>
          <cell r="F84">
            <v>20</v>
          </cell>
          <cell r="G84">
            <v>888</v>
          </cell>
          <cell r="H84">
            <v>888.13</v>
          </cell>
          <cell r="I84" t="str">
            <v>25J19-05</v>
          </cell>
          <cell r="J84">
            <v>671</v>
          </cell>
          <cell r="K84">
            <v>336</v>
          </cell>
          <cell r="L84" t="str">
            <v>25.11.05</v>
          </cell>
          <cell r="M84" t="str">
            <v>7箱</v>
          </cell>
          <cell r="O84">
            <v>800</v>
          </cell>
          <cell r="T84" t="str">
            <v>000000000008362</v>
          </cell>
        </row>
        <row r="85">
          <cell r="C85">
            <v>800</v>
          </cell>
          <cell r="D85">
            <v>45965</v>
          </cell>
          <cell r="E85" t="str">
            <v>25J19-05</v>
          </cell>
          <cell r="F85">
            <v>20</v>
          </cell>
          <cell r="G85">
            <v>888</v>
          </cell>
          <cell r="H85">
            <v>888.07</v>
          </cell>
          <cell r="O85">
            <v>403</v>
          </cell>
          <cell r="T85" t="str">
            <v>000000000008362</v>
          </cell>
        </row>
        <row r="86">
          <cell r="D86">
            <v>45966</v>
          </cell>
          <cell r="E86" t="str">
            <v>25J19-05</v>
          </cell>
          <cell r="F86">
            <v>20</v>
          </cell>
          <cell r="G86">
            <v>888</v>
          </cell>
          <cell r="H86">
            <v>888.16</v>
          </cell>
          <cell r="O86">
            <v>3</v>
          </cell>
          <cell r="T86" t="str">
            <v>000000000008362</v>
          </cell>
        </row>
        <row r="87">
          <cell r="C87">
            <v>2</v>
          </cell>
          <cell r="D87">
            <v>45966</v>
          </cell>
          <cell r="E87" t="str">
            <v>25J19-05</v>
          </cell>
          <cell r="F87">
            <v>22</v>
          </cell>
          <cell r="G87">
            <v>888.12</v>
          </cell>
          <cell r="H87">
            <v>888.19</v>
          </cell>
          <cell r="O87">
            <v>5</v>
          </cell>
          <cell r="T87" t="str">
            <v>000000000008362</v>
          </cell>
        </row>
        <row r="88">
          <cell r="C88" t="str">
            <v>LED-A888</v>
          </cell>
          <cell r="L88" t="str">
            <v>切断</v>
          </cell>
          <cell r="M88" t="str">
            <v>M/C</v>
          </cell>
          <cell r="O88">
            <v>0</v>
          </cell>
          <cell r="T88" t="str">
            <v>000000000008362</v>
          </cell>
        </row>
        <row r="89">
          <cell r="C89">
            <v>8</v>
          </cell>
          <cell r="L89" t="str">
            <v>検査</v>
          </cell>
          <cell r="M89" t="str">
            <v>T/U</v>
          </cell>
          <cell r="T89" t="str">
            <v>000000000008362</v>
          </cell>
        </row>
        <row r="90">
          <cell r="L90" t="str">
            <v>α端材</v>
          </cell>
          <cell r="O90">
            <v>0</v>
          </cell>
          <cell r="P90">
            <v>5</v>
          </cell>
          <cell r="T90" t="str">
            <v>000000000008362</v>
          </cell>
        </row>
        <row r="91">
          <cell r="C91" t="str">
            <v>8FL281304 6110　L=1478</v>
          </cell>
          <cell r="D91">
            <v>45952</v>
          </cell>
          <cell r="E91" t="str">
            <v>25J16-01</v>
          </cell>
          <cell r="I91" t="str">
            <v>25J16-01</v>
          </cell>
          <cell r="J91">
            <v>9</v>
          </cell>
          <cell r="K91">
            <v>9</v>
          </cell>
          <cell r="L91" t="str">
            <v>25.11.05</v>
          </cell>
          <cell r="M91" t="str">
            <v>1箱</v>
          </cell>
          <cell r="O91">
            <v>0</v>
          </cell>
          <cell r="P91">
            <v>1</v>
          </cell>
          <cell r="T91" t="str">
            <v>000000000008364</v>
          </cell>
        </row>
        <row r="92">
          <cell r="D92">
            <v>45965</v>
          </cell>
          <cell r="E92" t="str">
            <v>25J19-05</v>
          </cell>
          <cell r="F92">
            <v>22</v>
          </cell>
          <cell r="G92">
            <v>1478.19</v>
          </cell>
          <cell r="H92">
            <v>1478.28</v>
          </cell>
          <cell r="I92" t="str">
            <v>25J19-05</v>
          </cell>
          <cell r="J92">
            <v>392</v>
          </cell>
          <cell r="K92">
            <v>392</v>
          </cell>
          <cell r="L92" t="str">
            <v>25.11.06</v>
          </cell>
          <cell r="M92" t="str">
            <v>3箱</v>
          </cell>
          <cell r="O92">
            <v>400</v>
          </cell>
          <cell r="T92" t="str">
            <v>000000000008364</v>
          </cell>
        </row>
        <row r="93">
          <cell r="C93">
            <v>400</v>
          </cell>
          <cell r="D93">
            <v>45965</v>
          </cell>
          <cell r="E93" t="str">
            <v>25J19-05</v>
          </cell>
          <cell r="F93">
            <v>22</v>
          </cell>
          <cell r="G93">
            <v>1478.19</v>
          </cell>
          <cell r="H93">
            <v>1478.22</v>
          </cell>
          <cell r="O93">
            <v>401</v>
          </cell>
          <cell r="T93" t="str">
            <v>000000000008364</v>
          </cell>
        </row>
        <row r="94">
          <cell r="O94">
            <v>1</v>
          </cell>
          <cell r="T94" t="str">
            <v>000000000008364</v>
          </cell>
        </row>
        <row r="95">
          <cell r="C95">
            <v>1</v>
          </cell>
          <cell r="O95">
            <v>1</v>
          </cell>
          <cell r="T95" t="str">
            <v>000000000008364</v>
          </cell>
        </row>
        <row r="96">
          <cell r="C96" t="str">
            <v>LED-A1478</v>
          </cell>
          <cell r="L96" t="str">
            <v>切断</v>
          </cell>
          <cell r="M96" t="str">
            <v>M/C</v>
          </cell>
          <cell r="O96">
            <v>0</v>
          </cell>
          <cell r="T96" t="str">
            <v>000000000008364</v>
          </cell>
        </row>
        <row r="97">
          <cell r="C97">
            <v>4</v>
          </cell>
          <cell r="L97" t="str">
            <v>検査</v>
          </cell>
          <cell r="M97" t="str">
            <v>T/U</v>
          </cell>
          <cell r="T97" t="str">
            <v>000000000008364</v>
          </cell>
        </row>
        <row r="98">
          <cell r="L98" t="str">
            <v>α端材</v>
          </cell>
          <cell r="O98">
            <v>0</v>
          </cell>
          <cell r="P98">
            <v>1</v>
          </cell>
          <cell r="T98" t="str">
            <v>000000000008364</v>
          </cell>
        </row>
        <row r="99">
          <cell r="C99" t="str">
            <v>8FL281304 8310　L=748</v>
          </cell>
          <cell r="D99">
            <v>45961</v>
          </cell>
          <cell r="E99" t="str">
            <v>25I26-01</v>
          </cell>
          <cell r="I99" t="str">
            <v>25I26-01</v>
          </cell>
          <cell r="J99">
            <v>5</v>
          </cell>
          <cell r="K99">
            <v>2</v>
          </cell>
          <cell r="L99" t="str">
            <v>25.11.06</v>
          </cell>
          <cell r="M99" t="str">
            <v>2箱</v>
          </cell>
          <cell r="O99">
            <v>0</v>
          </cell>
          <cell r="P99">
            <v>1</v>
          </cell>
          <cell r="T99" t="str">
            <v>000000000008941</v>
          </cell>
        </row>
        <row r="100">
          <cell r="D100">
            <v>45966</v>
          </cell>
          <cell r="E100" t="str">
            <v>25J19-05</v>
          </cell>
          <cell r="F100">
            <v>22</v>
          </cell>
          <cell r="G100">
            <v>748.1</v>
          </cell>
          <cell r="H100">
            <v>748.12</v>
          </cell>
          <cell r="I100" t="str">
            <v>25J19-05</v>
          </cell>
          <cell r="J100">
            <v>128</v>
          </cell>
          <cell r="K100">
            <v>64</v>
          </cell>
          <cell r="O100">
            <v>200</v>
          </cell>
          <cell r="T100" t="str">
            <v>000000000008941</v>
          </cell>
        </row>
        <row r="101">
          <cell r="C101">
            <v>200</v>
          </cell>
          <cell r="D101">
            <v>45966</v>
          </cell>
          <cell r="E101" t="str">
            <v>25J20-06</v>
          </cell>
          <cell r="F101">
            <v>22</v>
          </cell>
          <cell r="G101">
            <v>748.1</v>
          </cell>
          <cell r="H101">
            <v>748.09</v>
          </cell>
          <cell r="I101" t="str">
            <v>25J20-06</v>
          </cell>
          <cell r="J101">
            <v>68</v>
          </cell>
          <cell r="K101">
            <v>34</v>
          </cell>
          <cell r="O101">
            <v>101</v>
          </cell>
          <cell r="T101" t="str">
            <v>000000000008941</v>
          </cell>
        </row>
        <row r="102">
          <cell r="O102">
            <v>1</v>
          </cell>
          <cell r="T102" t="str">
            <v>000000000008941</v>
          </cell>
        </row>
        <row r="103">
          <cell r="C103">
            <v>2</v>
          </cell>
          <cell r="O103">
            <v>1</v>
          </cell>
          <cell r="T103" t="str">
            <v>000000000008941</v>
          </cell>
        </row>
        <row r="104">
          <cell r="C104" t="str">
            <v>LED-A888</v>
          </cell>
          <cell r="L104" t="str">
            <v>切断</v>
          </cell>
          <cell r="M104" t="str">
            <v>M</v>
          </cell>
          <cell r="O104">
            <v>1</v>
          </cell>
          <cell r="T104" t="str">
            <v>000000000008941</v>
          </cell>
        </row>
        <row r="105">
          <cell r="C105">
            <v>2</v>
          </cell>
          <cell r="L105" t="str">
            <v>検査</v>
          </cell>
          <cell r="M105" t="str">
            <v>T</v>
          </cell>
          <cell r="T105" t="str">
            <v>000000000008941</v>
          </cell>
        </row>
        <row r="106">
          <cell r="L106" t="str">
            <v>α端材</v>
          </cell>
          <cell r="M106">
            <v>1</v>
          </cell>
          <cell r="O106">
            <v>1</v>
          </cell>
          <cell r="P106">
            <v>1</v>
          </cell>
          <cell r="T106" t="str">
            <v>000000000008941</v>
          </cell>
        </row>
        <row r="107">
          <cell r="C107" t="str">
            <v>8FL281304 4910　L=592</v>
          </cell>
          <cell r="D107">
            <v>45961</v>
          </cell>
          <cell r="E107" t="str">
            <v>25J18-04</v>
          </cell>
          <cell r="I107" t="str">
            <v>25J18-04</v>
          </cell>
          <cell r="J107">
            <v>11</v>
          </cell>
          <cell r="K107">
            <v>3</v>
          </cell>
          <cell r="L107" t="str">
            <v>25.11.06</v>
          </cell>
          <cell r="M107" t="str">
            <v>2箱</v>
          </cell>
          <cell r="O107">
            <v>0</v>
          </cell>
          <cell r="T107" t="str">
            <v>000000000008358</v>
          </cell>
        </row>
        <row r="108">
          <cell r="D108">
            <v>45966</v>
          </cell>
          <cell r="E108" t="str">
            <v>25J20-06</v>
          </cell>
          <cell r="F108">
            <v>22</v>
          </cell>
          <cell r="G108">
            <v>592.08000000000004</v>
          </cell>
          <cell r="H108">
            <v>591.67999999999995</v>
          </cell>
          <cell r="I108" t="str">
            <v>25J20-06</v>
          </cell>
          <cell r="J108">
            <v>189</v>
          </cell>
          <cell r="K108">
            <v>64</v>
          </cell>
          <cell r="O108">
            <v>200</v>
          </cell>
          <cell r="T108" t="str">
            <v>000000000008358</v>
          </cell>
        </row>
        <row r="109">
          <cell r="C109">
            <v>200</v>
          </cell>
          <cell r="D109">
            <v>45966</v>
          </cell>
          <cell r="E109" t="str">
            <v>25J20-06</v>
          </cell>
          <cell r="F109">
            <v>22</v>
          </cell>
          <cell r="G109">
            <v>592.08000000000004</v>
          </cell>
          <cell r="H109">
            <v>591.58000000000004</v>
          </cell>
          <cell r="O109">
            <v>67</v>
          </cell>
          <cell r="T109" t="str">
            <v>000000000008358</v>
          </cell>
        </row>
        <row r="110">
          <cell r="O110">
            <v>0</v>
          </cell>
          <cell r="T110" t="str">
            <v>000000000008358</v>
          </cell>
        </row>
        <row r="111">
          <cell r="C111">
            <v>3</v>
          </cell>
          <cell r="O111">
            <v>0</v>
          </cell>
          <cell r="T111" t="str">
            <v>000000000008358</v>
          </cell>
        </row>
        <row r="112">
          <cell r="C112" t="str">
            <v>LED-A592</v>
          </cell>
          <cell r="L112" t="str">
            <v>切断</v>
          </cell>
          <cell r="M112" t="str">
            <v>M</v>
          </cell>
          <cell r="O112">
            <v>2</v>
          </cell>
          <cell r="T112" t="str">
            <v>000000000008358</v>
          </cell>
        </row>
        <row r="113">
          <cell r="C113">
            <v>2</v>
          </cell>
          <cell r="L113" t="str">
            <v>検査</v>
          </cell>
          <cell r="M113" t="str">
            <v>T</v>
          </cell>
          <cell r="T113" t="str">
            <v>000000000008358</v>
          </cell>
        </row>
        <row r="114">
          <cell r="L114" t="str">
            <v>α端材</v>
          </cell>
          <cell r="M114">
            <v>2</v>
          </cell>
          <cell r="O114">
            <v>2</v>
          </cell>
          <cell r="P114">
            <v>0</v>
          </cell>
          <cell r="T114" t="str">
            <v>000000000008358</v>
          </cell>
        </row>
        <row r="115">
          <cell r="C115" t="str">
            <v>8FL281304 4910　L=592</v>
          </cell>
          <cell r="L115" t="str">
            <v>25.11.06</v>
          </cell>
          <cell r="M115" t="str">
            <v>2箱</v>
          </cell>
          <cell r="O115">
            <v>0</v>
          </cell>
          <cell r="P115">
            <v>1</v>
          </cell>
          <cell r="T115" t="str">
            <v>000000000008359</v>
          </cell>
        </row>
        <row r="116">
          <cell r="D116">
            <v>45966</v>
          </cell>
          <cell r="E116" t="str">
            <v>25J20-06</v>
          </cell>
          <cell r="F116">
            <v>20</v>
          </cell>
          <cell r="G116">
            <v>592</v>
          </cell>
          <cell r="H116">
            <v>591.66</v>
          </cell>
          <cell r="I116" t="str">
            <v>25J20-06</v>
          </cell>
          <cell r="J116">
            <v>201</v>
          </cell>
          <cell r="K116">
            <v>67</v>
          </cell>
          <cell r="O116">
            <v>200</v>
          </cell>
          <cell r="T116" t="str">
            <v>000000000008359</v>
          </cell>
        </row>
        <row r="117">
          <cell r="C117">
            <v>200</v>
          </cell>
          <cell r="D117">
            <v>45966</v>
          </cell>
          <cell r="E117" t="str">
            <v>25J20-06</v>
          </cell>
          <cell r="F117">
            <v>20</v>
          </cell>
          <cell r="G117">
            <v>592</v>
          </cell>
          <cell r="H117">
            <v>591.71</v>
          </cell>
          <cell r="O117">
            <v>67</v>
          </cell>
          <cell r="T117" t="str">
            <v>000000000008359</v>
          </cell>
        </row>
        <row r="118">
          <cell r="O118">
            <v>1</v>
          </cell>
          <cell r="T118" t="str">
            <v>000000000008359</v>
          </cell>
        </row>
        <row r="119">
          <cell r="C119">
            <v>3</v>
          </cell>
          <cell r="O119">
            <v>1</v>
          </cell>
          <cell r="T119" t="str">
            <v>000000000008359</v>
          </cell>
        </row>
        <row r="120">
          <cell r="C120" t="str">
            <v>LED-A592</v>
          </cell>
          <cell r="L120" t="str">
            <v>切断</v>
          </cell>
          <cell r="M120" t="str">
            <v>M</v>
          </cell>
          <cell r="O120">
            <v>0</v>
          </cell>
          <cell r="T120" t="str">
            <v>000000000008359</v>
          </cell>
        </row>
        <row r="121">
          <cell r="C121">
            <v>2</v>
          </cell>
          <cell r="L121" t="str">
            <v>検査</v>
          </cell>
          <cell r="M121" t="str">
            <v>T</v>
          </cell>
          <cell r="T121" t="str">
            <v>000000000008359</v>
          </cell>
        </row>
        <row r="122">
          <cell r="L122" t="str">
            <v>α端材</v>
          </cell>
          <cell r="O122">
            <v>0</v>
          </cell>
          <cell r="P122">
            <v>1</v>
          </cell>
          <cell r="T122" t="str">
            <v>000000000008359</v>
          </cell>
        </row>
        <row r="123">
          <cell r="C123" t="str">
            <v>8FL281304 4810　L=297</v>
          </cell>
          <cell r="D123">
            <v>45961</v>
          </cell>
          <cell r="E123" t="str">
            <v>25J18-04</v>
          </cell>
          <cell r="I123" t="str">
            <v>25J18-04</v>
          </cell>
          <cell r="J123">
            <v>5</v>
          </cell>
          <cell r="L123" t="str">
            <v>25.11.06</v>
          </cell>
          <cell r="M123" t="str">
            <v>2箱</v>
          </cell>
          <cell r="O123">
            <v>0</v>
          </cell>
          <cell r="T123" t="str">
            <v>000000000008355</v>
          </cell>
        </row>
        <row r="124">
          <cell r="D124">
            <v>45967</v>
          </cell>
          <cell r="E124" t="str">
            <v>25J20-06</v>
          </cell>
          <cell r="F124">
            <v>22</v>
          </cell>
          <cell r="G124">
            <v>297.04000000000002</v>
          </cell>
          <cell r="H124">
            <v>297.04000000000002</v>
          </cell>
          <cell r="I124" t="str">
            <v>25J20-06</v>
          </cell>
          <cell r="J124">
            <v>171</v>
          </cell>
          <cell r="K124">
            <v>29</v>
          </cell>
          <cell r="O124">
            <v>200</v>
          </cell>
          <cell r="T124" t="str">
            <v>000000000008355</v>
          </cell>
        </row>
        <row r="125">
          <cell r="C125">
            <v>200</v>
          </cell>
          <cell r="D125">
            <v>45967</v>
          </cell>
          <cell r="E125" t="str">
            <v>25J20-06</v>
          </cell>
          <cell r="F125">
            <v>22</v>
          </cell>
          <cell r="G125">
            <v>297.04000000000002</v>
          </cell>
          <cell r="H125">
            <v>297.19</v>
          </cell>
          <cell r="O125">
            <v>30</v>
          </cell>
          <cell r="T125" t="str">
            <v>000000000008355</v>
          </cell>
        </row>
        <row r="126">
          <cell r="O126">
            <v>0</v>
          </cell>
          <cell r="T126" t="str">
            <v>000000000008355</v>
          </cell>
        </row>
        <row r="127">
          <cell r="C127">
            <v>6</v>
          </cell>
          <cell r="O127">
            <v>0</v>
          </cell>
          <cell r="T127" t="str">
            <v>000000000008355</v>
          </cell>
        </row>
        <row r="128">
          <cell r="C128" t="str">
            <v>LED-A300</v>
          </cell>
          <cell r="L128" t="str">
            <v>切断</v>
          </cell>
          <cell r="M128" t="str">
            <v>C</v>
          </cell>
          <cell r="O128">
            <v>29</v>
          </cell>
          <cell r="T128" t="str">
            <v>000000000008355</v>
          </cell>
        </row>
        <row r="129">
          <cell r="C129">
            <v>2</v>
          </cell>
          <cell r="L129" t="str">
            <v>検査</v>
          </cell>
          <cell r="M129" t="str">
            <v>U</v>
          </cell>
          <cell r="O129">
            <v>24</v>
          </cell>
          <cell r="T129" t="str">
            <v>000000000008355</v>
          </cell>
        </row>
        <row r="130">
          <cell r="L130" t="str">
            <v>α端材</v>
          </cell>
          <cell r="M130">
            <v>5</v>
          </cell>
          <cell r="O130">
            <v>5</v>
          </cell>
          <cell r="P130">
            <v>0</v>
          </cell>
          <cell r="T130" t="str">
            <v>000000000008355</v>
          </cell>
        </row>
        <row r="131">
          <cell r="C131" t="str">
            <v>8FL281304 4810　L=297</v>
          </cell>
          <cell r="L131" t="str">
            <v>25.11.06</v>
          </cell>
          <cell r="M131" t="str">
            <v>3箱</v>
          </cell>
          <cell r="O131">
            <v>0</v>
          </cell>
          <cell r="T131" t="str">
            <v>000000000008356</v>
          </cell>
        </row>
        <row r="132">
          <cell r="D132">
            <v>45967</v>
          </cell>
          <cell r="E132" t="str">
            <v>25J20-06</v>
          </cell>
          <cell r="F132">
            <v>22</v>
          </cell>
          <cell r="G132">
            <v>297.04000000000002</v>
          </cell>
          <cell r="H132">
            <v>297.01</v>
          </cell>
          <cell r="I132" t="str">
            <v>25J20-06</v>
          </cell>
          <cell r="J132">
            <v>300</v>
          </cell>
          <cell r="K132">
            <v>50</v>
          </cell>
          <cell r="O132">
            <v>300</v>
          </cell>
          <cell r="T132" t="str">
            <v>000000000008356</v>
          </cell>
        </row>
        <row r="133">
          <cell r="C133">
            <v>300</v>
          </cell>
          <cell r="D133">
            <v>45967</v>
          </cell>
          <cell r="E133" t="str">
            <v>25J20-06</v>
          </cell>
          <cell r="F133">
            <v>22</v>
          </cell>
          <cell r="G133">
            <v>297.04000000000002</v>
          </cell>
          <cell r="H133">
            <v>297.08</v>
          </cell>
          <cell r="O133">
            <v>50</v>
          </cell>
          <cell r="T133" t="str">
            <v>000000000008356</v>
          </cell>
        </row>
        <row r="134">
          <cell r="O134">
            <v>0</v>
          </cell>
          <cell r="T134" t="str">
            <v>000000000008356</v>
          </cell>
        </row>
        <row r="135">
          <cell r="C135">
            <v>6</v>
          </cell>
          <cell r="O135">
            <v>0</v>
          </cell>
          <cell r="T135" t="str">
            <v>000000000008356</v>
          </cell>
        </row>
        <row r="136">
          <cell r="C136" t="str">
            <v>LED-A300</v>
          </cell>
          <cell r="L136" t="str">
            <v>切断</v>
          </cell>
          <cell r="M136" t="str">
            <v>C</v>
          </cell>
          <cell r="O136">
            <v>0</v>
          </cell>
          <cell r="T136" t="str">
            <v>000000000008356</v>
          </cell>
        </row>
        <row r="137">
          <cell r="C137">
            <v>3</v>
          </cell>
          <cell r="L137" t="str">
            <v>検査</v>
          </cell>
          <cell r="M137" t="str">
            <v>U/T</v>
          </cell>
          <cell r="T137" t="str">
            <v>000000000008356</v>
          </cell>
        </row>
        <row r="138">
          <cell r="L138" t="str">
            <v>α端材</v>
          </cell>
          <cell r="O138">
            <v>0</v>
          </cell>
          <cell r="P138">
            <v>0</v>
          </cell>
          <cell r="T138" t="str">
            <v>000000000008356</v>
          </cell>
        </row>
        <row r="139">
          <cell r="C139" t="str">
            <v>8FL281304 5010　L=888</v>
          </cell>
          <cell r="D139">
            <v>45966</v>
          </cell>
          <cell r="E139" t="str">
            <v>25J20-06</v>
          </cell>
          <cell r="I139" t="str">
            <v>25J20-06</v>
          </cell>
          <cell r="J139">
            <v>1</v>
          </cell>
          <cell r="L139" t="str">
            <v>25.11.07</v>
          </cell>
          <cell r="M139" t="str">
            <v>16箱</v>
          </cell>
          <cell r="O139">
            <v>0</v>
          </cell>
          <cell r="P139">
            <v>4</v>
          </cell>
          <cell r="T139" t="str">
            <v>000000000008363</v>
          </cell>
        </row>
        <row r="140">
          <cell r="D140">
            <v>45967</v>
          </cell>
          <cell r="E140" t="str">
            <v>25J20-06</v>
          </cell>
          <cell r="F140">
            <v>22</v>
          </cell>
          <cell r="G140">
            <v>888.12</v>
          </cell>
          <cell r="H140">
            <v>888.27</v>
          </cell>
          <cell r="I140" t="str">
            <v>25J20-06</v>
          </cell>
          <cell r="J140">
            <v>1099</v>
          </cell>
          <cell r="K140">
            <v>550</v>
          </cell>
          <cell r="L140" t="str">
            <v>25.11.10</v>
          </cell>
          <cell r="M140" t="str">
            <v>4箱</v>
          </cell>
          <cell r="O140">
            <v>2000</v>
          </cell>
          <cell r="T140" t="str">
            <v>000000000008363</v>
          </cell>
        </row>
        <row r="141">
          <cell r="C141">
            <v>2000</v>
          </cell>
          <cell r="D141">
            <v>45967</v>
          </cell>
          <cell r="E141" t="str">
            <v>25J20-06</v>
          </cell>
          <cell r="F141">
            <v>22</v>
          </cell>
          <cell r="G141">
            <v>888.12</v>
          </cell>
          <cell r="H141">
            <v>888.13</v>
          </cell>
          <cell r="I141" t="str">
            <v>25J21-07</v>
          </cell>
          <cell r="J141">
            <v>911</v>
          </cell>
          <cell r="K141">
            <v>455</v>
          </cell>
          <cell r="O141">
            <v>1006</v>
          </cell>
          <cell r="P141">
            <v>4</v>
          </cell>
          <cell r="T141" t="str">
            <v>000000000008363</v>
          </cell>
        </row>
        <row r="142">
          <cell r="D142">
            <v>45967</v>
          </cell>
          <cell r="E142" t="str">
            <v>25J20-06</v>
          </cell>
          <cell r="F142">
            <v>20</v>
          </cell>
          <cell r="G142">
            <v>888</v>
          </cell>
          <cell r="H142">
            <v>888.37</v>
          </cell>
          <cell r="O142">
            <v>6</v>
          </cell>
          <cell r="T142" t="str">
            <v>000000000008363</v>
          </cell>
        </row>
        <row r="143">
          <cell r="C143">
            <v>2</v>
          </cell>
          <cell r="D143">
            <v>45968</v>
          </cell>
          <cell r="E143" t="str">
            <v>25J21-07</v>
          </cell>
          <cell r="F143">
            <v>20</v>
          </cell>
          <cell r="G143">
            <v>888</v>
          </cell>
          <cell r="H143">
            <v>888.27</v>
          </cell>
          <cell r="O143">
            <v>11</v>
          </cell>
          <cell r="T143" t="str">
            <v>000000000008363</v>
          </cell>
        </row>
        <row r="144">
          <cell r="C144" t="str">
            <v>LED-A888</v>
          </cell>
          <cell r="D144">
            <v>45968</v>
          </cell>
          <cell r="E144" t="str">
            <v>25J21-07</v>
          </cell>
          <cell r="F144">
            <v>20</v>
          </cell>
          <cell r="G144">
            <v>888</v>
          </cell>
          <cell r="H144">
            <v>888.22</v>
          </cell>
          <cell r="L144" t="str">
            <v>切断</v>
          </cell>
          <cell r="M144" t="str">
            <v>C/M</v>
          </cell>
          <cell r="O144">
            <v>1</v>
          </cell>
          <cell r="T144" t="str">
            <v>000000000008363</v>
          </cell>
        </row>
        <row r="145">
          <cell r="C145">
            <v>20</v>
          </cell>
          <cell r="D145">
            <v>45968</v>
          </cell>
          <cell r="E145" t="str">
            <v>25J21-07</v>
          </cell>
          <cell r="F145">
            <v>22</v>
          </cell>
          <cell r="G145">
            <v>888.12</v>
          </cell>
          <cell r="H145">
            <v>888.31</v>
          </cell>
          <cell r="L145" t="str">
            <v>検査</v>
          </cell>
          <cell r="M145" t="str">
            <v>T/U</v>
          </cell>
          <cell r="P145">
            <v>3</v>
          </cell>
          <cell r="T145" t="str">
            <v>000000000008363</v>
          </cell>
        </row>
        <row r="146">
          <cell r="L146" t="str">
            <v>α端材</v>
          </cell>
          <cell r="M146">
            <v>1</v>
          </cell>
          <cell r="O146">
            <v>1</v>
          </cell>
          <cell r="P146">
            <v>11</v>
          </cell>
          <cell r="T146" t="str">
            <v>000000000008363</v>
          </cell>
        </row>
        <row r="147">
          <cell r="C147" t="str">
            <v>灯具カバーPC IN 2130　L=908</v>
          </cell>
          <cell r="L147" t="str">
            <v>25.11.06</v>
          </cell>
          <cell r="M147" t="str">
            <v>11箱</v>
          </cell>
          <cell r="O147">
            <v>0</v>
          </cell>
          <cell r="P147">
            <v>6</v>
          </cell>
          <cell r="T147" t="str">
            <v>000000000008703</v>
          </cell>
        </row>
        <row r="148">
          <cell r="D148">
            <v>45967</v>
          </cell>
          <cell r="E148" t="str">
            <v>25J25-01</v>
          </cell>
          <cell r="I148" t="str">
            <v>25J25-01</v>
          </cell>
          <cell r="J148">
            <v>200</v>
          </cell>
          <cell r="K148">
            <v>200</v>
          </cell>
          <cell r="O148">
            <v>176</v>
          </cell>
          <cell r="P148">
            <v>18</v>
          </cell>
          <cell r="T148" t="str">
            <v>000000000008703</v>
          </cell>
        </row>
        <row r="149">
          <cell r="C149">
            <v>176</v>
          </cell>
          <cell r="O149">
            <v>200</v>
          </cell>
          <cell r="T149" t="str">
            <v>000000000008703</v>
          </cell>
        </row>
        <row r="150">
          <cell r="O150">
            <v>24</v>
          </cell>
          <cell r="T150" t="str">
            <v>000000000008703</v>
          </cell>
        </row>
        <row r="151">
          <cell r="C151">
            <v>1</v>
          </cell>
          <cell r="O151">
            <v>24</v>
          </cell>
          <cell r="T151" t="str">
            <v>000000000008703</v>
          </cell>
        </row>
        <row r="152">
          <cell r="C152" t="str">
            <v>灯具-3　L=970</v>
          </cell>
          <cell r="L152" t="str">
            <v>切断</v>
          </cell>
          <cell r="M152" t="str">
            <v>-</v>
          </cell>
          <cell r="O152">
            <v>0</v>
          </cell>
          <cell r="T152" t="str">
            <v>000000000008703</v>
          </cell>
        </row>
        <row r="153">
          <cell r="C153">
            <v>0</v>
          </cell>
          <cell r="L153" t="str">
            <v>検査</v>
          </cell>
          <cell r="M153" t="str">
            <v>C</v>
          </cell>
          <cell r="T153" t="str">
            <v>000000000008703</v>
          </cell>
        </row>
        <row r="154">
          <cell r="L154" t="str">
            <v>α端材</v>
          </cell>
          <cell r="O154">
            <v>0</v>
          </cell>
          <cell r="P154">
            <v>24</v>
          </cell>
          <cell r="T154" t="str">
            <v>000000000008703</v>
          </cell>
        </row>
        <row r="155">
          <cell r="C155" t="str">
            <v>灯具カバーPC IN 2130　L=908</v>
          </cell>
          <cell r="L155" t="str">
            <v>25.11.07</v>
          </cell>
          <cell r="M155" t="str">
            <v>9箱</v>
          </cell>
          <cell r="O155">
            <v>0</v>
          </cell>
          <cell r="P155">
            <v>24</v>
          </cell>
          <cell r="T155" t="str">
            <v>000000000008704</v>
          </cell>
        </row>
        <row r="156">
          <cell r="D156">
            <v>45968</v>
          </cell>
          <cell r="E156" t="str">
            <v>25J25-02</v>
          </cell>
          <cell r="I156" t="str">
            <v>25J25-02</v>
          </cell>
          <cell r="J156">
            <v>187</v>
          </cell>
          <cell r="K156">
            <v>187</v>
          </cell>
          <cell r="O156">
            <v>144</v>
          </cell>
          <cell r="P156">
            <v>17</v>
          </cell>
          <cell r="T156" t="str">
            <v>000000000008704</v>
          </cell>
        </row>
        <row r="157">
          <cell r="C157">
            <v>144</v>
          </cell>
          <cell r="O157">
            <v>187</v>
          </cell>
          <cell r="P157">
            <v>2</v>
          </cell>
          <cell r="T157" t="str">
            <v>000000000008704</v>
          </cell>
        </row>
        <row r="158">
          <cell r="O158">
            <v>43</v>
          </cell>
          <cell r="T158" t="str">
            <v>000000000008704</v>
          </cell>
        </row>
        <row r="159">
          <cell r="C159">
            <v>1</v>
          </cell>
          <cell r="O159">
            <v>43</v>
          </cell>
          <cell r="T159" t="str">
            <v>000000000008704</v>
          </cell>
        </row>
        <row r="160">
          <cell r="C160" t="str">
            <v>灯具-3　L=970</v>
          </cell>
          <cell r="L160" t="str">
            <v>切断</v>
          </cell>
          <cell r="M160" t="str">
            <v>-</v>
          </cell>
          <cell r="O160">
            <v>0</v>
          </cell>
          <cell r="T160" t="str">
            <v>000000000008704</v>
          </cell>
        </row>
        <row r="161">
          <cell r="C161">
            <v>0</v>
          </cell>
          <cell r="L161" t="str">
            <v>検査</v>
          </cell>
          <cell r="M161" t="str">
            <v>C</v>
          </cell>
          <cell r="T161" t="str">
            <v>000000000008704</v>
          </cell>
        </row>
        <row r="162">
          <cell r="L162" t="str">
            <v>α端材</v>
          </cell>
          <cell r="O162">
            <v>0</v>
          </cell>
          <cell r="P162">
            <v>43</v>
          </cell>
          <cell r="T162" t="str">
            <v>000000000008704</v>
          </cell>
        </row>
        <row r="163">
          <cell r="C163" t="str">
            <v>灯具カバーPC IN 2140　L=547</v>
          </cell>
          <cell r="D163">
            <v>45938</v>
          </cell>
          <cell r="E163" t="str">
            <v>25I25-01</v>
          </cell>
          <cell r="I163" t="str">
            <v>25I25-01</v>
          </cell>
          <cell r="J163">
            <v>14</v>
          </cell>
          <cell r="K163">
            <v>14</v>
          </cell>
          <cell r="L163" t="str">
            <v>25.11.10</v>
          </cell>
          <cell r="M163" t="str">
            <v>6箱</v>
          </cell>
          <cell r="O163">
            <v>0</v>
          </cell>
          <cell r="P163">
            <v>1</v>
          </cell>
          <cell r="T163" t="str">
            <v>000000000008701</v>
          </cell>
        </row>
        <row r="164">
          <cell r="D164">
            <v>45971</v>
          </cell>
          <cell r="E164" t="str">
            <v>25J24-01</v>
          </cell>
          <cell r="I164" t="str">
            <v>25J24-01</v>
          </cell>
          <cell r="J164">
            <v>85</v>
          </cell>
          <cell r="K164">
            <v>85</v>
          </cell>
          <cell r="O164">
            <v>96</v>
          </cell>
          <cell r="P164">
            <v>2</v>
          </cell>
          <cell r="T164" t="str">
            <v>000000000008701</v>
          </cell>
        </row>
        <row r="165">
          <cell r="C165">
            <v>96</v>
          </cell>
          <cell r="O165">
            <v>99</v>
          </cell>
          <cell r="T165" t="str">
            <v>000000000008701</v>
          </cell>
        </row>
        <row r="166">
          <cell r="O166">
            <v>3</v>
          </cell>
          <cell r="T166" t="str">
            <v>000000000008701</v>
          </cell>
        </row>
        <row r="167">
          <cell r="C167">
            <v>1</v>
          </cell>
          <cell r="O167">
            <v>3</v>
          </cell>
          <cell r="T167" t="str">
            <v>000000000008701</v>
          </cell>
        </row>
        <row r="168">
          <cell r="C168" t="str">
            <v>灯具-1　L=1370</v>
          </cell>
          <cell r="L168" t="str">
            <v>切断</v>
          </cell>
          <cell r="M168" t="str">
            <v>-</v>
          </cell>
          <cell r="O168">
            <v>0</v>
          </cell>
          <cell r="T168" t="str">
            <v>000000000008701</v>
          </cell>
        </row>
        <row r="169">
          <cell r="C169">
            <v>0</v>
          </cell>
          <cell r="L169" t="str">
            <v>検査</v>
          </cell>
          <cell r="M169" t="str">
            <v>C</v>
          </cell>
          <cell r="T169" t="str">
            <v>000000000008701</v>
          </cell>
        </row>
        <row r="170">
          <cell r="L170" t="str">
            <v>α端材</v>
          </cell>
          <cell r="O170">
            <v>0</v>
          </cell>
          <cell r="P170">
            <v>3</v>
          </cell>
          <cell r="T170" t="str">
            <v>000000000008701</v>
          </cell>
        </row>
        <row r="171">
          <cell r="C171" t="str">
            <v>PK-59827 L=700</v>
          </cell>
          <cell r="D171">
            <v>45922</v>
          </cell>
          <cell r="E171" t="str">
            <v>25I05-02</v>
          </cell>
          <cell r="I171" t="str">
            <v>25I05-02</v>
          </cell>
          <cell r="J171">
            <v>19</v>
          </cell>
          <cell r="K171">
            <v>9</v>
          </cell>
          <cell r="L171" t="str">
            <v>25.11.10</v>
          </cell>
          <cell r="M171" t="str">
            <v>15箱</v>
          </cell>
          <cell r="O171">
            <v>0</v>
          </cell>
          <cell r="P171">
            <v>34</v>
          </cell>
          <cell r="T171" t="str">
            <v>000000000008411</v>
          </cell>
        </row>
        <row r="172">
          <cell r="D172">
            <v>45968</v>
          </cell>
          <cell r="E172" t="str">
            <v>25J28</v>
          </cell>
          <cell r="F172">
            <v>21</v>
          </cell>
          <cell r="G172">
            <v>699.9</v>
          </cell>
          <cell r="H172">
            <v>700.16</v>
          </cell>
          <cell r="I172" t="str">
            <v>25J28</v>
          </cell>
          <cell r="J172">
            <v>352</v>
          </cell>
          <cell r="K172">
            <v>176</v>
          </cell>
          <cell r="L172" t="str">
            <v>25.11.11</v>
          </cell>
          <cell r="M172" t="str">
            <v>15箱</v>
          </cell>
          <cell r="O172">
            <v>1020</v>
          </cell>
          <cell r="P172">
            <v>1</v>
          </cell>
          <cell r="T172" t="str">
            <v>000000000008411</v>
          </cell>
        </row>
        <row r="173">
          <cell r="C173">
            <v>1020</v>
          </cell>
          <cell r="D173">
            <v>45968</v>
          </cell>
          <cell r="E173" t="str">
            <v>25J28</v>
          </cell>
          <cell r="F173">
            <v>21</v>
          </cell>
          <cell r="G173">
            <v>699.9</v>
          </cell>
          <cell r="H173">
            <v>700.1</v>
          </cell>
          <cell r="I173" t="str">
            <v>25K04</v>
          </cell>
          <cell r="J173">
            <v>723</v>
          </cell>
          <cell r="K173">
            <v>362</v>
          </cell>
          <cell r="O173">
            <v>547</v>
          </cell>
          <cell r="P173">
            <v>10</v>
          </cell>
          <cell r="T173" t="str">
            <v>000000000008411</v>
          </cell>
        </row>
        <row r="174">
          <cell r="D174">
            <v>45971</v>
          </cell>
          <cell r="E174" t="str">
            <v>25J28</v>
          </cell>
          <cell r="F174">
            <v>15</v>
          </cell>
          <cell r="G174">
            <v>699.61</v>
          </cell>
          <cell r="H174">
            <v>700.2</v>
          </cell>
          <cell r="O174">
            <v>37</v>
          </cell>
          <cell r="T174" t="str">
            <v>000000000008411</v>
          </cell>
        </row>
        <row r="175">
          <cell r="C175">
            <v>2</v>
          </cell>
          <cell r="D175">
            <v>45971</v>
          </cell>
          <cell r="E175" t="str">
            <v>25K04</v>
          </cell>
          <cell r="F175">
            <v>23</v>
          </cell>
          <cell r="G175">
            <v>700</v>
          </cell>
          <cell r="H175">
            <v>700.22</v>
          </cell>
          <cell r="O175">
            <v>74</v>
          </cell>
          <cell r="T175" t="str">
            <v>000000000008411</v>
          </cell>
        </row>
        <row r="176">
          <cell r="C176" t="str">
            <v>PK-59827 L=700用</v>
          </cell>
          <cell r="D176">
            <v>45971</v>
          </cell>
          <cell r="E176" t="str">
            <v>25K04</v>
          </cell>
          <cell r="F176">
            <v>21</v>
          </cell>
          <cell r="G176">
            <v>699.9</v>
          </cell>
          <cell r="H176">
            <v>700.2</v>
          </cell>
          <cell r="L176" t="str">
            <v>切断</v>
          </cell>
          <cell r="M176" t="str">
            <v>C/M</v>
          </cell>
          <cell r="O176">
            <v>1</v>
          </cell>
          <cell r="T176" t="str">
            <v>000000000008411</v>
          </cell>
        </row>
        <row r="177">
          <cell r="C177">
            <v>0</v>
          </cell>
          <cell r="L177" t="str">
            <v>検査</v>
          </cell>
          <cell r="M177" t="str">
            <v>T/U</v>
          </cell>
          <cell r="P177">
            <v>29</v>
          </cell>
          <cell r="T177" t="str">
            <v>000000000008411</v>
          </cell>
        </row>
        <row r="178">
          <cell r="L178" t="str">
            <v>α端材</v>
          </cell>
          <cell r="M178">
            <v>1</v>
          </cell>
          <cell r="O178">
            <v>1</v>
          </cell>
          <cell r="P178">
            <v>74</v>
          </cell>
          <cell r="T178" t="str">
            <v>000000000008411</v>
          </cell>
        </row>
        <row r="179">
          <cell r="C179" t="str">
            <v>採光ルーバーパネルB　L=1996</v>
          </cell>
          <cell r="D179">
            <v>45953</v>
          </cell>
          <cell r="E179" t="str">
            <v>25J14-03</v>
          </cell>
          <cell r="I179" t="str">
            <v>25J14-03</v>
          </cell>
          <cell r="J179">
            <v>4</v>
          </cell>
          <cell r="K179">
            <v>4</v>
          </cell>
          <cell r="L179" t="str">
            <v>25.11.12</v>
          </cell>
          <cell r="M179" t="str">
            <v>6箱</v>
          </cell>
          <cell r="O179">
            <v>0</v>
          </cell>
          <cell r="P179">
            <v>7</v>
          </cell>
          <cell r="T179" t="str">
            <v>000000000008853</v>
          </cell>
        </row>
        <row r="180">
          <cell r="D180">
            <v>45972</v>
          </cell>
          <cell r="E180" t="str">
            <v>25K08-01</v>
          </cell>
          <cell r="F180">
            <v>20</v>
          </cell>
          <cell r="G180">
            <v>1996</v>
          </cell>
          <cell r="H180">
            <v>1996.4</v>
          </cell>
          <cell r="I180" t="str">
            <v>25K08-01</v>
          </cell>
          <cell r="J180">
            <v>292</v>
          </cell>
          <cell r="K180">
            <v>292</v>
          </cell>
          <cell r="O180">
            <v>252</v>
          </cell>
          <cell r="P180">
            <v>37</v>
          </cell>
          <cell r="T180" t="str">
            <v>000000000008853</v>
          </cell>
        </row>
        <row r="181">
          <cell r="C181">
            <v>252</v>
          </cell>
          <cell r="D181">
            <v>45972</v>
          </cell>
          <cell r="E181" t="str">
            <v>25K08-01</v>
          </cell>
          <cell r="F181">
            <v>20</v>
          </cell>
          <cell r="G181">
            <v>1996</v>
          </cell>
          <cell r="H181">
            <v>1996.7</v>
          </cell>
          <cell r="O181">
            <v>296</v>
          </cell>
          <cell r="T181" t="str">
            <v>000000000008853</v>
          </cell>
        </row>
        <row r="182">
          <cell r="O182">
            <v>44</v>
          </cell>
          <cell r="T182" t="str">
            <v>000000000008853</v>
          </cell>
        </row>
        <row r="183">
          <cell r="C183">
            <v>1</v>
          </cell>
          <cell r="O183">
            <v>44</v>
          </cell>
          <cell r="T183" t="str">
            <v>000000000008853</v>
          </cell>
        </row>
        <row r="184">
          <cell r="C184" t="str">
            <v>上-1</v>
          </cell>
          <cell r="L184" t="str">
            <v>切断</v>
          </cell>
          <cell r="M184" t="str">
            <v>M</v>
          </cell>
          <cell r="O184">
            <v>0</v>
          </cell>
          <cell r="T184" t="str">
            <v>000000000008853</v>
          </cell>
        </row>
        <row r="185">
          <cell r="C185">
            <v>0</v>
          </cell>
          <cell r="L185" t="str">
            <v>検査</v>
          </cell>
          <cell r="M185" t="str">
            <v>T</v>
          </cell>
          <cell r="T185" t="str">
            <v>000000000008853</v>
          </cell>
        </row>
        <row r="186">
          <cell r="L186" t="str">
            <v>α端材</v>
          </cell>
          <cell r="O186">
            <v>0</v>
          </cell>
          <cell r="P186">
            <v>44</v>
          </cell>
          <cell r="T186" t="str">
            <v>000000000008853</v>
          </cell>
        </row>
        <row r="187">
          <cell r="C187" t="str">
            <v>採光ルーバーパネルB　L=1996</v>
          </cell>
          <cell r="D187">
            <v>45972</v>
          </cell>
          <cell r="E187" t="str">
            <v>25K08-01</v>
          </cell>
          <cell r="I187" t="str">
            <v>25K08-01</v>
          </cell>
          <cell r="J187">
            <v>8</v>
          </cell>
          <cell r="K187">
            <v>8</v>
          </cell>
          <cell r="L187" t="str">
            <v>25.11.13</v>
          </cell>
          <cell r="M187" t="str">
            <v>6箱</v>
          </cell>
          <cell r="O187">
            <v>0</v>
          </cell>
          <cell r="P187">
            <v>6</v>
          </cell>
          <cell r="T187" t="str">
            <v>000000000008854</v>
          </cell>
        </row>
        <row r="188">
          <cell r="D188">
            <v>45973</v>
          </cell>
          <cell r="E188" t="str">
            <v>25K08-02</v>
          </cell>
          <cell r="F188">
            <v>20</v>
          </cell>
          <cell r="G188">
            <v>1996</v>
          </cell>
          <cell r="H188">
            <v>1996.7</v>
          </cell>
          <cell r="I188" t="str">
            <v>25K08-02</v>
          </cell>
          <cell r="J188">
            <v>287</v>
          </cell>
          <cell r="K188">
            <v>287</v>
          </cell>
          <cell r="O188">
            <v>252</v>
          </cell>
          <cell r="P188">
            <v>36</v>
          </cell>
          <cell r="T188" t="str">
            <v>000000000008854</v>
          </cell>
        </row>
        <row r="189">
          <cell r="C189">
            <v>252</v>
          </cell>
          <cell r="D189">
            <v>45973</v>
          </cell>
          <cell r="E189" t="str">
            <v>25K08-02</v>
          </cell>
          <cell r="F189">
            <v>18</v>
          </cell>
          <cell r="G189">
            <v>1995.74</v>
          </cell>
          <cell r="H189">
            <v>1996.6</v>
          </cell>
          <cell r="O189">
            <v>295</v>
          </cell>
          <cell r="P189">
            <v>1</v>
          </cell>
          <cell r="T189" t="str">
            <v>000000000008854</v>
          </cell>
        </row>
        <row r="190">
          <cell r="O190">
            <v>43</v>
          </cell>
          <cell r="T190" t="str">
            <v>000000000008854</v>
          </cell>
        </row>
        <row r="191">
          <cell r="C191">
            <v>1</v>
          </cell>
          <cell r="O191">
            <v>43</v>
          </cell>
          <cell r="T191" t="str">
            <v>000000000008854</v>
          </cell>
        </row>
        <row r="192">
          <cell r="C192" t="str">
            <v>上-1</v>
          </cell>
          <cell r="L192" t="str">
            <v>切断</v>
          </cell>
          <cell r="M192" t="str">
            <v>M</v>
          </cell>
          <cell r="O192">
            <v>0</v>
          </cell>
          <cell r="T192" t="str">
            <v>000000000008854</v>
          </cell>
        </row>
        <row r="193">
          <cell r="C193">
            <v>0</v>
          </cell>
          <cell r="L193" t="str">
            <v>検査</v>
          </cell>
          <cell r="M193" t="str">
            <v>T</v>
          </cell>
          <cell r="T193" t="str">
            <v>000000000008854</v>
          </cell>
        </row>
        <row r="194">
          <cell r="L194" t="str">
            <v>α端材</v>
          </cell>
          <cell r="O194">
            <v>0</v>
          </cell>
          <cell r="P194">
            <v>43</v>
          </cell>
          <cell r="T194" t="str">
            <v>000000000008854</v>
          </cell>
        </row>
        <row r="195">
          <cell r="C195" t="str">
            <v>灯具カバーPC IN 2050　L=1183.5</v>
          </cell>
          <cell r="D195">
            <v>45954</v>
          </cell>
          <cell r="E195" t="str">
            <v>25J02-01</v>
          </cell>
          <cell r="I195" t="str">
            <v>25J02-01</v>
          </cell>
          <cell r="J195">
            <v>9</v>
          </cell>
          <cell r="K195">
            <v>9</v>
          </cell>
          <cell r="L195" t="str">
            <v>25.11.11</v>
          </cell>
          <cell r="M195" t="str">
            <v>11箱</v>
          </cell>
          <cell r="O195">
            <v>0</v>
          </cell>
          <cell r="P195">
            <v>16</v>
          </cell>
          <cell r="T195" t="str">
            <v>000000000008706</v>
          </cell>
        </row>
        <row r="196">
          <cell r="D196">
            <v>45971</v>
          </cell>
          <cell r="E196" t="str">
            <v>25J24-01</v>
          </cell>
          <cell r="I196" t="str">
            <v>25J24-01</v>
          </cell>
          <cell r="J196">
            <v>196</v>
          </cell>
          <cell r="K196">
            <v>196</v>
          </cell>
          <cell r="O196">
            <v>176</v>
          </cell>
          <cell r="P196">
            <v>12</v>
          </cell>
          <cell r="T196" t="str">
            <v>000000000008706</v>
          </cell>
        </row>
        <row r="197">
          <cell r="C197">
            <v>176</v>
          </cell>
          <cell r="O197">
            <v>205</v>
          </cell>
          <cell r="T197" t="str">
            <v>000000000008706</v>
          </cell>
        </row>
        <row r="198">
          <cell r="O198">
            <v>29</v>
          </cell>
          <cell r="T198" t="str">
            <v>000000000008706</v>
          </cell>
        </row>
        <row r="199">
          <cell r="C199">
            <v>1</v>
          </cell>
          <cell r="O199">
            <v>29</v>
          </cell>
          <cell r="T199" t="str">
            <v>000000000008706</v>
          </cell>
        </row>
        <row r="200">
          <cell r="C200" t="str">
            <v>灯具-1　L=1370</v>
          </cell>
          <cell r="L200" t="str">
            <v>切断</v>
          </cell>
          <cell r="M200" t="str">
            <v>-</v>
          </cell>
          <cell r="O200">
            <v>0</v>
          </cell>
          <cell r="T200" t="str">
            <v>000000000008706</v>
          </cell>
        </row>
        <row r="201">
          <cell r="C201">
            <v>0</v>
          </cell>
          <cell r="L201" t="str">
            <v>検査</v>
          </cell>
          <cell r="M201" t="str">
            <v>C</v>
          </cell>
          <cell r="P201">
            <v>1</v>
          </cell>
          <cell r="T201" t="str">
            <v>000000000008706</v>
          </cell>
        </row>
        <row r="202">
          <cell r="L202" t="str">
            <v>α端材</v>
          </cell>
          <cell r="O202">
            <v>0</v>
          </cell>
          <cell r="P202">
            <v>29</v>
          </cell>
          <cell r="T202" t="str">
            <v>000000000008706</v>
          </cell>
        </row>
        <row r="203">
          <cell r="C203" t="str">
            <v>灯具カバーPC IN 2070　L=1966</v>
          </cell>
          <cell r="D203">
            <v>45965</v>
          </cell>
          <cell r="E203" t="str">
            <v>25J02-2</v>
          </cell>
          <cell r="I203" t="str">
            <v>25J02-2</v>
          </cell>
          <cell r="J203">
            <v>10</v>
          </cell>
          <cell r="K203">
            <v>10</v>
          </cell>
          <cell r="L203" t="str">
            <v>25.11.14</v>
          </cell>
          <cell r="M203" t="str">
            <v>9箱</v>
          </cell>
          <cell r="O203">
            <v>0</v>
          </cell>
          <cell r="P203">
            <v>17</v>
          </cell>
          <cell r="T203" t="str">
            <v>000000000008712</v>
          </cell>
        </row>
        <row r="204">
          <cell r="D204">
            <v>45975</v>
          </cell>
          <cell r="E204" t="str">
            <v>25J25-01</v>
          </cell>
          <cell r="I204" t="str">
            <v>25J25-01</v>
          </cell>
          <cell r="J204">
            <v>195</v>
          </cell>
          <cell r="K204">
            <v>195</v>
          </cell>
          <cell r="L204" t="str">
            <v>25.11.17</v>
          </cell>
          <cell r="M204" t="str">
            <v>2箱</v>
          </cell>
          <cell r="O204">
            <v>176</v>
          </cell>
          <cell r="P204">
            <v>12</v>
          </cell>
          <cell r="T204" t="str">
            <v>000000000008712</v>
          </cell>
        </row>
        <row r="205">
          <cell r="C205">
            <v>176</v>
          </cell>
          <cell r="D205">
            <v>45978</v>
          </cell>
          <cell r="E205" t="str">
            <v>25J25-01</v>
          </cell>
          <cell r="O205">
            <v>205</v>
          </cell>
          <cell r="T205" t="str">
            <v>000000000008712</v>
          </cell>
        </row>
        <row r="206">
          <cell r="O206">
            <v>29</v>
          </cell>
          <cell r="T206" t="str">
            <v>000000000008712</v>
          </cell>
        </row>
        <row r="207">
          <cell r="C207">
            <v>1</v>
          </cell>
          <cell r="O207">
            <v>29</v>
          </cell>
          <cell r="T207" t="str">
            <v>000000000008712</v>
          </cell>
        </row>
        <row r="208">
          <cell r="C208" t="str">
            <v>灯具-2　L＝1996</v>
          </cell>
          <cell r="L208" t="str">
            <v>切断</v>
          </cell>
          <cell r="M208" t="str">
            <v>-</v>
          </cell>
          <cell r="O208">
            <v>0</v>
          </cell>
          <cell r="T208" t="str">
            <v>000000000008712</v>
          </cell>
        </row>
        <row r="209">
          <cell r="C209">
            <v>0</v>
          </cell>
          <cell r="L209" t="str">
            <v>検査</v>
          </cell>
          <cell r="M209" t="str">
            <v>T</v>
          </cell>
          <cell r="T209" t="str">
            <v>000000000008712</v>
          </cell>
        </row>
        <row r="210">
          <cell r="L210" t="str">
            <v>α端材</v>
          </cell>
          <cell r="O210">
            <v>0</v>
          </cell>
          <cell r="P210">
            <v>29</v>
          </cell>
          <cell r="T210" t="str">
            <v>000000000008712</v>
          </cell>
        </row>
        <row r="211">
          <cell r="C211" t="str">
            <v>灯具カバーPC IN 2090　L=840</v>
          </cell>
          <cell r="D211">
            <v>45950</v>
          </cell>
          <cell r="E211" t="str">
            <v>25J02-01</v>
          </cell>
          <cell r="I211" t="str">
            <v>25J02-01</v>
          </cell>
          <cell r="J211">
            <v>3</v>
          </cell>
          <cell r="K211">
            <v>3</v>
          </cell>
          <cell r="L211" t="str">
            <v>25.11.13</v>
          </cell>
          <cell r="M211" t="str">
            <v>9箱</v>
          </cell>
          <cell r="O211">
            <v>0</v>
          </cell>
          <cell r="P211">
            <v>16</v>
          </cell>
          <cell r="T211" t="str">
            <v>000000000008702</v>
          </cell>
        </row>
        <row r="212">
          <cell r="D212">
            <v>45974</v>
          </cell>
          <cell r="E212" t="str">
            <v>25J25-01</v>
          </cell>
          <cell r="I212" t="str">
            <v>25J25-01</v>
          </cell>
          <cell r="J212">
            <v>196</v>
          </cell>
          <cell r="K212">
            <v>196</v>
          </cell>
          <cell r="L212" t="str">
            <v>25.11.14</v>
          </cell>
          <cell r="M212" t="str">
            <v>2箱</v>
          </cell>
          <cell r="O212">
            <v>176</v>
          </cell>
          <cell r="P212">
            <v>7</v>
          </cell>
          <cell r="T212" t="str">
            <v>000000000008702</v>
          </cell>
        </row>
        <row r="213">
          <cell r="C213">
            <v>176</v>
          </cell>
          <cell r="D213">
            <v>45975</v>
          </cell>
          <cell r="E213" t="str">
            <v>25J25-01</v>
          </cell>
          <cell r="O213">
            <v>199</v>
          </cell>
          <cell r="T213" t="str">
            <v>000000000008702</v>
          </cell>
        </row>
        <row r="214">
          <cell r="O214">
            <v>23</v>
          </cell>
          <cell r="T214" t="str">
            <v>000000000008702</v>
          </cell>
        </row>
        <row r="215">
          <cell r="C215">
            <v>1</v>
          </cell>
          <cell r="O215">
            <v>23</v>
          </cell>
          <cell r="T215" t="str">
            <v>000000000008702</v>
          </cell>
        </row>
        <row r="216">
          <cell r="C216" t="str">
            <v>灯具-3　L=970</v>
          </cell>
          <cell r="L216" t="str">
            <v>切断</v>
          </cell>
          <cell r="M216" t="str">
            <v>-</v>
          </cell>
          <cell r="O216">
            <v>0</v>
          </cell>
          <cell r="T216" t="str">
            <v>000000000008702</v>
          </cell>
        </row>
        <row r="217">
          <cell r="C217">
            <v>0</v>
          </cell>
          <cell r="L217" t="str">
            <v>検査</v>
          </cell>
          <cell r="M217" t="str">
            <v>T/M</v>
          </cell>
          <cell r="T217" t="str">
            <v>000000000008702</v>
          </cell>
        </row>
        <row r="218">
          <cell r="L218" t="str">
            <v>α端材</v>
          </cell>
          <cell r="O218">
            <v>0</v>
          </cell>
          <cell r="P218">
            <v>23</v>
          </cell>
          <cell r="T218" t="str">
            <v>000000000008702</v>
          </cell>
        </row>
        <row r="219">
          <cell r="C219" t="str">
            <v>灯具カバーPC  　7530    L=565</v>
          </cell>
          <cell r="L219" t="str">
            <v>25.11.12</v>
          </cell>
          <cell r="M219" t="str">
            <v>10箱</v>
          </cell>
          <cell r="O219">
            <v>0</v>
          </cell>
          <cell r="T219" t="str">
            <v>000000000008700</v>
          </cell>
        </row>
        <row r="220">
          <cell r="D220">
            <v>45972</v>
          </cell>
          <cell r="E220" t="str">
            <v>25J24-01</v>
          </cell>
          <cell r="F220">
            <v>20</v>
          </cell>
          <cell r="G220">
            <v>565</v>
          </cell>
          <cell r="H220">
            <v>565.02</v>
          </cell>
          <cell r="I220" t="str">
            <v>25J24-01</v>
          </cell>
          <cell r="J220">
            <v>20</v>
          </cell>
          <cell r="K220">
            <v>10</v>
          </cell>
          <cell r="O220">
            <v>20</v>
          </cell>
          <cell r="T220" t="str">
            <v>000000000008700</v>
          </cell>
        </row>
        <row r="221">
          <cell r="C221">
            <v>20</v>
          </cell>
          <cell r="D221">
            <v>45972</v>
          </cell>
          <cell r="E221" t="str">
            <v>25J24-01</v>
          </cell>
          <cell r="F221">
            <v>20</v>
          </cell>
          <cell r="G221">
            <v>565</v>
          </cell>
          <cell r="H221">
            <v>565.20000000000005</v>
          </cell>
          <cell r="O221">
            <v>10</v>
          </cell>
          <cell r="T221" t="str">
            <v>000000000008700</v>
          </cell>
        </row>
        <row r="222">
          <cell r="O222">
            <v>0</v>
          </cell>
          <cell r="T222" t="str">
            <v>000000000008700</v>
          </cell>
        </row>
        <row r="223">
          <cell r="C223">
            <v>2</v>
          </cell>
          <cell r="O223">
            <v>0</v>
          </cell>
          <cell r="T223" t="str">
            <v>000000000008700</v>
          </cell>
        </row>
        <row r="224">
          <cell r="C224" t="str">
            <v>H型ジョイナー端材</v>
          </cell>
          <cell r="L224" t="str">
            <v>切断</v>
          </cell>
          <cell r="M224" t="str">
            <v>M</v>
          </cell>
          <cell r="O224">
            <v>0</v>
          </cell>
          <cell r="T224" t="str">
            <v>000000000008700</v>
          </cell>
        </row>
        <row r="225">
          <cell r="C225">
            <v>0</v>
          </cell>
          <cell r="L225" t="str">
            <v>検査</v>
          </cell>
          <cell r="M225" t="str">
            <v>T</v>
          </cell>
          <cell r="T225" t="str">
            <v>000000000008700</v>
          </cell>
        </row>
        <row r="226">
          <cell r="L226" t="str">
            <v>α端材</v>
          </cell>
          <cell r="O226">
            <v>0</v>
          </cell>
          <cell r="P226">
            <v>0</v>
          </cell>
          <cell r="T226" t="str">
            <v>000000000008700</v>
          </cell>
        </row>
        <row r="227">
          <cell r="C227" t="str">
            <v>灯具カバーPC  　2200    L=221.8</v>
          </cell>
          <cell r="L227" t="str">
            <v>25.11.12</v>
          </cell>
          <cell r="M227" t="str">
            <v>10箱</v>
          </cell>
          <cell r="O227">
            <v>0</v>
          </cell>
          <cell r="T227" t="str">
            <v>000000000008699</v>
          </cell>
        </row>
        <row r="228">
          <cell r="D228">
            <v>45972</v>
          </cell>
          <cell r="E228" t="str">
            <v>25J24-01</v>
          </cell>
          <cell r="F228">
            <v>20</v>
          </cell>
          <cell r="G228">
            <v>221.8</v>
          </cell>
          <cell r="H228">
            <v>220.43</v>
          </cell>
          <cell r="I228" t="str">
            <v>25J24-01</v>
          </cell>
          <cell r="J228">
            <v>20</v>
          </cell>
          <cell r="K228">
            <v>10</v>
          </cell>
          <cell r="O228">
            <v>20</v>
          </cell>
          <cell r="T228" t="str">
            <v>000000000008699</v>
          </cell>
        </row>
        <row r="229">
          <cell r="C229">
            <v>20</v>
          </cell>
          <cell r="D229">
            <v>45972</v>
          </cell>
          <cell r="E229" t="str">
            <v>25J24-01</v>
          </cell>
          <cell r="F229">
            <v>20</v>
          </cell>
          <cell r="G229">
            <v>221.8</v>
          </cell>
          <cell r="H229">
            <v>221.14</v>
          </cell>
          <cell r="O229">
            <v>10</v>
          </cell>
          <cell r="T229" t="str">
            <v>000000000008699</v>
          </cell>
        </row>
        <row r="230">
          <cell r="D230">
            <v>45973</v>
          </cell>
          <cell r="E230" t="str">
            <v>25J24-01</v>
          </cell>
          <cell r="F230">
            <v>20</v>
          </cell>
          <cell r="G230">
            <v>221.8</v>
          </cell>
          <cell r="H230">
            <v>221.14</v>
          </cell>
          <cell r="O230">
            <v>0</v>
          </cell>
          <cell r="T230" t="str">
            <v>000000000008699</v>
          </cell>
        </row>
        <row r="231">
          <cell r="C231">
            <v>2</v>
          </cell>
          <cell r="D231">
            <v>45973</v>
          </cell>
          <cell r="E231" t="str">
            <v>25J24-01</v>
          </cell>
          <cell r="F231">
            <v>20</v>
          </cell>
          <cell r="G231">
            <v>221.8</v>
          </cell>
          <cell r="H231">
            <v>221.15</v>
          </cell>
          <cell r="O231">
            <v>0</v>
          </cell>
          <cell r="T231" t="str">
            <v>000000000008699</v>
          </cell>
        </row>
        <row r="232">
          <cell r="C232" t="str">
            <v>H型ジョイナー端材</v>
          </cell>
          <cell r="L232" t="str">
            <v>切断</v>
          </cell>
          <cell r="M232" t="str">
            <v>M</v>
          </cell>
          <cell r="O232">
            <v>0</v>
          </cell>
          <cell r="T232" t="str">
            <v>000000000008699</v>
          </cell>
        </row>
        <row r="233">
          <cell r="C233">
            <v>0</v>
          </cell>
          <cell r="L233" t="str">
            <v>検査</v>
          </cell>
          <cell r="M233" t="str">
            <v>T</v>
          </cell>
          <cell r="T233" t="str">
            <v>000000000008699</v>
          </cell>
        </row>
        <row r="234">
          <cell r="L234" t="str">
            <v>α端材</v>
          </cell>
          <cell r="O234">
            <v>0</v>
          </cell>
          <cell r="P234">
            <v>0</v>
          </cell>
          <cell r="T234" t="str">
            <v>000000000008699</v>
          </cell>
        </row>
        <row r="235">
          <cell r="C235" t="str">
            <v>8FL281304 6110　L=1478</v>
          </cell>
          <cell r="D235">
            <v>45967</v>
          </cell>
          <cell r="E235" t="str">
            <v>25J19-05</v>
          </cell>
          <cell r="I235" t="str">
            <v>25J19-05</v>
          </cell>
          <cell r="J235">
            <v>8</v>
          </cell>
          <cell r="K235">
            <v>8</v>
          </cell>
          <cell r="L235" t="str">
            <v>25.11.17</v>
          </cell>
          <cell r="M235" t="str">
            <v>2箱</v>
          </cell>
          <cell r="O235">
            <v>0</v>
          </cell>
          <cell r="P235">
            <v>1</v>
          </cell>
          <cell r="T235" t="str">
            <v>000000000008803</v>
          </cell>
        </row>
        <row r="236">
          <cell r="D236">
            <v>45975</v>
          </cell>
          <cell r="E236" t="str">
            <v>25J21-07</v>
          </cell>
          <cell r="F236">
            <v>22</v>
          </cell>
          <cell r="G236">
            <v>1478.19</v>
          </cell>
          <cell r="H236">
            <v>1478.05</v>
          </cell>
          <cell r="I236" t="str">
            <v>25J21-07</v>
          </cell>
          <cell r="J236">
            <v>194</v>
          </cell>
          <cell r="K236">
            <v>194</v>
          </cell>
          <cell r="O236">
            <v>200</v>
          </cell>
          <cell r="P236">
            <v>1</v>
          </cell>
          <cell r="T236" t="str">
            <v>000000000008803</v>
          </cell>
        </row>
        <row r="237">
          <cell r="C237">
            <v>200</v>
          </cell>
          <cell r="D237">
            <v>45975</v>
          </cell>
          <cell r="E237" t="str">
            <v>25J21-07</v>
          </cell>
          <cell r="F237">
            <v>20</v>
          </cell>
          <cell r="G237">
            <v>1478</v>
          </cell>
          <cell r="H237">
            <v>1478.07</v>
          </cell>
          <cell r="O237">
            <v>202</v>
          </cell>
          <cell r="T237" t="str">
            <v>000000000008803</v>
          </cell>
        </row>
        <row r="238">
          <cell r="O238">
            <v>2</v>
          </cell>
          <cell r="T238" t="str">
            <v>000000000008803</v>
          </cell>
        </row>
        <row r="239">
          <cell r="C239">
            <v>1</v>
          </cell>
          <cell r="O239">
            <v>2</v>
          </cell>
          <cell r="T239" t="str">
            <v>000000000008803</v>
          </cell>
        </row>
        <row r="240">
          <cell r="C240" t="str">
            <v>LED-A1478</v>
          </cell>
          <cell r="L240" t="str">
            <v>切断</v>
          </cell>
          <cell r="M240" t="str">
            <v>M</v>
          </cell>
          <cell r="O240">
            <v>0</v>
          </cell>
          <cell r="T240" t="str">
            <v>000000000008803</v>
          </cell>
        </row>
        <row r="241">
          <cell r="C241">
            <v>0</v>
          </cell>
          <cell r="L241" t="str">
            <v>検査</v>
          </cell>
          <cell r="M241" t="str">
            <v>T</v>
          </cell>
          <cell r="T241" t="str">
            <v>000000000008803</v>
          </cell>
        </row>
        <row r="242">
          <cell r="L242" t="str">
            <v>α端材</v>
          </cell>
          <cell r="O242">
            <v>0</v>
          </cell>
          <cell r="P242">
            <v>2</v>
          </cell>
          <cell r="T242" t="str">
            <v>000000000008803</v>
          </cell>
        </row>
        <row r="243">
          <cell r="C243" t="str">
            <v>8FL281304 5010　L=888</v>
          </cell>
          <cell r="D243">
            <v>45971</v>
          </cell>
          <cell r="E243" t="str">
            <v>25J20-06</v>
          </cell>
          <cell r="I243" t="str">
            <v>25J20-06</v>
          </cell>
          <cell r="J243">
            <v>10</v>
          </cell>
          <cell r="K243">
            <v>5</v>
          </cell>
          <cell r="L243" t="str">
            <v>25.11.17</v>
          </cell>
          <cell r="M243" t="str">
            <v>1箱</v>
          </cell>
          <cell r="O243">
            <v>0</v>
          </cell>
          <cell r="T243" t="str">
            <v>000000000008802</v>
          </cell>
        </row>
        <row r="244">
          <cell r="D244">
            <v>45975</v>
          </cell>
          <cell r="E244" t="str">
            <v>25J21-07</v>
          </cell>
          <cell r="F244">
            <v>20</v>
          </cell>
          <cell r="G244">
            <v>888</v>
          </cell>
          <cell r="H244">
            <v>888.27</v>
          </cell>
          <cell r="I244" t="str">
            <v>25J21-07</v>
          </cell>
          <cell r="J244">
            <v>90</v>
          </cell>
          <cell r="K244">
            <v>45</v>
          </cell>
          <cell r="O244">
            <v>100</v>
          </cell>
          <cell r="T244" t="str">
            <v>000000000008802</v>
          </cell>
        </row>
        <row r="245">
          <cell r="C245">
            <v>100</v>
          </cell>
          <cell r="D245">
            <v>45975</v>
          </cell>
          <cell r="E245" t="str">
            <v>25J21-07</v>
          </cell>
          <cell r="F245">
            <v>20</v>
          </cell>
          <cell r="G245">
            <v>888</v>
          </cell>
          <cell r="H245">
            <v>888.29</v>
          </cell>
          <cell r="O245">
            <v>50</v>
          </cell>
          <cell r="T245" t="str">
            <v>000000000008802</v>
          </cell>
        </row>
        <row r="246">
          <cell r="O246">
            <v>0</v>
          </cell>
          <cell r="T246" t="str">
            <v>000000000008802</v>
          </cell>
        </row>
        <row r="247">
          <cell r="C247">
            <v>2</v>
          </cell>
          <cell r="O247">
            <v>0</v>
          </cell>
          <cell r="T247" t="str">
            <v>000000000008802</v>
          </cell>
        </row>
        <row r="248">
          <cell r="C248" t="str">
            <v>LED-A888</v>
          </cell>
          <cell r="L248" t="str">
            <v>切断</v>
          </cell>
          <cell r="M248" t="str">
            <v>M</v>
          </cell>
          <cell r="O248">
            <v>0</v>
          </cell>
          <cell r="T248" t="str">
            <v>000000000008802</v>
          </cell>
        </row>
        <row r="249">
          <cell r="C249">
            <v>0</v>
          </cell>
          <cell r="L249" t="str">
            <v>検査</v>
          </cell>
          <cell r="M249" t="str">
            <v>T</v>
          </cell>
          <cell r="T249" t="str">
            <v>000000000008802</v>
          </cell>
        </row>
        <row r="250">
          <cell r="L250" t="str">
            <v>α端材</v>
          </cell>
          <cell r="O250">
            <v>0</v>
          </cell>
          <cell r="P250">
            <v>0</v>
          </cell>
          <cell r="T250" t="str">
            <v>000000000008802</v>
          </cell>
        </row>
        <row r="251">
          <cell r="C251" t="str">
            <v>8FL281304 8310　L=748</v>
          </cell>
          <cell r="D251">
            <v>45967</v>
          </cell>
          <cell r="E251" t="str">
            <v>25J20-06</v>
          </cell>
          <cell r="I251" t="str">
            <v>25J20-06</v>
          </cell>
          <cell r="J251">
            <v>5</v>
          </cell>
          <cell r="K251">
            <v>2</v>
          </cell>
          <cell r="L251" t="str">
            <v>25.11.17</v>
          </cell>
          <cell r="M251" t="str">
            <v>2箱</v>
          </cell>
          <cell r="O251">
            <v>0</v>
          </cell>
          <cell r="P251">
            <v>2</v>
          </cell>
          <cell r="T251" t="str">
            <v>000000000008801</v>
          </cell>
        </row>
        <row r="252">
          <cell r="D252">
            <v>45975</v>
          </cell>
          <cell r="E252" t="str">
            <v>25J21-07</v>
          </cell>
          <cell r="F252">
            <v>20</v>
          </cell>
          <cell r="G252">
            <v>748</v>
          </cell>
          <cell r="H252">
            <v>747.93</v>
          </cell>
          <cell r="I252" t="str">
            <v>25J21-07</v>
          </cell>
          <cell r="J252">
            <v>184</v>
          </cell>
          <cell r="K252">
            <v>92</v>
          </cell>
          <cell r="O252">
            <v>200</v>
          </cell>
          <cell r="T252" t="str">
            <v>000000000008801</v>
          </cell>
        </row>
        <row r="253">
          <cell r="C253">
            <v>200</v>
          </cell>
          <cell r="D253">
            <v>45975</v>
          </cell>
          <cell r="E253" t="str">
            <v>25J22-08</v>
          </cell>
          <cell r="F253">
            <v>18</v>
          </cell>
          <cell r="G253">
            <v>747.9</v>
          </cell>
          <cell r="H253">
            <v>748.13</v>
          </cell>
          <cell r="I253" t="str">
            <v>25J22-08</v>
          </cell>
          <cell r="J253">
            <v>13</v>
          </cell>
          <cell r="K253">
            <v>7</v>
          </cell>
          <cell r="O253">
            <v>101</v>
          </cell>
          <cell r="T253" t="str">
            <v>000000000008801</v>
          </cell>
        </row>
        <row r="254">
          <cell r="O254">
            <v>1</v>
          </cell>
          <cell r="T254" t="str">
            <v>000000000008801</v>
          </cell>
        </row>
        <row r="255">
          <cell r="C255">
            <v>2</v>
          </cell>
          <cell r="O255">
            <v>2</v>
          </cell>
          <cell r="T255" t="str">
            <v>000000000008801</v>
          </cell>
        </row>
        <row r="256">
          <cell r="C256" t="str">
            <v>LED-A888</v>
          </cell>
          <cell r="L256" t="str">
            <v>切断</v>
          </cell>
          <cell r="M256" t="str">
            <v>M</v>
          </cell>
          <cell r="O256">
            <v>1</v>
          </cell>
          <cell r="T256" t="str">
            <v>000000000008801</v>
          </cell>
        </row>
        <row r="257">
          <cell r="C257">
            <v>0</v>
          </cell>
          <cell r="L257" t="str">
            <v>検査</v>
          </cell>
          <cell r="M257" t="str">
            <v>T</v>
          </cell>
          <cell r="T257" t="str">
            <v>000000000008801</v>
          </cell>
        </row>
        <row r="258">
          <cell r="L258" t="str">
            <v>α端材</v>
          </cell>
          <cell r="M258">
            <v>1</v>
          </cell>
          <cell r="O258">
            <v>1</v>
          </cell>
          <cell r="P258">
            <v>2</v>
          </cell>
          <cell r="T258" t="str">
            <v>000000000008801</v>
          </cell>
        </row>
        <row r="259">
          <cell r="C259" t="str">
            <v>灯具カバーPC IN 2060　L=1258.5</v>
          </cell>
          <cell r="D259">
            <v>45936</v>
          </cell>
          <cell r="E259" t="str">
            <v>25I26-01</v>
          </cell>
          <cell r="I259" t="str">
            <v>25I26-01</v>
          </cell>
          <cell r="J259">
            <v>4</v>
          </cell>
          <cell r="K259">
            <v>4</v>
          </cell>
          <cell r="L259" t="str">
            <v>25.11.17</v>
          </cell>
          <cell r="M259" t="str">
            <v>2箱</v>
          </cell>
          <cell r="O259">
            <v>0</v>
          </cell>
          <cell r="P259">
            <v>5</v>
          </cell>
          <cell r="T259" t="str">
            <v>000000000008708</v>
          </cell>
        </row>
        <row r="260">
          <cell r="D260">
            <v>45978</v>
          </cell>
          <cell r="E260" t="str">
            <v>25J24-01</v>
          </cell>
          <cell r="I260" t="str">
            <v>25J24-01</v>
          </cell>
          <cell r="J260">
            <v>89</v>
          </cell>
          <cell r="K260">
            <v>89</v>
          </cell>
          <cell r="L260" t="str">
            <v>25.11.18</v>
          </cell>
          <cell r="M260" t="str">
            <v>3箱</v>
          </cell>
          <cell r="O260">
            <v>80</v>
          </cell>
          <cell r="P260">
            <v>7</v>
          </cell>
          <cell r="T260" t="str">
            <v>000000000008708</v>
          </cell>
        </row>
        <row r="261">
          <cell r="C261">
            <v>80</v>
          </cell>
          <cell r="D261">
            <v>45979</v>
          </cell>
          <cell r="E261" t="str">
            <v>25J24-01</v>
          </cell>
          <cell r="O261">
            <v>93</v>
          </cell>
          <cell r="P261">
            <v>1</v>
          </cell>
          <cell r="T261" t="str">
            <v>000000000008708</v>
          </cell>
        </row>
        <row r="262">
          <cell r="O262">
            <v>13</v>
          </cell>
          <cell r="T262" t="str">
            <v>000000000008708</v>
          </cell>
        </row>
        <row r="263">
          <cell r="C263">
            <v>1</v>
          </cell>
          <cell r="O263">
            <v>13</v>
          </cell>
          <cell r="T263" t="str">
            <v>000000000008708</v>
          </cell>
        </row>
        <row r="264">
          <cell r="C264" t="str">
            <v>灯具-1　L=1370</v>
          </cell>
          <cell r="L264" t="str">
            <v>切断</v>
          </cell>
          <cell r="M264" t="str">
            <v>-</v>
          </cell>
          <cell r="O264">
            <v>0</v>
          </cell>
          <cell r="T264" t="str">
            <v>000000000008708</v>
          </cell>
        </row>
        <row r="265">
          <cell r="C265">
            <v>0</v>
          </cell>
          <cell r="L265" t="str">
            <v>検査</v>
          </cell>
          <cell r="M265" t="str">
            <v>M/C</v>
          </cell>
          <cell r="T265" t="str">
            <v>000000000008708</v>
          </cell>
        </row>
        <row r="266">
          <cell r="L266" t="str">
            <v>α端材</v>
          </cell>
          <cell r="O266">
            <v>0</v>
          </cell>
          <cell r="P266">
            <v>13</v>
          </cell>
          <cell r="T266" t="str">
            <v>000000000008708</v>
          </cell>
        </row>
        <row r="267">
          <cell r="C267" t="str">
            <v>灯具カバーPC IN 2050　L=1183.5</v>
          </cell>
          <cell r="D267">
            <v>45972</v>
          </cell>
          <cell r="E267" t="str">
            <v>25J24-01</v>
          </cell>
          <cell r="I267" t="str">
            <v>25J24-01</v>
          </cell>
          <cell r="J267">
            <v>6</v>
          </cell>
          <cell r="K267">
            <v>6</v>
          </cell>
          <cell r="L267" t="str">
            <v>25.11.18</v>
          </cell>
          <cell r="M267" t="str">
            <v>10箱</v>
          </cell>
          <cell r="O267">
            <v>0</v>
          </cell>
          <cell r="P267">
            <v>4</v>
          </cell>
          <cell r="T267" t="str">
            <v>000000000008707</v>
          </cell>
        </row>
        <row r="268">
          <cell r="D268">
            <v>45979</v>
          </cell>
          <cell r="E268" t="str">
            <v>25J24-02</v>
          </cell>
          <cell r="I268" t="str">
            <v>25J24-02</v>
          </cell>
          <cell r="J268">
            <v>185</v>
          </cell>
          <cell r="K268">
            <v>185</v>
          </cell>
          <cell r="O268">
            <v>160</v>
          </cell>
          <cell r="P268">
            <v>26</v>
          </cell>
          <cell r="T268" t="str">
            <v>000000000008707</v>
          </cell>
        </row>
        <row r="269">
          <cell r="C269">
            <v>160</v>
          </cell>
          <cell r="O269">
            <v>191</v>
          </cell>
          <cell r="T269" t="str">
            <v>000000000008707</v>
          </cell>
        </row>
        <row r="270">
          <cell r="O270">
            <v>31</v>
          </cell>
          <cell r="T270" t="str">
            <v>000000000008707</v>
          </cell>
        </row>
        <row r="271">
          <cell r="C271">
            <v>1</v>
          </cell>
          <cell r="O271">
            <v>31</v>
          </cell>
          <cell r="T271" t="str">
            <v>000000000008707</v>
          </cell>
        </row>
        <row r="272">
          <cell r="C272" t="str">
            <v>灯具-1　L=1370</v>
          </cell>
          <cell r="L272" t="str">
            <v>切断</v>
          </cell>
          <cell r="M272" t="str">
            <v>-</v>
          </cell>
          <cell r="O272">
            <v>0</v>
          </cell>
          <cell r="T272" t="str">
            <v>000000000008707</v>
          </cell>
        </row>
        <row r="273">
          <cell r="C273">
            <v>0</v>
          </cell>
          <cell r="L273" t="str">
            <v>検査</v>
          </cell>
          <cell r="M273" t="str">
            <v>C</v>
          </cell>
          <cell r="P273">
            <v>1</v>
          </cell>
          <cell r="T273" t="str">
            <v>000000000008707</v>
          </cell>
        </row>
        <row r="274">
          <cell r="L274" t="str">
            <v>α端材</v>
          </cell>
          <cell r="O274">
            <v>0</v>
          </cell>
          <cell r="P274">
            <v>31</v>
          </cell>
          <cell r="T274" t="str">
            <v>000000000008707</v>
          </cell>
        </row>
        <row r="275">
          <cell r="C275" t="str">
            <v>灯具カバーPC IN 2110　L=1815</v>
          </cell>
          <cell r="D275">
            <v>45965</v>
          </cell>
          <cell r="E275" t="str">
            <v>25J23-02</v>
          </cell>
          <cell r="I275" t="str">
            <v>25J23-02</v>
          </cell>
          <cell r="J275">
            <v>4</v>
          </cell>
          <cell r="K275">
            <v>4</v>
          </cell>
          <cell r="L275" t="str">
            <v>25.11.19</v>
          </cell>
          <cell r="M275" t="str">
            <v>11箱</v>
          </cell>
          <cell r="O275">
            <v>0</v>
          </cell>
          <cell r="P275">
            <v>6</v>
          </cell>
          <cell r="T275" t="str">
            <v>000000000008711</v>
          </cell>
        </row>
        <row r="276">
          <cell r="D276">
            <v>45980</v>
          </cell>
          <cell r="E276" t="str">
            <v>25I28-02</v>
          </cell>
          <cell r="I276" t="str">
            <v>25I28-02</v>
          </cell>
          <cell r="J276">
            <v>189</v>
          </cell>
          <cell r="K276">
            <v>189</v>
          </cell>
          <cell r="O276">
            <v>176</v>
          </cell>
          <cell r="P276">
            <v>11</v>
          </cell>
          <cell r="T276" t="str">
            <v>000000000008711</v>
          </cell>
        </row>
        <row r="277">
          <cell r="C277">
            <v>176</v>
          </cell>
          <cell r="O277">
            <v>193</v>
          </cell>
          <cell r="T277" t="str">
            <v>000000000008711</v>
          </cell>
        </row>
        <row r="278">
          <cell r="O278">
            <v>17</v>
          </cell>
          <cell r="T278" t="str">
            <v>000000000008711</v>
          </cell>
        </row>
        <row r="279">
          <cell r="C279">
            <v>1</v>
          </cell>
          <cell r="O279">
            <v>17</v>
          </cell>
          <cell r="T279" t="str">
            <v>000000000008711</v>
          </cell>
        </row>
        <row r="280">
          <cell r="C280" t="str">
            <v>灯具-2　L＝1996</v>
          </cell>
          <cell r="L280" t="str">
            <v>切断</v>
          </cell>
          <cell r="M280" t="str">
            <v>-</v>
          </cell>
          <cell r="O280">
            <v>0</v>
          </cell>
          <cell r="T280" t="str">
            <v>000000000008711</v>
          </cell>
        </row>
        <row r="281">
          <cell r="C281">
            <v>0</v>
          </cell>
          <cell r="L281" t="str">
            <v>検査</v>
          </cell>
          <cell r="M281" t="str">
            <v>T</v>
          </cell>
          <cell r="T281" t="str">
            <v>000000000008711</v>
          </cell>
        </row>
        <row r="282">
          <cell r="L282" t="str">
            <v>α端材</v>
          </cell>
          <cell r="O282">
            <v>0</v>
          </cell>
          <cell r="P282">
            <v>17</v>
          </cell>
          <cell r="T282" t="str">
            <v>000000000008711</v>
          </cell>
        </row>
        <row r="283">
          <cell r="C283" t="str">
            <v>採光ルーバーパネルB　L=1996</v>
          </cell>
          <cell r="D283">
            <v>45974</v>
          </cell>
          <cell r="E283" t="str">
            <v>25K08-02</v>
          </cell>
          <cell r="I283" t="str">
            <v>25K08-02</v>
          </cell>
          <cell r="J283">
            <v>11</v>
          </cell>
          <cell r="K283">
            <v>11</v>
          </cell>
          <cell r="L283" t="str">
            <v>25.11.19</v>
          </cell>
          <cell r="M283" t="str">
            <v>3箱</v>
          </cell>
          <cell r="O283">
            <v>0</v>
          </cell>
          <cell r="P283">
            <v>4</v>
          </cell>
          <cell r="T283" t="str">
            <v>000000000008855</v>
          </cell>
        </row>
        <row r="284">
          <cell r="D284">
            <v>45979</v>
          </cell>
          <cell r="E284" t="str">
            <v>25K09-03</v>
          </cell>
          <cell r="F284">
            <v>22</v>
          </cell>
          <cell r="G284">
            <v>1996.26</v>
          </cell>
          <cell r="H284">
            <v>1997.4</v>
          </cell>
          <cell r="I284" t="str">
            <v>25K09-03</v>
          </cell>
          <cell r="J284">
            <v>300</v>
          </cell>
          <cell r="K284">
            <v>300</v>
          </cell>
          <cell r="L284" t="str">
            <v>25.11.20</v>
          </cell>
          <cell r="M284" t="str">
            <v>3箱</v>
          </cell>
          <cell r="O284">
            <v>504</v>
          </cell>
          <cell r="P284">
            <v>99</v>
          </cell>
          <cell r="T284" t="str">
            <v>000000000008855</v>
          </cell>
        </row>
        <row r="285">
          <cell r="C285">
            <v>504</v>
          </cell>
          <cell r="D285">
            <v>45979</v>
          </cell>
          <cell r="E285" t="str">
            <v>25K09-03</v>
          </cell>
          <cell r="F285">
            <v>20</v>
          </cell>
          <cell r="G285">
            <v>1996</v>
          </cell>
          <cell r="H285">
            <v>1997.3</v>
          </cell>
          <cell r="I285" t="str">
            <v>25K09-04</v>
          </cell>
          <cell r="J285">
            <v>300</v>
          </cell>
          <cell r="K285">
            <v>300</v>
          </cell>
          <cell r="L285" t="str">
            <v>25.11.21</v>
          </cell>
          <cell r="M285" t="str">
            <v>6箱</v>
          </cell>
          <cell r="O285">
            <v>607</v>
          </cell>
          <cell r="T285" t="str">
            <v>000000000008855</v>
          </cell>
        </row>
        <row r="286">
          <cell r="D286">
            <v>45981</v>
          </cell>
          <cell r="E286" t="str">
            <v>25K09-04</v>
          </cell>
          <cell r="F286">
            <v>20</v>
          </cell>
          <cell r="G286">
            <v>1996</v>
          </cell>
          <cell r="H286">
            <v>1997.2</v>
          </cell>
          <cell r="O286">
            <v>103</v>
          </cell>
          <cell r="T286" t="str">
            <v>000000000008855</v>
          </cell>
        </row>
        <row r="287">
          <cell r="C287">
            <v>1</v>
          </cell>
          <cell r="D287">
            <v>45981</v>
          </cell>
          <cell r="E287" t="str">
            <v>25K09-04</v>
          </cell>
          <cell r="F287">
            <v>18</v>
          </cell>
          <cell r="G287">
            <v>1995.74</v>
          </cell>
          <cell r="H287">
            <v>1997.1</v>
          </cell>
          <cell r="O287">
            <v>103</v>
          </cell>
          <cell r="T287" t="str">
            <v>000000000008855</v>
          </cell>
        </row>
        <row r="288">
          <cell r="C288" t="str">
            <v>上-1</v>
          </cell>
          <cell r="L288" t="str">
            <v>切断</v>
          </cell>
          <cell r="M288" t="str">
            <v>M</v>
          </cell>
          <cell r="O288">
            <v>0</v>
          </cell>
          <cell r="T288" t="str">
            <v>000000000008855</v>
          </cell>
        </row>
        <row r="289">
          <cell r="C289">
            <v>0</v>
          </cell>
          <cell r="L289" t="str">
            <v>検査</v>
          </cell>
          <cell r="M289" t="str">
            <v>T</v>
          </cell>
          <cell r="T289" t="str">
            <v>000000000008855</v>
          </cell>
        </row>
        <row r="290">
          <cell r="L290" t="str">
            <v>α端材</v>
          </cell>
          <cell r="O290">
            <v>0</v>
          </cell>
          <cell r="P290">
            <v>103</v>
          </cell>
          <cell r="T290" t="str">
            <v>000000000008855</v>
          </cell>
        </row>
        <row r="291">
          <cell r="C291" t="str">
            <v>採光ルーバーパネルA　L=1996</v>
          </cell>
          <cell r="D291">
            <v>45663</v>
          </cell>
          <cell r="E291" t="str">
            <v>24L20-01</v>
          </cell>
          <cell r="I291" t="str">
            <v>24L20-01</v>
          </cell>
          <cell r="J291">
            <v>20</v>
          </cell>
          <cell r="K291">
            <v>20</v>
          </cell>
          <cell r="L291" t="str">
            <v>25.11.20</v>
          </cell>
          <cell r="M291" t="str">
            <v>4箱</v>
          </cell>
          <cell r="O291">
            <v>0</v>
          </cell>
          <cell r="P291">
            <v>8</v>
          </cell>
          <cell r="T291" t="str">
            <v>000000000009310</v>
          </cell>
        </row>
        <row r="292">
          <cell r="D292">
            <v>45980</v>
          </cell>
          <cell r="E292" t="str">
            <v>25K11-01</v>
          </cell>
          <cell r="F292">
            <v>20</v>
          </cell>
          <cell r="G292">
            <v>1996</v>
          </cell>
          <cell r="H292">
            <v>1997.6</v>
          </cell>
          <cell r="I292" t="str">
            <v>25K11-01</v>
          </cell>
          <cell r="J292">
            <v>279</v>
          </cell>
          <cell r="K292">
            <v>279</v>
          </cell>
          <cell r="O292">
            <v>224</v>
          </cell>
          <cell r="P292">
            <v>61</v>
          </cell>
          <cell r="T292" t="str">
            <v>000000000009310</v>
          </cell>
        </row>
        <row r="293">
          <cell r="C293">
            <v>224</v>
          </cell>
          <cell r="D293">
            <v>45980</v>
          </cell>
          <cell r="E293" t="str">
            <v>25K11-01</v>
          </cell>
          <cell r="F293">
            <v>20</v>
          </cell>
          <cell r="G293">
            <v>1996</v>
          </cell>
          <cell r="H293">
            <v>1997.5</v>
          </cell>
          <cell r="O293">
            <v>299</v>
          </cell>
          <cell r="P293">
            <v>6</v>
          </cell>
          <cell r="T293" t="str">
            <v>000000000009310</v>
          </cell>
        </row>
        <row r="294">
          <cell r="D294">
            <v>45981</v>
          </cell>
          <cell r="E294" t="str">
            <v>25K11-01</v>
          </cell>
          <cell r="F294">
            <v>16</v>
          </cell>
          <cell r="G294">
            <v>1995.48</v>
          </cell>
          <cell r="H294">
            <v>1997.1</v>
          </cell>
          <cell r="O294">
            <v>75</v>
          </cell>
          <cell r="T294" t="str">
            <v>000000000009310</v>
          </cell>
        </row>
        <row r="295">
          <cell r="C295">
            <v>1</v>
          </cell>
          <cell r="D295">
            <v>45981</v>
          </cell>
          <cell r="E295" t="str">
            <v>25K11-01</v>
          </cell>
          <cell r="F295">
            <v>20</v>
          </cell>
          <cell r="G295">
            <v>1996</v>
          </cell>
          <cell r="H295">
            <v>1997.2</v>
          </cell>
          <cell r="O295">
            <v>75</v>
          </cell>
          <cell r="T295" t="str">
            <v>000000000009310</v>
          </cell>
        </row>
        <row r="296">
          <cell r="C296" t="str">
            <v>上-1</v>
          </cell>
          <cell r="L296" t="str">
            <v>切断</v>
          </cell>
          <cell r="M296" t="str">
            <v>M</v>
          </cell>
          <cell r="O296">
            <v>0</v>
          </cell>
          <cell r="T296" t="str">
            <v>000000000009310</v>
          </cell>
        </row>
        <row r="297">
          <cell r="C297">
            <v>0</v>
          </cell>
          <cell r="L297" t="str">
            <v>検査</v>
          </cell>
          <cell r="M297" t="str">
            <v>T/U</v>
          </cell>
          <cell r="T297" t="str">
            <v>000000000009310</v>
          </cell>
        </row>
        <row r="298">
          <cell r="L298" t="str">
            <v>α端材</v>
          </cell>
          <cell r="O298">
            <v>0</v>
          </cell>
          <cell r="P298">
            <v>75</v>
          </cell>
          <cell r="T298" t="str">
            <v>000000000009310</v>
          </cell>
        </row>
        <row r="299">
          <cell r="C299" t="str">
            <v>8FL281304 5010　L=888</v>
          </cell>
          <cell r="D299">
            <v>45968</v>
          </cell>
          <cell r="E299" t="str">
            <v>25J21-07</v>
          </cell>
          <cell r="I299" t="str">
            <v>25J21-07</v>
          </cell>
          <cell r="J299">
            <v>6</v>
          </cell>
          <cell r="K299">
            <v>3</v>
          </cell>
          <cell r="L299" t="str">
            <v>25.11.21</v>
          </cell>
          <cell r="M299" t="str">
            <v>7箱</v>
          </cell>
          <cell r="O299">
            <v>0</v>
          </cell>
          <cell r="P299">
            <v>10</v>
          </cell>
          <cell r="T299" t="str">
            <v>000000000009233</v>
          </cell>
        </row>
        <row r="300">
          <cell r="D300">
            <v>45982</v>
          </cell>
          <cell r="E300" t="str">
            <v>25J22-08</v>
          </cell>
          <cell r="F300">
            <v>20</v>
          </cell>
          <cell r="G300">
            <v>888</v>
          </cell>
          <cell r="H300">
            <v>888.03</v>
          </cell>
          <cell r="I300" t="str">
            <v>25J22-08</v>
          </cell>
          <cell r="J300">
            <v>1004</v>
          </cell>
          <cell r="K300">
            <v>502</v>
          </cell>
          <cell r="L300" t="str">
            <v>25.11.25</v>
          </cell>
          <cell r="M300" t="str">
            <v>3箱</v>
          </cell>
          <cell r="O300">
            <v>1000</v>
          </cell>
          <cell r="T300" t="str">
            <v>000000000009233</v>
          </cell>
        </row>
        <row r="301">
          <cell r="C301">
            <v>1000</v>
          </cell>
          <cell r="D301">
            <v>45982</v>
          </cell>
          <cell r="E301" t="str">
            <v>25J22-08</v>
          </cell>
          <cell r="F301">
            <v>20</v>
          </cell>
          <cell r="G301">
            <v>888</v>
          </cell>
          <cell r="H301">
            <v>888.09</v>
          </cell>
          <cell r="O301">
            <v>505</v>
          </cell>
          <cell r="T301" t="str">
            <v>000000000009233</v>
          </cell>
        </row>
        <row r="302">
          <cell r="D302">
            <v>45982</v>
          </cell>
          <cell r="E302" t="str">
            <v>25J22-08</v>
          </cell>
          <cell r="F302">
            <v>20</v>
          </cell>
          <cell r="G302">
            <v>888</v>
          </cell>
          <cell r="H302">
            <v>888.1</v>
          </cell>
          <cell r="O302">
            <v>5</v>
          </cell>
          <cell r="T302" t="str">
            <v>000000000009233</v>
          </cell>
        </row>
        <row r="303">
          <cell r="C303">
            <v>2</v>
          </cell>
          <cell r="D303">
            <v>45982</v>
          </cell>
          <cell r="E303" t="str">
            <v>25J22-08</v>
          </cell>
          <cell r="F303">
            <v>20</v>
          </cell>
          <cell r="G303">
            <v>888</v>
          </cell>
          <cell r="H303">
            <v>888.26</v>
          </cell>
          <cell r="O303">
            <v>10</v>
          </cell>
          <cell r="T303" t="str">
            <v>000000000009233</v>
          </cell>
        </row>
        <row r="304">
          <cell r="C304" t="str">
            <v>LED-A888</v>
          </cell>
          <cell r="L304" t="str">
            <v>切断</v>
          </cell>
          <cell r="M304" t="str">
            <v>C/M</v>
          </cell>
          <cell r="O304">
            <v>0</v>
          </cell>
          <cell r="T304" t="str">
            <v>000000000009233</v>
          </cell>
        </row>
        <row r="305">
          <cell r="C305">
            <v>0</v>
          </cell>
          <cell r="L305" t="str">
            <v>検査</v>
          </cell>
          <cell r="M305" t="str">
            <v>T/U</v>
          </cell>
          <cell r="T305" t="str">
            <v>000000000009233</v>
          </cell>
        </row>
        <row r="306">
          <cell r="L306" t="str">
            <v>α端材</v>
          </cell>
          <cell r="O306">
            <v>0</v>
          </cell>
          <cell r="P306">
            <v>10</v>
          </cell>
          <cell r="T306" t="str">
            <v>000000000009233</v>
          </cell>
        </row>
        <row r="307">
          <cell r="C307" t="str">
            <v>8FL281304 5010　L=888</v>
          </cell>
          <cell r="L307" t="str">
            <v>25.11.25</v>
          </cell>
          <cell r="M307" t="str">
            <v>5箱</v>
          </cell>
          <cell r="O307">
            <v>0</v>
          </cell>
          <cell r="P307">
            <v>2</v>
          </cell>
          <cell r="T307" t="str">
            <v>000000000009236</v>
          </cell>
        </row>
        <row r="308">
          <cell r="D308">
            <v>45982</v>
          </cell>
          <cell r="E308" t="str">
            <v>25J22-08</v>
          </cell>
          <cell r="F308">
            <v>20</v>
          </cell>
          <cell r="G308">
            <v>888</v>
          </cell>
          <cell r="H308">
            <v>888.08</v>
          </cell>
          <cell r="I308" t="str">
            <v>25J22-08</v>
          </cell>
          <cell r="J308">
            <v>562</v>
          </cell>
          <cell r="K308">
            <v>281</v>
          </cell>
          <cell r="L308" t="str">
            <v>25.11.26</v>
          </cell>
          <cell r="M308" t="str">
            <v>1箱</v>
          </cell>
          <cell r="O308">
            <v>600</v>
          </cell>
          <cell r="T308" t="str">
            <v>000000000009236</v>
          </cell>
        </row>
        <row r="309">
          <cell r="C309">
            <v>600</v>
          </cell>
          <cell r="D309">
            <v>45982</v>
          </cell>
          <cell r="E309" t="str">
            <v>25J23-09</v>
          </cell>
          <cell r="F309">
            <v>20</v>
          </cell>
          <cell r="G309">
            <v>888</v>
          </cell>
          <cell r="H309">
            <v>888.24</v>
          </cell>
          <cell r="I309" t="str">
            <v>25J23-09</v>
          </cell>
          <cell r="J309">
            <v>43</v>
          </cell>
          <cell r="K309">
            <v>22</v>
          </cell>
          <cell r="O309">
            <v>303</v>
          </cell>
          <cell r="P309">
            <v>2</v>
          </cell>
          <cell r="T309" t="str">
            <v>000000000009236</v>
          </cell>
        </row>
        <row r="310">
          <cell r="O310">
            <v>3</v>
          </cell>
          <cell r="T310" t="str">
            <v>000000000009236</v>
          </cell>
        </row>
        <row r="311">
          <cell r="C311">
            <v>2</v>
          </cell>
          <cell r="O311">
            <v>5</v>
          </cell>
          <cell r="T311" t="str">
            <v>000000000009236</v>
          </cell>
        </row>
        <row r="312">
          <cell r="C312" t="str">
            <v>LED-A888</v>
          </cell>
          <cell r="L312" t="str">
            <v>切断</v>
          </cell>
          <cell r="M312" t="str">
            <v>M</v>
          </cell>
          <cell r="O312">
            <v>0</v>
          </cell>
          <cell r="T312" t="str">
            <v>000000000009236</v>
          </cell>
        </row>
        <row r="313">
          <cell r="C313">
            <v>0</v>
          </cell>
          <cell r="L313" t="str">
            <v>検査</v>
          </cell>
          <cell r="M313" t="str">
            <v>T</v>
          </cell>
          <cell r="P313">
            <v>1</v>
          </cell>
          <cell r="T313" t="str">
            <v>000000000009236</v>
          </cell>
        </row>
        <row r="314">
          <cell r="L314" t="str">
            <v>α端材</v>
          </cell>
          <cell r="O314">
            <v>0</v>
          </cell>
          <cell r="P314">
            <v>5</v>
          </cell>
          <cell r="T314" t="str">
            <v>000000000009236</v>
          </cell>
        </row>
        <row r="315">
          <cell r="C315" t="str">
            <v>8FL281304 5010　L=888</v>
          </cell>
          <cell r="L315" t="str">
            <v>25.11.26</v>
          </cell>
          <cell r="M315" t="str">
            <v>1箱</v>
          </cell>
          <cell r="O315">
            <v>0</v>
          </cell>
          <cell r="T315" t="str">
            <v>000000000009235</v>
          </cell>
        </row>
        <row r="316">
          <cell r="D316">
            <v>45982</v>
          </cell>
          <cell r="E316" t="str">
            <v>25J23-09</v>
          </cell>
          <cell r="F316">
            <v>20</v>
          </cell>
          <cell r="G316">
            <v>888</v>
          </cell>
          <cell r="H316">
            <v>888.25</v>
          </cell>
          <cell r="I316" t="str">
            <v>25J23-09</v>
          </cell>
          <cell r="J316">
            <v>101</v>
          </cell>
          <cell r="K316">
            <v>51</v>
          </cell>
          <cell r="O316">
            <v>100</v>
          </cell>
          <cell r="T316" t="str">
            <v>000000000009235</v>
          </cell>
        </row>
        <row r="317">
          <cell r="C317">
            <v>100</v>
          </cell>
          <cell r="D317">
            <v>45982</v>
          </cell>
          <cell r="E317" t="str">
            <v>25J23-09</v>
          </cell>
          <cell r="F317">
            <v>20</v>
          </cell>
          <cell r="G317">
            <v>888</v>
          </cell>
          <cell r="H317">
            <v>888.14</v>
          </cell>
          <cell r="O317">
            <v>51</v>
          </cell>
          <cell r="P317">
            <v>1</v>
          </cell>
          <cell r="T317" t="str">
            <v>000000000009235</v>
          </cell>
        </row>
        <row r="318">
          <cell r="O318">
            <v>1</v>
          </cell>
          <cell r="T318" t="str">
            <v>000000000009235</v>
          </cell>
        </row>
        <row r="319">
          <cell r="C319">
            <v>2</v>
          </cell>
          <cell r="O319">
            <v>1</v>
          </cell>
          <cell r="T319" t="str">
            <v>000000000009235</v>
          </cell>
        </row>
        <row r="320">
          <cell r="C320" t="str">
            <v>LED-A888</v>
          </cell>
          <cell r="L320" t="str">
            <v>切断</v>
          </cell>
          <cell r="M320" t="str">
            <v>M</v>
          </cell>
          <cell r="O320">
            <v>0</v>
          </cell>
          <cell r="T320" t="str">
            <v>000000000009235</v>
          </cell>
        </row>
        <row r="321">
          <cell r="C321">
            <v>0</v>
          </cell>
          <cell r="L321" t="str">
            <v>検査</v>
          </cell>
          <cell r="M321" t="str">
            <v>T</v>
          </cell>
          <cell r="T321" t="str">
            <v>000000000009235</v>
          </cell>
        </row>
        <row r="322">
          <cell r="L322" t="str">
            <v>α端材</v>
          </cell>
          <cell r="O322">
            <v>0</v>
          </cell>
          <cell r="P322">
            <v>1</v>
          </cell>
          <cell r="T322" t="str">
            <v>000000000009235</v>
          </cell>
        </row>
        <row r="323">
          <cell r="C323" t="str">
            <v>8FL281304 8310　L=748</v>
          </cell>
          <cell r="D323">
            <v>45978</v>
          </cell>
          <cell r="E323" t="str">
            <v>25J21-07</v>
          </cell>
          <cell r="I323" t="str">
            <v>25J21-07</v>
          </cell>
          <cell r="J323">
            <v>3</v>
          </cell>
          <cell r="K323">
            <v>1</v>
          </cell>
          <cell r="L323" t="str">
            <v>25.11.25</v>
          </cell>
          <cell r="M323" t="str">
            <v>2箱</v>
          </cell>
          <cell r="O323">
            <v>0</v>
          </cell>
          <cell r="P323">
            <v>1</v>
          </cell>
          <cell r="T323" t="str">
            <v>000000000009232</v>
          </cell>
        </row>
        <row r="324">
          <cell r="D324">
            <v>45982</v>
          </cell>
          <cell r="E324" t="str">
            <v>25J23-09</v>
          </cell>
          <cell r="F324">
            <v>20</v>
          </cell>
          <cell r="G324">
            <v>748</v>
          </cell>
          <cell r="H324">
            <v>748.22</v>
          </cell>
          <cell r="I324" t="str">
            <v>25J23-09</v>
          </cell>
          <cell r="J324">
            <v>198</v>
          </cell>
          <cell r="K324">
            <v>99</v>
          </cell>
          <cell r="O324">
            <v>200</v>
          </cell>
          <cell r="T324" t="str">
            <v>000000000009232</v>
          </cell>
        </row>
        <row r="325">
          <cell r="C325">
            <v>200</v>
          </cell>
          <cell r="D325">
            <v>45982</v>
          </cell>
          <cell r="E325" t="str">
            <v>25J23-09</v>
          </cell>
          <cell r="F325">
            <v>20</v>
          </cell>
          <cell r="G325">
            <v>748</v>
          </cell>
          <cell r="H325">
            <v>748.3</v>
          </cell>
          <cell r="O325">
            <v>101</v>
          </cell>
          <cell r="T325" t="str">
            <v>000000000009232</v>
          </cell>
        </row>
        <row r="326">
          <cell r="D326">
            <v>45986</v>
          </cell>
          <cell r="E326" t="str">
            <v>25J23-09</v>
          </cell>
          <cell r="F326">
            <v>20</v>
          </cell>
          <cell r="G326">
            <v>748</v>
          </cell>
          <cell r="H326">
            <v>748.25</v>
          </cell>
          <cell r="O326">
            <v>1</v>
          </cell>
          <cell r="T326" t="str">
            <v>000000000009232</v>
          </cell>
        </row>
        <row r="327">
          <cell r="C327">
            <v>2</v>
          </cell>
          <cell r="D327">
            <v>45986</v>
          </cell>
          <cell r="E327" t="str">
            <v>25J23-09</v>
          </cell>
          <cell r="F327">
            <v>20</v>
          </cell>
          <cell r="G327">
            <v>748</v>
          </cell>
          <cell r="H327">
            <v>748.23</v>
          </cell>
          <cell r="O327">
            <v>1</v>
          </cell>
          <cell r="T327" t="str">
            <v>000000000009232</v>
          </cell>
        </row>
        <row r="328">
          <cell r="C328" t="str">
            <v>LED-A888</v>
          </cell>
          <cell r="L328" t="str">
            <v>切断</v>
          </cell>
          <cell r="M328" t="str">
            <v>M</v>
          </cell>
          <cell r="O328">
            <v>1</v>
          </cell>
          <cell r="T328" t="str">
            <v>000000000009232</v>
          </cell>
        </row>
        <row r="329">
          <cell r="C329">
            <v>0</v>
          </cell>
          <cell r="L329" t="str">
            <v>検査</v>
          </cell>
          <cell r="M329" t="str">
            <v>T</v>
          </cell>
          <cell r="T329" t="str">
            <v>000000000009232</v>
          </cell>
        </row>
        <row r="330">
          <cell r="L330" t="str">
            <v>α端材</v>
          </cell>
          <cell r="M330">
            <v>1</v>
          </cell>
          <cell r="O330">
            <v>1</v>
          </cell>
          <cell r="P330">
            <v>1</v>
          </cell>
          <cell r="T330" t="str">
            <v>000000000009232</v>
          </cell>
        </row>
        <row r="331">
          <cell r="C331" t="str">
            <v>採光ルーバーパネルB　L=1996</v>
          </cell>
          <cell r="O331">
            <v>0</v>
          </cell>
          <cell r="T331" t="str">
            <v>000000000009311</v>
          </cell>
        </row>
        <row r="332">
          <cell r="O332">
            <v>0</v>
          </cell>
          <cell r="T332" t="str">
            <v>000000000009311</v>
          </cell>
        </row>
        <row r="333">
          <cell r="C333">
            <v>588</v>
          </cell>
          <cell r="O333">
            <v>0</v>
          </cell>
          <cell r="T333" t="str">
            <v>000000000009311</v>
          </cell>
        </row>
        <row r="334">
          <cell r="O334">
            <v>0</v>
          </cell>
          <cell r="T334" t="str">
            <v>000000000009311</v>
          </cell>
        </row>
        <row r="335">
          <cell r="C335">
            <v>1</v>
          </cell>
          <cell r="O335">
            <v>0</v>
          </cell>
          <cell r="T335" t="str">
            <v>000000000009311</v>
          </cell>
        </row>
        <row r="336">
          <cell r="C336" t="str">
            <v>上-1</v>
          </cell>
          <cell r="L336" t="str">
            <v>切断</v>
          </cell>
          <cell r="O336">
            <v>0</v>
          </cell>
          <cell r="T336" t="str">
            <v>000000000009311</v>
          </cell>
        </row>
        <row r="337">
          <cell r="C337">
            <v>0</v>
          </cell>
          <cell r="L337" t="str">
            <v>検査</v>
          </cell>
          <cell r="T337" t="str">
            <v>000000000009311</v>
          </cell>
        </row>
        <row r="338">
          <cell r="L338" t="str">
            <v>α端材</v>
          </cell>
          <cell r="O338">
            <v>0</v>
          </cell>
          <cell r="P338">
            <v>0</v>
          </cell>
          <cell r="T338" t="str">
            <v>000000000009311</v>
          </cell>
        </row>
        <row r="339">
          <cell r="C339" t="str">
            <v>ランプシェード　SL-600</v>
          </cell>
          <cell r="O339">
            <v>0</v>
          </cell>
          <cell r="T339" t="str">
            <v>000000000008890</v>
          </cell>
        </row>
        <row r="340">
          <cell r="O340">
            <v>0</v>
          </cell>
          <cell r="T340" t="str">
            <v>000000000008890</v>
          </cell>
        </row>
        <row r="341">
          <cell r="C341">
            <v>1200</v>
          </cell>
          <cell r="O341">
            <v>0</v>
          </cell>
          <cell r="T341" t="str">
            <v>000000000008890</v>
          </cell>
        </row>
        <row r="342">
          <cell r="O342">
            <v>0</v>
          </cell>
          <cell r="T342" t="str">
            <v>000000000008890</v>
          </cell>
        </row>
        <row r="343">
          <cell r="C343">
            <v>2</v>
          </cell>
          <cell r="O343">
            <v>0</v>
          </cell>
          <cell r="T343" t="str">
            <v>000000000008890</v>
          </cell>
        </row>
        <row r="344">
          <cell r="L344" t="str">
            <v>切断</v>
          </cell>
          <cell r="O344">
            <v>0</v>
          </cell>
          <cell r="T344" t="str">
            <v>000000000008890</v>
          </cell>
        </row>
        <row r="345">
          <cell r="C345">
            <v>0</v>
          </cell>
          <cell r="L345" t="str">
            <v>検査</v>
          </cell>
          <cell r="T345" t="str">
            <v>000000000008890</v>
          </cell>
        </row>
        <row r="346">
          <cell r="L346" t="str">
            <v>α端材</v>
          </cell>
          <cell r="O346">
            <v>0</v>
          </cell>
          <cell r="P346">
            <v>0</v>
          </cell>
          <cell r="T346" t="str">
            <v>000000000008890</v>
          </cell>
        </row>
        <row r="347">
          <cell r="C347" t="str">
            <v>8FL281304 6110　L=1478</v>
          </cell>
          <cell r="O347">
            <v>0</v>
          </cell>
          <cell r="T347" t="str">
            <v>000000000009237</v>
          </cell>
        </row>
        <row r="348">
          <cell r="O348">
            <v>0</v>
          </cell>
          <cell r="T348" t="str">
            <v>000000000009237</v>
          </cell>
        </row>
        <row r="349">
          <cell r="C349">
            <v>300</v>
          </cell>
          <cell r="O349">
            <v>0</v>
          </cell>
          <cell r="T349" t="str">
            <v>000000000009237</v>
          </cell>
        </row>
        <row r="350">
          <cell r="O350">
            <v>0</v>
          </cell>
          <cell r="T350" t="str">
            <v>000000000009237</v>
          </cell>
        </row>
        <row r="351">
          <cell r="C351">
            <v>1</v>
          </cell>
          <cell r="O351">
            <v>0</v>
          </cell>
          <cell r="T351" t="str">
            <v>000000000009237</v>
          </cell>
        </row>
        <row r="352">
          <cell r="C352" t="str">
            <v>LED-A1478</v>
          </cell>
          <cell r="L352" t="str">
            <v>切断</v>
          </cell>
          <cell r="O352">
            <v>0</v>
          </cell>
          <cell r="T352" t="str">
            <v>000000000009237</v>
          </cell>
        </row>
        <row r="353">
          <cell r="C353">
            <v>0</v>
          </cell>
          <cell r="L353" t="str">
            <v>検査</v>
          </cell>
          <cell r="T353" t="str">
            <v>000000000009237</v>
          </cell>
        </row>
        <row r="354">
          <cell r="L354" t="str">
            <v>α端材</v>
          </cell>
          <cell r="O354">
            <v>0</v>
          </cell>
          <cell r="P354">
            <v>0</v>
          </cell>
          <cell r="T354" t="str">
            <v>000000000009237</v>
          </cell>
        </row>
        <row r="355">
          <cell r="C355" t="str">
            <v>8FL281304 4810　L=297</v>
          </cell>
          <cell r="O355">
            <v>0</v>
          </cell>
          <cell r="T355" t="str">
            <v>000000000009230</v>
          </cell>
        </row>
        <row r="356">
          <cell r="T356" t="str">
            <v>000000000009230</v>
          </cell>
        </row>
        <row r="357">
          <cell r="C357">
            <v>300</v>
          </cell>
          <cell r="O357">
            <v>0</v>
          </cell>
          <cell r="T357" t="str">
            <v>000000000009230</v>
          </cell>
        </row>
        <row r="358">
          <cell r="O358">
            <v>0</v>
          </cell>
          <cell r="T358" t="str">
            <v>000000000009230</v>
          </cell>
        </row>
        <row r="359">
          <cell r="C359">
            <v>6</v>
          </cell>
          <cell r="O359">
            <v>0</v>
          </cell>
          <cell r="T359" t="str">
            <v>000000000009230</v>
          </cell>
        </row>
        <row r="360">
          <cell r="C360" t="str">
            <v>LED-A300</v>
          </cell>
          <cell r="L360" t="str">
            <v>切断</v>
          </cell>
          <cell r="O360">
            <v>0</v>
          </cell>
          <cell r="T360" t="str">
            <v>000000000009230</v>
          </cell>
        </row>
        <row r="361">
          <cell r="C361">
            <v>0</v>
          </cell>
          <cell r="L361" t="str">
            <v>検査</v>
          </cell>
          <cell r="T361" t="str">
            <v>000000000009230</v>
          </cell>
        </row>
        <row r="362">
          <cell r="L362" t="str">
            <v>α端材</v>
          </cell>
          <cell r="O362">
            <v>0</v>
          </cell>
          <cell r="P362">
            <v>0</v>
          </cell>
          <cell r="T362" t="str">
            <v>000000000009230</v>
          </cell>
        </row>
        <row r="363">
          <cell r="C363" t="str">
            <v>8FL281304 4910　L=592</v>
          </cell>
          <cell r="O363">
            <v>0</v>
          </cell>
          <cell r="T363" t="str">
            <v>000000000009231</v>
          </cell>
        </row>
        <row r="364">
          <cell r="O364">
            <v>0</v>
          </cell>
          <cell r="T364" t="str">
            <v>000000000009231</v>
          </cell>
        </row>
        <row r="365">
          <cell r="C365">
            <v>300</v>
          </cell>
          <cell r="O365">
            <v>0</v>
          </cell>
          <cell r="T365" t="str">
            <v>000000000009231</v>
          </cell>
        </row>
        <row r="366">
          <cell r="O366">
            <v>0</v>
          </cell>
          <cell r="T366" t="str">
            <v>000000000009231</v>
          </cell>
        </row>
        <row r="367">
          <cell r="C367">
            <v>3</v>
          </cell>
          <cell r="O367">
            <v>0</v>
          </cell>
          <cell r="T367" t="str">
            <v>000000000009231</v>
          </cell>
        </row>
        <row r="368">
          <cell r="C368" t="str">
            <v>LED-A592</v>
          </cell>
          <cell r="L368" t="str">
            <v>切断</v>
          </cell>
          <cell r="O368">
            <v>0</v>
          </cell>
          <cell r="T368" t="str">
            <v>000000000009231</v>
          </cell>
        </row>
        <row r="369">
          <cell r="C369">
            <v>0</v>
          </cell>
          <cell r="L369" t="str">
            <v>検査</v>
          </cell>
          <cell r="T369" t="str">
            <v>000000000009231</v>
          </cell>
        </row>
        <row r="370">
          <cell r="L370" t="str">
            <v>α端材</v>
          </cell>
          <cell r="O370">
            <v>0</v>
          </cell>
          <cell r="P370">
            <v>0</v>
          </cell>
          <cell r="T370" t="str">
            <v>000000000009231</v>
          </cell>
        </row>
        <row r="371">
          <cell r="C371" t="str">
            <v>8FL281304 5010　L=888</v>
          </cell>
          <cell r="O371">
            <v>0</v>
          </cell>
          <cell r="T371" t="str">
            <v>000000000009234</v>
          </cell>
        </row>
        <row r="372">
          <cell r="O372">
            <v>0</v>
          </cell>
          <cell r="T372" t="str">
            <v>000000000009234</v>
          </cell>
        </row>
        <row r="373">
          <cell r="C373">
            <v>2000</v>
          </cell>
          <cell r="O373">
            <v>0</v>
          </cell>
          <cell r="T373" t="str">
            <v>000000000009234</v>
          </cell>
        </row>
        <row r="374">
          <cell r="O374">
            <v>0</v>
          </cell>
          <cell r="T374" t="str">
            <v>000000000009234</v>
          </cell>
        </row>
        <row r="375">
          <cell r="C375">
            <v>2</v>
          </cell>
          <cell r="O375">
            <v>0</v>
          </cell>
          <cell r="T375" t="str">
            <v>000000000009234</v>
          </cell>
        </row>
        <row r="376">
          <cell r="C376" t="str">
            <v>LED-A888</v>
          </cell>
          <cell r="L376" t="str">
            <v>切断</v>
          </cell>
          <cell r="O376">
            <v>0</v>
          </cell>
          <cell r="T376" t="str">
            <v>000000000009234</v>
          </cell>
        </row>
        <row r="377">
          <cell r="C377">
            <v>0</v>
          </cell>
          <cell r="L377" t="str">
            <v>検査</v>
          </cell>
          <cell r="T377" t="str">
            <v>000000000009234</v>
          </cell>
        </row>
        <row r="378">
          <cell r="L378" t="str">
            <v>α端材</v>
          </cell>
          <cell r="O378">
            <v>0</v>
          </cell>
          <cell r="P378">
            <v>0</v>
          </cell>
          <cell r="T378" t="str">
            <v>000000000009234</v>
          </cell>
        </row>
        <row r="379">
          <cell r="C379">
            <v>46000</v>
          </cell>
          <cell r="K379" t="e">
            <v>#DIV/0!</v>
          </cell>
          <cell r="O379">
            <v>0</v>
          </cell>
          <cell r="T379" t="str">
            <v/>
          </cell>
        </row>
        <row r="380">
          <cell r="K380" t="e">
            <v>#DIV/0!</v>
          </cell>
          <cell r="O380" t="e">
            <v>#DIV/0!</v>
          </cell>
          <cell r="T380" t="str">
            <v/>
          </cell>
        </row>
        <row r="381">
          <cell r="C381" t="str">
            <v>-</v>
          </cell>
          <cell r="K381" t="e">
            <v>#DIV/0!</v>
          </cell>
          <cell r="O381" t="str">
            <v/>
          </cell>
          <cell r="T381" t="str">
            <v/>
          </cell>
        </row>
        <row r="382">
          <cell r="K382" t="e">
            <v>#DIV/0!</v>
          </cell>
          <cell r="O382" t="str">
            <v/>
          </cell>
          <cell r="T382" t="str">
            <v/>
          </cell>
        </row>
        <row r="383">
          <cell r="K383" t="e">
            <v>#DIV/0!</v>
          </cell>
          <cell r="O383">
            <v>0</v>
          </cell>
          <cell r="T383" t="str">
            <v/>
          </cell>
        </row>
        <row r="384">
          <cell r="K384" t="e">
            <v>#DIV/0!</v>
          </cell>
          <cell r="L384" t="str">
            <v>切断</v>
          </cell>
          <cell r="O384" t="e">
            <v>#DIV/0!</v>
          </cell>
          <cell r="T384" t="str">
            <v/>
          </cell>
        </row>
        <row r="385">
          <cell r="C385" t="e">
            <v>#N/A</v>
          </cell>
          <cell r="K385" t="e">
            <v>#DIV/0!</v>
          </cell>
          <cell r="L385" t="str">
            <v>検査</v>
          </cell>
          <cell r="T385" t="str">
            <v/>
          </cell>
        </row>
        <row r="386">
          <cell r="K386" t="e">
            <v>#DIV/0!</v>
          </cell>
          <cell r="L386" t="str">
            <v>α端材</v>
          </cell>
          <cell r="M386" t="e">
            <v>#DIV/0!</v>
          </cell>
          <cell r="O386" t="e">
            <v>#DIV/0!</v>
          </cell>
          <cell r="P386">
            <v>0</v>
          </cell>
          <cell r="T386" t="str">
            <v/>
          </cell>
        </row>
        <row r="387">
          <cell r="C387" t="str">
            <v>灯具カバーPC IN 2100　L=1923</v>
          </cell>
          <cell r="O387">
            <v>0</v>
          </cell>
          <cell r="T387" t="str">
            <v>000000000009642</v>
          </cell>
        </row>
        <row r="388">
          <cell r="O388">
            <v>0</v>
          </cell>
          <cell r="T388" t="str">
            <v>000000000009642</v>
          </cell>
        </row>
        <row r="389">
          <cell r="C389">
            <v>192</v>
          </cell>
          <cell r="O389">
            <v>0</v>
          </cell>
          <cell r="T389" t="str">
            <v>000000000009642</v>
          </cell>
        </row>
        <row r="390">
          <cell r="O390">
            <v>0</v>
          </cell>
          <cell r="T390" t="str">
            <v>000000000009642</v>
          </cell>
        </row>
        <row r="391">
          <cell r="C391">
            <v>1</v>
          </cell>
          <cell r="O391">
            <v>0</v>
          </cell>
          <cell r="T391" t="str">
            <v>000000000009642</v>
          </cell>
        </row>
        <row r="392">
          <cell r="C392" t="str">
            <v>灯具-2　L＝1996</v>
          </cell>
          <cell r="L392" t="str">
            <v>切断</v>
          </cell>
          <cell r="O392">
            <v>0</v>
          </cell>
          <cell r="T392" t="str">
            <v>000000000009642</v>
          </cell>
        </row>
        <row r="393">
          <cell r="C393">
            <v>0</v>
          </cell>
          <cell r="L393" t="str">
            <v>検査</v>
          </cell>
          <cell r="T393" t="str">
            <v>000000000009642</v>
          </cell>
        </row>
        <row r="394">
          <cell r="L394" t="str">
            <v>α端材</v>
          </cell>
          <cell r="O394">
            <v>0</v>
          </cell>
          <cell r="P394">
            <v>0</v>
          </cell>
          <cell r="T394" t="str">
            <v>000000000009642</v>
          </cell>
        </row>
        <row r="395">
          <cell r="C395" t="str">
            <v>灯具カバーPC IN 2060　L=1258.5</v>
          </cell>
          <cell r="O395">
            <v>0</v>
          </cell>
          <cell r="T395" t="str">
            <v>000000000009639</v>
          </cell>
        </row>
        <row r="396">
          <cell r="O396">
            <v>0</v>
          </cell>
          <cell r="T396" t="str">
            <v>000000000009639</v>
          </cell>
        </row>
        <row r="397">
          <cell r="C397">
            <v>192</v>
          </cell>
          <cell r="O397">
            <v>0</v>
          </cell>
          <cell r="T397" t="str">
            <v>000000000009639</v>
          </cell>
        </row>
        <row r="398">
          <cell r="O398">
            <v>0</v>
          </cell>
          <cell r="T398" t="str">
            <v>000000000009639</v>
          </cell>
        </row>
        <row r="399">
          <cell r="C399">
            <v>1</v>
          </cell>
          <cell r="O399">
            <v>0</v>
          </cell>
          <cell r="T399" t="str">
            <v>000000000009639</v>
          </cell>
        </row>
        <row r="400">
          <cell r="C400" t="str">
            <v>灯具-1　L=1370</v>
          </cell>
          <cell r="L400" t="str">
            <v>切断</v>
          </cell>
          <cell r="O400">
            <v>0</v>
          </cell>
          <cell r="T400" t="str">
            <v>000000000009639</v>
          </cell>
        </row>
        <row r="401">
          <cell r="C401">
            <v>0</v>
          </cell>
          <cell r="L401" t="str">
            <v>検査</v>
          </cell>
          <cell r="T401" t="str">
            <v>000000000009639</v>
          </cell>
        </row>
        <row r="402">
          <cell r="L402" t="str">
            <v>α端材</v>
          </cell>
          <cell r="O402">
            <v>0</v>
          </cell>
          <cell r="P402">
            <v>0</v>
          </cell>
          <cell r="T402" t="str">
            <v>000000000009639</v>
          </cell>
        </row>
        <row r="403">
          <cell r="C403" t="str">
            <v>灯具カバーPC IN 2080　L=1540</v>
          </cell>
          <cell r="O403">
            <v>0</v>
          </cell>
          <cell r="T403" t="str">
            <v>000000000009640</v>
          </cell>
        </row>
        <row r="404">
          <cell r="O404">
            <v>0</v>
          </cell>
          <cell r="T404" t="str">
            <v>000000000009640</v>
          </cell>
        </row>
        <row r="405">
          <cell r="C405">
            <v>96</v>
          </cell>
          <cell r="O405">
            <v>0</v>
          </cell>
          <cell r="T405" t="str">
            <v>000000000009640</v>
          </cell>
        </row>
        <row r="406">
          <cell r="O406">
            <v>0</v>
          </cell>
          <cell r="T406" t="str">
            <v>000000000009640</v>
          </cell>
        </row>
        <row r="407">
          <cell r="C407">
            <v>1</v>
          </cell>
          <cell r="O407">
            <v>0</v>
          </cell>
          <cell r="T407" t="str">
            <v>000000000009640</v>
          </cell>
        </row>
        <row r="408">
          <cell r="C408" t="str">
            <v>灯具-2　L＝1996</v>
          </cell>
          <cell r="L408" t="str">
            <v>切断</v>
          </cell>
          <cell r="O408">
            <v>0</v>
          </cell>
          <cell r="T408" t="str">
            <v>000000000009640</v>
          </cell>
        </row>
        <row r="409">
          <cell r="C409">
            <v>0</v>
          </cell>
          <cell r="L409" t="str">
            <v>検査</v>
          </cell>
          <cell r="T409" t="str">
            <v>000000000009640</v>
          </cell>
        </row>
        <row r="410">
          <cell r="L410" t="str">
            <v>α端材</v>
          </cell>
          <cell r="O410">
            <v>0</v>
          </cell>
          <cell r="P410">
            <v>0</v>
          </cell>
          <cell r="T410" t="str">
            <v>000000000009640</v>
          </cell>
        </row>
        <row r="411">
          <cell r="C411" t="str">
            <v>灯具カバーPC IN 2070　L=1966</v>
          </cell>
          <cell r="O411">
            <v>0</v>
          </cell>
          <cell r="T411" t="str">
            <v>000000000009643</v>
          </cell>
        </row>
        <row r="412">
          <cell r="O412">
            <v>0</v>
          </cell>
          <cell r="T412" t="str">
            <v>000000000009643</v>
          </cell>
        </row>
        <row r="413">
          <cell r="C413">
            <v>192</v>
          </cell>
          <cell r="O413">
            <v>0</v>
          </cell>
          <cell r="T413" t="str">
            <v>000000000009643</v>
          </cell>
        </row>
        <row r="414">
          <cell r="O414">
            <v>0</v>
          </cell>
          <cell r="T414" t="str">
            <v>000000000009643</v>
          </cell>
        </row>
        <row r="415">
          <cell r="C415">
            <v>1</v>
          </cell>
          <cell r="O415">
            <v>0</v>
          </cell>
          <cell r="T415" t="str">
            <v>000000000009643</v>
          </cell>
        </row>
        <row r="416">
          <cell r="C416" t="str">
            <v>灯具-2　L＝1996</v>
          </cell>
          <cell r="L416" t="str">
            <v>切断</v>
          </cell>
          <cell r="O416">
            <v>0</v>
          </cell>
          <cell r="T416" t="str">
            <v>000000000009643</v>
          </cell>
        </row>
        <row r="417">
          <cell r="C417">
            <v>0</v>
          </cell>
          <cell r="L417" t="str">
            <v>検査</v>
          </cell>
          <cell r="T417" t="str">
            <v>000000000009643</v>
          </cell>
        </row>
        <row r="418">
          <cell r="L418" t="str">
            <v>α端材</v>
          </cell>
          <cell r="O418">
            <v>0</v>
          </cell>
          <cell r="P418">
            <v>0</v>
          </cell>
          <cell r="T418" t="str">
            <v>000000000009643</v>
          </cell>
        </row>
        <row r="419">
          <cell r="C419" t="str">
            <v>灯具カバーPC IN 2070　L=1966</v>
          </cell>
          <cell r="O419">
            <v>0</v>
          </cell>
          <cell r="T419" t="str">
            <v>000000000009643</v>
          </cell>
        </row>
        <row r="420">
          <cell r="O420">
            <v>0</v>
          </cell>
          <cell r="T420" t="str">
            <v>000000000009643</v>
          </cell>
        </row>
        <row r="421">
          <cell r="C421">
            <v>208</v>
          </cell>
          <cell r="O421">
            <v>0</v>
          </cell>
          <cell r="T421" t="str">
            <v>000000000009643</v>
          </cell>
        </row>
        <row r="422">
          <cell r="O422">
            <v>0</v>
          </cell>
          <cell r="T422" t="str">
            <v>000000000009643</v>
          </cell>
        </row>
        <row r="423">
          <cell r="C423">
            <v>1</v>
          </cell>
          <cell r="O423">
            <v>0</v>
          </cell>
          <cell r="T423" t="str">
            <v>000000000009643</v>
          </cell>
        </row>
        <row r="424">
          <cell r="C424" t="str">
            <v>灯具-2　L＝1996</v>
          </cell>
          <cell r="L424" t="str">
            <v>切断</v>
          </cell>
          <cell r="O424">
            <v>0</v>
          </cell>
          <cell r="T424" t="str">
            <v>000000000009643</v>
          </cell>
        </row>
        <row r="425">
          <cell r="C425">
            <v>0</v>
          </cell>
          <cell r="L425" t="str">
            <v>検査</v>
          </cell>
          <cell r="T425" t="str">
            <v>000000000009643</v>
          </cell>
        </row>
        <row r="426">
          <cell r="L426" t="str">
            <v>α端材</v>
          </cell>
          <cell r="O426">
            <v>0</v>
          </cell>
          <cell r="P426">
            <v>0</v>
          </cell>
          <cell r="T426" t="str">
            <v>000000000009643</v>
          </cell>
        </row>
        <row r="427">
          <cell r="C427" t="str">
            <v>灯具カバーPC IN 2110　L=1815</v>
          </cell>
          <cell r="O427">
            <v>0</v>
          </cell>
          <cell r="T427" t="str">
            <v>000000000009641</v>
          </cell>
        </row>
        <row r="428">
          <cell r="O428">
            <v>0</v>
          </cell>
          <cell r="T428" t="str">
            <v>000000000009641</v>
          </cell>
        </row>
        <row r="429">
          <cell r="C429">
            <v>400</v>
          </cell>
          <cell r="O429">
            <v>0</v>
          </cell>
          <cell r="T429" t="str">
            <v>000000000009641</v>
          </cell>
        </row>
        <row r="430">
          <cell r="O430">
            <v>0</v>
          </cell>
          <cell r="T430" t="str">
            <v>000000000009641</v>
          </cell>
        </row>
        <row r="431">
          <cell r="C431">
            <v>1</v>
          </cell>
          <cell r="O431">
            <v>0</v>
          </cell>
          <cell r="T431" t="str">
            <v>000000000009641</v>
          </cell>
        </row>
        <row r="432">
          <cell r="C432" t="str">
            <v>灯具-2　L＝1996</v>
          </cell>
          <cell r="L432" t="str">
            <v>切断</v>
          </cell>
          <cell r="O432">
            <v>0</v>
          </cell>
          <cell r="T432" t="str">
            <v>000000000009641</v>
          </cell>
        </row>
        <row r="433">
          <cell r="C433">
            <v>0</v>
          </cell>
          <cell r="L433" t="str">
            <v>検査</v>
          </cell>
          <cell r="T433" t="str">
            <v>000000000009641</v>
          </cell>
        </row>
        <row r="434">
          <cell r="L434" t="str">
            <v>α端材</v>
          </cell>
          <cell r="O434">
            <v>0</v>
          </cell>
          <cell r="P434">
            <v>0</v>
          </cell>
          <cell r="T434" t="str">
            <v>000000000009641</v>
          </cell>
        </row>
        <row r="435">
          <cell r="C435" t="str">
            <v>灯具カバーPC IN 2090　L=840</v>
          </cell>
          <cell r="O435">
            <v>0</v>
          </cell>
          <cell r="T435" t="str">
            <v>000000000009636</v>
          </cell>
        </row>
        <row r="436">
          <cell r="O436">
            <v>0</v>
          </cell>
          <cell r="T436" t="str">
            <v>000000000009636</v>
          </cell>
        </row>
        <row r="437">
          <cell r="C437">
            <v>192</v>
          </cell>
          <cell r="O437">
            <v>0</v>
          </cell>
          <cell r="T437" t="str">
            <v>000000000009636</v>
          </cell>
        </row>
        <row r="438">
          <cell r="O438">
            <v>0</v>
          </cell>
          <cell r="T438" t="str">
            <v>000000000009636</v>
          </cell>
        </row>
        <row r="439">
          <cell r="C439">
            <v>1</v>
          </cell>
          <cell r="O439">
            <v>0</v>
          </cell>
          <cell r="T439" t="str">
            <v>000000000009636</v>
          </cell>
        </row>
        <row r="440">
          <cell r="C440" t="str">
            <v>灯具-3　L=970</v>
          </cell>
          <cell r="L440" t="str">
            <v>切断</v>
          </cell>
          <cell r="O440">
            <v>0</v>
          </cell>
          <cell r="T440" t="str">
            <v>000000000009636</v>
          </cell>
        </row>
        <row r="441">
          <cell r="C441">
            <v>0</v>
          </cell>
          <cell r="L441" t="str">
            <v>検査</v>
          </cell>
          <cell r="T441" t="str">
            <v>000000000009636</v>
          </cell>
        </row>
        <row r="442">
          <cell r="L442" t="str">
            <v>α端材</v>
          </cell>
          <cell r="O442">
            <v>0</v>
          </cell>
          <cell r="P442">
            <v>0</v>
          </cell>
          <cell r="T442" t="str">
            <v>000000000009636</v>
          </cell>
        </row>
        <row r="443">
          <cell r="C443" t="str">
            <v>灯具カバーPC IN 2130　L=908</v>
          </cell>
          <cell r="O443">
            <v>0</v>
          </cell>
          <cell r="T443" t="str">
            <v>000000000009637</v>
          </cell>
        </row>
        <row r="444">
          <cell r="O444">
            <v>0</v>
          </cell>
          <cell r="T444" t="str">
            <v>000000000009637</v>
          </cell>
        </row>
        <row r="445">
          <cell r="C445">
            <v>192</v>
          </cell>
          <cell r="O445">
            <v>0</v>
          </cell>
          <cell r="T445" t="str">
            <v>000000000009637</v>
          </cell>
        </row>
        <row r="446">
          <cell r="O446">
            <v>0</v>
          </cell>
          <cell r="T446" t="str">
            <v>000000000009637</v>
          </cell>
        </row>
        <row r="447">
          <cell r="C447">
            <v>1</v>
          </cell>
          <cell r="O447">
            <v>0</v>
          </cell>
          <cell r="T447" t="str">
            <v>000000000009637</v>
          </cell>
        </row>
        <row r="448">
          <cell r="C448" t="str">
            <v>灯具-3　L=970</v>
          </cell>
          <cell r="L448" t="str">
            <v>切断</v>
          </cell>
          <cell r="O448">
            <v>0</v>
          </cell>
          <cell r="T448" t="str">
            <v>000000000009637</v>
          </cell>
        </row>
        <row r="449">
          <cell r="C449">
            <v>0</v>
          </cell>
          <cell r="L449" t="str">
            <v>検査</v>
          </cell>
          <cell r="T449" t="str">
            <v>000000000009637</v>
          </cell>
        </row>
        <row r="450">
          <cell r="L450" t="str">
            <v>α端材</v>
          </cell>
          <cell r="O450">
            <v>0</v>
          </cell>
          <cell r="P450">
            <v>0</v>
          </cell>
          <cell r="T450" t="str">
            <v>000000000009637</v>
          </cell>
        </row>
        <row r="451">
          <cell r="C451" t="str">
            <v>灯具カバーPC IN 2140　L=547</v>
          </cell>
          <cell r="O451">
            <v>0</v>
          </cell>
          <cell r="T451" t="str">
            <v>000000000009635</v>
          </cell>
        </row>
        <row r="452">
          <cell r="O452">
            <v>0</v>
          </cell>
          <cell r="T452" t="str">
            <v>000000000009635</v>
          </cell>
        </row>
        <row r="453">
          <cell r="C453">
            <v>192</v>
          </cell>
          <cell r="O453">
            <v>0</v>
          </cell>
          <cell r="T453" t="str">
            <v>000000000009635</v>
          </cell>
        </row>
        <row r="454">
          <cell r="O454">
            <v>0</v>
          </cell>
          <cell r="T454" t="str">
            <v>000000000009635</v>
          </cell>
        </row>
        <row r="455">
          <cell r="C455">
            <v>1</v>
          </cell>
          <cell r="O455">
            <v>0</v>
          </cell>
          <cell r="T455" t="str">
            <v>000000000009635</v>
          </cell>
        </row>
        <row r="456">
          <cell r="C456" t="str">
            <v>灯具-1　L=1370</v>
          </cell>
          <cell r="L456" t="str">
            <v>切断</v>
          </cell>
          <cell r="O456">
            <v>0</v>
          </cell>
          <cell r="T456" t="str">
            <v>000000000009635</v>
          </cell>
        </row>
        <row r="457">
          <cell r="C457">
            <v>0</v>
          </cell>
          <cell r="L457" t="str">
            <v>検査</v>
          </cell>
          <cell r="T457" t="str">
            <v>000000000009635</v>
          </cell>
        </row>
        <row r="458">
          <cell r="L458" t="str">
            <v>α端材</v>
          </cell>
          <cell r="O458">
            <v>0</v>
          </cell>
          <cell r="P458">
            <v>0</v>
          </cell>
          <cell r="T458" t="str">
            <v>000000000009635</v>
          </cell>
        </row>
        <row r="459">
          <cell r="C459" t="str">
            <v>灯具カバーPC IN 2050　L=1183.5</v>
          </cell>
          <cell r="O459">
            <v>0</v>
          </cell>
          <cell r="T459" t="str">
            <v>000000000009638</v>
          </cell>
        </row>
        <row r="460">
          <cell r="O460">
            <v>0</v>
          </cell>
          <cell r="T460" t="str">
            <v>000000000009638</v>
          </cell>
        </row>
        <row r="461">
          <cell r="C461">
            <v>192</v>
          </cell>
          <cell r="O461">
            <v>0</v>
          </cell>
          <cell r="T461" t="str">
            <v>000000000009638</v>
          </cell>
        </row>
        <row r="462">
          <cell r="O462">
            <v>0</v>
          </cell>
          <cell r="T462" t="str">
            <v>000000000009638</v>
          </cell>
        </row>
        <row r="463">
          <cell r="C463">
            <v>1</v>
          </cell>
          <cell r="O463">
            <v>0</v>
          </cell>
          <cell r="T463" t="str">
            <v>000000000009638</v>
          </cell>
        </row>
        <row r="464">
          <cell r="C464" t="str">
            <v>灯具-1　L=1370</v>
          </cell>
          <cell r="L464" t="str">
            <v>切断</v>
          </cell>
          <cell r="O464">
            <v>0</v>
          </cell>
          <cell r="T464" t="str">
            <v>000000000009638</v>
          </cell>
        </row>
        <row r="465">
          <cell r="C465">
            <v>0</v>
          </cell>
          <cell r="L465" t="str">
            <v>検査</v>
          </cell>
          <cell r="T465" t="str">
            <v>000000000009638</v>
          </cell>
        </row>
        <row r="466">
          <cell r="L466" t="str">
            <v>α端材</v>
          </cell>
          <cell r="O466">
            <v>0</v>
          </cell>
          <cell r="P466">
            <v>0</v>
          </cell>
          <cell r="T466" t="str">
            <v>000000000009638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A1" t="str">
            <v>品目コード</v>
          </cell>
          <cell r="B1" t="str">
            <v>品名</v>
          </cell>
          <cell r="J1" t="str">
            <v>温度換算</v>
          </cell>
          <cell r="K1" t="str">
            <v>下限公差</v>
          </cell>
          <cell r="L1" t="str">
            <v>上限公差</v>
          </cell>
          <cell r="P1" t="str">
            <v>取数</v>
          </cell>
          <cell r="R1" t="str">
            <v>梱包方法</v>
          </cell>
          <cell r="V1" t="str">
            <v>備考１</v>
          </cell>
          <cell r="W1" t="str">
            <v>備考２</v>
          </cell>
          <cell r="AC1" t="str">
            <v>切断寸法</v>
          </cell>
        </row>
        <row r="2">
          <cell r="A2" t="str">
            <v>J1JAZZB05412100</v>
          </cell>
          <cell r="B2" t="str">
            <v>黒板灯ﾌﾟﾘｽﾞﾑｶﾊﾞｰ　L=1210</v>
          </cell>
          <cell r="J2" t="str">
            <v>〇</v>
          </cell>
          <cell r="P2">
            <v>2</v>
          </cell>
          <cell r="R2" t="str">
            <v>ラベル貼付1枚　(中央)　仮梱包</v>
          </cell>
          <cell r="V2" t="str">
            <v>最上段のみ　一部ﾃｰﾋﾟﾝｸﾞ</v>
          </cell>
          <cell r="W2" t="str">
            <v>識別シール貼付</v>
          </cell>
          <cell r="AC2" t="str">
            <v>換算表確認</v>
          </cell>
        </row>
        <row r="3">
          <cell r="A3" t="str">
            <v>J1JAZZB07012100</v>
          </cell>
          <cell r="B3" t="str">
            <v>ｺﾝﾌｫｰﾄ用ﾌﾟﾘｽﾞﾑｶﾊﾞｰL1210</v>
          </cell>
          <cell r="J3" t="str">
            <v>〇</v>
          </cell>
          <cell r="P3">
            <v>2</v>
          </cell>
          <cell r="R3" t="str">
            <v>ラベル貼付1枚　(中央)　仮梱包</v>
          </cell>
          <cell r="V3" t="str">
            <v>最上段のみ　一部ﾃｰﾋﾟﾝｸﾞ</v>
          </cell>
          <cell r="W3" t="str">
            <v>識別シール貼付</v>
          </cell>
          <cell r="AC3" t="str">
            <v>換算表確認</v>
          </cell>
        </row>
        <row r="4">
          <cell r="A4" t="str">
            <v>J1JAZZB10802970</v>
          </cell>
          <cell r="B4" t="str">
            <v>8FL281304 4810　L=297</v>
          </cell>
          <cell r="J4" t="str">
            <v>〇</v>
          </cell>
          <cell r="K4" t="str">
            <v>－0.5</v>
          </cell>
          <cell r="L4" t="str">
            <v>+0.5</v>
          </cell>
          <cell r="P4">
            <v>6</v>
          </cell>
          <cell r="R4" t="str">
            <v>ラベル１枚　長手無　鉢巻１回</v>
          </cell>
          <cell r="V4" t="str">
            <v>1箱目の梱包数 目視確認　以降、重量測定</v>
          </cell>
          <cell r="W4" t="str">
            <v>クラフト紙：592型　1/2</v>
          </cell>
          <cell r="AC4" t="str">
            <v>換算表確認</v>
          </cell>
        </row>
        <row r="5">
          <cell r="A5" t="str">
            <v>J1JAZZB10804440</v>
          </cell>
          <cell r="B5" t="str">
            <v>8FL281304 8110　L=444</v>
          </cell>
          <cell r="J5" t="str">
            <v>〇</v>
          </cell>
          <cell r="K5" t="str">
            <v>-1</v>
          </cell>
          <cell r="L5" t="str">
            <v>+0</v>
          </cell>
          <cell r="P5">
            <v>4</v>
          </cell>
          <cell r="R5" t="str">
            <v>ラベル１枚　長手無　鉢巻１回</v>
          </cell>
          <cell r="V5" t="str">
            <v>1箱目の梱包数 目視確認　以降、重量測定</v>
          </cell>
          <cell r="W5" t="str">
            <v>L=888用　クラフト紙　1/2</v>
          </cell>
          <cell r="AC5" t="str">
            <v>換算表確認</v>
          </cell>
        </row>
        <row r="6">
          <cell r="A6" t="str">
            <v>J1JAZZB10805920</v>
          </cell>
          <cell r="B6" t="str">
            <v>8FL281304 4910　L=592</v>
          </cell>
          <cell r="J6" t="str">
            <v>〇</v>
          </cell>
          <cell r="K6" t="str">
            <v>-1</v>
          </cell>
          <cell r="L6" t="str">
            <v>+0</v>
          </cell>
          <cell r="P6">
            <v>3</v>
          </cell>
          <cell r="R6" t="str">
            <v>ラベル１枚　長手無　鉢巻１回</v>
          </cell>
          <cell r="V6" t="str">
            <v>1箱目の梱包数 目視確認　以降、重量測定</v>
          </cell>
          <cell r="W6" t="str">
            <v>クラフト紙：592型</v>
          </cell>
          <cell r="AC6" t="str">
            <v>換算表確認</v>
          </cell>
        </row>
        <row r="7">
          <cell r="A7" t="str">
            <v>J1JAZZB10807480</v>
          </cell>
          <cell r="B7" t="str">
            <v>8FL281304 8310　L=748</v>
          </cell>
          <cell r="J7" t="str">
            <v>〇</v>
          </cell>
          <cell r="K7" t="str">
            <v>－0.5</v>
          </cell>
          <cell r="L7" t="str">
            <v>+0.5</v>
          </cell>
          <cell r="P7">
            <v>2</v>
          </cell>
          <cell r="R7" t="str">
            <v>ラベル１枚　長手無　鉢巻１回</v>
          </cell>
          <cell r="V7" t="str">
            <v>1箱目の梱包数 目視確認　以降、重量測定</v>
          </cell>
          <cell r="W7" t="str">
            <v>L=888用　クラフト紙</v>
          </cell>
          <cell r="AC7" t="str">
            <v>換算表確認</v>
          </cell>
        </row>
        <row r="8">
          <cell r="A8" t="str">
            <v>J1JAZZB10808880</v>
          </cell>
          <cell r="B8" t="str">
            <v>8FL281304 5010　L=888</v>
          </cell>
          <cell r="J8" t="str">
            <v>〇</v>
          </cell>
          <cell r="K8" t="str">
            <v>－0.5</v>
          </cell>
          <cell r="L8" t="str">
            <v>+0.5</v>
          </cell>
          <cell r="P8">
            <v>2</v>
          </cell>
          <cell r="R8" t="str">
            <v>ラベル１枚　長手無　鉢巻１回</v>
          </cell>
          <cell r="V8" t="str">
            <v>1箱目の梱包数 目視確認　以降、重量測定</v>
          </cell>
          <cell r="W8" t="str">
            <v>L=888用　クラフト紙</v>
          </cell>
          <cell r="AC8" t="str">
            <v>換算表確認</v>
          </cell>
        </row>
        <row r="9">
          <cell r="A9" t="str">
            <v>J1JAZZB10811830</v>
          </cell>
          <cell r="B9" t="str">
            <v>8FL281304 5110　L=1183</v>
          </cell>
          <cell r="J9" t="str">
            <v>〇</v>
          </cell>
          <cell r="K9" t="str">
            <v>－0.5</v>
          </cell>
          <cell r="L9" t="str">
            <v>+0.5</v>
          </cell>
          <cell r="P9">
            <v>1</v>
          </cell>
          <cell r="R9" t="str">
            <v>ラベル１枚　長手無　鉢巻１回</v>
          </cell>
          <cell r="V9" t="str">
            <v>1箱目の梱包数 目視確認　以降、重量測定</v>
          </cell>
          <cell r="W9" t="str">
            <v>クラフト紙：1370型</v>
          </cell>
          <cell r="AC9" t="str">
            <v>換算表確認</v>
          </cell>
        </row>
        <row r="10">
          <cell r="A10" t="str">
            <v>J1JAZZB10813290</v>
          </cell>
          <cell r="B10" t="str">
            <v>8FL281304 8010　L=1329</v>
          </cell>
          <cell r="J10" t="str">
            <v>〇</v>
          </cell>
          <cell r="K10" t="str">
            <v>－0.5</v>
          </cell>
          <cell r="L10" t="str">
            <v>+0.5</v>
          </cell>
          <cell r="P10">
            <v>1</v>
          </cell>
          <cell r="R10" t="str">
            <v>ラベル１枚　長手無　鉢巻１回</v>
          </cell>
          <cell r="V10" t="str">
            <v>1箱目の梱包数 目視確認　以降、重量測定</v>
          </cell>
          <cell r="W10" t="str">
            <v>クラフト紙：1370型</v>
          </cell>
          <cell r="AC10" t="str">
            <v>換算表確認</v>
          </cell>
        </row>
        <row r="11">
          <cell r="A11" t="str">
            <v>J1JAZZB10814780</v>
          </cell>
          <cell r="B11" t="str">
            <v>8FL281304 6110　L=1478</v>
          </cell>
          <cell r="J11" t="str">
            <v>〇</v>
          </cell>
          <cell r="K11" t="str">
            <v>－0.5</v>
          </cell>
          <cell r="L11" t="str">
            <v>+0.5</v>
          </cell>
          <cell r="P11">
            <v>1</v>
          </cell>
          <cell r="R11" t="str">
            <v>ラベル１枚　長手無　鉢巻１回</v>
          </cell>
          <cell r="V11" t="str">
            <v>1箱目の梱包数 目視確認　以降、重量測定</v>
          </cell>
          <cell r="W11" t="str">
            <v>クラフト紙：1478型</v>
          </cell>
          <cell r="AC11" t="str">
            <v>換算表確認</v>
          </cell>
        </row>
        <row r="12">
          <cell r="A12" t="str">
            <v>J1JAZZB11805920</v>
          </cell>
          <cell r="B12" t="str">
            <v>8FL281304 4920　L=592　クリア</v>
          </cell>
          <cell r="J12" t="str">
            <v>〇</v>
          </cell>
          <cell r="K12" t="str">
            <v>－0.5</v>
          </cell>
          <cell r="L12" t="str">
            <v>+0.5</v>
          </cell>
          <cell r="P12">
            <v>3</v>
          </cell>
          <cell r="R12" t="str">
            <v>ラベル１枚　長手無　鉢巻１回</v>
          </cell>
          <cell r="V12" t="str">
            <v>1箱目の梱包数 目視確認　以降、重量測定</v>
          </cell>
          <cell r="W12" t="str">
            <v>クラフト紙：1370型</v>
          </cell>
          <cell r="AC12" t="str">
            <v>換算表確認</v>
          </cell>
        </row>
        <row r="13">
          <cell r="A13" t="str">
            <v>J1JAZZB11808880</v>
          </cell>
          <cell r="B13" t="str">
            <v>8FL281304 5020　L=888　クリア</v>
          </cell>
          <cell r="J13" t="str">
            <v>〇</v>
          </cell>
          <cell r="K13" t="str">
            <v>－0.5</v>
          </cell>
          <cell r="L13" t="str">
            <v>+0.5</v>
          </cell>
          <cell r="P13">
            <v>2</v>
          </cell>
          <cell r="R13" t="str">
            <v>ラベル１枚　長手無　鉢巻１回</v>
          </cell>
          <cell r="V13" t="str">
            <v>1箱目の梱包数 目視確認　以降、重量測定</v>
          </cell>
          <cell r="W13" t="str">
            <v>L=888用　クラフト紙</v>
          </cell>
          <cell r="AC13" t="str">
            <v>換算表確認</v>
          </cell>
        </row>
        <row r="14">
          <cell r="A14" t="str">
            <v>J1JAZZB11811830</v>
          </cell>
          <cell r="B14" t="str">
            <v>8FL281304 5120　L=1183　クリア</v>
          </cell>
          <cell r="J14" t="str">
            <v>〇</v>
          </cell>
          <cell r="K14" t="str">
            <v>－0.5</v>
          </cell>
          <cell r="L14" t="str">
            <v>+0.5</v>
          </cell>
          <cell r="P14">
            <v>1</v>
          </cell>
          <cell r="R14" t="str">
            <v>ラベル１枚　長手無　鉢巻１回</v>
          </cell>
          <cell r="V14" t="str">
            <v>1箱目の梱包数 目視確認　以降、重量測定</v>
          </cell>
          <cell r="W14" t="str">
            <v>クラフト紙：1370型</v>
          </cell>
          <cell r="AC14" t="str">
            <v>換算表確認</v>
          </cell>
        </row>
        <row r="15">
          <cell r="A15" t="str">
            <v>J1JAZZB11814780</v>
          </cell>
          <cell r="B15" t="str">
            <v>8FL281304 6120　L=1478　クリア</v>
          </cell>
          <cell r="J15" t="str">
            <v>〇</v>
          </cell>
          <cell r="K15" t="str">
            <v>－0.5</v>
          </cell>
          <cell r="L15" t="str">
            <v>+0.5</v>
          </cell>
          <cell r="P15">
            <v>1</v>
          </cell>
          <cell r="R15" t="str">
            <v>ラベル１枚　長手無　鉢巻１回</v>
          </cell>
          <cell r="V15" t="str">
            <v>1箱目の梱包数 目視確認　以降、重量測定</v>
          </cell>
          <cell r="W15" t="str">
            <v>クラフト紙：1478型</v>
          </cell>
          <cell r="AC15" t="str">
            <v>換算表確認</v>
          </cell>
        </row>
        <row r="16">
          <cell r="A16" t="str">
            <v>J1JAZZB05605540</v>
          </cell>
          <cell r="B16" t="str">
            <v>ランプシェード　SL-600</v>
          </cell>
          <cell r="J16" t="str">
            <v>〇</v>
          </cell>
          <cell r="K16" t="str">
            <v>-1.5</v>
          </cell>
          <cell r="L16" t="str">
            <v>+1.5</v>
          </cell>
          <cell r="P16">
            <v>2</v>
          </cell>
          <cell r="V16" t="str">
            <v>KISCOラベル小口右上に貼付</v>
          </cell>
          <cell r="AC16" t="str">
            <v>換算表確認</v>
          </cell>
        </row>
        <row r="17">
          <cell r="A17" t="str">
            <v>J1JAZZB11411920</v>
          </cell>
          <cell r="B17" t="str">
            <v>NNN33000W</v>
          </cell>
          <cell r="J17" t="str">
            <v>〇</v>
          </cell>
          <cell r="P17">
            <v>2</v>
          </cell>
          <cell r="R17" t="str">
            <v>ラベル１枚　長手無　鉢巻１回</v>
          </cell>
          <cell r="AC17" t="str">
            <v>換算表確認</v>
          </cell>
        </row>
        <row r="18">
          <cell r="A18" t="str">
            <v>J1JAZZB11311920</v>
          </cell>
          <cell r="B18" t="str">
            <v>NNN35000W</v>
          </cell>
          <cell r="J18" t="str">
            <v>〇</v>
          </cell>
          <cell r="P18">
            <v>2</v>
          </cell>
          <cell r="R18" t="str">
            <v>ラベル１枚　長手無　鉢巻１回</v>
          </cell>
          <cell r="AC18" t="str">
            <v>換算表確認</v>
          </cell>
        </row>
        <row r="19">
          <cell r="A19" t="str">
            <v>J1JAZZB12514780</v>
          </cell>
          <cell r="B19" t="str">
            <v>NNN36500-3</v>
          </cell>
          <cell r="J19" t="str">
            <v>〇</v>
          </cell>
          <cell r="K19">
            <v>-1</v>
          </cell>
          <cell r="L19" t="str">
            <v>+1</v>
          </cell>
          <cell r="P19">
            <v>1</v>
          </cell>
          <cell r="AC19" t="str">
            <v>換算表確認</v>
          </cell>
        </row>
        <row r="20">
          <cell r="A20" t="str">
            <v>J1JAZZB12511870</v>
          </cell>
          <cell r="B20" t="str">
            <v>NNN36500-3-2</v>
          </cell>
          <cell r="J20" t="str">
            <v>〇</v>
          </cell>
          <cell r="K20">
            <v>-1</v>
          </cell>
          <cell r="L20" t="str">
            <v>+1</v>
          </cell>
          <cell r="P20">
            <v>2</v>
          </cell>
          <cell r="AC20" t="str">
            <v>換算表確認</v>
          </cell>
        </row>
        <row r="21">
          <cell r="A21" t="str">
            <v>J1JAZZB12508870</v>
          </cell>
          <cell r="B21" t="str">
            <v>NNN36500-3-3</v>
          </cell>
          <cell r="J21" t="str">
            <v>〇</v>
          </cell>
          <cell r="K21">
            <v>-1</v>
          </cell>
          <cell r="L21" t="str">
            <v>+1</v>
          </cell>
          <cell r="P21">
            <v>2</v>
          </cell>
          <cell r="AC21" t="str">
            <v>換算表確認</v>
          </cell>
        </row>
        <row r="22">
          <cell r="A22" t="str">
            <v>J1JAZZB12505960</v>
          </cell>
          <cell r="B22" t="str">
            <v>NNN36500-3-4</v>
          </cell>
          <cell r="J22" t="str">
            <v>〇</v>
          </cell>
          <cell r="K22">
            <v>-1</v>
          </cell>
          <cell r="L22" t="str">
            <v>+1</v>
          </cell>
          <cell r="P22">
            <v>3</v>
          </cell>
          <cell r="AC22" t="str">
            <v>換算表確認</v>
          </cell>
        </row>
        <row r="23">
          <cell r="A23" t="str">
            <v>J1ZAFJB00219660</v>
          </cell>
          <cell r="B23" t="str">
            <v>灯具カバーPC IN 2070　L=1966</v>
          </cell>
          <cell r="J23" t="str">
            <v>-</v>
          </cell>
          <cell r="K23">
            <v>-2</v>
          </cell>
          <cell r="L23" t="str">
            <v>+2</v>
          </cell>
          <cell r="P23">
            <v>1</v>
          </cell>
          <cell r="R23" t="str">
            <v>ラベル2枚　長手有　鉢巻１</v>
          </cell>
          <cell r="V23" t="str">
            <v>梱包箱:1996</v>
          </cell>
          <cell r="W23" t="str">
            <v>クラフト紙：1996型</v>
          </cell>
          <cell r="AC23" t="str">
            <v>換算表確認</v>
          </cell>
        </row>
        <row r="24">
          <cell r="A24" t="str">
            <v>J1ZAFJB00219230</v>
          </cell>
          <cell r="B24" t="str">
            <v>灯具カバーPC IN 2100　L=1923</v>
          </cell>
          <cell r="J24" t="str">
            <v>-</v>
          </cell>
          <cell r="K24">
            <v>-2</v>
          </cell>
          <cell r="L24" t="str">
            <v>+2</v>
          </cell>
          <cell r="P24">
            <v>1</v>
          </cell>
          <cell r="R24" t="str">
            <v>ラベル2枚　長手有　鉢巻１</v>
          </cell>
          <cell r="V24" t="str">
            <v>梱包:箱1996</v>
          </cell>
          <cell r="W24" t="str">
            <v>クラフト紙：1996型</v>
          </cell>
          <cell r="AC24" t="str">
            <v>換算表確認</v>
          </cell>
        </row>
        <row r="25">
          <cell r="A25" t="str">
            <v>J1ZAFJB00218150</v>
          </cell>
          <cell r="B25" t="str">
            <v>灯具カバーPC IN 2110　L=1815</v>
          </cell>
          <cell r="J25" t="str">
            <v>-</v>
          </cell>
          <cell r="K25">
            <v>-2</v>
          </cell>
          <cell r="L25" t="str">
            <v>+2</v>
          </cell>
          <cell r="P25">
            <v>1</v>
          </cell>
          <cell r="R25" t="str">
            <v>ラベル2枚　長手有　鉢巻１</v>
          </cell>
          <cell r="V25" t="str">
            <v>梱包:箱1996　隙間埋め</v>
          </cell>
          <cell r="W25" t="str">
            <v>クラフト紙：1996型</v>
          </cell>
          <cell r="AC25" t="str">
            <v>換算表確認</v>
          </cell>
        </row>
        <row r="26">
          <cell r="A26" t="str">
            <v>J1ZAFJB00215400</v>
          </cell>
          <cell r="B26" t="str">
            <v>灯具カバーPC IN 2080　L=1540</v>
          </cell>
          <cell r="J26" t="str">
            <v>-</v>
          </cell>
          <cell r="K26">
            <v>-2</v>
          </cell>
          <cell r="L26" t="str">
            <v>+2</v>
          </cell>
          <cell r="P26">
            <v>1</v>
          </cell>
          <cell r="R26" t="str">
            <v>ラベル2枚　長手有　鉢巻１</v>
          </cell>
          <cell r="V26" t="str">
            <v>梱包箱:1996(切詰)</v>
          </cell>
          <cell r="W26" t="str">
            <v>クラフト紙：切詰</v>
          </cell>
          <cell r="AC26" t="str">
            <v>換算表確認</v>
          </cell>
        </row>
        <row r="27">
          <cell r="A27" t="str">
            <v>J1ZAFJB00212585</v>
          </cell>
          <cell r="B27" t="str">
            <v>灯具カバーPC IN 2060　L=1258.5</v>
          </cell>
          <cell r="J27" t="str">
            <v>-</v>
          </cell>
          <cell r="K27">
            <v>-2</v>
          </cell>
          <cell r="L27" t="str">
            <v>+2</v>
          </cell>
          <cell r="P27">
            <v>1</v>
          </cell>
          <cell r="R27" t="str">
            <v>ラベル2枚　長手有　鉢巻１</v>
          </cell>
          <cell r="V27" t="str">
            <v>梱包箱:1370　隙間埋め</v>
          </cell>
          <cell r="W27" t="str">
            <v>クラフト紙：1370型</v>
          </cell>
          <cell r="AC27" t="str">
            <v>換算表確認</v>
          </cell>
        </row>
        <row r="28">
          <cell r="A28" t="str">
            <v>J1ZAFJB00211835</v>
          </cell>
          <cell r="B28" t="str">
            <v>灯具カバーPC IN 2050　L=1183.5</v>
          </cell>
          <cell r="J28" t="str">
            <v>-</v>
          </cell>
          <cell r="K28">
            <v>-2</v>
          </cell>
          <cell r="L28" t="str">
            <v>+2</v>
          </cell>
          <cell r="P28">
            <v>1</v>
          </cell>
          <cell r="R28" t="str">
            <v>ラベル2枚　長手有　鉢巻１</v>
          </cell>
          <cell r="V28" t="str">
            <v>梱包箱:1370　隙間埋め</v>
          </cell>
          <cell r="W28" t="str">
            <v>クラフト紙：1370型</v>
          </cell>
          <cell r="AC28" t="str">
            <v>換算表確認</v>
          </cell>
        </row>
        <row r="29">
          <cell r="A29" t="str">
            <v>J1ZAFJB00209080</v>
          </cell>
          <cell r="B29" t="str">
            <v>灯具カバーPC IN 2130　L=908</v>
          </cell>
          <cell r="J29" t="str">
            <v>-</v>
          </cell>
          <cell r="K29">
            <v>-2</v>
          </cell>
          <cell r="L29" t="str">
            <v>+2</v>
          </cell>
          <cell r="P29">
            <v>1</v>
          </cell>
          <cell r="R29" t="str">
            <v>ラベル２枚　長手有　鉢巻無</v>
          </cell>
          <cell r="V29" t="str">
            <v>梱包:1370(切詰)</v>
          </cell>
          <cell r="W29" t="str">
            <v>クラフト紙：1996型　1/2</v>
          </cell>
          <cell r="AC29" t="str">
            <v>換算表確認</v>
          </cell>
        </row>
        <row r="30">
          <cell r="A30" t="str">
            <v>J1ZAFJB00208400</v>
          </cell>
          <cell r="B30" t="str">
            <v>灯具カバーPC IN 2090　L=840</v>
          </cell>
          <cell r="J30" t="str">
            <v>-</v>
          </cell>
          <cell r="K30">
            <v>-2</v>
          </cell>
          <cell r="L30" t="str">
            <v>+2</v>
          </cell>
          <cell r="P30">
            <v>1</v>
          </cell>
          <cell r="R30" t="str">
            <v>ラベル２枚　長手有　鉢巻無</v>
          </cell>
          <cell r="V30" t="str">
            <v>梱包:1996(840×2)</v>
          </cell>
          <cell r="W30" t="str">
            <v>クラフト紙：1996型　1/2</v>
          </cell>
          <cell r="AC30" t="str">
            <v>換算表確認</v>
          </cell>
        </row>
        <row r="31">
          <cell r="A31" t="str">
            <v>J1ZAFJB00205470</v>
          </cell>
          <cell r="B31" t="str">
            <v>灯具カバーPC IN 2140　L=547</v>
          </cell>
          <cell r="J31" t="str">
            <v>-</v>
          </cell>
          <cell r="K31">
            <v>-2</v>
          </cell>
          <cell r="L31" t="str">
            <v>+2</v>
          </cell>
          <cell r="P31">
            <v>1</v>
          </cell>
          <cell r="R31" t="str">
            <v>ラベル２枚　長手有　鉢巻無</v>
          </cell>
          <cell r="V31" t="str">
            <v>梱包箱:1370(592×2)</v>
          </cell>
          <cell r="W31" t="str">
            <v>クラフト紙：1370型　1/2</v>
          </cell>
          <cell r="AC31" t="str">
            <v>換算表確認</v>
          </cell>
        </row>
        <row r="32">
          <cell r="A32" t="str">
            <v>J1ZAFJB00212640</v>
          </cell>
          <cell r="B32" t="str">
            <v>灯具カバーPC IN 2490　L=1264</v>
          </cell>
          <cell r="J32" t="str">
            <v>-</v>
          </cell>
          <cell r="K32">
            <v>-2</v>
          </cell>
          <cell r="L32" t="str">
            <v>+2</v>
          </cell>
          <cell r="P32">
            <v>1</v>
          </cell>
          <cell r="R32" t="str">
            <v>ラベル2枚　長手有　鉢巻１</v>
          </cell>
          <cell r="V32" t="str">
            <v>梱包箱:1370　隙間埋め</v>
          </cell>
          <cell r="W32" t="str">
            <v>クラフト紙：1370型</v>
          </cell>
          <cell r="AC32" t="str">
            <v>換算表確認</v>
          </cell>
        </row>
        <row r="33">
          <cell r="A33" t="str">
            <v>J1ZAFJB00212380</v>
          </cell>
          <cell r="B33" t="str">
            <v>灯具カバーPC IN 2500　L=1238</v>
          </cell>
          <cell r="J33" t="str">
            <v>-</v>
          </cell>
          <cell r="K33">
            <v>-2</v>
          </cell>
          <cell r="L33" t="str">
            <v>+2</v>
          </cell>
          <cell r="P33">
            <v>1</v>
          </cell>
          <cell r="R33" t="str">
            <v>ラベル2枚　長手有　鉢巻１</v>
          </cell>
          <cell r="V33" t="str">
            <v>梱包箱:1370　隙間埋め</v>
          </cell>
          <cell r="W33" t="str">
            <v>クラフト紙：1370型</v>
          </cell>
          <cell r="AC33" t="str">
            <v>換算表確認</v>
          </cell>
        </row>
        <row r="34">
          <cell r="A34" t="str">
            <v>J1ZAFJB00212910</v>
          </cell>
          <cell r="B34" t="str">
            <v>灯具カバーPC IN 2460　L=1291</v>
          </cell>
          <cell r="J34" t="str">
            <v>-</v>
          </cell>
          <cell r="K34">
            <v>-2</v>
          </cell>
          <cell r="L34" t="str">
            <v>+2</v>
          </cell>
          <cell r="P34">
            <v>1</v>
          </cell>
          <cell r="R34" t="str">
            <v>ラベル2枚　長手有　鉢巻１</v>
          </cell>
          <cell r="V34" t="str">
            <v>梱包箱:1370　隙間埋め</v>
          </cell>
          <cell r="W34" t="str">
            <v>クラフト紙：1370型</v>
          </cell>
          <cell r="AC34" t="str">
            <v>換算表確認</v>
          </cell>
        </row>
        <row r="35">
          <cell r="A35" t="str">
            <v>J1ZAFJB00216480</v>
          </cell>
          <cell r="B35" t="str">
            <v>灯具カバーPC IN 2470　L=1648</v>
          </cell>
          <cell r="J35" t="str">
            <v>-</v>
          </cell>
          <cell r="K35">
            <v>-2</v>
          </cell>
          <cell r="L35" t="str">
            <v>+2</v>
          </cell>
          <cell r="P35">
            <v>1</v>
          </cell>
          <cell r="R35" t="str">
            <v>ラベル2枚　長手有　鉢巻１</v>
          </cell>
          <cell r="V35" t="str">
            <v>梱包箱:1996(切詰)</v>
          </cell>
          <cell r="W35" t="str">
            <v>クラフト紙：切詰</v>
          </cell>
          <cell r="AC35" t="str">
            <v>換算表確認</v>
          </cell>
        </row>
        <row r="36">
          <cell r="A36" t="str">
            <v>J1ZAFJB00209540</v>
          </cell>
          <cell r="B36" t="str">
            <v>灯具カバーPC IN 2480　L=954</v>
          </cell>
          <cell r="J36" t="str">
            <v>-</v>
          </cell>
          <cell r="K36">
            <v>-2</v>
          </cell>
          <cell r="L36" t="str">
            <v>+2</v>
          </cell>
          <cell r="P36">
            <v>1</v>
          </cell>
          <cell r="R36" t="str">
            <v>ラベル2枚　長手有　鉢巻１</v>
          </cell>
          <cell r="V36" t="str">
            <v>梱包:1370(切詰)　</v>
          </cell>
          <cell r="W36" t="str">
            <v>クラフト紙：1996型　1/2</v>
          </cell>
          <cell r="AC36" t="str">
            <v>換算表確認</v>
          </cell>
        </row>
        <row r="37">
          <cell r="A37" t="str">
            <v>J1ZAFJB00113340</v>
          </cell>
          <cell r="B37" t="str">
            <v>灯具カバーPC  　7520    L=1334</v>
          </cell>
          <cell r="J37" t="str">
            <v>〇</v>
          </cell>
          <cell r="K37">
            <v>-2</v>
          </cell>
          <cell r="L37" t="str">
            <v>+2</v>
          </cell>
          <cell r="P37">
            <v>1</v>
          </cell>
          <cell r="R37" t="str">
            <v>ラベル2枚　長手有　鉢巻１</v>
          </cell>
          <cell r="V37" t="str">
            <v>梱包箱:薄型1334</v>
          </cell>
          <cell r="W37" t="str">
            <v>クラフト紙：1370型</v>
          </cell>
          <cell r="AC37" t="str">
            <v>換算表確認</v>
          </cell>
        </row>
        <row r="38">
          <cell r="A38" t="str">
            <v>J1ZAFJB00113095</v>
          </cell>
          <cell r="B38" t="str">
            <v>灯具カバーPC  　2180    L=1309.5</v>
          </cell>
          <cell r="J38" t="str">
            <v>〇</v>
          </cell>
          <cell r="K38">
            <v>-2</v>
          </cell>
          <cell r="L38" t="str">
            <v>+2</v>
          </cell>
          <cell r="P38">
            <v>1</v>
          </cell>
          <cell r="R38" t="str">
            <v>ラベル2枚　長手有　鉢巻１</v>
          </cell>
          <cell r="V38" t="str">
            <v>梱包箱:薄型1334</v>
          </cell>
          <cell r="W38" t="str">
            <v>クラフト紙：1370型</v>
          </cell>
          <cell r="AC38" t="str">
            <v>換算表確認</v>
          </cell>
        </row>
        <row r="39">
          <cell r="A39" t="str">
            <v>J1ZAFJB00112790</v>
          </cell>
          <cell r="B39" t="str">
            <v>灯具カバーPC  　2170    L=1279</v>
          </cell>
          <cell r="J39" t="str">
            <v>〇</v>
          </cell>
          <cell r="K39">
            <v>-2</v>
          </cell>
          <cell r="L39" t="str">
            <v>+2</v>
          </cell>
          <cell r="P39">
            <v>1</v>
          </cell>
          <cell r="R39" t="str">
            <v>ラベル2枚　長手有　鉢巻１</v>
          </cell>
          <cell r="V39" t="str">
            <v>梱包箱:薄型1334</v>
          </cell>
          <cell r="W39" t="str">
            <v>クラフト紙：1370型</v>
          </cell>
          <cell r="AC39" t="str">
            <v>換算表確認</v>
          </cell>
        </row>
        <row r="40">
          <cell r="A40" t="str">
            <v>J1ZAFJB00112400</v>
          </cell>
          <cell r="B40" t="str">
            <v>灯具カバーPC  　2190    L=1240</v>
          </cell>
          <cell r="J40" t="str">
            <v>〇</v>
          </cell>
          <cell r="K40">
            <v>-2</v>
          </cell>
          <cell r="L40" t="str">
            <v>+2</v>
          </cell>
          <cell r="P40">
            <v>1</v>
          </cell>
          <cell r="R40" t="str">
            <v>ラベル2枚　長手有　鉢巻１</v>
          </cell>
          <cell r="V40" t="str">
            <v>梱包箱:薄型1334</v>
          </cell>
          <cell r="W40" t="str">
            <v>クラフト紙：1370型</v>
          </cell>
          <cell r="AC40" t="str">
            <v>換算表確認</v>
          </cell>
        </row>
        <row r="41">
          <cell r="A41" t="str">
            <v>J1ZAFJB00106133</v>
          </cell>
          <cell r="B41" t="str">
            <v>灯具カバーPC  　2160    L=613.3</v>
          </cell>
          <cell r="J41" t="str">
            <v>〇</v>
          </cell>
          <cell r="K41">
            <v>-2</v>
          </cell>
          <cell r="L41" t="str">
            <v>+2</v>
          </cell>
          <cell r="P41">
            <v>2</v>
          </cell>
          <cell r="R41" t="str">
            <v>ラベル２枚　長手有　鉢巻無</v>
          </cell>
          <cell r="V41" t="str">
            <v>梱包箱:薄型1334　1/2</v>
          </cell>
          <cell r="W41" t="str">
            <v>クラフト紙：1370型　1/2</v>
          </cell>
          <cell r="AC41" t="str">
            <v>換算表確認</v>
          </cell>
        </row>
        <row r="42">
          <cell r="A42" t="str">
            <v>J1ZAFJB00105650</v>
          </cell>
          <cell r="B42" t="str">
            <v>灯具カバーPC  　7530    L=565</v>
          </cell>
          <cell r="J42" t="str">
            <v>〇</v>
          </cell>
          <cell r="K42">
            <v>-2</v>
          </cell>
          <cell r="L42" t="str">
            <v>+2</v>
          </cell>
          <cell r="P42">
            <v>2</v>
          </cell>
          <cell r="R42" t="str">
            <v>ラベル２枚　長手有　鉢巻無</v>
          </cell>
          <cell r="V42" t="str">
            <v>梱包箱:薄型1334　1/2</v>
          </cell>
          <cell r="W42" t="str">
            <v>クラフト紙：1370型　1/2</v>
          </cell>
          <cell r="AC42" t="str">
            <v>換算表確認</v>
          </cell>
        </row>
        <row r="43">
          <cell r="A43" t="str">
            <v>J1ZAFJB00102218</v>
          </cell>
          <cell r="B43" t="str">
            <v>灯具カバーPC  　2200    L=221.8</v>
          </cell>
          <cell r="J43" t="str">
            <v>〇</v>
          </cell>
          <cell r="K43">
            <v>-2</v>
          </cell>
          <cell r="L43" t="str">
            <v>+2</v>
          </cell>
          <cell r="P43">
            <v>2</v>
          </cell>
          <cell r="R43" t="str">
            <v>ラベル２枚　長手有　鉢巻無</v>
          </cell>
          <cell r="V43" t="str">
            <v>梱包箱:薄型1334　1/4</v>
          </cell>
          <cell r="W43" t="str">
            <v>クラフト紙：1996型　1/8</v>
          </cell>
          <cell r="AC43" t="str">
            <v>換算表確認</v>
          </cell>
        </row>
        <row r="44">
          <cell r="A44" t="str">
            <v>zz002</v>
          </cell>
          <cell r="B44" t="str">
            <v>灯具カバーPC  　特注　 L=669</v>
          </cell>
          <cell r="J44" t="str">
            <v>〇</v>
          </cell>
          <cell r="K44">
            <v>-2</v>
          </cell>
          <cell r="L44" t="str">
            <v>+2</v>
          </cell>
          <cell r="P44">
            <v>1</v>
          </cell>
          <cell r="R44" t="str">
            <v>ラベル２枚　長手有　鉢巻無</v>
          </cell>
          <cell r="V44" t="str">
            <v>梱包箱:薄型1334　1/2</v>
          </cell>
          <cell r="W44" t="str">
            <v>クラフト紙：1370型　1/2</v>
          </cell>
          <cell r="AC44" t="str">
            <v>換算表確認</v>
          </cell>
        </row>
        <row r="45">
          <cell r="A45" t="str">
            <v>zz001</v>
          </cell>
          <cell r="B45" t="str">
            <v>灯具カバーPC  　特注　 L=503</v>
          </cell>
          <cell r="J45" t="str">
            <v>〇</v>
          </cell>
          <cell r="K45">
            <v>-2</v>
          </cell>
          <cell r="L45" t="str">
            <v>+2</v>
          </cell>
          <cell r="P45">
            <v>1</v>
          </cell>
          <cell r="R45" t="str">
            <v>ラベル２枚　長手有　鉢巻無</v>
          </cell>
          <cell r="V45" t="str">
            <v>梱包箱:薄型1334　1/2</v>
          </cell>
          <cell r="W45" t="str">
            <v>クラフト紙：1370型　1/2</v>
          </cell>
          <cell r="AC45" t="str">
            <v>換算表確認</v>
          </cell>
        </row>
        <row r="46">
          <cell r="A46" t="str">
            <v>J1JAPAB00319960</v>
          </cell>
          <cell r="B46" t="str">
            <v>採光ルーバーパネルA　L=1996</v>
          </cell>
          <cell r="J46" t="str">
            <v>〇</v>
          </cell>
          <cell r="K46">
            <v>0</v>
          </cell>
          <cell r="L46" t="str">
            <v>+2</v>
          </cell>
          <cell r="P46">
            <v>1</v>
          </cell>
          <cell r="R46" t="str">
            <v>ラベル１枚　長手無　鉢巻２回</v>
          </cell>
          <cell r="W46" t="str">
            <v>クラフト紙：1996型</v>
          </cell>
          <cell r="AC46" t="str">
            <v>換算表確認</v>
          </cell>
        </row>
        <row r="47">
          <cell r="A47" t="str">
            <v>J1JAPAB00419960</v>
          </cell>
          <cell r="B47" t="str">
            <v>採光ルーバーパネルB　L=1996</v>
          </cell>
          <cell r="J47" t="str">
            <v>〇</v>
          </cell>
          <cell r="K47">
            <v>0</v>
          </cell>
          <cell r="L47" t="str">
            <v>+2</v>
          </cell>
          <cell r="P47">
            <v>1</v>
          </cell>
          <cell r="R47" t="str">
            <v>ラベル１枚　長手無　鉢巻２回</v>
          </cell>
          <cell r="W47" t="str">
            <v>クラフト紙：1996型</v>
          </cell>
          <cell r="AC47" t="str">
            <v>換算表確認</v>
          </cell>
        </row>
        <row r="48">
          <cell r="A48" t="str">
            <v>J1AKZYB00205000</v>
          </cell>
          <cell r="B48" t="str">
            <v>PK-59827 L=500</v>
          </cell>
          <cell r="J48" t="str">
            <v>〇</v>
          </cell>
          <cell r="K48">
            <v>-1</v>
          </cell>
          <cell r="L48" t="str">
            <v>+1</v>
          </cell>
          <cell r="P48">
            <v>3</v>
          </cell>
          <cell r="R48" t="str">
            <v>ラベル2枚　長手 中央部分のみ貼付</v>
          </cell>
          <cell r="V48" t="str">
            <v>11×２束+12✕1束＝34本</v>
          </cell>
          <cell r="W48" t="str">
            <v>両端5cm以上ラップ</v>
          </cell>
          <cell r="AC48" t="str">
            <v>換算表確認</v>
          </cell>
        </row>
        <row r="49">
          <cell r="A49" t="str">
            <v>J1AKZYB00107000</v>
          </cell>
          <cell r="B49" t="str">
            <v>PK-59827 L=700</v>
          </cell>
          <cell r="J49" t="str">
            <v>〇</v>
          </cell>
          <cell r="K49">
            <v>-1</v>
          </cell>
          <cell r="L49" t="str">
            <v>+1</v>
          </cell>
          <cell r="P49">
            <v>2</v>
          </cell>
          <cell r="R49" t="str">
            <v>ラベル2枚　長手 中央部分のみ貼付</v>
          </cell>
          <cell r="V49" t="str">
            <v>11×２束+12✕1束＝34本</v>
          </cell>
          <cell r="W49" t="str">
            <v>両端5cm以上ラップ</v>
          </cell>
          <cell r="AC49" t="str">
            <v>換算表確認</v>
          </cell>
        </row>
        <row r="50">
          <cell r="A50" t="str">
            <v>J1EAZZB03102750</v>
          </cell>
          <cell r="B50" t="str">
            <v>ハーネスガイド部材　L=275</v>
          </cell>
          <cell r="J50" t="str">
            <v>-</v>
          </cell>
          <cell r="K50">
            <v>-0.5</v>
          </cell>
          <cell r="L50" t="str">
            <v>+1.5</v>
          </cell>
          <cell r="P50">
            <v>5</v>
          </cell>
          <cell r="R50" t="str">
            <v>ラベル２枚　長手有　鉢無</v>
          </cell>
          <cell r="AC50">
            <v>276</v>
          </cell>
        </row>
        <row r="51">
          <cell r="A51" t="str">
            <v>J1AAEDB00825740</v>
          </cell>
          <cell r="B51" t="str">
            <v>MDP-689B L4　L=2574</v>
          </cell>
          <cell r="J51" t="str">
            <v>-</v>
          </cell>
          <cell r="K51">
            <v>-0.5</v>
          </cell>
          <cell r="L51" t="str">
            <v>+1.5</v>
          </cell>
          <cell r="P51">
            <v>1</v>
          </cell>
          <cell r="R51" t="str">
            <v>ラベル２枚　長手有　鉢巻２</v>
          </cell>
          <cell r="V51" t="str">
            <v>寸法Wチェック</v>
          </cell>
          <cell r="W51" t="str">
            <v>専用スケール使用</v>
          </cell>
          <cell r="AC51">
            <v>2575</v>
          </cell>
        </row>
        <row r="52">
          <cell r="A52" t="str">
            <v>J1AAEDB02825740</v>
          </cell>
          <cell r="B52" t="str">
            <v>MDPQ-689B L4 　L=2574　　</v>
          </cell>
          <cell r="J52" t="str">
            <v>-</v>
          </cell>
          <cell r="K52">
            <v>-0.5</v>
          </cell>
          <cell r="L52" t="str">
            <v>+1.5</v>
          </cell>
          <cell r="P52">
            <v>1</v>
          </cell>
          <cell r="R52" t="str">
            <v>ラベル２枚　長手有　鉢巻２</v>
          </cell>
          <cell r="V52" t="str">
            <v>寸法Wチェック</v>
          </cell>
          <cell r="W52" t="str">
            <v>専用スケール使用</v>
          </cell>
          <cell r="AC52">
            <v>2575</v>
          </cell>
        </row>
        <row r="53">
          <cell r="A53" t="str">
            <v>J1AAEDB00816080</v>
          </cell>
          <cell r="B53" t="str">
            <v>MDP-689B L1　L=1608</v>
          </cell>
          <cell r="K53">
            <v>-0.5</v>
          </cell>
          <cell r="L53" t="str">
            <v>+1.5</v>
          </cell>
          <cell r="P53">
            <v>1</v>
          </cell>
          <cell r="R53" t="str">
            <v>ラベル２枚　長手有　鉢巻無</v>
          </cell>
          <cell r="V53" t="str">
            <v>寸法Wチェック</v>
          </cell>
          <cell r="AC53" t="str">
            <v>換算表確認</v>
          </cell>
        </row>
        <row r="54">
          <cell r="A54" t="str">
            <v>J1AAEDB00816620</v>
          </cell>
          <cell r="B54" t="str">
            <v>MDP-689B L2　L=1662</v>
          </cell>
          <cell r="K54">
            <v>-0.5</v>
          </cell>
          <cell r="L54" t="str">
            <v>+1.5</v>
          </cell>
          <cell r="P54">
            <v>1</v>
          </cell>
          <cell r="R54" t="str">
            <v>ラベル２枚　長手有　鉢巻無</v>
          </cell>
          <cell r="V54" t="str">
            <v>寸法Wチェック</v>
          </cell>
          <cell r="AC54" t="str">
            <v>換算表確認</v>
          </cell>
        </row>
        <row r="55">
          <cell r="A55" t="str">
            <v>J1AAEDB02816080</v>
          </cell>
          <cell r="B55" t="str">
            <v>MDPQ-689B L1　L=1608</v>
          </cell>
          <cell r="K55">
            <v>-0.5</v>
          </cell>
          <cell r="L55" t="str">
            <v>+1.5</v>
          </cell>
          <cell r="P55">
            <v>1</v>
          </cell>
          <cell r="R55" t="str">
            <v>ラベル2枚　長手有　鉢巻１</v>
          </cell>
          <cell r="V55" t="str">
            <v>寸法Wチェック</v>
          </cell>
          <cell r="AC55" t="str">
            <v>換算表確認</v>
          </cell>
        </row>
        <row r="56">
          <cell r="A56" t="str">
            <v>J1AAEDB02816620</v>
          </cell>
          <cell r="B56" t="str">
            <v>MDPQ-689B L2　L=1662</v>
          </cell>
          <cell r="K56">
            <v>-0.5</v>
          </cell>
          <cell r="L56" t="str">
            <v>+1.5</v>
          </cell>
          <cell r="P56">
            <v>1</v>
          </cell>
          <cell r="R56" t="str">
            <v>ラベル2枚　長手有　鉢巻１</v>
          </cell>
          <cell r="V56" t="str">
            <v>寸法Wチェック</v>
          </cell>
          <cell r="AC56" t="str">
            <v>換算表確認</v>
          </cell>
        </row>
        <row r="57">
          <cell r="A57" t="str">
            <v>J1AAEDB01716040</v>
          </cell>
          <cell r="B57" t="str">
            <v>MDP-688A L1　L=1604</v>
          </cell>
          <cell r="K57">
            <v>-0.5</v>
          </cell>
          <cell r="L57" t="str">
            <v>+1.5</v>
          </cell>
          <cell r="P57">
            <v>1</v>
          </cell>
          <cell r="R57" t="str">
            <v>ラベル2枚　長手有　鉢巻１</v>
          </cell>
          <cell r="V57" t="str">
            <v>寸法Wチェック</v>
          </cell>
          <cell r="AC57" t="str">
            <v>換算表確認</v>
          </cell>
        </row>
        <row r="58">
          <cell r="A58" t="str">
            <v>J1AAEDB01716580</v>
          </cell>
          <cell r="B58" t="str">
            <v>MDP-688A L2　L=1658</v>
          </cell>
          <cell r="K58">
            <v>-0.5</v>
          </cell>
          <cell r="L58" t="str">
            <v>+1.5</v>
          </cell>
          <cell r="P58">
            <v>1</v>
          </cell>
          <cell r="R58" t="str">
            <v>ラベル2枚　長手有　鉢巻１</v>
          </cell>
          <cell r="V58" t="str">
            <v>寸法Wチェック</v>
          </cell>
          <cell r="AC58" t="str">
            <v>換算表確認</v>
          </cell>
        </row>
        <row r="59">
          <cell r="A59" t="str">
            <v>J1AAEDB02516040</v>
          </cell>
          <cell r="B59" t="str">
            <v>MDPQ-688A L1　L=1604</v>
          </cell>
          <cell r="K59">
            <v>-0.5</v>
          </cell>
          <cell r="L59" t="str">
            <v>+1.5</v>
          </cell>
          <cell r="P59">
            <v>1</v>
          </cell>
          <cell r="R59" t="str">
            <v>ラベル2枚　長手有　鉢巻１</v>
          </cell>
          <cell r="V59" t="str">
            <v>寸法Wチェック</v>
          </cell>
          <cell r="AC59" t="str">
            <v>換算表確認</v>
          </cell>
        </row>
        <row r="60">
          <cell r="A60" t="str">
            <v>J1AAEDB02516580</v>
          </cell>
          <cell r="B60" t="str">
            <v>MDPQ-688A L2　L=1658</v>
          </cell>
          <cell r="K60">
            <v>-0.5</v>
          </cell>
          <cell r="L60" t="str">
            <v>+1.5</v>
          </cell>
          <cell r="P60">
            <v>1</v>
          </cell>
          <cell r="R60" t="str">
            <v>ラベル2枚　長手有　鉢巻１</v>
          </cell>
          <cell r="V60" t="str">
            <v>寸法Wチェック</v>
          </cell>
          <cell r="AC60" t="str">
            <v>換算表確認</v>
          </cell>
        </row>
        <row r="61">
          <cell r="A61" t="str">
            <v>J1AAEZB00705860</v>
          </cell>
          <cell r="B61" t="str">
            <v>SRG-60D　L=586</v>
          </cell>
          <cell r="K61">
            <v>-1</v>
          </cell>
          <cell r="L61">
            <v>0</v>
          </cell>
          <cell r="P61">
            <v>2</v>
          </cell>
          <cell r="R61" t="str">
            <v>ラベル２枚　長手有　鉢巻無</v>
          </cell>
          <cell r="W61" t="str">
            <v>※使用基材、取数は依頼書にて確認</v>
          </cell>
        </row>
        <row r="62">
          <cell r="A62" t="str">
            <v>J1AAEZB00708860</v>
          </cell>
          <cell r="B62" t="str">
            <v>SRG-90D　L=860</v>
          </cell>
          <cell r="K62">
            <v>-1</v>
          </cell>
          <cell r="L62">
            <v>0</v>
          </cell>
          <cell r="P62">
            <v>2</v>
          </cell>
          <cell r="R62" t="str">
            <v>ラベル２枚　長手有　鉢巻無</v>
          </cell>
          <cell r="W62" t="str">
            <v>※使用基材、取数は依頼書にて確認</v>
          </cell>
        </row>
        <row r="63">
          <cell r="A63" t="str">
            <v>J1AAEZB00805860</v>
          </cell>
          <cell r="B63" t="str">
            <v>SRG-60U　L=586</v>
          </cell>
          <cell r="K63">
            <v>-1</v>
          </cell>
          <cell r="L63">
            <v>0</v>
          </cell>
          <cell r="P63">
            <v>2</v>
          </cell>
          <cell r="R63" t="str">
            <v>ラベル２枚　長手有　鉢巻無</v>
          </cell>
          <cell r="W63" t="str">
            <v>※使用基材、取数は依頼書にて確認</v>
          </cell>
        </row>
        <row r="64">
          <cell r="A64" t="str">
            <v>J1AAEZB00808860</v>
          </cell>
          <cell r="B64" t="str">
            <v>SRG-90U　L=860</v>
          </cell>
          <cell r="K64">
            <v>-1</v>
          </cell>
          <cell r="L64">
            <v>0</v>
          </cell>
          <cell r="P64">
            <v>2</v>
          </cell>
          <cell r="R64" t="str">
            <v>ラベル２枚　長手有　鉢巻無</v>
          </cell>
          <cell r="W64" t="str">
            <v>※使用基材、取数は依頼書にて確認</v>
          </cell>
        </row>
        <row r="65">
          <cell r="A65" t="str">
            <v>J1DAEZB00203000</v>
          </cell>
          <cell r="B65" t="str">
            <v>ﾃﾝｹﾝｺｳ(上)　L=300</v>
          </cell>
          <cell r="K65">
            <v>-1</v>
          </cell>
          <cell r="L65">
            <v>0</v>
          </cell>
          <cell r="P65">
            <v>2</v>
          </cell>
          <cell r="R65" t="str">
            <v>ラベル２枚　長手有　鉢巻無</v>
          </cell>
          <cell r="W65" t="str">
            <v>※使用基材、取数は依頼書にて確認</v>
          </cell>
        </row>
        <row r="66">
          <cell r="A66" t="str">
            <v>J1DAEZB00204980</v>
          </cell>
          <cell r="B66" t="str">
            <v>ﾃﾝｹﾝｺｳ(上)　L=498</v>
          </cell>
          <cell r="K66">
            <v>-1</v>
          </cell>
          <cell r="L66">
            <v>0</v>
          </cell>
          <cell r="P66">
            <v>2</v>
          </cell>
          <cell r="R66" t="str">
            <v>ラベル２枚　長手有　鉢巻無</v>
          </cell>
          <cell r="W66" t="str">
            <v>※使用基材、取数は依頼書にて確認</v>
          </cell>
        </row>
        <row r="67">
          <cell r="A67" t="str">
            <v>J1DAEZB00211680</v>
          </cell>
          <cell r="B67" t="str">
            <v>ﾃﾝｹﾝｺｳ(上)　L=1168</v>
          </cell>
          <cell r="K67">
            <v>-1</v>
          </cell>
          <cell r="L67">
            <v>0</v>
          </cell>
          <cell r="P67">
            <v>2</v>
          </cell>
          <cell r="R67" t="str">
            <v>ラベル２枚　長手有　鉢巻無</v>
          </cell>
          <cell r="W67" t="str">
            <v>※使用基材、取数は依頼書にて確認</v>
          </cell>
        </row>
        <row r="68">
          <cell r="A68" t="str">
            <v>J1EAFZB02008740</v>
          </cell>
          <cell r="B68" t="str">
            <v>ﾏｴｶﾊﾞｰ(17F09810A)　L=874</v>
          </cell>
          <cell r="J68" t="str">
            <v>〇</v>
          </cell>
          <cell r="K68" t="str">
            <v>-2</v>
          </cell>
          <cell r="L68" t="str">
            <v>0</v>
          </cell>
          <cell r="P68">
            <v>1</v>
          </cell>
          <cell r="R68" t="str">
            <v>ラベル２枚　長手有　鉢巻無</v>
          </cell>
          <cell r="W68" t="str">
            <v>※使用基材、取数は依頼書にて確認</v>
          </cell>
        </row>
        <row r="69">
          <cell r="A69" t="str">
            <v>J1EAFZB02011840</v>
          </cell>
          <cell r="B69" t="str">
            <v>ﾏｴｶﾊﾞｰ(17F09810B)　L=1184</v>
          </cell>
          <cell r="J69" t="str">
            <v>〇</v>
          </cell>
          <cell r="K69" t="str">
            <v>-2</v>
          </cell>
          <cell r="L69" t="str">
            <v>0</v>
          </cell>
          <cell r="P69">
            <v>1</v>
          </cell>
          <cell r="R69" t="str">
            <v>ラベル２枚　長手有　鉢巻無</v>
          </cell>
          <cell r="W69" t="str">
            <v>※使用基材、取数は依頼書にて確認</v>
          </cell>
        </row>
        <row r="70">
          <cell r="A70" t="str">
            <v>J1EAFZB02014940</v>
          </cell>
          <cell r="B70" t="str">
            <v>ﾏｴｶﾊﾞｰ(17F09810C)　L=1494</v>
          </cell>
          <cell r="J70" t="str">
            <v>〇</v>
          </cell>
          <cell r="K70" t="str">
            <v>-2</v>
          </cell>
          <cell r="L70" t="str">
            <v>0</v>
          </cell>
          <cell r="P70">
            <v>1</v>
          </cell>
          <cell r="R70" t="str">
            <v>ラベル２枚　長手有　鉢巻無</v>
          </cell>
          <cell r="W70" t="str">
            <v>※使用基材、取数は依頼書にて確認</v>
          </cell>
        </row>
        <row r="71">
          <cell r="A71" t="str">
            <v>J1AAEDB01725700</v>
          </cell>
          <cell r="B71" t="str">
            <v>MDP-688A L4　L=2570</v>
          </cell>
          <cell r="J71" t="str">
            <v>-</v>
          </cell>
          <cell r="K71">
            <v>-0.5</v>
          </cell>
          <cell r="L71" t="str">
            <v>+1.5</v>
          </cell>
          <cell r="P71">
            <v>1</v>
          </cell>
          <cell r="R71" t="str">
            <v>ラベル２枚　長手有　鉢巻２</v>
          </cell>
          <cell r="V71" t="str">
            <v>寸法Wチェック</v>
          </cell>
          <cell r="W71" t="str">
            <v>専用スケール使用</v>
          </cell>
          <cell r="AC71">
            <v>2571</v>
          </cell>
        </row>
        <row r="72">
          <cell r="A72" t="str">
            <v>J1AAEDB02525700</v>
          </cell>
          <cell r="B72" t="str">
            <v>MDPQ-688A L4　L=2570</v>
          </cell>
          <cell r="J72" t="str">
            <v>-</v>
          </cell>
          <cell r="K72">
            <v>-0.5</v>
          </cell>
          <cell r="L72" t="str">
            <v>+1.5</v>
          </cell>
          <cell r="P72">
            <v>1</v>
          </cell>
          <cell r="R72" t="str">
            <v>ラベル２枚　長手有　鉢巻２</v>
          </cell>
          <cell r="V72" t="str">
            <v>寸法Wチェック</v>
          </cell>
          <cell r="W72" t="str">
            <v>専用スケール使用</v>
          </cell>
          <cell r="AC72">
            <v>2571</v>
          </cell>
        </row>
        <row r="73">
          <cell r="A73" t="str">
            <v>J1DAFZB00105500</v>
          </cell>
          <cell r="B73" t="str">
            <v>照明ｶﾊﾞｰS15　L=550</v>
          </cell>
          <cell r="J73" t="str">
            <v>〇</v>
          </cell>
          <cell r="K73">
            <v>-1</v>
          </cell>
          <cell r="L73" t="str">
            <v>+1</v>
          </cell>
          <cell r="P73">
            <v>3</v>
          </cell>
          <cell r="R73" t="str">
            <v>ラベル２枚　長手有　鉢巻無</v>
          </cell>
          <cell r="AC73" t="str">
            <v>換算表確認</v>
          </cell>
        </row>
        <row r="74">
          <cell r="A74" t="str">
            <v>J1DAFZB00105604</v>
          </cell>
          <cell r="B74" t="str">
            <v>照明ｶﾊﾞｰS　L=560.4</v>
          </cell>
          <cell r="J74" t="str">
            <v>〇</v>
          </cell>
          <cell r="K74">
            <v>-1</v>
          </cell>
          <cell r="L74" t="str">
            <v>+1</v>
          </cell>
          <cell r="P74">
            <v>3</v>
          </cell>
          <cell r="R74" t="str">
            <v>ラベル２枚　長手有　鉢巻無</v>
          </cell>
          <cell r="AC74" t="str">
            <v>換算表確認</v>
          </cell>
        </row>
        <row r="75">
          <cell r="A75" t="str">
            <v>J1DAFZB00108200</v>
          </cell>
          <cell r="B75" t="str">
            <v>照明ｶﾊﾞｰL15　L=820</v>
          </cell>
          <cell r="J75" t="str">
            <v>〇</v>
          </cell>
          <cell r="K75">
            <v>-1</v>
          </cell>
          <cell r="L75" t="str">
            <v>+1</v>
          </cell>
          <cell r="P75">
            <v>2</v>
          </cell>
          <cell r="R75" t="str">
            <v>ラベル２枚　長手有　鉢巻無</v>
          </cell>
          <cell r="AC75" t="str">
            <v>換算表確認</v>
          </cell>
        </row>
        <row r="76">
          <cell r="A76" t="str">
            <v>J1DAFZB00108304</v>
          </cell>
          <cell r="B76" t="str">
            <v>照明ｶﾊﾞｰL　L=830.4</v>
          </cell>
          <cell r="J76" t="str">
            <v>〇</v>
          </cell>
          <cell r="K76">
            <v>-1</v>
          </cell>
          <cell r="L76" t="str">
            <v>+1</v>
          </cell>
          <cell r="P76">
            <v>2</v>
          </cell>
          <cell r="R76" t="str">
            <v>ラベル２枚　長手有　鉢巻無</v>
          </cell>
          <cell r="AC76" t="str">
            <v>換算表確認</v>
          </cell>
        </row>
        <row r="77">
          <cell r="A77" t="str">
            <v>J1ECZZB00110180</v>
          </cell>
          <cell r="B77" t="str">
            <v>L型ｱﾝｸﾞﾙ　P-VH-A　L=1018</v>
          </cell>
          <cell r="J77" t="str">
            <v>-</v>
          </cell>
          <cell r="K77">
            <v>-3</v>
          </cell>
          <cell r="L77">
            <v>0</v>
          </cell>
          <cell r="P77">
            <v>1</v>
          </cell>
          <cell r="R77" t="str">
            <v>ラベル2枚　長手有　鉢巻１</v>
          </cell>
          <cell r="W77" t="str">
            <v>※使用基材、取数は依頼書にて確認</v>
          </cell>
          <cell r="AC77">
            <v>1017</v>
          </cell>
        </row>
        <row r="78">
          <cell r="A78" t="str">
            <v>J1ECZZB00105300</v>
          </cell>
          <cell r="B78" t="str">
            <v>L型ｱﾝｸﾞﾙ　P-VH-C　L=530</v>
          </cell>
          <cell r="J78" t="str">
            <v>-</v>
          </cell>
          <cell r="K78">
            <v>-3</v>
          </cell>
          <cell r="L78">
            <v>0</v>
          </cell>
          <cell r="P78" t="str">
            <v>依頼書確認</v>
          </cell>
          <cell r="R78" t="str">
            <v>ラベル２枚　長手有　鉢巻無</v>
          </cell>
          <cell r="W78" t="str">
            <v>※使用基材、取数は依頼書にて確認</v>
          </cell>
          <cell r="AC78">
            <v>529</v>
          </cell>
        </row>
        <row r="79">
          <cell r="A79" t="str">
            <v>J1ECZZB00106000</v>
          </cell>
          <cell r="B79" t="str">
            <v>L型ｱﾝｸﾞﾙ　P-VH-E　L=600</v>
          </cell>
          <cell r="J79" t="str">
            <v>-</v>
          </cell>
          <cell r="K79">
            <v>-3</v>
          </cell>
          <cell r="L79">
            <v>0</v>
          </cell>
          <cell r="P79" t="str">
            <v>依頼書確認</v>
          </cell>
          <cell r="R79" t="str">
            <v>ラベル２枚　長手有　鉢巻無</v>
          </cell>
          <cell r="W79" t="str">
            <v>※使用基材、取数は依頼書にて確認</v>
          </cell>
          <cell r="AC79">
            <v>599</v>
          </cell>
        </row>
        <row r="80">
          <cell r="A80" t="str">
            <v>J1ECZZB00105200</v>
          </cell>
          <cell r="B80" t="str">
            <v>L型ｱﾝｸﾞﾙ　P-VH-42D　L=520</v>
          </cell>
          <cell r="J80" t="str">
            <v>-</v>
          </cell>
          <cell r="K80">
            <v>-3</v>
          </cell>
          <cell r="L80">
            <v>0</v>
          </cell>
          <cell r="P80" t="str">
            <v>依頼書確認</v>
          </cell>
          <cell r="R80" t="str">
            <v>ラベル２枚　長手有　鉢巻無</v>
          </cell>
          <cell r="W80" t="str">
            <v>※使用基材、取数は依頼書にて確認</v>
          </cell>
          <cell r="AC80">
            <v>519</v>
          </cell>
        </row>
        <row r="81">
          <cell r="A81" t="str">
            <v>J1ECZZB00106900</v>
          </cell>
          <cell r="B81" t="str">
            <v>L型ｱﾝｸﾞﾙ　P-VH-56D　L=690</v>
          </cell>
          <cell r="J81" t="str">
            <v>-</v>
          </cell>
          <cell r="K81">
            <v>-3</v>
          </cell>
          <cell r="L81">
            <v>0</v>
          </cell>
          <cell r="P81" t="str">
            <v>依頼書確認</v>
          </cell>
          <cell r="R81" t="str">
            <v>ラベル２枚　長手有　鉢巻無</v>
          </cell>
          <cell r="W81" t="str">
            <v>※使用基材、取数は依頼書にて確認</v>
          </cell>
          <cell r="AC81">
            <v>689</v>
          </cell>
        </row>
        <row r="82">
          <cell r="A82" t="str">
            <v>J1ECZZB00104200</v>
          </cell>
          <cell r="B82" t="str">
            <v>L型ｱﾝｸﾞﾙ　WT-28B　L=420</v>
          </cell>
          <cell r="J82" t="str">
            <v>-</v>
          </cell>
          <cell r="K82">
            <v>-3</v>
          </cell>
          <cell r="L82">
            <v>0</v>
          </cell>
          <cell r="P82" t="str">
            <v>依頼書確認</v>
          </cell>
          <cell r="R82" t="str">
            <v>ラベル２枚　長手有　鉢巻無</v>
          </cell>
          <cell r="W82" t="str">
            <v>※使用基材、取数は依頼書にて確認</v>
          </cell>
          <cell r="AC82">
            <v>418.5</v>
          </cell>
        </row>
        <row r="83">
          <cell r="A83" t="str">
            <v>J1ECZZB00105900</v>
          </cell>
          <cell r="B83" t="str">
            <v>L型ｱﾝｸﾞﾙ　WT-42B　L=590</v>
          </cell>
          <cell r="J83" t="str">
            <v>-</v>
          </cell>
          <cell r="K83">
            <v>-3</v>
          </cell>
          <cell r="L83">
            <v>0</v>
          </cell>
          <cell r="P83" t="str">
            <v>依頼書確認</v>
          </cell>
          <cell r="R83" t="str">
            <v>ラベル２枚　長手有　鉢巻無</v>
          </cell>
          <cell r="W83" t="str">
            <v>※使用基材、取数は依頼書にて確認</v>
          </cell>
          <cell r="AC83">
            <v>589</v>
          </cell>
        </row>
        <row r="84">
          <cell r="A84" t="str">
            <v>J1ECZZB00107600</v>
          </cell>
          <cell r="B84" t="str">
            <v>L型ｱﾝｸﾞﾙ　WT-56B　L=760</v>
          </cell>
          <cell r="J84" t="str">
            <v>-</v>
          </cell>
          <cell r="K84">
            <v>-3</v>
          </cell>
          <cell r="L84">
            <v>0</v>
          </cell>
          <cell r="P84" t="str">
            <v>依頼書確認</v>
          </cell>
          <cell r="R84" t="str">
            <v>ラベル２枚　長手有　鉢巻無</v>
          </cell>
          <cell r="W84" t="str">
            <v>※使用基材、取数は依頼書にて確認</v>
          </cell>
          <cell r="AC84">
            <v>759</v>
          </cell>
        </row>
        <row r="85">
          <cell r="A85" t="str">
            <v>J1AAFAB01107305</v>
          </cell>
          <cell r="B85" t="str">
            <v>GA-770 BK(BD)　L=730.5</v>
          </cell>
          <cell r="J85" t="str">
            <v>-</v>
          </cell>
          <cell r="K85">
            <v>-1</v>
          </cell>
          <cell r="L85">
            <v>0</v>
          </cell>
          <cell r="P85">
            <v>2</v>
          </cell>
          <cell r="R85" t="str">
            <v>ラベル２枚　長手有　鉢巻無</v>
          </cell>
          <cell r="W85" t="str">
            <v>※使用基材、取数は依頼書にて確認</v>
          </cell>
          <cell r="AC85">
            <v>730</v>
          </cell>
        </row>
        <row r="86">
          <cell r="A86" t="str">
            <v>J1AAFAB01107455</v>
          </cell>
          <cell r="B86" t="str">
            <v>GA-770 BK(BD)　L=745.5</v>
          </cell>
          <cell r="J86" t="str">
            <v>-</v>
          </cell>
          <cell r="K86">
            <v>-1</v>
          </cell>
          <cell r="L86">
            <v>0</v>
          </cell>
          <cell r="P86">
            <v>2</v>
          </cell>
          <cell r="R86" t="str">
            <v>ラベル２枚　長手有　鉢巻無</v>
          </cell>
          <cell r="W86" t="str">
            <v>※使用基材、取数は依頼書にて確認</v>
          </cell>
          <cell r="AC86">
            <v>745</v>
          </cell>
        </row>
        <row r="87">
          <cell r="A87" t="str">
            <v>J1AAFAB01207305</v>
          </cell>
          <cell r="B87" t="str">
            <v>GA-770 BR　L=730.5</v>
          </cell>
          <cell r="J87" t="str">
            <v>-</v>
          </cell>
          <cell r="K87">
            <v>-1</v>
          </cell>
          <cell r="L87">
            <v>0</v>
          </cell>
          <cell r="P87">
            <v>2</v>
          </cell>
          <cell r="R87" t="str">
            <v>ラベル２枚　長手有　鉢巻無</v>
          </cell>
          <cell r="W87" t="str">
            <v>※使用基材、取数は依頼書にて確認</v>
          </cell>
          <cell r="AC87">
            <v>730</v>
          </cell>
        </row>
        <row r="88">
          <cell r="A88" t="str">
            <v>J1AAFAB01207455</v>
          </cell>
          <cell r="B88" t="str">
            <v>GA-770 BR　L=745.5</v>
          </cell>
          <cell r="J88" t="str">
            <v>-</v>
          </cell>
          <cell r="K88">
            <v>-1</v>
          </cell>
          <cell r="L88">
            <v>0</v>
          </cell>
          <cell r="P88">
            <v>2</v>
          </cell>
          <cell r="R88" t="str">
            <v>ラベル２枚　長手有　鉢巻無</v>
          </cell>
          <cell r="W88" t="str">
            <v>※使用基材、取数は依頼書にて確認</v>
          </cell>
          <cell r="AC88">
            <v>745</v>
          </cell>
        </row>
        <row r="89">
          <cell r="A89" t="str">
            <v>J1AAFAB02204090</v>
          </cell>
          <cell r="B89" t="str">
            <v>WD3104A KC L=409</v>
          </cell>
          <cell r="J89" t="str">
            <v>-</v>
          </cell>
          <cell r="K89" t="str">
            <v>-0.5</v>
          </cell>
          <cell r="L89" t="str">
            <v>+0.5</v>
          </cell>
          <cell r="P89">
            <v>4</v>
          </cell>
          <cell r="R89" t="str">
            <v>ラベル２枚　長手有　鉢巻無</v>
          </cell>
          <cell r="W89" t="str">
            <v>※使用基材、取数は依頼書にて確認</v>
          </cell>
          <cell r="AC89">
            <v>409</v>
          </cell>
        </row>
        <row r="90">
          <cell r="A90" t="str">
            <v>J1AAFAB02205005</v>
          </cell>
          <cell r="B90" t="str">
            <v>WD3104A KC　L=500.5</v>
          </cell>
          <cell r="J90" t="str">
            <v>-</v>
          </cell>
          <cell r="K90" t="str">
            <v>-0.5</v>
          </cell>
          <cell r="L90" t="str">
            <v>+0.5</v>
          </cell>
          <cell r="P90">
            <v>3</v>
          </cell>
          <cell r="R90" t="str">
            <v>ラベル２枚　長手有　鉢巻無</v>
          </cell>
          <cell r="W90" t="str">
            <v>※使用基材、取数は依頼書にて確認</v>
          </cell>
          <cell r="AC90">
            <v>500.5</v>
          </cell>
        </row>
        <row r="91">
          <cell r="A91" t="str">
            <v>J1AAFAB02304090</v>
          </cell>
          <cell r="B91" t="str">
            <v>WD3104A BK　L=409</v>
          </cell>
          <cell r="J91" t="str">
            <v>-</v>
          </cell>
          <cell r="K91" t="str">
            <v>-0.5</v>
          </cell>
          <cell r="L91" t="str">
            <v>+0.5</v>
          </cell>
          <cell r="P91">
            <v>3</v>
          </cell>
          <cell r="R91" t="str">
            <v>ラベル２枚　長手有　鉢巻無</v>
          </cell>
          <cell r="W91" t="str">
            <v>※使用基材、取数は依頼書にて確認</v>
          </cell>
          <cell r="AC91">
            <v>409</v>
          </cell>
        </row>
        <row r="92">
          <cell r="A92" t="str">
            <v>J1AAFAB02305005</v>
          </cell>
          <cell r="B92" t="str">
            <v>WD3104A BR(BK)　L=500.5</v>
          </cell>
          <cell r="J92" t="str">
            <v>-</v>
          </cell>
          <cell r="K92" t="str">
            <v>-0.5</v>
          </cell>
          <cell r="L92" t="str">
            <v>+0.5</v>
          </cell>
          <cell r="P92">
            <v>3</v>
          </cell>
          <cell r="R92" t="str">
            <v>ラベル２枚　長手有　鉢巻無</v>
          </cell>
          <cell r="W92" t="str">
            <v>※使用基材、取数は依頼書にて確認</v>
          </cell>
          <cell r="AC92">
            <v>500.5</v>
          </cell>
        </row>
        <row r="93">
          <cell r="A93" t="str">
            <v>J1AAFAB02309000</v>
          </cell>
          <cell r="B93" t="str">
            <v>WD3104A BR(BK)　L=900</v>
          </cell>
          <cell r="J93" t="str">
            <v>-</v>
          </cell>
          <cell r="K93" t="str">
            <v>-0.5</v>
          </cell>
          <cell r="L93" t="str">
            <v>+0.5</v>
          </cell>
          <cell r="P93">
            <v>1</v>
          </cell>
          <cell r="R93" t="str">
            <v>ラベル２枚　長手有　鉢巻無</v>
          </cell>
          <cell r="W93" t="str">
            <v>※使用基材、取数は依頼書にて確認</v>
          </cell>
          <cell r="AC93">
            <v>900</v>
          </cell>
        </row>
        <row r="94">
          <cell r="A94" t="str">
            <v>J1AAFAB02306890</v>
          </cell>
          <cell r="B94" t="str">
            <v>WD3104A BR(BK)　L=689</v>
          </cell>
          <cell r="J94" t="str">
            <v>-</v>
          </cell>
          <cell r="K94" t="str">
            <v>-0.5</v>
          </cell>
          <cell r="L94" t="str">
            <v>+0.5</v>
          </cell>
          <cell r="P94">
            <v>1</v>
          </cell>
          <cell r="R94" t="str">
            <v>ラベル２枚　長手有　鉢巻無</v>
          </cell>
          <cell r="W94" t="str">
            <v>※使用基材、取数は依頼書にて確認</v>
          </cell>
          <cell r="AC94">
            <v>689</v>
          </cell>
        </row>
        <row r="95">
          <cell r="A95" t="str">
            <v>J1ZFAAB00203360</v>
          </cell>
          <cell r="B95" t="str">
            <v>GA9344/PYTB554K　L=336</v>
          </cell>
          <cell r="J95" t="str">
            <v>-</v>
          </cell>
          <cell r="K95">
            <v>-1</v>
          </cell>
          <cell r="L95">
            <v>0</v>
          </cell>
          <cell r="P95">
            <v>5</v>
          </cell>
          <cell r="R95" t="str">
            <v>ラベル２枚　長手有　鉢巻無</v>
          </cell>
          <cell r="W95" t="str">
            <v>※使用基材、取数は依頼書にて確認</v>
          </cell>
          <cell r="AC95">
            <v>335.5</v>
          </cell>
        </row>
        <row r="96">
          <cell r="A96" t="str">
            <v>J1ZFAAB00203860</v>
          </cell>
          <cell r="B96" t="str">
            <v>GA9344/PYTB554K　L=386</v>
          </cell>
          <cell r="J96" t="str">
            <v>-</v>
          </cell>
          <cell r="K96">
            <v>-1</v>
          </cell>
          <cell r="L96">
            <v>0</v>
          </cell>
          <cell r="P96">
            <v>5</v>
          </cell>
          <cell r="R96" t="str">
            <v>ラベル２枚　長手有　鉢巻無</v>
          </cell>
          <cell r="W96" t="str">
            <v>※使用基材、取数は依頼書にて確認</v>
          </cell>
          <cell r="AC96">
            <v>385.5</v>
          </cell>
        </row>
        <row r="97">
          <cell r="A97" t="str">
            <v>J1HFHBB01407100</v>
          </cell>
          <cell r="B97" t="str">
            <v>ｼﾞｮｲﾝﾄﾁｭ-ﾌﾞ5号　L=710</v>
          </cell>
          <cell r="J97" t="str">
            <v>-</v>
          </cell>
          <cell r="K97">
            <v>-1</v>
          </cell>
          <cell r="L97">
            <v>0</v>
          </cell>
          <cell r="P97">
            <v>2</v>
          </cell>
          <cell r="R97" t="str">
            <v>ラベル２枚　長手有　鉢巻無</v>
          </cell>
          <cell r="W97" t="str">
            <v>※使用基材、取数は依頼書にて確認</v>
          </cell>
          <cell r="AC97">
            <v>710.5</v>
          </cell>
        </row>
        <row r="98">
          <cell r="A98" t="str">
            <v>J1HFHBB01603400</v>
          </cell>
          <cell r="B98" t="str">
            <v>ｼﾞｮｲﾝﾄﾁｭ-ﾌﾞ2号　L=340</v>
          </cell>
          <cell r="J98" t="str">
            <v>-</v>
          </cell>
          <cell r="K98">
            <v>-1</v>
          </cell>
          <cell r="L98">
            <v>0</v>
          </cell>
          <cell r="P98">
            <v>3</v>
          </cell>
          <cell r="R98" t="str">
            <v>ラベル２枚　長手有　鉢巻無</v>
          </cell>
          <cell r="W98" t="str">
            <v>※使用基材、取数は依頼書にて確認</v>
          </cell>
          <cell r="AC98">
            <v>340.5</v>
          </cell>
        </row>
        <row r="99">
          <cell r="A99" t="str">
            <v>J1HFHBB01704200</v>
          </cell>
          <cell r="B99" t="str">
            <v>ｼﾞｮｲﾝﾄﾁｭ-ﾌﾞ3号　L=420</v>
          </cell>
          <cell r="J99" t="str">
            <v>-</v>
          </cell>
          <cell r="K99">
            <v>-1</v>
          </cell>
          <cell r="L99">
            <v>0</v>
          </cell>
          <cell r="P99">
            <v>3</v>
          </cell>
          <cell r="R99" t="str">
            <v>ラベル２枚　長手有　鉢巻無</v>
          </cell>
          <cell r="W99" t="str">
            <v>※使用基材、取数は依頼書にて確認</v>
          </cell>
          <cell r="AC99">
            <v>420.5</v>
          </cell>
        </row>
        <row r="100">
          <cell r="A100" t="str">
            <v>J1HFHBB01802500</v>
          </cell>
          <cell r="B100" t="str">
            <v>ｼﾞｮｲﾝﾄﾁｭ-ﾌﾞ1号　L=250</v>
          </cell>
          <cell r="J100" t="str">
            <v>-</v>
          </cell>
          <cell r="K100">
            <v>-1</v>
          </cell>
          <cell r="L100">
            <v>0</v>
          </cell>
          <cell r="P100">
            <v>3</v>
          </cell>
          <cell r="R100" t="str">
            <v>ラベル２枚　長手有　鉢巻無</v>
          </cell>
          <cell r="W100" t="str">
            <v>※使用基材、取数は依頼書にて確認</v>
          </cell>
          <cell r="AC100">
            <v>250.5</v>
          </cell>
        </row>
        <row r="101">
          <cell r="A101" t="str">
            <v>J1AKACB01901980</v>
          </cell>
          <cell r="B101" t="str">
            <v>991HDP　198</v>
          </cell>
          <cell r="J101" t="str">
            <v>-</v>
          </cell>
          <cell r="K101">
            <v>-0.5</v>
          </cell>
          <cell r="L101" t="str">
            <v>+0.5</v>
          </cell>
          <cell r="P101">
            <v>7</v>
          </cell>
          <cell r="R101" t="str">
            <v>ラベル２枚　長手有　鉢巻無</v>
          </cell>
          <cell r="W101" t="str">
            <v>※使用基材、取数は依頼書にて確認</v>
          </cell>
          <cell r="AC101">
            <v>198</v>
          </cell>
        </row>
        <row r="102">
          <cell r="A102" t="str">
            <v>J1AKACB02002640</v>
          </cell>
          <cell r="B102" t="str">
            <v>991GPK　264</v>
          </cell>
          <cell r="J102" t="str">
            <v>-</v>
          </cell>
          <cell r="K102">
            <v>-1</v>
          </cell>
          <cell r="L102" t="str">
            <v>+0.5</v>
          </cell>
          <cell r="P102">
            <v>5</v>
          </cell>
          <cell r="R102" t="str">
            <v>ラベル２枚　長手有　鉢巻無</v>
          </cell>
          <cell r="V102" t="str">
            <v>梱包は基材パターン同様</v>
          </cell>
          <cell r="W102" t="str">
            <v>※使用基材、取数は依頼書にて確認</v>
          </cell>
          <cell r="AC102">
            <v>264</v>
          </cell>
        </row>
        <row r="103">
          <cell r="A103" t="str">
            <v>J1AKACB02002680</v>
          </cell>
          <cell r="B103" t="str">
            <v>991GPK　268</v>
          </cell>
          <cell r="J103" t="str">
            <v>-</v>
          </cell>
          <cell r="K103">
            <v>-1</v>
          </cell>
          <cell r="L103" t="str">
            <v>+0.5</v>
          </cell>
          <cell r="P103">
            <v>5</v>
          </cell>
          <cell r="R103" t="str">
            <v>ラベル２枚　長手有　鉢巻無</v>
          </cell>
          <cell r="V103" t="str">
            <v>梱包は基材パターン同様</v>
          </cell>
          <cell r="W103" t="str">
            <v>※使用基材、取数は依頼書にて確認</v>
          </cell>
          <cell r="AC103">
            <v>268</v>
          </cell>
        </row>
        <row r="104">
          <cell r="A104" t="str">
            <v>J1AKACB02004140</v>
          </cell>
          <cell r="B104" t="str">
            <v>991GPK　414</v>
          </cell>
          <cell r="J104" t="str">
            <v>-</v>
          </cell>
          <cell r="K104">
            <v>-1</v>
          </cell>
          <cell r="L104" t="str">
            <v>+0.5</v>
          </cell>
          <cell r="P104">
            <v>3</v>
          </cell>
          <cell r="R104" t="str">
            <v>ラベル２枚　長手有　鉢巻無</v>
          </cell>
          <cell r="V104" t="str">
            <v>梱包は基材パターン同様</v>
          </cell>
          <cell r="W104" t="str">
            <v>※使用基材、取数は依頼書にて確認</v>
          </cell>
          <cell r="AC104">
            <v>414</v>
          </cell>
        </row>
        <row r="105">
          <cell r="A105" t="str">
            <v>J1AKACB02004180</v>
          </cell>
          <cell r="B105" t="str">
            <v>991GPK　418</v>
          </cell>
          <cell r="J105" t="str">
            <v>-</v>
          </cell>
          <cell r="K105">
            <v>-1</v>
          </cell>
          <cell r="L105" t="str">
            <v>+0.5</v>
          </cell>
          <cell r="P105">
            <v>3</v>
          </cell>
          <cell r="R105" t="str">
            <v>ラベル２枚　長手有　鉢巻無</v>
          </cell>
          <cell r="V105" t="str">
            <v>梱包は基材パターン同様</v>
          </cell>
          <cell r="W105" t="str">
            <v>※使用基材、取数は依頼書にて確認</v>
          </cell>
          <cell r="AC105">
            <v>418</v>
          </cell>
        </row>
        <row r="106">
          <cell r="A106" t="str">
            <v>J1AKACB02005650</v>
          </cell>
          <cell r="B106" t="str">
            <v>991GPK　565</v>
          </cell>
          <cell r="J106" t="str">
            <v>-</v>
          </cell>
          <cell r="K106">
            <v>-1</v>
          </cell>
          <cell r="L106" t="str">
            <v>+0.5</v>
          </cell>
          <cell r="P106">
            <v>2</v>
          </cell>
          <cell r="R106" t="str">
            <v>ラベル２枚　長手有　鉢巻無</v>
          </cell>
          <cell r="V106" t="str">
            <v>梱包は基材パターン同様</v>
          </cell>
          <cell r="W106" t="str">
            <v>※使用基材、取数は依頼書にて確認</v>
          </cell>
          <cell r="AC106">
            <v>565</v>
          </cell>
        </row>
        <row r="107">
          <cell r="A107" t="str">
            <v>J1AKACB02005680</v>
          </cell>
          <cell r="B107" t="str">
            <v>991GPK　568</v>
          </cell>
          <cell r="J107" t="str">
            <v>-</v>
          </cell>
          <cell r="K107">
            <v>-1</v>
          </cell>
          <cell r="L107" t="str">
            <v>+0.5</v>
          </cell>
          <cell r="P107">
            <v>2</v>
          </cell>
          <cell r="R107" t="str">
            <v>ラベル２枚　長手有　鉢巻無</v>
          </cell>
          <cell r="V107" t="str">
            <v>梱包は基材パターン同様</v>
          </cell>
          <cell r="W107" t="str">
            <v>※使用基材、取数は依頼書にて確認</v>
          </cell>
          <cell r="AC107">
            <v>568</v>
          </cell>
        </row>
        <row r="108">
          <cell r="A108" t="str">
            <v>J1AKACB02007150</v>
          </cell>
          <cell r="B108" t="str">
            <v>991GPK　715</v>
          </cell>
          <cell r="J108" t="str">
            <v>-</v>
          </cell>
          <cell r="K108">
            <v>-1</v>
          </cell>
          <cell r="L108" t="str">
            <v>+0.5</v>
          </cell>
          <cell r="P108">
            <v>2</v>
          </cell>
          <cell r="R108" t="str">
            <v>ラベル２枚　長手有　鉢巻無</v>
          </cell>
          <cell r="V108" t="str">
            <v>梱包は基材パターン同様</v>
          </cell>
          <cell r="W108" t="str">
            <v>※使用基材、取数は依頼書にて確認</v>
          </cell>
          <cell r="AC108">
            <v>715</v>
          </cell>
        </row>
        <row r="109">
          <cell r="A109" t="str">
            <v>J1AKACB02007180</v>
          </cell>
          <cell r="B109" t="str">
            <v>991GPK　718</v>
          </cell>
          <cell r="J109" t="str">
            <v>-</v>
          </cell>
          <cell r="K109">
            <v>-1</v>
          </cell>
          <cell r="L109" t="str">
            <v>+0.5</v>
          </cell>
          <cell r="P109">
            <v>2</v>
          </cell>
          <cell r="R109" t="str">
            <v>ラベル２枚　長手有　鉢巻無</v>
          </cell>
          <cell r="V109" t="str">
            <v>梱包は基材パターン同様</v>
          </cell>
          <cell r="W109" t="str">
            <v>※使用基材、取数は依頼書にて確認</v>
          </cell>
          <cell r="AC109">
            <v>718</v>
          </cell>
        </row>
        <row r="110">
          <cell r="A110" t="str">
            <v>J1AKACB02008650</v>
          </cell>
          <cell r="B110" t="str">
            <v>991GPK　865</v>
          </cell>
          <cell r="J110" t="str">
            <v>-</v>
          </cell>
          <cell r="K110">
            <v>-1</v>
          </cell>
          <cell r="L110" t="str">
            <v>+0.5</v>
          </cell>
          <cell r="P110">
            <v>1</v>
          </cell>
          <cell r="R110" t="str">
            <v>ラベル２枚　長手有　鉢巻無</v>
          </cell>
          <cell r="V110" t="str">
            <v>梱包は基材パターン同様</v>
          </cell>
          <cell r="W110" t="str">
            <v>※使用基材、取数は依頼書にて確認</v>
          </cell>
          <cell r="AC110">
            <v>865</v>
          </cell>
        </row>
        <row r="111">
          <cell r="A111" t="str">
            <v>J1AKACB02008680</v>
          </cell>
          <cell r="B111" t="str">
            <v>991GPK　868</v>
          </cell>
          <cell r="J111" t="str">
            <v>-</v>
          </cell>
          <cell r="K111">
            <v>-1</v>
          </cell>
          <cell r="L111" t="str">
            <v>+0.5</v>
          </cell>
          <cell r="P111">
            <v>1</v>
          </cell>
          <cell r="R111" t="str">
            <v>ラベル２枚　長手有　鉢巻無</v>
          </cell>
          <cell r="V111" t="str">
            <v>梱包は基材パターン同様</v>
          </cell>
          <cell r="W111" t="str">
            <v>※使用基材、取数は依頼書にて確認</v>
          </cell>
          <cell r="AC111">
            <v>868</v>
          </cell>
        </row>
        <row r="112">
          <cell r="A112" t="str">
            <v>J1AKACB02010150</v>
          </cell>
          <cell r="B112" t="str">
            <v>991GPK　1015</v>
          </cell>
          <cell r="J112" t="str">
            <v>-</v>
          </cell>
          <cell r="K112">
            <v>-1</v>
          </cell>
          <cell r="L112" t="str">
            <v>+0.5</v>
          </cell>
          <cell r="P112">
            <v>1</v>
          </cell>
          <cell r="R112" t="str">
            <v>ラベル2枚　長手有　鉢巻１</v>
          </cell>
          <cell r="V112" t="str">
            <v>梱包は基材パターン同様</v>
          </cell>
          <cell r="W112" t="str">
            <v>※使用基材、取数は依頼書にて確認</v>
          </cell>
          <cell r="AC112">
            <v>1015</v>
          </cell>
        </row>
        <row r="113">
          <cell r="A113" t="str">
            <v>J1AKACB02010180</v>
          </cell>
          <cell r="B113" t="str">
            <v>991GPK　1018</v>
          </cell>
          <cell r="J113" t="str">
            <v>-</v>
          </cell>
          <cell r="K113">
            <v>-1</v>
          </cell>
          <cell r="L113" t="str">
            <v>+0.5</v>
          </cell>
          <cell r="P113">
            <v>1</v>
          </cell>
          <cell r="R113" t="str">
            <v>ラベル2枚　長手有　鉢巻１</v>
          </cell>
          <cell r="V113" t="str">
            <v>梱包は基材パターン同様</v>
          </cell>
          <cell r="W113" t="str">
            <v>※使用基材、取数は依頼書にて確認</v>
          </cell>
          <cell r="AC113">
            <v>1018</v>
          </cell>
        </row>
        <row r="114">
          <cell r="A114" t="str">
            <v>J1AKACB03502640</v>
          </cell>
          <cell r="B114" t="str">
            <v>752GPSB　265</v>
          </cell>
          <cell r="J114" t="str">
            <v>-</v>
          </cell>
          <cell r="K114">
            <v>-0.5</v>
          </cell>
          <cell r="L114" t="str">
            <v>+0.5</v>
          </cell>
          <cell r="P114">
            <v>5</v>
          </cell>
          <cell r="R114" t="str">
            <v>ラベル２枚　長手有　鉢巻無</v>
          </cell>
          <cell r="W114" t="str">
            <v>※使用基材、取数は依頼書にて確認</v>
          </cell>
          <cell r="AC114">
            <v>264</v>
          </cell>
        </row>
        <row r="115">
          <cell r="A115" t="str">
            <v>J1AKACB03504140</v>
          </cell>
          <cell r="B115" t="str">
            <v>752GPSB　415</v>
          </cell>
          <cell r="J115" t="str">
            <v>-</v>
          </cell>
          <cell r="K115">
            <v>-0.5</v>
          </cell>
          <cell r="L115" t="str">
            <v>+0.5</v>
          </cell>
          <cell r="P115">
            <v>3</v>
          </cell>
          <cell r="R115" t="str">
            <v>ラベル２枚　長手有　鉢巻無</v>
          </cell>
          <cell r="W115" t="str">
            <v>※使用基材、取数は依頼書にて確認</v>
          </cell>
          <cell r="AC115">
            <v>414</v>
          </cell>
        </row>
        <row r="116">
          <cell r="A116" t="str">
            <v>J1AKACB03505640</v>
          </cell>
          <cell r="B116" t="str">
            <v>752GPSB　565</v>
          </cell>
          <cell r="J116" t="str">
            <v>-</v>
          </cell>
          <cell r="K116">
            <v>-0.5</v>
          </cell>
          <cell r="L116" t="str">
            <v>+0.5</v>
          </cell>
          <cell r="P116">
            <v>2</v>
          </cell>
          <cell r="R116" t="str">
            <v>ラベル２枚　長手有　鉢巻無</v>
          </cell>
          <cell r="W116" t="str">
            <v>※使用基材、取数は依頼書にて確認</v>
          </cell>
          <cell r="AC116">
            <v>564</v>
          </cell>
        </row>
        <row r="117">
          <cell r="A117" t="str">
            <v>J1AKACB03506640</v>
          </cell>
          <cell r="B117" t="str">
            <v>752GPSB　665</v>
          </cell>
          <cell r="J117" t="str">
            <v>-</v>
          </cell>
          <cell r="K117">
            <v>-0.5</v>
          </cell>
          <cell r="L117" t="str">
            <v>+0.5</v>
          </cell>
          <cell r="P117">
            <v>2</v>
          </cell>
          <cell r="R117" t="str">
            <v>ラベル２枚　長手有　鉢巻無</v>
          </cell>
          <cell r="W117" t="str">
            <v>※使用基材、取数は依頼書にて確認</v>
          </cell>
          <cell r="AC117">
            <v>640</v>
          </cell>
        </row>
        <row r="118">
          <cell r="A118" t="str">
            <v>J1AKACB03507140</v>
          </cell>
          <cell r="B118" t="str">
            <v>752GPSB　715</v>
          </cell>
          <cell r="J118" t="str">
            <v>-</v>
          </cell>
          <cell r="K118">
            <v>-0.5</v>
          </cell>
          <cell r="L118" t="str">
            <v>+0.5</v>
          </cell>
          <cell r="P118">
            <v>2</v>
          </cell>
          <cell r="R118" t="str">
            <v>ラベル２枚　長手有　鉢巻無</v>
          </cell>
          <cell r="W118" t="str">
            <v>※使用基材、取数は依頼書にて確認</v>
          </cell>
          <cell r="AC118">
            <v>714.5</v>
          </cell>
        </row>
        <row r="119">
          <cell r="A119" t="str">
            <v>J1AKACB03508640</v>
          </cell>
          <cell r="B119" t="str">
            <v>752GPSB　865</v>
          </cell>
          <cell r="J119" t="str">
            <v>-</v>
          </cell>
          <cell r="K119">
            <v>-0.5</v>
          </cell>
          <cell r="L119" t="str">
            <v>+0.5</v>
          </cell>
          <cell r="P119">
            <v>1</v>
          </cell>
          <cell r="R119" t="str">
            <v>ラベル２枚　長手有　鉢巻無</v>
          </cell>
          <cell r="W119" t="str">
            <v>※使用基材、取数は依頼書にて確認</v>
          </cell>
          <cell r="AC119">
            <v>864.5</v>
          </cell>
        </row>
        <row r="120">
          <cell r="A120" t="str">
            <v>J1EKACB10604140</v>
          </cell>
          <cell r="B120" t="str">
            <v>003GPDG　414</v>
          </cell>
          <cell r="P120">
            <v>3</v>
          </cell>
          <cell r="R120" t="str">
            <v>ラベル２枚　長手有　鉢巻無</v>
          </cell>
          <cell r="W120" t="str">
            <v>※使用基材、取数は依頼書にて確認</v>
          </cell>
        </row>
        <row r="121">
          <cell r="A121" t="str">
            <v>J1EKACB20305190</v>
          </cell>
          <cell r="B121" t="str">
            <v>002EGAW　519</v>
          </cell>
          <cell r="J121" t="str">
            <v>-</v>
          </cell>
          <cell r="K121">
            <v>-0.5</v>
          </cell>
          <cell r="L121" t="str">
            <v>+0.5</v>
          </cell>
          <cell r="P121">
            <v>2</v>
          </cell>
          <cell r="R121" t="str">
            <v>ラベル２枚　長手有　鉢巻無</v>
          </cell>
          <cell r="V121" t="str">
            <v>縦置き切断</v>
          </cell>
          <cell r="W121" t="str">
            <v>※使用基材、取数は依頼書にて確認</v>
          </cell>
          <cell r="AC121">
            <v>518.5</v>
          </cell>
        </row>
        <row r="122">
          <cell r="A122" t="str">
            <v>J1EKACB20306310</v>
          </cell>
          <cell r="B122" t="str">
            <v>002EGAW　631</v>
          </cell>
          <cell r="J122" t="str">
            <v>-</v>
          </cell>
          <cell r="K122">
            <v>-0.5</v>
          </cell>
          <cell r="L122" t="str">
            <v>+0.5</v>
          </cell>
          <cell r="P122">
            <v>2</v>
          </cell>
          <cell r="R122" t="str">
            <v>ラベル２枚　長手有　鉢巻無</v>
          </cell>
          <cell r="V122" t="str">
            <v>縦置き切断</v>
          </cell>
          <cell r="W122" t="str">
            <v>※使用基材、取数は依頼書にて確認</v>
          </cell>
          <cell r="AC122">
            <v>630.5</v>
          </cell>
        </row>
        <row r="123">
          <cell r="A123" t="str">
            <v>J1EKACB01302040</v>
          </cell>
          <cell r="B123" t="str">
            <v>002EGDG　204</v>
          </cell>
          <cell r="J123" t="str">
            <v>-</v>
          </cell>
          <cell r="P123">
            <v>5</v>
          </cell>
          <cell r="R123" t="str">
            <v>ラベル２枚　長手有　鉢巻無</v>
          </cell>
          <cell r="W123" t="str">
            <v>※使用基材、取数は依頼書にて確認</v>
          </cell>
          <cell r="AC123">
            <v>204</v>
          </cell>
        </row>
        <row r="124">
          <cell r="A124" t="str">
            <v>J1EKACB20802690</v>
          </cell>
          <cell r="B124" t="str">
            <v>051GPW　269(ｽﾀ)　</v>
          </cell>
          <cell r="J124" t="str">
            <v>〇</v>
          </cell>
          <cell r="K124">
            <v>0</v>
          </cell>
          <cell r="L124" t="str">
            <v>+1</v>
          </cell>
          <cell r="P124">
            <v>5</v>
          </cell>
          <cell r="R124" t="str">
            <v>ラベル２枚　長手有　鉢巻無</v>
          </cell>
          <cell r="V124" t="str">
            <v>公差注意</v>
          </cell>
          <cell r="W124" t="str">
            <v>※使用基材、取数は依頼書にて確認</v>
          </cell>
          <cell r="AC124" t="str">
            <v>換算表確認</v>
          </cell>
        </row>
        <row r="125">
          <cell r="A125" t="str">
            <v>J1EKACB20804190</v>
          </cell>
          <cell r="B125" t="str">
            <v>051GPW　419(ｽﾀ)</v>
          </cell>
          <cell r="J125" t="str">
            <v>〇</v>
          </cell>
          <cell r="K125">
            <v>0</v>
          </cell>
          <cell r="L125" t="str">
            <v>+1</v>
          </cell>
          <cell r="P125">
            <v>3</v>
          </cell>
          <cell r="R125" t="str">
            <v>ラベル２枚　長手有　鉢巻無</v>
          </cell>
          <cell r="V125" t="str">
            <v>公差注意</v>
          </cell>
          <cell r="W125" t="str">
            <v>※使用基材、取数は依頼書にて確認</v>
          </cell>
          <cell r="AC125" t="str">
            <v>換算表確認</v>
          </cell>
        </row>
        <row r="126">
          <cell r="A126" t="str">
            <v>J1EKACB20805670</v>
          </cell>
          <cell r="B126" t="str">
            <v>051GPW　567(ｽﾀ)</v>
          </cell>
          <cell r="J126" t="str">
            <v>〇</v>
          </cell>
          <cell r="K126">
            <v>0</v>
          </cell>
          <cell r="L126" t="str">
            <v>+1</v>
          </cell>
          <cell r="P126">
            <v>2</v>
          </cell>
          <cell r="R126" t="str">
            <v>ラベル２枚　長手有　鉢巻無</v>
          </cell>
          <cell r="V126" t="str">
            <v>公差注意</v>
          </cell>
          <cell r="W126" t="str">
            <v>※使用基材、取数は依頼書にて確認</v>
          </cell>
          <cell r="AC126" t="str">
            <v>換算表確認</v>
          </cell>
        </row>
        <row r="127">
          <cell r="A127" t="str">
            <v>J1EKACB20805690</v>
          </cell>
          <cell r="B127" t="str">
            <v>051GPW　569</v>
          </cell>
          <cell r="J127" t="str">
            <v>〇</v>
          </cell>
          <cell r="K127">
            <v>-1</v>
          </cell>
          <cell r="L127">
            <v>0</v>
          </cell>
          <cell r="P127">
            <v>2</v>
          </cell>
          <cell r="R127" t="str">
            <v>ラベル２枚　長手有　鉢巻無</v>
          </cell>
          <cell r="W127" t="str">
            <v>※使用基材、取数は依頼書にて確認</v>
          </cell>
          <cell r="AC127" t="str">
            <v>換算表確認</v>
          </cell>
        </row>
        <row r="128">
          <cell r="A128" t="str">
            <v>J1EKACB20807150</v>
          </cell>
          <cell r="B128" t="str">
            <v>051GPW　715</v>
          </cell>
          <cell r="J128" t="str">
            <v>〇</v>
          </cell>
          <cell r="K128">
            <v>-1</v>
          </cell>
          <cell r="L128">
            <v>0</v>
          </cell>
          <cell r="P128">
            <v>2</v>
          </cell>
          <cell r="R128" t="str">
            <v>ラベル２枚　長手有　鉢巻無</v>
          </cell>
          <cell r="W128" t="str">
            <v>※使用基材、取数は依頼書にて確認</v>
          </cell>
          <cell r="AC128" t="str">
            <v>換算表確認</v>
          </cell>
        </row>
        <row r="129">
          <cell r="A129" t="str">
            <v>J1EKACB20807190</v>
          </cell>
          <cell r="B129" t="str">
            <v>051GPW　719</v>
          </cell>
          <cell r="J129" t="str">
            <v>〇</v>
          </cell>
          <cell r="K129">
            <v>-1</v>
          </cell>
          <cell r="L129">
            <v>0</v>
          </cell>
          <cell r="P129">
            <v>2</v>
          </cell>
          <cell r="R129" t="str">
            <v>ラベル２枚　長手有　鉢巻無</v>
          </cell>
          <cell r="W129" t="str">
            <v>※使用基材、取数は依頼書にて確認</v>
          </cell>
          <cell r="AC129" t="str">
            <v>換算表確認</v>
          </cell>
        </row>
        <row r="130">
          <cell r="A130" t="str">
            <v>J1EKACB20808680</v>
          </cell>
          <cell r="B130" t="str">
            <v>051GPW　868</v>
          </cell>
          <cell r="J130" t="str">
            <v>〇</v>
          </cell>
          <cell r="K130">
            <v>-1</v>
          </cell>
          <cell r="L130">
            <v>0</v>
          </cell>
          <cell r="P130">
            <v>1</v>
          </cell>
          <cell r="R130" t="str">
            <v>ラベル２枚　長手有　鉢巻無</v>
          </cell>
          <cell r="W130" t="str">
            <v>※使用基材、取数は依頼書にて確認</v>
          </cell>
          <cell r="AC130" t="str">
            <v>換算表確認</v>
          </cell>
        </row>
        <row r="131">
          <cell r="A131" t="str">
            <v>J1EKACB20810140</v>
          </cell>
          <cell r="B131" t="str">
            <v>051GPW　1014</v>
          </cell>
          <cell r="J131" t="str">
            <v>〇</v>
          </cell>
          <cell r="K131">
            <v>-1</v>
          </cell>
          <cell r="L131">
            <v>0</v>
          </cell>
          <cell r="P131">
            <v>1</v>
          </cell>
          <cell r="R131" t="str">
            <v>ラベル2枚　長手有　鉢巻１</v>
          </cell>
          <cell r="W131" t="str">
            <v>※使用基材、取数は依頼書にて確認</v>
          </cell>
          <cell r="AC131" t="str">
            <v>換算表確認</v>
          </cell>
        </row>
        <row r="132">
          <cell r="A132" t="str">
            <v>J1EKACB20810180</v>
          </cell>
          <cell r="B132" t="str">
            <v>051GPW　1018</v>
          </cell>
          <cell r="J132" t="str">
            <v>〇</v>
          </cell>
          <cell r="K132">
            <v>-1</v>
          </cell>
          <cell r="L132">
            <v>0</v>
          </cell>
          <cell r="P132">
            <v>1</v>
          </cell>
          <cell r="R132" t="str">
            <v>ラベル2枚　長手有　鉢巻１</v>
          </cell>
          <cell r="W132" t="str">
            <v>※使用基材、取数は依頼書にて確認</v>
          </cell>
          <cell r="AC132" t="str">
            <v>換算表確認</v>
          </cell>
        </row>
        <row r="133">
          <cell r="A133" t="str">
            <v>J1EKACB20811640</v>
          </cell>
          <cell r="B133" t="str">
            <v>051GPW　1164</v>
          </cell>
          <cell r="J133" t="str">
            <v>〇</v>
          </cell>
          <cell r="K133">
            <v>-1</v>
          </cell>
          <cell r="L133">
            <v>0</v>
          </cell>
          <cell r="P133">
            <v>1</v>
          </cell>
          <cell r="R133" t="str">
            <v>ラベル2枚　長手有　鉢巻１</v>
          </cell>
          <cell r="W133" t="str">
            <v>※使用基材、取数は依頼書にて確認</v>
          </cell>
          <cell r="AC133" t="str">
            <v>換算表確認</v>
          </cell>
        </row>
        <row r="134">
          <cell r="A134" t="str">
            <v>J1EKACB22204150</v>
          </cell>
          <cell r="B134" t="str">
            <v>001EGAW　415</v>
          </cell>
          <cell r="J134" t="str">
            <v>-</v>
          </cell>
          <cell r="K134">
            <v>-0.5</v>
          </cell>
          <cell r="L134" t="str">
            <v>+0.5</v>
          </cell>
          <cell r="P134">
            <v>3</v>
          </cell>
          <cell r="R134" t="str">
            <v>ラベル２枚　長手有　鉢巻無</v>
          </cell>
          <cell r="W134" t="str">
            <v>※使用基材、取数は依頼書にて確認</v>
          </cell>
          <cell r="AC134">
            <v>414.5</v>
          </cell>
        </row>
        <row r="135">
          <cell r="A135" t="str">
            <v>J1EKACB22205080</v>
          </cell>
          <cell r="B135" t="str">
            <v>001EGAW　508</v>
          </cell>
          <cell r="J135" t="str">
            <v>-</v>
          </cell>
          <cell r="K135">
            <v>-0.5</v>
          </cell>
          <cell r="L135" t="str">
            <v>+0.5</v>
          </cell>
          <cell r="P135">
            <v>2</v>
          </cell>
          <cell r="R135" t="str">
            <v>ラベル２枚　長手有　鉢巻無</v>
          </cell>
          <cell r="W135" t="str">
            <v>※使用基材、取数は依頼書にて確認</v>
          </cell>
          <cell r="AC135">
            <v>507.5</v>
          </cell>
        </row>
        <row r="136">
          <cell r="A136" t="str">
            <v>J1EKACB22205650</v>
          </cell>
          <cell r="B136" t="str">
            <v>001EGAW　565</v>
          </cell>
          <cell r="J136" t="str">
            <v>-</v>
          </cell>
          <cell r="K136">
            <v>-0.5</v>
          </cell>
          <cell r="L136" t="str">
            <v>+0.5</v>
          </cell>
          <cell r="P136">
            <v>2</v>
          </cell>
          <cell r="R136" t="str">
            <v>ラベル２枚　長手有　鉢巻無</v>
          </cell>
          <cell r="W136" t="str">
            <v>※使用基材、取数は依頼書にて確認</v>
          </cell>
          <cell r="AC136">
            <v>564.5</v>
          </cell>
        </row>
        <row r="137">
          <cell r="A137" t="str">
            <v>J1EKACB22206330</v>
          </cell>
          <cell r="B137" t="str">
            <v>001EGAW　633</v>
          </cell>
          <cell r="J137" t="str">
            <v>-</v>
          </cell>
          <cell r="K137">
            <v>-0.5</v>
          </cell>
          <cell r="L137" t="str">
            <v>+0.5</v>
          </cell>
          <cell r="P137">
            <v>2</v>
          </cell>
          <cell r="R137" t="str">
            <v>ラベル２枚　長手有　鉢巻無</v>
          </cell>
          <cell r="W137" t="str">
            <v>※使用基材、取数は依頼書にて確認</v>
          </cell>
          <cell r="AC137">
            <v>632.5</v>
          </cell>
        </row>
        <row r="138">
          <cell r="A138" t="str">
            <v>J1EKACB22206520</v>
          </cell>
          <cell r="B138" t="str">
            <v>001EGAW　652</v>
          </cell>
          <cell r="J138" t="str">
            <v>-</v>
          </cell>
          <cell r="K138">
            <v>-0.5</v>
          </cell>
          <cell r="L138" t="str">
            <v>+0.5</v>
          </cell>
          <cell r="P138">
            <v>2</v>
          </cell>
          <cell r="R138" t="str">
            <v>ラベル２枚　長手有　鉢巻無</v>
          </cell>
          <cell r="W138" t="str">
            <v>※使用基材、取数は依頼書にて確認</v>
          </cell>
          <cell r="AC138">
            <v>651.5</v>
          </cell>
        </row>
        <row r="139">
          <cell r="A139" t="str">
            <v>J1EKACB22206650</v>
          </cell>
          <cell r="B139" t="str">
            <v>001EGAW　665</v>
          </cell>
          <cell r="J139" t="str">
            <v>-</v>
          </cell>
          <cell r="K139">
            <v>-0.5</v>
          </cell>
          <cell r="L139" t="str">
            <v>+0.5</v>
          </cell>
          <cell r="P139">
            <v>2</v>
          </cell>
          <cell r="R139" t="str">
            <v>ラベル２枚　長手有　鉢巻無</v>
          </cell>
          <cell r="W139" t="str">
            <v>※使用基材、取数は依頼書にて確認</v>
          </cell>
          <cell r="AC139">
            <v>664.5</v>
          </cell>
        </row>
        <row r="140">
          <cell r="A140" t="str">
            <v>J1EKACB22207150</v>
          </cell>
          <cell r="B140" t="str">
            <v>001EGAW　715</v>
          </cell>
          <cell r="J140" t="str">
            <v>-</v>
          </cell>
          <cell r="K140">
            <v>-0.5</v>
          </cell>
          <cell r="L140" t="str">
            <v>+0.5</v>
          </cell>
          <cell r="P140">
            <v>2</v>
          </cell>
          <cell r="R140" t="str">
            <v>ラベル２枚　長手有　鉢巻無</v>
          </cell>
          <cell r="W140" t="str">
            <v>※使用基材、取数は依頼書にて確認</v>
          </cell>
          <cell r="AC140">
            <v>714.5</v>
          </cell>
        </row>
        <row r="141">
          <cell r="A141" t="str">
            <v>J1AAFAB01299999</v>
          </cell>
          <cell r="B141" t="str">
            <v>GA-770 (特注)BR</v>
          </cell>
          <cell r="J141" t="str">
            <v>-</v>
          </cell>
          <cell r="K141">
            <v>-1</v>
          </cell>
          <cell r="L141">
            <v>0</v>
          </cell>
          <cell r="P141" t="str">
            <v>図面確認</v>
          </cell>
          <cell r="V141" t="str">
            <v>-</v>
          </cell>
          <cell r="W141" t="str">
            <v>-</v>
          </cell>
          <cell r="AC141" t="str">
            <v>図面確認</v>
          </cell>
        </row>
        <row r="142">
          <cell r="A142" t="str">
            <v>J1AAFAB01199999</v>
          </cell>
          <cell r="B142" t="str">
            <v>GA-770 (特注)BK</v>
          </cell>
          <cell r="J142" t="str">
            <v>-</v>
          </cell>
          <cell r="K142">
            <v>-1</v>
          </cell>
          <cell r="L142">
            <v>0</v>
          </cell>
          <cell r="P142" t="str">
            <v>図面確認</v>
          </cell>
          <cell r="V142" t="str">
            <v>-</v>
          </cell>
          <cell r="W142" t="str">
            <v>-</v>
          </cell>
          <cell r="AC142" t="str">
            <v>図面確認</v>
          </cell>
        </row>
        <row r="143">
          <cell r="A143" t="str">
            <v>J1AAZDB00301000</v>
          </cell>
          <cell r="B143" t="str">
            <v>BMPU-245　L=100</v>
          </cell>
          <cell r="J143" t="str">
            <v>〇</v>
          </cell>
          <cell r="P143">
            <v>12</v>
          </cell>
          <cell r="R143" t="str">
            <v>ラベル貼付２枚　</v>
          </cell>
        </row>
        <row r="144">
          <cell r="A144" t="str">
            <v>J1AAZDB00501000</v>
          </cell>
          <cell r="B144" t="str">
            <v>PRPU-418　L=100</v>
          </cell>
          <cell r="J144" t="str">
            <v>〇</v>
          </cell>
          <cell r="P144">
            <v>12</v>
          </cell>
          <cell r="R144" t="str">
            <v>ラベル貼付２枚　</v>
          </cell>
        </row>
        <row r="145">
          <cell r="A145" t="str">
            <v>J1AZLDB00122810</v>
          </cell>
          <cell r="B145" t="str">
            <v>QDNT-284A L2　L=2281</v>
          </cell>
          <cell r="J145" t="str">
            <v>〇</v>
          </cell>
          <cell r="P145">
            <v>1</v>
          </cell>
          <cell r="R145" t="str">
            <v>ラベル貼付２枚　長手テーピング有　鉢巻２回</v>
          </cell>
          <cell r="V145" t="str">
            <v>寸法Wチェック</v>
          </cell>
          <cell r="AC145" t="str">
            <v>換算表確認</v>
          </cell>
        </row>
        <row r="146">
          <cell r="A146" t="str">
            <v>J1AZLDB00123150</v>
          </cell>
          <cell r="B146" t="str">
            <v>QDNT-284A L1　L=2315</v>
          </cell>
          <cell r="J146" t="str">
            <v>〇</v>
          </cell>
          <cell r="P146">
            <v>1</v>
          </cell>
          <cell r="R146" t="str">
            <v>ラベル貼付２枚　長手テーピング有　鉢巻２回</v>
          </cell>
          <cell r="V146" t="str">
            <v>寸法Wチェック</v>
          </cell>
          <cell r="AC146" t="str">
            <v>換算表確認</v>
          </cell>
        </row>
        <row r="147">
          <cell r="A147" t="str">
            <v>J1AZLDB00123980</v>
          </cell>
          <cell r="B147" t="str">
            <v>QDNT-284A LT　L=2398</v>
          </cell>
          <cell r="J147" t="str">
            <v>〇</v>
          </cell>
          <cell r="P147">
            <v>1</v>
          </cell>
          <cell r="R147" t="str">
            <v>ラベル貼付２枚　長手テーピング有　鉢巻２回</v>
          </cell>
          <cell r="V147" t="str">
            <v>寸法Wチェック</v>
          </cell>
          <cell r="AC147" t="str">
            <v>換算表確認</v>
          </cell>
        </row>
        <row r="148">
          <cell r="A148" t="str">
            <v>J1AZLDB00127400</v>
          </cell>
          <cell r="B148" t="str">
            <v>QDNT-284A LT2　L=2740</v>
          </cell>
          <cell r="J148" t="str">
            <v>〇</v>
          </cell>
          <cell r="P148">
            <v>1</v>
          </cell>
          <cell r="R148" t="str">
            <v>ラベル貼付２枚　長手テーピング有　鉢巻２回</v>
          </cell>
          <cell r="V148" t="str">
            <v>平置き切断</v>
          </cell>
          <cell r="W148" t="str">
            <v>特殊延長バー取付</v>
          </cell>
          <cell r="AC148" t="str">
            <v>換算表確認</v>
          </cell>
        </row>
        <row r="149">
          <cell r="A149" t="str">
            <v>J1AZLDB00422660</v>
          </cell>
          <cell r="B149" t="str">
            <v>DHCT-147 L1　L=2266</v>
          </cell>
          <cell r="J149" t="str">
            <v>〇</v>
          </cell>
          <cell r="P149">
            <v>1</v>
          </cell>
          <cell r="R149" t="str">
            <v>ラベル貼付２枚　長手テーピング有　鉢巻２回</v>
          </cell>
          <cell r="V149" t="str">
            <v>寸法Wチェック</v>
          </cell>
          <cell r="AC149" t="str">
            <v>換算表確認</v>
          </cell>
        </row>
        <row r="150">
          <cell r="A150" t="str">
            <v>J1AZLDB00422975</v>
          </cell>
          <cell r="B150" t="str">
            <v>DHCT-147 L3　L=2297.5</v>
          </cell>
          <cell r="J150" t="str">
            <v>〇</v>
          </cell>
          <cell r="P150">
            <v>1</v>
          </cell>
          <cell r="R150" t="str">
            <v>ラベル貼付２枚　長手テーピング有　鉢巻２回</v>
          </cell>
          <cell r="V150" t="str">
            <v>寸法Wチェック</v>
          </cell>
          <cell r="AC150" t="str">
            <v>換算表確認</v>
          </cell>
        </row>
        <row r="151">
          <cell r="A151" t="str">
            <v>J1AZLDB00522670</v>
          </cell>
          <cell r="B151" t="str">
            <v>DHCT-136　L=2267</v>
          </cell>
          <cell r="J151" t="str">
            <v>〇</v>
          </cell>
          <cell r="P151">
            <v>1</v>
          </cell>
          <cell r="R151" t="str">
            <v>ラベル貼付２枚　長手テーピング有　鉢巻２回</v>
          </cell>
          <cell r="V151" t="str">
            <v>寸法Wチェック</v>
          </cell>
          <cell r="AC151" t="str">
            <v>換算表確認</v>
          </cell>
        </row>
        <row r="152">
          <cell r="A152" t="str">
            <v>J1AZLDB00522985</v>
          </cell>
          <cell r="B152" t="str">
            <v>DHCT-136 L1　L=2298.5</v>
          </cell>
          <cell r="J152" t="str">
            <v>〇</v>
          </cell>
          <cell r="P152">
            <v>1</v>
          </cell>
          <cell r="R152" t="str">
            <v>ラベル貼付２枚　長手テーピング有　鉢巻２回</v>
          </cell>
          <cell r="V152" t="str">
            <v>寸法Wチェック</v>
          </cell>
          <cell r="AC152" t="str">
            <v>換算表確認</v>
          </cell>
        </row>
        <row r="153">
          <cell r="A153" t="str">
            <v>J1AZLDB00719940</v>
          </cell>
          <cell r="B153" t="str">
            <v>DHCT-328RL1　L=1994</v>
          </cell>
          <cell r="J153" t="str">
            <v>〇</v>
          </cell>
          <cell r="P153">
            <v>1</v>
          </cell>
          <cell r="R153" t="str">
            <v>ラベル貼付２枚　長手テーピング有　鉢巻２回</v>
          </cell>
          <cell r="V153" t="str">
            <v>寸法Wチェック</v>
          </cell>
          <cell r="AC153" t="str">
            <v>換算表確認</v>
          </cell>
        </row>
        <row r="154">
          <cell r="A154" t="str">
            <v>J1AZLDB00800790</v>
          </cell>
          <cell r="B154" t="str">
            <v>DHCT-329L1　L=79</v>
          </cell>
          <cell r="J154" t="str">
            <v>〇</v>
          </cell>
          <cell r="P154">
            <v>30</v>
          </cell>
          <cell r="R154" t="str">
            <v>ラベル貼付２枚　長手テーピング有　鉢巻無し</v>
          </cell>
          <cell r="AC154" t="str">
            <v>換算表確認</v>
          </cell>
        </row>
        <row r="155">
          <cell r="A155" t="str">
            <v>J1AZLDB00901030</v>
          </cell>
          <cell r="B155" t="str">
            <v>DHCT-329L2　L=103</v>
          </cell>
          <cell r="J155" t="str">
            <v>〇</v>
          </cell>
          <cell r="P155">
            <v>22</v>
          </cell>
          <cell r="R155" t="str">
            <v>ラベル貼付２枚　長手テーピング有　鉢巻２回</v>
          </cell>
          <cell r="AC155" t="str">
            <v>換算表確認</v>
          </cell>
        </row>
        <row r="156">
          <cell r="A156" t="str">
            <v>J1AZLDB01719950</v>
          </cell>
          <cell r="B156" t="str">
            <v>DHCT-397 L1　L=1995</v>
          </cell>
          <cell r="J156" t="str">
            <v>〇</v>
          </cell>
          <cell r="P156">
            <v>1</v>
          </cell>
          <cell r="R156" t="str">
            <v>ラベル貼付２枚　長手テーピング有　鉢巻２回</v>
          </cell>
          <cell r="V156" t="str">
            <v>寸法Wチェック</v>
          </cell>
          <cell r="AC156" t="str">
            <v>換算表確認</v>
          </cell>
        </row>
        <row r="157">
          <cell r="A157" t="str">
            <v>J1AZLDB01818880</v>
          </cell>
          <cell r="B157" t="str">
            <v>DHCT-397 LL2　L=1888</v>
          </cell>
          <cell r="J157" t="str">
            <v>〇</v>
          </cell>
          <cell r="P157">
            <v>1</v>
          </cell>
          <cell r="R157" t="str">
            <v>ラベル貼付２枚　長手テーピング有　鉢巻２回</v>
          </cell>
          <cell r="V157" t="str">
            <v>寸法Wチェック</v>
          </cell>
          <cell r="AC157" t="str">
            <v>換算表確認</v>
          </cell>
        </row>
        <row r="158">
          <cell r="A158" t="str">
            <v>J1AZLDB01900860</v>
          </cell>
          <cell r="B158" t="str">
            <v>DHCT-398　L=86</v>
          </cell>
          <cell r="J158" t="str">
            <v>〇</v>
          </cell>
          <cell r="P158">
            <v>15</v>
          </cell>
          <cell r="R158" t="str">
            <v>ラベル貼付２枚　長手テーピング有　鉢巻無し</v>
          </cell>
          <cell r="AC158" t="str">
            <v>換算表確認</v>
          </cell>
        </row>
        <row r="159">
          <cell r="A159" t="str">
            <v>J1AZLDB02023080</v>
          </cell>
          <cell r="B159" t="str">
            <v>DHCT-409 L1　L=2308</v>
          </cell>
          <cell r="J159" t="str">
            <v>〇</v>
          </cell>
          <cell r="P159">
            <v>1</v>
          </cell>
          <cell r="R159" t="str">
            <v>ラベル貼付２枚　長手テーピング有　鉢巻２回</v>
          </cell>
          <cell r="V159" t="str">
            <v>寸法Wチェック</v>
          </cell>
          <cell r="AC159" t="str">
            <v>換算表確認</v>
          </cell>
        </row>
        <row r="160">
          <cell r="A160" t="str">
            <v>J1AZLDB02118880</v>
          </cell>
          <cell r="B160" t="str">
            <v>DHCT-397 RL2　L=1888</v>
          </cell>
          <cell r="J160" t="str">
            <v>〇</v>
          </cell>
          <cell r="P160">
            <v>1</v>
          </cell>
          <cell r="R160" t="str">
            <v>ラベル貼付２枚　長手テーピング有　鉢巻２回</v>
          </cell>
          <cell r="V160" t="str">
            <v>寸法Wチェック</v>
          </cell>
          <cell r="AC160" t="str">
            <v>換算表確認</v>
          </cell>
        </row>
        <row r="161">
          <cell r="A161" t="str">
            <v>J1AZLDB02600990</v>
          </cell>
          <cell r="B161" t="str">
            <v>DHCT-548L3　L=99</v>
          </cell>
          <cell r="J161" t="str">
            <v>〇</v>
          </cell>
          <cell r="P161">
            <v>13</v>
          </cell>
          <cell r="R161" t="str">
            <v>ラベル貼付２枚　長手テーピング有　鉢巻無し</v>
          </cell>
          <cell r="AC161" t="str">
            <v>換算表確認</v>
          </cell>
        </row>
        <row r="162">
          <cell r="A162" t="str">
            <v>J1AZLDB02601075</v>
          </cell>
          <cell r="B162" t="str">
            <v>DHCT-548L1　L=107.5</v>
          </cell>
          <cell r="J162" t="str">
            <v>〇</v>
          </cell>
          <cell r="P162">
            <v>22</v>
          </cell>
          <cell r="R162" t="str">
            <v>ラベル貼付２枚　長手テーピング有　鉢巻無し</v>
          </cell>
          <cell r="AC162" t="str">
            <v>換算表確認</v>
          </cell>
        </row>
        <row r="163">
          <cell r="A163" t="str">
            <v>J1AZLDB02601235</v>
          </cell>
          <cell r="B163" t="str">
            <v>DHCT-548L4　L=123.5</v>
          </cell>
          <cell r="J163" t="str">
            <v>〇</v>
          </cell>
          <cell r="P163">
            <v>19</v>
          </cell>
          <cell r="R163" t="str">
            <v>ラベル貼付２枚　長手テーピング有　鉢巻無し</v>
          </cell>
          <cell r="AC163" t="str">
            <v>換算表確認</v>
          </cell>
        </row>
        <row r="164">
          <cell r="A164" t="str">
            <v>J1AZLDB02601320</v>
          </cell>
          <cell r="B164" t="str">
            <v>DHCT-548L2　L=132</v>
          </cell>
          <cell r="J164" t="str">
            <v>〇</v>
          </cell>
          <cell r="P164">
            <v>17</v>
          </cell>
          <cell r="R164" t="str">
            <v>ラベル貼付２枚　長手テーピング有　鉢巻無し</v>
          </cell>
          <cell r="AC164" t="str">
            <v>換算表確認</v>
          </cell>
        </row>
        <row r="165">
          <cell r="A165" t="str">
            <v>J1AZLDB02603340</v>
          </cell>
          <cell r="B165" t="str">
            <v>DHCT-547L1　L=334</v>
          </cell>
          <cell r="J165" t="str">
            <v>〇</v>
          </cell>
          <cell r="P165">
            <v>7</v>
          </cell>
          <cell r="R165" t="str">
            <v>ラベル貼付２枚　長手テーピング有　鉢巻無し</v>
          </cell>
          <cell r="AC165" t="str">
            <v>換算表確認</v>
          </cell>
        </row>
        <row r="166">
          <cell r="A166" t="str">
            <v>J1AZLDB02603460</v>
          </cell>
          <cell r="B166" t="str">
            <v>DHCT-547L2　L=346</v>
          </cell>
          <cell r="J166" t="str">
            <v>〇</v>
          </cell>
          <cell r="P166">
            <v>6</v>
          </cell>
          <cell r="R166" t="str">
            <v>ラベル貼付２枚　長手テーピング有　鉢巻無し</v>
          </cell>
          <cell r="AC166" t="str">
            <v>換算表確認</v>
          </cell>
        </row>
        <row r="167">
          <cell r="A167" t="str">
            <v>J1AZLDB02702240</v>
          </cell>
          <cell r="B167" t="str">
            <v>DHCT-691 L1　L=224</v>
          </cell>
          <cell r="J167" t="str">
            <v>〇</v>
          </cell>
          <cell r="P167">
            <v>10</v>
          </cell>
          <cell r="R167" t="str">
            <v>ラベル貼付２枚　長手テーピング有　鉢巻無し</v>
          </cell>
          <cell r="AC167" t="str">
            <v>換算表確認</v>
          </cell>
        </row>
        <row r="168">
          <cell r="A168" t="str">
            <v>J1AZLDB00523605</v>
          </cell>
          <cell r="B168" t="str">
            <v>DHDT-186　L=2360.5</v>
          </cell>
          <cell r="J168" t="str">
            <v>〇</v>
          </cell>
          <cell r="P168">
            <v>1</v>
          </cell>
          <cell r="R168" t="str">
            <v>ラベル貼付２枚　長手テーピング有　鉢巻２回</v>
          </cell>
          <cell r="V168" t="str">
            <v>寸法Wチェック</v>
          </cell>
          <cell r="AC168" t="str">
            <v>換算表確認</v>
          </cell>
        </row>
        <row r="169">
          <cell r="A169" t="str">
            <v>J1AZLDB03201160</v>
          </cell>
          <cell r="B169" t="str">
            <v>QDQT-509 L1　L=116</v>
          </cell>
          <cell r="J169" t="str">
            <v>〇</v>
          </cell>
          <cell r="P169">
            <v>17</v>
          </cell>
          <cell r="R169" t="str">
            <v>ラベル貼付２枚</v>
          </cell>
          <cell r="AC169" t="str">
            <v>換算表確認</v>
          </cell>
        </row>
        <row r="170">
          <cell r="A170" t="str">
            <v>J1AZLDB03202380</v>
          </cell>
          <cell r="B170" t="str">
            <v>QDQT-509 L2　L=238</v>
          </cell>
          <cell r="J170" t="str">
            <v>〇</v>
          </cell>
          <cell r="P170">
            <v>8</v>
          </cell>
          <cell r="R170" t="str">
            <v>ラベル貼付２枚</v>
          </cell>
          <cell r="AC170" t="str">
            <v>換算表確認</v>
          </cell>
        </row>
        <row r="171">
          <cell r="A171" t="str">
            <v>J1AZLDB03300780</v>
          </cell>
          <cell r="B171" t="str">
            <v>QDQT-515 L3   L=78  　　</v>
          </cell>
          <cell r="J171" t="str">
            <v>〇</v>
          </cell>
          <cell r="P171">
            <v>23</v>
          </cell>
          <cell r="R171" t="str">
            <v>ラベル貼付２枚</v>
          </cell>
          <cell r="AC171" t="str">
            <v>換算表確認</v>
          </cell>
        </row>
        <row r="172">
          <cell r="A172" t="str">
            <v>J1AZLDB03301280</v>
          </cell>
          <cell r="B172" t="str">
            <v>QDQT-515 L2   L=128     　　</v>
          </cell>
          <cell r="J172" t="str">
            <v>〇</v>
          </cell>
          <cell r="P172">
            <v>17</v>
          </cell>
          <cell r="R172" t="str">
            <v>ラベル貼付２枚</v>
          </cell>
          <cell r="AC172" t="str">
            <v>換算表確認</v>
          </cell>
        </row>
        <row r="173">
          <cell r="A173" t="str">
            <v>J1AZLDB03305440</v>
          </cell>
          <cell r="B173" t="str">
            <v>QDQT-515 L1　L=544　</v>
          </cell>
          <cell r="J173" t="str">
            <v>〇</v>
          </cell>
          <cell r="P173">
            <v>4</v>
          </cell>
          <cell r="R173" t="str">
            <v>ラベル貼付２枚</v>
          </cell>
          <cell r="AC173" t="str">
            <v>換算表確認</v>
          </cell>
        </row>
        <row r="174">
          <cell r="A174" t="str">
            <v>J1EAZDB00102000</v>
          </cell>
          <cell r="B174" t="str">
            <v>QDN-487　L=200</v>
          </cell>
          <cell r="J174" t="str">
            <v>〇</v>
          </cell>
          <cell r="P174">
            <v>5</v>
          </cell>
          <cell r="R174" t="str">
            <v>ラベル貼付２枚</v>
          </cell>
        </row>
        <row r="175">
          <cell r="A175" t="str">
            <v>J4AAMWB01504140</v>
          </cell>
          <cell r="B175" t="str">
            <v>AM-O-0744-KC1　L=414</v>
          </cell>
          <cell r="J175" t="str">
            <v>-</v>
          </cell>
          <cell r="K175">
            <v>-10</v>
          </cell>
          <cell r="L175">
            <v>0</v>
          </cell>
          <cell r="P175">
            <v>2</v>
          </cell>
          <cell r="R175">
            <v>2</v>
          </cell>
        </row>
        <row r="176">
          <cell r="A176" t="str">
            <v>J4AAMWB02707690</v>
          </cell>
          <cell r="B176" t="str">
            <v>AM-O-0807-KC1　L=769</v>
          </cell>
          <cell r="J176" t="str">
            <v>-</v>
          </cell>
          <cell r="K176">
            <v>-10</v>
          </cell>
          <cell r="L176">
            <v>0</v>
          </cell>
          <cell r="P176">
            <v>1</v>
          </cell>
          <cell r="R176">
            <v>2</v>
          </cell>
        </row>
        <row r="177">
          <cell r="A177" t="str">
            <v>J1AEFZB00205250</v>
          </cell>
          <cell r="B177" t="str">
            <v>脚ﾊﾟｲﾌﾟPVC　L=525</v>
          </cell>
          <cell r="J177" t="str">
            <v>-</v>
          </cell>
          <cell r="K177">
            <v>-1</v>
          </cell>
          <cell r="L177" t="str">
            <v>+1</v>
          </cell>
          <cell r="P177">
            <v>1</v>
          </cell>
          <cell r="R177" t="str">
            <v>１カゴ毎に46本</v>
          </cell>
        </row>
        <row r="178">
          <cell r="A178" t="str">
            <v>J1AEFZB00205750</v>
          </cell>
          <cell r="B178" t="str">
            <v>脚ﾊﾟｲﾌﾟPVC　L=575</v>
          </cell>
          <cell r="J178" t="str">
            <v>-</v>
          </cell>
          <cell r="K178">
            <v>-1</v>
          </cell>
          <cell r="L178" t="str">
            <v>+1</v>
          </cell>
          <cell r="P178">
            <v>1</v>
          </cell>
          <cell r="R178" t="str">
            <v>１カゴ毎に46本</v>
          </cell>
        </row>
      </sheetData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"/>
  <sheetViews>
    <sheetView tabSelected="1" topLeftCell="A24" workbookViewId="0">
      <selection activeCell="A38" sqref="A38:XFD56"/>
    </sheetView>
  </sheetViews>
  <sheetFormatPr defaultColWidth="1.625" defaultRowHeight="13.5"/>
  <cols>
    <col min="1" max="1" width="9.75" style="1" customWidth="1"/>
    <col min="2" max="2" width="19.25" style="1" customWidth="1"/>
    <col min="3" max="3" width="5.875" style="1" customWidth="1"/>
    <col min="4" max="4" width="12.5" style="1" customWidth="1"/>
    <col min="5" max="5" width="9.25" style="1" customWidth="1"/>
    <col min="6" max="6" width="23.75" style="1" customWidth="1"/>
    <col min="7" max="7" width="10.25" style="1" customWidth="1"/>
    <col min="8" max="10" width="10.625" style="1" customWidth="1"/>
    <col min="11" max="11" width="1.625" style="1" customWidth="1"/>
    <col min="12" max="16384" width="1.625" style="1"/>
  </cols>
  <sheetData>
    <row r="1" spans="1:10" ht="14.25" customHeight="1" thickBot="1">
      <c r="A1" s="11"/>
      <c r="B1" s="109" t="s">
        <v>0</v>
      </c>
      <c r="C1" s="86"/>
      <c r="D1" s="86"/>
      <c r="E1" s="11"/>
      <c r="F1" s="11"/>
      <c r="G1" s="11"/>
      <c r="H1" s="11"/>
      <c r="I1" s="11"/>
      <c r="J1" s="11"/>
    </row>
    <row r="2" spans="1:10" ht="14.25" customHeight="1" thickTop="1">
      <c r="A2" s="12"/>
      <c r="B2" s="86"/>
      <c r="C2" s="86"/>
      <c r="D2" s="86"/>
      <c r="E2" s="12"/>
      <c r="F2" s="12"/>
      <c r="G2" s="12"/>
      <c r="H2" s="12"/>
      <c r="I2" s="12"/>
      <c r="J2" s="12"/>
    </row>
    <row r="3" spans="1:10" ht="14.25" customHeight="1">
      <c r="A3" s="89" t="s">
        <v>1</v>
      </c>
      <c r="B3" s="89" t="s">
        <v>2</v>
      </c>
      <c r="C3" s="89" t="s">
        <v>3</v>
      </c>
      <c r="D3" s="115">
        <v>748</v>
      </c>
      <c r="E3" s="89" t="s">
        <v>4</v>
      </c>
      <c r="F3" s="118" t="s">
        <v>5</v>
      </c>
      <c r="G3" s="86"/>
      <c r="H3" s="82"/>
      <c r="I3" s="13" t="s">
        <v>6</v>
      </c>
      <c r="J3" s="13" t="s">
        <v>7</v>
      </c>
    </row>
    <row r="4" spans="1:10" ht="14.25" customHeight="1">
      <c r="A4" s="86"/>
      <c r="B4" s="86"/>
      <c r="C4" s="86"/>
      <c r="D4" s="86"/>
      <c r="E4" s="86"/>
      <c r="F4" s="86"/>
      <c r="G4" s="86"/>
      <c r="H4" s="82"/>
      <c r="I4" s="97"/>
      <c r="J4" s="97"/>
    </row>
    <row r="5" spans="1:10" ht="17.45" customHeight="1">
      <c r="A5" s="96" t="s">
        <v>8</v>
      </c>
      <c r="B5" s="96" t="s">
        <v>9</v>
      </c>
      <c r="E5" s="96" t="s">
        <v>10</v>
      </c>
      <c r="F5" s="85" t="s">
        <v>11</v>
      </c>
      <c r="G5" s="86"/>
      <c r="H5" s="82"/>
      <c r="I5" s="98"/>
      <c r="J5" s="98"/>
    </row>
    <row r="6" spans="1:10" ht="17.45" customHeight="1">
      <c r="A6" s="86"/>
      <c r="B6" s="86"/>
      <c r="E6" s="86"/>
      <c r="F6" s="86"/>
      <c r="G6" s="86"/>
      <c r="H6" s="82"/>
      <c r="I6" s="14"/>
      <c r="J6" s="14"/>
    </row>
    <row r="7" spans="1:10" ht="17.45" customHeight="1">
      <c r="A7" s="96" t="s">
        <v>12</v>
      </c>
      <c r="B7" s="96" t="s">
        <v>13</v>
      </c>
      <c r="E7" s="2" t="s">
        <v>14</v>
      </c>
      <c r="F7" s="120" t="s">
        <v>15</v>
      </c>
      <c r="G7" s="86"/>
      <c r="H7" s="21"/>
    </row>
    <row r="8" spans="1:10" ht="17.45" customHeight="1">
      <c r="A8" s="86"/>
      <c r="B8" s="86"/>
      <c r="E8" s="2" t="s">
        <v>16</v>
      </c>
      <c r="F8" s="21" t="s">
        <v>17</v>
      </c>
      <c r="G8" s="21"/>
      <c r="H8" s="21"/>
    </row>
    <row r="9" spans="1:10" ht="17.45" customHeight="1">
      <c r="A9" s="2" t="s">
        <v>18</v>
      </c>
      <c r="B9" s="4">
        <v>45971</v>
      </c>
      <c r="E9" s="2" t="s">
        <v>19</v>
      </c>
      <c r="F9" s="128">
        <v>100</v>
      </c>
      <c r="G9" s="86"/>
      <c r="H9" s="21"/>
    </row>
    <row r="10" spans="1:10" ht="17.45" customHeight="1">
      <c r="A10" s="2" t="s">
        <v>20</v>
      </c>
      <c r="B10" s="4">
        <v>45971</v>
      </c>
      <c r="E10" s="2" t="s">
        <v>21</v>
      </c>
      <c r="F10" s="21">
        <v>2</v>
      </c>
      <c r="G10" s="100" t="s">
        <v>22</v>
      </c>
      <c r="H10" s="112">
        <v>200</v>
      </c>
      <c r="I10" s="113"/>
      <c r="J10" s="114"/>
    </row>
    <row r="11" spans="1:10" ht="17.45" customHeight="1">
      <c r="A11" s="19"/>
      <c r="B11" s="20"/>
      <c r="C11" s="20"/>
      <c r="D11" s="20"/>
      <c r="E11" s="2" t="s">
        <v>23</v>
      </c>
      <c r="F11" s="21" t="s">
        <v>24</v>
      </c>
      <c r="G11" s="101"/>
      <c r="H11" s="101"/>
      <c r="I11" s="83"/>
      <c r="J11" s="84"/>
    </row>
    <row r="12" spans="1:10" ht="13.5" customHeight="1">
      <c r="A12" s="99" t="s">
        <v>25</v>
      </c>
      <c r="B12" s="86"/>
      <c r="C12" s="86"/>
      <c r="D12" s="20"/>
      <c r="F12" s="3"/>
      <c r="G12" s="110" t="s">
        <v>26</v>
      </c>
      <c r="H12" s="127" t="s">
        <v>27</v>
      </c>
      <c r="I12" s="81" t="s">
        <v>28</v>
      </c>
      <c r="J12" s="82"/>
    </row>
    <row r="13" spans="1:10" ht="13.5" customHeight="1">
      <c r="A13" s="86"/>
      <c r="B13" s="86"/>
      <c r="C13" s="86"/>
      <c r="D13" s="20"/>
      <c r="F13" s="3"/>
      <c r="G13" s="111"/>
      <c r="H13" s="111"/>
      <c r="I13" s="83"/>
      <c r="J13" s="84"/>
    </row>
    <row r="14" spans="1:10" ht="13.5" customHeight="1">
      <c r="A14" s="1" t="s">
        <v>29</v>
      </c>
    </row>
    <row r="15" spans="1:10" ht="63" customHeight="1" thickBot="1">
      <c r="A15" s="116"/>
      <c r="B15" s="117"/>
      <c r="C15" s="117"/>
      <c r="D15" s="117"/>
      <c r="E15" s="117"/>
      <c r="F15" s="117"/>
      <c r="G15" s="117"/>
      <c r="H15" s="117"/>
      <c r="I15" s="117"/>
      <c r="J15" s="117"/>
    </row>
    <row r="16" spans="1:10" ht="18.75">
      <c r="A16" s="23" t="s">
        <v>30</v>
      </c>
      <c r="B16" s="16" t="s">
        <v>31</v>
      </c>
      <c r="C16" s="102" t="s">
        <v>32</v>
      </c>
      <c r="D16" s="103"/>
      <c r="E16" s="16" t="s">
        <v>33</v>
      </c>
      <c r="F16" s="102" t="s">
        <v>34</v>
      </c>
      <c r="G16" s="103"/>
      <c r="H16" s="103"/>
      <c r="I16" s="119" t="s">
        <v>35</v>
      </c>
      <c r="J16" s="103"/>
    </row>
    <row r="17" spans="1:10" s="6" customFormat="1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s="7" customFormat="1" ht="16.5" customHeight="1">
      <c r="A18" s="22">
        <v>1</v>
      </c>
      <c r="B18" s="24" t="s">
        <v>36</v>
      </c>
      <c r="C18" s="92" t="s">
        <v>37</v>
      </c>
      <c r="D18" s="93"/>
      <c r="E18" s="24" t="s">
        <v>38</v>
      </c>
      <c r="F18" s="92" t="s">
        <v>39</v>
      </c>
      <c r="G18" s="93"/>
      <c r="H18" s="93"/>
      <c r="I18" s="95"/>
      <c r="J18" s="93"/>
    </row>
    <row r="19" spans="1:10" s="7" customFormat="1" ht="16.5" customHeight="1">
      <c r="A19" s="22">
        <v>1</v>
      </c>
      <c r="B19" s="25" t="s">
        <v>36</v>
      </c>
      <c r="C19" s="92" t="s">
        <v>37</v>
      </c>
      <c r="D19" s="93"/>
      <c r="E19" s="24" t="s">
        <v>40</v>
      </c>
      <c r="F19" s="92" t="s">
        <v>41</v>
      </c>
      <c r="G19" s="93"/>
      <c r="H19" s="93"/>
      <c r="I19" s="95"/>
      <c r="J19" s="93"/>
    </row>
    <row r="20" spans="1:10" s="7" customFormat="1" ht="16.5" customHeight="1">
      <c r="A20" s="22"/>
      <c r="B20" s="25"/>
      <c r="C20" s="92"/>
      <c r="D20" s="93"/>
      <c r="E20" s="24"/>
      <c r="F20" s="92"/>
      <c r="G20" s="93"/>
      <c r="H20" s="93"/>
      <c r="I20" s="95"/>
      <c r="J20" s="93"/>
    </row>
    <row r="21" spans="1:10" s="7" customFormat="1" ht="16.5" customHeight="1">
      <c r="A21" s="22"/>
      <c r="B21" s="25"/>
      <c r="C21" s="92"/>
      <c r="D21" s="93"/>
      <c r="E21" s="24"/>
      <c r="F21" s="92"/>
      <c r="G21" s="93"/>
      <c r="H21" s="93"/>
      <c r="I21" s="95"/>
      <c r="J21" s="93"/>
    </row>
    <row r="22" spans="1:10" s="7" customFormat="1" ht="16.5" customHeight="1">
      <c r="A22" s="22"/>
      <c r="B22" s="25"/>
      <c r="C22" s="92"/>
      <c r="D22" s="93"/>
      <c r="E22" s="24"/>
      <c r="F22" s="92"/>
      <c r="G22" s="93"/>
      <c r="H22" s="93"/>
      <c r="I22" s="95"/>
      <c r="J22" s="93"/>
    </row>
    <row r="23" spans="1:10" s="7" customFormat="1" ht="16.5" customHeight="1">
      <c r="A23" s="22"/>
      <c r="B23" s="25"/>
      <c r="C23" s="92"/>
      <c r="D23" s="93"/>
      <c r="E23" s="24"/>
      <c r="F23" s="92"/>
      <c r="G23" s="93"/>
      <c r="H23" s="93"/>
      <c r="I23" s="95"/>
      <c r="J23" s="93"/>
    </row>
    <row r="24" spans="1:10" ht="16.5" customHeight="1" thickBot="1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 ht="18.75">
      <c r="A25" s="90" t="s">
        <v>42</v>
      </c>
      <c r="B25" s="91"/>
      <c r="C25" s="90" t="s">
        <v>43</v>
      </c>
      <c r="D25" s="91"/>
      <c r="E25" s="91"/>
      <c r="F25" s="17" t="s">
        <v>44</v>
      </c>
      <c r="G25" s="90" t="s">
        <v>45</v>
      </c>
      <c r="H25" s="91"/>
      <c r="I25" s="90" t="s">
        <v>46</v>
      </c>
      <c r="J25" s="91"/>
    </row>
    <row r="26" spans="1:10" ht="14.25" customHeight="1">
      <c r="A26" s="8"/>
      <c r="B26" s="18"/>
      <c r="C26" s="108" t="s">
        <v>47</v>
      </c>
      <c r="D26" s="83"/>
      <c r="E26" s="18"/>
      <c r="F26" s="108" t="s">
        <v>29</v>
      </c>
      <c r="G26" s="83"/>
      <c r="H26" s="83"/>
      <c r="I26" s="83"/>
      <c r="J26" s="83"/>
    </row>
    <row r="27" spans="1:10">
      <c r="A27" s="9"/>
      <c r="C27" s="7"/>
      <c r="D27" s="7"/>
      <c r="E27" s="7"/>
    </row>
    <row r="28" spans="1:10" s="5" customFormat="1" ht="14.25" customHeight="1">
      <c r="A28" s="92" t="s">
        <v>48</v>
      </c>
      <c r="B28" s="88"/>
      <c r="C28" s="92" t="s">
        <v>49</v>
      </c>
      <c r="D28" s="88"/>
      <c r="E28" s="88"/>
      <c r="F28" s="26" t="s">
        <v>27</v>
      </c>
      <c r="G28" s="87">
        <v>100</v>
      </c>
      <c r="H28" s="88"/>
      <c r="I28" s="87">
        <v>1</v>
      </c>
      <c r="J28" s="88"/>
    </row>
    <row r="29" spans="1:10" s="7" customFormat="1" ht="24.95" customHeight="1">
      <c r="A29" s="94" t="s">
        <v>50</v>
      </c>
      <c r="B29" s="93"/>
      <c r="C29" s="92"/>
      <c r="D29" s="93"/>
      <c r="E29" s="93"/>
      <c r="F29" s="92"/>
      <c r="G29" s="93"/>
      <c r="H29" s="93"/>
      <c r="I29" s="93"/>
      <c r="J29" s="93"/>
    </row>
    <row r="30" spans="1:10" s="5" customFormat="1" ht="14.25" customHeight="1">
      <c r="A30" s="92" t="s">
        <v>51</v>
      </c>
      <c r="B30" s="88"/>
      <c r="C30" s="92" t="s">
        <v>52</v>
      </c>
      <c r="D30" s="88"/>
      <c r="E30" s="88"/>
      <c r="F30" s="26" t="s">
        <v>36</v>
      </c>
      <c r="G30" s="87">
        <v>2</v>
      </c>
      <c r="H30" s="88"/>
      <c r="I30" s="87">
        <v>0.02</v>
      </c>
      <c r="J30" s="88"/>
    </row>
    <row r="31" spans="1:10" s="7" customFormat="1" ht="24.95" customHeight="1">
      <c r="A31" s="94" t="s">
        <v>53</v>
      </c>
      <c r="B31" s="93"/>
      <c r="C31" s="92" t="s">
        <v>54</v>
      </c>
      <c r="D31" s="93"/>
      <c r="E31" s="93"/>
      <c r="F31" s="92"/>
      <c r="G31" s="93"/>
      <c r="H31" s="93"/>
      <c r="I31" s="93"/>
      <c r="J31" s="93"/>
    </row>
    <row r="32" spans="1:10" s="5" customFormat="1" ht="14.25" customHeight="1">
      <c r="A32" s="92" t="s">
        <v>55</v>
      </c>
      <c r="B32" s="88"/>
      <c r="C32" s="92" t="s">
        <v>56</v>
      </c>
      <c r="D32" s="88"/>
      <c r="E32" s="88"/>
      <c r="F32" s="26"/>
      <c r="G32" s="87">
        <v>0.2</v>
      </c>
      <c r="H32" s="88"/>
      <c r="I32" s="87">
        <v>2E-3</v>
      </c>
      <c r="J32" s="88"/>
    </row>
    <row r="33" spans="1:14" s="7" customFormat="1" ht="24.95" customHeight="1">
      <c r="A33" s="94" t="s">
        <v>57</v>
      </c>
      <c r="B33" s="93"/>
      <c r="C33" s="92" t="s">
        <v>58</v>
      </c>
      <c r="D33" s="93"/>
      <c r="E33" s="93"/>
      <c r="F33" s="92"/>
      <c r="G33" s="93"/>
      <c r="H33" s="93"/>
      <c r="I33" s="93"/>
      <c r="J33" s="93"/>
    </row>
    <row r="34" spans="1:14" s="5" customFormat="1" ht="14.25" customHeight="1">
      <c r="A34" s="92" t="s">
        <v>59</v>
      </c>
      <c r="B34" s="88"/>
      <c r="C34" s="92" t="s">
        <v>60</v>
      </c>
      <c r="D34" s="88"/>
      <c r="E34" s="88"/>
      <c r="F34" s="26"/>
      <c r="G34" s="87">
        <v>0.2</v>
      </c>
      <c r="H34" s="88"/>
      <c r="I34" s="87">
        <v>2E-3</v>
      </c>
      <c r="J34" s="88"/>
    </row>
    <row r="35" spans="1:14" s="7" customFormat="1" ht="24.95" customHeight="1">
      <c r="A35" s="94" t="s">
        <v>61</v>
      </c>
      <c r="B35" s="93"/>
      <c r="C35" s="92" t="s">
        <v>62</v>
      </c>
      <c r="D35" s="93"/>
      <c r="E35" s="93"/>
      <c r="F35" s="92"/>
      <c r="G35" s="93"/>
      <c r="H35" s="93"/>
      <c r="I35" s="93"/>
      <c r="J35" s="93"/>
    </row>
    <row r="36" spans="1:14" s="5" customFormat="1" ht="14.25" customHeight="1">
      <c r="A36" s="92"/>
      <c r="B36" s="88"/>
      <c r="C36" s="92"/>
      <c r="D36" s="88"/>
      <c r="E36" s="88"/>
      <c r="F36" s="26"/>
      <c r="G36" s="87"/>
      <c r="H36" s="88"/>
      <c r="I36" s="87"/>
      <c r="J36" s="88"/>
    </row>
    <row r="37" spans="1:14" s="7" customFormat="1" ht="24.95" customHeight="1" thickBot="1">
      <c r="A37" s="94"/>
      <c r="B37" s="93"/>
      <c r="C37" s="92"/>
      <c r="D37" s="93"/>
      <c r="E37" s="93"/>
      <c r="F37" s="92"/>
      <c r="G37" s="93"/>
      <c r="H37" s="93"/>
      <c r="I37" s="93"/>
      <c r="J37" s="93"/>
    </row>
    <row r="38" spans="1:14" s="5" customFormat="1" ht="18" customHeight="1">
      <c r="A38" s="130" t="s">
        <v>63</v>
      </c>
      <c r="B38" s="131"/>
      <c r="C38" s="131"/>
      <c r="D38" s="131"/>
      <c r="E38" s="104" t="s">
        <v>64</v>
      </c>
      <c r="F38" s="105"/>
      <c r="G38" s="27" t="s">
        <v>65</v>
      </c>
      <c r="H38" s="106" t="s">
        <v>66</v>
      </c>
      <c r="I38" s="107"/>
      <c r="J38" s="28" t="s">
        <v>67</v>
      </c>
    </row>
    <row r="39" spans="1:14" s="7" customFormat="1" ht="18" customHeight="1">
      <c r="A39" s="121" t="str">
        <f>_xlfn.XLOOKUP(B3,[1]VFDB2!A:A,[1]VFDB2!B:B)</f>
        <v>8FL281304 8310　L=748</v>
      </c>
      <c r="B39" s="122"/>
      <c r="C39" s="122"/>
      <c r="D39" s="122"/>
      <c r="E39" s="125" t="str" cm="1">
        <f t="array" ref="E39">IFERROR(IF(ISBLANK(INDEX(_xlfn._xlws.FILTER([1]加工記録２!$C$3:$C$999509, [1]加工記録２!$T$3:$T$999509=B5), 6)), "", INDEX(_xlfn._xlws.FILTER([1]加工記録２!$C$3:$C$999509, [1]加工記録２!$T$3:$T$999509=B5), 6)),"")</f>
        <v>LED-A888</v>
      </c>
      <c r="F39" s="126"/>
      <c r="G39" s="129" cm="1">
        <f t="array" ref="G39">IFERROR(IF(ISBLANK(INDEX(_xlfn._xlws.FILTER([1]加工記録２!$C$3:$C$999509, [1]加工記録２!$T$3:$T$999509=B5), 7)), " ", INDEX(_xlfn._xlws.FILTER([1]加工記録２!$C$3:$C$999509, [1]加工記録２!$T$3:$T$999509=B5), 7))," ")</f>
        <v>2</v>
      </c>
      <c r="H39" s="29" t="s">
        <v>68</v>
      </c>
      <c r="I39" s="47" cm="1">
        <f t="array" ref="I39:J39">IFERROR(IF(ISBLANK(INDEX(_xlfn._xlws.FILTER([1]加工記録２!$O$3:$P$999572, [1]加工記録２!$T$3:$T$999572=B5), 1)), "", INDEX(_xlfn._xlws.FILTER([1]加工記録２!$O$3:$P$999572, [1]加工記録２!$T$3:$T$999572=B5), 1)),"")</f>
        <v>0</v>
      </c>
      <c r="J39" s="48">
        <v>1</v>
      </c>
    </row>
    <row r="40" spans="1:14" s="5" customFormat="1" ht="18" customHeight="1">
      <c r="A40" s="123"/>
      <c r="B40" s="124"/>
      <c r="C40" s="124"/>
      <c r="D40" s="124"/>
      <c r="E40" s="125"/>
      <c r="F40" s="126"/>
      <c r="G40" s="129"/>
      <c r="H40" s="29" t="s">
        <v>69</v>
      </c>
      <c r="I40" s="49" cm="1">
        <f t="array" ref="I40:J40">IFERROR(IF(ISBLANK(INDEX(_xlfn._xlws.FILTER([1]加工記録２!$O$3:$P$999572, [1]加工記録２!$T$3:$T$999572=B5), 2)), "", INDEX(_xlfn._xlws.FILTER([1]加工記録２!$O$3:$P$999572, [1]加工記録２!$T$3:$T$999572=B5), 2)),"")</f>
        <v>200</v>
      </c>
      <c r="J40" s="50" t="str">
        <v/>
      </c>
      <c r="K40" s="30"/>
    </row>
    <row r="41" spans="1:14" s="7" customFormat="1" ht="18" customHeight="1">
      <c r="A41" s="132" t="s">
        <v>70</v>
      </c>
      <c r="B41" s="145" t="str">
        <f>_xlfn.XLOOKUP(B3,[1]VFDB2!A:A,[1]VFDB2!J:J)</f>
        <v>〇</v>
      </c>
      <c r="C41" s="147" t="s">
        <v>71</v>
      </c>
      <c r="D41" s="149">
        <f>_xlfn.XLOOKUP(B3,[1]VFDB2!A:A,[1]VFDB2!P:P)</f>
        <v>2</v>
      </c>
      <c r="E41" s="125" t="str">
        <f>_xlfn.XLOOKUP(B3,[1]VFDB2!A:A,[1]VFDB2!V:V)</f>
        <v>1箱目の梱包数 目視確認　以降、重量測定</v>
      </c>
      <c r="F41" s="126"/>
      <c r="G41" s="140"/>
      <c r="H41" s="31" t="s">
        <v>72</v>
      </c>
      <c r="I41" s="49" cm="1">
        <f t="array" ref="I41:J41">IFERROR(IF(ISBLANK(INDEX(_xlfn._xlws.FILTER([1]加工記録２!$O$3:$P$999572, [1]加工記録２!$T$3:$T$999572=B5), 3)), "", INDEX(_xlfn._xlws.FILTER([1]加工記録２!$O$3:$P$999572, [1]加工記録２!$T$3:$T$999572=B5), 3)),"")</f>
        <v>101</v>
      </c>
      <c r="J41" s="51" t="str">
        <v/>
      </c>
      <c r="K41" s="32"/>
    </row>
    <row r="42" spans="1:14" s="5" customFormat="1" ht="18" customHeight="1">
      <c r="A42" s="144"/>
      <c r="B42" s="146"/>
      <c r="C42" s="148"/>
      <c r="D42" s="150"/>
      <c r="E42" s="125"/>
      <c r="F42" s="126"/>
      <c r="G42" s="140"/>
      <c r="H42" s="31" t="s">
        <v>73</v>
      </c>
      <c r="I42" s="49" cm="1">
        <f t="array" ref="I42:J42">IFERROR(IF(ISBLANK(INDEX(_xlfn._xlws.FILTER([1]加工記録２!$O$3:$P$999572, [1]加工記録２!$T$3:$T$999572=B5), 4)), "", INDEX(_xlfn._xlws.FILTER([1]加工記録２!$O$3:$P$999572, [1]加工記録２!$T$3:$T$999572=B5), 4)),"")</f>
        <v>1</v>
      </c>
      <c r="J42" s="52" t="str">
        <v/>
      </c>
      <c r="K42" s="30"/>
    </row>
    <row r="43" spans="1:14" s="7" customFormat="1" ht="18" customHeight="1">
      <c r="A43" s="151" t="s">
        <v>74</v>
      </c>
      <c r="B43" s="153">
        <f>D3</f>
        <v>748</v>
      </c>
      <c r="C43" s="155" t="s">
        <v>75</v>
      </c>
      <c r="D43" s="138" t="str">
        <f>_xlfn.XLOOKUP(B3,[1]VFDB2!A:A,[1]VFDB2!L:L)</f>
        <v>+0.5</v>
      </c>
      <c r="E43" s="125" t="str">
        <f>_xlfn.XLOOKUP(B3,[1]VFDB2!A:A,[1]VFDB2!W:W)</f>
        <v>L=888用　クラフト紙</v>
      </c>
      <c r="F43" s="126"/>
      <c r="G43" s="140"/>
      <c r="H43" s="31" t="s">
        <v>76</v>
      </c>
      <c r="I43" s="49" cm="1">
        <f t="array" ref="I43:J43">IFERROR(IF(ISBLANK(INDEX(_xlfn._xlws.FILTER([1]加工記録２!$O$3:$P$999572, [1]加工記録２!$T$3:$T$999572=B5), 5)), "", INDEX(_xlfn._xlws.FILTER([1]加工記録２!$O$3:$P$999572, [1]加工記録２!$T$3:$T$999572=B5), 5)),"")</f>
        <v>1</v>
      </c>
      <c r="J43" s="53" t="str">
        <v/>
      </c>
      <c r="K43" s="32"/>
    </row>
    <row r="44" spans="1:14" s="5" customFormat="1" ht="18" customHeight="1">
      <c r="A44" s="152"/>
      <c r="B44" s="154"/>
      <c r="C44" s="156"/>
      <c r="D44" s="157"/>
      <c r="E44" s="125"/>
      <c r="F44" s="126"/>
      <c r="G44" s="140"/>
      <c r="H44" s="31" t="s">
        <v>77</v>
      </c>
      <c r="I44" s="49" cm="1">
        <f t="array" ref="I44:J44">IFERROR(IF(ISBLANK(INDEX(_xlfn._xlws.FILTER([1]加工記録２!$O$3:$P$999572, [1]加工記録２!$T$3:$T$999572=B5), 6)), "", INDEX(_xlfn._xlws.FILTER([1]加工記録２!$O$3:$P$999572, [1]加工記録２!$T$3:$T$999572=B5), 6)),"")</f>
        <v>1</v>
      </c>
      <c r="J44" s="54" t="str">
        <v/>
      </c>
      <c r="K44" s="30"/>
    </row>
    <row r="45" spans="1:14" s="7" customFormat="1" ht="18" customHeight="1">
      <c r="A45" s="132" t="s">
        <v>78</v>
      </c>
      <c r="B45" s="134" t="str">
        <f>_xlfn.XLOOKUP(B3,[1]VFDB2!A:A,[1]VFDB2!AC:AC)</f>
        <v>換算表確認</v>
      </c>
      <c r="C45" s="136" t="s">
        <v>79</v>
      </c>
      <c r="D45" s="138" t="str">
        <f>_xlfn.XLOOKUP(B3,[1]VFDB2!A:A,[1]VFDB2!K:K)</f>
        <v>－0.5</v>
      </c>
      <c r="E45" s="125" t="str">
        <f>_xlfn.XLOOKUP(B3,[1]VFDB2!A:A,[1]VFDB2!R:R)</f>
        <v>ラベル１枚　長手無　鉢巻１回</v>
      </c>
      <c r="F45" s="126"/>
      <c r="G45" s="140"/>
      <c r="H45" s="31" t="s">
        <v>80</v>
      </c>
      <c r="I45" s="49" t="str" cm="1">
        <f t="array" ref="I45">IFERROR(IF(ISBLANK(INDEX(_xlfn._xlws.FILTER([1]加工記録２!$M$3:$M$999572, [1]加工記録２!$T$3:$T$999572=B5), 6)), "", INDEX(_xlfn._xlws.FILTER([1]加工記録２!$M$3:$M$999572, [1]加工記録２!$T$3:$T$999572=B5), 6)),"")</f>
        <v>M</v>
      </c>
      <c r="J45" s="55" t="str" cm="1">
        <f t="array" ref="J45">IFERROR(IF(ISBLANK(INDEX(_xlfn._xlws.FILTER([1]加工記録２!$P$3:$P$999572, [1]加工記録２!$T$3:$T$999572=B5), 7)), "", INDEX(_xlfn._xlws.FILTER([1]加工記録２!$P$3:$P$999572, [1]加工記録２!$T$3:$T$999572=B5), 7)),"")</f>
        <v/>
      </c>
      <c r="K45" s="32"/>
    </row>
    <row r="46" spans="1:14" s="5" customFormat="1" ht="18" customHeight="1" thickBot="1">
      <c r="A46" s="133"/>
      <c r="B46" s="135"/>
      <c r="C46" s="137"/>
      <c r="D46" s="139"/>
      <c r="E46" s="141"/>
      <c r="F46" s="142"/>
      <c r="G46" s="143"/>
      <c r="H46" s="33" t="s">
        <v>81</v>
      </c>
      <c r="I46" s="49" t="str" cm="1">
        <f t="array" ref="I46">IFERROR(IF(ISBLANK(INDEX(_xlfn._xlws.FILTER([1]加工記録２!$M$3:$M$999572, [1]加工記録２!$T$3:$T$999572=B5), 7)), "", INDEX(_xlfn._xlws.FILTER([1]加工記録２!$M$3:$M$999572, [1]加工記録２!$T$3:$T$999572=B5), 7)),"")</f>
        <v>T</v>
      </c>
      <c r="J46" s="56">
        <f>SUM(J39:J45)</f>
        <v>1</v>
      </c>
    </row>
    <row r="47" spans="1:14" s="44" customFormat="1" ht="18.95" customHeight="1">
      <c r="A47" s="34" t="s">
        <v>82</v>
      </c>
      <c r="B47" s="35" t="s">
        <v>83</v>
      </c>
      <c r="C47" s="36" t="s">
        <v>84</v>
      </c>
      <c r="D47" s="36" t="s">
        <v>85</v>
      </c>
      <c r="E47" s="37" t="s">
        <v>86</v>
      </c>
      <c r="F47" s="38" t="s">
        <v>87</v>
      </c>
      <c r="G47" s="39" t="s">
        <v>88</v>
      </c>
      <c r="H47" s="40" t="s">
        <v>89</v>
      </c>
      <c r="I47" s="41" t="s">
        <v>90</v>
      </c>
      <c r="J47" s="42" t="s">
        <v>91</v>
      </c>
      <c r="K47" s="43"/>
      <c r="L47" s="43"/>
      <c r="M47" s="43"/>
      <c r="N47" s="43"/>
    </row>
    <row r="48" spans="1:14" s="46" customFormat="1" ht="18.95" customHeight="1">
      <c r="A48" s="57" cm="1">
        <f t="array" ref="A48:J48">IFERROR(IF(ISBLANK(INDEX(_xlfn._xlws.FILTER([1]加工記録２!$D$3:$M$999572, [1]加工記録２!$T$3:$T$999572=B5), 1)), "", INDEX(_xlfn._xlws.FILTER([1]加工記録２!$D$3:$M$999572, [1]加工記録２!$T$3:$T$999572=B5), 1)),"")</f>
        <v>45961</v>
      </c>
      <c r="B48" s="58" t="str">
        <v>25I26-01</v>
      </c>
      <c r="C48" s="59" t="str">
        <v/>
      </c>
      <c r="D48" s="59" t="str">
        <v/>
      </c>
      <c r="E48" s="60" t="str">
        <v/>
      </c>
      <c r="F48" s="61" t="str">
        <v>25I26-01</v>
      </c>
      <c r="G48" s="62">
        <v>5</v>
      </c>
      <c r="H48" s="63">
        <v>2</v>
      </c>
      <c r="I48" s="64" t="str">
        <v>25.11.06</v>
      </c>
      <c r="J48" s="65" t="str">
        <v>2箱</v>
      </c>
      <c r="K48" s="45"/>
      <c r="L48" s="45"/>
      <c r="M48" s="45"/>
      <c r="N48" s="45"/>
    </row>
    <row r="49" spans="1:14" s="46" customFormat="1" ht="18.95" customHeight="1">
      <c r="A49" s="57" cm="1">
        <f t="array" ref="A49:J49">IFERROR(IF(ISBLANK(INDEX(_xlfn._xlws.FILTER([1]加工記録２!$D$3:$M$999572, [1]加工記録２!$T$3:$T$999572=B5), 2)), "", INDEX(_xlfn._xlws.FILTER([1]加工記録２!$D$3:$M$999572, [1]加工記録２!$T$3:$T$999572=B5), 2)),"")</f>
        <v>45966</v>
      </c>
      <c r="B49" s="66" t="str">
        <v>25J19-05</v>
      </c>
      <c r="C49" s="66">
        <v>22</v>
      </c>
      <c r="D49" s="67">
        <v>748.1</v>
      </c>
      <c r="E49" s="68">
        <v>748.12</v>
      </c>
      <c r="F49" s="69" t="str">
        <v>25J19-05</v>
      </c>
      <c r="G49" s="70">
        <v>128</v>
      </c>
      <c r="H49" s="71">
        <v>64</v>
      </c>
      <c r="I49" s="64" t="str">
        <v/>
      </c>
      <c r="J49" s="65" t="str">
        <v/>
      </c>
      <c r="K49" s="45"/>
      <c r="L49" s="45"/>
      <c r="M49" s="45"/>
      <c r="N49" s="45"/>
    </row>
    <row r="50" spans="1:14" s="46" customFormat="1" ht="18.95" customHeight="1">
      <c r="A50" s="57" cm="1">
        <f t="array" ref="A50:J50">IFERROR(IF(ISBLANK(INDEX(_xlfn._xlws.FILTER([1]加工記録２!$D$3:$M$999572, [1]加工記録２!$T$3:$T$999572=B5), 3)), "", INDEX(_xlfn._xlws.FILTER([1]加工記録２!$D$3:$M$999572, [1]加工記録２!$T$3:$T$999572=B5), 3)),"")</f>
        <v>45966</v>
      </c>
      <c r="B50" s="66" t="str">
        <v>25J20-06</v>
      </c>
      <c r="C50" s="66">
        <v>22</v>
      </c>
      <c r="D50" s="67">
        <v>748.1</v>
      </c>
      <c r="E50" s="68">
        <v>748.09</v>
      </c>
      <c r="F50" s="69" t="str">
        <v>25J20-06</v>
      </c>
      <c r="G50" s="70">
        <v>68</v>
      </c>
      <c r="H50" s="71">
        <v>34</v>
      </c>
      <c r="I50" s="64" t="str">
        <v/>
      </c>
      <c r="J50" s="65" t="str">
        <v/>
      </c>
      <c r="K50" s="45"/>
      <c r="L50" s="45"/>
      <c r="M50" s="45"/>
      <c r="N50" s="45"/>
    </row>
    <row r="51" spans="1:14" s="46" customFormat="1" ht="18.95" customHeight="1">
      <c r="A51" s="57" t="str" cm="1">
        <f t="array" ref="A51:J51">IFERROR(IF(ISBLANK(INDEX(_xlfn._xlws.FILTER([1]加工記録２!$D$3:$M$999572, [1]加工記録２!$T$3:$T$999572=B5), 4)), "", INDEX(_xlfn._xlws.FILTER([1]加工記録２!$D$3:$M$999572, [1]加工記録２!$T$3:$T$999572=B5), 4)),"")</f>
        <v/>
      </c>
      <c r="B51" s="66" t="str">
        <v/>
      </c>
      <c r="C51" s="66" t="str">
        <v/>
      </c>
      <c r="D51" s="67" t="str">
        <v/>
      </c>
      <c r="E51" s="68" t="str">
        <v/>
      </c>
      <c r="F51" s="69" t="str">
        <v/>
      </c>
      <c r="G51" s="70" t="str">
        <v/>
      </c>
      <c r="H51" s="71" t="str">
        <v/>
      </c>
      <c r="I51" s="64" t="str">
        <v/>
      </c>
      <c r="J51" s="65" t="str">
        <v/>
      </c>
      <c r="K51" s="45"/>
      <c r="L51" s="45"/>
      <c r="M51" s="45"/>
      <c r="N51" s="45"/>
    </row>
    <row r="52" spans="1:14" s="46" customFormat="1" ht="18.95" customHeight="1">
      <c r="A52" s="57" t="str" cm="1">
        <f t="array" ref="A52:J52">IFERROR(IF(ISBLANK(INDEX(_xlfn._xlws.FILTER([1]加工記録２!$D$3:$M$999572, [1]加工記録２!$T$3:$T$999572=B5), 5)), "", INDEX(_xlfn._xlws.FILTER([1]加工記録２!$D$3:$M$999572, [1]加工記録２!$T$3:$T$999572=B5), 5)),"")</f>
        <v/>
      </c>
      <c r="B52" s="66" t="str">
        <v/>
      </c>
      <c r="C52" s="66" t="str">
        <v/>
      </c>
      <c r="D52" s="67" t="str">
        <v/>
      </c>
      <c r="E52" s="68" t="str">
        <v/>
      </c>
      <c r="F52" s="69" t="str">
        <v/>
      </c>
      <c r="G52" s="70" t="str">
        <v/>
      </c>
      <c r="H52" s="71" t="str">
        <v/>
      </c>
      <c r="I52" s="72" t="str">
        <v/>
      </c>
      <c r="J52" s="73" t="str">
        <v/>
      </c>
      <c r="K52" s="45"/>
      <c r="L52" s="45"/>
      <c r="M52" s="45"/>
      <c r="N52" s="45"/>
    </row>
    <row r="53" spans="1:14" s="46" customFormat="1" ht="18.95" customHeight="1">
      <c r="A53" s="57" t="str" cm="1">
        <f t="array" ref="A53:H53">IFERROR(IF(ISBLANK(INDEX(_xlfn._xlws.FILTER([1]加工記録２!$D$3:$K$999572, [1]加工記録２!$T$3:$T$999572=B5), 6)), "", INDEX(_xlfn._xlws.FILTER([1]加工記録２!$D$3:$K$999572, [1]加工記録２!$T$3:$T$999572=B5), 6)),"")</f>
        <v/>
      </c>
      <c r="B53" s="66" t="str">
        <v/>
      </c>
      <c r="C53" s="66" t="str">
        <v/>
      </c>
      <c r="D53" s="67" t="str">
        <v/>
      </c>
      <c r="E53" s="68" t="str">
        <v/>
      </c>
      <c r="F53" s="69" t="str">
        <v/>
      </c>
      <c r="G53" s="70" t="str">
        <v/>
      </c>
      <c r="H53" s="71" t="str">
        <v/>
      </c>
      <c r="I53" s="72"/>
      <c r="J53" s="73"/>
      <c r="K53" s="45"/>
      <c r="L53" s="45"/>
      <c r="M53" s="45"/>
      <c r="N53" s="45"/>
    </row>
    <row r="54" spans="1:14" s="46" customFormat="1" ht="18.95" customHeight="1" thickBot="1">
      <c r="A54" s="57" t="str" cm="1">
        <f t="array" ref="A54:H54">IFERROR(IF(ISBLANK(INDEX(_xlfn._xlws.FILTER([1]加工記録２!$D$3:$K$999572, [1]加工記録２!$T$3:$T$999572=B5), 7)), "", INDEX(_xlfn._xlws.FILTER([1]加工記録２!$D$3:$K$999572, [1]加工記録２!$T$3:$T$999572=B5), 7)),"")</f>
        <v/>
      </c>
      <c r="B54" s="66" t="str">
        <v/>
      </c>
      <c r="C54" s="66" t="str">
        <v/>
      </c>
      <c r="D54" s="67" t="str">
        <v/>
      </c>
      <c r="E54" s="68" t="str">
        <v/>
      </c>
      <c r="F54" s="69" t="str">
        <v/>
      </c>
      <c r="G54" s="70" t="str">
        <v/>
      </c>
      <c r="H54" s="71" t="str">
        <v/>
      </c>
      <c r="I54" s="72"/>
      <c r="J54" s="73"/>
      <c r="K54" s="45"/>
      <c r="L54" s="45"/>
      <c r="M54" s="45"/>
      <c r="N54" s="45"/>
    </row>
    <row r="55" spans="1:14" s="46" customFormat="1" ht="18.95" customHeight="1" thickBot="1">
      <c r="A55" s="74" t="str" cm="1">
        <f t="array" ref="A55:H55">IFERROR(IF(ISBLANK(INDEX(_xlfn._xlws.FILTER([1]加工記録２!$D$3:$K$999572, [1]加工記録２!$T$3:$T$999572=B5), 8)), "", INDEX(_xlfn._xlws.FILTER([1]加工記録２!$D$3:$K$999572, [1]加工記録２!$T$3:$T$999572=B5), 8)),"")</f>
        <v/>
      </c>
      <c r="B55" s="75" t="str">
        <v/>
      </c>
      <c r="C55" s="75" t="str">
        <v/>
      </c>
      <c r="D55" s="76" t="str">
        <v/>
      </c>
      <c r="E55" s="77" t="str">
        <v/>
      </c>
      <c r="F55" s="78" t="str">
        <v/>
      </c>
      <c r="G55" s="79" t="str">
        <v/>
      </c>
      <c r="H55" s="80" t="str">
        <v/>
      </c>
      <c r="I55" s="158" t="s">
        <v>92</v>
      </c>
      <c r="J55" s="159"/>
      <c r="K55" s="45"/>
      <c r="L55" s="45"/>
      <c r="M55" s="45"/>
      <c r="N55" s="45"/>
    </row>
    <row r="56" spans="1:14" ht="6" customHeight="1" thickBot="1"/>
    <row r="57" spans="1:14" ht="6" customHeight="1" thickTop="1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4" ht="14.25" customHeight="1"/>
    <row r="59" spans="1:14" ht="14.25" customHeight="1"/>
    <row r="60" spans="1:14" ht="13.5" customHeight="1"/>
    <row r="61" spans="1:14" ht="13.5" customHeight="1"/>
    <row r="67" ht="14.25" customHeight="1"/>
    <row r="68" ht="13.5" customHeight="1"/>
  </sheetData>
  <mergeCells count="107">
    <mergeCell ref="A45:A46"/>
    <mergeCell ref="B45:B46"/>
    <mergeCell ref="C45:C46"/>
    <mergeCell ref="D45:D46"/>
    <mergeCell ref="E45:G46"/>
    <mergeCell ref="A41:A42"/>
    <mergeCell ref="B41:B42"/>
    <mergeCell ref="C41:C42"/>
    <mergeCell ref="D41:D42"/>
    <mergeCell ref="E41:G42"/>
    <mergeCell ref="A43:A44"/>
    <mergeCell ref="B43:B44"/>
    <mergeCell ref="C43:C44"/>
    <mergeCell ref="D43:D44"/>
    <mergeCell ref="E43:G44"/>
    <mergeCell ref="A39:D40"/>
    <mergeCell ref="E39:F40"/>
    <mergeCell ref="H12:H13"/>
    <mergeCell ref="F9:G9"/>
    <mergeCell ref="C33:E33"/>
    <mergeCell ref="B7:B8"/>
    <mergeCell ref="C18:D18"/>
    <mergeCell ref="C35:E35"/>
    <mergeCell ref="A34:B34"/>
    <mergeCell ref="G34:H34"/>
    <mergeCell ref="A33:B33"/>
    <mergeCell ref="A36:B36"/>
    <mergeCell ref="C36:E36"/>
    <mergeCell ref="C37:E37"/>
    <mergeCell ref="A32:B32"/>
    <mergeCell ref="F37:J37"/>
    <mergeCell ref="F20:H20"/>
    <mergeCell ref="I34:J34"/>
    <mergeCell ref="C31:E31"/>
    <mergeCell ref="G39:G40"/>
    <mergeCell ref="I32:J32"/>
    <mergeCell ref="A37:B37"/>
    <mergeCell ref="A38:D38"/>
    <mergeCell ref="F33:J33"/>
    <mergeCell ref="E38:F38"/>
    <mergeCell ref="H38:I38"/>
    <mergeCell ref="G36:H36"/>
    <mergeCell ref="I36:J36"/>
    <mergeCell ref="C26:D26"/>
    <mergeCell ref="B1:D2"/>
    <mergeCell ref="I20:J20"/>
    <mergeCell ref="G12:G13"/>
    <mergeCell ref="C19:D19"/>
    <mergeCell ref="A28:B28"/>
    <mergeCell ref="F21:H21"/>
    <mergeCell ref="C25:E25"/>
    <mergeCell ref="I30:J30"/>
    <mergeCell ref="A30:B30"/>
    <mergeCell ref="B3:B4"/>
    <mergeCell ref="H10:J11"/>
    <mergeCell ref="D3:D4"/>
    <mergeCell ref="A15:J15"/>
    <mergeCell ref="J4:J5"/>
    <mergeCell ref="F3:H4"/>
    <mergeCell ref="C16:D16"/>
    <mergeCell ref="I16:J16"/>
    <mergeCell ref="I25:J25"/>
    <mergeCell ref="I18:J18"/>
    <mergeCell ref="C34:E34"/>
    <mergeCell ref="A35:B35"/>
    <mergeCell ref="A3:A4"/>
    <mergeCell ref="G28:H28"/>
    <mergeCell ref="I22:J22"/>
    <mergeCell ref="I28:J28"/>
    <mergeCell ref="A5:A6"/>
    <mergeCell ref="G30:H30"/>
    <mergeCell ref="I4:I5"/>
    <mergeCell ref="A12:C13"/>
    <mergeCell ref="B5:B6"/>
    <mergeCell ref="F19:H19"/>
    <mergeCell ref="A29:B29"/>
    <mergeCell ref="C29:E29"/>
    <mergeCell ref="F35:J35"/>
    <mergeCell ref="C32:E32"/>
    <mergeCell ref="I19:J19"/>
    <mergeCell ref="A7:A8"/>
    <mergeCell ref="G10:G11"/>
    <mergeCell ref="A31:B31"/>
    <mergeCell ref="E5:E6"/>
    <mergeCell ref="F29:J29"/>
    <mergeCell ref="I21:J21"/>
    <mergeCell ref="C28:E28"/>
    <mergeCell ref="I12:J13"/>
    <mergeCell ref="F5:H6"/>
    <mergeCell ref="G32:H32"/>
    <mergeCell ref="C3:C4"/>
    <mergeCell ref="G25:H25"/>
    <mergeCell ref="E3:E4"/>
    <mergeCell ref="F18:H18"/>
    <mergeCell ref="F22:H22"/>
    <mergeCell ref="A25:B25"/>
    <mergeCell ref="F31:J31"/>
    <mergeCell ref="C21:D21"/>
    <mergeCell ref="I23:J23"/>
    <mergeCell ref="C30:E30"/>
    <mergeCell ref="C23:D23"/>
    <mergeCell ref="F16:H16"/>
    <mergeCell ref="F7:G7"/>
    <mergeCell ref="F23:H23"/>
    <mergeCell ref="C20:D20"/>
    <mergeCell ref="C22:D22"/>
    <mergeCell ref="F26:J26"/>
  </mergeCells>
  <phoneticPr fontId="2"/>
  <conditionalFormatting sqref="D50:D55">
    <cfRule type="cellIs" dxfId="1" priority="2" operator="equal">
      <formula>$D49</formula>
    </cfRule>
  </conditionalFormatting>
  <conditionalFormatting sqref="I39:I46">
    <cfRule type="cellIs" dxfId="0" priority="1" operator="lessThan">
      <formula>1</formula>
    </cfRule>
  </conditionalFormatting>
  <pageMargins left="0" right="0" top="0" bottom="0" header="0.51181102362204722" footer="0.51181102362204722"/>
  <pageSetup paperSize="9" scale="75" orientation="portrait" r:id="rId1"/>
  <headerFooter>
    <oddFooter>&amp;R&amp;P/&amp;N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帳票レイアウト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V094010 井上 享也</dc:creator>
  <cp:lastModifiedBy>鉄平 富田</cp:lastModifiedBy>
  <cp:lastPrinted>2025-10-29T23:13:36Z</cp:lastPrinted>
  <dcterms:created xsi:type="dcterms:W3CDTF">2024-07-11T02:08:33Z</dcterms:created>
  <dcterms:modified xsi:type="dcterms:W3CDTF">2025-11-27T00:55:45Z</dcterms:modified>
</cp:coreProperties>
</file>