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5096EC2B-F5D9-400D-8FE3-5DA87259B3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<sst xmlns="http://schemas.openxmlformats.org/spreadsheetml/2006/main" count="87" uniqueCount="81">
  <si>
    <t>検査梱包指示書</t>
  </si>
  <si>
    <t>品目番号</t>
  </si>
  <si>
    <t>J1AAEDB02825740</t>
  </si>
  <si>
    <t>Ｌ寸</t>
  </si>
  <si>
    <t>名称</t>
  </si>
  <si>
    <t>MDPQ-689B L4</t>
  </si>
  <si>
    <t>上長</t>
  </si>
  <si>
    <t>係員</t>
  </si>
  <si>
    <t>製造指図№</t>
  </si>
  <si>
    <t>000000000008804</t>
  </si>
  <si>
    <t>原料名</t>
  </si>
  <si>
    <t>(J1VR854G)</t>
  </si>
  <si>
    <t>発注明細№</t>
  </si>
  <si>
    <t>000000000802079</t>
  </si>
  <si>
    <t>色　名</t>
  </si>
  <si>
    <t>ｼｮｺﾗｰﾃﾞ(E-80)</t>
  </si>
  <si>
    <t>製品Grp</t>
  </si>
  <si>
    <t>J1AA</t>
  </si>
  <si>
    <t>開始日</t>
  </si>
  <si>
    <t>入り数</t>
  </si>
  <si>
    <t>終了日</t>
  </si>
  <si>
    <t>梱包数</t>
  </si>
  <si>
    <t>指示数量</t>
  </si>
  <si>
    <t>金　型</t>
  </si>
  <si>
    <t>3225</t>
  </si>
  <si>
    <t>*J1AAEDB02825740*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</si>
  <si>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</si>
  <si>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</si>
  <si>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</si>
  <si>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</si>
  <si>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</si>
  <si>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</si>
  <si>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</si>
  <si>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</si>
  <si>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</si>
  <si>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</si>
  <si>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</si>
  <si>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</si>
  <si>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</si>
  <si>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</si>
  <si>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</si>
  <si>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</si>
  <si>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</si>
  <si>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</si>
  <si>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</si>
  <si>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</si>
  <si>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</si>
  <si>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</si>
  <si>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@MDPQ-689</t>
  </si>
  <si>
    <t>*J1AAEDA02826200*</t>
  </si>
  <si>
    <t>J1AAEDA02826200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</si>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</sst>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8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2" xfId="1" applyNumberFormat="1" applyFont="1" applyBorder="1" applyAlignment="1">
      <alignment vertical="center" shrinkToFit="1"/>
    </xf>
    <xf numFmtId="0" fontId="1" fillId="0" borderId="0" xfId="0" applyFont="1">
      <alignment vertical="center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0" xfId="0" applyBorder="1" applyAlignment="1"/>
    <xf numFmtId="0" fontId="0" fillId="0" borderId="12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center" vertical="center" shrinkToFit="1"/>
    </xf>
    <xf numFmtId="179" fontId="17" fillId="5" borderId="2" xfId="0" applyNumberFormat="1" applyFont="1" applyFill="1" applyBorder="1" applyAlignment="1">
      <alignment horizontal="center" vertical="center" shrinkToFit="1"/>
    </xf>
  </cellXfs>
  <cellStyles count="2">
    <cellStyle name="標準" xfId="0" builtinId="0"/>
    <cellStyle name="標準 2" xfId="1" xr:uid="{00000000-0005-0000-0000-000001000000}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123825</xdr:colOff>
      <xdr:row>3</xdr:row>
      <xdr:rowOff>104775</xdr:rowOff>
    </xdr:from>
    <xdr:to>
      <xdr:col>9</xdr:col>
      <xdr:colOff>533400</xdr:colOff>
      <xdr:row>5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6DCBC83-3579-9ECB-6800-B0F7BD3EE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647700"/>
          <a:ext cx="409575" cy="40957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3</xdr:row>
      <xdr:rowOff>66675</xdr:rowOff>
    </xdr:from>
    <xdr:to>
      <xdr:col>8</xdr:col>
      <xdr:colOff>666750</xdr:colOff>
      <xdr:row>5</xdr:row>
      <xdr:rowOff>171450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80F82D5-EDF1-9F5B-4734-139A1D0EA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609600"/>
          <a:ext cx="504825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0.xlsm" TargetMode="External"/><Relationship Id="rId1" Type="http://schemas.openxmlformats.org/officeDocument/2006/relationships/externalLinkPath" Target="/Users/user/Desktop/sgt25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依頼書保管"/>
      <sheetName val="8FL基材M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I3">
            <v>0</v>
          </cell>
          <cell r="J3">
            <v>0</v>
          </cell>
          <cell r="K3">
            <v>0</v>
          </cell>
          <cell r="L3">
            <v>45929</v>
          </cell>
          <cell r="M3">
            <v>3</v>
          </cell>
          <cell r="O3">
            <v>45929</v>
          </cell>
          <cell r="P3">
            <v>4</v>
          </cell>
          <cell r="T3" t="str">
            <v>000000000007053</v>
          </cell>
        </row>
        <row r="4">
          <cell r="D4">
            <v>45926</v>
          </cell>
          <cell r="E4" t="str">
            <v>25I20-08</v>
          </cell>
          <cell r="F4">
            <v>28</v>
          </cell>
          <cell r="G4">
            <v>297.14999999999998</v>
          </cell>
          <cell r="H4">
            <v>297.27999999999997</v>
          </cell>
          <cell r="I4" t="str">
            <v>25I20-08</v>
          </cell>
          <cell r="J4">
            <v>306</v>
          </cell>
          <cell r="K4">
            <v>51</v>
          </cell>
          <cell r="O4">
            <v>300</v>
          </cell>
          <cell r="T4" t="str">
            <v>000000000007053</v>
          </cell>
        </row>
        <row r="5">
          <cell r="D5">
            <v>45926</v>
          </cell>
          <cell r="E5" t="str">
            <v>25I20-08</v>
          </cell>
          <cell r="F5">
            <v>28</v>
          </cell>
          <cell r="G5">
            <v>297.14999999999998</v>
          </cell>
          <cell r="H5">
            <v>297.36</v>
          </cell>
          <cell r="K5">
            <v>0</v>
          </cell>
          <cell r="O5">
            <v>51</v>
          </cell>
          <cell r="T5" t="str">
            <v>000000000007053</v>
          </cell>
        </row>
        <row r="6">
          <cell r="G6" t="str">
            <v/>
          </cell>
          <cell r="K6">
            <v>0</v>
          </cell>
          <cell r="O6">
            <v>1</v>
          </cell>
          <cell r="T6" t="str">
            <v>000000000007053</v>
          </cell>
        </row>
        <row r="7">
          <cell r="G7" t="str">
            <v/>
          </cell>
          <cell r="K7">
            <v>0</v>
          </cell>
          <cell r="O7">
            <v>6</v>
          </cell>
          <cell r="T7" t="str">
            <v>000000000007053</v>
          </cell>
        </row>
        <row r="8">
          <cell r="G8" t="str">
            <v/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000000000007053</v>
          </cell>
        </row>
        <row r="9">
          <cell r="G9" t="str">
            <v/>
          </cell>
          <cell r="K9">
            <v>0</v>
          </cell>
          <cell r="L9" t="str">
            <v>持出端材</v>
          </cell>
          <cell r="O9" t="str">
            <v>M</v>
          </cell>
          <cell r="P9">
            <v>2</v>
          </cell>
          <cell r="T9" t="str">
            <v>000000000007053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T</v>
          </cell>
          <cell r="P10">
            <v>6</v>
          </cell>
          <cell r="T10" t="str">
            <v>000000000007053</v>
          </cell>
        </row>
        <row r="11">
          <cell r="D11">
            <v>45926</v>
          </cell>
          <cell r="E11" t="str">
            <v>25I20-08</v>
          </cell>
          <cell r="I11" t="str">
            <v>25I20-08</v>
          </cell>
          <cell r="J11">
            <v>3</v>
          </cell>
          <cell r="K11">
            <v>1</v>
          </cell>
          <cell r="L11">
            <v>45929</v>
          </cell>
          <cell r="M11">
            <v>3</v>
          </cell>
          <cell r="O11">
            <v>45929</v>
          </cell>
          <cell r="P11">
            <v>3</v>
          </cell>
          <cell r="T11" t="str">
            <v>000000000007055</v>
          </cell>
        </row>
        <row r="12">
          <cell r="D12">
            <v>45926</v>
          </cell>
          <cell r="E12" t="str">
            <v>25I20-08</v>
          </cell>
          <cell r="F12">
            <v>28</v>
          </cell>
          <cell r="G12">
            <v>592.30999999999995</v>
          </cell>
          <cell r="H12">
            <v>591.75</v>
          </cell>
          <cell r="I12" t="str">
            <v>25I20-08</v>
          </cell>
          <cell r="J12">
            <v>296</v>
          </cell>
          <cell r="K12">
            <v>99</v>
          </cell>
          <cell r="O12">
            <v>300</v>
          </cell>
          <cell r="T12" t="str">
            <v>000000000007055</v>
          </cell>
        </row>
        <row r="13">
          <cell r="D13">
            <v>45926</v>
          </cell>
          <cell r="E13" t="str">
            <v>25I20-08</v>
          </cell>
          <cell r="F13">
            <v>26</v>
          </cell>
          <cell r="G13">
            <v>592.23</v>
          </cell>
          <cell r="H13">
            <v>591.79</v>
          </cell>
          <cell r="K13">
            <v>0</v>
          </cell>
          <cell r="O13">
            <v>100</v>
          </cell>
          <cell r="T13" t="str">
            <v>000000000007055</v>
          </cell>
        </row>
        <row r="14">
          <cell r="G14" t="str">
            <v/>
          </cell>
          <cell r="K14">
            <v>0</v>
          </cell>
          <cell r="O14">
            <v>1</v>
          </cell>
          <cell r="T14" t="str">
            <v>000000000007055</v>
          </cell>
        </row>
        <row r="15">
          <cell r="G15" t="str">
            <v/>
          </cell>
          <cell r="K15">
            <v>0</v>
          </cell>
          <cell r="O15">
            <v>3</v>
          </cell>
          <cell r="T15" t="str">
            <v>000000000007055</v>
          </cell>
        </row>
        <row r="16">
          <cell r="G16" t="str">
            <v/>
          </cell>
          <cell r="K16">
            <v>0</v>
          </cell>
          <cell r="L16" t="str">
            <v>旧品加工</v>
          </cell>
          <cell r="M16">
            <v>5</v>
          </cell>
          <cell r="O16">
            <v>2</v>
          </cell>
          <cell r="T16" t="str">
            <v>000000000007055</v>
          </cell>
        </row>
        <row r="17">
          <cell r="G17" t="str">
            <v/>
          </cell>
          <cell r="K17">
            <v>0</v>
          </cell>
          <cell r="L17" t="str">
            <v>持出端材</v>
          </cell>
          <cell r="O17" t="str">
            <v>M</v>
          </cell>
          <cell r="T17" t="str">
            <v>000000000007055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2</v>
          </cell>
          <cell r="O18" t="str">
            <v>T</v>
          </cell>
          <cell r="P18">
            <v>3</v>
          </cell>
          <cell r="T18" t="str">
            <v>000000000007055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45929</v>
          </cell>
          <cell r="M19">
            <v>4</v>
          </cell>
          <cell r="O19">
            <v>45932</v>
          </cell>
          <cell r="P19">
            <v>24</v>
          </cell>
          <cell r="T19" t="str">
            <v>000000000007061</v>
          </cell>
        </row>
        <row r="20">
          <cell r="D20">
            <v>45929</v>
          </cell>
          <cell r="E20" t="str">
            <v>25I20-08</v>
          </cell>
          <cell r="F20">
            <v>24</v>
          </cell>
          <cell r="G20">
            <v>888.23</v>
          </cell>
          <cell r="H20">
            <v>888.37</v>
          </cell>
          <cell r="I20" t="str">
            <v>25I20-08</v>
          </cell>
          <cell r="J20">
            <v>562</v>
          </cell>
          <cell r="K20">
            <v>281</v>
          </cell>
          <cell r="L20">
            <v>45930</v>
          </cell>
          <cell r="M20">
            <v>10</v>
          </cell>
          <cell r="O20">
            <v>3000</v>
          </cell>
          <cell r="T20" t="str">
            <v>000000000007061</v>
          </cell>
        </row>
        <row r="21">
          <cell r="D21">
            <v>45929</v>
          </cell>
          <cell r="E21" t="str">
            <v>25I20-08</v>
          </cell>
          <cell r="F21">
            <v>26</v>
          </cell>
          <cell r="G21">
            <v>888.35</v>
          </cell>
          <cell r="H21">
            <v>888.38</v>
          </cell>
          <cell r="I21" t="str">
            <v>25I09-07</v>
          </cell>
          <cell r="J21">
            <v>394</v>
          </cell>
          <cell r="K21">
            <v>197</v>
          </cell>
          <cell r="L21">
            <v>45931</v>
          </cell>
          <cell r="M21">
            <v>14</v>
          </cell>
          <cell r="O21">
            <v>1516</v>
          </cell>
          <cell r="T21" t="str">
            <v>000000000007061</v>
          </cell>
        </row>
        <row r="22">
          <cell r="D22">
            <v>45929</v>
          </cell>
          <cell r="E22" t="str">
            <v>25I09-07</v>
          </cell>
          <cell r="F22">
            <v>26</v>
          </cell>
          <cell r="G22">
            <v>888.35</v>
          </cell>
          <cell r="H22">
            <v>888.52</v>
          </cell>
          <cell r="I22" t="str">
            <v>25I21-09</v>
          </cell>
          <cell r="J22">
            <v>1600</v>
          </cell>
          <cell r="K22">
            <v>800</v>
          </cell>
          <cell r="L22">
            <v>45932</v>
          </cell>
          <cell r="M22">
            <v>2</v>
          </cell>
          <cell r="O22">
            <v>16</v>
          </cell>
          <cell r="T22" t="str">
            <v>000000000007061</v>
          </cell>
        </row>
        <row r="23">
          <cell r="D23">
            <v>45929</v>
          </cell>
          <cell r="E23" t="str">
            <v>25I21-09</v>
          </cell>
          <cell r="F23">
            <v>26</v>
          </cell>
          <cell r="G23">
            <v>888.35</v>
          </cell>
          <cell r="H23">
            <v>888.54</v>
          </cell>
          <cell r="I23" t="str">
            <v>25I22-10</v>
          </cell>
          <cell r="J23">
            <v>476</v>
          </cell>
          <cell r="K23">
            <v>238</v>
          </cell>
          <cell r="O23">
            <v>32</v>
          </cell>
          <cell r="P23">
            <v>6</v>
          </cell>
          <cell r="T23" t="str">
            <v>000000000007061</v>
          </cell>
        </row>
        <row r="24">
          <cell r="D24">
            <v>45930</v>
          </cell>
          <cell r="E24" t="str">
            <v>25I21-09</v>
          </cell>
          <cell r="F24">
            <v>22</v>
          </cell>
          <cell r="G24">
            <v>888.12</v>
          </cell>
          <cell r="H24">
            <v>888.41</v>
          </cell>
          <cell r="K24">
            <v>0</v>
          </cell>
          <cell r="L24" t="str">
            <v>旧品加工</v>
          </cell>
          <cell r="O24">
            <v>0</v>
          </cell>
          <cell r="T24" t="str">
            <v>000000000007061</v>
          </cell>
        </row>
        <row r="25">
          <cell r="D25">
            <v>45930</v>
          </cell>
          <cell r="E25" t="str">
            <v>25I21-09</v>
          </cell>
          <cell r="F25">
            <v>26</v>
          </cell>
          <cell r="G25">
            <v>888.35</v>
          </cell>
          <cell r="H25">
            <v>888.43</v>
          </cell>
          <cell r="K25">
            <v>0</v>
          </cell>
          <cell r="L25" t="str">
            <v>持出端材</v>
          </cell>
          <cell r="O25" t="str">
            <v>C/M</v>
          </cell>
          <cell r="P25">
            <v>2</v>
          </cell>
          <cell r="T25" t="str">
            <v>000000000007061</v>
          </cell>
        </row>
        <row r="26">
          <cell r="D26">
            <v>45930</v>
          </cell>
          <cell r="E26" t="str">
            <v>25I22-10</v>
          </cell>
          <cell r="F26">
            <v>26</v>
          </cell>
          <cell r="G26">
            <v>888.35</v>
          </cell>
          <cell r="H26">
            <v>888.37</v>
          </cell>
          <cell r="K26">
            <v>0</v>
          </cell>
          <cell r="L26" t="str">
            <v>α端材</v>
          </cell>
          <cell r="M26">
            <v>0</v>
          </cell>
          <cell r="O26" t="str">
            <v>T/U</v>
          </cell>
          <cell r="P26">
            <v>32</v>
          </cell>
          <cell r="T26" t="str">
            <v>000000000007061</v>
          </cell>
        </row>
        <row r="27">
          <cell r="D27">
            <v>45909</v>
          </cell>
          <cell r="E27" t="str">
            <v>25I05-02</v>
          </cell>
          <cell r="I27" t="str">
            <v>25I05-02</v>
          </cell>
          <cell r="J27">
            <v>15</v>
          </cell>
          <cell r="K27">
            <v>15</v>
          </cell>
          <cell r="L27">
            <v>45930</v>
          </cell>
          <cell r="M27">
            <v>3</v>
          </cell>
          <cell r="O27">
            <v>45930</v>
          </cell>
          <cell r="P27">
            <v>1</v>
          </cell>
          <cell r="T27" t="str">
            <v>000000000007426</v>
          </cell>
        </row>
        <row r="28">
          <cell r="D28">
            <v>45930</v>
          </cell>
          <cell r="E28" t="str">
            <v>25I25-01</v>
          </cell>
          <cell r="G28" t="str">
            <v/>
          </cell>
          <cell r="I28" t="str">
            <v>25I25-01</v>
          </cell>
          <cell r="J28">
            <v>114</v>
          </cell>
          <cell r="K28">
            <v>114</v>
          </cell>
          <cell r="O28">
            <v>48</v>
          </cell>
          <cell r="P28">
            <v>79</v>
          </cell>
          <cell r="T28" t="str">
            <v>000000000007426</v>
          </cell>
        </row>
        <row r="29">
          <cell r="G29" t="str">
            <v/>
          </cell>
          <cell r="K29">
            <v>0</v>
          </cell>
          <cell r="O29">
            <v>129</v>
          </cell>
          <cell r="P29">
            <v>1</v>
          </cell>
          <cell r="T29" t="str">
            <v>000000000007426</v>
          </cell>
        </row>
        <row r="30">
          <cell r="G30" t="str">
            <v/>
          </cell>
          <cell r="K30">
            <v>0</v>
          </cell>
          <cell r="O30">
            <v>81</v>
          </cell>
          <cell r="T30" t="str">
            <v>000000000007426</v>
          </cell>
        </row>
        <row r="31">
          <cell r="G31" t="str">
            <v/>
          </cell>
          <cell r="K31">
            <v>0</v>
          </cell>
          <cell r="O31">
            <v>81</v>
          </cell>
          <cell r="T31" t="str">
            <v>000000000007426</v>
          </cell>
        </row>
        <row r="32">
          <cell r="G32" t="str">
            <v/>
          </cell>
          <cell r="K32">
            <v>0</v>
          </cell>
          <cell r="L32" t="str">
            <v>旧品加工</v>
          </cell>
          <cell r="M32">
            <v>15</v>
          </cell>
          <cell r="O32">
            <v>0</v>
          </cell>
          <cell r="T32" t="str">
            <v>000000000007426</v>
          </cell>
        </row>
        <row r="33">
          <cell r="G33" t="str">
            <v/>
          </cell>
          <cell r="K33">
            <v>0</v>
          </cell>
          <cell r="L33" t="str">
            <v>持出端材</v>
          </cell>
          <cell r="O33" t="str">
            <v>-</v>
          </cell>
          <cell r="T33" t="str">
            <v>000000000007426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C</v>
          </cell>
          <cell r="P34">
            <v>81</v>
          </cell>
          <cell r="T34" t="str">
            <v>000000000007426</v>
          </cell>
        </row>
        <row r="35">
          <cell r="I35">
            <v>0</v>
          </cell>
          <cell r="J35">
            <v>0</v>
          </cell>
          <cell r="K35">
            <v>0</v>
          </cell>
          <cell r="L35">
            <v>45932</v>
          </cell>
          <cell r="M35">
            <v>1</v>
          </cell>
          <cell r="O35">
            <v>45932</v>
          </cell>
          <cell r="P35">
            <v>1</v>
          </cell>
          <cell r="T35" t="str">
            <v>000000000007286</v>
          </cell>
        </row>
        <row r="36">
          <cell r="D36">
            <v>45931</v>
          </cell>
          <cell r="E36" t="str">
            <v>25I22-10</v>
          </cell>
          <cell r="F36">
            <v>26</v>
          </cell>
          <cell r="G36">
            <v>888.35</v>
          </cell>
          <cell r="H36">
            <v>888.41</v>
          </cell>
          <cell r="I36" t="str">
            <v>25I22-10</v>
          </cell>
          <cell r="J36">
            <v>104</v>
          </cell>
          <cell r="K36">
            <v>52</v>
          </cell>
          <cell r="O36">
            <v>100</v>
          </cell>
          <cell r="T36" t="str">
            <v>000000000007286</v>
          </cell>
        </row>
        <row r="37">
          <cell r="D37">
            <v>45931</v>
          </cell>
          <cell r="E37" t="str">
            <v>25I22-10</v>
          </cell>
          <cell r="F37">
            <v>26</v>
          </cell>
          <cell r="G37">
            <v>888.35</v>
          </cell>
          <cell r="H37">
            <v>888.15</v>
          </cell>
          <cell r="K37">
            <v>0</v>
          </cell>
          <cell r="O37">
            <v>52</v>
          </cell>
          <cell r="P37">
            <v>2</v>
          </cell>
          <cell r="T37" t="str">
            <v>000000000007286</v>
          </cell>
        </row>
        <row r="38">
          <cell r="G38" t="str">
            <v/>
          </cell>
          <cell r="K38">
            <v>0</v>
          </cell>
          <cell r="O38">
            <v>2</v>
          </cell>
          <cell r="T38" t="str">
            <v>000000000007286</v>
          </cell>
        </row>
        <row r="39">
          <cell r="G39" t="str">
            <v/>
          </cell>
          <cell r="K39">
            <v>0</v>
          </cell>
          <cell r="O39">
            <v>4</v>
          </cell>
          <cell r="T39" t="str">
            <v>000000000007286</v>
          </cell>
        </row>
        <row r="40">
          <cell r="G40" t="str">
            <v/>
          </cell>
          <cell r="K40">
            <v>0</v>
          </cell>
          <cell r="L40" t="str">
            <v>旧品加工</v>
          </cell>
          <cell r="O40">
            <v>0</v>
          </cell>
          <cell r="T40" t="str">
            <v>000000000007286</v>
          </cell>
        </row>
        <row r="41">
          <cell r="G41" t="str">
            <v/>
          </cell>
          <cell r="K41">
            <v>0</v>
          </cell>
          <cell r="L41" t="str">
            <v>持出端材</v>
          </cell>
          <cell r="O41" t="str">
            <v>M</v>
          </cell>
          <cell r="P41">
            <v>1</v>
          </cell>
          <cell r="T41" t="str">
            <v>000000000007286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0</v>
          </cell>
          <cell r="O42" t="str">
            <v>T</v>
          </cell>
          <cell r="P42">
            <v>4</v>
          </cell>
          <cell r="T42" t="str">
            <v>000000000007286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45932</v>
          </cell>
          <cell r="M43">
            <v>9</v>
          </cell>
          <cell r="O43">
            <v>45932</v>
          </cell>
          <cell r="P43">
            <v>1</v>
          </cell>
          <cell r="T43" t="str">
            <v>000000000007058</v>
          </cell>
        </row>
        <row r="44">
          <cell r="D44">
            <v>45931</v>
          </cell>
          <cell r="E44" t="str">
            <v>25I22-10</v>
          </cell>
          <cell r="F44">
            <v>26</v>
          </cell>
          <cell r="G44">
            <v>888.35</v>
          </cell>
          <cell r="H44">
            <v>888.15</v>
          </cell>
          <cell r="I44" t="str">
            <v>25I22-10</v>
          </cell>
          <cell r="J44">
            <v>901</v>
          </cell>
          <cell r="K44">
            <v>451</v>
          </cell>
          <cell r="O44">
            <v>900</v>
          </cell>
          <cell r="T44" t="str">
            <v>000000000007058</v>
          </cell>
        </row>
        <row r="45">
          <cell r="D45">
            <v>45931</v>
          </cell>
          <cell r="E45" t="str">
            <v>25I22-10</v>
          </cell>
          <cell r="F45">
            <v>26</v>
          </cell>
          <cell r="G45">
            <v>888.35</v>
          </cell>
          <cell r="H45">
            <v>888.4</v>
          </cell>
          <cell r="K45">
            <v>0</v>
          </cell>
          <cell r="O45">
            <v>451</v>
          </cell>
          <cell r="T45" t="str">
            <v>000000000007058</v>
          </cell>
        </row>
        <row r="46">
          <cell r="D46">
            <v>45931</v>
          </cell>
          <cell r="E46" t="str">
            <v>25I22-10</v>
          </cell>
          <cell r="F46">
            <v>26</v>
          </cell>
          <cell r="G46">
            <v>888.35</v>
          </cell>
          <cell r="H46">
            <v>888.39</v>
          </cell>
          <cell r="K46">
            <v>0</v>
          </cell>
          <cell r="O46">
            <v>1</v>
          </cell>
          <cell r="T46" t="str">
            <v>000000000007058</v>
          </cell>
        </row>
        <row r="47">
          <cell r="G47" t="str">
            <v/>
          </cell>
          <cell r="K47">
            <v>0</v>
          </cell>
          <cell r="O47">
            <v>1</v>
          </cell>
          <cell r="T47" t="str">
            <v>000000000007058</v>
          </cell>
        </row>
        <row r="48"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000000000007058</v>
          </cell>
        </row>
        <row r="49">
          <cell r="G49" t="str">
            <v/>
          </cell>
          <cell r="K49">
            <v>0</v>
          </cell>
          <cell r="L49" t="str">
            <v>持出端材</v>
          </cell>
          <cell r="O49" t="str">
            <v>M</v>
          </cell>
          <cell r="T49" t="str">
            <v>000000000007058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T</v>
          </cell>
          <cell r="P50">
            <v>1</v>
          </cell>
          <cell r="T50" t="str">
            <v>000000000007058</v>
          </cell>
        </row>
        <row r="51">
          <cell r="D51">
            <v>45926</v>
          </cell>
          <cell r="E51" t="str">
            <v>25I09-06</v>
          </cell>
          <cell r="I51" t="str">
            <v>25I09-06</v>
          </cell>
          <cell r="J51">
            <v>4</v>
          </cell>
          <cell r="K51">
            <v>2</v>
          </cell>
          <cell r="L51">
            <v>45932</v>
          </cell>
          <cell r="M51">
            <v>2</v>
          </cell>
          <cell r="O51">
            <v>45932</v>
          </cell>
          <cell r="P51">
            <v>3</v>
          </cell>
          <cell r="T51" t="str">
            <v>000000000007057</v>
          </cell>
        </row>
        <row r="52">
          <cell r="D52">
            <v>45932</v>
          </cell>
          <cell r="E52" t="str">
            <v>25I22-10</v>
          </cell>
          <cell r="F52">
            <v>22</v>
          </cell>
          <cell r="G52">
            <v>748.1</v>
          </cell>
          <cell r="H52">
            <v>748.44</v>
          </cell>
          <cell r="I52" t="str">
            <v>25I22-10</v>
          </cell>
          <cell r="J52">
            <v>111</v>
          </cell>
          <cell r="K52">
            <v>56</v>
          </cell>
          <cell r="O52">
            <v>200</v>
          </cell>
          <cell r="T52" t="str">
            <v>000000000007057</v>
          </cell>
        </row>
        <row r="53">
          <cell r="D53">
            <v>45932</v>
          </cell>
          <cell r="E53" t="str">
            <v>25I23-11</v>
          </cell>
          <cell r="F53">
            <v>26</v>
          </cell>
          <cell r="G53">
            <v>748.29</v>
          </cell>
          <cell r="H53">
            <v>748.39</v>
          </cell>
          <cell r="I53" t="str">
            <v>25I23-11</v>
          </cell>
          <cell r="J53">
            <v>86</v>
          </cell>
          <cell r="K53">
            <v>43</v>
          </cell>
          <cell r="O53">
            <v>101</v>
          </cell>
          <cell r="T53" t="str">
            <v>000000000007057</v>
          </cell>
        </row>
        <row r="54">
          <cell r="G54" t="str">
            <v/>
          </cell>
          <cell r="K54">
            <v>0</v>
          </cell>
          <cell r="O54">
            <v>2</v>
          </cell>
          <cell r="T54" t="str">
            <v>000000000007057</v>
          </cell>
        </row>
        <row r="55">
          <cell r="G55" t="str">
            <v/>
          </cell>
          <cell r="K55">
            <v>0</v>
          </cell>
          <cell r="O55">
            <v>3</v>
          </cell>
          <cell r="T55" t="str">
            <v>000000000007057</v>
          </cell>
        </row>
        <row r="56">
          <cell r="G56" t="str">
            <v/>
          </cell>
          <cell r="K56">
            <v>0</v>
          </cell>
          <cell r="L56" t="str">
            <v>旧品加工</v>
          </cell>
          <cell r="M56">
            <v>5</v>
          </cell>
          <cell r="O56">
            <v>1</v>
          </cell>
          <cell r="T56" t="str">
            <v>000000000007057</v>
          </cell>
        </row>
        <row r="57">
          <cell r="G57" t="str">
            <v/>
          </cell>
          <cell r="K57">
            <v>0</v>
          </cell>
          <cell r="L57" t="str">
            <v>持出端材</v>
          </cell>
          <cell r="O57" t="str">
            <v>M/C</v>
          </cell>
          <cell r="T57" t="str">
            <v>000000000007057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1</v>
          </cell>
          <cell r="O58" t="str">
            <v>U</v>
          </cell>
          <cell r="P58">
            <v>3</v>
          </cell>
          <cell r="T58" t="str">
            <v>000000000007057</v>
          </cell>
        </row>
        <row r="59">
          <cell r="D59">
            <v>45916</v>
          </cell>
          <cell r="E59" t="str">
            <v>25I06-03</v>
          </cell>
          <cell r="I59" t="str">
            <v>25I06-03</v>
          </cell>
          <cell r="J59">
            <v>3</v>
          </cell>
          <cell r="K59">
            <v>3</v>
          </cell>
          <cell r="L59">
            <v>45933</v>
          </cell>
          <cell r="M59">
            <v>6</v>
          </cell>
          <cell r="O59">
            <v>45933</v>
          </cell>
          <cell r="P59">
            <v>3</v>
          </cell>
          <cell r="T59" t="str">
            <v>000000000007059</v>
          </cell>
        </row>
        <row r="60">
          <cell r="D60">
            <v>45932</v>
          </cell>
          <cell r="E60" t="str">
            <v>25I23-11</v>
          </cell>
          <cell r="F60">
            <v>26</v>
          </cell>
          <cell r="G60">
            <v>1478.58</v>
          </cell>
          <cell r="H60">
            <v>1478.56</v>
          </cell>
          <cell r="I60" t="str">
            <v>25I23-11</v>
          </cell>
          <cell r="J60">
            <v>600</v>
          </cell>
          <cell r="K60">
            <v>600</v>
          </cell>
          <cell r="O60">
            <v>600</v>
          </cell>
          <cell r="T60" t="str">
            <v>000000000007059</v>
          </cell>
        </row>
        <row r="61">
          <cell r="D61">
            <v>45932</v>
          </cell>
          <cell r="E61" t="str">
            <v>25I23-11</v>
          </cell>
          <cell r="F61">
            <v>26</v>
          </cell>
          <cell r="G61">
            <v>1478.58</v>
          </cell>
          <cell r="H61">
            <v>1478.76</v>
          </cell>
          <cell r="K61">
            <v>0</v>
          </cell>
          <cell r="O61">
            <v>603</v>
          </cell>
          <cell r="T61" t="str">
            <v>000000000007059</v>
          </cell>
        </row>
        <row r="62">
          <cell r="D62">
            <v>45932</v>
          </cell>
          <cell r="E62" t="str">
            <v>25I23-11</v>
          </cell>
          <cell r="F62">
            <v>26</v>
          </cell>
          <cell r="G62">
            <v>1478.58</v>
          </cell>
          <cell r="H62">
            <v>1478.68</v>
          </cell>
          <cell r="K62">
            <v>0</v>
          </cell>
          <cell r="O62">
            <v>3</v>
          </cell>
          <cell r="T62" t="str">
            <v>000000000007059</v>
          </cell>
        </row>
        <row r="63">
          <cell r="G63" t="str">
            <v/>
          </cell>
          <cell r="K63">
            <v>0</v>
          </cell>
          <cell r="O63">
            <v>3</v>
          </cell>
          <cell r="T63" t="str">
            <v>000000000007059</v>
          </cell>
        </row>
        <row r="64">
          <cell r="G64" t="str">
            <v/>
          </cell>
          <cell r="K64">
            <v>0</v>
          </cell>
          <cell r="L64" t="str">
            <v>旧品加工</v>
          </cell>
          <cell r="M64">
            <v>3</v>
          </cell>
          <cell r="O64">
            <v>0</v>
          </cell>
          <cell r="T64" t="str">
            <v>000000000007059</v>
          </cell>
        </row>
        <row r="65">
          <cell r="G65" t="str">
            <v/>
          </cell>
          <cell r="K65">
            <v>0</v>
          </cell>
          <cell r="L65" t="str">
            <v>持出端材</v>
          </cell>
          <cell r="O65" t="str">
            <v>C/M</v>
          </cell>
          <cell r="T65" t="str">
            <v>000000000007059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U/T</v>
          </cell>
          <cell r="P66">
            <v>3</v>
          </cell>
          <cell r="T66" t="str">
            <v>000000000007059</v>
          </cell>
        </row>
        <row r="67">
          <cell r="D67">
            <v>45932</v>
          </cell>
          <cell r="E67" t="str">
            <v>25I22-10</v>
          </cell>
          <cell r="I67" t="str">
            <v>25I22-10</v>
          </cell>
          <cell r="J67">
            <v>10</v>
          </cell>
          <cell r="K67">
            <v>5</v>
          </cell>
          <cell r="L67">
            <v>45933</v>
          </cell>
          <cell r="M67">
            <v>7</v>
          </cell>
          <cell r="O67">
            <v>45936</v>
          </cell>
          <cell r="P67">
            <v>6</v>
          </cell>
          <cell r="T67" t="str">
            <v>000000000007287</v>
          </cell>
        </row>
        <row r="68">
          <cell r="D68">
            <v>45933</v>
          </cell>
          <cell r="E68" t="str">
            <v>25I23-11</v>
          </cell>
          <cell r="F68">
            <v>24</v>
          </cell>
          <cell r="G68">
            <v>888.23</v>
          </cell>
          <cell r="H68">
            <v>888.17</v>
          </cell>
          <cell r="I68" t="str">
            <v>25I23-11</v>
          </cell>
          <cell r="J68">
            <v>296</v>
          </cell>
          <cell r="K68">
            <v>148</v>
          </cell>
          <cell r="L68">
            <v>45936</v>
          </cell>
          <cell r="M68">
            <v>3</v>
          </cell>
          <cell r="O68">
            <v>1000</v>
          </cell>
          <cell r="P68">
            <v>2</v>
          </cell>
          <cell r="T68" t="str">
            <v>000000000007287</v>
          </cell>
        </row>
        <row r="69">
          <cell r="D69">
            <v>45933</v>
          </cell>
          <cell r="E69" t="str">
            <v>25I24-12</v>
          </cell>
          <cell r="F69">
            <v>26</v>
          </cell>
          <cell r="G69">
            <v>888.35</v>
          </cell>
          <cell r="H69">
            <v>888.2</v>
          </cell>
          <cell r="I69" t="str">
            <v>25I24-12</v>
          </cell>
          <cell r="J69">
            <v>705</v>
          </cell>
          <cell r="K69">
            <v>353</v>
          </cell>
          <cell r="O69">
            <v>506</v>
          </cell>
          <cell r="T69" t="str">
            <v>000000000007287</v>
          </cell>
        </row>
        <row r="70">
          <cell r="D70">
            <v>45933</v>
          </cell>
          <cell r="E70" t="str">
            <v>25I24-12</v>
          </cell>
          <cell r="F70">
            <v>26</v>
          </cell>
          <cell r="G70">
            <v>888.35</v>
          </cell>
          <cell r="H70">
            <v>888.4</v>
          </cell>
          <cell r="K70">
            <v>0</v>
          </cell>
          <cell r="O70">
            <v>7</v>
          </cell>
          <cell r="T70" t="str">
            <v>000000000007287</v>
          </cell>
        </row>
        <row r="71">
          <cell r="D71">
            <v>45933</v>
          </cell>
          <cell r="E71" t="str">
            <v>25I24-12</v>
          </cell>
          <cell r="F71">
            <v>26</v>
          </cell>
          <cell r="G71">
            <v>888.35</v>
          </cell>
          <cell r="H71">
            <v>888.35</v>
          </cell>
          <cell r="K71">
            <v>0</v>
          </cell>
          <cell r="O71">
            <v>13</v>
          </cell>
          <cell r="T71" t="str">
            <v>000000000007287</v>
          </cell>
        </row>
        <row r="72">
          <cell r="G72" t="str">
            <v/>
          </cell>
          <cell r="K72">
            <v>0</v>
          </cell>
          <cell r="L72" t="str">
            <v>旧品加工</v>
          </cell>
          <cell r="M72">
            <v>11</v>
          </cell>
          <cell r="O72">
            <v>1</v>
          </cell>
          <cell r="T72" t="str">
            <v>000000000007287</v>
          </cell>
        </row>
        <row r="73">
          <cell r="G73" t="str">
            <v/>
          </cell>
          <cell r="K73">
            <v>0</v>
          </cell>
          <cell r="L73" t="str">
            <v>持出端材</v>
          </cell>
          <cell r="O73" t="str">
            <v>C/M</v>
          </cell>
          <cell r="P73">
            <v>5</v>
          </cell>
          <cell r="T73" t="str">
            <v>000000000007287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1</v>
          </cell>
          <cell r="O74" t="str">
            <v>C/T/U</v>
          </cell>
          <cell r="P74">
            <v>13</v>
          </cell>
          <cell r="T74" t="str">
            <v>000000000007287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45936</v>
          </cell>
          <cell r="M75">
            <v>4</v>
          </cell>
          <cell r="O75">
            <v>45936</v>
          </cell>
          <cell r="P75">
            <v>5</v>
          </cell>
          <cell r="T75" t="str">
            <v>000000000007288</v>
          </cell>
        </row>
        <row r="76">
          <cell r="D76">
            <v>45933</v>
          </cell>
          <cell r="E76" t="str">
            <v>25I24-12</v>
          </cell>
          <cell r="F76">
            <v>26</v>
          </cell>
          <cell r="G76">
            <v>888.35</v>
          </cell>
          <cell r="H76">
            <v>888.35</v>
          </cell>
          <cell r="I76" t="str">
            <v>25I24-12</v>
          </cell>
          <cell r="J76">
            <v>409</v>
          </cell>
          <cell r="K76">
            <v>205</v>
          </cell>
          <cell r="O76">
            <v>400</v>
          </cell>
          <cell r="T76" t="str">
            <v>000000000007288</v>
          </cell>
        </row>
        <row r="77">
          <cell r="D77">
            <v>45933</v>
          </cell>
          <cell r="E77" t="str">
            <v>25I24-12</v>
          </cell>
          <cell r="F77">
            <v>26</v>
          </cell>
          <cell r="G77">
            <v>888.35</v>
          </cell>
          <cell r="H77">
            <v>888.32</v>
          </cell>
          <cell r="K77">
            <v>0</v>
          </cell>
          <cell r="O77">
            <v>205</v>
          </cell>
          <cell r="P77">
            <v>2</v>
          </cell>
          <cell r="T77" t="str">
            <v>000000000007288</v>
          </cell>
        </row>
        <row r="78">
          <cell r="G78" t="str">
            <v/>
          </cell>
          <cell r="K78">
            <v>0</v>
          </cell>
          <cell r="O78">
            <v>5</v>
          </cell>
          <cell r="T78" t="str">
            <v>000000000007288</v>
          </cell>
        </row>
        <row r="79">
          <cell r="G79" t="str">
            <v/>
          </cell>
          <cell r="K79">
            <v>0</v>
          </cell>
          <cell r="O79">
            <v>9</v>
          </cell>
          <cell r="T79" t="str">
            <v>000000000007288</v>
          </cell>
        </row>
        <row r="80">
          <cell r="G80" t="str">
            <v/>
          </cell>
          <cell r="K80">
            <v>0</v>
          </cell>
          <cell r="L80" t="str">
            <v>旧品加工</v>
          </cell>
          <cell r="O80">
            <v>0</v>
          </cell>
          <cell r="T80" t="str">
            <v>000000000007288</v>
          </cell>
        </row>
        <row r="81">
          <cell r="G81" t="str">
            <v/>
          </cell>
          <cell r="K81">
            <v>0</v>
          </cell>
          <cell r="L81" t="str">
            <v>持出端材</v>
          </cell>
          <cell r="O81" t="str">
            <v>M</v>
          </cell>
          <cell r="P81">
            <v>2</v>
          </cell>
          <cell r="T81" t="str">
            <v>000000000007288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T</v>
          </cell>
          <cell r="P82">
            <v>9</v>
          </cell>
          <cell r="T82" t="str">
            <v>000000000007288</v>
          </cell>
        </row>
        <row r="83">
          <cell r="D83">
            <v>45910</v>
          </cell>
          <cell r="E83" t="str">
            <v>25I05-02</v>
          </cell>
          <cell r="I83" t="str">
            <v>25I05-02</v>
          </cell>
          <cell r="J83">
            <v>12</v>
          </cell>
          <cell r="K83">
            <v>3</v>
          </cell>
          <cell r="L83">
            <v>45937</v>
          </cell>
          <cell r="M83">
            <v>1</v>
          </cell>
          <cell r="O83">
            <v>45937</v>
          </cell>
          <cell r="P83">
            <v>1</v>
          </cell>
          <cell r="T83" t="str">
            <v>000000000007283</v>
          </cell>
        </row>
        <row r="84">
          <cell r="D84">
            <v>45936</v>
          </cell>
          <cell r="E84" t="str">
            <v>25I24-12</v>
          </cell>
          <cell r="F84">
            <v>26</v>
          </cell>
          <cell r="G84">
            <v>444.17</v>
          </cell>
          <cell r="H84">
            <v>443.8</v>
          </cell>
          <cell r="I84" t="str">
            <v>25I24-12</v>
          </cell>
          <cell r="J84">
            <v>87</v>
          </cell>
          <cell r="K84">
            <v>22</v>
          </cell>
          <cell r="O84">
            <v>100</v>
          </cell>
          <cell r="T84" t="str">
            <v>000000000007283</v>
          </cell>
        </row>
        <row r="85">
          <cell r="D85">
            <v>45936</v>
          </cell>
          <cell r="E85" t="str">
            <v>25I24-12</v>
          </cell>
          <cell r="F85">
            <v>26</v>
          </cell>
          <cell r="G85">
            <v>444.17</v>
          </cell>
          <cell r="H85">
            <v>443.91</v>
          </cell>
          <cell r="K85">
            <v>0</v>
          </cell>
          <cell r="O85">
            <v>25</v>
          </cell>
          <cell r="T85" t="str">
            <v>000000000007283</v>
          </cell>
        </row>
        <row r="86">
          <cell r="G86" t="str">
            <v/>
          </cell>
          <cell r="K86">
            <v>0</v>
          </cell>
          <cell r="O86">
            <v>1</v>
          </cell>
          <cell r="T86" t="str">
            <v>000000000007283</v>
          </cell>
        </row>
        <row r="87">
          <cell r="G87" t="str">
            <v/>
          </cell>
          <cell r="K87">
            <v>0</v>
          </cell>
          <cell r="O87">
            <v>1</v>
          </cell>
          <cell r="T87" t="str">
            <v>000000000007283</v>
          </cell>
        </row>
        <row r="88">
          <cell r="G88" t="str">
            <v/>
          </cell>
          <cell r="K88">
            <v>0</v>
          </cell>
          <cell r="L88" t="str">
            <v>旧品加工</v>
          </cell>
          <cell r="M88">
            <v>13</v>
          </cell>
          <cell r="O88">
            <v>1</v>
          </cell>
          <cell r="T88" t="str">
            <v>000000000007283</v>
          </cell>
        </row>
        <row r="89">
          <cell r="G89" t="str">
            <v/>
          </cell>
          <cell r="K89">
            <v>0</v>
          </cell>
          <cell r="L89" t="str">
            <v>持出端材</v>
          </cell>
          <cell r="O89" t="str">
            <v>M</v>
          </cell>
          <cell r="T89" t="str">
            <v>000000000007283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1</v>
          </cell>
          <cell r="O90" t="str">
            <v>T</v>
          </cell>
          <cell r="P90">
            <v>1</v>
          </cell>
          <cell r="T90" t="str">
            <v>000000000007283</v>
          </cell>
        </row>
        <row r="91">
          <cell r="D91">
            <v>45929</v>
          </cell>
          <cell r="E91" t="str">
            <v>25I20-08</v>
          </cell>
          <cell r="I91" t="str">
            <v>25I20-08</v>
          </cell>
          <cell r="J91">
            <v>0</v>
          </cell>
          <cell r="K91">
            <v>0</v>
          </cell>
          <cell r="L91">
            <v>45937</v>
          </cell>
          <cell r="M91">
            <v>4</v>
          </cell>
          <cell r="O91">
            <v>45937</v>
          </cell>
          <cell r="P91">
            <v>2</v>
          </cell>
          <cell r="T91" t="str">
            <v>000000000007284</v>
          </cell>
        </row>
        <row r="92">
          <cell r="D92">
            <v>45933</v>
          </cell>
          <cell r="E92" t="str">
            <v>25I24-12</v>
          </cell>
          <cell r="F92">
            <v>26</v>
          </cell>
          <cell r="G92">
            <v>592.23</v>
          </cell>
          <cell r="H92">
            <v>591.72</v>
          </cell>
          <cell r="I92" t="str">
            <v>25I24-12</v>
          </cell>
          <cell r="J92">
            <v>352</v>
          </cell>
          <cell r="K92">
            <v>118</v>
          </cell>
          <cell r="O92">
            <v>400</v>
          </cell>
          <cell r="T92" t="str">
            <v>000000000007284</v>
          </cell>
        </row>
        <row r="93">
          <cell r="D93">
            <v>45933</v>
          </cell>
          <cell r="E93" t="str">
            <v>25I24-12</v>
          </cell>
          <cell r="F93">
            <v>26</v>
          </cell>
          <cell r="G93">
            <v>592.23</v>
          </cell>
          <cell r="H93">
            <v>591.97</v>
          </cell>
          <cell r="K93">
            <v>0</v>
          </cell>
          <cell r="O93">
            <v>118</v>
          </cell>
          <cell r="P93">
            <v>1</v>
          </cell>
          <cell r="T93" t="str">
            <v>000000000007284</v>
          </cell>
        </row>
        <row r="94">
          <cell r="G94" t="str">
            <v/>
          </cell>
          <cell r="K94">
            <v>0</v>
          </cell>
          <cell r="O94">
            <v>2</v>
          </cell>
          <cell r="T94" t="str">
            <v>000000000007284</v>
          </cell>
        </row>
        <row r="95">
          <cell r="G95" t="str">
            <v/>
          </cell>
          <cell r="K95">
            <v>0</v>
          </cell>
          <cell r="O95">
            <v>4</v>
          </cell>
          <cell r="T95" t="str">
            <v>000000000007284</v>
          </cell>
        </row>
        <row r="96">
          <cell r="G96" t="str">
            <v/>
          </cell>
          <cell r="K96">
            <v>0</v>
          </cell>
          <cell r="L96" t="str">
            <v>旧品加工</v>
          </cell>
          <cell r="M96">
            <v>2</v>
          </cell>
          <cell r="O96">
            <v>50</v>
          </cell>
          <cell r="T96" t="str">
            <v>000000000007284</v>
          </cell>
        </row>
        <row r="97">
          <cell r="G97" t="str">
            <v/>
          </cell>
          <cell r="K97">
            <v>0</v>
          </cell>
          <cell r="L97" t="str">
            <v>持出端材</v>
          </cell>
          <cell r="M97">
            <v>48</v>
          </cell>
          <cell r="O97" t="str">
            <v>M</v>
          </cell>
          <cell r="P97">
            <v>1</v>
          </cell>
          <cell r="T97" t="str">
            <v>000000000007284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2</v>
          </cell>
          <cell r="O98" t="str">
            <v>T/U</v>
          </cell>
          <cell r="P98">
            <v>4</v>
          </cell>
          <cell r="T98" t="str">
            <v>000000000007284</v>
          </cell>
        </row>
        <row r="99">
          <cell r="D99">
            <v>45929</v>
          </cell>
          <cell r="E99" t="str">
            <v>25I20-08</v>
          </cell>
          <cell r="I99" t="str">
            <v>25I20-08</v>
          </cell>
          <cell r="J99">
            <v>6</v>
          </cell>
          <cell r="K99">
            <v>1</v>
          </cell>
          <cell r="L99">
            <v>45937</v>
          </cell>
          <cell r="M99">
            <v>2</v>
          </cell>
          <cell r="O99">
            <v>45937</v>
          </cell>
          <cell r="T99" t="str">
            <v>000000000007281</v>
          </cell>
        </row>
        <row r="100">
          <cell r="D100">
            <v>45936</v>
          </cell>
          <cell r="E100" t="str">
            <v>25I24-12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25I24-12</v>
          </cell>
          <cell r="J100">
            <v>144</v>
          </cell>
          <cell r="K100">
            <v>24</v>
          </cell>
          <cell r="O100">
            <v>200</v>
          </cell>
          <cell r="T100" t="str">
            <v>000000000007281</v>
          </cell>
        </row>
        <row r="101">
          <cell r="D101">
            <v>45937</v>
          </cell>
          <cell r="E101" t="str">
            <v>25I24-12</v>
          </cell>
          <cell r="F101">
            <v>22</v>
          </cell>
          <cell r="G101">
            <v>297.04000000000002</v>
          </cell>
          <cell r="H101">
            <v>297.13</v>
          </cell>
          <cell r="K101">
            <v>0</v>
          </cell>
          <cell r="O101">
            <v>25</v>
          </cell>
          <cell r="T101" t="str">
            <v>000000000007281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000000000007281</v>
          </cell>
        </row>
        <row r="103">
          <cell r="G103" t="str">
            <v/>
          </cell>
          <cell r="K103">
            <v>0</v>
          </cell>
          <cell r="O103">
            <v>0</v>
          </cell>
          <cell r="T103" t="str">
            <v>000000000007281</v>
          </cell>
        </row>
        <row r="104">
          <cell r="G104" t="str">
            <v/>
          </cell>
          <cell r="K104">
            <v>0</v>
          </cell>
          <cell r="L104" t="str">
            <v>旧品加工</v>
          </cell>
          <cell r="M104">
            <v>10</v>
          </cell>
          <cell r="O104">
            <v>46</v>
          </cell>
          <cell r="T104" t="str">
            <v>000000000007281</v>
          </cell>
        </row>
        <row r="105">
          <cell r="G105" t="str">
            <v/>
          </cell>
          <cell r="K105">
            <v>0</v>
          </cell>
          <cell r="L105" t="str">
            <v>持出端材</v>
          </cell>
          <cell r="M105">
            <v>42</v>
          </cell>
          <cell r="O105" t="str">
            <v>M</v>
          </cell>
          <cell r="T105" t="str">
            <v>000000000007281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4</v>
          </cell>
          <cell r="O106" t="str">
            <v>T</v>
          </cell>
          <cell r="P106">
            <v>0</v>
          </cell>
          <cell r="T106" t="str">
            <v>000000000007281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45937</v>
          </cell>
          <cell r="M107">
            <v>3</v>
          </cell>
          <cell r="O107">
            <v>45937</v>
          </cell>
          <cell r="P107">
            <v>3</v>
          </cell>
          <cell r="T107" t="str">
            <v>000000000007282</v>
          </cell>
        </row>
        <row r="108">
          <cell r="D108">
            <v>45937</v>
          </cell>
          <cell r="E108" t="str">
            <v>25I24-12</v>
          </cell>
          <cell r="F108">
            <v>22</v>
          </cell>
          <cell r="G108">
            <v>297.04000000000002</v>
          </cell>
          <cell r="H108">
            <v>297.14</v>
          </cell>
          <cell r="I108" t="str">
            <v>25I24-12</v>
          </cell>
          <cell r="J108">
            <v>303</v>
          </cell>
          <cell r="K108">
            <v>51</v>
          </cell>
          <cell r="O108">
            <v>300</v>
          </cell>
          <cell r="T108" t="str">
            <v>000000000007282</v>
          </cell>
        </row>
        <row r="109">
          <cell r="D109">
            <v>45937</v>
          </cell>
          <cell r="E109" t="str">
            <v>25I24-12</v>
          </cell>
          <cell r="F109">
            <v>24</v>
          </cell>
          <cell r="G109">
            <v>297.08</v>
          </cell>
          <cell r="H109">
            <v>297.17</v>
          </cell>
          <cell r="K109">
            <v>0</v>
          </cell>
          <cell r="O109">
            <v>51</v>
          </cell>
          <cell r="T109" t="str">
            <v>000000000007282</v>
          </cell>
        </row>
        <row r="110">
          <cell r="G110" t="str">
            <v/>
          </cell>
          <cell r="K110">
            <v>0</v>
          </cell>
          <cell r="O110">
            <v>1</v>
          </cell>
          <cell r="T110" t="str">
            <v>000000000007282</v>
          </cell>
        </row>
        <row r="111">
          <cell r="G111" t="str">
            <v/>
          </cell>
          <cell r="K111">
            <v>0</v>
          </cell>
          <cell r="O111">
            <v>3</v>
          </cell>
          <cell r="T111" t="str">
            <v>000000000007282</v>
          </cell>
        </row>
        <row r="112">
          <cell r="G112" t="str">
            <v/>
          </cell>
          <cell r="K112">
            <v>0</v>
          </cell>
          <cell r="L112" t="str">
            <v>旧品加工</v>
          </cell>
          <cell r="O112">
            <v>0</v>
          </cell>
          <cell r="T112" t="str">
            <v>000000000007282</v>
          </cell>
        </row>
        <row r="113">
          <cell r="G113" t="str">
            <v/>
          </cell>
          <cell r="K113">
            <v>0</v>
          </cell>
          <cell r="L113" t="str">
            <v>持出端材</v>
          </cell>
          <cell r="O113" t="str">
            <v>M</v>
          </cell>
          <cell r="T113" t="str">
            <v>000000000007282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T</v>
          </cell>
          <cell r="P114">
            <v>3</v>
          </cell>
          <cell r="T114" t="str">
            <v>000000000007282</v>
          </cell>
        </row>
        <row r="115">
          <cell r="I115">
            <v>0</v>
          </cell>
          <cell r="J115">
            <v>0</v>
          </cell>
          <cell r="K115">
            <v>0</v>
          </cell>
          <cell r="L115">
            <v>45937</v>
          </cell>
          <cell r="M115">
            <v>2</v>
          </cell>
          <cell r="O115">
            <v>45937</v>
          </cell>
          <cell r="T115" t="str">
            <v>000000000007427</v>
          </cell>
        </row>
        <row r="116">
          <cell r="D116">
            <v>45937</v>
          </cell>
          <cell r="E116" t="str">
            <v>25I25-01</v>
          </cell>
          <cell r="G116" t="str">
            <v/>
          </cell>
          <cell r="I116" t="str">
            <v>25I25-01</v>
          </cell>
          <cell r="J116">
            <v>74</v>
          </cell>
          <cell r="K116">
            <v>74</v>
          </cell>
          <cell r="O116">
            <v>32</v>
          </cell>
          <cell r="P116">
            <v>42</v>
          </cell>
          <cell r="T116" t="str">
            <v>000000000007427</v>
          </cell>
        </row>
        <row r="117">
          <cell r="G117" t="str">
            <v/>
          </cell>
          <cell r="K117">
            <v>0</v>
          </cell>
          <cell r="O117">
            <v>74</v>
          </cell>
          <cell r="T117" t="str">
            <v>000000000007427</v>
          </cell>
        </row>
        <row r="118">
          <cell r="G118" t="str">
            <v/>
          </cell>
          <cell r="K118">
            <v>0</v>
          </cell>
          <cell r="O118">
            <v>42</v>
          </cell>
          <cell r="T118" t="str">
            <v>000000000007427</v>
          </cell>
        </row>
        <row r="119">
          <cell r="G119" t="str">
            <v/>
          </cell>
          <cell r="K119">
            <v>0</v>
          </cell>
          <cell r="O119">
            <v>42</v>
          </cell>
          <cell r="T119" t="str">
            <v>000000000007427</v>
          </cell>
        </row>
        <row r="120">
          <cell r="G120" t="str">
            <v/>
          </cell>
          <cell r="K120">
            <v>0</v>
          </cell>
          <cell r="L120" t="str">
            <v>旧品加工</v>
          </cell>
          <cell r="O120">
            <v>0</v>
          </cell>
          <cell r="T120" t="str">
            <v>000000000007427</v>
          </cell>
        </row>
        <row r="121">
          <cell r="G121" t="str">
            <v/>
          </cell>
          <cell r="K121">
            <v>0</v>
          </cell>
          <cell r="L121" t="str">
            <v>持出端材</v>
          </cell>
          <cell r="O121" t="str">
            <v>-</v>
          </cell>
          <cell r="T121" t="str">
            <v>000000000007427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 t="str">
            <v>C</v>
          </cell>
          <cell r="P122">
            <v>42</v>
          </cell>
          <cell r="T122" t="str">
            <v>000000000007427</v>
          </cell>
        </row>
        <row r="123">
          <cell r="I123">
            <v>0</v>
          </cell>
          <cell r="J123">
            <v>0</v>
          </cell>
          <cell r="K123">
            <v>0</v>
          </cell>
          <cell r="L123">
            <v>45937</v>
          </cell>
          <cell r="M123">
            <v>1</v>
          </cell>
          <cell r="O123">
            <v>45937</v>
          </cell>
          <cell r="P123">
            <v>3</v>
          </cell>
          <cell r="T123" t="str">
            <v>000000000007925</v>
          </cell>
        </row>
        <row r="124">
          <cell r="D124">
            <v>45937</v>
          </cell>
          <cell r="E124" t="str">
            <v>25I25-01</v>
          </cell>
          <cell r="G124" t="str">
            <v/>
          </cell>
          <cell r="I124" t="str">
            <v>25I25-01</v>
          </cell>
          <cell r="J124">
            <v>9</v>
          </cell>
          <cell r="K124">
            <v>9</v>
          </cell>
          <cell r="O124">
            <v>16</v>
          </cell>
          <cell r="P124">
            <v>4</v>
          </cell>
          <cell r="T124" t="str">
            <v>000000000007925</v>
          </cell>
        </row>
        <row r="125">
          <cell r="D125">
            <v>45937</v>
          </cell>
          <cell r="E125" t="str">
            <v>25J01-01</v>
          </cell>
          <cell r="G125" t="str">
            <v/>
          </cell>
          <cell r="I125" t="str">
            <v>25J01-01</v>
          </cell>
          <cell r="J125">
            <v>14</v>
          </cell>
          <cell r="K125">
            <v>14</v>
          </cell>
          <cell r="O125">
            <v>23</v>
          </cell>
          <cell r="T125" t="str">
            <v>000000000007925</v>
          </cell>
        </row>
        <row r="126">
          <cell r="G126" t="str">
            <v/>
          </cell>
          <cell r="K126">
            <v>0</v>
          </cell>
          <cell r="O126">
            <v>7</v>
          </cell>
          <cell r="T126" t="str">
            <v>000000000007925</v>
          </cell>
        </row>
        <row r="127">
          <cell r="G127" t="str">
            <v/>
          </cell>
          <cell r="K127">
            <v>0</v>
          </cell>
          <cell r="O127">
            <v>7</v>
          </cell>
          <cell r="T127" t="str">
            <v>000000000007925</v>
          </cell>
        </row>
        <row r="128"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000000000007925</v>
          </cell>
        </row>
        <row r="129">
          <cell r="G129" t="str">
            <v/>
          </cell>
          <cell r="K129">
            <v>0</v>
          </cell>
          <cell r="L129" t="str">
            <v>持出端材</v>
          </cell>
          <cell r="O129" t="str">
            <v>-</v>
          </cell>
          <cell r="T129" t="str">
            <v>000000000007925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 t="str">
            <v>C</v>
          </cell>
          <cell r="P130">
            <v>7</v>
          </cell>
          <cell r="T130" t="str">
            <v>000000000007925</v>
          </cell>
        </row>
        <row r="131">
          <cell r="D131">
            <v>45920</v>
          </cell>
          <cell r="E131" t="str">
            <v>25I06-02</v>
          </cell>
          <cell r="I131" t="str">
            <v>25I06-02</v>
          </cell>
          <cell r="J131">
            <v>2</v>
          </cell>
          <cell r="K131">
            <v>2</v>
          </cell>
          <cell r="L131">
            <v>45937</v>
          </cell>
          <cell r="M131">
            <v>1</v>
          </cell>
          <cell r="O131">
            <v>45938</v>
          </cell>
          <cell r="P131">
            <v>1</v>
          </cell>
          <cell r="T131" t="str">
            <v>000000000007423-1</v>
          </cell>
        </row>
        <row r="132">
          <cell r="D132">
            <v>45938</v>
          </cell>
          <cell r="E132" t="str">
            <v>25I27-01</v>
          </cell>
          <cell r="G132" t="str">
            <v/>
          </cell>
          <cell r="I132" t="str">
            <v>25I27-01</v>
          </cell>
          <cell r="J132">
            <v>131</v>
          </cell>
          <cell r="K132">
            <v>131</v>
          </cell>
          <cell r="L132">
            <v>45938</v>
          </cell>
          <cell r="M132">
            <v>5</v>
          </cell>
          <cell r="O132">
            <v>96</v>
          </cell>
          <cell r="P132">
            <v>36</v>
          </cell>
          <cell r="T132" t="str">
            <v>000000000007423-1</v>
          </cell>
        </row>
        <row r="133">
          <cell r="G133" t="str">
            <v/>
          </cell>
          <cell r="K133">
            <v>0</v>
          </cell>
          <cell r="O133">
            <v>133</v>
          </cell>
          <cell r="T133" t="str">
            <v>000000000007423-1</v>
          </cell>
        </row>
        <row r="134">
          <cell r="G134" t="str">
            <v/>
          </cell>
          <cell r="K134">
            <v>0</v>
          </cell>
          <cell r="O134">
            <v>37</v>
          </cell>
          <cell r="T134" t="str">
            <v>000000000007423-1</v>
          </cell>
        </row>
        <row r="135">
          <cell r="G135" t="str">
            <v/>
          </cell>
          <cell r="K135">
            <v>0</v>
          </cell>
          <cell r="O135">
            <v>37</v>
          </cell>
          <cell r="T135" t="str">
            <v>000000000007423-1</v>
          </cell>
        </row>
        <row r="136">
          <cell r="G136" t="str">
            <v/>
          </cell>
          <cell r="K136">
            <v>0</v>
          </cell>
          <cell r="L136" t="str">
            <v>旧品加工</v>
          </cell>
          <cell r="M136">
            <v>2</v>
          </cell>
          <cell r="O136">
            <v>0</v>
          </cell>
          <cell r="T136" t="str">
            <v>000000000007423-1</v>
          </cell>
        </row>
        <row r="137">
          <cell r="G137" t="str">
            <v/>
          </cell>
          <cell r="K137">
            <v>0</v>
          </cell>
          <cell r="L137" t="str">
            <v>持出端材</v>
          </cell>
          <cell r="O137" t="str">
            <v>-</v>
          </cell>
          <cell r="T137" t="str">
            <v>000000000007423-1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C/T</v>
          </cell>
          <cell r="P138">
            <v>37</v>
          </cell>
          <cell r="T138" t="str">
            <v>000000000007423-1</v>
          </cell>
        </row>
        <row r="139">
          <cell r="D139">
            <v>45908</v>
          </cell>
          <cell r="E139" t="str">
            <v>25I04-01</v>
          </cell>
          <cell r="I139" t="str">
            <v>25I04-01</v>
          </cell>
          <cell r="J139">
            <v>11</v>
          </cell>
          <cell r="K139">
            <v>11</v>
          </cell>
          <cell r="L139">
            <v>45938</v>
          </cell>
          <cell r="M139">
            <v>10</v>
          </cell>
          <cell r="O139">
            <v>45938</v>
          </cell>
          <cell r="P139">
            <v>14</v>
          </cell>
          <cell r="T139" t="str">
            <v>000000000007416</v>
          </cell>
        </row>
        <row r="140">
          <cell r="D140">
            <v>45938</v>
          </cell>
          <cell r="E140" t="str">
            <v>25I24-01</v>
          </cell>
          <cell r="G140" t="str">
            <v/>
          </cell>
          <cell r="I140" t="str">
            <v>25I24-01</v>
          </cell>
          <cell r="J140">
            <v>185</v>
          </cell>
          <cell r="K140">
            <v>185</v>
          </cell>
          <cell r="O140">
            <v>160</v>
          </cell>
          <cell r="P140">
            <v>21</v>
          </cell>
          <cell r="T140" t="str">
            <v>000000000007416</v>
          </cell>
        </row>
        <row r="141">
          <cell r="G141" t="str">
            <v/>
          </cell>
          <cell r="K141">
            <v>0</v>
          </cell>
          <cell r="O141">
            <v>196</v>
          </cell>
          <cell r="P141">
            <v>1</v>
          </cell>
          <cell r="T141" t="str">
            <v>000000000007416</v>
          </cell>
        </row>
        <row r="142">
          <cell r="G142" t="str">
            <v/>
          </cell>
          <cell r="K142">
            <v>0</v>
          </cell>
          <cell r="O142">
            <v>36</v>
          </cell>
          <cell r="T142" t="str">
            <v>000000000007416</v>
          </cell>
        </row>
        <row r="143">
          <cell r="G143" t="str">
            <v/>
          </cell>
          <cell r="K143">
            <v>0</v>
          </cell>
          <cell r="O143">
            <v>36</v>
          </cell>
          <cell r="T143" t="str">
            <v>000000000007416</v>
          </cell>
        </row>
        <row r="144">
          <cell r="G144" t="str">
            <v/>
          </cell>
          <cell r="K144">
            <v>0</v>
          </cell>
          <cell r="L144" t="str">
            <v>旧品加工</v>
          </cell>
          <cell r="M144">
            <v>11</v>
          </cell>
          <cell r="O144">
            <v>0</v>
          </cell>
          <cell r="T144" t="str">
            <v>000000000007416</v>
          </cell>
        </row>
        <row r="145">
          <cell r="G145" t="str">
            <v/>
          </cell>
          <cell r="K145">
            <v>0</v>
          </cell>
          <cell r="L145" t="str">
            <v>持出端材</v>
          </cell>
          <cell r="O145" t="str">
            <v>-</v>
          </cell>
          <cell r="T145" t="str">
            <v>000000000007416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 t="str">
            <v>T</v>
          </cell>
          <cell r="P146">
            <v>36</v>
          </cell>
          <cell r="T146" t="str">
            <v>000000000007416</v>
          </cell>
        </row>
        <row r="147">
          <cell r="D147">
            <v>45881</v>
          </cell>
          <cell r="E147" t="str">
            <v>25G30-01</v>
          </cell>
          <cell r="I147" t="str">
            <v>25G30-01</v>
          </cell>
          <cell r="J147">
            <v>4</v>
          </cell>
          <cell r="K147">
            <v>4</v>
          </cell>
          <cell r="L147">
            <v>45938</v>
          </cell>
          <cell r="M147">
            <v>9</v>
          </cell>
          <cell r="O147">
            <v>45938</v>
          </cell>
          <cell r="P147">
            <v>6</v>
          </cell>
          <cell r="T147" t="str">
            <v>000000000007415</v>
          </cell>
        </row>
        <row r="148">
          <cell r="D148">
            <v>45938</v>
          </cell>
          <cell r="E148" t="str">
            <v>25I25-01</v>
          </cell>
          <cell r="G148" t="str">
            <v/>
          </cell>
          <cell r="I148" t="str">
            <v>25I25-01</v>
          </cell>
          <cell r="J148">
            <v>186</v>
          </cell>
          <cell r="K148">
            <v>186</v>
          </cell>
          <cell r="O148">
            <v>144</v>
          </cell>
          <cell r="P148">
            <v>40</v>
          </cell>
          <cell r="T148" t="str">
            <v>000000000007415</v>
          </cell>
        </row>
        <row r="149">
          <cell r="G149" t="str">
            <v/>
          </cell>
          <cell r="K149">
            <v>0</v>
          </cell>
          <cell r="O149">
            <v>190</v>
          </cell>
          <cell r="T149" t="str">
            <v>000000000007415</v>
          </cell>
        </row>
        <row r="150">
          <cell r="G150" t="str">
            <v/>
          </cell>
          <cell r="K150">
            <v>0</v>
          </cell>
          <cell r="O150">
            <v>46</v>
          </cell>
          <cell r="T150" t="str">
            <v>000000000007415</v>
          </cell>
        </row>
        <row r="151">
          <cell r="G151" t="str">
            <v/>
          </cell>
          <cell r="K151">
            <v>0</v>
          </cell>
          <cell r="O151">
            <v>46</v>
          </cell>
          <cell r="T151" t="str">
            <v>000000000007415</v>
          </cell>
        </row>
        <row r="152">
          <cell r="G152" t="str">
            <v/>
          </cell>
          <cell r="K152">
            <v>0</v>
          </cell>
          <cell r="L152" t="str">
            <v>旧品加工</v>
          </cell>
          <cell r="M152">
            <v>4</v>
          </cell>
          <cell r="O152">
            <v>0</v>
          </cell>
          <cell r="T152" t="str">
            <v>000000000007415</v>
          </cell>
        </row>
        <row r="153">
          <cell r="G153" t="str">
            <v/>
          </cell>
          <cell r="K153">
            <v>0</v>
          </cell>
          <cell r="L153" t="str">
            <v>持出端材</v>
          </cell>
          <cell r="O153" t="str">
            <v>-</v>
          </cell>
          <cell r="T153" t="str">
            <v>000000000007415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C</v>
          </cell>
          <cell r="P154">
            <v>46</v>
          </cell>
          <cell r="T154" t="str">
            <v>000000000007415</v>
          </cell>
        </row>
        <row r="155">
          <cell r="D155">
            <v>45918</v>
          </cell>
          <cell r="E155" t="str">
            <v>25I07-01</v>
          </cell>
          <cell r="I155" t="str">
            <v>25I07-01</v>
          </cell>
          <cell r="J155">
            <v>14</v>
          </cell>
          <cell r="K155">
            <v>14</v>
          </cell>
          <cell r="L155">
            <v>45939</v>
          </cell>
          <cell r="M155">
            <v>10</v>
          </cell>
          <cell r="O155">
            <v>45939</v>
          </cell>
          <cell r="P155">
            <v>5</v>
          </cell>
          <cell r="T155" t="str">
            <v>000000000007417</v>
          </cell>
        </row>
        <row r="156">
          <cell r="D156">
            <v>45939</v>
          </cell>
          <cell r="E156" t="str">
            <v>25I25-01</v>
          </cell>
          <cell r="G156" t="str">
            <v/>
          </cell>
          <cell r="I156" t="str">
            <v>25I25-01</v>
          </cell>
          <cell r="J156">
            <v>194</v>
          </cell>
          <cell r="K156">
            <v>194</v>
          </cell>
          <cell r="O156">
            <v>160</v>
          </cell>
          <cell r="P156">
            <v>39</v>
          </cell>
          <cell r="T156" t="str">
            <v>000000000007417</v>
          </cell>
        </row>
        <row r="157">
          <cell r="G157" t="str">
            <v/>
          </cell>
          <cell r="K157">
            <v>0</v>
          </cell>
          <cell r="O157">
            <v>208</v>
          </cell>
          <cell r="P157">
            <v>4</v>
          </cell>
          <cell r="T157" t="str">
            <v>000000000007417</v>
          </cell>
        </row>
        <row r="158">
          <cell r="G158" t="str">
            <v/>
          </cell>
          <cell r="K158">
            <v>0</v>
          </cell>
          <cell r="O158">
            <v>48</v>
          </cell>
          <cell r="T158" t="str">
            <v>000000000007417</v>
          </cell>
        </row>
        <row r="159">
          <cell r="G159" t="str">
            <v/>
          </cell>
          <cell r="K159">
            <v>0</v>
          </cell>
          <cell r="O159">
            <v>48</v>
          </cell>
          <cell r="T159" t="str">
            <v>000000000007417</v>
          </cell>
        </row>
        <row r="160">
          <cell r="G160" t="str">
            <v/>
          </cell>
          <cell r="K160">
            <v>0</v>
          </cell>
          <cell r="L160" t="str">
            <v>旧品加工</v>
          </cell>
          <cell r="M160">
            <v>14</v>
          </cell>
          <cell r="O160">
            <v>0</v>
          </cell>
          <cell r="T160" t="str">
            <v>000000000007417</v>
          </cell>
        </row>
        <row r="161">
          <cell r="G161" t="str">
            <v/>
          </cell>
          <cell r="K161">
            <v>0</v>
          </cell>
          <cell r="L161" t="str">
            <v>持出端材</v>
          </cell>
          <cell r="O161" t="str">
            <v>-</v>
          </cell>
          <cell r="T161" t="str">
            <v>000000000007417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T</v>
          </cell>
          <cell r="P162">
            <v>48</v>
          </cell>
          <cell r="T162" t="str">
            <v>000000000007417</v>
          </cell>
        </row>
        <row r="163">
          <cell r="D163">
            <v>45922</v>
          </cell>
          <cell r="E163" t="str">
            <v>25I07-01</v>
          </cell>
          <cell r="I163" t="str">
            <v>25I07-01</v>
          </cell>
          <cell r="J163">
            <v>10</v>
          </cell>
          <cell r="K163">
            <v>10</v>
          </cell>
          <cell r="L163">
            <v>45939</v>
          </cell>
          <cell r="M163">
            <v>10</v>
          </cell>
          <cell r="O163">
            <v>45939</v>
          </cell>
          <cell r="P163">
            <v>12</v>
          </cell>
          <cell r="T163" t="str">
            <v>000000000007418</v>
          </cell>
        </row>
        <row r="164">
          <cell r="D164">
            <v>45939</v>
          </cell>
          <cell r="E164" t="str">
            <v>25I26-01</v>
          </cell>
          <cell r="G164" t="str">
            <v/>
          </cell>
          <cell r="I164" t="str">
            <v>25I26-01</v>
          </cell>
          <cell r="J164">
            <v>198</v>
          </cell>
          <cell r="K164">
            <v>198</v>
          </cell>
          <cell r="O164">
            <v>160</v>
          </cell>
          <cell r="P164">
            <v>33</v>
          </cell>
          <cell r="T164" t="str">
            <v>000000000007418</v>
          </cell>
        </row>
        <row r="165">
          <cell r="G165" t="str">
            <v/>
          </cell>
          <cell r="K165">
            <v>0</v>
          </cell>
          <cell r="O165">
            <v>208</v>
          </cell>
          <cell r="P165">
            <v>3</v>
          </cell>
          <cell r="T165" t="str">
            <v>000000000007418</v>
          </cell>
        </row>
        <row r="166">
          <cell r="G166" t="str">
            <v/>
          </cell>
          <cell r="K166">
            <v>0</v>
          </cell>
          <cell r="O166">
            <v>48</v>
          </cell>
          <cell r="T166" t="str">
            <v>000000000007418</v>
          </cell>
        </row>
        <row r="167">
          <cell r="G167" t="str">
            <v/>
          </cell>
          <cell r="K167">
            <v>0</v>
          </cell>
          <cell r="O167">
            <v>48</v>
          </cell>
          <cell r="T167" t="str">
            <v>000000000007418</v>
          </cell>
        </row>
        <row r="168">
          <cell r="G168" t="str">
            <v/>
          </cell>
          <cell r="K168">
            <v>0</v>
          </cell>
          <cell r="L168" t="str">
            <v>旧品加工</v>
          </cell>
          <cell r="M168">
            <v>10</v>
          </cell>
          <cell r="O168">
            <v>0</v>
          </cell>
          <cell r="T168" t="str">
            <v>000000000007418</v>
          </cell>
        </row>
        <row r="169">
          <cell r="G169" t="str">
            <v/>
          </cell>
          <cell r="K169">
            <v>0</v>
          </cell>
          <cell r="L169" t="str">
            <v>持出端材</v>
          </cell>
          <cell r="O169" t="str">
            <v>-</v>
          </cell>
          <cell r="T169" t="str">
            <v>000000000007418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 t="str">
            <v>C</v>
          </cell>
          <cell r="P170">
            <v>48</v>
          </cell>
          <cell r="T170" t="str">
            <v>000000000007418</v>
          </cell>
        </row>
        <row r="171">
          <cell r="I171">
            <v>0</v>
          </cell>
          <cell r="J171">
            <v>0</v>
          </cell>
          <cell r="K171">
            <v>0</v>
          </cell>
          <cell r="L171">
            <v>45944</v>
          </cell>
          <cell r="M171">
            <v>6</v>
          </cell>
          <cell r="O171">
            <v>45944</v>
          </cell>
          <cell r="P171">
            <v>3</v>
          </cell>
          <cell r="T171" t="str">
            <v>000000000007383</v>
          </cell>
        </row>
        <row r="172">
          <cell r="D172">
            <v>45940</v>
          </cell>
          <cell r="E172" t="str">
            <v>25H29-03</v>
          </cell>
          <cell r="F172">
            <v>24</v>
          </cell>
          <cell r="G172">
            <v>1997.52</v>
          </cell>
          <cell r="H172">
            <v>1997.1</v>
          </cell>
          <cell r="I172" t="str">
            <v>25H29-03</v>
          </cell>
          <cell r="J172">
            <v>278</v>
          </cell>
          <cell r="K172">
            <v>278</v>
          </cell>
          <cell r="O172">
            <v>252</v>
          </cell>
          <cell r="P172">
            <v>22</v>
          </cell>
          <cell r="T172" t="str">
            <v>000000000007383</v>
          </cell>
        </row>
        <row r="173">
          <cell r="D173">
            <v>45940</v>
          </cell>
          <cell r="E173" t="str">
            <v>25H29-03</v>
          </cell>
          <cell r="F173">
            <v>24</v>
          </cell>
          <cell r="G173">
            <v>1997.52</v>
          </cell>
          <cell r="H173">
            <v>1997.1</v>
          </cell>
          <cell r="K173">
            <v>0</v>
          </cell>
          <cell r="O173">
            <v>278</v>
          </cell>
          <cell r="P173">
            <v>1</v>
          </cell>
          <cell r="T173" t="str">
            <v>000000000007383</v>
          </cell>
        </row>
        <row r="174">
          <cell r="D174">
            <v>45944</v>
          </cell>
          <cell r="E174" t="str">
            <v>25H29-03</v>
          </cell>
          <cell r="F174">
            <v>20</v>
          </cell>
          <cell r="G174">
            <v>1997</v>
          </cell>
          <cell r="H174">
            <v>1997.3</v>
          </cell>
          <cell r="K174">
            <v>0</v>
          </cell>
          <cell r="O174">
            <v>26</v>
          </cell>
          <cell r="T174" t="str">
            <v>000000000007383</v>
          </cell>
        </row>
        <row r="175">
          <cell r="D175">
            <v>45944</v>
          </cell>
          <cell r="E175" t="str">
            <v>25H29-03</v>
          </cell>
          <cell r="F175">
            <v>22</v>
          </cell>
          <cell r="G175">
            <v>1997.26</v>
          </cell>
          <cell r="H175">
            <v>1997.4</v>
          </cell>
          <cell r="K175">
            <v>0</v>
          </cell>
          <cell r="O175">
            <v>26</v>
          </cell>
          <cell r="T175" t="str">
            <v>000000000007383</v>
          </cell>
        </row>
        <row r="176"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000000000007383</v>
          </cell>
        </row>
        <row r="177">
          <cell r="G177" t="str">
            <v/>
          </cell>
          <cell r="K177">
            <v>0</v>
          </cell>
          <cell r="L177" t="str">
            <v>持出端材</v>
          </cell>
          <cell r="O177" t="str">
            <v>M/C</v>
          </cell>
          <cell r="T177" t="str">
            <v>000000000007383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T</v>
          </cell>
          <cell r="P178">
            <v>26</v>
          </cell>
          <cell r="T178" t="str">
            <v>000000000007383</v>
          </cell>
        </row>
        <row r="179">
          <cell r="D179">
            <v>45918</v>
          </cell>
          <cell r="E179" t="str">
            <v>25I05-01</v>
          </cell>
          <cell r="I179" t="str">
            <v>25I05-01</v>
          </cell>
          <cell r="J179">
            <v>1</v>
          </cell>
          <cell r="K179">
            <v>1</v>
          </cell>
          <cell r="L179">
            <v>45940</v>
          </cell>
          <cell r="M179">
            <v>10</v>
          </cell>
          <cell r="O179">
            <v>45940</v>
          </cell>
          <cell r="P179">
            <v>3</v>
          </cell>
          <cell r="T179" t="str">
            <v>000000000007425</v>
          </cell>
        </row>
        <row r="180">
          <cell r="D180">
            <v>45940</v>
          </cell>
          <cell r="E180" t="str">
            <v>25I26-01</v>
          </cell>
          <cell r="G180" t="str">
            <v/>
          </cell>
          <cell r="I180" t="str">
            <v>25I26-01</v>
          </cell>
          <cell r="J180">
            <v>191</v>
          </cell>
          <cell r="K180">
            <v>191</v>
          </cell>
          <cell r="O180">
            <v>160</v>
          </cell>
          <cell r="P180">
            <v>28</v>
          </cell>
          <cell r="T180" t="str">
            <v>000000000007425</v>
          </cell>
        </row>
        <row r="181">
          <cell r="G181" t="str">
            <v/>
          </cell>
          <cell r="K181">
            <v>0</v>
          </cell>
          <cell r="O181">
            <v>192</v>
          </cell>
          <cell r="P181">
            <v>1</v>
          </cell>
          <cell r="T181" t="str">
            <v>000000000007425</v>
          </cell>
        </row>
        <row r="182">
          <cell r="G182" t="str">
            <v/>
          </cell>
          <cell r="K182">
            <v>0</v>
          </cell>
          <cell r="O182">
            <v>32</v>
          </cell>
          <cell r="T182" t="str">
            <v>000000000007425</v>
          </cell>
        </row>
        <row r="183">
          <cell r="G183" t="str">
            <v/>
          </cell>
          <cell r="K183">
            <v>0</v>
          </cell>
          <cell r="O183">
            <v>32</v>
          </cell>
          <cell r="T183" t="str">
            <v>000000000007425</v>
          </cell>
        </row>
        <row r="184">
          <cell r="G184" t="str">
            <v/>
          </cell>
          <cell r="K184">
            <v>0</v>
          </cell>
          <cell r="L184" t="str">
            <v>旧品加工</v>
          </cell>
          <cell r="M184">
            <v>1</v>
          </cell>
          <cell r="O184">
            <v>0</v>
          </cell>
          <cell r="T184" t="str">
            <v>000000000007425</v>
          </cell>
        </row>
        <row r="185">
          <cell r="G185" t="str">
            <v/>
          </cell>
          <cell r="K185">
            <v>0</v>
          </cell>
          <cell r="L185" t="str">
            <v>持出端材</v>
          </cell>
          <cell r="O185" t="str">
            <v>-</v>
          </cell>
          <cell r="T185" t="str">
            <v>000000000007425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O186" t="str">
            <v>M</v>
          </cell>
          <cell r="P186">
            <v>32</v>
          </cell>
          <cell r="T186" t="str">
            <v>000000000007425</v>
          </cell>
        </row>
        <row r="187">
          <cell r="I187">
            <v>0</v>
          </cell>
          <cell r="J187">
            <v>0</v>
          </cell>
          <cell r="K187">
            <v>0</v>
          </cell>
          <cell r="L187">
            <v>45944</v>
          </cell>
          <cell r="M187">
            <v>2</v>
          </cell>
          <cell r="O187">
            <v>45945</v>
          </cell>
          <cell r="P187">
            <v>17</v>
          </cell>
          <cell r="T187" t="str">
            <v>000000000007926-1</v>
          </cell>
        </row>
        <row r="188">
          <cell r="D188">
            <v>45944</v>
          </cell>
          <cell r="E188" t="str">
            <v>25J01-01</v>
          </cell>
          <cell r="G188" t="str">
            <v/>
          </cell>
          <cell r="I188" t="str">
            <v>25J01-01</v>
          </cell>
          <cell r="J188">
            <v>186</v>
          </cell>
          <cell r="K188">
            <v>186</v>
          </cell>
          <cell r="L188">
            <v>45945</v>
          </cell>
          <cell r="M188">
            <v>10</v>
          </cell>
          <cell r="O188">
            <v>192</v>
          </cell>
          <cell r="P188">
            <v>13</v>
          </cell>
          <cell r="T188" t="str">
            <v>000000000007926-1</v>
          </cell>
        </row>
        <row r="189">
          <cell r="D189">
            <v>45945</v>
          </cell>
          <cell r="E189" t="str">
            <v>25J02-02</v>
          </cell>
          <cell r="G189" t="str">
            <v/>
          </cell>
          <cell r="I189" t="str">
            <v>25J02-02</v>
          </cell>
          <cell r="J189">
            <v>64</v>
          </cell>
          <cell r="K189">
            <v>64</v>
          </cell>
          <cell r="O189">
            <v>250</v>
          </cell>
          <cell r="T189" t="str">
            <v>000000000007926-1</v>
          </cell>
        </row>
        <row r="190">
          <cell r="G190" t="str">
            <v/>
          </cell>
          <cell r="K190">
            <v>0</v>
          </cell>
          <cell r="O190">
            <v>58</v>
          </cell>
          <cell r="T190" t="str">
            <v>000000000007926-1</v>
          </cell>
        </row>
        <row r="191">
          <cell r="G191" t="str">
            <v/>
          </cell>
          <cell r="K191">
            <v>0</v>
          </cell>
          <cell r="O191">
            <v>58</v>
          </cell>
          <cell r="T191" t="str">
            <v>000000000007926-1</v>
          </cell>
        </row>
        <row r="192">
          <cell r="G192" t="str">
            <v/>
          </cell>
          <cell r="K192">
            <v>0</v>
          </cell>
          <cell r="L192" t="str">
            <v>旧品加工</v>
          </cell>
          <cell r="O192">
            <v>0</v>
          </cell>
          <cell r="P192">
            <v>28</v>
          </cell>
          <cell r="T192" t="str">
            <v>000000000007926-1</v>
          </cell>
        </row>
        <row r="193">
          <cell r="G193" t="str">
            <v/>
          </cell>
          <cell r="K193">
            <v>0</v>
          </cell>
          <cell r="L193" t="str">
            <v>持出端材</v>
          </cell>
          <cell r="O193" t="str">
            <v>-</v>
          </cell>
          <cell r="T193" t="str">
            <v>000000000007926-1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M</v>
          </cell>
          <cell r="P194">
            <v>58</v>
          </cell>
          <cell r="T194" t="str">
            <v>000000000007926-1</v>
          </cell>
        </row>
        <row r="195">
          <cell r="D195">
            <v>45847</v>
          </cell>
          <cell r="E195" t="str">
            <v>25G03-01</v>
          </cell>
          <cell r="I195" t="str">
            <v>25G03-01</v>
          </cell>
          <cell r="J195">
            <v>8</v>
          </cell>
          <cell r="K195">
            <v>8</v>
          </cell>
          <cell r="L195">
            <v>45945</v>
          </cell>
          <cell r="M195">
            <v>4</v>
          </cell>
          <cell r="O195">
            <v>45945</v>
          </cell>
          <cell r="P195">
            <v>1</v>
          </cell>
          <cell r="T195" t="str">
            <v>000000000007419</v>
          </cell>
        </row>
        <row r="196">
          <cell r="D196">
            <v>45945</v>
          </cell>
          <cell r="E196" t="str">
            <v>25I27-01</v>
          </cell>
          <cell r="G196" t="str">
            <v/>
          </cell>
          <cell r="I196" t="str">
            <v>25I27-01</v>
          </cell>
          <cell r="J196">
            <v>89</v>
          </cell>
          <cell r="K196">
            <v>89</v>
          </cell>
          <cell r="O196">
            <v>64</v>
          </cell>
          <cell r="P196">
            <v>32</v>
          </cell>
          <cell r="T196" t="str">
            <v>000000000007419</v>
          </cell>
        </row>
        <row r="197">
          <cell r="G197" t="str">
            <v/>
          </cell>
          <cell r="K197">
            <v>0</v>
          </cell>
          <cell r="O197">
            <v>97</v>
          </cell>
          <cell r="T197" t="str">
            <v>000000000007419</v>
          </cell>
        </row>
        <row r="198">
          <cell r="G198" t="str">
            <v/>
          </cell>
          <cell r="K198">
            <v>0</v>
          </cell>
          <cell r="O198">
            <v>33</v>
          </cell>
          <cell r="T198" t="str">
            <v>000000000007419</v>
          </cell>
        </row>
        <row r="199">
          <cell r="G199" t="str">
            <v/>
          </cell>
          <cell r="K199">
            <v>0</v>
          </cell>
          <cell r="O199">
            <v>33</v>
          </cell>
          <cell r="T199" t="str">
            <v>000000000007419</v>
          </cell>
        </row>
        <row r="200">
          <cell r="G200" t="str">
            <v/>
          </cell>
          <cell r="K200">
            <v>0</v>
          </cell>
          <cell r="L200" t="str">
            <v>旧品加工</v>
          </cell>
          <cell r="M200">
            <v>8</v>
          </cell>
          <cell r="O200">
            <v>0</v>
          </cell>
          <cell r="T200" t="str">
            <v>000000000007419</v>
          </cell>
        </row>
        <row r="201">
          <cell r="G201" t="str">
            <v/>
          </cell>
          <cell r="K201">
            <v>0</v>
          </cell>
          <cell r="L201" t="str">
            <v>持出端材</v>
          </cell>
          <cell r="O201" t="str">
            <v>-</v>
          </cell>
          <cell r="T201" t="str">
            <v>000000000007419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C</v>
          </cell>
          <cell r="P202">
            <v>33</v>
          </cell>
          <cell r="T202" t="str">
            <v>000000000007419</v>
          </cell>
        </row>
        <row r="203">
          <cell r="I203">
            <v>0</v>
          </cell>
          <cell r="J203">
            <v>0</v>
          </cell>
          <cell r="K203">
            <v>0</v>
          </cell>
          <cell r="L203">
            <v>45946</v>
          </cell>
          <cell r="M203">
            <v>5</v>
          </cell>
          <cell r="O203">
            <v>45946</v>
          </cell>
          <cell r="P203">
            <v>2</v>
          </cell>
          <cell r="T203" t="str">
            <v>000000000007421</v>
          </cell>
        </row>
        <row r="204">
          <cell r="D204">
            <v>45946</v>
          </cell>
          <cell r="E204" t="str">
            <v>25I27-01</v>
          </cell>
          <cell r="G204" t="str">
            <v/>
          </cell>
          <cell r="I204" t="str">
            <v>25I27-01</v>
          </cell>
          <cell r="J204">
            <v>95</v>
          </cell>
          <cell r="K204">
            <v>95</v>
          </cell>
          <cell r="O204">
            <v>80</v>
          </cell>
          <cell r="P204">
            <v>13</v>
          </cell>
          <cell r="T204" t="str">
            <v>000000000007421</v>
          </cell>
        </row>
        <row r="205">
          <cell r="G205" t="str">
            <v/>
          </cell>
          <cell r="K205">
            <v>0</v>
          </cell>
          <cell r="O205">
            <v>95</v>
          </cell>
          <cell r="T205" t="str">
            <v>000000000007421</v>
          </cell>
        </row>
        <row r="206">
          <cell r="G206" t="str">
            <v/>
          </cell>
          <cell r="K206">
            <v>0</v>
          </cell>
          <cell r="O206">
            <v>15</v>
          </cell>
          <cell r="T206" t="str">
            <v>000000000007421</v>
          </cell>
        </row>
        <row r="207">
          <cell r="G207" t="str">
            <v/>
          </cell>
          <cell r="K207">
            <v>0</v>
          </cell>
          <cell r="O207">
            <v>15</v>
          </cell>
          <cell r="T207" t="str">
            <v>000000000007421</v>
          </cell>
        </row>
        <row r="208"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000000000007421</v>
          </cell>
        </row>
        <row r="209">
          <cell r="G209" t="str">
            <v/>
          </cell>
          <cell r="K209">
            <v>0</v>
          </cell>
          <cell r="L209" t="str">
            <v>持出端材</v>
          </cell>
          <cell r="O209" t="str">
            <v>-</v>
          </cell>
          <cell r="T209" t="str">
            <v>000000000007421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 t="str">
            <v>T</v>
          </cell>
          <cell r="P210">
            <v>15</v>
          </cell>
          <cell r="T210" t="str">
            <v>000000000007421</v>
          </cell>
        </row>
        <row r="211">
          <cell r="D211">
            <v>45888</v>
          </cell>
          <cell r="E211" t="str">
            <v>25G31-01</v>
          </cell>
          <cell r="I211" t="str">
            <v>25G31-01</v>
          </cell>
          <cell r="J211">
            <v>2</v>
          </cell>
          <cell r="K211">
            <v>2</v>
          </cell>
          <cell r="L211">
            <v>45946</v>
          </cell>
          <cell r="M211">
            <v>9</v>
          </cell>
          <cell r="O211">
            <v>45946</v>
          </cell>
          <cell r="P211">
            <v>2</v>
          </cell>
          <cell r="T211" t="str">
            <v>000000000007420</v>
          </cell>
        </row>
        <row r="212">
          <cell r="D212">
            <v>45946</v>
          </cell>
          <cell r="E212" t="str">
            <v>25I26-01</v>
          </cell>
          <cell r="G212" t="str">
            <v/>
          </cell>
          <cell r="I212" t="str">
            <v>25I26-01</v>
          </cell>
          <cell r="J212">
            <v>161</v>
          </cell>
          <cell r="K212">
            <v>161</v>
          </cell>
          <cell r="O212">
            <v>144</v>
          </cell>
          <cell r="P212">
            <v>16</v>
          </cell>
          <cell r="T212" t="str">
            <v>000000000007420</v>
          </cell>
        </row>
        <row r="213">
          <cell r="G213" t="str">
            <v/>
          </cell>
          <cell r="K213">
            <v>0</v>
          </cell>
          <cell r="O213">
            <v>163</v>
          </cell>
          <cell r="P213">
            <v>1</v>
          </cell>
          <cell r="T213" t="str">
            <v>000000000007420</v>
          </cell>
        </row>
        <row r="214">
          <cell r="G214" t="str">
            <v/>
          </cell>
          <cell r="K214">
            <v>0</v>
          </cell>
          <cell r="O214">
            <v>19</v>
          </cell>
          <cell r="T214" t="str">
            <v>000000000007420</v>
          </cell>
        </row>
        <row r="215">
          <cell r="G215" t="str">
            <v/>
          </cell>
          <cell r="K215">
            <v>0</v>
          </cell>
          <cell r="O215">
            <v>19</v>
          </cell>
          <cell r="T215" t="str">
            <v>000000000007420</v>
          </cell>
        </row>
        <row r="216">
          <cell r="G216" t="str">
            <v/>
          </cell>
          <cell r="K216">
            <v>0</v>
          </cell>
          <cell r="L216" t="str">
            <v>旧品加工</v>
          </cell>
          <cell r="M216">
            <v>2</v>
          </cell>
          <cell r="O216">
            <v>0</v>
          </cell>
          <cell r="T216" t="str">
            <v>000000000007420</v>
          </cell>
        </row>
        <row r="217">
          <cell r="G217" t="str">
            <v/>
          </cell>
          <cell r="K217">
            <v>0</v>
          </cell>
          <cell r="L217" t="str">
            <v>持出端材</v>
          </cell>
          <cell r="O217" t="str">
            <v>-</v>
          </cell>
          <cell r="T217" t="str">
            <v>000000000007420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 t="str">
            <v>T</v>
          </cell>
          <cell r="P218">
            <v>19</v>
          </cell>
          <cell r="T218" t="str">
            <v>000000000007420</v>
          </cell>
        </row>
        <row r="219">
          <cell r="I219">
            <v>0</v>
          </cell>
          <cell r="J219">
            <v>0</v>
          </cell>
          <cell r="K219">
            <v>0</v>
          </cell>
          <cell r="L219">
            <v>45946</v>
          </cell>
          <cell r="M219">
            <v>12</v>
          </cell>
          <cell r="O219">
            <v>45946</v>
          </cell>
          <cell r="P219">
            <v>3</v>
          </cell>
          <cell r="T219" t="str">
            <v>000000000007414</v>
          </cell>
        </row>
        <row r="220">
          <cell r="D220">
            <v>45946</v>
          </cell>
          <cell r="E220" t="str">
            <v>25I26-01</v>
          </cell>
          <cell r="F220">
            <v>22</v>
          </cell>
          <cell r="G220">
            <v>1240.2</v>
          </cell>
          <cell r="H220">
            <v>1240.06</v>
          </cell>
          <cell r="I220" t="str">
            <v>25I26-01</v>
          </cell>
          <cell r="J220">
            <v>32</v>
          </cell>
          <cell r="K220">
            <v>32</v>
          </cell>
          <cell r="O220">
            <v>24</v>
          </cell>
          <cell r="P220">
            <v>5</v>
          </cell>
          <cell r="T220" t="str">
            <v>000000000007414</v>
          </cell>
        </row>
        <row r="221">
          <cell r="D221">
            <v>45946</v>
          </cell>
          <cell r="E221" t="str">
            <v>25I26-01</v>
          </cell>
          <cell r="F221">
            <v>22</v>
          </cell>
          <cell r="G221">
            <v>1240.2</v>
          </cell>
          <cell r="H221">
            <v>1240.04</v>
          </cell>
          <cell r="K221">
            <v>0</v>
          </cell>
          <cell r="O221">
            <v>32</v>
          </cell>
          <cell r="T221" t="str">
            <v>000000000007414</v>
          </cell>
        </row>
        <row r="222">
          <cell r="G222" t="str">
            <v/>
          </cell>
          <cell r="K222">
            <v>0</v>
          </cell>
          <cell r="O222">
            <v>8</v>
          </cell>
          <cell r="T222" t="str">
            <v>000000000007414</v>
          </cell>
        </row>
        <row r="223">
          <cell r="G223" t="str">
            <v/>
          </cell>
          <cell r="K223">
            <v>0</v>
          </cell>
          <cell r="O223">
            <v>8</v>
          </cell>
          <cell r="T223" t="str">
            <v>000000000007414</v>
          </cell>
        </row>
        <row r="224">
          <cell r="G224" t="str">
            <v/>
          </cell>
          <cell r="K224">
            <v>0</v>
          </cell>
          <cell r="L224" t="str">
            <v>旧品加工</v>
          </cell>
          <cell r="O224">
            <v>0</v>
          </cell>
          <cell r="T224" t="str">
            <v>000000000007414</v>
          </cell>
        </row>
        <row r="225">
          <cell r="G225" t="str">
            <v/>
          </cell>
          <cell r="K225">
            <v>0</v>
          </cell>
          <cell r="L225" t="str">
            <v>持出端材</v>
          </cell>
          <cell r="O225" t="str">
            <v>C</v>
          </cell>
          <cell r="T225" t="str">
            <v>000000000007414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T</v>
          </cell>
          <cell r="P226">
            <v>8</v>
          </cell>
          <cell r="T226" t="str">
            <v>000000000007414</v>
          </cell>
        </row>
        <row r="227">
          <cell r="D227">
            <v>45848</v>
          </cell>
          <cell r="E227" t="str">
            <v>25G03-01</v>
          </cell>
          <cell r="I227" t="str">
            <v>25G03-01</v>
          </cell>
          <cell r="J227">
            <v>2</v>
          </cell>
          <cell r="K227">
            <v>2</v>
          </cell>
          <cell r="L227">
            <v>45947</v>
          </cell>
          <cell r="M227">
            <v>5</v>
          </cell>
          <cell r="O227">
            <v>45947</v>
          </cell>
          <cell r="P227">
            <v>8</v>
          </cell>
          <cell r="T227" t="str">
            <v>000000000007422</v>
          </cell>
        </row>
        <row r="228">
          <cell r="D228">
            <v>45947</v>
          </cell>
          <cell r="E228" t="str">
            <v>25I27-01</v>
          </cell>
          <cell r="G228" t="str">
            <v/>
          </cell>
          <cell r="I228" t="str">
            <v>25I27-01</v>
          </cell>
          <cell r="J228">
            <v>90</v>
          </cell>
          <cell r="K228">
            <v>90</v>
          </cell>
          <cell r="O228">
            <v>80</v>
          </cell>
          <cell r="P228">
            <v>4</v>
          </cell>
          <cell r="T228" t="str">
            <v>000000000007422</v>
          </cell>
        </row>
        <row r="229">
          <cell r="G229" t="str">
            <v/>
          </cell>
          <cell r="K229">
            <v>0</v>
          </cell>
          <cell r="O229">
            <v>92</v>
          </cell>
          <cell r="T229" t="str">
            <v>000000000007422</v>
          </cell>
        </row>
        <row r="230">
          <cell r="G230" t="str">
            <v/>
          </cell>
          <cell r="K230">
            <v>0</v>
          </cell>
          <cell r="O230">
            <v>12</v>
          </cell>
          <cell r="T230" t="str">
            <v>000000000007422</v>
          </cell>
        </row>
        <row r="231">
          <cell r="G231" t="str">
            <v/>
          </cell>
          <cell r="K231">
            <v>0</v>
          </cell>
          <cell r="O231">
            <v>12</v>
          </cell>
          <cell r="T231" t="str">
            <v>000000000007422</v>
          </cell>
        </row>
        <row r="232">
          <cell r="G232" t="str">
            <v/>
          </cell>
          <cell r="K232">
            <v>0</v>
          </cell>
          <cell r="L232" t="str">
            <v>旧品加工</v>
          </cell>
          <cell r="M232">
            <v>2</v>
          </cell>
          <cell r="O232">
            <v>0</v>
          </cell>
          <cell r="T232" t="str">
            <v>000000000007422</v>
          </cell>
        </row>
        <row r="233">
          <cell r="G233" t="str">
            <v/>
          </cell>
          <cell r="K233">
            <v>0</v>
          </cell>
          <cell r="L233" t="str">
            <v>持出端材</v>
          </cell>
          <cell r="O233" t="str">
            <v>-</v>
          </cell>
          <cell r="T233" t="str">
            <v>000000000007422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O234" t="str">
            <v>T</v>
          </cell>
          <cell r="P234">
            <v>12</v>
          </cell>
          <cell r="T234" t="str">
            <v>000000000007422</v>
          </cell>
        </row>
        <row r="235">
          <cell r="I235">
            <v>0</v>
          </cell>
          <cell r="J235">
            <v>0</v>
          </cell>
          <cell r="K235">
            <v>0</v>
          </cell>
          <cell r="L235">
            <v>45947</v>
          </cell>
          <cell r="M235">
            <v>4</v>
          </cell>
          <cell r="O235">
            <v>45947</v>
          </cell>
          <cell r="P235">
            <v>3</v>
          </cell>
          <cell r="T235" t="str">
            <v>000000000007423-2</v>
          </cell>
        </row>
        <row r="236">
          <cell r="D236">
            <v>45947</v>
          </cell>
          <cell r="E236" t="str">
            <v>25I27-01</v>
          </cell>
          <cell r="G236" t="str">
            <v/>
          </cell>
          <cell r="I236" t="str">
            <v>25I27-01</v>
          </cell>
          <cell r="J236">
            <v>72</v>
          </cell>
          <cell r="K236">
            <v>72</v>
          </cell>
          <cell r="O236">
            <v>64</v>
          </cell>
          <cell r="P236">
            <v>5</v>
          </cell>
          <cell r="T236" t="str">
            <v>000000000007423-2</v>
          </cell>
        </row>
        <row r="237">
          <cell r="G237" t="str">
            <v/>
          </cell>
          <cell r="K237">
            <v>0</v>
          </cell>
          <cell r="O237">
            <v>72</v>
          </cell>
          <cell r="T237" t="str">
            <v>000000000007423-2</v>
          </cell>
        </row>
        <row r="238">
          <cell r="G238" t="str">
            <v/>
          </cell>
          <cell r="K238">
            <v>0</v>
          </cell>
          <cell r="O238">
            <v>8</v>
          </cell>
          <cell r="T238" t="str">
            <v>000000000007423-2</v>
          </cell>
        </row>
        <row r="239">
          <cell r="G239" t="str">
            <v/>
          </cell>
          <cell r="K239">
            <v>0</v>
          </cell>
          <cell r="O239">
            <v>8</v>
          </cell>
          <cell r="T239" t="str">
            <v>000000000007423-2</v>
          </cell>
        </row>
        <row r="240">
          <cell r="G240" t="str">
            <v/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000000000007423-2</v>
          </cell>
        </row>
        <row r="241">
          <cell r="G241" t="str">
            <v/>
          </cell>
          <cell r="K241">
            <v>0</v>
          </cell>
          <cell r="L241" t="str">
            <v>持出端材</v>
          </cell>
          <cell r="O241" t="str">
            <v>-</v>
          </cell>
          <cell r="T241" t="str">
            <v>000000000007423-2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O242" t="str">
            <v>T</v>
          </cell>
          <cell r="P242">
            <v>8</v>
          </cell>
          <cell r="T242" t="str">
            <v>000000000007423-2</v>
          </cell>
        </row>
        <row r="243">
          <cell r="D243">
            <v>45889</v>
          </cell>
          <cell r="E243" t="str">
            <v>25G30-01</v>
          </cell>
          <cell r="I243" t="str">
            <v>25G30-01</v>
          </cell>
          <cell r="J243">
            <v>1</v>
          </cell>
          <cell r="K243">
            <v>1</v>
          </cell>
          <cell r="L243">
            <v>45855</v>
          </cell>
          <cell r="M243">
            <v>11</v>
          </cell>
          <cell r="O243">
            <v>45855</v>
          </cell>
          <cell r="P243">
            <v>11</v>
          </cell>
          <cell r="T243" t="str">
            <v>000000000008225</v>
          </cell>
        </row>
        <row r="244">
          <cell r="D244">
            <v>45939</v>
          </cell>
          <cell r="E244" t="str">
            <v>25I25-01</v>
          </cell>
          <cell r="G244" t="str">
            <v/>
          </cell>
          <cell r="I244" t="str">
            <v>25I25-01</v>
          </cell>
          <cell r="J244">
            <v>6</v>
          </cell>
          <cell r="K244">
            <v>6</v>
          </cell>
          <cell r="O244">
            <v>176</v>
          </cell>
          <cell r="P244">
            <v>20</v>
          </cell>
          <cell r="T244" t="str">
            <v>000000000008225</v>
          </cell>
        </row>
        <row r="245">
          <cell r="D245">
            <v>45947</v>
          </cell>
          <cell r="E245" t="str">
            <v>25J02-01</v>
          </cell>
          <cell r="G245" t="str">
            <v/>
          </cell>
          <cell r="I245" t="str">
            <v>25J02-01</v>
          </cell>
          <cell r="J245">
            <v>200</v>
          </cell>
          <cell r="K245">
            <v>200</v>
          </cell>
          <cell r="O245">
            <v>207</v>
          </cell>
          <cell r="T245" t="str">
            <v>000000000008225</v>
          </cell>
        </row>
        <row r="246">
          <cell r="G246" t="str">
            <v/>
          </cell>
          <cell r="K246">
            <v>0</v>
          </cell>
          <cell r="O246">
            <v>31</v>
          </cell>
          <cell r="T246" t="str">
            <v>000000000008225</v>
          </cell>
        </row>
        <row r="247">
          <cell r="G247" t="str">
            <v/>
          </cell>
          <cell r="K247">
            <v>0</v>
          </cell>
          <cell r="O247">
            <v>31</v>
          </cell>
          <cell r="T247" t="str">
            <v>000000000008225</v>
          </cell>
        </row>
        <row r="248">
          <cell r="G248" t="str">
            <v/>
          </cell>
          <cell r="K248">
            <v>0</v>
          </cell>
          <cell r="L248" t="str">
            <v>旧品加工</v>
          </cell>
          <cell r="M248">
            <v>1</v>
          </cell>
          <cell r="O248">
            <v>0</v>
          </cell>
          <cell r="T248" t="str">
            <v>000000000008225</v>
          </cell>
        </row>
        <row r="249">
          <cell r="G249" t="str">
            <v/>
          </cell>
          <cell r="K249">
            <v>0</v>
          </cell>
          <cell r="L249" t="str">
            <v>持出端材</v>
          </cell>
          <cell r="O249" t="str">
            <v>-</v>
          </cell>
          <cell r="T249" t="str">
            <v>000000000008225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O250" t="str">
            <v>T/C</v>
          </cell>
          <cell r="P250">
            <v>31</v>
          </cell>
          <cell r="T250" t="str">
            <v>000000000008225</v>
          </cell>
        </row>
        <row r="251">
          <cell r="D251">
            <v>45938</v>
          </cell>
          <cell r="E251" t="str">
            <v>25I24-01</v>
          </cell>
          <cell r="I251" t="str">
            <v>25I24-01</v>
          </cell>
          <cell r="J251">
            <v>15</v>
          </cell>
          <cell r="K251">
            <v>15</v>
          </cell>
          <cell r="L251">
            <v>45981</v>
          </cell>
          <cell r="M251">
            <v>11</v>
          </cell>
          <cell r="O251">
            <v>45981</v>
          </cell>
          <cell r="P251">
            <v>10</v>
          </cell>
          <cell r="T251" t="str">
            <v>000000000008224</v>
          </cell>
        </row>
        <row r="252">
          <cell r="D252">
            <v>45950</v>
          </cell>
          <cell r="E252" t="str">
            <v>25J02-01</v>
          </cell>
          <cell r="G252" t="str">
            <v/>
          </cell>
          <cell r="I252" t="str">
            <v>25J02-01</v>
          </cell>
          <cell r="J252">
            <v>197</v>
          </cell>
          <cell r="K252">
            <v>197</v>
          </cell>
          <cell r="O252">
            <v>176</v>
          </cell>
          <cell r="P252">
            <v>26</v>
          </cell>
          <cell r="T252" t="str">
            <v>000000000008224</v>
          </cell>
        </row>
        <row r="253">
          <cell r="G253" t="str">
            <v/>
          </cell>
          <cell r="K253">
            <v>0</v>
          </cell>
          <cell r="O253">
            <v>212</v>
          </cell>
          <cell r="T253" t="str">
            <v>000000000008224</v>
          </cell>
        </row>
        <row r="254">
          <cell r="G254" t="str">
            <v/>
          </cell>
          <cell r="K254">
            <v>0</v>
          </cell>
          <cell r="O254">
            <v>36</v>
          </cell>
          <cell r="T254" t="str">
            <v>000000000008224</v>
          </cell>
        </row>
        <row r="255">
          <cell r="G255" t="str">
            <v/>
          </cell>
          <cell r="K255">
            <v>0</v>
          </cell>
          <cell r="O255">
            <v>36</v>
          </cell>
          <cell r="T255" t="str">
            <v>000000000008224</v>
          </cell>
        </row>
        <row r="256">
          <cell r="G256" t="str">
            <v/>
          </cell>
          <cell r="K256">
            <v>0</v>
          </cell>
          <cell r="L256" t="str">
            <v>旧品加工</v>
          </cell>
          <cell r="M256">
            <v>15</v>
          </cell>
          <cell r="O256">
            <v>0</v>
          </cell>
          <cell r="T256" t="str">
            <v>000000000008224</v>
          </cell>
        </row>
        <row r="257">
          <cell r="G257" t="str">
            <v/>
          </cell>
          <cell r="K257">
            <v>0</v>
          </cell>
          <cell r="L257" t="str">
            <v>持出端材</v>
          </cell>
          <cell r="O257" t="str">
            <v>-</v>
          </cell>
          <cell r="T257" t="str">
            <v>000000000008224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O258" t="str">
            <v>T</v>
          </cell>
          <cell r="P258">
            <v>36</v>
          </cell>
          <cell r="T258" t="str">
            <v>000000000008224</v>
          </cell>
        </row>
        <row r="259">
          <cell r="I259">
            <v>0</v>
          </cell>
          <cell r="J259">
            <v>0</v>
          </cell>
          <cell r="K259">
            <v>0</v>
          </cell>
          <cell r="L259">
            <v>45947</v>
          </cell>
          <cell r="M259">
            <v>10</v>
          </cell>
          <cell r="O259">
            <v>45947</v>
          </cell>
          <cell r="T259" t="str">
            <v>000000000008066</v>
          </cell>
        </row>
        <row r="260">
          <cell r="D260">
            <v>45947</v>
          </cell>
          <cell r="E260" t="str">
            <v>25A16C</v>
          </cell>
          <cell r="F260">
            <v>20</v>
          </cell>
          <cell r="G260">
            <v>550</v>
          </cell>
          <cell r="H260">
            <v>550.25</v>
          </cell>
          <cell r="I260" t="str">
            <v>25A16C</v>
          </cell>
          <cell r="J260">
            <v>300</v>
          </cell>
          <cell r="K260">
            <v>100</v>
          </cell>
          <cell r="O260">
            <v>500</v>
          </cell>
          <cell r="T260" t="str">
            <v>000000000008066</v>
          </cell>
        </row>
        <row r="261">
          <cell r="D261">
            <v>45947</v>
          </cell>
          <cell r="E261" t="str">
            <v>25A16B</v>
          </cell>
          <cell r="F261">
            <v>26</v>
          </cell>
          <cell r="G261">
            <v>550.20000000000005</v>
          </cell>
          <cell r="H261">
            <v>550.29999999999995</v>
          </cell>
          <cell r="I261" t="str">
            <v>25A16B</v>
          </cell>
          <cell r="J261">
            <v>200</v>
          </cell>
          <cell r="K261">
            <v>67</v>
          </cell>
          <cell r="O261">
            <v>167</v>
          </cell>
          <cell r="T261" t="str">
            <v>000000000008066</v>
          </cell>
        </row>
        <row r="262">
          <cell r="D262">
            <v>45947</v>
          </cell>
          <cell r="E262" t="str">
            <v>25A16B</v>
          </cell>
          <cell r="F262">
            <v>26</v>
          </cell>
          <cell r="G262">
            <v>550.20000000000005</v>
          </cell>
          <cell r="H262">
            <v>550.21</v>
          </cell>
          <cell r="K262">
            <v>0</v>
          </cell>
          <cell r="O262">
            <v>0</v>
          </cell>
          <cell r="T262" t="str">
            <v>000000000008066</v>
          </cell>
        </row>
        <row r="263">
          <cell r="G263" t="str">
            <v/>
          </cell>
          <cell r="K263">
            <v>0</v>
          </cell>
          <cell r="O263">
            <v>0</v>
          </cell>
          <cell r="T263" t="str">
            <v>000000000008066</v>
          </cell>
        </row>
        <row r="264"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  <cell r="T264" t="str">
            <v>000000000008066</v>
          </cell>
        </row>
        <row r="265">
          <cell r="G265" t="str">
            <v/>
          </cell>
          <cell r="K265">
            <v>0</v>
          </cell>
          <cell r="L265" t="str">
            <v>持出端材</v>
          </cell>
          <cell r="O265" t="str">
            <v>M</v>
          </cell>
          <cell r="T265" t="str">
            <v>000000000008066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O266" t="str">
            <v>M</v>
          </cell>
          <cell r="P266">
            <v>0</v>
          </cell>
          <cell r="T266" t="str">
            <v>000000000008066</v>
          </cell>
        </row>
        <row r="267">
          <cell r="I267">
            <v>0</v>
          </cell>
          <cell r="J267">
            <v>0</v>
          </cell>
          <cell r="K267">
            <v>0</v>
          </cell>
          <cell r="L267">
            <v>45946</v>
          </cell>
          <cell r="M267">
            <v>6</v>
          </cell>
          <cell r="O267">
            <v>45946</v>
          </cell>
          <cell r="T267" t="str">
            <v>000000000008266</v>
          </cell>
        </row>
        <row r="268">
          <cell r="D268">
            <v>45946</v>
          </cell>
          <cell r="E268" t="str">
            <v>25A16B</v>
          </cell>
          <cell r="F268">
            <v>22</v>
          </cell>
          <cell r="G268">
            <v>820.1</v>
          </cell>
          <cell r="H268">
            <v>820.35</v>
          </cell>
          <cell r="I268" t="str">
            <v>25A16B</v>
          </cell>
          <cell r="J268">
            <v>100</v>
          </cell>
          <cell r="K268">
            <v>50</v>
          </cell>
          <cell r="O268">
            <v>300</v>
          </cell>
          <cell r="T268" t="str">
            <v>000000000008266</v>
          </cell>
        </row>
        <row r="269">
          <cell r="D269">
            <v>45946</v>
          </cell>
          <cell r="E269" t="str">
            <v>25A16C</v>
          </cell>
          <cell r="F269">
            <v>22</v>
          </cell>
          <cell r="G269">
            <v>820.1</v>
          </cell>
          <cell r="H269">
            <v>819.83</v>
          </cell>
          <cell r="I269" t="str">
            <v>25A16C</v>
          </cell>
          <cell r="J269">
            <v>200</v>
          </cell>
          <cell r="K269">
            <v>100</v>
          </cell>
          <cell r="O269">
            <v>150</v>
          </cell>
          <cell r="T269" t="str">
            <v>000000000008266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000000000008266</v>
          </cell>
        </row>
        <row r="271">
          <cell r="G271" t="str">
            <v/>
          </cell>
          <cell r="K271">
            <v>0</v>
          </cell>
          <cell r="O271">
            <v>0</v>
          </cell>
          <cell r="T271" t="str">
            <v>000000000008266</v>
          </cell>
        </row>
        <row r="272">
          <cell r="G272" t="str">
            <v/>
          </cell>
          <cell r="K272">
            <v>0</v>
          </cell>
          <cell r="L272" t="str">
            <v>旧品加工</v>
          </cell>
          <cell r="O272">
            <v>0</v>
          </cell>
          <cell r="T272" t="str">
            <v>000000000008266</v>
          </cell>
        </row>
        <row r="273">
          <cell r="G273" t="str">
            <v/>
          </cell>
          <cell r="K273">
            <v>0</v>
          </cell>
          <cell r="L273" t="str">
            <v>持出端材</v>
          </cell>
          <cell r="O273" t="str">
            <v>M</v>
          </cell>
          <cell r="T273" t="str">
            <v>000000000008266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O274" t="str">
            <v>M</v>
          </cell>
          <cell r="P274">
            <v>0</v>
          </cell>
          <cell r="T274" t="str">
            <v>000000000008266</v>
          </cell>
        </row>
        <row r="275">
          <cell r="D275">
            <v>45933</v>
          </cell>
          <cell r="E275" t="str">
            <v>25I23-11</v>
          </cell>
          <cell r="I275" t="str">
            <v>25I23-11</v>
          </cell>
          <cell r="J275">
            <v>6</v>
          </cell>
          <cell r="K275">
            <v>6</v>
          </cell>
          <cell r="L275">
            <v>45950</v>
          </cell>
          <cell r="M275">
            <v>9</v>
          </cell>
          <cell r="O275">
            <v>45951</v>
          </cell>
          <cell r="P275">
            <v>8</v>
          </cell>
          <cell r="T275" t="str">
            <v>000000000007290</v>
          </cell>
        </row>
        <row r="276">
          <cell r="D276">
            <v>45937</v>
          </cell>
          <cell r="E276" t="str">
            <v>25I24-12</v>
          </cell>
          <cell r="F276" t="str">
            <v>-</v>
          </cell>
          <cell r="G276" t="str">
            <v/>
          </cell>
          <cell r="H276" t="str">
            <v>-</v>
          </cell>
          <cell r="I276" t="str">
            <v>25I24-12</v>
          </cell>
          <cell r="J276">
            <v>16</v>
          </cell>
          <cell r="K276">
            <v>16</v>
          </cell>
          <cell r="L276">
            <v>45951</v>
          </cell>
          <cell r="M276">
            <v>4</v>
          </cell>
          <cell r="O276">
            <v>1300</v>
          </cell>
          <cell r="T276" t="str">
            <v>000000000007290</v>
          </cell>
        </row>
        <row r="277">
          <cell r="D277">
            <v>45947</v>
          </cell>
          <cell r="E277" t="str">
            <v>25I25-13</v>
          </cell>
          <cell r="F277">
            <v>26</v>
          </cell>
          <cell r="G277">
            <v>1478.58</v>
          </cell>
          <cell r="H277">
            <v>1478.58</v>
          </cell>
          <cell r="I277" t="str">
            <v>25I25-13</v>
          </cell>
          <cell r="J277">
            <v>800</v>
          </cell>
          <cell r="K277">
            <v>800</v>
          </cell>
          <cell r="O277">
            <v>1309</v>
          </cell>
          <cell r="P277">
            <v>1</v>
          </cell>
          <cell r="T277" t="str">
            <v>000000000007290</v>
          </cell>
        </row>
        <row r="278">
          <cell r="D278">
            <v>45950</v>
          </cell>
          <cell r="E278" t="str">
            <v>25I25-13</v>
          </cell>
          <cell r="F278">
            <v>22</v>
          </cell>
          <cell r="G278">
            <v>1478.19</v>
          </cell>
          <cell r="H278">
            <v>1478.38</v>
          </cell>
          <cell r="I278" t="str">
            <v>25I26-14</v>
          </cell>
          <cell r="J278">
            <v>487</v>
          </cell>
          <cell r="K278">
            <v>487</v>
          </cell>
          <cell r="O278">
            <v>9</v>
          </cell>
          <cell r="T278" t="str">
            <v>000000000007290</v>
          </cell>
        </row>
        <row r="279">
          <cell r="D279">
            <v>45950</v>
          </cell>
          <cell r="E279" t="str">
            <v>25I25-13</v>
          </cell>
          <cell r="F279">
            <v>22</v>
          </cell>
          <cell r="G279">
            <v>1478.19</v>
          </cell>
          <cell r="H279">
            <v>1478.39</v>
          </cell>
          <cell r="K279">
            <v>0</v>
          </cell>
          <cell r="O279">
            <v>9</v>
          </cell>
          <cell r="T279" t="str">
            <v>000000000007290</v>
          </cell>
        </row>
        <row r="280">
          <cell r="D280">
            <v>45950</v>
          </cell>
          <cell r="E280" t="str">
            <v>25I26-14</v>
          </cell>
          <cell r="F280">
            <v>22</v>
          </cell>
          <cell r="G280">
            <v>1478.19</v>
          </cell>
          <cell r="H280">
            <v>1478.27</v>
          </cell>
          <cell r="K280">
            <v>0</v>
          </cell>
          <cell r="L280" t="str">
            <v>旧品加工</v>
          </cell>
          <cell r="M280">
            <v>6</v>
          </cell>
          <cell r="O280">
            <v>0</v>
          </cell>
          <cell r="T280" t="str">
            <v>000000000007290</v>
          </cell>
        </row>
        <row r="281">
          <cell r="D281">
            <v>45950</v>
          </cell>
          <cell r="E281" t="str">
            <v>25I26-14</v>
          </cell>
          <cell r="F281">
            <v>20</v>
          </cell>
          <cell r="G281">
            <v>1478</v>
          </cell>
          <cell r="H281">
            <v>1478.16</v>
          </cell>
          <cell r="K281">
            <v>0</v>
          </cell>
          <cell r="L281" t="str">
            <v>持出端材</v>
          </cell>
          <cell r="O281" t="str">
            <v>M/C</v>
          </cell>
          <cell r="T281" t="str">
            <v>000000000007290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O282" t="str">
            <v>T/U</v>
          </cell>
          <cell r="P282">
            <v>9</v>
          </cell>
          <cell r="T282" t="str">
            <v>000000000007290</v>
          </cell>
        </row>
        <row r="283">
          <cell r="D283">
            <v>45944</v>
          </cell>
          <cell r="E283" t="str">
            <v>25H29-03</v>
          </cell>
          <cell r="I283" t="str">
            <v>25H29-03</v>
          </cell>
          <cell r="J283">
            <v>21</v>
          </cell>
          <cell r="K283">
            <v>21</v>
          </cell>
          <cell r="L283">
            <v>45951</v>
          </cell>
          <cell r="M283">
            <v>6</v>
          </cell>
          <cell r="O283">
            <v>45951</v>
          </cell>
          <cell r="P283">
            <v>1</v>
          </cell>
          <cell r="T283" t="str">
            <v>000000000008267</v>
          </cell>
        </row>
        <row r="284">
          <cell r="D284">
            <v>45951</v>
          </cell>
          <cell r="E284" t="str">
            <v>25J13-01</v>
          </cell>
          <cell r="F284">
            <v>18</v>
          </cell>
          <cell r="G284">
            <v>1995.74</v>
          </cell>
          <cell r="H284">
            <v>1996.21</v>
          </cell>
          <cell r="I284" t="str">
            <v>25J13-01</v>
          </cell>
          <cell r="J284">
            <v>285</v>
          </cell>
          <cell r="K284">
            <v>285</v>
          </cell>
          <cell r="O284">
            <v>252</v>
          </cell>
          <cell r="P284">
            <v>51</v>
          </cell>
          <cell r="T284" t="str">
            <v>000000000008267</v>
          </cell>
        </row>
        <row r="285">
          <cell r="D285">
            <v>45951</v>
          </cell>
          <cell r="E285" t="str">
            <v>25J13-01</v>
          </cell>
          <cell r="F285">
            <v>20</v>
          </cell>
          <cell r="G285">
            <v>1996</v>
          </cell>
          <cell r="H285">
            <v>1996.6</v>
          </cell>
          <cell r="K285">
            <v>0</v>
          </cell>
          <cell r="O285">
            <v>306</v>
          </cell>
          <cell r="P285">
            <v>2</v>
          </cell>
          <cell r="T285" t="str">
            <v>000000000008267</v>
          </cell>
        </row>
        <row r="286">
          <cell r="G286" t="str">
            <v/>
          </cell>
          <cell r="K286">
            <v>0</v>
          </cell>
          <cell r="O286">
            <v>54</v>
          </cell>
          <cell r="T286" t="str">
            <v>000000000008267</v>
          </cell>
        </row>
        <row r="287">
          <cell r="G287" t="str">
            <v/>
          </cell>
          <cell r="K287">
            <v>0</v>
          </cell>
          <cell r="O287">
            <v>54</v>
          </cell>
          <cell r="T287" t="str">
            <v>000000000008267</v>
          </cell>
        </row>
        <row r="288">
          <cell r="G288" t="str">
            <v/>
          </cell>
          <cell r="K288">
            <v>0</v>
          </cell>
          <cell r="L288" t="str">
            <v>旧品加工</v>
          </cell>
          <cell r="M288">
            <v>21</v>
          </cell>
          <cell r="O288">
            <v>0</v>
          </cell>
          <cell r="T288" t="str">
            <v>000000000008267</v>
          </cell>
        </row>
        <row r="289">
          <cell r="G289" t="str">
            <v/>
          </cell>
          <cell r="K289">
            <v>0</v>
          </cell>
          <cell r="L289" t="str">
            <v>持出端材</v>
          </cell>
          <cell r="O289" t="str">
            <v>M/C</v>
          </cell>
          <cell r="T289" t="str">
            <v>000000000008267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O290" t="str">
            <v>T/U</v>
          </cell>
          <cell r="P290">
            <v>54</v>
          </cell>
          <cell r="T290" t="str">
            <v>000000000008267</v>
          </cell>
        </row>
        <row r="291">
          <cell r="I291">
            <v>0</v>
          </cell>
          <cell r="J291">
            <v>0</v>
          </cell>
          <cell r="K291">
            <v>0</v>
          </cell>
          <cell r="L291">
            <v>45952</v>
          </cell>
          <cell r="M291">
            <v>4</v>
          </cell>
          <cell r="O291">
            <v>45952</v>
          </cell>
          <cell r="P291">
            <v>3</v>
          </cell>
          <cell r="T291" t="str">
            <v>000000000007956</v>
          </cell>
        </row>
        <row r="292">
          <cell r="D292">
            <v>45951</v>
          </cell>
          <cell r="E292" t="str">
            <v>25I26-14</v>
          </cell>
          <cell r="F292">
            <v>20</v>
          </cell>
          <cell r="G292">
            <v>1478</v>
          </cell>
          <cell r="H292">
            <v>1477.99</v>
          </cell>
          <cell r="I292" t="str">
            <v>25I26-14</v>
          </cell>
          <cell r="J292">
            <v>313</v>
          </cell>
          <cell r="K292">
            <v>313</v>
          </cell>
          <cell r="O292">
            <v>400</v>
          </cell>
          <cell r="T292" t="str">
            <v>000000000007956</v>
          </cell>
        </row>
        <row r="293">
          <cell r="D293">
            <v>45951</v>
          </cell>
          <cell r="E293" t="str">
            <v>25J16-01</v>
          </cell>
          <cell r="F293">
            <v>20</v>
          </cell>
          <cell r="G293">
            <v>1478</v>
          </cell>
          <cell r="H293">
            <v>1478.36</v>
          </cell>
          <cell r="I293" t="str">
            <v>25J16-01</v>
          </cell>
          <cell r="J293">
            <v>90</v>
          </cell>
          <cell r="K293">
            <v>90</v>
          </cell>
          <cell r="O293">
            <v>403</v>
          </cell>
          <cell r="T293" t="str">
            <v>000000000007956</v>
          </cell>
        </row>
        <row r="294">
          <cell r="G294" t="str">
            <v/>
          </cell>
          <cell r="K294">
            <v>0</v>
          </cell>
          <cell r="O294">
            <v>3</v>
          </cell>
          <cell r="T294" t="str">
            <v>000000000007956</v>
          </cell>
        </row>
        <row r="295">
          <cell r="G295" t="str">
            <v/>
          </cell>
          <cell r="K295">
            <v>0</v>
          </cell>
          <cell r="O295">
            <v>3</v>
          </cell>
          <cell r="T295" t="str">
            <v>000000000007956</v>
          </cell>
        </row>
        <row r="296"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000000000007956</v>
          </cell>
        </row>
        <row r="297">
          <cell r="G297" t="str">
            <v/>
          </cell>
          <cell r="K297">
            <v>0</v>
          </cell>
          <cell r="L297" t="str">
            <v>持出端材</v>
          </cell>
          <cell r="O297" t="str">
            <v>C/M</v>
          </cell>
          <cell r="T297" t="str">
            <v>000000000007956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O298" t="str">
            <v>T/U</v>
          </cell>
          <cell r="P298">
            <v>3</v>
          </cell>
          <cell r="T298" t="str">
            <v>000000000007956</v>
          </cell>
        </row>
        <row r="299">
          <cell r="D299">
            <v>45936</v>
          </cell>
          <cell r="E299" t="str">
            <v>25I24-12</v>
          </cell>
          <cell r="I299" t="str">
            <v>25I24-12</v>
          </cell>
          <cell r="J299">
            <v>4</v>
          </cell>
          <cell r="K299">
            <v>2</v>
          </cell>
          <cell r="L299">
            <v>45952</v>
          </cell>
          <cell r="M299">
            <v>7</v>
          </cell>
          <cell r="O299">
            <v>45952</v>
          </cell>
          <cell r="P299">
            <v>6</v>
          </cell>
          <cell r="T299" t="str">
            <v>000000000007954</v>
          </cell>
        </row>
        <row r="300">
          <cell r="D300">
            <v>45951</v>
          </cell>
          <cell r="E300" t="str">
            <v>25J16-01</v>
          </cell>
          <cell r="F300">
            <v>20</v>
          </cell>
          <cell r="G300">
            <v>888</v>
          </cell>
          <cell r="H300">
            <v>888.24</v>
          </cell>
          <cell r="I300" t="str">
            <v>25J16-01</v>
          </cell>
          <cell r="J300">
            <v>701</v>
          </cell>
          <cell r="K300">
            <v>351</v>
          </cell>
          <cell r="O300">
            <v>700</v>
          </cell>
          <cell r="T300" t="str">
            <v>000000000007954</v>
          </cell>
        </row>
        <row r="301">
          <cell r="D301">
            <v>45952</v>
          </cell>
          <cell r="E301" t="str">
            <v>25J16-01</v>
          </cell>
          <cell r="F301">
            <v>16</v>
          </cell>
          <cell r="G301">
            <v>887.77</v>
          </cell>
          <cell r="H301">
            <v>887.97</v>
          </cell>
          <cell r="K301">
            <v>0</v>
          </cell>
          <cell r="O301">
            <v>353</v>
          </cell>
          <cell r="P301">
            <v>1</v>
          </cell>
          <cell r="T301" t="str">
            <v>000000000007954</v>
          </cell>
        </row>
        <row r="302">
          <cell r="D302">
            <v>45952</v>
          </cell>
          <cell r="E302" t="str">
            <v>25J16-01</v>
          </cell>
          <cell r="F302">
            <v>18</v>
          </cell>
          <cell r="G302">
            <v>887.88</v>
          </cell>
          <cell r="H302">
            <v>887.83</v>
          </cell>
          <cell r="K302">
            <v>0</v>
          </cell>
          <cell r="O302">
            <v>4</v>
          </cell>
          <cell r="T302" t="str">
            <v>000000000007954</v>
          </cell>
        </row>
        <row r="303">
          <cell r="G303" t="str">
            <v/>
          </cell>
          <cell r="K303">
            <v>0</v>
          </cell>
          <cell r="O303">
            <v>7</v>
          </cell>
          <cell r="T303" t="str">
            <v>000000000007954</v>
          </cell>
        </row>
        <row r="304">
          <cell r="G304" t="str">
            <v/>
          </cell>
          <cell r="K304">
            <v>0</v>
          </cell>
          <cell r="L304" t="str">
            <v>旧品加工</v>
          </cell>
          <cell r="M304">
            <v>5</v>
          </cell>
          <cell r="O304">
            <v>1</v>
          </cell>
          <cell r="T304" t="str">
            <v>000000000007954</v>
          </cell>
        </row>
        <row r="305">
          <cell r="G305" t="str">
            <v/>
          </cell>
          <cell r="K305">
            <v>0</v>
          </cell>
          <cell r="L305" t="str">
            <v>持出端材</v>
          </cell>
          <cell r="O305" t="str">
            <v>C/M</v>
          </cell>
          <cell r="T305" t="str">
            <v>000000000007954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1</v>
          </cell>
          <cell r="O306" t="str">
            <v>T/U</v>
          </cell>
          <cell r="P306">
            <v>7</v>
          </cell>
          <cell r="T306" t="str">
            <v>000000000007954</v>
          </cell>
        </row>
        <row r="307">
          <cell r="I307">
            <v>0</v>
          </cell>
          <cell r="J307">
            <v>0</v>
          </cell>
          <cell r="K307">
            <v>0</v>
          </cell>
          <cell r="L307">
            <v>45953</v>
          </cell>
          <cell r="M307">
            <v>2</v>
          </cell>
          <cell r="O307">
            <v>45953</v>
          </cell>
          <cell r="T307" t="str">
            <v>000000000007953</v>
          </cell>
        </row>
        <row r="308">
          <cell r="D308">
            <v>45952</v>
          </cell>
          <cell r="E308" t="str">
            <v>25J16-01</v>
          </cell>
          <cell r="F308">
            <v>20</v>
          </cell>
          <cell r="G308">
            <v>888</v>
          </cell>
          <cell r="H308">
            <v>887.83</v>
          </cell>
          <cell r="I308" t="str">
            <v>25J16-01</v>
          </cell>
          <cell r="J308">
            <v>200</v>
          </cell>
          <cell r="K308">
            <v>100</v>
          </cell>
          <cell r="O308">
            <v>200</v>
          </cell>
          <cell r="T308" t="str">
            <v>000000000007953</v>
          </cell>
        </row>
        <row r="309">
          <cell r="D309">
            <v>45952</v>
          </cell>
          <cell r="E309" t="str">
            <v>25J16-01</v>
          </cell>
          <cell r="F309">
            <v>20</v>
          </cell>
          <cell r="G309">
            <v>888</v>
          </cell>
          <cell r="H309">
            <v>887.96</v>
          </cell>
          <cell r="K309">
            <v>0</v>
          </cell>
          <cell r="O309">
            <v>100</v>
          </cell>
          <cell r="T309" t="str">
            <v>000000000007953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000000000007953</v>
          </cell>
        </row>
        <row r="311">
          <cell r="G311" t="str">
            <v/>
          </cell>
          <cell r="K311">
            <v>0</v>
          </cell>
          <cell r="O311">
            <v>0</v>
          </cell>
          <cell r="T311" t="str">
            <v>000000000007953</v>
          </cell>
        </row>
        <row r="312"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000000000007953</v>
          </cell>
        </row>
        <row r="313">
          <cell r="G313" t="str">
            <v/>
          </cell>
          <cell r="K313">
            <v>0</v>
          </cell>
          <cell r="L313" t="str">
            <v>持出端材</v>
          </cell>
          <cell r="O313" t="str">
            <v>C</v>
          </cell>
          <cell r="T313" t="str">
            <v>000000000007953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O314" t="str">
            <v>T</v>
          </cell>
          <cell r="P314">
            <v>0</v>
          </cell>
          <cell r="T314" t="str">
            <v>000000000007953</v>
          </cell>
        </row>
        <row r="315">
          <cell r="D315">
            <v>45937</v>
          </cell>
          <cell r="E315" t="str">
            <v>25I26-14</v>
          </cell>
          <cell r="I315" t="str">
            <v>25I26-14</v>
          </cell>
          <cell r="J315">
            <v>6</v>
          </cell>
          <cell r="K315">
            <v>2</v>
          </cell>
          <cell r="L315">
            <v>45953</v>
          </cell>
          <cell r="M315">
            <v>3</v>
          </cell>
          <cell r="O315">
            <v>45953</v>
          </cell>
          <cell r="P315">
            <v>1</v>
          </cell>
          <cell r="T315" t="str">
            <v>000000000007952</v>
          </cell>
        </row>
        <row r="316">
          <cell r="D316">
            <v>45952</v>
          </cell>
          <cell r="E316" t="str">
            <v>25J16-01</v>
          </cell>
          <cell r="F316">
            <v>20</v>
          </cell>
          <cell r="G316">
            <v>592</v>
          </cell>
          <cell r="H316">
            <v>591.72</v>
          </cell>
          <cell r="I316" t="str">
            <v>25J16-01</v>
          </cell>
          <cell r="J316">
            <v>291</v>
          </cell>
          <cell r="K316">
            <v>97</v>
          </cell>
          <cell r="O316">
            <v>300</v>
          </cell>
          <cell r="T316" t="str">
            <v>000000000007952</v>
          </cell>
        </row>
        <row r="317">
          <cell r="D317">
            <v>45952</v>
          </cell>
          <cell r="E317" t="str">
            <v>25J16-01</v>
          </cell>
          <cell r="F317">
            <v>20</v>
          </cell>
          <cell r="G317">
            <v>592</v>
          </cell>
          <cell r="H317">
            <v>591.78</v>
          </cell>
          <cell r="K317">
            <v>0</v>
          </cell>
          <cell r="O317">
            <v>99</v>
          </cell>
          <cell r="T317" t="str">
            <v>000000000007952</v>
          </cell>
        </row>
        <row r="318">
          <cell r="G318" t="str">
            <v/>
          </cell>
          <cell r="K318">
            <v>0</v>
          </cell>
          <cell r="O318">
            <v>1</v>
          </cell>
          <cell r="T318" t="str">
            <v>000000000007952</v>
          </cell>
        </row>
        <row r="319">
          <cell r="G319" t="str">
            <v/>
          </cell>
          <cell r="K319">
            <v>0</v>
          </cell>
          <cell r="O319">
            <v>1</v>
          </cell>
          <cell r="T319" t="str">
            <v>000000000007952</v>
          </cell>
        </row>
        <row r="320">
          <cell r="G320" t="str">
            <v/>
          </cell>
          <cell r="K320">
            <v>0</v>
          </cell>
          <cell r="L320" t="str">
            <v>旧品加工</v>
          </cell>
          <cell r="M320">
            <v>8</v>
          </cell>
          <cell r="O320">
            <v>2</v>
          </cell>
          <cell r="T320" t="str">
            <v>000000000007952</v>
          </cell>
        </row>
        <row r="321">
          <cell r="G321" t="str">
            <v/>
          </cell>
          <cell r="K321">
            <v>0</v>
          </cell>
          <cell r="L321" t="str">
            <v>持出端材</v>
          </cell>
          <cell r="O321" t="str">
            <v>C</v>
          </cell>
          <cell r="T321" t="str">
            <v>000000000007952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2</v>
          </cell>
          <cell r="O322" t="str">
            <v>T</v>
          </cell>
          <cell r="P322">
            <v>1</v>
          </cell>
          <cell r="T322" t="str">
            <v>000000000007952</v>
          </cell>
        </row>
        <row r="323">
          <cell r="D323">
            <v>45937</v>
          </cell>
          <cell r="E323" t="str">
            <v>25I24-12</v>
          </cell>
          <cell r="I323" t="str">
            <v>25I24-12</v>
          </cell>
          <cell r="J323">
            <v>0</v>
          </cell>
          <cell r="K323">
            <v>0</v>
          </cell>
          <cell r="L323">
            <v>45953</v>
          </cell>
          <cell r="M323">
            <v>4</v>
          </cell>
          <cell r="O323">
            <v>45953</v>
          </cell>
          <cell r="T323" t="str">
            <v>000000000007951</v>
          </cell>
        </row>
        <row r="324">
          <cell r="D324">
            <v>45952</v>
          </cell>
          <cell r="E324" t="str">
            <v>25J16-01</v>
          </cell>
          <cell r="G324" t="str">
            <v/>
          </cell>
          <cell r="I324" t="str">
            <v>25J16-01</v>
          </cell>
          <cell r="J324">
            <v>288</v>
          </cell>
          <cell r="K324">
            <v>48</v>
          </cell>
          <cell r="O324">
            <v>400</v>
          </cell>
          <cell r="T324" t="str">
            <v>000000000007951</v>
          </cell>
        </row>
        <row r="325">
          <cell r="D325">
            <v>45952</v>
          </cell>
          <cell r="E325" t="str">
            <v>25I26-15</v>
          </cell>
          <cell r="G325" t="str">
            <v/>
          </cell>
          <cell r="I325" t="str">
            <v>25I26-15</v>
          </cell>
          <cell r="J325">
            <v>34</v>
          </cell>
          <cell r="K325">
            <v>6</v>
          </cell>
          <cell r="O325">
            <v>54</v>
          </cell>
          <cell r="T325" t="str">
            <v>000000000007951</v>
          </cell>
        </row>
        <row r="326">
          <cell r="G326" t="str">
            <v/>
          </cell>
          <cell r="K326">
            <v>0</v>
          </cell>
          <cell r="O326">
            <v>1</v>
          </cell>
          <cell r="T326" t="str">
            <v>000000000007951</v>
          </cell>
        </row>
        <row r="327">
          <cell r="G327" t="str">
            <v/>
          </cell>
          <cell r="K327">
            <v>0</v>
          </cell>
          <cell r="O327">
            <v>1</v>
          </cell>
          <cell r="T327" t="str">
            <v>000000000007951</v>
          </cell>
        </row>
        <row r="328">
          <cell r="G328" t="str">
            <v/>
          </cell>
          <cell r="K328">
            <v>0</v>
          </cell>
          <cell r="L328" t="str">
            <v>旧品加工</v>
          </cell>
          <cell r="M328">
            <v>5</v>
          </cell>
          <cell r="O328">
            <v>74</v>
          </cell>
          <cell r="T328" t="str">
            <v>000000000007951</v>
          </cell>
        </row>
        <row r="329">
          <cell r="G329" t="str">
            <v/>
          </cell>
          <cell r="K329">
            <v>0</v>
          </cell>
          <cell r="L329" t="str">
            <v>持出端材</v>
          </cell>
          <cell r="M329">
            <v>69</v>
          </cell>
          <cell r="O329" t="str">
            <v>C</v>
          </cell>
          <cell r="P329">
            <v>1</v>
          </cell>
          <cell r="T329" t="str">
            <v>000000000007951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5</v>
          </cell>
          <cell r="O330" t="str">
            <v>T</v>
          </cell>
          <cell r="P330">
            <v>1</v>
          </cell>
          <cell r="T330" t="str">
            <v>000000000007951</v>
          </cell>
        </row>
        <row r="331">
          <cell r="D331">
            <v>45951</v>
          </cell>
          <cell r="E331" t="str">
            <v>25J13-01</v>
          </cell>
          <cell r="I331" t="str">
            <v>25J13-01</v>
          </cell>
          <cell r="J331">
            <v>14</v>
          </cell>
          <cell r="K331">
            <v>14</v>
          </cell>
          <cell r="L331">
            <v>45953</v>
          </cell>
          <cell r="M331">
            <v>5</v>
          </cell>
          <cell r="O331">
            <v>45953</v>
          </cell>
          <cell r="P331">
            <v>1</v>
          </cell>
          <cell r="T331" t="str">
            <v>000000000008268</v>
          </cell>
        </row>
        <row r="332">
          <cell r="D332">
            <v>45952</v>
          </cell>
          <cell r="E332" t="str">
            <v>25J14-02</v>
          </cell>
          <cell r="F332">
            <v>20</v>
          </cell>
          <cell r="G332">
            <v>1996</v>
          </cell>
          <cell r="H332">
            <v>1996.4</v>
          </cell>
          <cell r="I332" t="str">
            <v>25J14-02</v>
          </cell>
          <cell r="J332">
            <v>270</v>
          </cell>
          <cell r="K332">
            <v>270</v>
          </cell>
          <cell r="O332">
            <v>210</v>
          </cell>
          <cell r="P332">
            <v>73</v>
          </cell>
          <cell r="T332" t="str">
            <v>000000000008268</v>
          </cell>
        </row>
        <row r="333">
          <cell r="D333">
            <v>45952</v>
          </cell>
          <cell r="E333" t="str">
            <v>25J14-02</v>
          </cell>
          <cell r="F333">
            <v>20</v>
          </cell>
          <cell r="G333">
            <v>1996</v>
          </cell>
          <cell r="H333">
            <v>1996.5</v>
          </cell>
          <cell r="K333">
            <v>0</v>
          </cell>
          <cell r="O333">
            <v>284</v>
          </cell>
          <cell r="T333" t="str">
            <v>000000000008268</v>
          </cell>
        </row>
        <row r="334">
          <cell r="G334" t="str">
            <v/>
          </cell>
          <cell r="K334">
            <v>0</v>
          </cell>
          <cell r="O334">
            <v>74</v>
          </cell>
          <cell r="T334" t="str">
            <v>000000000008268</v>
          </cell>
        </row>
        <row r="335">
          <cell r="G335" t="str">
            <v/>
          </cell>
          <cell r="K335">
            <v>0</v>
          </cell>
          <cell r="O335">
            <v>74</v>
          </cell>
          <cell r="T335" t="str">
            <v>000000000008268</v>
          </cell>
        </row>
        <row r="336">
          <cell r="G336" t="str">
            <v/>
          </cell>
          <cell r="K336">
            <v>0</v>
          </cell>
          <cell r="L336" t="str">
            <v>旧品加工</v>
          </cell>
          <cell r="M336">
            <v>14</v>
          </cell>
          <cell r="O336">
            <v>0</v>
          </cell>
          <cell r="T336" t="str">
            <v>000000000008268</v>
          </cell>
        </row>
        <row r="337">
          <cell r="G337" t="str">
            <v/>
          </cell>
          <cell r="K337">
            <v>0</v>
          </cell>
          <cell r="L337" t="str">
            <v>持出端材</v>
          </cell>
          <cell r="O337" t="str">
            <v>M/C</v>
          </cell>
          <cell r="T337" t="str">
            <v>000000000008268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O338" t="str">
            <v>T/U</v>
          </cell>
          <cell r="P338">
            <v>74</v>
          </cell>
          <cell r="T338" t="str">
            <v>000000000008268</v>
          </cell>
        </row>
        <row r="339">
          <cell r="D339">
            <v>45952</v>
          </cell>
          <cell r="E339" t="str">
            <v>25J14-02</v>
          </cell>
          <cell r="I339" t="str">
            <v>25J14-02</v>
          </cell>
          <cell r="J339">
            <v>30</v>
          </cell>
          <cell r="K339">
            <v>30</v>
          </cell>
          <cell r="L339">
            <v>45954</v>
          </cell>
          <cell r="M339">
            <v>7</v>
          </cell>
          <cell r="O339">
            <v>45954</v>
          </cell>
          <cell r="P339">
            <v>1</v>
          </cell>
          <cell r="T339" t="str">
            <v>000000000008269</v>
          </cell>
        </row>
        <row r="340">
          <cell r="D340">
            <v>45953</v>
          </cell>
          <cell r="E340" t="str">
            <v>25J14-03</v>
          </cell>
          <cell r="F340">
            <v>20</v>
          </cell>
          <cell r="G340">
            <v>1996</v>
          </cell>
          <cell r="H340">
            <v>1996.8</v>
          </cell>
          <cell r="I340" t="str">
            <v>25J14-03</v>
          </cell>
          <cell r="J340">
            <v>296</v>
          </cell>
          <cell r="K340">
            <v>296</v>
          </cell>
          <cell r="O340">
            <v>294</v>
          </cell>
          <cell r="P340">
            <v>31</v>
          </cell>
          <cell r="T340" t="str">
            <v>000000000008269</v>
          </cell>
        </row>
        <row r="341">
          <cell r="D341">
            <v>45953</v>
          </cell>
          <cell r="E341" t="str">
            <v>25J14-03</v>
          </cell>
          <cell r="F341">
            <v>22</v>
          </cell>
          <cell r="G341">
            <v>1996.26</v>
          </cell>
          <cell r="H341">
            <v>1997.4</v>
          </cell>
          <cell r="K341">
            <v>0</v>
          </cell>
          <cell r="O341">
            <v>326</v>
          </cell>
          <cell r="T341" t="str">
            <v>000000000008269</v>
          </cell>
        </row>
        <row r="342">
          <cell r="G342" t="str">
            <v/>
          </cell>
          <cell r="K342">
            <v>0</v>
          </cell>
          <cell r="O342">
            <v>32</v>
          </cell>
          <cell r="T342" t="str">
            <v>000000000008269</v>
          </cell>
        </row>
        <row r="343">
          <cell r="G343" t="str">
            <v/>
          </cell>
          <cell r="K343">
            <v>0</v>
          </cell>
          <cell r="O343">
            <v>32</v>
          </cell>
          <cell r="T343" t="str">
            <v>000000000008269</v>
          </cell>
        </row>
        <row r="344">
          <cell r="G344" t="str">
            <v/>
          </cell>
          <cell r="K344">
            <v>0</v>
          </cell>
          <cell r="L344" t="str">
            <v>旧品加工</v>
          </cell>
          <cell r="M344">
            <v>30</v>
          </cell>
          <cell r="O344">
            <v>0</v>
          </cell>
          <cell r="T344" t="str">
            <v>000000000008269</v>
          </cell>
        </row>
        <row r="345">
          <cell r="G345" t="str">
            <v/>
          </cell>
          <cell r="K345">
            <v>0</v>
          </cell>
          <cell r="L345" t="str">
            <v>持出端材</v>
          </cell>
          <cell r="O345" t="str">
            <v>M/C</v>
          </cell>
          <cell r="T345" t="str">
            <v>000000000008269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O346" t="str">
            <v>T</v>
          </cell>
          <cell r="P346">
            <v>32</v>
          </cell>
          <cell r="T346" t="str">
            <v>000000000008269</v>
          </cell>
        </row>
        <row r="347">
          <cell r="D347">
            <v>45939</v>
          </cell>
          <cell r="E347" t="str">
            <v>25I26-01</v>
          </cell>
          <cell r="I347" t="str">
            <v>25I26-01</v>
          </cell>
          <cell r="J347">
            <v>2</v>
          </cell>
          <cell r="K347">
            <v>2</v>
          </cell>
          <cell r="L347">
            <v>45954</v>
          </cell>
          <cell r="M347">
            <v>8</v>
          </cell>
          <cell r="O347">
            <v>45954</v>
          </cell>
          <cell r="P347">
            <v>25</v>
          </cell>
          <cell r="T347" t="str">
            <v>000000000008226</v>
          </cell>
        </row>
        <row r="348">
          <cell r="D348">
            <v>45954</v>
          </cell>
          <cell r="E348" t="str">
            <v>25J02-01</v>
          </cell>
          <cell r="G348" t="str">
            <v/>
          </cell>
          <cell r="I348" t="str">
            <v>25J02-01</v>
          </cell>
          <cell r="J348">
            <v>191</v>
          </cell>
          <cell r="K348">
            <v>191</v>
          </cell>
          <cell r="O348">
            <v>152</v>
          </cell>
          <cell r="P348">
            <v>16</v>
          </cell>
          <cell r="T348" t="str">
            <v>000000000008226</v>
          </cell>
        </row>
        <row r="349">
          <cell r="G349" t="str">
            <v/>
          </cell>
          <cell r="I349" t="str">
            <v>黒部不良　24本</v>
          </cell>
          <cell r="K349">
            <v>0</v>
          </cell>
          <cell r="O349">
            <v>193</v>
          </cell>
          <cell r="T349" t="str">
            <v>000000000008226</v>
          </cell>
        </row>
        <row r="350">
          <cell r="G350" t="str">
            <v/>
          </cell>
          <cell r="K350">
            <v>0</v>
          </cell>
          <cell r="O350">
            <v>41</v>
          </cell>
          <cell r="T350" t="str">
            <v>000000000008226</v>
          </cell>
        </row>
        <row r="351">
          <cell r="G351" t="str">
            <v/>
          </cell>
          <cell r="K351">
            <v>0</v>
          </cell>
          <cell r="O351">
            <v>41</v>
          </cell>
          <cell r="T351" t="str">
            <v>000000000008226</v>
          </cell>
        </row>
        <row r="352">
          <cell r="G352" t="str">
            <v/>
          </cell>
          <cell r="K352">
            <v>0</v>
          </cell>
          <cell r="L352" t="str">
            <v>旧品加工</v>
          </cell>
          <cell r="M352">
            <v>2</v>
          </cell>
          <cell r="O352">
            <v>0</v>
          </cell>
          <cell r="T352" t="str">
            <v>000000000008226</v>
          </cell>
        </row>
        <row r="353">
          <cell r="G353" t="str">
            <v/>
          </cell>
          <cell r="K353">
            <v>0</v>
          </cell>
          <cell r="L353" t="str">
            <v>持出端材</v>
          </cell>
          <cell r="O353" t="str">
            <v>-</v>
          </cell>
          <cell r="T353" t="str">
            <v>000000000008226</v>
          </cell>
        </row>
        <row r="354">
          <cell r="E354" t="str">
            <v>黒部不良　24本</v>
          </cell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O354" t="str">
            <v>T/C</v>
          </cell>
          <cell r="P354">
            <v>41</v>
          </cell>
          <cell r="T354" t="str">
            <v>000000000008226</v>
          </cell>
        </row>
        <row r="355">
          <cell r="I355">
            <v>0</v>
          </cell>
          <cell r="J355">
            <v>0</v>
          </cell>
          <cell r="K355">
            <v>0</v>
          </cell>
          <cell r="L355">
            <v>45957</v>
          </cell>
          <cell r="M355">
            <v>9</v>
          </cell>
          <cell r="O355">
            <v>45957</v>
          </cell>
          <cell r="P355">
            <v>7</v>
          </cell>
          <cell r="T355" t="str">
            <v>000000000007424</v>
          </cell>
        </row>
        <row r="356">
          <cell r="D356">
            <v>45957</v>
          </cell>
          <cell r="E356" t="str">
            <v>25J23-01</v>
          </cell>
          <cell r="G356" t="str">
            <v/>
          </cell>
          <cell r="I356" t="str">
            <v>25J23-01</v>
          </cell>
          <cell r="J356">
            <v>187</v>
          </cell>
          <cell r="K356">
            <v>187</v>
          </cell>
          <cell r="O356">
            <v>144</v>
          </cell>
          <cell r="P356">
            <v>35</v>
          </cell>
          <cell r="T356" t="str">
            <v>000000000007424</v>
          </cell>
        </row>
        <row r="357">
          <cell r="G357" t="str">
            <v/>
          </cell>
          <cell r="K357">
            <v>0</v>
          </cell>
          <cell r="O357">
            <v>187</v>
          </cell>
          <cell r="P357">
            <v>1</v>
          </cell>
          <cell r="T357" t="str">
            <v>000000000007424</v>
          </cell>
        </row>
        <row r="358">
          <cell r="G358" t="str">
            <v/>
          </cell>
          <cell r="K358">
            <v>0</v>
          </cell>
          <cell r="O358">
            <v>43</v>
          </cell>
          <cell r="T358" t="str">
            <v>000000000007424</v>
          </cell>
        </row>
        <row r="359">
          <cell r="G359" t="str">
            <v/>
          </cell>
          <cell r="K359">
            <v>0</v>
          </cell>
          <cell r="O359">
            <v>43</v>
          </cell>
          <cell r="T359" t="str">
            <v>000000000007424</v>
          </cell>
        </row>
        <row r="360"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000000000007424</v>
          </cell>
        </row>
        <row r="361">
          <cell r="G361" t="str">
            <v/>
          </cell>
          <cell r="K361">
            <v>0</v>
          </cell>
          <cell r="L361" t="str">
            <v>持出端材</v>
          </cell>
          <cell r="O361" t="str">
            <v>-</v>
          </cell>
          <cell r="T361" t="str">
            <v>000000000007424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O362" t="str">
            <v>C</v>
          </cell>
          <cell r="P362">
            <v>43</v>
          </cell>
          <cell r="T362" t="str">
            <v>000000000007424</v>
          </cell>
        </row>
        <row r="363">
          <cell r="D363">
            <v>45953</v>
          </cell>
          <cell r="E363" t="str">
            <v>25J16-01</v>
          </cell>
          <cell r="I363" t="str">
            <v>25J16-01</v>
          </cell>
          <cell r="J363">
            <v>2</v>
          </cell>
          <cell r="K363">
            <v>1</v>
          </cell>
          <cell r="L363">
            <v>45957</v>
          </cell>
          <cell r="M363">
            <v>3</v>
          </cell>
          <cell r="O363">
            <v>45959</v>
          </cell>
          <cell r="P363">
            <v>9</v>
          </cell>
          <cell r="T363" t="str">
            <v>000000000007289</v>
          </cell>
        </row>
        <row r="364">
          <cell r="D364">
            <v>45954</v>
          </cell>
          <cell r="E364" t="str">
            <v>25I26-15</v>
          </cell>
          <cell r="F364">
            <v>20</v>
          </cell>
          <cell r="G364">
            <v>888</v>
          </cell>
          <cell r="H364">
            <v>888.26</v>
          </cell>
          <cell r="I364" t="str">
            <v>25I26-15</v>
          </cell>
          <cell r="J364">
            <v>84</v>
          </cell>
          <cell r="K364">
            <v>42</v>
          </cell>
          <cell r="L364">
            <v>45958</v>
          </cell>
          <cell r="M364">
            <v>14</v>
          </cell>
          <cell r="O364">
            <v>2000</v>
          </cell>
          <cell r="T364" t="str">
            <v>000000000007289</v>
          </cell>
        </row>
        <row r="365">
          <cell r="D365">
            <v>45954</v>
          </cell>
          <cell r="E365" t="str">
            <v>25J16-02</v>
          </cell>
          <cell r="F365">
            <v>20</v>
          </cell>
          <cell r="G365">
            <v>888</v>
          </cell>
          <cell r="H365">
            <v>888.05</v>
          </cell>
          <cell r="I365" t="str">
            <v>25J16-02</v>
          </cell>
          <cell r="J365">
            <v>1600</v>
          </cell>
          <cell r="K365">
            <v>800</v>
          </cell>
          <cell r="L365">
            <v>45959</v>
          </cell>
          <cell r="M365">
            <v>3</v>
          </cell>
          <cell r="O365">
            <v>1005</v>
          </cell>
          <cell r="T365" t="str">
            <v>000000000007289</v>
          </cell>
        </row>
        <row r="366">
          <cell r="D366">
            <v>45957</v>
          </cell>
          <cell r="E366" t="str">
            <v>25J16-02</v>
          </cell>
          <cell r="F366">
            <v>20</v>
          </cell>
          <cell r="G366">
            <v>888</v>
          </cell>
          <cell r="H366">
            <v>888.14</v>
          </cell>
          <cell r="I366" t="str">
            <v>25J17-03</v>
          </cell>
          <cell r="J366">
            <v>324</v>
          </cell>
          <cell r="K366">
            <v>162</v>
          </cell>
          <cell r="O366">
            <v>5</v>
          </cell>
          <cell r="T366" t="str">
            <v>000000000007289</v>
          </cell>
        </row>
        <row r="367">
          <cell r="D367">
            <v>45957</v>
          </cell>
          <cell r="E367" t="str">
            <v>25J16-02</v>
          </cell>
          <cell r="F367">
            <v>20</v>
          </cell>
          <cell r="G367">
            <v>888</v>
          </cell>
          <cell r="H367">
            <v>888.1</v>
          </cell>
          <cell r="K367">
            <v>0</v>
          </cell>
          <cell r="O367">
            <v>10</v>
          </cell>
          <cell r="T367" t="str">
            <v>000000000007289</v>
          </cell>
        </row>
        <row r="368">
          <cell r="D368">
            <v>45957</v>
          </cell>
          <cell r="E368" t="str">
            <v>25J16-02</v>
          </cell>
          <cell r="F368">
            <v>20</v>
          </cell>
          <cell r="G368">
            <v>888</v>
          </cell>
          <cell r="H368">
            <v>888.17</v>
          </cell>
          <cell r="K368">
            <v>0</v>
          </cell>
          <cell r="L368" t="str">
            <v>旧品加工</v>
          </cell>
          <cell r="M368">
            <v>2</v>
          </cell>
          <cell r="O368">
            <v>0</v>
          </cell>
          <cell r="T368" t="str">
            <v>000000000007289</v>
          </cell>
        </row>
        <row r="369">
          <cell r="D369">
            <v>45957</v>
          </cell>
          <cell r="E369" t="str">
            <v>25J16-02</v>
          </cell>
          <cell r="F369">
            <v>22</v>
          </cell>
          <cell r="G369">
            <v>888.12</v>
          </cell>
          <cell r="H369">
            <v>888.2</v>
          </cell>
          <cell r="K369">
            <v>0</v>
          </cell>
          <cell r="L369" t="str">
            <v>持出端材</v>
          </cell>
          <cell r="O369" t="str">
            <v>C/M</v>
          </cell>
          <cell r="P369">
            <v>1</v>
          </cell>
          <cell r="T369" t="str">
            <v>000000000007289</v>
          </cell>
        </row>
        <row r="370">
          <cell r="D370">
            <v>45958</v>
          </cell>
          <cell r="E370" t="str">
            <v>25J17-03</v>
          </cell>
          <cell r="F370">
            <v>22</v>
          </cell>
          <cell r="G370">
            <v>888.12</v>
          </cell>
          <cell r="H370">
            <v>888.19</v>
          </cell>
          <cell r="K370">
            <v>0</v>
          </cell>
          <cell r="L370" t="str">
            <v>α端材</v>
          </cell>
          <cell r="M370">
            <v>0</v>
          </cell>
          <cell r="O370" t="str">
            <v>T/U</v>
          </cell>
          <cell r="P370">
            <v>10</v>
          </cell>
          <cell r="T370" t="str">
            <v>000000000007289</v>
          </cell>
        </row>
        <row r="371">
          <cell r="I371">
            <v>0</v>
          </cell>
          <cell r="J371">
            <v>0</v>
          </cell>
          <cell r="K371">
            <v>0</v>
          </cell>
          <cell r="L371">
            <v>45959</v>
          </cell>
          <cell r="M371">
            <v>1</v>
          </cell>
          <cell r="O371">
            <v>45959</v>
          </cell>
          <cell r="T371" t="str">
            <v>000000000008804</v>
          </cell>
        </row>
        <row r="372">
          <cell r="D372">
            <v>45959</v>
          </cell>
          <cell r="E372" t="str">
            <v>21L09B ③</v>
          </cell>
          <cell r="G372">
            <v>2574</v>
          </cell>
          <cell r="H372">
            <v>2574.5</v>
          </cell>
          <cell r="I372" t="str">
            <v>21L09B ③</v>
          </cell>
          <cell r="J372">
            <v>100</v>
          </cell>
          <cell r="K372">
            <v>100</v>
          </cell>
          <cell r="O372">
            <v>100</v>
          </cell>
          <cell r="T372" t="str">
            <v>000000000008804</v>
          </cell>
        </row>
        <row r="373">
          <cell r="D373">
            <v>45959</v>
          </cell>
          <cell r="E373" t="str">
            <v>21L09B ③</v>
          </cell>
          <cell r="G373">
            <v>2574</v>
          </cell>
          <cell r="H373">
            <v>2573.9</v>
          </cell>
          <cell r="K373">
            <v>0</v>
          </cell>
          <cell r="O373">
            <v>100</v>
          </cell>
          <cell r="T373" t="str">
            <v>000000000008804</v>
          </cell>
        </row>
        <row r="374">
          <cell r="G374">
            <v>2574</v>
          </cell>
          <cell r="K374">
            <v>0</v>
          </cell>
          <cell r="O374">
            <v>0</v>
          </cell>
          <cell r="T374" t="str">
            <v>000000000008804</v>
          </cell>
        </row>
        <row r="375">
          <cell r="G375">
            <v>2574</v>
          </cell>
          <cell r="K375">
            <v>0</v>
          </cell>
          <cell r="O375">
            <v>0</v>
          </cell>
          <cell r="T375" t="str">
            <v>000000000008804</v>
          </cell>
        </row>
        <row r="376">
          <cell r="G376">
            <v>2574</v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000000000008804</v>
          </cell>
        </row>
        <row r="377">
          <cell r="G377">
            <v>2574</v>
          </cell>
          <cell r="K377">
            <v>0</v>
          </cell>
          <cell r="L377" t="str">
            <v>持出端材</v>
          </cell>
          <cell r="O377" t="str">
            <v>M</v>
          </cell>
          <cell r="T377" t="str">
            <v>000000000008804</v>
          </cell>
        </row>
        <row r="378">
          <cell r="G378">
            <v>2574</v>
          </cell>
          <cell r="K378">
            <v>0</v>
          </cell>
          <cell r="L378" t="str">
            <v>α端材</v>
          </cell>
          <cell r="M378">
            <v>0</v>
          </cell>
          <cell r="O378" t="str">
            <v>M</v>
          </cell>
          <cell r="P378">
            <v>0</v>
          </cell>
          <cell r="T378" t="str">
            <v>000000000008804</v>
          </cell>
        </row>
        <row r="379">
          <cell r="I379">
            <v>0</v>
          </cell>
          <cell r="J379">
            <v>0</v>
          </cell>
          <cell r="K379">
            <v>0</v>
          </cell>
          <cell r="O379">
            <v>0</v>
          </cell>
          <cell r="T379" t="str">
            <v>000000000007955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>
            <v>0</v>
          </cell>
          <cell r="T380" t="str">
            <v>000000000007955</v>
          </cell>
        </row>
        <row r="381">
          <cell r="G381" t="str">
            <v/>
          </cell>
          <cell r="K381">
            <v>0</v>
          </cell>
          <cell r="O381">
            <v>0</v>
          </cell>
          <cell r="T381" t="str">
            <v>000000000007955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000000000007955</v>
          </cell>
        </row>
        <row r="383">
          <cell r="G383" t="str">
            <v/>
          </cell>
          <cell r="K383">
            <v>0</v>
          </cell>
          <cell r="O383">
            <v>0</v>
          </cell>
          <cell r="T383" t="str">
            <v>000000000007955</v>
          </cell>
        </row>
        <row r="384">
          <cell r="G384" t="str">
            <v/>
          </cell>
          <cell r="K384">
            <v>0</v>
          </cell>
          <cell r="L384" t="str">
            <v>旧品加工</v>
          </cell>
          <cell r="O384">
            <v>0</v>
          </cell>
          <cell r="T384" t="str">
            <v>000000000007955</v>
          </cell>
        </row>
        <row r="385">
          <cell r="G385" t="str">
            <v/>
          </cell>
          <cell r="K385">
            <v>0</v>
          </cell>
          <cell r="L385" t="str">
            <v>持出端材</v>
          </cell>
          <cell r="T385" t="str">
            <v>000000000007955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>
            <v>0</v>
          </cell>
          <cell r="P386">
            <v>0</v>
          </cell>
          <cell r="T386" t="str">
            <v>000000000007955</v>
          </cell>
        </row>
        <row r="387">
          <cell r="I387">
            <v>0</v>
          </cell>
          <cell r="J387">
            <v>0</v>
          </cell>
          <cell r="K387">
            <v>0</v>
          </cell>
          <cell r="O387">
            <v>0</v>
          </cell>
          <cell r="T387" t="str">
            <v>000000000008361</v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>000000000008361</v>
          </cell>
        </row>
        <row r="389">
          <cell r="G389" t="str">
            <v/>
          </cell>
          <cell r="K389">
            <v>0</v>
          </cell>
          <cell r="O389">
            <v>0</v>
          </cell>
          <cell r="T389" t="str">
            <v>000000000008361</v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>000000000008361</v>
          </cell>
        </row>
        <row r="391">
          <cell r="G391" t="str">
            <v/>
          </cell>
          <cell r="K391">
            <v>0</v>
          </cell>
          <cell r="O391">
            <v>0</v>
          </cell>
          <cell r="T391" t="str">
            <v>000000000008361</v>
          </cell>
        </row>
        <row r="392">
          <cell r="G392" t="str">
            <v/>
          </cell>
          <cell r="K392">
            <v>0</v>
          </cell>
          <cell r="L392" t="str">
            <v>旧品加工</v>
          </cell>
          <cell r="O392">
            <v>0</v>
          </cell>
          <cell r="T392" t="str">
            <v>000000000008361</v>
          </cell>
        </row>
        <row r="393">
          <cell r="G393" t="str">
            <v/>
          </cell>
          <cell r="K393">
            <v>0</v>
          </cell>
          <cell r="L393" t="str">
            <v>持出端材</v>
          </cell>
          <cell r="T393" t="str">
            <v>000000000008361</v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M394">
            <v>0</v>
          </cell>
          <cell r="P394">
            <v>0</v>
          </cell>
          <cell r="T394" t="str">
            <v>000000000008361</v>
          </cell>
        </row>
        <row r="395">
          <cell r="I395">
            <v>0</v>
          </cell>
          <cell r="J395">
            <v>0</v>
          </cell>
          <cell r="K395">
            <v>0</v>
          </cell>
          <cell r="O395">
            <v>0</v>
          </cell>
          <cell r="T395" t="str">
            <v>000000000008360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000000000008360</v>
          </cell>
        </row>
        <row r="397">
          <cell r="G397" t="str">
            <v/>
          </cell>
          <cell r="K397">
            <v>0</v>
          </cell>
          <cell r="O397">
            <v>0</v>
          </cell>
          <cell r="T397" t="str">
            <v>000000000008360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000000000008360</v>
          </cell>
        </row>
        <row r="399">
          <cell r="G399" t="str">
            <v/>
          </cell>
          <cell r="K399">
            <v>0</v>
          </cell>
          <cell r="O399">
            <v>0</v>
          </cell>
          <cell r="T399" t="str">
            <v>000000000008360</v>
          </cell>
        </row>
        <row r="400">
          <cell r="G400" t="str">
            <v/>
          </cell>
          <cell r="K400">
            <v>0</v>
          </cell>
          <cell r="L400" t="str">
            <v>旧品加工</v>
          </cell>
          <cell r="O400">
            <v>0</v>
          </cell>
          <cell r="T400" t="str">
            <v>000000000008360</v>
          </cell>
        </row>
        <row r="401">
          <cell r="G401" t="str">
            <v/>
          </cell>
          <cell r="K401">
            <v>0</v>
          </cell>
          <cell r="L401" t="str">
            <v>持出端材</v>
          </cell>
          <cell r="T401" t="str">
            <v>000000000008360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M402">
            <v>0</v>
          </cell>
          <cell r="P402">
            <v>0</v>
          </cell>
          <cell r="T402" t="str">
            <v>000000000008360</v>
          </cell>
        </row>
        <row r="403">
          <cell r="I403">
            <v>0</v>
          </cell>
          <cell r="J403">
            <v>0</v>
          </cell>
          <cell r="K403">
            <v>0</v>
          </cell>
          <cell r="O403">
            <v>0</v>
          </cell>
          <cell r="T403" t="str">
            <v>000000000008357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000000000008357</v>
          </cell>
        </row>
        <row r="405">
          <cell r="G405" t="str">
            <v/>
          </cell>
          <cell r="K405">
            <v>0</v>
          </cell>
          <cell r="O405">
            <v>0</v>
          </cell>
          <cell r="T405" t="str">
            <v>000000000008357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000000000008357</v>
          </cell>
        </row>
        <row r="407">
          <cell r="G407" t="str">
            <v/>
          </cell>
          <cell r="K407">
            <v>0</v>
          </cell>
          <cell r="O407">
            <v>0</v>
          </cell>
          <cell r="T407" t="str">
            <v>000000000008357</v>
          </cell>
        </row>
        <row r="408">
          <cell r="G408" t="str">
            <v/>
          </cell>
          <cell r="K408">
            <v>0</v>
          </cell>
          <cell r="L408" t="str">
            <v>旧品加工</v>
          </cell>
          <cell r="O408">
            <v>0</v>
          </cell>
          <cell r="T408" t="str">
            <v>000000000008357</v>
          </cell>
        </row>
        <row r="409">
          <cell r="G409" t="str">
            <v/>
          </cell>
          <cell r="K409">
            <v>0</v>
          </cell>
          <cell r="L409" t="str">
            <v>持出端材</v>
          </cell>
          <cell r="T409" t="str">
            <v>000000000008357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M410">
            <v>0</v>
          </cell>
          <cell r="P410">
            <v>0</v>
          </cell>
          <cell r="T410" t="str">
            <v>000000000008357</v>
          </cell>
        </row>
        <row r="411">
          <cell r="I411">
            <v>0</v>
          </cell>
          <cell r="J411">
            <v>0</v>
          </cell>
          <cell r="K411">
            <v>0</v>
          </cell>
          <cell r="O411">
            <v>0</v>
          </cell>
          <cell r="T411" t="str">
            <v>000000000008354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000000000008354</v>
          </cell>
        </row>
        <row r="413">
          <cell r="G413" t="str">
            <v/>
          </cell>
          <cell r="K413">
            <v>0</v>
          </cell>
          <cell r="O413">
            <v>0</v>
          </cell>
          <cell r="T413" t="str">
            <v>000000000008354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000000000008354</v>
          </cell>
        </row>
        <row r="415">
          <cell r="G415" t="str">
            <v/>
          </cell>
          <cell r="K415">
            <v>0</v>
          </cell>
          <cell r="O415">
            <v>0</v>
          </cell>
          <cell r="T415" t="str">
            <v>000000000008354</v>
          </cell>
        </row>
        <row r="416">
          <cell r="G416" t="str">
            <v/>
          </cell>
          <cell r="K416">
            <v>0</v>
          </cell>
          <cell r="L416" t="str">
            <v>旧品加工</v>
          </cell>
          <cell r="O416">
            <v>0</v>
          </cell>
          <cell r="T416" t="str">
            <v>000000000008354</v>
          </cell>
        </row>
        <row r="417">
          <cell r="G417" t="str">
            <v/>
          </cell>
          <cell r="K417">
            <v>0</v>
          </cell>
          <cell r="L417" t="str">
            <v>持出端材</v>
          </cell>
          <cell r="T417" t="str">
            <v>000000000008354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M418">
            <v>0</v>
          </cell>
          <cell r="P418">
            <v>0</v>
          </cell>
          <cell r="T418" t="str">
            <v>000000000008354</v>
          </cell>
        </row>
        <row r="419">
          <cell r="I419">
            <v>0</v>
          </cell>
          <cell r="J419">
            <v>0</v>
          </cell>
          <cell r="K419">
            <v>0</v>
          </cell>
          <cell r="O419">
            <v>0</v>
          </cell>
          <cell r="T419" t="str">
            <v>000000000007926-2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000000000007926-2</v>
          </cell>
        </row>
        <row r="421">
          <cell r="G421" t="str">
            <v/>
          </cell>
          <cell r="K421">
            <v>0</v>
          </cell>
          <cell r="O421">
            <v>0</v>
          </cell>
          <cell r="T421" t="str">
            <v>000000000007926-2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000000000007926-2</v>
          </cell>
        </row>
        <row r="423">
          <cell r="G423" t="str">
            <v/>
          </cell>
          <cell r="K423">
            <v>0</v>
          </cell>
          <cell r="O423">
            <v>0</v>
          </cell>
          <cell r="T423" t="str">
            <v>000000000007926-2</v>
          </cell>
        </row>
        <row r="424">
          <cell r="G424" t="str">
            <v/>
          </cell>
          <cell r="K424">
            <v>0</v>
          </cell>
          <cell r="L424" t="str">
            <v>旧品加工</v>
          </cell>
          <cell r="O424">
            <v>0</v>
          </cell>
          <cell r="T424" t="str">
            <v>000000000007926-2</v>
          </cell>
        </row>
        <row r="425">
          <cell r="G425" t="str">
            <v/>
          </cell>
          <cell r="K425">
            <v>0</v>
          </cell>
          <cell r="L425" t="str">
            <v>持出端材</v>
          </cell>
          <cell r="T425" t="str">
            <v>000000000007926-2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M426">
            <v>0</v>
          </cell>
          <cell r="P426">
            <v>0</v>
          </cell>
          <cell r="T426" t="str">
            <v>000000000007926-2</v>
          </cell>
        </row>
        <row r="427">
          <cell r="I427">
            <v>0</v>
          </cell>
          <cell r="J427">
            <v>0</v>
          </cell>
          <cell r="K427">
            <v>0</v>
          </cell>
          <cell r="O427">
            <v>0</v>
          </cell>
          <cell r="T427" t="str">
            <v>000000000008710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000000000008710</v>
          </cell>
        </row>
        <row r="429">
          <cell r="G429" t="str">
            <v/>
          </cell>
          <cell r="K429">
            <v>0</v>
          </cell>
          <cell r="O429">
            <v>0</v>
          </cell>
          <cell r="T429" t="str">
            <v>000000000008710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000000000008710</v>
          </cell>
        </row>
        <row r="431">
          <cell r="G431" t="str">
            <v/>
          </cell>
          <cell r="K431">
            <v>0</v>
          </cell>
          <cell r="O431">
            <v>0</v>
          </cell>
          <cell r="T431" t="str">
            <v>000000000008710</v>
          </cell>
        </row>
        <row r="432">
          <cell r="G432" t="str">
            <v/>
          </cell>
          <cell r="K432">
            <v>0</v>
          </cell>
          <cell r="L432" t="str">
            <v>旧品加工</v>
          </cell>
          <cell r="O432">
            <v>0</v>
          </cell>
          <cell r="T432" t="str">
            <v>000000000008710</v>
          </cell>
        </row>
        <row r="433">
          <cell r="G433" t="str">
            <v/>
          </cell>
          <cell r="K433">
            <v>0</v>
          </cell>
          <cell r="L433" t="str">
            <v>持出端材</v>
          </cell>
          <cell r="T433" t="str">
            <v>000000000008710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M434">
            <v>0</v>
          </cell>
          <cell r="P434">
            <v>0</v>
          </cell>
          <cell r="T434" t="str">
            <v>000000000008710</v>
          </cell>
        </row>
        <row r="435">
          <cell r="I435">
            <v>0</v>
          </cell>
          <cell r="J435">
            <v>0</v>
          </cell>
          <cell r="K435">
            <v>0</v>
          </cell>
          <cell r="O435">
            <v>0</v>
          </cell>
          <cell r="T435" t="str">
            <v>000000000008709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000000000008709</v>
          </cell>
        </row>
        <row r="437">
          <cell r="G437" t="str">
            <v/>
          </cell>
          <cell r="K437">
            <v>0</v>
          </cell>
          <cell r="O437">
            <v>0</v>
          </cell>
          <cell r="T437" t="str">
            <v>000000000008709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000000000008709</v>
          </cell>
        </row>
        <row r="439">
          <cell r="G439" t="str">
            <v/>
          </cell>
          <cell r="K439">
            <v>0</v>
          </cell>
          <cell r="O439">
            <v>0</v>
          </cell>
          <cell r="T439" t="str">
            <v>000000000008709</v>
          </cell>
        </row>
        <row r="440">
          <cell r="G440" t="str">
            <v/>
          </cell>
          <cell r="K440">
            <v>0</v>
          </cell>
          <cell r="L440" t="str">
            <v>旧品加工</v>
          </cell>
          <cell r="O440">
            <v>0</v>
          </cell>
          <cell r="T440" t="str">
            <v>000000000008709</v>
          </cell>
        </row>
        <row r="441">
          <cell r="G441" t="str">
            <v/>
          </cell>
          <cell r="K441">
            <v>0</v>
          </cell>
          <cell r="L441" t="str">
            <v>持出端材</v>
          </cell>
          <cell r="T441" t="str">
            <v>000000000008709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M442">
            <v>0</v>
          </cell>
          <cell r="P442">
            <v>0</v>
          </cell>
          <cell r="T442" t="str">
            <v>000000000008709</v>
          </cell>
        </row>
        <row r="443">
          <cell r="I443">
            <v>0</v>
          </cell>
          <cell r="J443">
            <v>0</v>
          </cell>
          <cell r="K443">
            <v>0</v>
          </cell>
          <cell r="O443">
            <v>0</v>
          </cell>
          <cell r="T443" t="str">
            <v>000000000008853</v>
          </cell>
        </row>
        <row r="444">
          <cell r="G444" t="str">
            <v/>
          </cell>
          <cell r="I444" t="str">
            <v/>
          </cell>
          <cell r="K444">
            <v>0</v>
          </cell>
          <cell r="O444">
            <v>0</v>
          </cell>
          <cell r="T444" t="str">
            <v>000000000008853</v>
          </cell>
        </row>
        <row r="445">
          <cell r="G445" t="str">
            <v/>
          </cell>
          <cell r="K445">
            <v>0</v>
          </cell>
          <cell r="O445">
            <v>0</v>
          </cell>
          <cell r="T445" t="str">
            <v>000000000008853</v>
          </cell>
        </row>
        <row r="446">
          <cell r="G446" t="str">
            <v/>
          </cell>
          <cell r="K446">
            <v>0</v>
          </cell>
          <cell r="O446">
            <v>0</v>
          </cell>
          <cell r="T446" t="str">
            <v>000000000008853</v>
          </cell>
        </row>
        <row r="447">
          <cell r="G447" t="str">
            <v/>
          </cell>
          <cell r="K447">
            <v>0</v>
          </cell>
          <cell r="O447">
            <v>0</v>
          </cell>
          <cell r="T447" t="str">
            <v>000000000008853</v>
          </cell>
        </row>
        <row r="448">
          <cell r="G448" t="str">
            <v/>
          </cell>
          <cell r="K448">
            <v>0</v>
          </cell>
          <cell r="L448" t="str">
            <v>旧品加工</v>
          </cell>
          <cell r="O448">
            <v>0</v>
          </cell>
          <cell r="T448" t="str">
            <v>000000000008853</v>
          </cell>
        </row>
        <row r="449">
          <cell r="G449" t="str">
            <v/>
          </cell>
          <cell r="K449">
            <v>0</v>
          </cell>
          <cell r="L449" t="str">
            <v>持出端材</v>
          </cell>
          <cell r="T449" t="str">
            <v>000000000008853</v>
          </cell>
        </row>
        <row r="450">
          <cell r="G450" t="str">
            <v/>
          </cell>
          <cell r="K450">
            <v>0</v>
          </cell>
          <cell r="L450" t="str">
            <v>α端材</v>
          </cell>
          <cell r="M450">
            <v>0</v>
          </cell>
          <cell r="P450">
            <v>0</v>
          </cell>
          <cell r="T450" t="str">
            <v>000000000008853</v>
          </cell>
        </row>
        <row r="451">
          <cell r="I451">
            <v>0</v>
          </cell>
          <cell r="J451">
            <v>0</v>
          </cell>
          <cell r="K451">
            <v>0</v>
          </cell>
          <cell r="O451">
            <v>0</v>
          </cell>
          <cell r="T451" t="str">
            <v>000000000008362</v>
          </cell>
        </row>
        <row r="452">
          <cell r="G452" t="str">
            <v/>
          </cell>
          <cell r="I452" t="str">
            <v/>
          </cell>
          <cell r="K452">
            <v>0</v>
          </cell>
          <cell r="O452">
            <v>0</v>
          </cell>
          <cell r="T452" t="str">
            <v>000000000008362</v>
          </cell>
        </row>
        <row r="453">
          <cell r="G453" t="str">
            <v/>
          </cell>
          <cell r="K453">
            <v>0</v>
          </cell>
          <cell r="O453">
            <v>0</v>
          </cell>
          <cell r="T453" t="str">
            <v>000000000008362</v>
          </cell>
        </row>
        <row r="454">
          <cell r="G454" t="str">
            <v/>
          </cell>
          <cell r="K454">
            <v>0</v>
          </cell>
          <cell r="O454">
            <v>0</v>
          </cell>
          <cell r="T454" t="str">
            <v>000000000008362</v>
          </cell>
        </row>
        <row r="455">
          <cell r="G455" t="str">
            <v/>
          </cell>
          <cell r="K455">
            <v>0</v>
          </cell>
          <cell r="O455">
            <v>0</v>
          </cell>
          <cell r="T455" t="str">
            <v>000000000008362</v>
          </cell>
        </row>
        <row r="456">
          <cell r="G456" t="str">
            <v/>
          </cell>
          <cell r="K456">
            <v>0</v>
          </cell>
          <cell r="L456" t="str">
            <v>旧品加工</v>
          </cell>
          <cell r="O456">
            <v>0</v>
          </cell>
          <cell r="T456" t="str">
            <v>000000000008362</v>
          </cell>
        </row>
        <row r="457">
          <cell r="G457" t="str">
            <v/>
          </cell>
          <cell r="K457">
            <v>0</v>
          </cell>
          <cell r="L457" t="str">
            <v>持出端材</v>
          </cell>
          <cell r="T457" t="str">
            <v>000000000008362</v>
          </cell>
        </row>
        <row r="458">
          <cell r="G458" t="str">
            <v/>
          </cell>
          <cell r="K458">
            <v>0</v>
          </cell>
          <cell r="L458" t="str">
            <v>α端材</v>
          </cell>
          <cell r="M458">
            <v>0</v>
          </cell>
          <cell r="P458">
            <v>0</v>
          </cell>
          <cell r="T458" t="str">
            <v>000000000008362</v>
          </cell>
        </row>
        <row r="459">
          <cell r="I459">
            <v>0</v>
          </cell>
          <cell r="J459">
            <v>0</v>
          </cell>
          <cell r="K459">
            <v>0</v>
          </cell>
          <cell r="O459">
            <v>0</v>
          </cell>
          <cell r="T459" t="str">
            <v>000000000008364</v>
          </cell>
        </row>
        <row r="460">
          <cell r="G460" t="str">
            <v/>
          </cell>
          <cell r="I460" t="str">
            <v/>
          </cell>
          <cell r="K460">
            <v>0</v>
          </cell>
          <cell r="O460">
            <v>0</v>
          </cell>
          <cell r="T460" t="str">
            <v>000000000008364</v>
          </cell>
        </row>
        <row r="461">
          <cell r="G461" t="str">
            <v/>
          </cell>
          <cell r="K461">
            <v>0</v>
          </cell>
          <cell r="O461">
            <v>0</v>
          </cell>
          <cell r="T461" t="str">
            <v>000000000008364</v>
          </cell>
        </row>
        <row r="462">
          <cell r="G462" t="str">
            <v/>
          </cell>
          <cell r="K462">
            <v>0</v>
          </cell>
          <cell r="O462">
            <v>0</v>
          </cell>
          <cell r="T462" t="str">
            <v>000000000008364</v>
          </cell>
        </row>
        <row r="463">
          <cell r="G463" t="str">
            <v/>
          </cell>
          <cell r="K463">
            <v>0</v>
          </cell>
          <cell r="O463">
            <v>0</v>
          </cell>
          <cell r="T463" t="str">
            <v>000000000008364</v>
          </cell>
        </row>
        <row r="464">
          <cell r="G464" t="str">
            <v/>
          </cell>
          <cell r="K464">
            <v>0</v>
          </cell>
          <cell r="L464" t="str">
            <v>旧品加工</v>
          </cell>
          <cell r="O464">
            <v>0</v>
          </cell>
          <cell r="T464" t="str">
            <v>000000000008364</v>
          </cell>
        </row>
        <row r="465">
          <cell r="G465" t="str">
            <v/>
          </cell>
          <cell r="K465">
            <v>0</v>
          </cell>
          <cell r="L465" t="str">
            <v>持出端材</v>
          </cell>
          <cell r="T465" t="str">
            <v>000000000008364</v>
          </cell>
        </row>
        <row r="466">
          <cell r="G466" t="str">
            <v/>
          </cell>
          <cell r="K466">
            <v>0</v>
          </cell>
          <cell r="L466" t="str">
            <v>α端材</v>
          </cell>
          <cell r="M466">
            <v>0</v>
          </cell>
          <cell r="P466">
            <v>0</v>
          </cell>
          <cell r="T466" t="str">
            <v>000000000008364</v>
          </cell>
        </row>
        <row r="467">
          <cell r="I467">
            <v>0</v>
          </cell>
          <cell r="J467">
            <v>0</v>
          </cell>
          <cell r="K467">
            <v>0</v>
          </cell>
          <cell r="O467">
            <v>0</v>
          </cell>
          <cell r="T467" t="str">
            <v>000000000008803</v>
          </cell>
        </row>
        <row r="468">
          <cell r="G468" t="str">
            <v/>
          </cell>
          <cell r="I468" t="str">
            <v/>
          </cell>
          <cell r="K468">
            <v>0</v>
          </cell>
          <cell r="O468">
            <v>0</v>
          </cell>
          <cell r="T468" t="str">
            <v>000000000008803</v>
          </cell>
        </row>
        <row r="469">
          <cell r="G469" t="str">
            <v/>
          </cell>
          <cell r="K469">
            <v>0</v>
          </cell>
          <cell r="O469">
            <v>0</v>
          </cell>
          <cell r="T469" t="str">
            <v>000000000008803</v>
          </cell>
        </row>
        <row r="470">
          <cell r="G470" t="str">
            <v/>
          </cell>
          <cell r="K470">
            <v>0</v>
          </cell>
          <cell r="O470">
            <v>0</v>
          </cell>
          <cell r="T470" t="str">
            <v>000000000008803</v>
          </cell>
        </row>
        <row r="471">
          <cell r="G471" t="str">
            <v/>
          </cell>
          <cell r="K471">
            <v>0</v>
          </cell>
          <cell r="O471">
            <v>0</v>
          </cell>
          <cell r="T471" t="str">
            <v>000000000008803</v>
          </cell>
        </row>
        <row r="472">
          <cell r="G472" t="str">
            <v/>
          </cell>
          <cell r="K472">
            <v>0</v>
          </cell>
          <cell r="L472" t="str">
            <v>旧品加工</v>
          </cell>
          <cell r="O472">
            <v>0</v>
          </cell>
          <cell r="T472" t="str">
            <v>000000000008803</v>
          </cell>
        </row>
        <row r="473">
          <cell r="G473" t="str">
            <v/>
          </cell>
          <cell r="K473">
            <v>0</v>
          </cell>
          <cell r="L473" t="str">
            <v>持出端材</v>
          </cell>
          <cell r="T473" t="str">
            <v>000000000008803</v>
          </cell>
        </row>
        <row r="474">
          <cell r="G474" t="str">
            <v/>
          </cell>
          <cell r="K474">
            <v>0</v>
          </cell>
          <cell r="L474" t="str">
            <v>α端材</v>
          </cell>
          <cell r="M474">
            <v>0</v>
          </cell>
          <cell r="P474">
            <v>0</v>
          </cell>
          <cell r="T474" t="str">
            <v>000000000008803</v>
          </cell>
        </row>
        <row r="475">
          <cell r="I475">
            <v>0</v>
          </cell>
          <cell r="J475">
            <v>0</v>
          </cell>
          <cell r="K475">
            <v>0</v>
          </cell>
          <cell r="O475">
            <v>0</v>
          </cell>
          <cell r="T475" t="str">
            <v>000000000008355</v>
          </cell>
        </row>
        <row r="476">
          <cell r="G476" t="str">
            <v/>
          </cell>
          <cell r="I476" t="str">
            <v/>
          </cell>
          <cell r="K476">
            <v>0</v>
          </cell>
          <cell r="O476">
            <v>0</v>
          </cell>
          <cell r="T476" t="str">
            <v>000000000008355</v>
          </cell>
        </row>
        <row r="477">
          <cell r="G477" t="str">
            <v/>
          </cell>
          <cell r="K477">
            <v>0</v>
          </cell>
          <cell r="O477">
            <v>0</v>
          </cell>
          <cell r="T477" t="str">
            <v>000000000008355</v>
          </cell>
        </row>
        <row r="478">
          <cell r="G478" t="str">
            <v/>
          </cell>
          <cell r="K478">
            <v>0</v>
          </cell>
          <cell r="O478">
            <v>0</v>
          </cell>
          <cell r="T478" t="str">
            <v>000000000008355</v>
          </cell>
        </row>
        <row r="479">
          <cell r="G479" t="str">
            <v/>
          </cell>
          <cell r="K479">
            <v>0</v>
          </cell>
          <cell r="O479">
            <v>0</v>
          </cell>
          <cell r="T479" t="str">
            <v>000000000008355</v>
          </cell>
        </row>
        <row r="480">
          <cell r="G480" t="str">
            <v/>
          </cell>
          <cell r="K480">
            <v>0</v>
          </cell>
          <cell r="L480" t="str">
            <v>旧品加工</v>
          </cell>
          <cell r="O480">
            <v>0</v>
          </cell>
          <cell r="T480" t="str">
            <v>000000000008355</v>
          </cell>
        </row>
        <row r="481">
          <cell r="G481" t="str">
            <v/>
          </cell>
          <cell r="K481">
            <v>0</v>
          </cell>
          <cell r="L481" t="str">
            <v>持出端材</v>
          </cell>
          <cell r="T481" t="str">
            <v>000000000008355</v>
          </cell>
        </row>
        <row r="482">
          <cell r="G482" t="str">
            <v/>
          </cell>
          <cell r="K482">
            <v>0</v>
          </cell>
          <cell r="L482" t="str">
            <v>α端材</v>
          </cell>
          <cell r="M482">
            <v>0</v>
          </cell>
          <cell r="P482">
            <v>0</v>
          </cell>
          <cell r="T482" t="str">
            <v>000000000008355</v>
          </cell>
        </row>
        <row r="483">
          <cell r="I483">
            <v>0</v>
          </cell>
          <cell r="J483">
            <v>0</v>
          </cell>
          <cell r="K483">
            <v>0</v>
          </cell>
          <cell r="O483">
            <v>0</v>
          </cell>
          <cell r="T483" t="str">
            <v>000000000008356</v>
          </cell>
        </row>
        <row r="484">
          <cell r="G484" t="str">
            <v/>
          </cell>
          <cell r="I484" t="str">
            <v/>
          </cell>
          <cell r="K484">
            <v>0</v>
          </cell>
          <cell r="O484">
            <v>0</v>
          </cell>
          <cell r="T484" t="str">
            <v>000000000008356</v>
          </cell>
        </row>
        <row r="485">
          <cell r="G485" t="str">
            <v/>
          </cell>
          <cell r="K485">
            <v>0</v>
          </cell>
          <cell r="O485">
            <v>0</v>
          </cell>
          <cell r="T485" t="str">
            <v>000000000008356</v>
          </cell>
        </row>
        <row r="486">
          <cell r="G486" t="str">
            <v/>
          </cell>
          <cell r="K486">
            <v>0</v>
          </cell>
          <cell r="O486">
            <v>0</v>
          </cell>
          <cell r="T486" t="str">
            <v>000000000008356</v>
          </cell>
        </row>
        <row r="487">
          <cell r="G487" t="str">
            <v/>
          </cell>
          <cell r="K487">
            <v>0</v>
          </cell>
          <cell r="O487">
            <v>0</v>
          </cell>
          <cell r="T487" t="str">
            <v>000000000008356</v>
          </cell>
        </row>
        <row r="488">
          <cell r="G488" t="str">
            <v/>
          </cell>
          <cell r="K488">
            <v>0</v>
          </cell>
          <cell r="L488" t="str">
            <v>旧品加工</v>
          </cell>
          <cell r="O488">
            <v>0</v>
          </cell>
          <cell r="T488" t="str">
            <v>000000000008356</v>
          </cell>
        </row>
        <row r="489">
          <cell r="G489" t="str">
            <v/>
          </cell>
          <cell r="K489">
            <v>0</v>
          </cell>
          <cell r="L489" t="str">
            <v>持出端材</v>
          </cell>
          <cell r="T489" t="str">
            <v>000000000008356</v>
          </cell>
        </row>
        <row r="490">
          <cell r="G490" t="str">
            <v/>
          </cell>
          <cell r="K490">
            <v>0</v>
          </cell>
          <cell r="L490" t="str">
            <v>α端材</v>
          </cell>
          <cell r="M490">
            <v>0</v>
          </cell>
          <cell r="P490">
            <v>0</v>
          </cell>
          <cell r="T490" t="str">
            <v>000000000008356</v>
          </cell>
        </row>
        <row r="491">
          <cell r="I491">
            <v>0</v>
          </cell>
          <cell r="J491">
            <v>0</v>
          </cell>
          <cell r="K491">
            <v>0</v>
          </cell>
          <cell r="O491">
            <v>0</v>
          </cell>
          <cell r="T491" t="str">
            <v>000000000008358</v>
          </cell>
        </row>
        <row r="492">
          <cell r="G492" t="str">
            <v/>
          </cell>
          <cell r="I492" t="str">
            <v/>
          </cell>
          <cell r="K492">
            <v>0</v>
          </cell>
          <cell r="O492">
            <v>0</v>
          </cell>
          <cell r="T492" t="str">
            <v>000000000008358</v>
          </cell>
        </row>
        <row r="493">
          <cell r="G493" t="str">
            <v/>
          </cell>
          <cell r="K493">
            <v>0</v>
          </cell>
          <cell r="O493">
            <v>0</v>
          </cell>
          <cell r="T493" t="str">
            <v>000000000008358</v>
          </cell>
        </row>
        <row r="494">
          <cell r="G494" t="str">
            <v/>
          </cell>
          <cell r="K494">
            <v>0</v>
          </cell>
          <cell r="O494">
            <v>0</v>
          </cell>
          <cell r="T494" t="str">
            <v>000000000008358</v>
          </cell>
        </row>
        <row r="495">
          <cell r="G495" t="str">
            <v/>
          </cell>
          <cell r="K495">
            <v>0</v>
          </cell>
          <cell r="O495">
            <v>0</v>
          </cell>
          <cell r="T495" t="str">
            <v>000000000008358</v>
          </cell>
        </row>
        <row r="496">
          <cell r="G496" t="str">
            <v/>
          </cell>
          <cell r="K496">
            <v>0</v>
          </cell>
          <cell r="L496" t="str">
            <v>旧品加工</v>
          </cell>
          <cell r="O496">
            <v>0</v>
          </cell>
          <cell r="T496" t="str">
            <v>000000000008358</v>
          </cell>
        </row>
        <row r="497">
          <cell r="G497" t="str">
            <v/>
          </cell>
          <cell r="K497">
            <v>0</v>
          </cell>
          <cell r="L497" t="str">
            <v>持出端材</v>
          </cell>
          <cell r="T497" t="str">
            <v>000000000008358</v>
          </cell>
        </row>
        <row r="498">
          <cell r="G498" t="str">
            <v/>
          </cell>
          <cell r="K498">
            <v>0</v>
          </cell>
          <cell r="L498" t="str">
            <v>α端材</v>
          </cell>
          <cell r="M498">
            <v>0</v>
          </cell>
          <cell r="P498">
            <v>0</v>
          </cell>
          <cell r="T498" t="str">
            <v>000000000008358</v>
          </cell>
        </row>
        <row r="499">
          <cell r="I499">
            <v>0</v>
          </cell>
          <cell r="J499">
            <v>0</v>
          </cell>
          <cell r="K499">
            <v>0</v>
          </cell>
          <cell r="O499">
            <v>0</v>
          </cell>
          <cell r="T499" t="str">
            <v>000000000008359</v>
          </cell>
        </row>
        <row r="500">
          <cell r="G500" t="str">
            <v/>
          </cell>
          <cell r="I500" t="str">
            <v/>
          </cell>
          <cell r="K500">
            <v>0</v>
          </cell>
          <cell r="O500">
            <v>0</v>
          </cell>
          <cell r="T500" t="str">
            <v>000000000008359</v>
          </cell>
        </row>
        <row r="501">
          <cell r="G501" t="str">
            <v/>
          </cell>
          <cell r="K501">
            <v>0</v>
          </cell>
          <cell r="O501">
            <v>0</v>
          </cell>
          <cell r="T501" t="str">
            <v>000000000008359</v>
          </cell>
        </row>
        <row r="502">
          <cell r="G502" t="str">
            <v/>
          </cell>
          <cell r="K502">
            <v>0</v>
          </cell>
          <cell r="O502">
            <v>0</v>
          </cell>
          <cell r="T502" t="str">
            <v>000000000008359</v>
          </cell>
        </row>
        <row r="503">
          <cell r="G503" t="str">
            <v/>
          </cell>
          <cell r="K503">
            <v>0</v>
          </cell>
          <cell r="O503">
            <v>0</v>
          </cell>
          <cell r="T503" t="str">
            <v>000000000008359</v>
          </cell>
        </row>
        <row r="504">
          <cell r="G504" t="str">
            <v/>
          </cell>
          <cell r="K504">
            <v>0</v>
          </cell>
          <cell r="L504" t="str">
            <v>旧品加工</v>
          </cell>
          <cell r="O504">
            <v>0</v>
          </cell>
          <cell r="T504" t="str">
            <v>000000000008359</v>
          </cell>
        </row>
        <row r="505">
          <cell r="G505" t="str">
            <v/>
          </cell>
          <cell r="K505">
            <v>0</v>
          </cell>
          <cell r="L505" t="str">
            <v>持出端材</v>
          </cell>
          <cell r="T505" t="str">
            <v>000000000008359</v>
          </cell>
        </row>
        <row r="506">
          <cell r="G506" t="str">
            <v/>
          </cell>
          <cell r="K506">
            <v>0</v>
          </cell>
          <cell r="L506" t="str">
            <v>α端材</v>
          </cell>
          <cell r="M506">
            <v>0</v>
          </cell>
          <cell r="P506">
            <v>0</v>
          </cell>
          <cell r="T506" t="str">
            <v>000000000008359</v>
          </cell>
        </row>
        <row r="507">
          <cell r="I507">
            <v>0</v>
          </cell>
          <cell r="J507">
            <v>0</v>
          </cell>
          <cell r="K507">
            <v>0</v>
          </cell>
          <cell r="O507">
            <v>0</v>
          </cell>
          <cell r="T507" t="str">
            <v>000000000008801</v>
          </cell>
        </row>
        <row r="508">
          <cell r="G508" t="str">
            <v/>
          </cell>
          <cell r="I508" t="str">
            <v/>
          </cell>
          <cell r="K508">
            <v>0</v>
          </cell>
          <cell r="O508">
            <v>0</v>
          </cell>
          <cell r="T508" t="str">
            <v>000000000008801</v>
          </cell>
        </row>
        <row r="509">
          <cell r="G509" t="str">
            <v/>
          </cell>
          <cell r="K509">
            <v>0</v>
          </cell>
          <cell r="O509">
            <v>0</v>
          </cell>
          <cell r="T509" t="str">
            <v>000000000008801</v>
          </cell>
        </row>
        <row r="510">
          <cell r="G510" t="str">
            <v/>
          </cell>
          <cell r="K510">
            <v>0</v>
          </cell>
          <cell r="O510">
            <v>0</v>
          </cell>
          <cell r="T510" t="str">
            <v>000000000008801</v>
          </cell>
        </row>
        <row r="511">
          <cell r="G511" t="str">
            <v/>
          </cell>
          <cell r="K511">
            <v>0</v>
          </cell>
          <cell r="O511">
            <v>0</v>
          </cell>
          <cell r="T511" t="str">
            <v>000000000008801</v>
          </cell>
        </row>
        <row r="512">
          <cell r="G512" t="str">
            <v/>
          </cell>
          <cell r="K512">
            <v>0</v>
          </cell>
          <cell r="L512" t="str">
            <v>旧品加工</v>
          </cell>
          <cell r="O512">
            <v>0</v>
          </cell>
          <cell r="T512" t="str">
            <v>000000000008801</v>
          </cell>
        </row>
        <row r="513">
          <cell r="G513" t="str">
            <v/>
          </cell>
          <cell r="K513">
            <v>0</v>
          </cell>
          <cell r="L513" t="str">
            <v>持出端材</v>
          </cell>
          <cell r="T513" t="str">
            <v>000000000008801</v>
          </cell>
        </row>
        <row r="514">
          <cell r="G514" t="str">
            <v/>
          </cell>
          <cell r="K514">
            <v>0</v>
          </cell>
          <cell r="L514" t="str">
            <v>α端材</v>
          </cell>
          <cell r="M514">
            <v>0</v>
          </cell>
          <cell r="P514">
            <v>0</v>
          </cell>
          <cell r="T514" t="str">
            <v>000000000008801</v>
          </cell>
        </row>
        <row r="515">
          <cell r="I515">
            <v>0</v>
          </cell>
          <cell r="J515">
            <v>0</v>
          </cell>
          <cell r="K515">
            <v>0</v>
          </cell>
          <cell r="O515">
            <v>0</v>
          </cell>
          <cell r="T515" t="str">
            <v>000000000008363</v>
          </cell>
        </row>
        <row r="516">
          <cell r="G516" t="str">
            <v/>
          </cell>
          <cell r="I516" t="str">
            <v/>
          </cell>
          <cell r="K516">
            <v>0</v>
          </cell>
          <cell r="O516">
            <v>0</v>
          </cell>
          <cell r="T516" t="str">
            <v>000000000008363</v>
          </cell>
        </row>
        <row r="517">
          <cell r="G517" t="str">
            <v/>
          </cell>
          <cell r="K517">
            <v>0</v>
          </cell>
          <cell r="O517">
            <v>0</v>
          </cell>
          <cell r="T517" t="str">
            <v>000000000008363</v>
          </cell>
        </row>
        <row r="518">
          <cell r="G518" t="str">
            <v/>
          </cell>
          <cell r="K518">
            <v>0</v>
          </cell>
          <cell r="O518">
            <v>0</v>
          </cell>
          <cell r="T518" t="str">
            <v>000000000008363</v>
          </cell>
        </row>
        <row r="519">
          <cell r="G519" t="str">
            <v/>
          </cell>
          <cell r="K519">
            <v>0</v>
          </cell>
          <cell r="O519">
            <v>0</v>
          </cell>
          <cell r="T519" t="str">
            <v>000000000008363</v>
          </cell>
        </row>
        <row r="520">
          <cell r="G520" t="str">
            <v/>
          </cell>
          <cell r="K520">
            <v>0</v>
          </cell>
          <cell r="L520" t="str">
            <v>旧品加工</v>
          </cell>
          <cell r="O520">
            <v>0</v>
          </cell>
          <cell r="T520" t="str">
            <v>000000000008363</v>
          </cell>
        </row>
        <row r="521">
          <cell r="G521" t="str">
            <v/>
          </cell>
          <cell r="K521">
            <v>0</v>
          </cell>
          <cell r="L521" t="str">
            <v>持出端材</v>
          </cell>
          <cell r="T521" t="str">
            <v>000000000008363</v>
          </cell>
        </row>
        <row r="522">
          <cell r="G522" t="str">
            <v/>
          </cell>
          <cell r="K522">
            <v>0</v>
          </cell>
          <cell r="L522" t="str">
            <v>α端材</v>
          </cell>
          <cell r="M522">
            <v>0</v>
          </cell>
          <cell r="P522">
            <v>0</v>
          </cell>
          <cell r="T522" t="str">
            <v>000000000008363</v>
          </cell>
        </row>
        <row r="523">
          <cell r="I523">
            <v>0</v>
          </cell>
          <cell r="J523">
            <v>0</v>
          </cell>
          <cell r="K523">
            <v>0</v>
          </cell>
          <cell r="O523">
            <v>0</v>
          </cell>
          <cell r="T523" t="str">
            <v>000000000008802</v>
          </cell>
        </row>
        <row r="524">
          <cell r="G524" t="str">
            <v/>
          </cell>
          <cell r="I524" t="str">
            <v/>
          </cell>
          <cell r="K524">
            <v>0</v>
          </cell>
          <cell r="O524">
            <v>0</v>
          </cell>
          <cell r="T524" t="str">
            <v>000000000008802</v>
          </cell>
        </row>
        <row r="525">
          <cell r="G525" t="str">
            <v/>
          </cell>
          <cell r="K525">
            <v>0</v>
          </cell>
          <cell r="O525">
            <v>0</v>
          </cell>
          <cell r="T525" t="str">
            <v>000000000008802</v>
          </cell>
        </row>
        <row r="526">
          <cell r="G526" t="str">
            <v/>
          </cell>
          <cell r="K526">
            <v>0</v>
          </cell>
          <cell r="O526">
            <v>0</v>
          </cell>
          <cell r="T526" t="str">
            <v>000000000008802</v>
          </cell>
        </row>
        <row r="527">
          <cell r="G527" t="str">
            <v/>
          </cell>
          <cell r="K527">
            <v>0</v>
          </cell>
          <cell r="O527">
            <v>0</v>
          </cell>
          <cell r="T527" t="str">
            <v>000000000008802</v>
          </cell>
        </row>
        <row r="528">
          <cell r="G528" t="str">
            <v/>
          </cell>
          <cell r="K528">
            <v>0</v>
          </cell>
          <cell r="L528" t="str">
            <v>旧品加工</v>
          </cell>
          <cell r="O528">
            <v>0</v>
          </cell>
          <cell r="T528" t="str">
            <v>000000000008802</v>
          </cell>
        </row>
        <row r="529">
          <cell r="G529" t="str">
            <v/>
          </cell>
          <cell r="K529">
            <v>0</v>
          </cell>
          <cell r="L529" t="str">
            <v>持出端材</v>
          </cell>
          <cell r="T529" t="str">
            <v>000000000008802</v>
          </cell>
        </row>
        <row r="530">
          <cell r="G530" t="str">
            <v/>
          </cell>
          <cell r="K530">
            <v>0</v>
          </cell>
          <cell r="L530" t="str">
            <v>α端材</v>
          </cell>
          <cell r="M530">
            <v>0</v>
          </cell>
          <cell r="P530">
            <v>0</v>
          </cell>
          <cell r="T530" t="str">
            <v>000000000008802</v>
          </cell>
        </row>
        <row r="531">
          <cell r="I531">
            <v>0</v>
          </cell>
          <cell r="J531">
            <v>0</v>
          </cell>
          <cell r="K531">
            <v>0</v>
          </cell>
          <cell r="O531">
            <v>0</v>
          </cell>
          <cell r="T531" t="str">
            <v>000000000008411</v>
          </cell>
        </row>
        <row r="532">
          <cell r="G532" t="str">
            <v/>
          </cell>
          <cell r="I532" t="str">
            <v/>
          </cell>
          <cell r="K532">
            <v>0</v>
          </cell>
          <cell r="O532">
            <v>0</v>
          </cell>
          <cell r="T532" t="str">
            <v>000000000008411</v>
          </cell>
        </row>
        <row r="533">
          <cell r="G533" t="str">
            <v/>
          </cell>
          <cell r="K533">
            <v>0</v>
          </cell>
          <cell r="O533">
            <v>0</v>
          </cell>
          <cell r="T533" t="str">
            <v>000000000008411</v>
          </cell>
        </row>
        <row r="534">
          <cell r="G534" t="str">
            <v/>
          </cell>
          <cell r="K534">
            <v>0</v>
          </cell>
          <cell r="O534">
            <v>0</v>
          </cell>
          <cell r="T534" t="str">
            <v>000000000008411</v>
          </cell>
        </row>
        <row r="535">
          <cell r="G535" t="str">
            <v/>
          </cell>
          <cell r="K535">
            <v>0</v>
          </cell>
          <cell r="O535">
            <v>0</v>
          </cell>
          <cell r="T535" t="str">
            <v>000000000008411</v>
          </cell>
        </row>
        <row r="536">
          <cell r="G536" t="str">
            <v/>
          </cell>
          <cell r="K536">
            <v>0</v>
          </cell>
          <cell r="L536" t="str">
            <v>旧品加工</v>
          </cell>
          <cell r="O536">
            <v>0</v>
          </cell>
          <cell r="T536" t="str">
            <v>000000000008411</v>
          </cell>
        </row>
        <row r="537">
          <cell r="G537" t="str">
            <v/>
          </cell>
          <cell r="K537">
            <v>0</v>
          </cell>
          <cell r="L537" t="str">
            <v>持出端材</v>
          </cell>
          <cell r="T537" t="str">
            <v>000000000008411</v>
          </cell>
        </row>
        <row r="538">
          <cell r="G538" t="str">
            <v/>
          </cell>
          <cell r="K538">
            <v>0</v>
          </cell>
          <cell r="L538" t="str">
            <v>α端材</v>
          </cell>
          <cell r="M538">
            <v>0</v>
          </cell>
          <cell r="P538">
            <v>0</v>
          </cell>
          <cell r="T538" t="str">
            <v>000000000008411</v>
          </cell>
        </row>
        <row r="539">
          <cell r="I539">
            <v>0</v>
          </cell>
          <cell r="J539">
            <v>0</v>
          </cell>
          <cell r="K539">
            <v>0</v>
          </cell>
          <cell r="O539">
            <v>0</v>
          </cell>
          <cell r="T539" t="str">
            <v>000000000008854</v>
          </cell>
        </row>
        <row r="540">
          <cell r="G540" t="str">
            <v/>
          </cell>
          <cell r="I540" t="str">
            <v/>
          </cell>
          <cell r="K540">
            <v>0</v>
          </cell>
          <cell r="O540">
            <v>0</v>
          </cell>
          <cell r="T540" t="str">
            <v>000000000008854</v>
          </cell>
        </row>
        <row r="541">
          <cell r="G541" t="str">
            <v/>
          </cell>
          <cell r="K541">
            <v>0</v>
          </cell>
          <cell r="O541">
            <v>0</v>
          </cell>
          <cell r="T541" t="str">
            <v>000000000008854</v>
          </cell>
        </row>
        <row r="542">
          <cell r="G542" t="str">
            <v/>
          </cell>
          <cell r="K542">
            <v>0</v>
          </cell>
          <cell r="O542">
            <v>0</v>
          </cell>
          <cell r="T542" t="str">
            <v>000000000008854</v>
          </cell>
        </row>
        <row r="543">
          <cell r="G543" t="str">
            <v/>
          </cell>
          <cell r="K543">
            <v>0</v>
          </cell>
          <cell r="O543">
            <v>0</v>
          </cell>
          <cell r="T543" t="str">
            <v>000000000008854</v>
          </cell>
        </row>
        <row r="544">
          <cell r="G544" t="str">
            <v/>
          </cell>
          <cell r="K544">
            <v>0</v>
          </cell>
          <cell r="L544" t="str">
            <v>旧品加工</v>
          </cell>
          <cell r="O544">
            <v>0</v>
          </cell>
          <cell r="T544" t="str">
            <v>000000000008854</v>
          </cell>
        </row>
        <row r="545">
          <cell r="G545" t="str">
            <v/>
          </cell>
          <cell r="K545">
            <v>0</v>
          </cell>
          <cell r="L545" t="str">
            <v>持出端材</v>
          </cell>
          <cell r="T545" t="str">
            <v>000000000008854</v>
          </cell>
        </row>
        <row r="546">
          <cell r="G546" t="str">
            <v/>
          </cell>
          <cell r="K546">
            <v>0</v>
          </cell>
          <cell r="L546" t="str">
            <v>α端材</v>
          </cell>
          <cell r="M546">
            <v>0</v>
          </cell>
          <cell r="P546">
            <v>0</v>
          </cell>
          <cell r="T546" t="str">
            <v>000000000008854</v>
          </cell>
        </row>
        <row r="547">
          <cell r="I547">
            <v>0</v>
          </cell>
          <cell r="J547">
            <v>0</v>
          </cell>
          <cell r="K547">
            <v>0</v>
          </cell>
          <cell r="O547">
            <v>0</v>
          </cell>
          <cell r="T547" t="str">
            <v>000000000008712</v>
          </cell>
        </row>
        <row r="548">
          <cell r="G548" t="str">
            <v/>
          </cell>
          <cell r="I548" t="str">
            <v/>
          </cell>
          <cell r="K548">
            <v>0</v>
          </cell>
          <cell r="O548">
            <v>0</v>
          </cell>
          <cell r="T548" t="str">
            <v>000000000008712</v>
          </cell>
        </row>
        <row r="549">
          <cell r="G549" t="str">
            <v/>
          </cell>
          <cell r="K549">
            <v>0</v>
          </cell>
          <cell r="O549">
            <v>0</v>
          </cell>
          <cell r="T549" t="str">
            <v>000000000008712</v>
          </cell>
        </row>
        <row r="550">
          <cell r="G550" t="str">
            <v/>
          </cell>
          <cell r="K550">
            <v>0</v>
          </cell>
          <cell r="O550">
            <v>0</v>
          </cell>
          <cell r="T550" t="str">
            <v>000000000008712</v>
          </cell>
        </row>
        <row r="551">
          <cell r="G551" t="str">
            <v/>
          </cell>
          <cell r="K551">
            <v>0</v>
          </cell>
          <cell r="O551">
            <v>0</v>
          </cell>
          <cell r="T551" t="str">
            <v>000000000008712</v>
          </cell>
        </row>
        <row r="552">
          <cell r="G552" t="str">
            <v/>
          </cell>
          <cell r="K552">
            <v>0</v>
          </cell>
          <cell r="L552" t="str">
            <v>旧品加工</v>
          </cell>
          <cell r="O552">
            <v>0</v>
          </cell>
          <cell r="T552" t="str">
            <v>000000000008712</v>
          </cell>
        </row>
        <row r="553">
          <cell r="G553" t="str">
            <v/>
          </cell>
          <cell r="K553">
            <v>0</v>
          </cell>
          <cell r="L553" t="str">
            <v>持出端材</v>
          </cell>
          <cell r="T553" t="str">
            <v>000000000008712</v>
          </cell>
        </row>
        <row r="554">
          <cell r="G554" t="str">
            <v/>
          </cell>
          <cell r="K554">
            <v>0</v>
          </cell>
          <cell r="L554" t="str">
            <v>α端材</v>
          </cell>
          <cell r="M554">
            <v>0</v>
          </cell>
          <cell r="P554">
            <v>0</v>
          </cell>
          <cell r="T554" t="str">
            <v>000000000008712</v>
          </cell>
        </row>
        <row r="555">
          <cell r="I555">
            <v>0</v>
          </cell>
          <cell r="J555">
            <v>0</v>
          </cell>
          <cell r="K555">
            <v>0</v>
          </cell>
          <cell r="O555">
            <v>0</v>
          </cell>
          <cell r="T555" t="str">
            <v>000000000008711</v>
          </cell>
        </row>
        <row r="556">
          <cell r="G556" t="str">
            <v/>
          </cell>
          <cell r="I556" t="str">
            <v/>
          </cell>
          <cell r="K556">
            <v>0</v>
          </cell>
          <cell r="O556">
            <v>0</v>
          </cell>
          <cell r="T556" t="str">
            <v>000000000008711</v>
          </cell>
        </row>
        <row r="557">
          <cell r="G557" t="str">
            <v/>
          </cell>
          <cell r="K557">
            <v>0</v>
          </cell>
          <cell r="O557">
            <v>0</v>
          </cell>
          <cell r="T557" t="str">
            <v>000000000008711</v>
          </cell>
        </row>
        <row r="558">
          <cell r="G558" t="str">
            <v/>
          </cell>
          <cell r="K558">
            <v>0</v>
          </cell>
          <cell r="O558">
            <v>0</v>
          </cell>
          <cell r="T558" t="str">
            <v>000000000008711</v>
          </cell>
        </row>
        <row r="559">
          <cell r="G559" t="str">
            <v/>
          </cell>
          <cell r="K559">
            <v>0</v>
          </cell>
          <cell r="O559">
            <v>0</v>
          </cell>
          <cell r="T559" t="str">
            <v>000000000008711</v>
          </cell>
        </row>
        <row r="560">
          <cell r="G560" t="str">
            <v/>
          </cell>
          <cell r="K560">
            <v>0</v>
          </cell>
          <cell r="L560" t="str">
            <v>旧品加工</v>
          </cell>
          <cell r="O560">
            <v>0</v>
          </cell>
          <cell r="T560" t="str">
            <v>000000000008711</v>
          </cell>
        </row>
        <row r="561">
          <cell r="G561" t="str">
            <v/>
          </cell>
          <cell r="K561">
            <v>0</v>
          </cell>
          <cell r="L561" t="str">
            <v>持出端材</v>
          </cell>
          <cell r="T561" t="str">
            <v>000000000008711</v>
          </cell>
        </row>
        <row r="562">
          <cell r="G562" t="str">
            <v/>
          </cell>
          <cell r="K562">
            <v>0</v>
          </cell>
          <cell r="L562" t="str">
            <v>α端材</v>
          </cell>
          <cell r="M562">
            <v>0</v>
          </cell>
          <cell r="P562">
            <v>0</v>
          </cell>
          <cell r="T562" t="str">
            <v>000000000008711</v>
          </cell>
        </row>
        <row r="563">
          <cell r="I563">
            <v>0</v>
          </cell>
          <cell r="J563">
            <v>0</v>
          </cell>
          <cell r="K563">
            <v>0</v>
          </cell>
          <cell r="O563">
            <v>0</v>
          </cell>
          <cell r="T563" t="str">
            <v>000000000008855</v>
          </cell>
        </row>
        <row r="564">
          <cell r="G564" t="str">
            <v/>
          </cell>
          <cell r="I564" t="str">
            <v/>
          </cell>
          <cell r="K564">
            <v>0</v>
          </cell>
          <cell r="O564">
            <v>0</v>
          </cell>
          <cell r="T564" t="str">
            <v>000000000008855</v>
          </cell>
        </row>
        <row r="565">
          <cell r="G565" t="str">
            <v/>
          </cell>
          <cell r="K565">
            <v>0</v>
          </cell>
          <cell r="O565">
            <v>0</v>
          </cell>
          <cell r="T565" t="str">
            <v>000000000008855</v>
          </cell>
        </row>
        <row r="566">
          <cell r="G566" t="str">
            <v/>
          </cell>
          <cell r="K566">
            <v>0</v>
          </cell>
          <cell r="O566">
            <v>0</v>
          </cell>
          <cell r="T566" t="str">
            <v>000000000008855</v>
          </cell>
        </row>
        <row r="567">
          <cell r="G567" t="str">
            <v/>
          </cell>
          <cell r="K567">
            <v>0</v>
          </cell>
          <cell r="O567">
            <v>0</v>
          </cell>
          <cell r="T567" t="str">
            <v>000000000008855</v>
          </cell>
        </row>
        <row r="568">
          <cell r="G568" t="str">
            <v/>
          </cell>
          <cell r="K568">
            <v>0</v>
          </cell>
          <cell r="L568" t="str">
            <v>旧品加工</v>
          </cell>
          <cell r="O568">
            <v>0</v>
          </cell>
          <cell r="T568" t="str">
            <v>000000000008855</v>
          </cell>
        </row>
        <row r="569">
          <cell r="G569" t="str">
            <v/>
          </cell>
          <cell r="K569">
            <v>0</v>
          </cell>
          <cell r="L569" t="str">
            <v>持出端材</v>
          </cell>
          <cell r="T569" t="str">
            <v>000000000008855</v>
          </cell>
        </row>
        <row r="570">
          <cell r="G570" t="str">
            <v/>
          </cell>
          <cell r="K570">
            <v>0</v>
          </cell>
          <cell r="L570" t="str">
            <v>α端材</v>
          </cell>
          <cell r="M570">
            <v>0</v>
          </cell>
          <cell r="P570">
            <v>0</v>
          </cell>
          <cell r="T570" t="str">
            <v>000000000008855</v>
          </cell>
        </row>
        <row r="571">
          <cell r="I571">
            <v>0</v>
          </cell>
          <cell r="J571" t="e">
            <v>#DIV/0!</v>
          </cell>
          <cell r="K571" t="e">
            <v>#DIV/0!</v>
          </cell>
          <cell r="O571">
            <v>0</v>
          </cell>
          <cell r="T571" t="str">
            <v/>
          </cell>
        </row>
        <row r="572">
          <cell r="G572" t="str">
            <v/>
          </cell>
          <cell r="I572" t="str">
            <v/>
          </cell>
          <cell r="K572" t="e">
            <v>#DIV/0!</v>
          </cell>
          <cell r="O572" t="e">
            <v>#DIV/0!</v>
          </cell>
          <cell r="T572" t="str">
            <v/>
          </cell>
        </row>
        <row r="573">
          <cell r="G573" t="str">
            <v/>
          </cell>
          <cell r="K573" t="e">
            <v>#DIV/0!</v>
          </cell>
          <cell r="O573" t="str">
            <v/>
          </cell>
          <cell r="T573" t="str">
            <v/>
          </cell>
        </row>
        <row r="574">
          <cell r="G574" t="str">
            <v/>
          </cell>
          <cell r="K574" t="e">
            <v>#DIV/0!</v>
          </cell>
          <cell r="O574" t="str">
            <v/>
          </cell>
          <cell r="T574" t="str">
            <v/>
          </cell>
        </row>
        <row r="575">
          <cell r="G575" t="str">
            <v/>
          </cell>
          <cell r="K575" t="e">
            <v>#DIV/0!</v>
          </cell>
          <cell r="O575">
            <v>0</v>
          </cell>
          <cell r="T575" t="str">
            <v/>
          </cell>
        </row>
        <row r="576">
          <cell r="G576" t="str">
            <v/>
          </cell>
          <cell r="K576" t="e">
            <v>#DIV/0!</v>
          </cell>
          <cell r="L576" t="str">
            <v>旧品加工</v>
          </cell>
          <cell r="O576" t="e">
            <v>#DIV/0!</v>
          </cell>
          <cell r="T576" t="str">
            <v/>
          </cell>
        </row>
        <row r="577">
          <cell r="G577" t="str">
            <v/>
          </cell>
          <cell r="K577" t="e">
            <v>#DIV/0!</v>
          </cell>
          <cell r="L577" t="str">
            <v>持出端材</v>
          </cell>
          <cell r="T577" t="str">
            <v/>
          </cell>
        </row>
        <row r="578">
          <cell r="G578" t="str">
            <v/>
          </cell>
          <cell r="K578" t="e">
            <v>#DIV/0!</v>
          </cell>
          <cell r="L578" t="str">
            <v>α端材</v>
          </cell>
          <cell r="M578" t="e">
            <v>#DIV/0!</v>
          </cell>
          <cell r="P578">
            <v>0</v>
          </cell>
          <cell r="T578" t="str">
            <v/>
          </cell>
        </row>
        <row r="579">
          <cell r="I579">
            <v>0</v>
          </cell>
          <cell r="J579">
            <v>0</v>
          </cell>
          <cell r="K579">
            <v>0</v>
          </cell>
          <cell r="O579">
            <v>0</v>
          </cell>
          <cell r="T579" t="str">
            <v>000000000008705</v>
          </cell>
        </row>
        <row r="580">
          <cell r="G580" t="str">
            <v/>
          </cell>
          <cell r="I580" t="str">
            <v/>
          </cell>
          <cell r="K580">
            <v>0</v>
          </cell>
          <cell r="O580">
            <v>0</v>
          </cell>
          <cell r="T580" t="str">
            <v>000000000008705</v>
          </cell>
        </row>
        <row r="581">
          <cell r="G581" t="str">
            <v/>
          </cell>
          <cell r="K581">
            <v>0</v>
          </cell>
          <cell r="O581">
            <v>0</v>
          </cell>
          <cell r="T581" t="str">
            <v>000000000008705</v>
          </cell>
        </row>
        <row r="582">
          <cell r="G582" t="str">
            <v/>
          </cell>
          <cell r="K582">
            <v>0</v>
          </cell>
          <cell r="O582">
            <v>0</v>
          </cell>
          <cell r="T582" t="str">
            <v>000000000008705</v>
          </cell>
        </row>
        <row r="583">
          <cell r="G583" t="str">
            <v/>
          </cell>
          <cell r="K583">
            <v>0</v>
          </cell>
          <cell r="O583">
            <v>0</v>
          </cell>
          <cell r="T583" t="str">
            <v>000000000008705</v>
          </cell>
        </row>
        <row r="584">
          <cell r="G584" t="str">
            <v/>
          </cell>
          <cell r="K584">
            <v>0</v>
          </cell>
          <cell r="L584" t="str">
            <v>旧品加工</v>
          </cell>
          <cell r="O584">
            <v>0</v>
          </cell>
          <cell r="T584" t="str">
            <v>000000000008705</v>
          </cell>
        </row>
        <row r="585">
          <cell r="G585" t="str">
            <v/>
          </cell>
          <cell r="K585">
            <v>0</v>
          </cell>
          <cell r="L585" t="str">
            <v>持出端材</v>
          </cell>
          <cell r="T585" t="str">
            <v>000000000008705</v>
          </cell>
        </row>
        <row r="586">
          <cell r="G586" t="str">
            <v/>
          </cell>
          <cell r="K586">
            <v>0</v>
          </cell>
          <cell r="L586" t="str">
            <v>α端材</v>
          </cell>
          <cell r="M586">
            <v>0</v>
          </cell>
          <cell r="P586">
            <v>0</v>
          </cell>
          <cell r="T586" t="str">
            <v>000000000008705</v>
          </cell>
        </row>
        <row r="587">
          <cell r="I587">
            <v>0</v>
          </cell>
          <cell r="J587">
            <v>0</v>
          </cell>
          <cell r="K587">
            <v>0</v>
          </cell>
          <cell r="O587">
            <v>0</v>
          </cell>
          <cell r="T587" t="str">
            <v>000000000008699</v>
          </cell>
        </row>
        <row r="588">
          <cell r="G588" t="str">
            <v/>
          </cell>
          <cell r="I588" t="str">
            <v/>
          </cell>
          <cell r="K588">
            <v>0</v>
          </cell>
          <cell r="O588">
            <v>0</v>
          </cell>
          <cell r="T588" t="str">
            <v>000000000008699</v>
          </cell>
        </row>
        <row r="589">
          <cell r="G589" t="str">
            <v/>
          </cell>
          <cell r="K589">
            <v>0</v>
          </cell>
          <cell r="O589">
            <v>0</v>
          </cell>
          <cell r="T589" t="str">
            <v>000000000008699</v>
          </cell>
        </row>
        <row r="590">
          <cell r="G590" t="str">
            <v/>
          </cell>
          <cell r="K590">
            <v>0</v>
          </cell>
          <cell r="O590">
            <v>0</v>
          </cell>
          <cell r="T590" t="str">
            <v>000000000008699</v>
          </cell>
        </row>
        <row r="591">
          <cell r="G591" t="str">
            <v/>
          </cell>
          <cell r="K591">
            <v>0</v>
          </cell>
          <cell r="O591">
            <v>0</v>
          </cell>
          <cell r="T591" t="str">
            <v>000000000008699</v>
          </cell>
        </row>
        <row r="592">
          <cell r="G592" t="str">
            <v/>
          </cell>
          <cell r="K592">
            <v>0</v>
          </cell>
          <cell r="L592" t="str">
            <v>旧品加工</v>
          </cell>
          <cell r="O592">
            <v>0</v>
          </cell>
          <cell r="T592" t="str">
            <v>000000000008699</v>
          </cell>
        </row>
        <row r="593">
          <cell r="G593" t="str">
            <v/>
          </cell>
          <cell r="K593">
            <v>0</v>
          </cell>
          <cell r="L593" t="str">
            <v>持出端材</v>
          </cell>
          <cell r="T593" t="str">
            <v>000000000008699</v>
          </cell>
        </row>
        <row r="594">
          <cell r="G594" t="str">
            <v/>
          </cell>
          <cell r="K594">
            <v>0</v>
          </cell>
          <cell r="L594" t="str">
            <v>α端材</v>
          </cell>
          <cell r="M594">
            <v>0</v>
          </cell>
          <cell r="P594">
            <v>0</v>
          </cell>
          <cell r="T594" t="str">
            <v>000000000008699</v>
          </cell>
        </row>
        <row r="595">
          <cell r="I595">
            <v>0</v>
          </cell>
          <cell r="J595">
            <v>0</v>
          </cell>
          <cell r="K595">
            <v>0</v>
          </cell>
          <cell r="O595">
            <v>0</v>
          </cell>
          <cell r="T595" t="str">
            <v>000000000008701</v>
          </cell>
        </row>
        <row r="596">
          <cell r="G596" t="str">
            <v/>
          </cell>
          <cell r="I596" t="str">
            <v/>
          </cell>
          <cell r="K596">
            <v>0</v>
          </cell>
          <cell r="O596">
            <v>0</v>
          </cell>
          <cell r="T596" t="str">
            <v>000000000008701</v>
          </cell>
        </row>
        <row r="597">
          <cell r="G597" t="str">
            <v/>
          </cell>
          <cell r="K597">
            <v>0</v>
          </cell>
          <cell r="O597">
            <v>0</v>
          </cell>
          <cell r="T597" t="str">
            <v>000000000008701</v>
          </cell>
        </row>
        <row r="598">
          <cell r="G598" t="str">
            <v/>
          </cell>
          <cell r="K598">
            <v>0</v>
          </cell>
          <cell r="O598">
            <v>0</v>
          </cell>
          <cell r="T598" t="str">
            <v>000000000008701</v>
          </cell>
        </row>
        <row r="599">
          <cell r="G599" t="str">
            <v/>
          </cell>
          <cell r="K599">
            <v>0</v>
          </cell>
          <cell r="O599">
            <v>0</v>
          </cell>
          <cell r="T599" t="str">
            <v>000000000008701</v>
          </cell>
        </row>
        <row r="600">
          <cell r="G600" t="str">
            <v/>
          </cell>
          <cell r="K600">
            <v>0</v>
          </cell>
          <cell r="L600" t="str">
            <v>旧品加工</v>
          </cell>
          <cell r="O600">
            <v>0</v>
          </cell>
          <cell r="T600" t="str">
            <v>000000000008701</v>
          </cell>
        </row>
        <row r="601">
          <cell r="G601" t="str">
            <v/>
          </cell>
          <cell r="K601">
            <v>0</v>
          </cell>
          <cell r="L601" t="str">
            <v>持出端材</v>
          </cell>
          <cell r="T601" t="str">
            <v>000000000008701</v>
          </cell>
        </row>
        <row r="602">
          <cell r="G602" t="str">
            <v/>
          </cell>
          <cell r="K602">
            <v>0</v>
          </cell>
          <cell r="L602" t="str">
            <v>α端材</v>
          </cell>
          <cell r="M602">
            <v>0</v>
          </cell>
          <cell r="P602">
            <v>0</v>
          </cell>
          <cell r="T602" t="str">
            <v>000000000008701</v>
          </cell>
        </row>
        <row r="603">
          <cell r="I603">
            <v>0</v>
          </cell>
          <cell r="J603">
            <v>0</v>
          </cell>
          <cell r="K603">
            <v>0</v>
          </cell>
          <cell r="O603">
            <v>0</v>
          </cell>
          <cell r="T603" t="str">
            <v>000000000008706</v>
          </cell>
        </row>
        <row r="604">
          <cell r="G604" t="str">
            <v/>
          </cell>
          <cell r="I604" t="str">
            <v/>
          </cell>
          <cell r="K604">
            <v>0</v>
          </cell>
          <cell r="O604">
            <v>0</v>
          </cell>
          <cell r="T604" t="str">
            <v>000000000008706</v>
          </cell>
        </row>
        <row r="605">
          <cell r="G605" t="str">
            <v/>
          </cell>
          <cell r="K605">
            <v>0</v>
          </cell>
          <cell r="O605">
            <v>0</v>
          </cell>
          <cell r="T605" t="str">
            <v>000000000008706</v>
          </cell>
        </row>
        <row r="606">
          <cell r="G606" t="str">
            <v/>
          </cell>
          <cell r="K606">
            <v>0</v>
          </cell>
          <cell r="O606">
            <v>0</v>
          </cell>
          <cell r="T606" t="str">
            <v>000000000008706</v>
          </cell>
        </row>
        <row r="607">
          <cell r="G607" t="str">
            <v/>
          </cell>
          <cell r="K607">
            <v>0</v>
          </cell>
          <cell r="O607">
            <v>0</v>
          </cell>
          <cell r="T607" t="str">
            <v>000000000008706</v>
          </cell>
        </row>
        <row r="608">
          <cell r="G608" t="str">
            <v/>
          </cell>
          <cell r="K608">
            <v>0</v>
          </cell>
          <cell r="L608" t="str">
            <v>旧品加工</v>
          </cell>
          <cell r="O608">
            <v>0</v>
          </cell>
          <cell r="T608" t="str">
            <v>000000000008706</v>
          </cell>
        </row>
        <row r="609">
          <cell r="G609" t="str">
            <v/>
          </cell>
          <cell r="K609">
            <v>0</v>
          </cell>
          <cell r="L609" t="str">
            <v>持出端材</v>
          </cell>
          <cell r="T609" t="str">
            <v>000000000008706</v>
          </cell>
        </row>
        <row r="610">
          <cell r="G610" t="str">
            <v/>
          </cell>
          <cell r="K610">
            <v>0</v>
          </cell>
          <cell r="L610" t="str">
            <v>α端材</v>
          </cell>
          <cell r="M610">
            <v>0</v>
          </cell>
          <cell r="P610">
            <v>0</v>
          </cell>
          <cell r="T610" t="str">
            <v>000000000008706</v>
          </cell>
        </row>
        <row r="611">
          <cell r="I611">
            <v>0</v>
          </cell>
          <cell r="J611">
            <v>0</v>
          </cell>
          <cell r="K611">
            <v>0</v>
          </cell>
          <cell r="O611">
            <v>0</v>
          </cell>
          <cell r="T611" t="str">
            <v>000000000008702</v>
          </cell>
        </row>
        <row r="612">
          <cell r="G612" t="str">
            <v/>
          </cell>
          <cell r="I612" t="str">
            <v/>
          </cell>
          <cell r="K612">
            <v>0</v>
          </cell>
          <cell r="O612">
            <v>0</v>
          </cell>
          <cell r="T612" t="str">
            <v>000000000008702</v>
          </cell>
        </row>
        <row r="613">
          <cell r="G613" t="str">
            <v/>
          </cell>
          <cell r="K613">
            <v>0</v>
          </cell>
          <cell r="O613">
            <v>0</v>
          </cell>
          <cell r="T613" t="str">
            <v>000000000008702</v>
          </cell>
        </row>
        <row r="614">
          <cell r="G614" t="str">
            <v/>
          </cell>
          <cell r="K614">
            <v>0</v>
          </cell>
          <cell r="O614">
            <v>0</v>
          </cell>
          <cell r="T614" t="str">
            <v>000000000008702</v>
          </cell>
        </row>
        <row r="615">
          <cell r="G615" t="str">
            <v/>
          </cell>
          <cell r="K615">
            <v>0</v>
          </cell>
          <cell r="O615">
            <v>0</v>
          </cell>
          <cell r="T615" t="str">
            <v>000000000008702</v>
          </cell>
        </row>
        <row r="616">
          <cell r="G616" t="str">
            <v/>
          </cell>
          <cell r="K616">
            <v>0</v>
          </cell>
          <cell r="L616" t="str">
            <v>旧品加工</v>
          </cell>
          <cell r="O616">
            <v>0</v>
          </cell>
          <cell r="T616" t="str">
            <v>000000000008702</v>
          </cell>
        </row>
        <row r="617">
          <cell r="G617" t="str">
            <v/>
          </cell>
          <cell r="K617">
            <v>0</v>
          </cell>
          <cell r="L617" t="str">
            <v>持出端材</v>
          </cell>
          <cell r="T617" t="str">
            <v>000000000008702</v>
          </cell>
        </row>
        <row r="618">
          <cell r="G618" t="str">
            <v/>
          </cell>
          <cell r="K618">
            <v>0</v>
          </cell>
          <cell r="L618" t="str">
            <v>α端材</v>
          </cell>
          <cell r="M618">
            <v>0</v>
          </cell>
          <cell r="P618">
            <v>0</v>
          </cell>
          <cell r="T618" t="str">
            <v>000000000008702</v>
          </cell>
        </row>
        <row r="619">
          <cell r="I619">
            <v>0</v>
          </cell>
          <cell r="J619">
            <v>0</v>
          </cell>
          <cell r="K619">
            <v>0</v>
          </cell>
          <cell r="O619">
            <v>0</v>
          </cell>
          <cell r="T619" t="str">
            <v>000000000008703</v>
          </cell>
        </row>
        <row r="620">
          <cell r="G620" t="str">
            <v/>
          </cell>
          <cell r="I620" t="str">
            <v/>
          </cell>
          <cell r="K620">
            <v>0</v>
          </cell>
          <cell r="O620">
            <v>0</v>
          </cell>
          <cell r="T620" t="str">
            <v>000000000008703</v>
          </cell>
        </row>
        <row r="621">
          <cell r="G621" t="str">
            <v/>
          </cell>
          <cell r="K621">
            <v>0</v>
          </cell>
          <cell r="O621">
            <v>0</v>
          </cell>
          <cell r="T621" t="str">
            <v>000000000008703</v>
          </cell>
        </row>
        <row r="622">
          <cell r="G622" t="str">
            <v/>
          </cell>
          <cell r="K622">
            <v>0</v>
          </cell>
          <cell r="O622">
            <v>0</v>
          </cell>
          <cell r="T622" t="str">
            <v>000000000008703</v>
          </cell>
        </row>
        <row r="623">
          <cell r="G623" t="str">
            <v/>
          </cell>
          <cell r="K623">
            <v>0</v>
          </cell>
          <cell r="O623">
            <v>0</v>
          </cell>
          <cell r="T623" t="str">
            <v>000000000008703</v>
          </cell>
        </row>
        <row r="624">
          <cell r="G624" t="str">
            <v/>
          </cell>
          <cell r="K624">
            <v>0</v>
          </cell>
          <cell r="L624" t="str">
            <v>旧品加工</v>
          </cell>
          <cell r="O624">
            <v>0</v>
          </cell>
          <cell r="T624" t="str">
            <v>000000000008703</v>
          </cell>
        </row>
        <row r="625">
          <cell r="G625" t="str">
            <v/>
          </cell>
          <cell r="K625">
            <v>0</v>
          </cell>
          <cell r="L625" t="str">
            <v>持出端材</v>
          </cell>
          <cell r="T625" t="str">
            <v>000000000008703</v>
          </cell>
        </row>
        <row r="626">
          <cell r="G626" t="str">
            <v/>
          </cell>
          <cell r="K626">
            <v>0</v>
          </cell>
          <cell r="L626" t="str">
            <v>α端材</v>
          </cell>
          <cell r="M626">
            <v>0</v>
          </cell>
          <cell r="P626">
            <v>0</v>
          </cell>
          <cell r="T626" t="str">
            <v>000000000008703</v>
          </cell>
        </row>
        <row r="627">
          <cell r="I627">
            <v>0</v>
          </cell>
          <cell r="J627">
            <v>0</v>
          </cell>
          <cell r="K627">
            <v>0</v>
          </cell>
          <cell r="O627">
            <v>0</v>
          </cell>
          <cell r="T627" t="str">
            <v>000000000008700</v>
          </cell>
        </row>
        <row r="628">
          <cell r="G628" t="str">
            <v/>
          </cell>
          <cell r="I628" t="str">
            <v/>
          </cell>
          <cell r="K628">
            <v>0</v>
          </cell>
          <cell r="O628">
            <v>0</v>
          </cell>
          <cell r="T628" t="str">
            <v>000000000008700</v>
          </cell>
        </row>
        <row r="629">
          <cell r="G629" t="str">
            <v/>
          </cell>
          <cell r="K629">
            <v>0</v>
          </cell>
          <cell r="O629">
            <v>0</v>
          </cell>
          <cell r="T629" t="str">
            <v>000000000008700</v>
          </cell>
        </row>
        <row r="630">
          <cell r="G630" t="str">
            <v/>
          </cell>
          <cell r="K630">
            <v>0</v>
          </cell>
          <cell r="O630">
            <v>0</v>
          </cell>
          <cell r="T630" t="str">
            <v>000000000008700</v>
          </cell>
        </row>
        <row r="631">
          <cell r="G631" t="str">
            <v/>
          </cell>
          <cell r="K631">
            <v>0</v>
          </cell>
          <cell r="O631">
            <v>0</v>
          </cell>
          <cell r="T631" t="str">
            <v>000000000008700</v>
          </cell>
        </row>
        <row r="632">
          <cell r="G632" t="str">
            <v/>
          </cell>
          <cell r="K632">
            <v>0</v>
          </cell>
          <cell r="L632" t="str">
            <v>旧品加工</v>
          </cell>
          <cell r="O632">
            <v>0</v>
          </cell>
          <cell r="T632" t="str">
            <v>000000000008700</v>
          </cell>
        </row>
        <row r="633">
          <cell r="G633" t="str">
            <v/>
          </cell>
          <cell r="K633">
            <v>0</v>
          </cell>
          <cell r="L633" t="str">
            <v>持出端材</v>
          </cell>
          <cell r="T633" t="str">
            <v>000000000008700</v>
          </cell>
        </row>
        <row r="634">
          <cell r="G634" t="str">
            <v/>
          </cell>
          <cell r="K634">
            <v>0</v>
          </cell>
          <cell r="L634" t="str">
            <v>α端材</v>
          </cell>
          <cell r="M634">
            <v>0</v>
          </cell>
          <cell r="P634">
            <v>0</v>
          </cell>
          <cell r="T634" t="str">
            <v>000000000008700</v>
          </cell>
        </row>
        <row r="635">
          <cell r="I635">
            <v>0</v>
          </cell>
          <cell r="J635">
            <v>0</v>
          </cell>
          <cell r="K635">
            <v>0</v>
          </cell>
          <cell r="O635">
            <v>0</v>
          </cell>
          <cell r="T635" t="str">
            <v>000000000008708</v>
          </cell>
        </row>
        <row r="636">
          <cell r="G636" t="str">
            <v/>
          </cell>
          <cell r="I636" t="str">
            <v/>
          </cell>
          <cell r="K636">
            <v>0</v>
          </cell>
          <cell r="O636">
            <v>0</v>
          </cell>
          <cell r="T636" t="str">
            <v>000000000008708</v>
          </cell>
        </row>
        <row r="637">
          <cell r="G637" t="str">
            <v/>
          </cell>
          <cell r="K637">
            <v>0</v>
          </cell>
          <cell r="O637">
            <v>0</v>
          </cell>
          <cell r="T637" t="str">
            <v>000000000008708</v>
          </cell>
        </row>
        <row r="638">
          <cell r="G638" t="str">
            <v/>
          </cell>
          <cell r="K638">
            <v>0</v>
          </cell>
          <cell r="O638">
            <v>0</v>
          </cell>
          <cell r="T638" t="str">
            <v>000000000008708</v>
          </cell>
        </row>
        <row r="639">
          <cell r="G639" t="str">
            <v/>
          </cell>
          <cell r="K639">
            <v>0</v>
          </cell>
          <cell r="O639">
            <v>0</v>
          </cell>
          <cell r="T639" t="str">
            <v>000000000008708</v>
          </cell>
        </row>
        <row r="640">
          <cell r="G640" t="str">
            <v/>
          </cell>
          <cell r="K640">
            <v>0</v>
          </cell>
          <cell r="L640" t="str">
            <v>旧品加工</v>
          </cell>
          <cell r="O640">
            <v>0</v>
          </cell>
          <cell r="T640" t="str">
            <v>000000000008708</v>
          </cell>
        </row>
        <row r="641">
          <cell r="G641" t="str">
            <v/>
          </cell>
          <cell r="K641">
            <v>0</v>
          </cell>
          <cell r="L641" t="str">
            <v>持出端材</v>
          </cell>
          <cell r="T641" t="str">
            <v>000000000008708</v>
          </cell>
        </row>
        <row r="642">
          <cell r="G642" t="str">
            <v/>
          </cell>
          <cell r="K642">
            <v>0</v>
          </cell>
          <cell r="L642" t="str">
            <v>α端材</v>
          </cell>
          <cell r="M642">
            <v>0</v>
          </cell>
          <cell r="P642">
            <v>0</v>
          </cell>
          <cell r="T642" t="str">
            <v>000000000008708</v>
          </cell>
        </row>
        <row r="643">
          <cell r="I643">
            <v>0</v>
          </cell>
          <cell r="J643">
            <v>0</v>
          </cell>
          <cell r="K643">
            <v>0</v>
          </cell>
          <cell r="O643">
            <v>0</v>
          </cell>
          <cell r="T643" t="str">
            <v>000000000008707</v>
          </cell>
        </row>
        <row r="644">
          <cell r="G644" t="str">
            <v/>
          </cell>
          <cell r="I644" t="str">
            <v/>
          </cell>
          <cell r="K644">
            <v>0</v>
          </cell>
          <cell r="O644">
            <v>0</v>
          </cell>
          <cell r="T644" t="str">
            <v>000000000008707</v>
          </cell>
        </row>
        <row r="645">
          <cell r="G645" t="str">
            <v/>
          </cell>
          <cell r="K645">
            <v>0</v>
          </cell>
          <cell r="O645">
            <v>0</v>
          </cell>
          <cell r="T645" t="str">
            <v>000000000008707</v>
          </cell>
        </row>
        <row r="646">
          <cell r="G646" t="str">
            <v/>
          </cell>
          <cell r="K646">
            <v>0</v>
          </cell>
          <cell r="O646">
            <v>0</v>
          </cell>
          <cell r="T646" t="str">
            <v>000000000008707</v>
          </cell>
        </row>
        <row r="647">
          <cell r="G647" t="str">
            <v/>
          </cell>
          <cell r="K647">
            <v>0</v>
          </cell>
          <cell r="O647">
            <v>0</v>
          </cell>
          <cell r="T647" t="str">
            <v>000000000008707</v>
          </cell>
        </row>
        <row r="648">
          <cell r="G648" t="str">
            <v/>
          </cell>
          <cell r="K648">
            <v>0</v>
          </cell>
          <cell r="L648" t="str">
            <v>旧品加工</v>
          </cell>
          <cell r="O648">
            <v>0</v>
          </cell>
          <cell r="T648" t="str">
            <v>000000000008707</v>
          </cell>
        </row>
        <row r="649">
          <cell r="G649" t="str">
            <v/>
          </cell>
          <cell r="K649">
            <v>0</v>
          </cell>
          <cell r="L649" t="str">
            <v>持出端材</v>
          </cell>
          <cell r="T649" t="str">
            <v>000000000008707</v>
          </cell>
        </row>
        <row r="650">
          <cell r="G650" t="str">
            <v/>
          </cell>
          <cell r="K650">
            <v>0</v>
          </cell>
          <cell r="L650" t="str">
            <v>α端材</v>
          </cell>
          <cell r="M650">
            <v>0</v>
          </cell>
          <cell r="P650">
            <v>0</v>
          </cell>
          <cell r="T650" t="str">
            <v>000000000008707</v>
          </cell>
        </row>
        <row r="651">
          <cell r="I651">
            <v>0</v>
          </cell>
          <cell r="J651">
            <v>0</v>
          </cell>
          <cell r="K651">
            <v>0</v>
          </cell>
          <cell r="O651">
            <v>0</v>
          </cell>
          <cell r="T651" t="str">
            <v>000000000008704</v>
          </cell>
        </row>
        <row r="652">
          <cell r="G652" t="str">
            <v/>
          </cell>
          <cell r="I652" t="str">
            <v/>
          </cell>
          <cell r="K652">
            <v>0</v>
          </cell>
          <cell r="O652">
            <v>0</v>
          </cell>
          <cell r="T652" t="str">
            <v>000000000008704</v>
          </cell>
        </row>
        <row r="653">
          <cell r="G653" t="str">
            <v/>
          </cell>
          <cell r="K653">
            <v>0</v>
          </cell>
          <cell r="O653">
            <v>0</v>
          </cell>
          <cell r="T653" t="str">
            <v>000000000008704</v>
          </cell>
        </row>
        <row r="654">
          <cell r="G654" t="str">
            <v/>
          </cell>
          <cell r="K654">
            <v>0</v>
          </cell>
          <cell r="O654">
            <v>0</v>
          </cell>
          <cell r="T654" t="str">
            <v>000000000008704</v>
          </cell>
        </row>
        <row r="655">
          <cell r="G655" t="str">
            <v/>
          </cell>
          <cell r="K655">
            <v>0</v>
          </cell>
          <cell r="O655">
            <v>0</v>
          </cell>
          <cell r="T655" t="str">
            <v>000000000008704</v>
          </cell>
        </row>
        <row r="656">
          <cell r="G656" t="str">
            <v/>
          </cell>
          <cell r="K656">
            <v>0</v>
          </cell>
          <cell r="L656" t="str">
            <v>旧品加工</v>
          </cell>
          <cell r="O656">
            <v>0</v>
          </cell>
          <cell r="T656" t="str">
            <v>000000000008704</v>
          </cell>
        </row>
        <row r="657">
          <cell r="G657" t="str">
            <v/>
          </cell>
          <cell r="K657">
            <v>0</v>
          </cell>
          <cell r="L657" t="str">
            <v>持出端材</v>
          </cell>
          <cell r="T657" t="str">
            <v>000000000008704</v>
          </cell>
        </row>
        <row r="658">
          <cell r="G658" t="str">
            <v/>
          </cell>
          <cell r="K658">
            <v>0</v>
          </cell>
          <cell r="L658" t="str">
            <v>α端材</v>
          </cell>
          <cell r="M658">
            <v>0</v>
          </cell>
          <cell r="P658">
            <v>0</v>
          </cell>
          <cell r="T658" t="str">
            <v>000000000008704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28" workbookViewId="0">
      <selection activeCell="AG40" sqref="AG40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5" t="s">
        <v>0</v>
      </c>
      <c r="C1" s="127"/>
      <c r="D1" s="127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27"/>
      <c r="C2" s="127"/>
      <c r="D2" s="127"/>
      <c r="E2" s="12"/>
      <c r="F2" s="12"/>
      <c r="G2" s="12"/>
      <c r="H2" s="12"/>
      <c r="I2" s="12"/>
      <c r="J2" s="12"/>
    </row>
    <row r="3" spans="1:10" ht="14.25" customHeight="1">
      <c r="A3" s="141" t="s">
        <v>1</v>
      </c>
      <c r="B3" s="141" t="s">
        <v>2</v>
      </c>
      <c r="C3" s="141" t="s">
        <v>3</v>
      </c>
      <c r="D3" s="148">
        <v>2574</v>
      </c>
      <c r="E3" s="141" t="s">
        <v>4</v>
      </c>
      <c r="F3" s="159" t="s">
        <v>5</v>
      </c>
      <c r="G3" s="127"/>
      <c r="H3" s="160"/>
      <c r="I3" s="13" t="s">
        <v>6</v>
      </c>
      <c r="J3" s="13" t="s">
        <v>7</v>
      </c>
    </row>
    <row r="4" spans="1:10" ht="14.25" customHeight="1">
      <c r="A4" s="127"/>
      <c r="B4" s="127"/>
      <c r="C4" s="127"/>
      <c r="D4" s="127"/>
      <c r="E4" s="127"/>
      <c r="F4" s="127"/>
      <c r="G4" s="127"/>
      <c r="H4" s="160"/>
      <c r="I4" s="157"/>
      <c r="J4" s="157"/>
    </row>
    <row r="5" spans="1:10" ht="17.45" customHeight="1">
      <c r="A5" s="130" t="s">
        <v>8</v>
      </c>
      <c r="B5" s="130" t="s">
        <v>9</v>
      </c>
      <c r="E5" s="130" t="s">
        <v>10</v>
      </c>
      <c r="F5" s="165" t="s">
        <v>11</v>
      </c>
      <c r="G5" s="127"/>
      <c r="H5" s="160"/>
      <c r="I5" s="158"/>
      <c r="J5" s="158"/>
    </row>
    <row r="6" spans="1:10" ht="17.45" customHeight="1">
      <c r="A6" s="127"/>
      <c r="B6" s="127"/>
      <c r="E6" s="127"/>
      <c r="F6" s="127"/>
      <c r="G6" s="127"/>
      <c r="H6" s="160"/>
      <c r="I6" s="14"/>
      <c r="J6" s="14"/>
    </row>
    <row r="7" spans="1:10" ht="17.45" customHeight="1">
      <c r="A7" s="130" t="s">
        <v>12</v>
      </c>
      <c r="B7" s="130" t="s">
        <v>13</v>
      </c>
      <c r="E7" s="2" t="s">
        <v>14</v>
      </c>
      <c r="F7" s="161" t="s">
        <v>15</v>
      </c>
      <c r="G7" s="127"/>
      <c r="H7" s="21"/>
    </row>
    <row r="8" spans="1:10" ht="17.45" customHeight="1">
      <c r="A8" s="127"/>
      <c r="B8" s="127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45961</v>
      </c>
      <c r="E9" s="2" t="s">
        <v>19</v>
      </c>
      <c r="F9" s="126">
        <v>100</v>
      </c>
      <c r="G9" s="127"/>
      <c r="H9" s="21"/>
    </row>
    <row r="10" spans="1:10" ht="17.45" customHeight="1">
      <c r="A10" s="2" t="s">
        <v>20</v>
      </c>
      <c r="B10" s="4">
        <v>45961</v>
      </c>
      <c r="E10" s="2" t="s">
        <v>21</v>
      </c>
      <c r="F10" s="21">
        <v>1</v>
      </c>
      <c r="G10" s="151" t="s">
        <v>22</v>
      </c>
      <c r="H10" s="142">
        <v>100</v>
      </c>
      <c r="I10" s="143"/>
      <c r="J10" s="144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45"/>
      <c r="H11" s="145"/>
      <c r="I11" s="146"/>
      <c r="J11" s="147"/>
    </row>
    <row r="12" spans="1:10" ht="13.5" customHeight="1">
      <c r="A12" s="163" t="s">
        <v>25</v>
      </c>
      <c r="B12" s="127"/>
      <c r="C12" s="127"/>
      <c r="D12" s="20"/>
      <c r="F12" s="3"/>
      <c r="G12" s="137" t="s">
        <v>26</v>
      </c>
      <c r="H12" s="124" t="s">
        <v>27</v>
      </c>
      <c r="I12" s="164" t="s">
        <v>28</v>
      </c>
      <c r="J12" s="160"/>
    </row>
    <row r="13" spans="1:10" ht="13.5" customHeight="1">
      <c r="A13" s="127"/>
      <c r="B13" s="127"/>
      <c r="C13" s="127"/>
      <c r="D13" s="20"/>
      <c r="F13" s="3"/>
      <c r="G13" s="125"/>
      <c r="H13" s="125"/>
      <c r="I13" s="146"/>
      <c r="J13" s="147"/>
    </row>
    <row r="14" spans="1:10" ht="13.5" customHeight="1">
      <c r="A14" s="1" t="s">
        <v>29</v>
      </c>
    </row>
    <row r="15" spans="1:10" ht="63" customHeight="1" thickBot="1">
      <c r="A15" s="149"/>
      <c r="B15" s="150"/>
      <c r="C15" s="150"/>
      <c r="D15" s="150"/>
      <c r="E15" s="150"/>
      <c r="F15" s="150"/>
      <c r="G15" s="150"/>
      <c r="H15" s="150"/>
      <c r="I15" s="150"/>
      <c r="J15" s="150"/>
    </row>
    <row r="16" spans="1:10" ht="18.75">
      <c r="A16" s="23" t="s">
        <v>30</v>
      </c>
      <c r="B16" s="16" t="s">
        <v>31</v>
      </c>
      <c r="C16" s="154" t="s">
        <v>32</v>
      </c>
      <c r="D16" s="155"/>
      <c r="E16" s="16" t="s">
        <v>33</v>
      </c>
      <c r="F16" s="154" t="s">
        <v>34</v>
      </c>
      <c r="G16" s="155"/>
      <c r="H16" s="155"/>
      <c r="I16" s="156" t="s">
        <v>35</v>
      </c>
      <c r="J16" s="155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28" t="s">
        <v>37</v>
      </c>
      <c r="D18" s="129"/>
      <c r="E18" s="24" t="s">
        <v>38</v>
      </c>
      <c r="F18" s="128" t="s">
        <v>39</v>
      </c>
      <c r="G18" s="129"/>
      <c r="H18" s="129"/>
      <c r="I18" s="136"/>
      <c r="J18" s="129"/>
    </row>
    <row r="19" spans="1:10" s="7" customFormat="1" ht="16.5" customHeight="1">
      <c r="A19" s="22">
        <v>1</v>
      </c>
      <c r="B19" s="25" t="s">
        <v>36</v>
      </c>
      <c r="C19" s="128" t="s">
        <v>37</v>
      </c>
      <c r="D19" s="129"/>
      <c r="E19" s="24" t="s">
        <v>40</v>
      </c>
      <c r="F19" s="128" t="s">
        <v>41</v>
      </c>
      <c r="G19" s="129"/>
      <c r="H19" s="129"/>
      <c r="I19" s="136"/>
      <c r="J19" s="129"/>
    </row>
    <row r="20" spans="1:10" s="7" customFormat="1" ht="16.5" customHeight="1">
      <c r="A20" s="22"/>
      <c r="B20" s="25"/>
      <c r="C20" s="128"/>
      <c r="D20" s="129"/>
      <c r="E20" s="24"/>
      <c r="F20" s="128"/>
      <c r="G20" s="129"/>
      <c r="H20" s="129"/>
      <c r="I20" s="136"/>
      <c r="J20" s="129"/>
    </row>
    <row r="21" spans="1:10" s="7" customFormat="1" ht="16.5" customHeight="1">
      <c r="A21" s="22"/>
      <c r="B21" s="25"/>
      <c r="C21" s="128"/>
      <c r="D21" s="129"/>
      <c r="E21" s="24"/>
      <c r="F21" s="128"/>
      <c r="G21" s="129"/>
      <c r="H21" s="129"/>
      <c r="I21" s="136"/>
      <c r="J21" s="129"/>
    </row>
    <row r="22" spans="1:10" s="7" customFormat="1" ht="16.5" customHeight="1">
      <c r="A22" s="22"/>
      <c r="B22" s="25"/>
      <c r="C22" s="128"/>
      <c r="D22" s="129"/>
      <c r="E22" s="24"/>
      <c r="F22" s="128"/>
      <c r="G22" s="129"/>
      <c r="H22" s="129"/>
      <c r="I22" s="136"/>
      <c r="J22" s="129"/>
    </row>
    <row r="23" spans="1:10" s="7" customFormat="1" ht="16.5" customHeight="1">
      <c r="A23" s="22"/>
      <c r="B23" s="25"/>
      <c r="C23" s="128"/>
      <c r="D23" s="129"/>
      <c r="E23" s="24"/>
      <c r="F23" s="128"/>
      <c r="G23" s="129"/>
      <c r="H23" s="129"/>
      <c r="I23" s="136"/>
      <c r="J23" s="129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9" t="s">
        <v>42</v>
      </c>
      <c r="B25" s="140"/>
      <c r="C25" s="139" t="s">
        <v>43</v>
      </c>
      <c r="D25" s="140"/>
      <c r="E25" s="140"/>
      <c r="F25" s="17" t="s">
        <v>44</v>
      </c>
      <c r="G25" s="139" t="s">
        <v>45</v>
      </c>
      <c r="H25" s="140"/>
      <c r="I25" s="139" t="s">
        <v>46</v>
      </c>
      <c r="J25" s="140"/>
    </row>
    <row r="26" spans="1:10" ht="14.25" customHeight="1">
      <c r="A26" s="8"/>
      <c r="B26" s="18"/>
      <c r="C26" s="162" t="s">
        <v>47</v>
      </c>
      <c r="D26" s="146"/>
      <c r="E26" s="18"/>
      <c r="F26" s="162" t="s">
        <v>29</v>
      </c>
      <c r="G26" s="146"/>
      <c r="H26" s="146"/>
      <c r="I26" s="146"/>
      <c r="J26" s="146"/>
    </row>
    <row r="27" spans="1:10">
      <c r="A27" s="9"/>
      <c r="C27" s="7"/>
      <c r="D27" s="7"/>
      <c r="E27" s="7"/>
    </row>
    <row r="28" spans="1:10" s="5" customFormat="1" ht="14.25" customHeight="1">
      <c r="A28" s="138" t="s">
        <v>50</v>
      </c>
      <c r="B28" s="131"/>
      <c r="C28" s="128" t="s">
        <v>48</v>
      </c>
      <c r="D28" s="131"/>
      <c r="E28" s="131"/>
      <c r="F28" s="26" t="s">
        <v>27</v>
      </c>
      <c r="G28" s="132">
        <v>100</v>
      </c>
      <c r="H28" s="131"/>
      <c r="I28" s="132">
        <v>1</v>
      </c>
      <c r="J28" s="131"/>
    </row>
    <row r="29" spans="1:10" s="7" customFormat="1" ht="24.95" customHeight="1">
      <c r="A29" s="133" t="s">
        <v>49</v>
      </c>
      <c r="B29" s="129"/>
      <c r="C29" s="128" t="s">
        <v>11</v>
      </c>
      <c r="D29" s="129"/>
      <c r="E29" s="129"/>
      <c r="F29" s="128"/>
      <c r="G29" s="129"/>
      <c r="H29" s="129"/>
      <c r="I29" s="129"/>
      <c r="J29" s="129"/>
    </row>
    <row r="30" spans="1:10" s="5" customFormat="1" ht="14.25" customHeight="1">
      <c r="A30" s="128"/>
      <c r="B30" s="131"/>
      <c r="C30" s="128"/>
      <c r="D30" s="131"/>
      <c r="E30" s="131"/>
      <c r="F30" s="26"/>
      <c r="G30" s="132"/>
      <c r="H30" s="131"/>
      <c r="I30" s="132"/>
      <c r="J30" s="131"/>
    </row>
    <row r="31" spans="1:10" s="7" customFormat="1" ht="24.95" customHeight="1">
      <c r="A31" s="133"/>
      <c r="B31" s="129"/>
      <c r="C31" s="128"/>
      <c r="D31" s="129"/>
      <c r="E31" s="129"/>
      <c r="F31" s="128"/>
      <c r="G31" s="129"/>
      <c r="H31" s="129"/>
      <c r="I31" s="129"/>
      <c r="J31" s="129"/>
    </row>
    <row r="32" spans="1:10" s="5" customFormat="1" ht="14.25" customHeight="1">
      <c r="A32" s="128"/>
      <c r="B32" s="131"/>
      <c r="C32" s="128"/>
      <c r="D32" s="131"/>
      <c r="E32" s="131"/>
      <c r="F32" s="26"/>
      <c r="G32" s="132"/>
      <c r="H32" s="131"/>
      <c r="I32" s="132"/>
      <c r="J32" s="131"/>
    </row>
    <row r="33" spans="1:14" s="7" customFormat="1" ht="24.95" customHeight="1">
      <c r="A33" s="133"/>
      <c r="B33" s="129"/>
      <c r="C33" s="128"/>
      <c r="D33" s="129"/>
      <c r="E33" s="129"/>
      <c r="F33" s="128"/>
      <c r="G33" s="129"/>
      <c r="H33" s="129"/>
      <c r="I33" s="129"/>
      <c r="J33" s="129"/>
    </row>
    <row r="34" spans="1:14" s="5" customFormat="1" ht="14.25" customHeight="1">
      <c r="A34" s="128"/>
      <c r="B34" s="131"/>
      <c r="C34" s="128"/>
      <c r="D34" s="131"/>
      <c r="E34" s="131"/>
      <c r="F34" s="26"/>
      <c r="G34" s="132"/>
      <c r="H34" s="131"/>
      <c r="I34" s="132"/>
      <c r="J34" s="131"/>
    </row>
    <row r="35" spans="1:14" s="7" customFormat="1" ht="24.95" customHeight="1">
      <c r="A35" s="133"/>
      <c r="B35" s="129"/>
      <c r="C35" s="128"/>
      <c r="D35" s="129"/>
      <c r="E35" s="129"/>
      <c r="F35" s="128"/>
      <c r="G35" s="129"/>
      <c r="H35" s="129"/>
      <c r="I35" s="129"/>
      <c r="J35" s="129"/>
    </row>
    <row r="36" spans="1:14" s="5" customFormat="1" ht="14.25" customHeight="1">
      <c r="A36" s="128"/>
      <c r="B36" s="131"/>
      <c r="C36" s="128"/>
      <c r="D36" s="131"/>
      <c r="E36" s="131"/>
      <c r="F36" s="26"/>
      <c r="G36" s="132"/>
      <c r="H36" s="131"/>
      <c r="I36" s="132"/>
      <c r="J36" s="131"/>
    </row>
    <row r="37" spans="1:14" s="7" customFormat="1" ht="24.95" customHeight="1" thickBot="1">
      <c r="A37" s="133"/>
      <c r="B37" s="129"/>
      <c r="C37" s="128"/>
      <c r="D37" s="129"/>
      <c r="E37" s="129"/>
      <c r="F37" s="128"/>
      <c r="G37" s="129"/>
      <c r="H37" s="129"/>
      <c r="I37" s="129"/>
      <c r="J37" s="129"/>
    </row>
    <row r="38" spans="1:14" s="5" customFormat="1" ht="18" customHeight="1">
      <c r="A38" s="152" t="s">
        <v>51</v>
      </c>
      <c r="B38" s="153"/>
      <c r="C38" s="153"/>
      <c r="D38" s="153"/>
      <c r="E38" s="116" t="s">
        <v>52</v>
      </c>
      <c r="F38" s="117"/>
      <c r="G38" s="27" t="s">
        <v>53</v>
      </c>
      <c r="H38" s="118" t="s">
        <v>54</v>
      </c>
      <c r="I38" s="119"/>
      <c r="J38" s="28" t="s">
        <v>55</v>
      </c>
    </row>
    <row r="39" spans="1:14" s="7" customFormat="1" ht="18" customHeight="1">
      <c r="A39" s="120" t="str">
        <f>_xlfn.XLOOKUP(B3,[1]VFDB2!A:A,[1]VFDB2!B:B)</f>
        <v>MDPQ-689B L4 　L=2574　　</v>
      </c>
      <c r="B39" s="121"/>
      <c r="C39" s="121"/>
      <c r="D39" s="121"/>
      <c r="E39" s="166" t="s">
        <v>80</v>
      </c>
      <c r="F39" s="167"/>
      <c r="G39" s="134" t="s">
        <v>80</v>
      </c>
      <c r="H39" s="29" t="s">
        <v>56</v>
      </c>
      <c r="I39" s="30" cm="1">
        <f t="array" ref="I39:J39">IFERROR(IF(ISBLANK(INDEX(_xlfn._xlws.FILTER([1]加工記録２!$O$3:$P$999991, [1]加工記録２!$T$3:$T$999991=B5), 1)), "", INDEX(_xlfn._xlws.FILTER([1]加工記録２!$O$3:$P$999991, [1]加工記録２!$T$3:$T$999991=B5), 1)),"")</f>
        <v>45959</v>
      </c>
      <c r="J39" s="31" t="str">
        <v/>
      </c>
    </row>
    <row r="40" spans="1:14" s="5" customFormat="1" ht="18" customHeight="1">
      <c r="A40" s="122"/>
      <c r="B40" s="123"/>
      <c r="C40" s="123"/>
      <c r="D40" s="123"/>
      <c r="E40" s="166"/>
      <c r="F40" s="167"/>
      <c r="G40" s="134"/>
      <c r="H40" s="29" t="s">
        <v>57</v>
      </c>
      <c r="I40" s="32" cm="1">
        <f t="array" ref="I40:J40">IFERROR(IF(ISBLANK(INDEX(_xlfn._xlws.FILTER([1]加工記録２!$O$3:$P$999991, [1]加工記録２!$T$3:$T$999991=B5), 2)), "", INDEX(_xlfn._xlws.FILTER([1]加工記録２!$O$3:$P$999991, [1]加工記録２!$T$3:$T$999991=B5), 2)),"")</f>
        <v>100</v>
      </c>
      <c r="J40" s="33" t="str">
        <v/>
      </c>
      <c r="K40" s="34"/>
    </row>
    <row r="41" spans="1:14" s="7" customFormat="1" ht="18" customHeight="1">
      <c r="A41" s="88" t="s">
        <v>58</v>
      </c>
      <c r="B41" s="103" t="str">
        <f>_xlfn.XLOOKUP(B3,[1]VFDB2!A:A,[1]VFDB2!J:J)</f>
        <v>-</v>
      </c>
      <c r="C41" s="105" t="s">
        <v>59</v>
      </c>
      <c r="D41" s="107">
        <f>_xlfn.XLOOKUP(B3,[1]VFDB2!A:A,[1]VFDB2!P:P)</f>
        <v>1</v>
      </c>
      <c r="E41" s="96" t="str">
        <f>_xlfn.XLOOKUP(B3,[1]VFDB2!A:A,[1]VFDB2!V:V)</f>
        <v>寸法Wチェック</v>
      </c>
      <c r="F41" s="97"/>
      <c r="G41" s="98"/>
      <c r="H41" s="35" t="s">
        <v>60</v>
      </c>
      <c r="I41" s="32" cm="1">
        <f t="array" ref="I41:J41">IFERROR(IF(ISBLANK(INDEX(_xlfn._xlws.FILTER([1]加工記録２!$O$3:$P$999991, [1]加工記録２!$T$3:$T$999991=B5), 3)), "", INDEX(_xlfn._xlws.FILTER([1]加工記録２!$O$3:$P$999991, [1]加工記録２!$T$3:$T$999991=B5), 3)),"")</f>
        <v>100</v>
      </c>
      <c r="J41" s="36" t="str">
        <v/>
      </c>
      <c r="K41" s="37"/>
    </row>
    <row r="42" spans="1:14" s="5" customFormat="1" ht="18" customHeight="1">
      <c r="A42" s="102"/>
      <c r="B42" s="104"/>
      <c r="C42" s="106"/>
      <c r="D42" s="108"/>
      <c r="E42" s="96"/>
      <c r="F42" s="97"/>
      <c r="G42" s="98"/>
      <c r="H42" s="35" t="s">
        <v>61</v>
      </c>
      <c r="I42" s="32" cm="1">
        <f t="array" ref="I42:J42">IFERROR(IF(ISBLANK(INDEX(_xlfn._xlws.FILTER([1]加工記録２!$O$3:$P$999991, [1]加工記録２!$T$3:$T$999991=B5), 4)), "", INDEX(_xlfn._xlws.FILTER([1]加工記録２!$O$3:$P$999991, [1]加工記録２!$T$3:$T$999991=B5), 4)),"")</f>
        <v>0</v>
      </c>
      <c r="J42" s="38" t="str">
        <v/>
      </c>
      <c r="K42" s="34"/>
    </row>
    <row r="43" spans="1:14" s="7" customFormat="1" ht="18" customHeight="1">
      <c r="A43" s="109" t="s">
        <v>62</v>
      </c>
      <c r="B43" s="111">
        <f>D3</f>
        <v>2574</v>
      </c>
      <c r="C43" s="113" t="s">
        <v>63</v>
      </c>
      <c r="D43" s="94" t="str">
        <f>_xlfn.XLOOKUP(B3,[1]VFDB2!A:A,[1]VFDB2!L:L)</f>
        <v>+1.5</v>
      </c>
      <c r="E43" s="96" t="str">
        <f>_xlfn.XLOOKUP(B3,[1]VFDB2!A:A,[1]VFDB2!W:W)</f>
        <v>専用スケール使用</v>
      </c>
      <c r="F43" s="97"/>
      <c r="G43" s="98"/>
      <c r="H43" s="35" t="s">
        <v>64</v>
      </c>
      <c r="I43" s="32" cm="1">
        <f t="array" ref="I43:J43">IFERROR(IF(ISBLANK(INDEX(_xlfn._xlws.FILTER([1]加工記録２!$O$3:$P$999991, [1]加工記録２!$T$3:$T$999991=B5), 5)), "", INDEX(_xlfn._xlws.FILTER([1]加工記録２!$O$3:$P$999991, [1]加工記録２!$T$3:$T$999991=B5), 5)),"")</f>
        <v>0</v>
      </c>
      <c r="J43" s="39" t="str">
        <v/>
      </c>
      <c r="K43" s="37"/>
    </row>
    <row r="44" spans="1:14" s="5" customFormat="1" ht="18" customHeight="1">
      <c r="A44" s="110"/>
      <c r="B44" s="112"/>
      <c r="C44" s="114"/>
      <c r="D44" s="115"/>
      <c r="E44" s="96"/>
      <c r="F44" s="97"/>
      <c r="G44" s="98"/>
      <c r="H44" s="35" t="s">
        <v>65</v>
      </c>
      <c r="I44" s="32" cm="1">
        <f t="array" ref="I44:J44">IFERROR(IF(ISBLANK(INDEX(_xlfn._xlws.FILTER([1]加工記録２!$O$3:$P$999991, [1]加工記録２!$T$3:$T$999991=B5), 6)), "", INDEX(_xlfn._xlws.FILTER([1]加工記録２!$O$3:$P$999991, [1]加工記録２!$T$3:$T$999991=B5), 6)),"")</f>
        <v>0</v>
      </c>
      <c r="J44" s="40" t="str">
        <v/>
      </c>
      <c r="K44" s="34"/>
    </row>
    <row r="45" spans="1:14" s="7" customFormat="1" ht="18" customHeight="1">
      <c r="A45" s="88" t="s">
        <v>66</v>
      </c>
      <c r="B45" s="90">
        <f>_xlfn.XLOOKUP(B3,[1]VFDB2!A:A,[1]VFDB2!AC:AC)</f>
        <v>2575</v>
      </c>
      <c r="C45" s="92" t="s">
        <v>67</v>
      </c>
      <c r="D45" s="94">
        <f>_xlfn.XLOOKUP(B3,[1]VFDB2!A:A,[1]VFDB2!K:K)</f>
        <v>-0.5</v>
      </c>
      <c r="E45" s="96" t="str">
        <f>_xlfn.XLOOKUP(B3,[1]VFDB2!A:A,[1]VFDB2!R:R)</f>
        <v>ラベル２枚　長手有　鉢巻２</v>
      </c>
      <c r="F45" s="97"/>
      <c r="G45" s="98"/>
      <c r="H45" s="35" t="s">
        <v>68</v>
      </c>
      <c r="I45" s="32" t="str" cm="1">
        <f t="array" ref="I45:J45">IFERROR(IF(ISBLANK(INDEX(_xlfn._xlws.FILTER([1]加工記録２!$O$3:$P$999991, [1]加工記録２!$T$3:$T$999991=B5), 7)), "", INDEX(_xlfn._xlws.FILTER([1]加工記録２!$O$3:$P$999991, [1]加工記録２!$T$3:$T$999991=B5), 7)),"")</f>
        <v>M</v>
      </c>
      <c r="J45" s="41" t="str">
        <v/>
      </c>
      <c r="K45" s="37"/>
    </row>
    <row r="46" spans="1:14" s="5" customFormat="1" ht="18" customHeight="1" thickBot="1">
      <c r="A46" s="89"/>
      <c r="B46" s="91"/>
      <c r="C46" s="93"/>
      <c r="D46" s="95"/>
      <c r="E46" s="99"/>
      <c r="F46" s="100"/>
      <c r="G46" s="101"/>
      <c r="H46" s="42" t="s">
        <v>69</v>
      </c>
      <c r="I46" s="43" t="str" cm="1">
        <f t="array" ref="I46:J46">IFERROR(IF(ISBLANK(INDEX(_xlfn._xlws.FILTER([1]加工記録２!$O$3:$P$999991, [1]加工記録２!$T$3:$T$999991=B5), 8)), "", INDEX(_xlfn._xlws.FILTER([1]加工記録２!$O$3:$P$999991, [1]加工記録２!$T$3:$T$999991=B5), 8)),"")</f>
        <v>M</v>
      </c>
      <c r="J46" s="44">
        <v>0</v>
      </c>
    </row>
    <row r="47" spans="1:14" s="55" customFormat="1" ht="18.95" customHeight="1">
      <c r="A47" s="45" t="s">
        <v>70</v>
      </c>
      <c r="B47" s="46" t="s">
        <v>71</v>
      </c>
      <c r="C47" s="47" t="s">
        <v>72</v>
      </c>
      <c r="D47" s="47" t="s">
        <v>73</v>
      </c>
      <c r="E47" s="48" t="s">
        <v>74</v>
      </c>
      <c r="F47" s="49" t="s">
        <v>75</v>
      </c>
      <c r="G47" s="50" t="s">
        <v>76</v>
      </c>
      <c r="H47" s="51" t="s">
        <v>77</v>
      </c>
      <c r="I47" s="52" t="s">
        <v>78</v>
      </c>
      <c r="J47" s="53" t="s">
        <v>79</v>
      </c>
      <c r="K47" s="54"/>
      <c r="L47" s="54"/>
      <c r="M47" s="54"/>
      <c r="N47" s="54"/>
    </row>
    <row r="48" spans="1:14" s="66" customFormat="1" ht="18.95" customHeight="1">
      <c r="A48" s="56" t="str" cm="1">
        <f t="array" ref="A48:J48">IFERROR(IF(ISBLANK(INDEX(_xlfn._xlws.FILTER([1]加工記録２!$D$3:$M$999991, [1]加工記録２!$T$3:$T$999991=B5), 1)), "", INDEX(_xlfn._xlws.FILTER([1]加工記録２!$D$3:$M$999991, [1]加工記録２!$T$3:$T$999991=B5), 1)),"")</f>
        <v/>
      </c>
      <c r="B48" s="57" t="str">
        <v/>
      </c>
      <c r="C48" s="58" t="str">
        <v/>
      </c>
      <c r="D48" s="58" t="str">
        <v/>
      </c>
      <c r="E48" s="59" t="str">
        <v/>
      </c>
      <c r="F48" s="60">
        <v>0</v>
      </c>
      <c r="G48" s="61">
        <v>0</v>
      </c>
      <c r="H48" s="62">
        <v>0</v>
      </c>
      <c r="I48" s="63">
        <v>45959</v>
      </c>
      <c r="J48" s="64">
        <v>1</v>
      </c>
      <c r="K48" s="65"/>
      <c r="L48" s="65"/>
      <c r="M48" s="65"/>
      <c r="N48" s="65"/>
    </row>
    <row r="49" spans="1:14" s="66" customFormat="1" ht="18.95" customHeight="1">
      <c r="A49" s="67" cm="1">
        <f t="array" ref="A49:J49">IFERROR(IF(ISBLANK(INDEX(_xlfn._xlws.FILTER([1]加工記録２!$D$3:$M$999991, [1]加工記録２!$T$3:$T$999991=B5), 2)), "", INDEX(_xlfn._xlws.FILTER([1]加工記録２!$D$3:$M$999991, [1]加工記録２!$T$3:$T$999991=B5), 2)),"")</f>
        <v>45959</v>
      </c>
      <c r="B49" s="68" t="str">
        <v>21L09B ③</v>
      </c>
      <c r="C49" s="68" t="str">
        <v/>
      </c>
      <c r="D49" s="68">
        <v>2574</v>
      </c>
      <c r="E49" s="69">
        <v>2574.5</v>
      </c>
      <c r="F49" s="70" t="str">
        <v>21L09B ③</v>
      </c>
      <c r="G49" s="71">
        <v>100</v>
      </c>
      <c r="H49" s="72">
        <v>100</v>
      </c>
      <c r="I49" s="63" t="str">
        <v/>
      </c>
      <c r="J49" s="64" t="str">
        <v/>
      </c>
      <c r="K49" s="65"/>
      <c r="L49" s="65"/>
      <c r="M49" s="65"/>
      <c r="N49" s="65"/>
    </row>
    <row r="50" spans="1:14" s="66" customFormat="1" ht="18.95" customHeight="1">
      <c r="A50" s="67" cm="1">
        <f t="array" ref="A50:J50">IFERROR(IF(ISBLANK(INDEX(_xlfn._xlws.FILTER([1]加工記録２!$D$3:$M$999991, [1]加工記録２!$T$3:$T$999991=B5), 3)), "", INDEX(_xlfn._xlws.FILTER([1]加工記録２!$D$3:$M$999991, [1]加工記録２!$T$3:$T$999991=B5), 3)),"")</f>
        <v>45959</v>
      </c>
      <c r="B50" s="68" t="str">
        <v>21L09B ③</v>
      </c>
      <c r="C50" s="68" t="str">
        <v/>
      </c>
      <c r="D50" s="68">
        <v>2574</v>
      </c>
      <c r="E50" s="69">
        <v>2573.9</v>
      </c>
      <c r="F50" s="70" t="str">
        <v/>
      </c>
      <c r="G50" s="71" t="str">
        <v/>
      </c>
      <c r="H50" s="72">
        <v>0</v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67" t="str" cm="1">
        <f t="array" ref="A51:J51">IFERROR(IF(ISBLANK(INDEX(_xlfn._xlws.FILTER([1]加工記録２!$D$3:$M$999991, [1]加工記録２!$T$3:$T$999991=B5), 4)), "", INDEX(_xlfn._xlws.FILTER([1]加工記録２!$D$3:$M$999991, [1]加工記録２!$T$3:$T$999991=B5), 4)),"")</f>
        <v/>
      </c>
      <c r="B51" s="68" t="str">
        <v/>
      </c>
      <c r="C51" s="68" t="str">
        <v/>
      </c>
      <c r="D51" s="68">
        <v>2574</v>
      </c>
      <c r="E51" s="69" t="str">
        <v/>
      </c>
      <c r="F51" s="70" t="str">
        <v/>
      </c>
      <c r="G51" s="71" t="str">
        <v/>
      </c>
      <c r="H51" s="72">
        <v>0</v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67" t="str" cm="1">
        <f t="array" ref="A52:J52">IFERROR(IF(ISBLANK(INDEX(_xlfn._xlws.FILTER([1]加工記録２!$D$3:$M$999991, [1]加工記録２!$T$3:$T$999991=B5), 5)), "", INDEX(_xlfn._xlws.FILTER([1]加工記録２!$D$3:$M$999991, [1]加工記録２!$T$3:$T$999991=B5), 5)),"")</f>
        <v/>
      </c>
      <c r="B52" s="68" t="str">
        <v/>
      </c>
      <c r="C52" s="68" t="str">
        <v/>
      </c>
      <c r="D52" s="68">
        <v>2574</v>
      </c>
      <c r="E52" s="69" t="str">
        <v/>
      </c>
      <c r="F52" s="70" t="str">
        <v/>
      </c>
      <c r="G52" s="71" t="str">
        <v/>
      </c>
      <c r="H52" s="72">
        <v>0</v>
      </c>
      <c r="I52" s="73" t="str">
        <v/>
      </c>
      <c r="J52" s="74" t="str">
        <v/>
      </c>
      <c r="K52" s="65"/>
      <c r="L52" s="65"/>
      <c r="M52" s="65"/>
      <c r="N52" s="65"/>
    </row>
    <row r="53" spans="1:14" s="66" customFormat="1" ht="18.95" customHeight="1">
      <c r="A53" s="67" t="str" cm="1">
        <f t="array" ref="A53:J53">IFERROR(IF(ISBLANK(INDEX(_xlfn._xlws.FILTER([1]加工記録２!$D$3:$M$999991, [1]加工記録２!$T$3:$T$999991=B5), 6)), "", INDEX(_xlfn._xlws.FILTER([1]加工記録２!$D$3:$M$999991, [1]加工記録２!$T$3:$T$999991=B5), 6)),"")</f>
        <v/>
      </c>
      <c r="B53" s="68" t="str">
        <v/>
      </c>
      <c r="C53" s="68" t="str">
        <v/>
      </c>
      <c r="D53" s="68">
        <v>2574</v>
      </c>
      <c r="E53" s="69" t="str">
        <v/>
      </c>
      <c r="F53" s="70" t="str">
        <v/>
      </c>
      <c r="G53" s="71" t="str">
        <v/>
      </c>
      <c r="H53" s="75">
        <v>0</v>
      </c>
      <c r="I53" s="76" t="str">
        <v>旧品加工</v>
      </c>
      <c r="J53" s="77" t="str">
        <v/>
      </c>
      <c r="K53" s="65"/>
      <c r="L53" s="65"/>
      <c r="M53" s="65"/>
      <c r="N53" s="65"/>
    </row>
    <row r="54" spans="1:14" s="66" customFormat="1" ht="18.95" customHeight="1">
      <c r="A54" s="67" t="str" cm="1">
        <f t="array" ref="A54:J54">IFERROR(IF(ISBLANK(INDEX(_xlfn._xlws.FILTER([1]加工記録２!$D$3:$M$999991, [1]加工記録２!$T$3:$T$999991=B5), 7)), "", INDEX(_xlfn._xlws.FILTER([1]加工記録２!$D$3:$M$999991, [1]加工記録２!$T$3:$T$999991=B5), 7)),"")</f>
        <v/>
      </c>
      <c r="B54" s="68" t="str">
        <v/>
      </c>
      <c r="C54" s="68" t="str">
        <v/>
      </c>
      <c r="D54" s="68">
        <v>2574</v>
      </c>
      <c r="E54" s="69" t="str">
        <v/>
      </c>
      <c r="F54" s="70" t="str">
        <v/>
      </c>
      <c r="G54" s="71" t="str">
        <v/>
      </c>
      <c r="H54" s="75">
        <v>0</v>
      </c>
      <c r="I54" s="78" t="str">
        <v>持出端材</v>
      </c>
      <c r="J54" s="79" t="str">
        <v/>
      </c>
      <c r="K54" s="65"/>
      <c r="L54" s="65"/>
      <c r="M54" s="65"/>
      <c r="N54" s="65"/>
    </row>
    <row r="55" spans="1:14" s="66" customFormat="1" ht="18.95" customHeight="1" thickBot="1">
      <c r="A55" s="80" t="str" cm="1">
        <f t="array" ref="A55:J55">IFERROR(IF(ISBLANK(INDEX(_xlfn._xlws.FILTER([1]加工記録２!$D$3:$M$999991, [1]加工記録２!$T$3:$T$999991=B5), 8)), "", INDEX(_xlfn._xlws.FILTER([1]加工記録２!$D$3:$M$999991, [1]加工記録２!$T$3:$T$999991=B5), 8)),"")</f>
        <v/>
      </c>
      <c r="B55" s="81" t="str">
        <v/>
      </c>
      <c r="C55" s="81" t="str">
        <v/>
      </c>
      <c r="D55" s="81">
        <v>2574</v>
      </c>
      <c r="E55" s="82" t="str">
        <v/>
      </c>
      <c r="F55" s="83" t="str">
        <v/>
      </c>
      <c r="G55" s="84" t="str">
        <v/>
      </c>
      <c r="H55" s="85">
        <v>0</v>
      </c>
      <c r="I55" s="86" t="str">
        <v>α端材</v>
      </c>
      <c r="J55" s="87">
        <v>0</v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A31:B31"/>
    <mergeCell ref="E5:E6"/>
    <mergeCell ref="F29:J29"/>
    <mergeCell ref="I12:J13"/>
    <mergeCell ref="F5:H6"/>
    <mergeCell ref="G32:H32"/>
    <mergeCell ref="C3:C4"/>
    <mergeCell ref="G25:H25"/>
    <mergeCell ref="E3:E4"/>
    <mergeCell ref="F18:H18"/>
    <mergeCell ref="G36:H36"/>
    <mergeCell ref="I36:J36"/>
    <mergeCell ref="C26:D26"/>
    <mergeCell ref="A25:B25"/>
    <mergeCell ref="F31:J31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F35:J35"/>
    <mergeCell ref="C32:E32"/>
    <mergeCell ref="I19:J19"/>
    <mergeCell ref="A7:A8"/>
    <mergeCell ref="G10:G11"/>
    <mergeCell ref="F22:H22"/>
    <mergeCell ref="A38:D38"/>
    <mergeCell ref="C16:D16"/>
    <mergeCell ref="I16:J16"/>
    <mergeCell ref="I25:J25"/>
    <mergeCell ref="F33:J33"/>
    <mergeCell ref="I18:J18"/>
    <mergeCell ref="F7:G7"/>
    <mergeCell ref="F23:H23"/>
    <mergeCell ref="C20:D20"/>
    <mergeCell ref="C22:D22"/>
    <mergeCell ref="F26:J26"/>
    <mergeCell ref="I21:J21"/>
    <mergeCell ref="C28:E28"/>
    <mergeCell ref="C21:D21"/>
    <mergeCell ref="I23:J23"/>
    <mergeCell ref="C30:E30"/>
    <mergeCell ref="C23:D23"/>
    <mergeCell ref="F16:H16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D3:D4"/>
    <mergeCell ref="A15:J15"/>
    <mergeCell ref="J4:J5"/>
    <mergeCell ref="F3:H4"/>
    <mergeCell ref="E38:F38"/>
    <mergeCell ref="H38:I38"/>
    <mergeCell ref="A39:D40"/>
    <mergeCell ref="E39:F40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G39:G40"/>
    <mergeCell ref="I32:J32"/>
    <mergeCell ref="A37:B37"/>
    <mergeCell ref="A45:A46"/>
    <mergeCell ref="B45:B46"/>
    <mergeCell ref="C45:C46"/>
    <mergeCell ref="D45:D46"/>
    <mergeCell ref="E45:G46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</mergeCells>
  <phoneticPr fontId="2"/>
  <conditionalFormatting sqref="D50:D55">
    <cfRule type="cellIs" dxfId="2" priority="3" operator="equal">
      <formula>$D49</formula>
    </cfRule>
  </conditionalFormatting>
  <conditionalFormatting sqref="I39">
    <cfRule type="cellIs" dxfId="1" priority="1" operator="lessThan">
      <formula>45658</formula>
    </cfRule>
  </conditionalFormatting>
  <conditionalFormatting sqref="J46">
    <cfRule type="cellIs" dxfId="0" priority="2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user</cp:lastModifiedBy>
  <cp:lastPrinted>2025-10-27T05:59:06Z</cp:lastPrinted>
  <dcterms:created xsi:type="dcterms:W3CDTF">2024-07-11T02:08:33Z</dcterms:created>
  <dcterms:modified xsi:type="dcterms:W3CDTF">2025-10-30T00:12:56Z</dcterms:modified>
</cp:coreProperties>
</file>