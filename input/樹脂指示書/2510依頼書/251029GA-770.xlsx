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0878F58-9DB4-4F21-8755-71B3BECABA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I44" i="1" a="1"/>
  <c r="I44" i="1" s="1"/>
  <c r="I43" i="1" a="1"/>
  <c r="I43" i="1" s="1"/>
  <c r="E43" i="1"/>
  <c r="D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J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<sst xmlns="http://schemas.openxmlformats.org/spreadsheetml/2006/main" count="87" uniqueCount="82">
  <si>
    <t>検査梱包指示書</t>
  </si>
  <si>
    <t>品目番号</t>
  </si>
  <si>
    <t>J1AAFAB01299999</t>
  </si>
  <si>
    <t>名称</t>
  </si>
  <si>
    <t>GA-770 (特注)BR</t>
  </si>
  <si>
    <t>上長</t>
  </si>
  <si>
    <t>係員</t>
  </si>
  <si>
    <t>製造指図№</t>
  </si>
  <si>
    <t>000000000008942</t>
  </si>
  <si>
    <t>原料名</t>
  </si>
  <si>
    <t>J1VR256D</t>
  </si>
  <si>
    <t>発注明細№</t>
  </si>
  <si>
    <t>000000000803332</t>
  </si>
  <si>
    <t>色　名</t>
  </si>
  <si>
    <t>ﾌﾞﾛﾝｽﾞ</t>
  </si>
  <si>
    <t>製品Grp</t>
  </si>
  <si>
    <t>J1AA</t>
  </si>
  <si>
    <t>開始日</t>
  </si>
  <si>
    <t>バッチ単位数</t>
  </si>
  <si>
    <t>終了日</t>
  </si>
  <si>
    <t>バッチ数</t>
  </si>
  <si>
    <t>指示数量</t>
  </si>
  <si>
    <t>*J1AAFAB01299999*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</si>
  <si>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</si>
  <si>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</si>
  <si>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</si>
  <si>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</si>
  <si>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</si>
  <si>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</si>
  <si>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</si>
  <si>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</si>
  <si>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</si>
  <si>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</si>
  <si>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</si>
  <si>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</si>
  <si>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</si>
  <si>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</si>
  <si>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</si>
  <si>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</si>
  <si>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</si>
  <si>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</si>
  <si>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</si>
  <si>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</si>
  <si>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</si>
  <si>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</si>
  <si>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J1AAFAA01215400</t>
  </si>
  <si>
    <t>@GA-770</t>
  </si>
  <si>
    <t>*J1AAFAA01215400*</t>
  </si>
  <si>
    <t>(J1VR256D)</t>
  </si>
  <si>
    <t>J6DK0030</t>
  </si>
  <si>
    <t>SB-246</t>
  </si>
  <si>
    <t>*J6DK0030*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</si>
  <si>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</si>
  <si>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</si>
  <si>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</si>
  <si>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</si>
  <si>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</si>
  <si>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</si>
  <si>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</si>
  <si>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</si>
  <si>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</si>
  <si>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</si>
  <si>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</si>
  <si>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</si>
  <si>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</si>
  <si>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</si>
  <si>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</si>
  <si>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</si>
  <si>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</si>
  <si>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</si>
  <si>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</si>
  <si>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</si>
  <si>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</si>
  <si>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</si>
  <si>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</si>
  <si>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</si>
  <si>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</si>
  <si>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</si>
  <si>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</si>
  <si>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</si>
  <si>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</si>
  <si>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L=866.0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</si>
</sst>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180976</xdr:colOff>
      <xdr:row>3</xdr:row>
      <xdr:rowOff>104776</xdr:rowOff>
    </xdr:from>
    <xdr:to>
      <xdr:col>8</xdr:col>
      <xdr:colOff>647700</xdr:colOff>
      <xdr:row>5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D207870-5311-46BE-1BD1-0F5B7BFF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6226" y="647701"/>
          <a:ext cx="466724" cy="466724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161926</xdr:colOff>
      <xdr:row>3</xdr:row>
      <xdr:rowOff>76201</xdr:rowOff>
    </xdr:from>
    <xdr:to>
      <xdr:col>9</xdr:col>
      <xdr:colOff>638176</xdr:colOff>
      <xdr:row>5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8E6B36-18FC-9BFC-B437-D5666BB9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801" y="619126"/>
          <a:ext cx="476250" cy="4762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取引 (2)"/>
      <sheetName val="加工記録２"/>
      <sheetName val="依頼書保管"/>
      <sheetName val="8FL基材M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3">
          <cell r="C3" t="str">
            <v>8FL281304 5010　L=888</v>
          </cell>
          <cell r="I3">
            <v>0</v>
          </cell>
          <cell r="K3">
            <v>0</v>
          </cell>
          <cell r="L3">
            <v>45959</v>
          </cell>
          <cell r="M3">
            <v>11</v>
          </cell>
          <cell r="O3">
            <v>45960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>
            <v>45960</v>
          </cell>
          <cell r="M4">
            <v>9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K6">
            <v>0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K7">
            <v>0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K8">
            <v>0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G9" t="str">
            <v/>
          </cell>
          <cell r="K9">
            <v>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I11">
            <v>0</v>
          </cell>
          <cell r="K11">
            <v>0</v>
          </cell>
          <cell r="L11">
            <v>45960</v>
          </cell>
          <cell r="M11">
            <v>4</v>
          </cell>
          <cell r="O11">
            <v>45960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K13">
            <v>0</v>
          </cell>
          <cell r="O13">
            <v>201</v>
          </cell>
          <cell r="T13" t="str">
            <v>000000000008361</v>
          </cell>
        </row>
        <row r="14">
          <cell r="G14" t="str">
            <v/>
          </cell>
          <cell r="K14">
            <v>0</v>
          </cell>
          <cell r="O14">
            <v>1</v>
          </cell>
          <cell r="T14" t="str">
            <v>000000000008361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0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>
            <v>45961</v>
          </cell>
          <cell r="M19">
            <v>2</v>
          </cell>
          <cell r="O19">
            <v>45961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K21">
            <v>0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G22" t="str">
            <v/>
          </cell>
          <cell r="K22">
            <v>0</v>
          </cell>
          <cell r="O22">
            <v>1</v>
          </cell>
          <cell r="T22" t="str">
            <v>000000000008360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25J16-15</v>
          </cell>
          <cell r="I27" t="str">
            <v>25J16-15</v>
          </cell>
          <cell r="J27">
            <v>7</v>
          </cell>
          <cell r="K27">
            <v>2</v>
          </cell>
          <cell r="L27">
            <v>45961</v>
          </cell>
          <cell r="M27">
            <v>2</v>
          </cell>
          <cell r="O27">
            <v>45961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192</v>
          </cell>
          <cell r="K28">
            <v>64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K29">
            <v>0</v>
          </cell>
          <cell r="O29">
            <v>67</v>
          </cell>
          <cell r="T29" t="str">
            <v>000000000008357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000000000008357</v>
          </cell>
        </row>
        <row r="31">
          <cell r="C31">
            <v>3</v>
          </cell>
          <cell r="G31" t="str">
            <v/>
          </cell>
          <cell r="K31">
            <v>0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25J16-15</v>
          </cell>
          <cell r="I35" t="str">
            <v>25J16-15</v>
          </cell>
          <cell r="J35">
            <v>7</v>
          </cell>
          <cell r="K35">
            <v>1</v>
          </cell>
          <cell r="L35">
            <v>45961</v>
          </cell>
          <cell r="M35">
            <v>3</v>
          </cell>
          <cell r="O35">
            <v>45961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233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K37">
            <v>0</v>
          </cell>
          <cell r="O37">
            <v>41</v>
          </cell>
          <cell r="T37" t="str">
            <v>000000000008354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000000000008354</v>
          </cell>
        </row>
        <row r="39">
          <cell r="C39">
            <v>6</v>
          </cell>
          <cell r="G39" t="str">
            <v/>
          </cell>
          <cell r="K39">
            <v>0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65</v>
          </cell>
          <cell r="T40" t="str">
            <v>000000000008354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U</v>
          </cell>
          <cell r="O41">
            <v>64</v>
          </cell>
          <cell r="T41" t="str">
            <v>000000000008354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I43">
            <v>0</v>
          </cell>
          <cell r="K43" t="e">
            <v>#VALUE!</v>
          </cell>
          <cell r="L43">
            <v>45961</v>
          </cell>
          <cell r="M43">
            <v>1</v>
          </cell>
          <cell r="O43">
            <v>45961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G46" t="str">
            <v/>
          </cell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G47" t="str">
            <v/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G48" t="str">
            <v/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G49" t="str">
            <v/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G50" t="str">
            <v/>
          </cell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>
            <v>45961</v>
          </cell>
          <cell r="M51">
            <v>4</v>
          </cell>
          <cell r="O51">
            <v>45961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G52" t="str">
            <v/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G53" t="str">
            <v/>
          </cell>
          <cell r="K53">
            <v>0</v>
          </cell>
          <cell r="O53">
            <v>95</v>
          </cell>
          <cell r="T53" t="str">
            <v>000000000008709</v>
          </cell>
        </row>
        <row r="54">
          <cell r="G54" t="str">
            <v/>
          </cell>
          <cell r="K54">
            <v>0</v>
          </cell>
          <cell r="O54">
            <v>31</v>
          </cell>
          <cell r="T54" t="str">
            <v>000000000008709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I59">
            <v>0</v>
          </cell>
          <cell r="K59">
            <v>0</v>
          </cell>
          <cell r="O59">
            <v>0</v>
          </cell>
          <cell r="T59" t="str">
            <v>000000000007926-2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000000000007926-2</v>
          </cell>
        </row>
        <row r="61">
          <cell r="C61">
            <v>144</v>
          </cell>
          <cell r="G61" t="str">
            <v/>
          </cell>
          <cell r="K61">
            <v>0</v>
          </cell>
          <cell r="O61">
            <v>0</v>
          </cell>
          <cell r="T61" t="str">
            <v>000000000007926-2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000000000007926-2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0</v>
          </cell>
          <cell r="T63" t="str">
            <v>000000000007926-2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000000000007926-2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000000000007926-2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>
            <v>0</v>
          </cell>
          <cell r="P66">
            <v>0</v>
          </cell>
          <cell r="T66" t="str">
            <v>000000000007926-2</v>
          </cell>
        </row>
        <row r="67">
          <cell r="C67" t="str">
            <v>灯具カバーPC IN 2110　L=1815</v>
          </cell>
          <cell r="I67">
            <v>0</v>
          </cell>
          <cell r="K67">
            <v>0</v>
          </cell>
          <cell r="O67">
            <v>0</v>
          </cell>
          <cell r="T67" t="str">
            <v>000000000008710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000000000008710</v>
          </cell>
        </row>
        <row r="69">
          <cell r="C69">
            <v>192</v>
          </cell>
          <cell r="G69" t="str">
            <v/>
          </cell>
          <cell r="K69">
            <v>0</v>
          </cell>
          <cell r="O69">
            <v>0</v>
          </cell>
          <cell r="T69" t="str">
            <v>000000000008710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000000000008710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000000000008710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000000000008710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000000000008710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>
            <v>0</v>
          </cell>
          <cell r="P74">
            <v>0</v>
          </cell>
          <cell r="T74" t="str">
            <v>000000000008710</v>
          </cell>
        </row>
        <row r="75">
          <cell r="C75" t="str">
            <v>灯具カバーPC IN 2480　L=954</v>
          </cell>
          <cell r="I75">
            <v>0</v>
          </cell>
          <cell r="K75">
            <v>0</v>
          </cell>
          <cell r="O75">
            <v>0</v>
          </cell>
          <cell r="T75" t="str">
            <v>000000000008705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000000000008705</v>
          </cell>
        </row>
        <row r="77">
          <cell r="C77">
            <v>96</v>
          </cell>
          <cell r="G77" t="str">
            <v/>
          </cell>
          <cell r="K77">
            <v>0</v>
          </cell>
          <cell r="O77">
            <v>0</v>
          </cell>
          <cell r="T77" t="str">
            <v>000000000008705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000000000008705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000000000008705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000000000008705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000000000008705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>
            <v>0</v>
          </cell>
          <cell r="P82">
            <v>0</v>
          </cell>
          <cell r="T82" t="str">
            <v>000000000008705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O83">
            <v>0</v>
          </cell>
          <cell r="T83" t="str">
            <v>000000000008362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000000000008362</v>
          </cell>
        </row>
        <row r="85">
          <cell r="C85">
            <v>800</v>
          </cell>
          <cell r="G85" t="str">
            <v/>
          </cell>
          <cell r="K85">
            <v>0</v>
          </cell>
          <cell r="O85">
            <v>0</v>
          </cell>
          <cell r="T85" t="str">
            <v>000000000008362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000000000008362</v>
          </cell>
        </row>
        <row r="87">
          <cell r="C87">
            <v>2</v>
          </cell>
          <cell r="G87" t="str">
            <v/>
          </cell>
          <cell r="K87">
            <v>0</v>
          </cell>
          <cell r="O87">
            <v>0</v>
          </cell>
          <cell r="T87" t="str">
            <v>000000000008362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000000000008362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000000000008362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>
            <v>0</v>
          </cell>
          <cell r="P90">
            <v>0</v>
          </cell>
          <cell r="T90" t="str">
            <v>000000000008362</v>
          </cell>
        </row>
        <row r="91">
          <cell r="C91" t="str">
            <v>8FL281304 6110　L=1478</v>
          </cell>
          <cell r="I91">
            <v>0</v>
          </cell>
          <cell r="K91">
            <v>0</v>
          </cell>
          <cell r="O91">
            <v>0</v>
          </cell>
          <cell r="T91" t="str">
            <v>000000000008364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000000000008364</v>
          </cell>
        </row>
        <row r="93">
          <cell r="C93">
            <v>400</v>
          </cell>
          <cell r="G93" t="str">
            <v/>
          </cell>
          <cell r="K93">
            <v>0</v>
          </cell>
          <cell r="O93">
            <v>0</v>
          </cell>
          <cell r="T93" t="str">
            <v>000000000008364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000000000008364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000000000008364</v>
          </cell>
        </row>
        <row r="96">
          <cell r="C96" t="str">
            <v>LED-A1478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000000000008364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000000000008364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>
            <v>0</v>
          </cell>
          <cell r="P98">
            <v>0</v>
          </cell>
          <cell r="T98" t="str">
            <v>000000000008364</v>
          </cell>
        </row>
        <row r="99">
          <cell r="C99" t="str">
            <v>8FL281304 8310　L=748</v>
          </cell>
          <cell r="I99">
            <v>0</v>
          </cell>
          <cell r="K99">
            <v>0</v>
          </cell>
          <cell r="O99">
            <v>0</v>
          </cell>
          <cell r="T99" t="str">
            <v>000000000008941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000000000008941</v>
          </cell>
        </row>
        <row r="101">
          <cell r="C101">
            <v>200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000000000008941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000000000008941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000000000008941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000000000008941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000000000008941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>
            <v>0</v>
          </cell>
          <cell r="P106">
            <v>0</v>
          </cell>
          <cell r="T106" t="str">
            <v>000000000008941</v>
          </cell>
        </row>
        <row r="107">
          <cell r="C107" t="str">
            <v>8FL281304 4910　L=592</v>
          </cell>
          <cell r="I107">
            <v>0</v>
          </cell>
          <cell r="K107">
            <v>0</v>
          </cell>
          <cell r="O107">
            <v>0</v>
          </cell>
          <cell r="T107" t="str">
            <v>000000000008358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000000000008358</v>
          </cell>
        </row>
        <row r="109">
          <cell r="C109">
            <v>200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000000000008358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000000000008358</v>
          </cell>
        </row>
        <row r="111">
          <cell r="C111">
            <v>3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000000000008358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000000000008358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>
            <v>0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I115">
            <v>0</v>
          </cell>
          <cell r="K115">
            <v>0</v>
          </cell>
          <cell r="O115">
            <v>0</v>
          </cell>
          <cell r="T115" t="str">
            <v>000000000008359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000000000008359</v>
          </cell>
        </row>
        <row r="117">
          <cell r="C117">
            <v>200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000000000008359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000000000008359</v>
          </cell>
        </row>
        <row r="119">
          <cell r="C119">
            <v>3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000000000008359</v>
          </cell>
        </row>
        <row r="120">
          <cell r="C120" t="str">
            <v>LED-A592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000000000008359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000000000008359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0</v>
          </cell>
          <cell r="O122">
            <v>0</v>
          </cell>
          <cell r="P122">
            <v>0</v>
          </cell>
          <cell r="T122" t="str">
            <v>000000000008359</v>
          </cell>
        </row>
        <row r="123">
          <cell r="C123" t="str">
            <v>8FL281304 4810　L=297</v>
          </cell>
          <cell r="I123">
            <v>0</v>
          </cell>
          <cell r="K123">
            <v>0</v>
          </cell>
          <cell r="O123">
            <v>0</v>
          </cell>
          <cell r="T123" t="str">
            <v>000000000008355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000000000008355</v>
          </cell>
        </row>
        <row r="125">
          <cell r="C125">
            <v>200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000000000008355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000000000008355</v>
          </cell>
        </row>
        <row r="127">
          <cell r="C127">
            <v>6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000000000008355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000000000008355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O130">
            <v>0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I131">
            <v>0</v>
          </cell>
          <cell r="K131">
            <v>0</v>
          </cell>
          <cell r="O131">
            <v>0</v>
          </cell>
          <cell r="T131" t="str">
            <v>000000000008356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000000000008356</v>
          </cell>
        </row>
        <row r="133">
          <cell r="C133">
            <v>300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000000000008356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000000000008356</v>
          </cell>
        </row>
        <row r="135">
          <cell r="C135">
            <v>6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000000000008356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000000000008356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I139">
            <v>0</v>
          </cell>
          <cell r="K139">
            <v>0</v>
          </cell>
          <cell r="O139">
            <v>0</v>
          </cell>
          <cell r="T139" t="str">
            <v>000000000008363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000000000008363</v>
          </cell>
        </row>
        <row r="141">
          <cell r="C141">
            <v>2000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000000000008363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000000000008363</v>
          </cell>
        </row>
        <row r="143">
          <cell r="C143">
            <v>2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000000000008363</v>
          </cell>
        </row>
        <row r="144">
          <cell r="C144" t="str">
            <v>LED-A888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000000000008363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000000000008363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O146">
            <v>0</v>
          </cell>
          <cell r="P146">
            <v>0</v>
          </cell>
          <cell r="T146" t="str">
            <v>000000000008363</v>
          </cell>
        </row>
        <row r="147">
          <cell r="C147" t="str">
            <v>灯具カバーPC IN 2050　L=1183.5</v>
          </cell>
          <cell r="I147">
            <v>0</v>
          </cell>
          <cell r="K147">
            <v>0</v>
          </cell>
          <cell r="O147">
            <v>0</v>
          </cell>
          <cell r="T147" t="str">
            <v>000000000008706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000000000008706</v>
          </cell>
        </row>
        <row r="149">
          <cell r="C149">
            <v>192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000000000008706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000000000008706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000000000008706</v>
          </cell>
        </row>
        <row r="152">
          <cell r="C152" t="str">
            <v>灯具-1　L=1370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000000000008706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000000000008706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O154">
            <v>0</v>
          </cell>
          <cell r="P154">
            <v>0</v>
          </cell>
          <cell r="T154" t="str">
            <v>000000000008706</v>
          </cell>
        </row>
        <row r="155">
          <cell r="C155" t="str">
            <v>灯具カバーPC IN 2090　L=840</v>
          </cell>
          <cell r="I155">
            <v>0</v>
          </cell>
          <cell r="K155">
            <v>0</v>
          </cell>
          <cell r="O155">
            <v>0</v>
          </cell>
          <cell r="T155" t="str">
            <v>000000000008702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000000000008702</v>
          </cell>
        </row>
        <row r="157">
          <cell r="C157">
            <v>192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000000000008702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000000000008702</v>
          </cell>
        </row>
        <row r="159">
          <cell r="C159">
            <v>1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000000000008702</v>
          </cell>
        </row>
        <row r="160">
          <cell r="C160" t="str">
            <v>灯具-2　L＝1996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000000000008702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000000000008702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O162">
            <v>0</v>
          </cell>
          <cell r="P162">
            <v>0</v>
          </cell>
          <cell r="T162" t="str">
            <v>000000000008702</v>
          </cell>
        </row>
        <row r="163">
          <cell r="C163" t="str">
            <v>PK-59827 L=700</v>
          </cell>
          <cell r="I163">
            <v>0</v>
          </cell>
          <cell r="K163">
            <v>0</v>
          </cell>
          <cell r="O163">
            <v>0</v>
          </cell>
          <cell r="T163" t="str">
            <v>000000000008411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000000000008411</v>
          </cell>
        </row>
        <row r="165">
          <cell r="C165">
            <v>1054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000000000008411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000000000008411</v>
          </cell>
        </row>
        <row r="167">
          <cell r="C167">
            <v>2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000000000008411</v>
          </cell>
        </row>
        <row r="168">
          <cell r="C168" t="str">
            <v>PK-59827 L=700用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000000000008411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000000000008411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O170">
            <v>0</v>
          </cell>
          <cell r="P170">
            <v>0</v>
          </cell>
          <cell r="T170" t="str">
            <v>000000000008411</v>
          </cell>
        </row>
        <row r="171">
          <cell r="C171" t="str">
            <v>採光ルーバーパネルB　L=1996</v>
          </cell>
          <cell r="I171">
            <v>0</v>
          </cell>
          <cell r="K171">
            <v>0</v>
          </cell>
          <cell r="O171">
            <v>0</v>
          </cell>
          <cell r="T171" t="str">
            <v>000000000008853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000000000008853</v>
          </cell>
        </row>
        <row r="173">
          <cell r="C173">
            <v>420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000000000008853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000000000008853</v>
          </cell>
        </row>
        <row r="175">
          <cell r="C175">
            <v>1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000000000008853</v>
          </cell>
        </row>
        <row r="176">
          <cell r="C176" t="str">
            <v>上-1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000000000008853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000000000008853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O178">
            <v>0</v>
          </cell>
          <cell r="P178">
            <v>0</v>
          </cell>
          <cell r="T178" t="str">
            <v>000000000008853</v>
          </cell>
        </row>
        <row r="179">
          <cell r="C179" t="str">
            <v>採光ルーバーパネルB　L=1996</v>
          </cell>
          <cell r="I179">
            <v>0</v>
          </cell>
          <cell r="K179">
            <v>0</v>
          </cell>
          <cell r="O179">
            <v>0</v>
          </cell>
          <cell r="T179" t="str">
            <v>000000000008854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000000000008854</v>
          </cell>
        </row>
        <row r="181">
          <cell r="C181">
            <v>126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000000000008854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000000000008854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000000000008854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000000000008854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000000000008854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O186">
            <v>0</v>
          </cell>
          <cell r="P186">
            <v>0</v>
          </cell>
          <cell r="T186" t="str">
            <v>000000000008854</v>
          </cell>
        </row>
        <row r="187">
          <cell r="C187" t="str">
            <v>8FL281304 6110　L=1478</v>
          </cell>
          <cell r="I187">
            <v>0</v>
          </cell>
          <cell r="K187">
            <v>0</v>
          </cell>
          <cell r="O187">
            <v>0</v>
          </cell>
          <cell r="T187" t="str">
            <v>000000000008803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000000000008803</v>
          </cell>
        </row>
        <row r="189">
          <cell r="C189">
            <v>200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000000000008803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000000000008803</v>
          </cell>
        </row>
        <row r="191">
          <cell r="C191">
            <v>1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000000000008803</v>
          </cell>
        </row>
        <row r="192">
          <cell r="C192" t="str">
            <v>LED-A1478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000000000008803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000000000008803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M194">
            <v>0</v>
          </cell>
          <cell r="O194">
            <v>0</v>
          </cell>
          <cell r="P194">
            <v>0</v>
          </cell>
          <cell r="T194" t="str">
            <v>000000000008803</v>
          </cell>
        </row>
        <row r="195">
          <cell r="C195" t="str">
            <v>8FL281304 5010　L=888</v>
          </cell>
          <cell r="I195">
            <v>0</v>
          </cell>
          <cell r="K195">
            <v>0</v>
          </cell>
          <cell r="O195">
            <v>0</v>
          </cell>
          <cell r="T195" t="str">
            <v>000000000008802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000000000008802</v>
          </cell>
        </row>
        <row r="197">
          <cell r="C197">
            <v>100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000000000008802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000000000008802</v>
          </cell>
        </row>
        <row r="199">
          <cell r="C199">
            <v>2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000000000008802</v>
          </cell>
        </row>
        <row r="200">
          <cell r="C200" t="str">
            <v>LED-A888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000000000008802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000000000008802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M202">
            <v>0</v>
          </cell>
          <cell r="O202">
            <v>0</v>
          </cell>
          <cell r="P202">
            <v>0</v>
          </cell>
          <cell r="T202" t="str">
            <v>000000000008802</v>
          </cell>
        </row>
        <row r="203">
          <cell r="C203" t="str">
            <v>8FL281304 8310　L=748</v>
          </cell>
          <cell r="I203">
            <v>0</v>
          </cell>
          <cell r="K203">
            <v>0</v>
          </cell>
          <cell r="O203">
            <v>0</v>
          </cell>
          <cell r="T203" t="str">
            <v>000000000008801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000000000008801</v>
          </cell>
        </row>
        <row r="205">
          <cell r="C205">
            <v>200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000000000008801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000000000008801</v>
          </cell>
        </row>
        <row r="207">
          <cell r="C207">
            <v>2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000000000008801</v>
          </cell>
        </row>
        <row r="208">
          <cell r="C208" t="str">
            <v>LED-A888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000000000008801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000000000008801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M210">
            <v>0</v>
          </cell>
          <cell r="O210">
            <v>0</v>
          </cell>
          <cell r="P210">
            <v>0</v>
          </cell>
          <cell r="T210" t="str">
            <v>000000000008801</v>
          </cell>
        </row>
        <row r="211">
          <cell r="C211" t="str">
            <v>灯具カバーPC IN 2070　L=1966</v>
          </cell>
          <cell r="I211">
            <v>0</v>
          </cell>
          <cell r="K211">
            <v>0</v>
          </cell>
          <cell r="O211">
            <v>0</v>
          </cell>
          <cell r="T211" t="str">
            <v>000000000008712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000000000008712</v>
          </cell>
        </row>
        <row r="213">
          <cell r="C213">
            <v>192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000000000008712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000000000008712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000000000008712</v>
          </cell>
        </row>
        <row r="216">
          <cell r="C216" t="str">
            <v>灯具-2　L＝1996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000000000008712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000000000008712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M218">
            <v>0</v>
          </cell>
          <cell r="O218">
            <v>0</v>
          </cell>
          <cell r="P218">
            <v>0</v>
          </cell>
          <cell r="T218" t="str">
            <v>000000000008712</v>
          </cell>
        </row>
        <row r="219">
          <cell r="C219" t="str">
            <v>灯具カバーPC IN 2110　L=1815</v>
          </cell>
          <cell r="I219">
            <v>0</v>
          </cell>
          <cell r="K219">
            <v>0</v>
          </cell>
          <cell r="O219">
            <v>0</v>
          </cell>
          <cell r="T219" t="str">
            <v>000000000008711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000000000008711</v>
          </cell>
        </row>
        <row r="221">
          <cell r="C221">
            <v>192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000000000008711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000000000008711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000000000008711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000000000008711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000000000008711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M226">
            <v>0</v>
          </cell>
          <cell r="O226">
            <v>0</v>
          </cell>
          <cell r="P226">
            <v>0</v>
          </cell>
          <cell r="T226" t="str">
            <v>000000000008711</v>
          </cell>
        </row>
        <row r="227">
          <cell r="C227" t="str">
            <v>灯具カバーPC IN 2060　L=1258.5</v>
          </cell>
          <cell r="I227">
            <v>0</v>
          </cell>
          <cell r="K227">
            <v>0</v>
          </cell>
          <cell r="O227">
            <v>0</v>
          </cell>
          <cell r="T227" t="str">
            <v>000000000008708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000000000008708</v>
          </cell>
        </row>
        <row r="229">
          <cell r="C229">
            <v>80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000000000008708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000000000008708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000000000008708</v>
          </cell>
        </row>
        <row r="232">
          <cell r="C232" t="str">
            <v>灯具-1　L=1370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000000000008708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000000000008708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M234">
            <v>0</v>
          </cell>
          <cell r="O234">
            <v>0</v>
          </cell>
          <cell r="P234">
            <v>0</v>
          </cell>
          <cell r="T234" t="str">
            <v>000000000008708</v>
          </cell>
        </row>
        <row r="235">
          <cell r="C235" t="str">
            <v>灯具カバーPC IN 2050　L=1183.5</v>
          </cell>
          <cell r="I235">
            <v>0</v>
          </cell>
          <cell r="K235">
            <v>0</v>
          </cell>
          <cell r="O235">
            <v>0</v>
          </cell>
          <cell r="T235" t="str">
            <v>000000000008707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000000000008707</v>
          </cell>
        </row>
        <row r="237">
          <cell r="C237">
            <v>192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000000000008707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000000000008707</v>
          </cell>
        </row>
        <row r="239">
          <cell r="C239">
            <v>1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000000000008707</v>
          </cell>
        </row>
        <row r="240">
          <cell r="C240" t="str">
            <v>灯具-1　L=1370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000000000008707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000000000008707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M242">
            <v>0</v>
          </cell>
          <cell r="O242">
            <v>0</v>
          </cell>
          <cell r="P242">
            <v>0</v>
          </cell>
          <cell r="T242" t="str">
            <v>000000000008707</v>
          </cell>
        </row>
        <row r="243">
          <cell r="C243" t="str">
            <v>採光ルーバーパネルB　L=1996</v>
          </cell>
          <cell r="I243">
            <v>0</v>
          </cell>
          <cell r="K243">
            <v>0</v>
          </cell>
          <cell r="O243">
            <v>0</v>
          </cell>
          <cell r="T243" t="str">
            <v>000000000008855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000000000008855</v>
          </cell>
        </row>
        <row r="245">
          <cell r="C245">
            <v>630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000000000008855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000000000008855</v>
          </cell>
        </row>
        <row r="247">
          <cell r="C247">
            <v>1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000000000008855</v>
          </cell>
        </row>
        <row r="248">
          <cell r="C248" t="str">
            <v>上-1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000000000008855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000000000008855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M250">
            <v>0</v>
          </cell>
          <cell r="O250">
            <v>0</v>
          </cell>
          <cell r="P250">
            <v>0</v>
          </cell>
          <cell r="T250" t="str">
            <v>000000000008855</v>
          </cell>
        </row>
        <row r="251">
          <cell r="C251" t="str">
            <v>ランプシェード　SL-600</v>
          </cell>
          <cell r="I251">
            <v>0</v>
          </cell>
          <cell r="K251">
            <v>0</v>
          </cell>
          <cell r="O251">
            <v>0</v>
          </cell>
          <cell r="T251" t="str">
            <v>000000000008890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000000000008890</v>
          </cell>
        </row>
        <row r="253">
          <cell r="C253">
            <v>1200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000000000008890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000000000008890</v>
          </cell>
        </row>
        <row r="255">
          <cell r="C255">
            <v>2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000000000008890</v>
          </cell>
        </row>
        <row r="256"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000000000008890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000000000008890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M258">
            <v>0</v>
          </cell>
          <cell r="O258">
            <v>0</v>
          </cell>
          <cell r="P258">
            <v>0</v>
          </cell>
          <cell r="T258" t="str">
            <v>000000000008890</v>
          </cell>
        </row>
        <row r="259">
          <cell r="C259">
            <v>45967</v>
          </cell>
          <cell r="I259">
            <v>0</v>
          </cell>
          <cell r="K259" t="e">
            <v>#DIV/0!</v>
          </cell>
          <cell r="O259">
            <v>0</v>
          </cell>
          <cell r="T259" t="str">
            <v/>
          </cell>
        </row>
        <row r="260">
          <cell r="G260" t="str">
            <v/>
          </cell>
          <cell r="I260" t="str">
            <v/>
          </cell>
          <cell r="K260" t="e">
            <v>#DIV/0!</v>
          </cell>
          <cell r="O260" t="e">
            <v>#DIV/0!</v>
          </cell>
          <cell r="T260" t="str">
            <v/>
          </cell>
        </row>
        <row r="261">
          <cell r="G261" t="str">
            <v/>
          </cell>
          <cell r="K261" t="e">
            <v>#DIV/0!</v>
          </cell>
          <cell r="O261" t="str">
            <v/>
          </cell>
          <cell r="T261" t="str">
            <v/>
          </cell>
        </row>
        <row r="262">
          <cell r="G262" t="str">
            <v/>
          </cell>
          <cell r="K262" t="e">
            <v>#DIV/0!</v>
          </cell>
          <cell r="O262" t="str">
            <v/>
          </cell>
          <cell r="T262" t="str">
            <v/>
          </cell>
        </row>
        <row r="263">
          <cell r="G263" t="str">
            <v/>
          </cell>
          <cell r="K263" t="e">
            <v>#DIV/0!</v>
          </cell>
          <cell r="O263">
            <v>0</v>
          </cell>
          <cell r="T263" t="str">
            <v/>
          </cell>
        </row>
        <row r="264">
          <cell r="G264" t="str">
            <v/>
          </cell>
          <cell r="K264" t="e">
            <v>#DIV/0!</v>
          </cell>
          <cell r="L264" t="str">
            <v>切断</v>
          </cell>
          <cell r="O264" t="e">
            <v>#DIV/0!</v>
          </cell>
          <cell r="T264" t="str">
            <v/>
          </cell>
        </row>
        <row r="265">
          <cell r="C265" t="e">
            <v>#N/A</v>
          </cell>
          <cell r="G265" t="str">
            <v/>
          </cell>
          <cell r="K265" t="e">
            <v>#DIV/0!</v>
          </cell>
          <cell r="L265" t="str">
            <v>検査</v>
          </cell>
          <cell r="T265" t="str">
            <v/>
          </cell>
        </row>
        <row r="266">
          <cell r="G266" t="str">
            <v/>
          </cell>
          <cell r="K266" t="e">
            <v>#DIV/0!</v>
          </cell>
          <cell r="L266" t="str">
            <v>α端材</v>
          </cell>
          <cell r="M266" t="e">
            <v>#DIV/0!</v>
          </cell>
          <cell r="O266" t="e">
            <v>#DIV/0!</v>
          </cell>
          <cell r="P266">
            <v>0</v>
          </cell>
          <cell r="T266" t="str">
            <v/>
          </cell>
        </row>
        <row r="267">
          <cell r="C267" t="str">
            <v>灯具カバーPC IN 2130　L=908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000000000008703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000000000008703</v>
          </cell>
        </row>
        <row r="269">
          <cell r="C269">
            <v>192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000000000008703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000000000008703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000000000008703</v>
          </cell>
        </row>
        <row r="272">
          <cell r="C272" t="str">
            <v>灯具-1　L=1370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000000000008703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000000000008703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M274">
            <v>0</v>
          </cell>
          <cell r="O274">
            <v>0</v>
          </cell>
          <cell r="P274">
            <v>0</v>
          </cell>
          <cell r="T274" t="str">
            <v>000000000008703</v>
          </cell>
        </row>
        <row r="275">
          <cell r="C275">
            <v>45974</v>
          </cell>
          <cell r="I275">
            <v>0</v>
          </cell>
          <cell r="K275" t="e">
            <v>#DIV/0!</v>
          </cell>
          <cell r="O275">
            <v>0</v>
          </cell>
          <cell r="T275" t="str">
            <v/>
          </cell>
        </row>
        <row r="276">
          <cell r="G276" t="str">
            <v/>
          </cell>
          <cell r="I276" t="str">
            <v/>
          </cell>
          <cell r="K276" t="e">
            <v>#DIV/0!</v>
          </cell>
          <cell r="O276" t="e">
            <v>#DIV/0!</v>
          </cell>
          <cell r="T276" t="str">
            <v/>
          </cell>
        </row>
        <row r="277">
          <cell r="G277" t="str">
            <v/>
          </cell>
          <cell r="K277" t="e">
            <v>#DIV/0!</v>
          </cell>
          <cell r="O277" t="str">
            <v/>
          </cell>
          <cell r="T277" t="str">
            <v/>
          </cell>
        </row>
        <row r="278">
          <cell r="G278" t="str">
            <v/>
          </cell>
          <cell r="K278" t="e">
            <v>#DIV/0!</v>
          </cell>
          <cell r="O278" t="str">
            <v/>
          </cell>
          <cell r="T278" t="str">
            <v/>
          </cell>
        </row>
        <row r="279">
          <cell r="G279" t="str">
            <v/>
          </cell>
          <cell r="K279" t="e">
            <v>#DIV/0!</v>
          </cell>
          <cell r="O279">
            <v>0</v>
          </cell>
          <cell r="T279" t="str">
            <v/>
          </cell>
        </row>
        <row r="280">
          <cell r="G280" t="str">
            <v/>
          </cell>
          <cell r="K280" t="e">
            <v>#DIV/0!</v>
          </cell>
          <cell r="L280" t="str">
            <v>切断</v>
          </cell>
          <cell r="O280" t="e">
            <v>#DIV/0!</v>
          </cell>
          <cell r="T280" t="str">
            <v/>
          </cell>
        </row>
        <row r="281">
          <cell r="C281" t="e">
            <v>#N/A</v>
          </cell>
          <cell r="G281" t="str">
            <v/>
          </cell>
          <cell r="K281" t="e">
            <v>#DIV/0!</v>
          </cell>
          <cell r="L281" t="str">
            <v>検査</v>
          </cell>
          <cell r="T281" t="str">
            <v/>
          </cell>
        </row>
        <row r="282">
          <cell r="G282" t="str">
            <v/>
          </cell>
          <cell r="K282" t="e">
            <v>#DIV/0!</v>
          </cell>
          <cell r="L282" t="str">
            <v>α端材</v>
          </cell>
          <cell r="M282" t="e">
            <v>#DIV/0!</v>
          </cell>
          <cell r="O282" t="e">
            <v>#DIV/0!</v>
          </cell>
          <cell r="P282">
            <v>0</v>
          </cell>
          <cell r="T282" t="str">
            <v/>
          </cell>
        </row>
        <row r="283">
          <cell r="C283" t="str">
            <v>灯具カバーPC IN 2130　L=908</v>
          </cell>
          <cell r="I283">
            <v>0</v>
          </cell>
          <cell r="K283">
            <v>0</v>
          </cell>
          <cell r="O283">
            <v>0</v>
          </cell>
          <cell r="T283" t="str">
            <v>000000000008704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000000000008704</v>
          </cell>
        </row>
        <row r="285">
          <cell r="C285">
            <v>192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000000000008704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000000000008704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000000000008704</v>
          </cell>
        </row>
        <row r="288">
          <cell r="C288" t="str">
            <v>灯具-1　L=1370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000000000008704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000000000008704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M290">
            <v>0</v>
          </cell>
          <cell r="O290">
            <v>0</v>
          </cell>
          <cell r="P290">
            <v>0</v>
          </cell>
          <cell r="T290" t="str">
            <v>000000000008704</v>
          </cell>
        </row>
        <row r="291">
          <cell r="C291" t="str">
            <v>灯具カバーPC  　2200    L=221.8</v>
          </cell>
          <cell r="I291">
            <v>0</v>
          </cell>
          <cell r="K291">
            <v>0</v>
          </cell>
          <cell r="O291">
            <v>0</v>
          </cell>
          <cell r="T291" t="str">
            <v>000000000008699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000000000008699</v>
          </cell>
        </row>
        <row r="293">
          <cell r="C293">
            <v>20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000000000008699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000000000008699</v>
          </cell>
        </row>
        <row r="295">
          <cell r="C295">
            <v>2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000000000008699</v>
          </cell>
        </row>
        <row r="296">
          <cell r="C296" t="str">
            <v>H型ジョイナー端材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000000000008699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000000000008699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M298">
            <v>0</v>
          </cell>
          <cell r="O298">
            <v>0</v>
          </cell>
          <cell r="P298">
            <v>0</v>
          </cell>
          <cell r="T298" t="str">
            <v>000000000008699</v>
          </cell>
        </row>
        <row r="299">
          <cell r="C299" t="str">
            <v>灯具カバーPC IN 2140　L=547</v>
          </cell>
          <cell r="I299">
            <v>0</v>
          </cell>
          <cell r="K299">
            <v>0</v>
          </cell>
          <cell r="O299">
            <v>0</v>
          </cell>
          <cell r="T299" t="str">
            <v>000000000008701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000000000008701</v>
          </cell>
        </row>
        <row r="301">
          <cell r="C301">
            <v>80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000000000008701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000000000008701</v>
          </cell>
        </row>
        <row r="303">
          <cell r="C303">
            <v>1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000000000008701</v>
          </cell>
        </row>
        <row r="304">
          <cell r="C304" t="str">
            <v>灯具-1　L=1370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000000000008701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000000000008701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M306">
            <v>0</v>
          </cell>
          <cell r="O306">
            <v>0</v>
          </cell>
          <cell r="P306">
            <v>0</v>
          </cell>
          <cell r="T306" t="str">
            <v>000000000008701</v>
          </cell>
        </row>
        <row r="307">
          <cell r="C307" t="str">
            <v>灯具カバーPC  　7530    L=565</v>
          </cell>
          <cell r="I307">
            <v>0</v>
          </cell>
          <cell r="K307">
            <v>0</v>
          </cell>
          <cell r="O307">
            <v>0</v>
          </cell>
          <cell r="T307" t="str">
            <v>000000000008700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000000000008700</v>
          </cell>
        </row>
        <row r="309">
          <cell r="C309">
            <v>20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000000000008700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000000000008700</v>
          </cell>
        </row>
        <row r="311">
          <cell r="C311">
            <v>2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000000000008700</v>
          </cell>
        </row>
        <row r="312">
          <cell r="C312" t="str">
            <v>H型ジョイナー端材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000000000008700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000000000008700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M314">
            <v>0</v>
          </cell>
          <cell r="O314">
            <v>0</v>
          </cell>
          <cell r="P314">
            <v>0</v>
          </cell>
          <cell r="T314" t="str">
            <v>000000000008700</v>
          </cell>
        </row>
      </sheetData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31" workbookViewId="0">
      <selection activeCell="AP52" sqref="AP52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11" t="s">
        <v>0</v>
      </c>
      <c r="C1" s="88"/>
      <c r="D1" s="8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8"/>
      <c r="C2" s="88"/>
      <c r="D2" s="88"/>
      <c r="E2" s="12"/>
      <c r="F2" s="12"/>
      <c r="G2" s="12"/>
      <c r="H2" s="12"/>
      <c r="I2" s="12"/>
      <c r="J2" s="12"/>
    </row>
    <row r="3" spans="1:10" ht="14.25" customHeight="1">
      <c r="A3" s="91" t="s">
        <v>1</v>
      </c>
      <c r="B3" s="91" t="s">
        <v>2</v>
      </c>
      <c r="C3" s="91"/>
      <c r="D3" s="117"/>
      <c r="E3" s="91" t="s">
        <v>3</v>
      </c>
      <c r="F3" s="120" t="s">
        <v>4</v>
      </c>
      <c r="G3" s="88"/>
      <c r="H3" s="84"/>
      <c r="I3" s="13" t="s">
        <v>5</v>
      </c>
      <c r="J3" s="13" t="s">
        <v>6</v>
      </c>
    </row>
    <row r="4" spans="1:10" ht="14.25" customHeight="1">
      <c r="A4" s="88"/>
      <c r="B4" s="88"/>
      <c r="C4" s="88"/>
      <c r="D4" s="88"/>
      <c r="E4" s="88"/>
      <c r="F4" s="88"/>
      <c r="G4" s="88"/>
      <c r="H4" s="84"/>
      <c r="I4" s="99"/>
      <c r="J4" s="99"/>
    </row>
    <row r="5" spans="1:10" ht="17.45" customHeight="1">
      <c r="A5" s="98" t="s">
        <v>7</v>
      </c>
      <c r="B5" s="98" t="s">
        <v>8</v>
      </c>
      <c r="E5" s="98" t="s">
        <v>9</v>
      </c>
      <c r="F5" s="87" t="s">
        <v>10</v>
      </c>
      <c r="G5" s="88"/>
      <c r="H5" s="84"/>
      <c r="I5" s="100"/>
      <c r="J5" s="100"/>
    </row>
    <row r="6" spans="1:10" ht="17.45" customHeight="1">
      <c r="A6" s="88"/>
      <c r="B6" s="88"/>
      <c r="E6" s="88"/>
      <c r="F6" s="88"/>
      <c r="G6" s="88"/>
      <c r="H6" s="84"/>
      <c r="I6" s="14"/>
      <c r="J6" s="14"/>
    </row>
    <row r="7" spans="1:10" ht="17.45" customHeight="1">
      <c r="A7" s="98" t="s">
        <v>11</v>
      </c>
      <c r="B7" s="98" t="s">
        <v>12</v>
      </c>
      <c r="E7" s="2" t="s">
        <v>13</v>
      </c>
      <c r="F7" s="122" t="s">
        <v>14</v>
      </c>
      <c r="G7" s="88"/>
      <c r="H7" s="21"/>
    </row>
    <row r="8" spans="1:10" ht="17.45" customHeight="1">
      <c r="A8" s="88"/>
      <c r="B8" s="88"/>
      <c r="E8" s="2" t="s">
        <v>15</v>
      </c>
      <c r="F8" s="21" t="s">
        <v>16</v>
      </c>
      <c r="G8" s="21"/>
      <c r="H8" s="21"/>
    </row>
    <row r="9" spans="1:10" ht="17.45" customHeight="1">
      <c r="A9" s="2" t="s">
        <v>17</v>
      </c>
      <c r="B9" s="4">
        <v>45967</v>
      </c>
      <c r="E9" s="2" t="s">
        <v>18</v>
      </c>
      <c r="F9" s="130">
        <v>1</v>
      </c>
      <c r="G9" s="88"/>
      <c r="H9" s="21"/>
    </row>
    <row r="10" spans="1:10" ht="17.45" customHeight="1">
      <c r="A10" s="2" t="s">
        <v>19</v>
      </c>
      <c r="B10" s="4">
        <v>45967</v>
      </c>
      <c r="E10" s="2" t="s">
        <v>20</v>
      </c>
      <c r="F10" s="21">
        <v>6</v>
      </c>
      <c r="G10" s="102" t="s">
        <v>21</v>
      </c>
      <c r="H10" s="114">
        <v>6</v>
      </c>
      <c r="I10" s="115"/>
      <c r="J10" s="116"/>
    </row>
    <row r="11" spans="1:10" ht="17.45" customHeight="1">
      <c r="A11" s="19"/>
      <c r="B11" s="20"/>
      <c r="C11" s="20"/>
      <c r="D11" s="20"/>
      <c r="E11" s="2"/>
      <c r="F11" s="21"/>
      <c r="G11" s="103"/>
      <c r="H11" s="103"/>
      <c r="I11" s="85"/>
      <c r="J11" s="86"/>
    </row>
    <row r="12" spans="1:10" ht="13.5" customHeight="1">
      <c r="A12" s="101" t="s">
        <v>22</v>
      </c>
      <c r="B12" s="88"/>
      <c r="C12" s="88"/>
      <c r="D12" s="20"/>
      <c r="F12" s="3"/>
      <c r="G12" s="112" t="s">
        <v>23</v>
      </c>
      <c r="H12" s="129" t="s">
        <v>24</v>
      </c>
      <c r="I12" s="83" t="s">
        <v>25</v>
      </c>
      <c r="J12" s="84"/>
    </row>
    <row r="13" spans="1:10" ht="13.5" customHeight="1">
      <c r="A13" s="88"/>
      <c r="B13" s="88"/>
      <c r="C13" s="88"/>
      <c r="D13" s="20"/>
      <c r="F13" s="3"/>
      <c r="G13" s="113"/>
      <c r="H13" s="113"/>
      <c r="I13" s="85"/>
      <c r="J13" s="86"/>
    </row>
    <row r="14" spans="1:10" ht="13.5" customHeight="1">
      <c r="A14" s="1" t="s">
        <v>26</v>
      </c>
    </row>
    <row r="15" spans="1:10" ht="63" customHeight="1" thickBot="1">
      <c r="A15" s="118"/>
      <c r="B15" s="119"/>
      <c r="C15" s="119"/>
      <c r="D15" s="119"/>
      <c r="E15" s="119"/>
      <c r="F15" s="119"/>
      <c r="G15" s="119"/>
      <c r="H15" s="119"/>
      <c r="I15" s="119"/>
      <c r="J15" s="119"/>
    </row>
    <row r="16" spans="1:10" ht="18.75">
      <c r="A16" s="23" t="s">
        <v>27</v>
      </c>
      <c r="B16" s="16" t="s">
        <v>28</v>
      </c>
      <c r="C16" s="104" t="s">
        <v>29</v>
      </c>
      <c r="D16" s="105"/>
      <c r="E16" s="16" t="s">
        <v>30</v>
      </c>
      <c r="F16" s="104" t="s">
        <v>31</v>
      </c>
      <c r="G16" s="105"/>
      <c r="H16" s="105"/>
      <c r="I16" s="121" t="s">
        <v>32</v>
      </c>
      <c r="J16" s="105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33</v>
      </c>
      <c r="C18" s="94" t="s">
        <v>34</v>
      </c>
      <c r="D18" s="95"/>
      <c r="E18" s="24" t="s">
        <v>35</v>
      </c>
      <c r="F18" s="94" t="s">
        <v>36</v>
      </c>
      <c r="G18" s="95"/>
      <c r="H18" s="95"/>
      <c r="I18" s="97"/>
      <c r="J18" s="95"/>
    </row>
    <row r="19" spans="1:10" s="7" customFormat="1" ht="16.5" customHeight="1">
      <c r="A19" s="22">
        <v>1</v>
      </c>
      <c r="B19" s="25" t="s">
        <v>33</v>
      </c>
      <c r="C19" s="94" t="s">
        <v>34</v>
      </c>
      <c r="D19" s="95"/>
      <c r="E19" s="24" t="s">
        <v>37</v>
      </c>
      <c r="F19" s="94" t="s">
        <v>38</v>
      </c>
      <c r="G19" s="95"/>
      <c r="H19" s="95"/>
      <c r="I19" s="97"/>
      <c r="J19" s="95"/>
    </row>
    <row r="20" spans="1:10" s="7" customFormat="1" ht="16.5" customHeight="1">
      <c r="A20" s="22"/>
      <c r="B20" s="25"/>
      <c r="C20" s="94"/>
      <c r="D20" s="95"/>
      <c r="E20" s="24"/>
      <c r="F20" s="94"/>
      <c r="G20" s="95"/>
      <c r="H20" s="95"/>
      <c r="I20" s="97"/>
      <c r="J20" s="95"/>
    </row>
    <row r="21" spans="1:10" s="7" customFormat="1" ht="16.5" customHeight="1">
      <c r="A21" s="22"/>
      <c r="B21" s="25"/>
      <c r="C21" s="94"/>
      <c r="D21" s="95"/>
      <c r="E21" s="24"/>
      <c r="F21" s="94"/>
      <c r="G21" s="95"/>
      <c r="H21" s="95"/>
      <c r="I21" s="97"/>
      <c r="J21" s="95"/>
    </row>
    <row r="22" spans="1:10" s="7" customFormat="1" ht="16.5" customHeight="1">
      <c r="A22" s="22"/>
      <c r="B22" s="25"/>
      <c r="C22" s="94"/>
      <c r="D22" s="95"/>
      <c r="E22" s="24"/>
      <c r="F22" s="94"/>
      <c r="G22" s="95"/>
      <c r="H22" s="95"/>
      <c r="I22" s="97"/>
      <c r="J22" s="95"/>
    </row>
    <row r="23" spans="1:10" s="7" customFormat="1" ht="16.5" customHeight="1">
      <c r="A23" s="22"/>
      <c r="B23" s="25"/>
      <c r="C23" s="94"/>
      <c r="D23" s="95"/>
      <c r="E23" s="24"/>
      <c r="F23" s="94"/>
      <c r="G23" s="95"/>
      <c r="H23" s="95"/>
      <c r="I23" s="97"/>
      <c r="J23" s="95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2" t="s">
        <v>39</v>
      </c>
      <c r="B25" s="93"/>
      <c r="C25" s="92" t="s">
        <v>40</v>
      </c>
      <c r="D25" s="93"/>
      <c r="E25" s="93"/>
      <c r="F25" s="17" t="s">
        <v>41</v>
      </c>
      <c r="G25" s="92" t="s">
        <v>42</v>
      </c>
      <c r="H25" s="93"/>
      <c r="I25" s="92" t="s">
        <v>43</v>
      </c>
      <c r="J25" s="93"/>
    </row>
    <row r="26" spans="1:10" ht="14.25" customHeight="1">
      <c r="A26" s="8"/>
      <c r="B26" s="18"/>
      <c r="C26" s="110" t="s">
        <v>44</v>
      </c>
      <c r="D26" s="85"/>
      <c r="E26" s="18"/>
      <c r="F26" s="110" t="s">
        <v>26</v>
      </c>
      <c r="G26" s="85"/>
      <c r="H26" s="85"/>
      <c r="I26" s="85"/>
      <c r="J26" s="85"/>
    </row>
    <row r="27" spans="1:10">
      <c r="A27" s="9"/>
      <c r="C27" s="7"/>
      <c r="D27" s="7"/>
      <c r="E27" s="7"/>
    </row>
    <row r="28" spans="1:10" s="5" customFormat="1" ht="14.25" customHeight="1">
      <c r="A28" s="94" t="s">
        <v>45</v>
      </c>
      <c r="B28" s="90"/>
      <c r="C28" s="94" t="s">
        <v>46</v>
      </c>
      <c r="D28" s="90"/>
      <c r="E28" s="90"/>
      <c r="F28" s="26" t="s">
        <v>24</v>
      </c>
      <c r="G28" s="89">
        <v>6</v>
      </c>
      <c r="H28" s="90"/>
      <c r="I28" s="89">
        <v>0.12</v>
      </c>
      <c r="J28" s="90"/>
    </row>
    <row r="29" spans="1:10" s="7" customFormat="1" ht="24.95" customHeight="1">
      <c r="A29" s="96" t="s">
        <v>47</v>
      </c>
      <c r="B29" s="95"/>
      <c r="C29" s="94" t="s">
        <v>48</v>
      </c>
      <c r="D29" s="95"/>
      <c r="E29" s="95"/>
      <c r="F29" s="94"/>
      <c r="G29" s="95"/>
      <c r="H29" s="95"/>
      <c r="I29" s="95"/>
      <c r="J29" s="95"/>
    </row>
    <row r="30" spans="1:10" s="5" customFormat="1" ht="14.25" customHeight="1">
      <c r="A30" s="94" t="s">
        <v>49</v>
      </c>
      <c r="B30" s="90"/>
      <c r="C30" s="94" t="s">
        <v>50</v>
      </c>
      <c r="D30" s="90"/>
      <c r="E30" s="90"/>
      <c r="F30" s="26" t="s">
        <v>24</v>
      </c>
      <c r="G30" s="89">
        <v>1.02</v>
      </c>
      <c r="H30" s="90"/>
      <c r="I30" s="89">
        <v>2.0400000000000001E-2</v>
      </c>
      <c r="J30" s="90"/>
    </row>
    <row r="31" spans="1:10" s="7" customFormat="1" ht="24.95" customHeight="1">
      <c r="A31" s="96" t="s">
        <v>51</v>
      </c>
      <c r="B31" s="95"/>
      <c r="C31" s="94"/>
      <c r="D31" s="95"/>
      <c r="E31" s="95"/>
      <c r="F31" s="94"/>
      <c r="G31" s="95"/>
      <c r="H31" s="95"/>
      <c r="I31" s="95"/>
      <c r="J31" s="95"/>
    </row>
    <row r="32" spans="1:10" s="5" customFormat="1" ht="14.25" customHeight="1">
      <c r="A32" s="94"/>
      <c r="B32" s="90"/>
      <c r="C32" s="94"/>
      <c r="D32" s="90"/>
      <c r="E32" s="90"/>
      <c r="F32" s="26"/>
      <c r="G32" s="89"/>
      <c r="H32" s="90"/>
      <c r="I32" s="89"/>
      <c r="J32" s="90"/>
    </row>
    <row r="33" spans="1:14" s="7" customFormat="1" ht="24.95" customHeight="1">
      <c r="A33" s="96"/>
      <c r="B33" s="95"/>
      <c r="C33" s="94"/>
      <c r="D33" s="95"/>
      <c r="E33" s="95"/>
      <c r="F33" s="94"/>
      <c r="G33" s="95"/>
      <c r="H33" s="95"/>
      <c r="I33" s="95"/>
      <c r="J33" s="95"/>
    </row>
    <row r="34" spans="1:14" s="5" customFormat="1" ht="14.25" customHeight="1">
      <c r="A34" s="94"/>
      <c r="B34" s="90"/>
      <c r="C34" s="94"/>
      <c r="D34" s="90"/>
      <c r="E34" s="90"/>
      <c r="F34" s="26"/>
      <c r="G34" s="89"/>
      <c r="H34" s="90"/>
      <c r="I34" s="89"/>
      <c r="J34" s="90"/>
    </row>
    <row r="35" spans="1:14" s="7" customFormat="1" ht="24.95" customHeight="1">
      <c r="A35" s="96"/>
      <c r="B35" s="95"/>
      <c r="C35" s="94"/>
      <c r="D35" s="95"/>
      <c r="E35" s="95"/>
      <c r="F35" s="94"/>
      <c r="G35" s="95"/>
      <c r="H35" s="95"/>
      <c r="I35" s="95"/>
      <c r="J35" s="95"/>
    </row>
    <row r="36" spans="1:14" s="5" customFormat="1" ht="14.25" customHeight="1">
      <c r="A36" s="94"/>
      <c r="B36" s="90"/>
      <c r="C36" s="94"/>
      <c r="D36" s="90"/>
      <c r="E36" s="90"/>
      <c r="F36" s="26"/>
      <c r="G36" s="89"/>
      <c r="H36" s="90"/>
      <c r="I36" s="89"/>
      <c r="J36" s="90"/>
    </row>
    <row r="37" spans="1:14" s="7" customFormat="1" ht="24.95" customHeight="1" thickBot="1">
      <c r="A37" s="96"/>
      <c r="B37" s="95"/>
      <c r="C37" s="94"/>
      <c r="D37" s="95"/>
      <c r="E37" s="95"/>
      <c r="F37" s="94"/>
      <c r="G37" s="95"/>
      <c r="H37" s="95"/>
      <c r="I37" s="95"/>
      <c r="J37" s="95"/>
    </row>
    <row r="38" spans="1:14" s="5" customFormat="1" ht="18" customHeight="1">
      <c r="A38" s="132" t="s">
        <v>52</v>
      </c>
      <c r="B38" s="133"/>
      <c r="C38" s="133"/>
      <c r="D38" s="133"/>
      <c r="E38" s="106" t="s">
        <v>53</v>
      </c>
      <c r="F38" s="107"/>
      <c r="G38" s="27" t="s">
        <v>54</v>
      </c>
      <c r="H38" s="108" t="s">
        <v>55</v>
      </c>
      <c r="I38" s="109"/>
      <c r="J38" s="28" t="s">
        <v>56</v>
      </c>
    </row>
    <row r="39" spans="1:14" s="7" customFormat="1" ht="18" customHeight="1">
      <c r="A39" s="123" t="str">
        <f>_xlfn.XLOOKUP(B3,[1]VFDB2!A:A,[1]VFDB2!B:B)</f>
        <v>GA-770 (特注)BR</v>
      </c>
      <c r="B39" s="124"/>
      <c r="C39" s="124"/>
      <c r="D39" s="124"/>
      <c r="E39" s="127" t="str" cm="1">
        <f t="array" ref="E39">IFERROR(IF(ISBLANK(INDEX(_xlfn._xlws.FILTER([1]加工記録２!$C$3:$C$999615, [1]加工記録２!$T$3:$T$999615=B5), 6)), "", INDEX(_xlfn._xlws.FILTER([1]加工記録２!$C$3:$C$999615, [1]加工記録２!$T$3:$T$999615=B5), 6)),"")</f>
        <v>SB-246</v>
      </c>
      <c r="F39" s="128"/>
      <c r="G39" s="131" cm="1">
        <f t="array" ref="G39">IFERROR(IF(ISBLANK(INDEX(_xlfn._xlws.FILTER([1]加工記録２!$C$3:$C$999615, [1]加工記録２!$T$3:$T$999615=B5), 7)), " ", INDEX(_xlfn._xlws.FILTER([1]加工記録２!$C$3:$C$999615, [1]加工記録２!$T$3:$T$999615=B5), 7))," ")</f>
        <v>1</v>
      </c>
      <c r="H39" s="29" t="s">
        <v>57</v>
      </c>
      <c r="I39" s="47" cm="1">
        <f t="array" ref="I39:J39">IFERROR(IF(ISBLANK(INDEX(_xlfn._xlws.FILTER([1]加工記録２!$O$3:$P$999678, [1]加工記録２!$T$3:$T$999678=B5), 1)), "", INDEX(_xlfn._xlws.FILTER([1]加工記録２!$O$3:$P$999678, [1]加工記録２!$T$3:$T$999678=B5), 1)),"")</f>
        <v>45961</v>
      </c>
      <c r="J39" s="48" t="str">
        <v/>
      </c>
    </row>
    <row r="40" spans="1:14" s="5" customFormat="1" ht="18" customHeight="1">
      <c r="A40" s="125"/>
      <c r="B40" s="126"/>
      <c r="C40" s="126"/>
      <c r="D40" s="126"/>
      <c r="E40" s="127"/>
      <c r="F40" s="128"/>
      <c r="G40" s="131"/>
      <c r="H40" s="29" t="s">
        <v>58</v>
      </c>
      <c r="I40" s="49" t="str" cm="1">
        <f t="array" ref="I40:J40">IFERROR(IF(ISBLANK(INDEX(_xlfn._xlws.FILTER([1]加工記録２!$O$3:$P$999678, [1]加工記録２!$T$3:$T$999678=B5), 2)), "", INDEX(_xlfn._xlws.FILTER([1]加工記録２!$O$3:$P$999678, [1]加工記録２!$T$3:$T$999678=B5), 2)),"")</f>
        <v/>
      </c>
      <c r="J40" s="50" t="str">
        <v/>
      </c>
      <c r="K40" s="30"/>
    </row>
    <row r="41" spans="1:14" s="7" customFormat="1" ht="18" customHeight="1">
      <c r="A41" s="134" t="s">
        <v>59</v>
      </c>
      <c r="B41" s="147" t="str">
        <f>_xlfn.XLOOKUP(B3,[1]VFDB2!A:A,[1]VFDB2!J:J)</f>
        <v>-</v>
      </c>
      <c r="C41" s="149" t="s">
        <v>60</v>
      </c>
      <c r="D41" s="151" t="str">
        <f>_xlfn.XLOOKUP(B3,[1]VFDB2!A:A,[1]VFDB2!P:P)</f>
        <v>図面確認</v>
      </c>
      <c r="E41" s="127" t="str">
        <f>_xlfn.XLOOKUP(B3,[1]VFDB2!A:A,[1]VFDB2!V:V)</f>
        <v>-</v>
      </c>
      <c r="F41" s="128"/>
      <c r="G41" s="142"/>
      <c r="H41" s="31" t="s">
        <v>61</v>
      </c>
      <c r="I41" s="49" t="str" cm="1">
        <f t="array" ref="I41:J41">IFERROR(IF(ISBLANK(INDEX(_xlfn._xlws.FILTER([1]加工記録２!$O$3:$P$999678, [1]加工記録２!$T$3:$T$999678=B5), 3)), "", INDEX(_xlfn._xlws.FILTER([1]加工記録２!$O$3:$P$999678, [1]加工記録２!$T$3:$T$999678=B5), 3)),"")</f>
        <v/>
      </c>
      <c r="J41" s="51" t="str">
        <v/>
      </c>
      <c r="K41" s="32"/>
    </row>
    <row r="42" spans="1:14" s="5" customFormat="1" ht="18" customHeight="1">
      <c r="A42" s="146"/>
      <c r="B42" s="148"/>
      <c r="C42" s="150"/>
      <c r="D42" s="152"/>
      <c r="E42" s="127"/>
      <c r="F42" s="128"/>
      <c r="G42" s="142"/>
      <c r="H42" s="31" t="s">
        <v>62</v>
      </c>
      <c r="I42" s="49" t="str" cm="1">
        <f t="array" ref="I42:J42">IFERROR(IF(ISBLANK(INDEX(_xlfn._xlws.FILTER([1]加工記録２!$O$3:$P$999678, [1]加工記録２!$T$3:$T$999678=B5), 4)), "", INDEX(_xlfn._xlws.FILTER([1]加工記録２!$O$3:$P$999678, [1]加工記録２!$T$3:$T$999678=B5), 4)),"")</f>
        <v/>
      </c>
      <c r="J42" s="52" t="str">
        <v/>
      </c>
      <c r="K42" s="30"/>
    </row>
    <row r="43" spans="1:14" s="7" customFormat="1" ht="18" customHeight="1">
      <c r="A43" s="153" t="s">
        <v>63</v>
      </c>
      <c r="B43" s="155">
        <v>866.5</v>
      </c>
      <c r="C43" s="157" t="s">
        <v>64</v>
      </c>
      <c r="D43" s="140">
        <f>_xlfn.XLOOKUP(B3,[1]VFDB2!A:A,[1]VFDB2!L:L)</f>
        <v>0</v>
      </c>
      <c r="E43" s="127" t="str">
        <f>_xlfn.XLOOKUP(B3,[1]VFDB2!A:A,[1]VFDB2!W:W)</f>
        <v>-</v>
      </c>
      <c r="F43" s="128"/>
      <c r="G43" s="142"/>
      <c r="H43" s="31" t="s">
        <v>65</v>
      </c>
      <c r="I43" s="49" cm="1">
        <f t="array" ref="I43:J43">IFERROR(IF(ISBLANK(INDEX(_xlfn._xlws.FILTER([1]加工記録２!$O$3:$P$999678, [1]加工記録２!$T$3:$T$999678=B5), 5)), "", INDEX(_xlfn._xlws.FILTER([1]加工記録２!$O$3:$P$999678, [1]加工記録２!$T$3:$T$999678=B5), 5)),"")</f>
        <v>0</v>
      </c>
      <c r="J43" s="53" t="str">
        <v/>
      </c>
      <c r="K43" s="32"/>
    </row>
    <row r="44" spans="1:14" s="5" customFormat="1" ht="18" customHeight="1">
      <c r="A44" s="154"/>
      <c r="B44" s="156"/>
      <c r="C44" s="158"/>
      <c r="D44" s="159"/>
      <c r="E44" s="127"/>
      <c r="F44" s="128"/>
      <c r="G44" s="142"/>
      <c r="H44" s="31" t="s">
        <v>66</v>
      </c>
      <c r="I44" s="49" t="str" cm="1">
        <f t="array" ref="I44:J44">IFERROR(IF(ISBLANK(INDEX(_xlfn._xlws.FILTER([1]加工記録２!$O$3:$P$999678, [1]加工記録２!$T$3:$T$999678=B5), 6)), "", INDEX(_xlfn._xlws.FILTER([1]加工記録２!$O$3:$P$999678, [1]加工記録２!$T$3:$T$999678=B5), 6)),"")</f>
        <v/>
      </c>
      <c r="J44" s="54" t="str">
        <v/>
      </c>
      <c r="K44" s="30"/>
    </row>
    <row r="45" spans="1:14" s="7" customFormat="1" ht="18" customHeight="1">
      <c r="A45" s="134" t="s">
        <v>67</v>
      </c>
      <c r="B45" s="136" t="s">
        <v>81</v>
      </c>
      <c r="C45" s="138" t="s">
        <v>68</v>
      </c>
      <c r="D45" s="140">
        <f>_xlfn.XLOOKUP(B3,[1]VFDB2!A:A,[1]VFDB2!K:K)</f>
        <v>-1</v>
      </c>
      <c r="E45" s="127">
        <f>_xlfn.XLOOKUP(B3,[1]VFDB2!A:A,[1]VFDB2!R:R)</f>
        <v>0</v>
      </c>
      <c r="F45" s="128"/>
      <c r="G45" s="142"/>
      <c r="H45" s="31" t="s">
        <v>69</v>
      </c>
      <c r="I45" s="49" t="str" cm="1">
        <f t="array" ref="I45">IFERROR(IF(ISBLANK(INDEX(_xlfn._xlws.FILTER([1]加工記録２!$M$3:$M$999678, [1]加工記録２!$T$3:$T$999678=B5), 6)), "", INDEX(_xlfn._xlws.FILTER([1]加工記録２!$M$3:$M$999678, [1]加工記録２!$T$3:$T$999678=B5), 6)),"")</f>
        <v>M</v>
      </c>
      <c r="J45" s="55" t="str" cm="1">
        <f t="array" ref="J45">IFERROR(IF(ISBLANK(INDEX(_xlfn._xlws.FILTER([1]加工記録２!$P$3:$P$999678, [1]加工記録２!$T$3:$T$999678=B5), 7)), "", INDEX(_xlfn._xlws.FILTER([1]加工記録２!$P$3:$P$999678, [1]加工記録２!$T$3:$T$999678=B5), 7)),"")</f>
        <v/>
      </c>
      <c r="K45" s="32"/>
    </row>
    <row r="46" spans="1:14" s="5" customFormat="1" ht="18" customHeight="1" thickBot="1">
      <c r="A46" s="135"/>
      <c r="B46" s="137"/>
      <c r="C46" s="139"/>
      <c r="D46" s="141"/>
      <c r="E46" s="143"/>
      <c r="F46" s="144"/>
      <c r="G46" s="145"/>
      <c r="H46" s="33" t="s">
        <v>70</v>
      </c>
      <c r="I46" s="49" t="str" cm="1">
        <f t="array" ref="I46">IFERROR(IF(ISBLANK(INDEX(_xlfn._xlws.FILTER([1]加工記録２!$M$3:$M$999678, [1]加工記録２!$T$3:$T$999678=B5), 7)), "", INDEX(_xlfn._xlws.FILTER([1]加工記録２!$M$3:$M$999678, [1]加工記録２!$T$3:$T$999678=B5), 7)),"")</f>
        <v>M</v>
      </c>
      <c r="J46" s="56">
        <f>SUM(J39:J45)</f>
        <v>0</v>
      </c>
    </row>
    <row r="47" spans="1:14" s="44" customFormat="1" ht="18.95" customHeight="1">
      <c r="A47" s="34" t="s">
        <v>71</v>
      </c>
      <c r="B47" s="35" t="s">
        <v>72</v>
      </c>
      <c r="C47" s="36" t="s">
        <v>73</v>
      </c>
      <c r="D47" s="36" t="s">
        <v>74</v>
      </c>
      <c r="E47" s="37" t="s">
        <v>75</v>
      </c>
      <c r="F47" s="38" t="s">
        <v>76</v>
      </c>
      <c r="G47" s="39" t="s">
        <v>77</v>
      </c>
      <c r="H47" s="40" t="s">
        <v>78</v>
      </c>
      <c r="I47" s="41" t="s">
        <v>79</v>
      </c>
      <c r="J47" s="42" t="s">
        <v>80</v>
      </c>
      <c r="K47" s="43"/>
      <c r="L47" s="43"/>
      <c r="M47" s="43"/>
      <c r="N47" s="43"/>
    </row>
    <row r="48" spans="1:14" s="46" customFormat="1" ht="18.95" customHeight="1">
      <c r="A48" s="57" t="str" cm="1">
        <f t="array" ref="A48:J48">IFERROR(IF(ISBLANK(INDEX(_xlfn._xlws.FILTER([1]加工記録２!$D$3:$M$999678, [1]加工記録２!$T$3:$T$999678=B5), 1)), "", INDEX(_xlfn._xlws.FILTER([1]加工記録２!$D$3:$M$999678, [1]加工記録２!$T$3:$T$999678=B5), 1)),"")</f>
        <v/>
      </c>
      <c r="B48" s="58" t="str">
        <v/>
      </c>
      <c r="C48" s="59" t="str">
        <v/>
      </c>
      <c r="D48" s="59" t="str">
        <v/>
      </c>
      <c r="E48" s="60" t="str">
        <v/>
      </c>
      <c r="F48" s="61">
        <v>0</v>
      </c>
      <c r="G48" s="62" t="str">
        <v/>
      </c>
      <c r="H48" s="63" t="str">
        <v/>
      </c>
      <c r="I48" s="64">
        <v>45961</v>
      </c>
      <c r="J48" s="65">
        <v>1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IFERROR(IF(ISBLANK(INDEX(_xlfn._xlws.FILTER([1]加工記録２!$D$3:$M$999678, [1]加工記録２!$T$3:$T$999678=B5), 2)), "", INDEX(_xlfn._xlws.FILTER([1]加工記録２!$D$3:$M$999678, [1]加工記録２!$T$3:$T$999678=B5), 2)),"")</f>
        <v>45961</v>
      </c>
      <c r="B49" s="66" t="str">
        <v>22L27B</v>
      </c>
      <c r="C49" s="66" t="str">
        <v/>
      </c>
      <c r="D49" s="67">
        <v>866.5</v>
      </c>
      <c r="E49" s="68">
        <v>865.8</v>
      </c>
      <c r="F49" s="69" t="str">
        <v>22L27B</v>
      </c>
      <c r="G49" s="70">
        <v>6</v>
      </c>
      <c r="H49" s="71" t="str">
        <v/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IFERROR(IF(ISBLANK(INDEX(_xlfn._xlws.FILTER([1]加工記録２!$D$3:$M$999678, [1]加工記録２!$T$3:$T$999678=B5), 3)), "", INDEX(_xlfn._xlws.FILTER([1]加工記録２!$D$3:$M$999678, [1]加工記録２!$T$3:$T$999678=B5), 3)),"")</f>
        <v>45961</v>
      </c>
      <c r="B50" s="66" t="str">
        <v>22L27B</v>
      </c>
      <c r="C50" s="66" t="str">
        <v/>
      </c>
      <c r="D50" s="67">
        <v>866.5</v>
      </c>
      <c r="E50" s="68">
        <v>865.71</v>
      </c>
      <c r="F50" s="69" t="str">
        <v/>
      </c>
      <c r="G50" s="70" t="str">
        <v/>
      </c>
      <c r="H50" s="71" t="str">
        <v/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t="str" cm="1">
        <f t="array" ref="A51:J51">IFERROR(IF(ISBLANK(INDEX(_xlfn._xlws.FILTER([1]加工記録２!$D$3:$M$999678, [1]加工記録２!$T$3:$T$999678=B5), 4)), "", INDEX(_xlfn._xlws.FILTER([1]加工記録２!$D$3:$M$999678, [1]加工記録２!$T$3:$T$999678=B5),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 t="str">
        <v/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t="str" cm="1">
        <f t="array" ref="A52:J52">IFERROR(IF(ISBLANK(INDEX(_xlfn._xlws.FILTER([1]加工記録２!$D$3:$M$999678, [1]加工記録２!$T$3:$T$999678=B5), 5)), "", INDEX(_xlfn._xlws.FILTER([1]加工記録２!$D$3:$M$999678, [1]加工記録２!$T$3:$T$999678=B5),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 t="str">
        <v/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IFERROR(IF(ISBLANK(INDEX(_xlfn._xlws.FILTER([1]加工記録２!$D$3:$K$999678, [1]加工記録２!$T$3:$T$999678=B5), 6)), "", INDEX(_xlfn._xlws.FILTER([1]加工記録２!$D$3:$K$999678, [1]加工記録２!$T$3:$T$999678=B5),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 t="str">
        <v/>
      </c>
      <c r="I53" s="72"/>
      <c r="J53" s="73"/>
      <c r="K53" s="45"/>
      <c r="L53" s="45"/>
      <c r="M53" s="45"/>
      <c r="N53" s="45"/>
    </row>
    <row r="54" spans="1:14" s="46" customFormat="1" ht="18.95" customHeight="1">
      <c r="A54" s="57" t="str" cm="1">
        <f t="array" ref="A54:H54">IFERROR(IF(ISBLANK(INDEX(_xlfn._xlws.FILTER([1]加工記録２!$D$3:$K$999678, [1]加工記録２!$T$3:$T$999678=B5), 7)), "", INDEX(_xlfn._xlws.FILTER([1]加工記録２!$D$3:$K$999678, [1]加工記録２!$T$3:$T$999678=B5),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 t="str">
        <v/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IFERROR(IF(ISBLANK(INDEX(_xlfn._xlws.FILTER([1]加工記録２!$D$3:$K$999678, [1]加工記録２!$T$3:$T$999678=B5), 8)), "", INDEX(_xlfn._xlws.FILTER([1]加工記録２!$D$3:$K$999678, [1]加工記録２!$T$3:$T$999678=B5),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 t="str">
        <v/>
      </c>
      <c r="I55" s="81"/>
      <c r="J55" s="82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21:D21"/>
    <mergeCell ref="I23:J23"/>
    <mergeCell ref="C30:E30"/>
    <mergeCell ref="C23:D23"/>
    <mergeCell ref="F16:H16"/>
    <mergeCell ref="F7:G7"/>
    <mergeCell ref="F23:H23"/>
    <mergeCell ref="C20:D20"/>
    <mergeCell ref="C22:D22"/>
    <mergeCell ref="F26:J26"/>
  </mergeCells>
  <phoneticPr fontId="2"/>
  <conditionalFormatting sqref="D50:D55">
    <cfRule type="cellIs" dxfId="0" priority="1" operator="equal">
      <formula>$D49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user</cp:lastModifiedBy>
  <cp:lastPrinted>2025-10-29T23:14:29Z</cp:lastPrinted>
  <dcterms:created xsi:type="dcterms:W3CDTF">2024-07-11T02:08:33Z</dcterms:created>
  <dcterms:modified xsi:type="dcterms:W3CDTF">2025-10-31T07:26:36Z</dcterms:modified>
</cp:coreProperties>
</file>