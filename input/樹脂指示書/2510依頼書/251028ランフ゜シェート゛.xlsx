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9B2B412C-E0E0-4848-A0B7-6120A0D00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J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<sst xmlns="http://schemas.openxmlformats.org/spreadsheetml/2006/main" count="86" uniqueCount="82">
  <si>
    <t>検査梱包指示書</t>
  </si>
  <si>
    <t>品目番号</t>
  </si>
  <si>
    <t>J1JAZZB05605540</t>
  </si>
  <si>
    <t>Ｌ寸</t>
  </si>
  <si>
    <t>名称</t>
  </si>
  <si>
    <t>ﾗﾝﾌﾟｼｪｰﾄﾞSL-600</t>
  </si>
  <si>
    <t>上長</t>
  </si>
  <si>
    <t>係員</t>
  </si>
  <si>
    <t>製造指図№</t>
  </si>
  <si>
    <t>000000000008890</t>
  </si>
  <si>
    <t>原料名</t>
  </si>
  <si>
    <t>J6VZ040</t>
  </si>
  <si>
    <t>発注明細№</t>
  </si>
  <si>
    <t>000000000802952</t>
  </si>
  <si>
    <t>色　名</t>
  </si>
  <si>
    <t>乳白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</si>
  <si>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</si>
  <si>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</si>
  <si>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</si>
  <si>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</si>
  <si>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</si>
  <si>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</si>
  <si>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</si>
  <si>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</si>
  <si>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4243</t>
  </si>
  <si>
    <t>*J1JAZZB05605540*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</si>
  <si>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</si>
  <si>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</si>
  <si>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</si>
  <si>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</si>
  <si>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</si>
  <si>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</si>
  <si>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</si>
  <si>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</si>
  <si>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</si>
  <si>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</si>
  <si>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</si>
  <si>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</si>
  <si>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</si>
  <si>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</si>
  <si>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</si>
  <si>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</si>
  <si>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</si>
  <si>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</si>
  <si>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</si>
  <si>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</si>
  <si>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</si>
  <si>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</si>
  <si>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J1JAZZ005611720</t>
  </si>
  <si>
    <t>ﾗﾝﾌﾟｼｪｰﾄﾞSL-1200</t>
  </si>
  <si>
    <t>V3J04</t>
  </si>
  <si>
    <t>*J1JAZZ005611720*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</si>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</sst>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19" fillId="4" borderId="38" xfId="0" applyNumberFormat="1" applyFont="1" applyFill="1" applyBorder="1" applyAlignment="1">
      <alignment horizontal="center" vertical="center"/>
    </xf>
    <xf numFmtId="196" fontId="32" fillId="0" borderId="39" xfId="0" applyNumberFormat="1" applyFont="1" applyBorder="1" applyAlignment="1">
      <alignment horizontal="center"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171451</xdr:colOff>
      <xdr:row>3</xdr:row>
      <xdr:rowOff>85726</xdr:rowOff>
    </xdr:from>
    <xdr:to>
      <xdr:col>9</xdr:col>
      <xdr:colOff>647701</xdr:colOff>
      <xdr:row>5</xdr:row>
      <xdr:rowOff>161926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25F5EB-38B9-EAC1-35F3-9A0740981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6" y="628651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209551</xdr:colOff>
      <xdr:row>3</xdr:row>
      <xdr:rowOff>85726</xdr:rowOff>
    </xdr:from>
    <xdr:to>
      <xdr:col>8</xdr:col>
      <xdr:colOff>609601</xdr:colOff>
      <xdr:row>5</xdr:row>
      <xdr:rowOff>85726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DA00D7-FE3A-8FC0-C460-F2656F4F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1" y="628651"/>
          <a:ext cx="400050" cy="400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K6">
            <v>0</v>
          </cell>
          <cell r="O6">
            <v>88</v>
          </cell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K7">
            <v>0</v>
          </cell>
          <cell r="O7">
            <v>88</v>
          </cell>
          <cell r="T7" t="str">
            <v>000000000009311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C9">
            <v>12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I11">
            <v>0</v>
          </cell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O12">
            <v>6</v>
          </cell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 t="e">
            <v>#VALUE!</v>
          </cell>
          <cell r="O13">
            <v>3</v>
          </cell>
          <cell r="T13" t="str">
            <v>000000000009857</v>
          </cell>
        </row>
        <row r="14">
          <cell r="G14" t="str">
            <v/>
          </cell>
          <cell r="K14" t="e">
            <v>#VALUE!</v>
          </cell>
          <cell r="O14" t="str">
            <v/>
          </cell>
          <cell r="T14" t="str">
            <v>000000000009857</v>
          </cell>
        </row>
        <row r="15">
          <cell r="C15" t="str">
            <v>図面確認</v>
          </cell>
          <cell r="G15" t="str">
            <v/>
          </cell>
          <cell r="K15" t="e">
            <v>#VALUE!</v>
          </cell>
          <cell r="O15">
            <v>0</v>
          </cell>
          <cell r="T15" t="str">
            <v>000000000009857</v>
          </cell>
        </row>
        <row r="16">
          <cell r="C16" t="str">
            <v>SB-246</v>
          </cell>
          <cell r="G16" t="str">
            <v/>
          </cell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000000000009857</v>
          </cell>
        </row>
        <row r="17">
          <cell r="C17">
            <v>1</v>
          </cell>
          <cell r="G17" t="str">
            <v/>
          </cell>
          <cell r="K17" t="e">
            <v>#VALUE!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 t="e">
            <v>#VALUE!</v>
          </cell>
          <cell r="L18" t="str">
            <v>α端材</v>
          </cell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8FL281304 5010　L=888</v>
          </cell>
          <cell r="D19">
            <v>45987</v>
          </cell>
          <cell r="E19" t="str">
            <v>25J23-09</v>
          </cell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T20" t="str">
            <v>000000000009234</v>
          </cell>
        </row>
        <row r="21">
          <cell r="C21">
            <v>2000</v>
          </cell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K22">
            <v>0</v>
          </cell>
          <cell r="O22">
            <v>12</v>
          </cell>
          <cell r="T22" t="str">
            <v>000000000009234</v>
          </cell>
        </row>
        <row r="23">
          <cell r="C23">
            <v>2</v>
          </cell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K23">
            <v>0</v>
          </cell>
          <cell r="O23">
            <v>12</v>
          </cell>
          <cell r="T23" t="str">
            <v>000000000009234</v>
          </cell>
        </row>
        <row r="24">
          <cell r="C24" t="str">
            <v>LED-A888</v>
          </cell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T24" t="str">
            <v>000000000009234</v>
          </cell>
        </row>
        <row r="25">
          <cell r="C25">
            <v>3</v>
          </cell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K25">
            <v>0</v>
          </cell>
          <cell r="L25" t="str">
            <v>検査</v>
          </cell>
          <cell r="M25" t="str">
            <v>t</v>
          </cell>
          <cell r="P25">
            <v>1</v>
          </cell>
          <cell r="T25" t="str">
            <v>000000000009234</v>
          </cell>
        </row>
        <row r="26"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K26">
            <v>0</v>
          </cell>
          <cell r="L26" t="str">
            <v>α端材</v>
          </cell>
          <cell r="O26">
            <v>1</v>
          </cell>
          <cell r="P26">
            <v>12</v>
          </cell>
          <cell r="T26" t="str">
            <v>000000000009234</v>
          </cell>
        </row>
        <row r="27">
          <cell r="C27" t="str">
            <v>8FL281304 6110　L=1478</v>
          </cell>
          <cell r="D27">
            <v>45978</v>
          </cell>
          <cell r="E27" t="str">
            <v>25J21-07</v>
          </cell>
          <cell r="I27" t="str">
            <v>25J21-07</v>
          </cell>
          <cell r="J27">
            <v>5</v>
          </cell>
          <cell r="K27">
            <v>5</v>
          </cell>
          <cell r="L27">
            <v>45979</v>
          </cell>
          <cell r="M27">
            <v>3</v>
          </cell>
          <cell r="O27">
            <v>45979</v>
          </cell>
          <cell r="P27">
            <v>3</v>
          </cell>
          <cell r="T27" t="str">
            <v>000000000009237</v>
          </cell>
        </row>
        <row r="28"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O28">
            <v>300</v>
          </cell>
          <cell r="T28" t="str">
            <v>000000000009237</v>
          </cell>
        </row>
        <row r="29">
          <cell r="C29">
            <v>300</v>
          </cell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K29">
            <v>0</v>
          </cell>
          <cell r="O29">
            <v>153</v>
          </cell>
          <cell r="P29">
            <v>1</v>
          </cell>
          <cell r="T29" t="str">
            <v>000000000009237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000000000009237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5</v>
          </cell>
          <cell r="T31" t="str">
            <v>000000000009237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T32" t="str">
            <v>000000000009237</v>
          </cell>
        </row>
        <row r="33">
          <cell r="C33">
            <v>20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000000000009237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-5</v>
          </cell>
          <cell r="P34">
            <v>5</v>
          </cell>
          <cell r="T34" t="str">
            <v>000000000009237</v>
          </cell>
        </row>
        <row r="35">
          <cell r="C35" t="str">
            <v>8FL281304 4910　L=592</v>
          </cell>
          <cell r="D35">
            <v>45967</v>
          </cell>
          <cell r="E35" t="str">
            <v>25J20-06</v>
          </cell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T35" t="str">
            <v>000000000009231</v>
          </cell>
        </row>
        <row r="36">
          <cell r="D36">
            <v>45992</v>
          </cell>
          <cell r="E36" t="str">
            <v>25J23-10</v>
          </cell>
          <cell r="F36">
            <v>20</v>
          </cell>
          <cell r="G36">
            <v>592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O36">
            <v>300</v>
          </cell>
          <cell r="T36" t="str">
            <v>000000000009231</v>
          </cell>
        </row>
        <row r="37">
          <cell r="C37">
            <v>300</v>
          </cell>
          <cell r="D37">
            <v>45992</v>
          </cell>
          <cell r="E37" t="str">
            <v>25J23-10</v>
          </cell>
          <cell r="F37">
            <v>20</v>
          </cell>
          <cell r="G37">
            <v>592</v>
          </cell>
          <cell r="H37">
            <v>591.71</v>
          </cell>
          <cell r="K37">
            <v>0</v>
          </cell>
          <cell r="O37">
            <v>101</v>
          </cell>
          <cell r="T37" t="str">
            <v>000000000009231</v>
          </cell>
        </row>
        <row r="38">
          <cell r="D38">
            <v>45993</v>
          </cell>
          <cell r="E38" t="str">
            <v>25J23-10</v>
          </cell>
          <cell r="F38">
            <v>20</v>
          </cell>
          <cell r="G38">
            <v>592</v>
          </cell>
          <cell r="H38">
            <v>591.44000000000005</v>
          </cell>
          <cell r="K38">
            <v>0</v>
          </cell>
          <cell r="O38">
            <v>1</v>
          </cell>
          <cell r="T38" t="str">
            <v>000000000009231</v>
          </cell>
        </row>
        <row r="39">
          <cell r="C39">
            <v>3</v>
          </cell>
          <cell r="D39">
            <v>45993</v>
          </cell>
          <cell r="E39" t="str">
            <v>25J23-10</v>
          </cell>
          <cell r="F39">
            <v>20</v>
          </cell>
          <cell r="G39">
            <v>592</v>
          </cell>
          <cell r="H39">
            <v>591.44000000000005</v>
          </cell>
          <cell r="K39">
            <v>0</v>
          </cell>
          <cell r="O39">
            <v>1</v>
          </cell>
          <cell r="T39" t="str">
            <v>000000000009231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T40" t="str">
            <v>000000000009231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P41">
            <v>1</v>
          </cell>
          <cell r="T41" t="str">
            <v>000000000009231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1</v>
          </cell>
          <cell r="T42" t="str">
            <v>000000000009231</v>
          </cell>
        </row>
        <row r="43">
          <cell r="C43" t="str">
            <v>8FL281304 4810　L=297</v>
          </cell>
          <cell r="D43">
            <v>45967</v>
          </cell>
          <cell r="E43" t="str">
            <v>25J20-06</v>
          </cell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O44">
            <v>300</v>
          </cell>
          <cell r="T44" t="str">
            <v>000000000009230</v>
          </cell>
        </row>
        <row r="45">
          <cell r="C45">
            <v>300</v>
          </cell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K45">
            <v>0</v>
          </cell>
          <cell r="O45">
            <v>51</v>
          </cell>
          <cell r="T45" t="str">
            <v>000000000009230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000000000009230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4</v>
          </cell>
          <cell r="T47" t="str">
            <v>000000000009230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T48" t="str">
            <v>000000000009230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t</v>
          </cell>
          <cell r="P49">
            <v>3</v>
          </cell>
          <cell r="T49" t="str">
            <v>000000000009230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4</v>
          </cell>
          <cell r="T50" t="str">
            <v>000000000009230</v>
          </cell>
        </row>
        <row r="51">
          <cell r="C51" t="str">
            <v>ランプシェード　SL-600</v>
          </cell>
          <cell r="I51">
            <v>0</v>
          </cell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T51" t="str">
            <v>000000000008890</v>
          </cell>
        </row>
        <row r="52"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1200</v>
          </cell>
          <cell r="P52">
            <v>1</v>
          </cell>
          <cell r="T52" t="str">
            <v>000000000008890</v>
          </cell>
        </row>
        <row r="53">
          <cell r="C53">
            <v>1200</v>
          </cell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O53">
            <v>656</v>
          </cell>
          <cell r="T53" t="str">
            <v>000000000008890</v>
          </cell>
        </row>
        <row r="54"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O54">
            <v>56</v>
          </cell>
          <cell r="P54">
            <v>111</v>
          </cell>
          <cell r="T54" t="str">
            <v>000000000008890</v>
          </cell>
        </row>
        <row r="55">
          <cell r="C55">
            <v>2</v>
          </cell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O55">
            <v>112</v>
          </cell>
          <cell r="T55" t="str">
            <v>000000000008890</v>
          </cell>
        </row>
        <row r="56"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T56" t="str">
            <v>000000000008890</v>
          </cell>
        </row>
        <row r="57">
          <cell r="C57">
            <v>4</v>
          </cell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K57">
            <v>0</v>
          </cell>
          <cell r="L57" t="str">
            <v>検査</v>
          </cell>
          <cell r="M57" t="str">
            <v>t</v>
          </cell>
          <cell r="T57" t="str">
            <v>000000000008890</v>
          </cell>
        </row>
        <row r="58"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K58">
            <v>0</v>
          </cell>
          <cell r="L58" t="str">
            <v>α端材</v>
          </cell>
          <cell r="O58">
            <v>0</v>
          </cell>
          <cell r="P58">
            <v>112</v>
          </cell>
          <cell r="T58" t="str">
            <v>000000000008890</v>
          </cell>
        </row>
        <row r="59">
          <cell r="C59" t="str">
            <v>照明ｶﾊﾞｰS15　L=550</v>
          </cell>
          <cell r="I59">
            <v>0</v>
          </cell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T59" t="str">
            <v>000000000009943</v>
          </cell>
        </row>
        <row r="60"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O60">
            <v>500</v>
          </cell>
          <cell r="T60" t="str">
            <v>000000000009943</v>
          </cell>
        </row>
        <row r="61">
          <cell r="C61">
            <v>500</v>
          </cell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O61">
            <v>167</v>
          </cell>
          <cell r="T61" t="str">
            <v>000000000009943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000000000009943</v>
          </cell>
        </row>
        <row r="63">
          <cell r="C63">
            <v>3</v>
          </cell>
          <cell r="G63" t="str">
            <v/>
          </cell>
          <cell r="K63">
            <v>0</v>
          </cell>
          <cell r="O63">
            <v>0</v>
          </cell>
          <cell r="T63" t="str">
            <v>000000000009943</v>
          </cell>
        </row>
        <row r="64">
          <cell r="C64" t="str">
            <v>基材梱包箱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T64" t="str">
            <v>000000000009943</v>
          </cell>
        </row>
        <row r="65">
          <cell r="C65">
            <v>30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m</v>
          </cell>
          <cell r="T65" t="str">
            <v>000000000009943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000000000009943</v>
          </cell>
        </row>
        <row r="67">
          <cell r="C67" t="str">
            <v>灯具カバーPC IN 2110　L=1815</v>
          </cell>
          <cell r="I67">
            <v>0</v>
          </cell>
          <cell r="K67">
            <v>0</v>
          </cell>
          <cell r="O67">
            <v>0</v>
          </cell>
          <cell r="T67" t="str">
            <v>000000000009641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000000000009641</v>
          </cell>
        </row>
        <row r="69">
          <cell r="C69">
            <v>200</v>
          </cell>
          <cell r="G69" t="str">
            <v/>
          </cell>
          <cell r="K69">
            <v>0</v>
          </cell>
          <cell r="O69">
            <v>0</v>
          </cell>
          <cell r="T69" t="str">
            <v>000000000009641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000000000009641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000000000009641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000000000009641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000000000009641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000000000009641</v>
          </cell>
        </row>
        <row r="75">
          <cell r="C75" t="str">
            <v>灯具カバーPC IN 2060　L=1258.5</v>
          </cell>
          <cell r="I75">
            <v>0</v>
          </cell>
          <cell r="K75">
            <v>0</v>
          </cell>
          <cell r="O75">
            <v>0</v>
          </cell>
          <cell r="T75" t="str">
            <v>000000000009639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000000000009639</v>
          </cell>
        </row>
        <row r="77">
          <cell r="C77">
            <v>192</v>
          </cell>
          <cell r="G77" t="str">
            <v/>
          </cell>
          <cell r="K77">
            <v>0</v>
          </cell>
          <cell r="O77">
            <v>0</v>
          </cell>
          <cell r="T77" t="str">
            <v>000000000009639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000000000009639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000000000009639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000000000009639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000000000009639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000000000009639</v>
          </cell>
        </row>
        <row r="83">
          <cell r="C83" t="str">
            <v>灯具カバーPC IN 2100　L=1923</v>
          </cell>
          <cell r="I83">
            <v>0</v>
          </cell>
          <cell r="K83">
            <v>0</v>
          </cell>
          <cell r="O83">
            <v>0</v>
          </cell>
          <cell r="T83" t="str">
            <v>000000000009642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000000000009642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000000000009642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000000000009642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000000000009642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000000000009642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000000000009642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000000000009642</v>
          </cell>
        </row>
        <row r="91">
          <cell r="C91" t="str">
            <v>灯具カバーPC IN 2090　L=840</v>
          </cell>
          <cell r="I91">
            <v>0</v>
          </cell>
          <cell r="K91">
            <v>0</v>
          </cell>
          <cell r="O91">
            <v>0</v>
          </cell>
          <cell r="T91" t="str">
            <v>000000000009636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000000000009636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000000000009636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000000000009636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000000000009636</v>
          </cell>
        </row>
        <row r="96">
          <cell r="C96" t="str">
            <v>灯具-3　L=970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000000000009636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000000000009636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000000000009636</v>
          </cell>
        </row>
        <row r="99">
          <cell r="C99" t="str">
            <v>灯具カバーPC IN 2130　L=908</v>
          </cell>
          <cell r="I99">
            <v>0</v>
          </cell>
          <cell r="K99">
            <v>0</v>
          </cell>
          <cell r="O99">
            <v>0</v>
          </cell>
          <cell r="T99" t="str">
            <v>000000000009637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000000000009637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000000000009637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000000000009637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000000000009637</v>
          </cell>
        </row>
        <row r="104">
          <cell r="C104" t="str">
            <v>灯具-3　L=970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000000000009637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000000000009637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000000000009637</v>
          </cell>
        </row>
        <row r="107">
          <cell r="C107" t="str">
            <v>灯具カバーPC IN 2070　L=1966</v>
          </cell>
          <cell r="I107">
            <v>0</v>
          </cell>
          <cell r="K107">
            <v>0</v>
          </cell>
          <cell r="O107">
            <v>0</v>
          </cell>
          <cell r="T107" t="str">
            <v>000000000009643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000000000009643</v>
          </cell>
        </row>
        <row r="109">
          <cell r="C109">
            <v>200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000000000009643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000000000009643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000000000009643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000000000009643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000000000009643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000000000009643</v>
          </cell>
        </row>
        <row r="115">
          <cell r="C115" t="str">
            <v>灯具カバーPC IN 2080　L=1540</v>
          </cell>
          <cell r="I115">
            <v>0</v>
          </cell>
          <cell r="K115">
            <v>0</v>
          </cell>
          <cell r="O115">
            <v>0</v>
          </cell>
          <cell r="T115" t="str">
            <v>000000000009640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000000000009640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000000000009640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000000000009640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000000000009640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000000000009640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000000000009640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000000000009640</v>
          </cell>
        </row>
        <row r="123">
          <cell r="C123" t="str">
            <v>灯具カバーPC IN 2050　L=1183.5</v>
          </cell>
          <cell r="I123">
            <v>0</v>
          </cell>
          <cell r="K123">
            <v>0</v>
          </cell>
          <cell r="O123">
            <v>0</v>
          </cell>
          <cell r="T123" t="str">
            <v>000000000009638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000000000009638</v>
          </cell>
        </row>
        <row r="125">
          <cell r="C125">
            <v>192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000000000009638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000000000009638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000000000009638</v>
          </cell>
        </row>
        <row r="128">
          <cell r="C128" t="str">
            <v>灯具-1　L=1370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000000000009638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000000000009638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000000000009638</v>
          </cell>
        </row>
        <row r="131">
          <cell r="C131" t="str">
            <v>灯具カバーPC IN 2140　L=547</v>
          </cell>
          <cell r="I131">
            <v>0</v>
          </cell>
          <cell r="K131">
            <v>0</v>
          </cell>
          <cell r="O131">
            <v>0</v>
          </cell>
          <cell r="T131" t="str">
            <v>000000000009635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000000000009635</v>
          </cell>
        </row>
        <row r="133">
          <cell r="C133">
            <v>192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000000000009635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000000000009635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000000000009635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000000000009635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000000000009635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000000000009635</v>
          </cell>
        </row>
        <row r="139">
          <cell r="C139" t="str">
            <v>灯具カバーPC IN 2070　L=1966</v>
          </cell>
          <cell r="I139">
            <v>0</v>
          </cell>
          <cell r="K139">
            <v>0</v>
          </cell>
          <cell r="O139">
            <v>0</v>
          </cell>
          <cell r="T139" t="str">
            <v>000000000009643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000000000009643</v>
          </cell>
        </row>
        <row r="141">
          <cell r="C141">
            <v>200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000000000009643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000000000009643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000000000009643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000000000009643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000000000009643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000000000009643</v>
          </cell>
        </row>
        <row r="147">
          <cell r="C147" t="str">
            <v>灯具カバーPC IN 2110　L=1815</v>
          </cell>
          <cell r="I147">
            <v>0</v>
          </cell>
          <cell r="K147">
            <v>0</v>
          </cell>
          <cell r="O147">
            <v>0</v>
          </cell>
          <cell r="T147" t="str">
            <v>000000000009641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000000000009641</v>
          </cell>
        </row>
        <row r="149">
          <cell r="C149">
            <v>200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000000000009641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000000000009641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000000000009641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000000000009641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000000000009641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000000000009641</v>
          </cell>
        </row>
        <row r="155">
          <cell r="C155" t="str">
            <v>8FL281304 8310　L=748</v>
          </cell>
          <cell r="I155">
            <v>0</v>
          </cell>
          <cell r="K155">
            <v>0</v>
          </cell>
          <cell r="O155">
            <v>0</v>
          </cell>
          <cell r="T155" t="str">
            <v>000000000010001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000000000010001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000000000010001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000000000010001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000000000010001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000000000010001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000000000010001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000000000010001</v>
          </cell>
        </row>
        <row r="163">
          <cell r="C163" t="str">
            <v>8FL281304 4910　L=592</v>
          </cell>
          <cell r="I163">
            <v>0</v>
          </cell>
          <cell r="K163">
            <v>0</v>
          </cell>
          <cell r="O163">
            <v>0</v>
          </cell>
          <cell r="T163" t="str">
            <v>000000000009999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000000000009999</v>
          </cell>
        </row>
        <row r="165">
          <cell r="C165">
            <v>200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000000000009999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000000000009999</v>
          </cell>
        </row>
        <row r="167">
          <cell r="C167">
            <v>3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000000000009999</v>
          </cell>
        </row>
        <row r="168">
          <cell r="C168" t="str">
            <v>LED-A592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000000000009999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000000000009999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000000000009999</v>
          </cell>
        </row>
        <row r="171">
          <cell r="C171" t="str">
            <v>8FL281304 4810　L=297</v>
          </cell>
          <cell r="I171">
            <v>0</v>
          </cell>
          <cell r="K171">
            <v>0</v>
          </cell>
          <cell r="O171">
            <v>0</v>
          </cell>
          <cell r="T171" t="str">
            <v>000000000009996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000000000009996</v>
          </cell>
        </row>
        <row r="173">
          <cell r="C173">
            <v>300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000000000009996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000000000009996</v>
          </cell>
        </row>
        <row r="175">
          <cell r="C175">
            <v>6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000000000009996</v>
          </cell>
        </row>
        <row r="176">
          <cell r="C176" t="str">
            <v>LED-A300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000000000009996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000000000009996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000000000009996</v>
          </cell>
        </row>
        <row r="179">
          <cell r="C179" t="str">
            <v>8FL281304 4810　L=297</v>
          </cell>
          <cell r="I179">
            <v>0</v>
          </cell>
          <cell r="K179">
            <v>0</v>
          </cell>
          <cell r="O179">
            <v>0</v>
          </cell>
          <cell r="T179" t="str">
            <v>000000000009997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000000000009997</v>
          </cell>
        </row>
        <row r="181">
          <cell r="C181">
            <v>300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000000000009997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000000000009997</v>
          </cell>
        </row>
        <row r="183">
          <cell r="C183">
            <v>6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000000000009997</v>
          </cell>
        </row>
        <row r="184">
          <cell r="C184" t="str">
            <v>LED-A300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000000000009997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000000000009997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000000000009997</v>
          </cell>
        </row>
        <row r="187">
          <cell r="C187" t="str">
            <v>8FL281304 4810　L=297</v>
          </cell>
          <cell r="I187">
            <v>0</v>
          </cell>
          <cell r="K187">
            <v>0</v>
          </cell>
          <cell r="O187">
            <v>0</v>
          </cell>
          <cell r="T187" t="str">
            <v>000000000009998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000000000009998</v>
          </cell>
        </row>
        <row r="189">
          <cell r="C189">
            <v>200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000000000009998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000000000009998</v>
          </cell>
        </row>
        <row r="191">
          <cell r="C191">
            <v>6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000000000009998</v>
          </cell>
        </row>
        <row r="192">
          <cell r="C192" t="str">
            <v>LED-A300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000000000009998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000000000009998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000000000009998</v>
          </cell>
        </row>
        <row r="195">
          <cell r="C195" t="str">
            <v>8FL281304 6110　L=1478</v>
          </cell>
          <cell r="I195">
            <v>0</v>
          </cell>
          <cell r="K195">
            <v>0</v>
          </cell>
          <cell r="O195">
            <v>0</v>
          </cell>
          <cell r="T195" t="str">
            <v>000000000010006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000000000010006</v>
          </cell>
        </row>
        <row r="197">
          <cell r="C197">
            <v>800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000000000010006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000000000010006</v>
          </cell>
        </row>
        <row r="200">
          <cell r="C200" t="str">
            <v>LED-A1478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000000000010006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000000000010006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000000000010006</v>
          </cell>
        </row>
        <row r="203">
          <cell r="C203" t="str">
            <v>8FL281304 5010　L=888</v>
          </cell>
          <cell r="I203">
            <v>0</v>
          </cell>
          <cell r="K203">
            <v>0</v>
          </cell>
          <cell r="O203">
            <v>0</v>
          </cell>
          <cell r="T203" t="str">
            <v>000000000010003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000000000010003</v>
          </cell>
        </row>
        <row r="205">
          <cell r="C205">
            <v>2000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000000000010003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000000000010003</v>
          </cell>
        </row>
        <row r="207">
          <cell r="C207">
            <v>2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000000000010003</v>
          </cell>
        </row>
        <row r="208">
          <cell r="C208" t="str">
            <v>LED-A888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000000000010003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000000000010003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000000000010003</v>
          </cell>
        </row>
        <row r="211">
          <cell r="C211" t="str">
            <v>8FL281304 5010　L=888</v>
          </cell>
          <cell r="I211">
            <v>0</v>
          </cell>
          <cell r="K211">
            <v>0</v>
          </cell>
          <cell r="O211">
            <v>0</v>
          </cell>
          <cell r="T211" t="str">
            <v>000000000010004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000000000010004</v>
          </cell>
        </row>
        <row r="213">
          <cell r="C213">
            <v>900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000000000010004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000000000010004</v>
          </cell>
        </row>
        <row r="215">
          <cell r="C215">
            <v>2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000000000010004</v>
          </cell>
        </row>
        <row r="216">
          <cell r="C216" t="str">
            <v>LED-A888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000000000010004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000000000010004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000000000010004</v>
          </cell>
        </row>
        <row r="219">
          <cell r="C219" t="str">
            <v>8FL281304 5010　L=888</v>
          </cell>
          <cell r="I219">
            <v>0</v>
          </cell>
          <cell r="K219">
            <v>0</v>
          </cell>
          <cell r="O219">
            <v>0</v>
          </cell>
          <cell r="T219" t="str">
            <v>000000000010005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000000000010005</v>
          </cell>
        </row>
        <row r="221">
          <cell r="C221">
            <v>1000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000000000010005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000000000010005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000000000010005</v>
          </cell>
        </row>
        <row r="224">
          <cell r="C224" t="str">
            <v>LED-A888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000000000010005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000000000010005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000000000010005</v>
          </cell>
        </row>
        <row r="227">
          <cell r="C227" t="str">
            <v>8FL281304 4910　L=592</v>
          </cell>
          <cell r="I227">
            <v>0</v>
          </cell>
          <cell r="K227">
            <v>0</v>
          </cell>
          <cell r="O227">
            <v>0</v>
          </cell>
          <cell r="T227" t="str">
            <v>000000000010000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000000000010000</v>
          </cell>
        </row>
        <row r="229">
          <cell r="C229">
            <v>100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000000000010000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000000000010000</v>
          </cell>
        </row>
        <row r="231">
          <cell r="C231">
            <v>3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000000000010000</v>
          </cell>
        </row>
        <row r="232">
          <cell r="C232" t="str">
            <v>LED-A592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000000000010000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000000000010000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000000000010000</v>
          </cell>
        </row>
        <row r="235">
          <cell r="C235">
            <v>46006</v>
          </cell>
          <cell r="I235">
            <v>0</v>
          </cell>
          <cell r="K235" t="e">
            <v>#DIV/0!</v>
          </cell>
          <cell r="O235">
            <v>0</v>
          </cell>
          <cell r="T235" t="str">
            <v/>
          </cell>
        </row>
        <row r="236">
          <cell r="G236" t="str">
            <v/>
          </cell>
          <cell r="I236" t="str">
            <v/>
          </cell>
          <cell r="K236" t="e">
            <v>#DIV/0!</v>
          </cell>
          <cell r="O236">
            <v>0</v>
          </cell>
          <cell r="T236" t="str">
            <v/>
          </cell>
        </row>
        <row r="237">
          <cell r="C237" t="str">
            <v>-</v>
          </cell>
          <cell r="G237" t="str">
            <v/>
          </cell>
          <cell r="K237" t="e">
            <v>#DIV/0!</v>
          </cell>
          <cell r="O237" t="str">
            <v/>
          </cell>
          <cell r="T237" t="str">
            <v/>
          </cell>
        </row>
        <row r="238">
          <cell r="G238" t="str">
            <v/>
          </cell>
          <cell r="K238" t="e">
            <v>#DIV/0!</v>
          </cell>
          <cell r="O238" t="str">
            <v/>
          </cell>
          <cell r="T238" t="str">
            <v/>
          </cell>
        </row>
        <row r="239">
          <cell r="G239" t="str">
            <v/>
          </cell>
          <cell r="K239" t="e">
            <v>#DIV/0!</v>
          </cell>
          <cell r="O239">
            <v>0</v>
          </cell>
          <cell r="T239" t="str">
            <v/>
          </cell>
        </row>
        <row r="240">
          <cell r="G240" t="str">
            <v/>
          </cell>
          <cell r="K240" t="e">
            <v>#DIV/0!</v>
          </cell>
          <cell r="L240" t="str">
            <v>切断</v>
          </cell>
          <cell r="O240" t="e">
            <v>#DIV/0!</v>
          </cell>
          <cell r="T240" t="str">
            <v/>
          </cell>
        </row>
        <row r="241">
          <cell r="C241" t="e">
            <v>#N/A</v>
          </cell>
          <cell r="G241" t="str">
            <v/>
          </cell>
          <cell r="K241" t="e">
            <v>#DIV/0!</v>
          </cell>
          <cell r="L241" t="str">
            <v>検査</v>
          </cell>
          <cell r="T241" t="str">
            <v/>
          </cell>
        </row>
        <row r="242">
          <cell r="G242" t="str">
            <v/>
          </cell>
          <cell r="K242" t="e">
            <v>#DIV/0!</v>
          </cell>
          <cell r="L242" t="str">
            <v>α端材</v>
          </cell>
          <cell r="O242" t="e">
            <v>#DIV/0!</v>
          </cell>
          <cell r="P242">
            <v>0</v>
          </cell>
          <cell r="T242" t="str">
            <v/>
          </cell>
        </row>
        <row r="243">
          <cell r="C243" t="str">
            <v>8FL281304 5010　L=888</v>
          </cell>
          <cell r="I243">
            <v>0</v>
          </cell>
          <cell r="K243">
            <v>0</v>
          </cell>
          <cell r="O243">
            <v>0</v>
          </cell>
          <cell r="T243" t="str">
            <v>000000000010002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000000000010002</v>
          </cell>
        </row>
        <row r="245">
          <cell r="C245">
            <v>2800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000000000010002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000000000010002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000000000010002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000000000010002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000000000010002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000000000010002</v>
          </cell>
        </row>
        <row r="251">
          <cell r="C251" t="str">
            <v>8FL281304 4910　L=592</v>
          </cell>
          <cell r="I251">
            <v>0</v>
          </cell>
          <cell r="K251">
            <v>0</v>
          </cell>
          <cell r="O251">
            <v>0</v>
          </cell>
          <cell r="T251" t="str">
            <v>000000000009999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000000000009999</v>
          </cell>
        </row>
        <row r="253">
          <cell r="C253">
            <v>200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000000000009999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000000000009999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000000000009999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000000000009999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000000000009999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000000000009999</v>
          </cell>
        </row>
        <row r="259">
          <cell r="C259" t="str">
            <v>採光ルーバーパネルB　L=1996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504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上-1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採光ルーバーパネルB　L=1996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504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上-1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採光ルーバーパネルB　L=1996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504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上-1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504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採光ルーバーパネルB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504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採光ルーバーパネルB　L=1996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504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1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上-1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採光ルーバーパネルB　L=1996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504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1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上-1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採光ルーバーパネルB　L=1996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504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1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上-1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採光ルーバーパネルB　L=1996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504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504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採光ルーバーパネルB　L=1996</v>
          </cell>
          <cell r="I339">
            <v>0</v>
          </cell>
          <cell r="K339">
            <v>0</v>
          </cell>
          <cell r="O339">
            <v>0</v>
          </cell>
          <cell r="T339" t="str">
            <v>000000000009857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000000000009857</v>
          </cell>
        </row>
        <row r="341">
          <cell r="C341">
            <v>504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000000000009857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000000000009857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000000000009857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000000000009857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000000000009857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採光ルーバーパネルB　L=1996</v>
          </cell>
          <cell r="I347">
            <v>0</v>
          </cell>
          <cell r="K347">
            <v>0</v>
          </cell>
          <cell r="O347">
            <v>0</v>
          </cell>
          <cell r="T347" t="str">
            <v>000000000008890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000000000008890</v>
          </cell>
        </row>
        <row r="349">
          <cell r="C349">
            <v>504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000000000008890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000000000008890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000000000008890</v>
          </cell>
        </row>
        <row r="352">
          <cell r="C352" t="str">
            <v>上-1</v>
          </cell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000000000008890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000000000008890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採光ルーバーパネルB　L=1996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T356" t="str">
            <v>000000000009237</v>
          </cell>
        </row>
        <row r="357">
          <cell r="C357">
            <v>504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C360" t="str">
            <v>上-1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採光ルーバーパネルB　L=1996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504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上-1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採光ルーバーパネルB　L=1996</v>
          </cell>
          <cell r="I371">
            <v>0</v>
          </cell>
          <cell r="K371">
            <v>0</v>
          </cell>
          <cell r="O371">
            <v>0</v>
          </cell>
          <cell r="T371" t="str">
            <v>000000000009231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000000000009231</v>
          </cell>
        </row>
        <row r="373">
          <cell r="C373">
            <v>504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000000000009231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000000000009231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000000000009231</v>
          </cell>
        </row>
        <row r="376">
          <cell r="C376" t="str">
            <v>上-1</v>
          </cell>
          <cell r="G376" t="str">
            <v/>
          </cell>
          <cell r="K376">
            <v>0</v>
          </cell>
          <cell r="L376" t="str">
            <v>切断</v>
          </cell>
          <cell r="O376">
            <v>0</v>
          </cell>
          <cell r="T376" t="str">
            <v>000000000009231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検査</v>
          </cell>
          <cell r="T377" t="str">
            <v>000000000009231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採光ルーバーパネルB　L=1996</v>
          </cell>
          <cell r="I379">
            <v>0</v>
          </cell>
          <cell r="K379">
            <v>0</v>
          </cell>
          <cell r="O379">
            <v>0</v>
          </cell>
          <cell r="T379" t="str">
            <v>000000000009234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 t="e">
            <v>#DIV/0!</v>
          </cell>
          <cell r="T380" t="str">
            <v>000000000009234</v>
          </cell>
        </row>
        <row r="381">
          <cell r="C381">
            <v>504</v>
          </cell>
          <cell r="G381" t="str">
            <v/>
          </cell>
          <cell r="K381">
            <v>0</v>
          </cell>
          <cell r="O381" t="str">
            <v/>
          </cell>
          <cell r="T381" t="str">
            <v>000000000009234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000000000009234</v>
          </cell>
        </row>
        <row r="383">
          <cell r="C383">
            <v>1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000000000009234</v>
          </cell>
        </row>
        <row r="384">
          <cell r="C384" t="str">
            <v>上-1</v>
          </cell>
          <cell r="G384" t="str">
            <v/>
          </cell>
          <cell r="K384">
            <v>0</v>
          </cell>
          <cell r="L384" t="str">
            <v>切断</v>
          </cell>
          <cell r="O384">
            <v>0</v>
          </cell>
          <cell r="T384" t="str">
            <v>000000000009234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検査</v>
          </cell>
          <cell r="T385" t="str">
            <v>000000000009234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 t="e">
            <v>#DIV/0!</v>
          </cell>
          <cell r="O386">
            <v>0</v>
          </cell>
          <cell r="P386">
            <v>0</v>
          </cell>
          <cell r="T386" t="str">
            <v>000000000009234</v>
          </cell>
        </row>
        <row r="387">
          <cell r="C387" t="str">
            <v>採光ルーバーパネルB　L=1996</v>
          </cell>
          <cell r="I387">
            <v>0</v>
          </cell>
          <cell r="K387">
            <v>0</v>
          </cell>
          <cell r="O387">
            <v>0</v>
          </cell>
          <cell r="T387" t="str">
            <v/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/>
          </cell>
        </row>
        <row r="389">
          <cell r="C389">
            <v>504</v>
          </cell>
          <cell r="G389" t="str">
            <v/>
          </cell>
          <cell r="K389">
            <v>0</v>
          </cell>
          <cell r="O389">
            <v>0</v>
          </cell>
          <cell r="T389" t="str">
            <v/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/>
          </cell>
        </row>
        <row r="391">
          <cell r="C391">
            <v>1</v>
          </cell>
          <cell r="G391" t="str">
            <v/>
          </cell>
          <cell r="K391">
            <v>0</v>
          </cell>
          <cell r="O391">
            <v>0</v>
          </cell>
          <cell r="T391" t="str">
            <v/>
          </cell>
        </row>
        <row r="392">
          <cell r="C392" t="str">
            <v>上-1</v>
          </cell>
          <cell r="G392" t="str">
            <v/>
          </cell>
          <cell r="K392">
            <v>0</v>
          </cell>
          <cell r="L392" t="str">
            <v>切断</v>
          </cell>
          <cell r="O392">
            <v>0</v>
          </cell>
          <cell r="T392" t="str">
            <v/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検査</v>
          </cell>
          <cell r="T393" t="str">
            <v/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O394">
            <v>0</v>
          </cell>
          <cell r="P394">
            <v>0</v>
          </cell>
          <cell r="T394" t="str">
            <v/>
          </cell>
        </row>
        <row r="395">
          <cell r="C395" t="str">
            <v>採光ルーバーパネルB　L=1996</v>
          </cell>
          <cell r="I395">
            <v>0</v>
          </cell>
          <cell r="K395">
            <v>0</v>
          </cell>
          <cell r="O395">
            <v>0</v>
          </cell>
          <cell r="T395" t="str">
            <v>000000000009642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000000000009642</v>
          </cell>
        </row>
        <row r="397">
          <cell r="C397">
            <v>504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000000000009642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000000000009642</v>
          </cell>
        </row>
        <row r="399">
          <cell r="C399">
            <v>1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000000000009642</v>
          </cell>
        </row>
        <row r="400">
          <cell r="C400" t="str">
            <v>上-1</v>
          </cell>
          <cell r="G400" t="str">
            <v/>
          </cell>
          <cell r="K400">
            <v>0</v>
          </cell>
          <cell r="L400" t="str">
            <v>切断</v>
          </cell>
          <cell r="O400">
            <v>0</v>
          </cell>
          <cell r="T400" t="str">
            <v>000000000009642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検査</v>
          </cell>
          <cell r="T401" t="str">
            <v>000000000009642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採光ルーバーパネルB　L=1996</v>
          </cell>
          <cell r="I403">
            <v>0</v>
          </cell>
          <cell r="K403">
            <v>0</v>
          </cell>
          <cell r="O403">
            <v>0</v>
          </cell>
          <cell r="T403" t="str">
            <v>000000000009639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000000000009639</v>
          </cell>
        </row>
        <row r="405">
          <cell r="C405">
            <v>504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000000000009639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000000000009639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000000000009639</v>
          </cell>
        </row>
        <row r="408">
          <cell r="C408" t="str">
            <v>上-1</v>
          </cell>
          <cell r="G408" t="str">
            <v/>
          </cell>
          <cell r="K408">
            <v>0</v>
          </cell>
          <cell r="L408" t="str">
            <v>切断</v>
          </cell>
          <cell r="O408">
            <v>0</v>
          </cell>
          <cell r="T408" t="str">
            <v>000000000009639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検査</v>
          </cell>
          <cell r="T409" t="str">
            <v>000000000009639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採光ルーバーパネルB　L=1996</v>
          </cell>
          <cell r="I411">
            <v>0</v>
          </cell>
          <cell r="K411">
            <v>0</v>
          </cell>
          <cell r="O411">
            <v>0</v>
          </cell>
          <cell r="T411" t="str">
            <v>000000000009640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000000000009640</v>
          </cell>
        </row>
        <row r="413">
          <cell r="C413">
            <v>504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000000000009640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000000000009640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000000000009640</v>
          </cell>
        </row>
        <row r="416">
          <cell r="C416" t="str">
            <v>上-1</v>
          </cell>
          <cell r="G416" t="str">
            <v/>
          </cell>
          <cell r="K416">
            <v>0</v>
          </cell>
          <cell r="L416" t="str">
            <v>切断</v>
          </cell>
          <cell r="O416">
            <v>0</v>
          </cell>
          <cell r="T416" t="str">
            <v>000000000009640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検査</v>
          </cell>
          <cell r="T417" t="str">
            <v>000000000009640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採光ルーバーパネルB　L=1996</v>
          </cell>
          <cell r="I419">
            <v>0</v>
          </cell>
          <cell r="K419">
            <v>0</v>
          </cell>
          <cell r="O419">
            <v>0</v>
          </cell>
          <cell r="T419" t="str">
            <v>000000000009643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000000000009643</v>
          </cell>
        </row>
        <row r="421">
          <cell r="C421">
            <v>504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000000000009643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000000000009643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000000000009643</v>
          </cell>
        </row>
        <row r="424">
          <cell r="C424" t="str">
            <v>上-1</v>
          </cell>
          <cell r="G424" t="str">
            <v/>
          </cell>
          <cell r="K424">
            <v>0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検査</v>
          </cell>
          <cell r="T425" t="str">
            <v>000000000009643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採光ルーバーパネルB　L=1996</v>
          </cell>
          <cell r="I427">
            <v>0</v>
          </cell>
          <cell r="K427">
            <v>0</v>
          </cell>
          <cell r="O427">
            <v>0</v>
          </cell>
          <cell r="T427" t="str">
            <v>000000000009643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000000000009643</v>
          </cell>
        </row>
        <row r="429">
          <cell r="C429">
            <v>504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000000000009643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000000000009643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000000000009643</v>
          </cell>
        </row>
        <row r="432">
          <cell r="C432" t="str">
            <v>上-1</v>
          </cell>
          <cell r="G432" t="str">
            <v/>
          </cell>
          <cell r="K432">
            <v>0</v>
          </cell>
          <cell r="L432" t="str">
            <v>切断</v>
          </cell>
          <cell r="O432">
            <v>0</v>
          </cell>
          <cell r="T432" t="str">
            <v>000000000009643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検査</v>
          </cell>
          <cell r="T433" t="str">
            <v>000000000009643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採光ルーバーパネルB　L=1996</v>
          </cell>
          <cell r="I435">
            <v>0</v>
          </cell>
          <cell r="K435">
            <v>0</v>
          </cell>
          <cell r="O435">
            <v>0</v>
          </cell>
          <cell r="T435" t="str">
            <v>000000000009641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000000000009641</v>
          </cell>
        </row>
        <row r="437">
          <cell r="C437">
            <v>504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000000000009641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000000000009641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000000000009641</v>
          </cell>
        </row>
        <row r="440">
          <cell r="C440" t="str">
            <v>上-1</v>
          </cell>
          <cell r="G440" t="str">
            <v/>
          </cell>
          <cell r="K440">
            <v>0</v>
          </cell>
          <cell r="L440" t="str">
            <v>切断</v>
          </cell>
          <cell r="O440">
            <v>0</v>
          </cell>
          <cell r="T440" t="str">
            <v>000000000009641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検査</v>
          </cell>
          <cell r="T441" t="str">
            <v>000000000009641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採光ルーバーパネルB　L=1996</v>
          </cell>
          <cell r="I443">
            <v>0</v>
          </cell>
          <cell r="K443">
            <v>0</v>
          </cell>
          <cell r="O443">
            <v>0</v>
          </cell>
          <cell r="T443" t="str">
            <v>000000000009636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000000000009636</v>
          </cell>
        </row>
        <row r="445">
          <cell r="C445">
            <v>504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000000000009636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000000000009636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000000000009636</v>
          </cell>
        </row>
        <row r="448">
          <cell r="C448" t="str">
            <v>上-1</v>
          </cell>
          <cell r="G448" t="str">
            <v/>
          </cell>
          <cell r="K448">
            <v>0</v>
          </cell>
          <cell r="L448" t="str">
            <v>切断</v>
          </cell>
          <cell r="O448">
            <v>0</v>
          </cell>
          <cell r="T448" t="str">
            <v>000000000009636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検査</v>
          </cell>
          <cell r="T449" t="str">
            <v>000000000009636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採光ルーバーパネルB　L=1996</v>
          </cell>
          <cell r="I451">
            <v>0</v>
          </cell>
          <cell r="K451">
            <v>0</v>
          </cell>
          <cell r="O451">
            <v>0</v>
          </cell>
          <cell r="T451" t="str">
            <v>000000000009637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000000000009637</v>
          </cell>
        </row>
        <row r="453">
          <cell r="C453">
            <v>504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000000000009637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000000000009637</v>
          </cell>
        </row>
        <row r="455">
          <cell r="C455">
            <v>1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000000000009637</v>
          </cell>
        </row>
        <row r="456">
          <cell r="C456" t="str">
            <v>上-1</v>
          </cell>
          <cell r="G456" t="str">
            <v/>
          </cell>
          <cell r="K456">
            <v>0</v>
          </cell>
          <cell r="L456" t="str">
            <v>切断</v>
          </cell>
          <cell r="O456">
            <v>0</v>
          </cell>
          <cell r="T456" t="str">
            <v>000000000009637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検査</v>
          </cell>
          <cell r="T457" t="str">
            <v>000000000009637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採光ルーバーパネルB　L=1996</v>
          </cell>
          <cell r="I459">
            <v>0</v>
          </cell>
          <cell r="K459">
            <v>0</v>
          </cell>
          <cell r="O459">
            <v>0</v>
          </cell>
          <cell r="T459" t="str">
            <v>000000000009635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000000000009635</v>
          </cell>
        </row>
        <row r="461">
          <cell r="C461">
            <v>504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000000000009635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000000000009635</v>
          </cell>
        </row>
        <row r="463">
          <cell r="C463">
            <v>1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000000000009635</v>
          </cell>
        </row>
        <row r="464">
          <cell r="C464" t="str">
            <v>上-1</v>
          </cell>
          <cell r="G464" t="str">
            <v/>
          </cell>
          <cell r="K464">
            <v>0</v>
          </cell>
          <cell r="L464" t="str">
            <v>切断</v>
          </cell>
          <cell r="O464">
            <v>0</v>
          </cell>
          <cell r="T464" t="str">
            <v>000000000009635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検査</v>
          </cell>
          <cell r="T465" t="str">
            <v>000000000009635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O466">
            <v>0</v>
          </cell>
          <cell r="P466">
            <v>0</v>
          </cell>
          <cell r="T466" t="str">
            <v>000000000009635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39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2" t="s">
        <v>0</v>
      </c>
      <c r="C1" s="88"/>
      <c r="D1" s="8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8"/>
      <c r="C2" s="88"/>
      <c r="D2" s="88"/>
      <c r="E2" s="12"/>
      <c r="F2" s="12"/>
      <c r="G2" s="12"/>
      <c r="H2" s="12"/>
      <c r="I2" s="12"/>
      <c r="J2" s="12"/>
    </row>
    <row r="3" spans="1:10" ht="14.25" customHeight="1">
      <c r="A3" s="91" t="s">
        <v>1</v>
      </c>
      <c r="B3" s="91" t="s">
        <v>2</v>
      </c>
      <c r="C3" s="91" t="s">
        <v>3</v>
      </c>
      <c r="D3" s="118">
        <v>554</v>
      </c>
      <c r="E3" s="91" t="s">
        <v>4</v>
      </c>
      <c r="F3" s="121" t="s">
        <v>5</v>
      </c>
      <c r="G3" s="88"/>
      <c r="H3" s="84"/>
      <c r="I3" s="13" t="s">
        <v>6</v>
      </c>
      <c r="J3" s="13" t="s">
        <v>7</v>
      </c>
    </row>
    <row r="4" spans="1:10" ht="14.25" customHeight="1">
      <c r="A4" s="88"/>
      <c r="B4" s="88"/>
      <c r="C4" s="88"/>
      <c r="D4" s="88"/>
      <c r="E4" s="88"/>
      <c r="F4" s="88"/>
      <c r="G4" s="88"/>
      <c r="H4" s="84"/>
      <c r="I4" s="103"/>
      <c r="J4" s="103"/>
    </row>
    <row r="5" spans="1:10" ht="17.45" customHeight="1">
      <c r="A5" s="102" t="s">
        <v>8</v>
      </c>
      <c r="B5" s="102" t="s">
        <v>9</v>
      </c>
      <c r="E5" s="102" t="s">
        <v>10</v>
      </c>
      <c r="F5" s="87" t="s">
        <v>11</v>
      </c>
      <c r="G5" s="88"/>
      <c r="H5" s="84"/>
      <c r="I5" s="104"/>
      <c r="J5" s="104"/>
    </row>
    <row r="6" spans="1:10" ht="17.45" customHeight="1">
      <c r="A6" s="88"/>
      <c r="B6" s="88"/>
      <c r="E6" s="88"/>
      <c r="F6" s="88"/>
      <c r="G6" s="88"/>
      <c r="H6" s="84"/>
      <c r="I6" s="14"/>
      <c r="J6" s="14"/>
    </row>
    <row r="7" spans="1:10" ht="17.45" customHeight="1">
      <c r="A7" s="102" t="s">
        <v>12</v>
      </c>
      <c r="B7" s="102" t="s">
        <v>13</v>
      </c>
      <c r="E7" s="2" t="s">
        <v>14</v>
      </c>
      <c r="F7" s="99" t="s">
        <v>15</v>
      </c>
      <c r="G7" s="88"/>
      <c r="H7" s="21"/>
    </row>
    <row r="8" spans="1:10" ht="17.45" customHeight="1">
      <c r="A8" s="88"/>
      <c r="B8" s="88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46002</v>
      </c>
      <c r="E9" s="2" t="s">
        <v>19</v>
      </c>
      <c r="F9" s="130">
        <v>300</v>
      </c>
      <c r="G9" s="88"/>
      <c r="H9" s="21"/>
    </row>
    <row r="10" spans="1:10" ht="17.45" customHeight="1">
      <c r="A10" s="2" t="s">
        <v>20</v>
      </c>
      <c r="B10" s="4">
        <v>46002</v>
      </c>
      <c r="E10" s="2" t="s">
        <v>21</v>
      </c>
      <c r="F10" s="21">
        <v>4</v>
      </c>
      <c r="G10" s="106" t="s">
        <v>22</v>
      </c>
      <c r="H10" s="115">
        <v>1200</v>
      </c>
      <c r="I10" s="116"/>
      <c r="J10" s="11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7"/>
      <c r="H11" s="107"/>
      <c r="I11" s="85"/>
      <c r="J11" s="86"/>
    </row>
    <row r="12" spans="1:10" ht="13.5" customHeight="1">
      <c r="A12" s="105" t="s">
        <v>25</v>
      </c>
      <c r="B12" s="88"/>
      <c r="C12" s="88"/>
      <c r="D12" s="20"/>
      <c r="F12" s="3"/>
      <c r="G12" s="113" t="s">
        <v>26</v>
      </c>
      <c r="H12" s="129" t="s">
        <v>27</v>
      </c>
      <c r="I12" s="83" t="s">
        <v>28</v>
      </c>
      <c r="J12" s="84"/>
    </row>
    <row r="13" spans="1:10" ht="13.5" customHeight="1">
      <c r="A13" s="88"/>
      <c r="B13" s="88"/>
      <c r="C13" s="88"/>
      <c r="D13" s="20"/>
      <c r="F13" s="3"/>
      <c r="G13" s="114"/>
      <c r="H13" s="114"/>
      <c r="I13" s="85"/>
      <c r="J13" s="86"/>
    </row>
    <row r="14" spans="1:10" ht="13.5" customHeight="1">
      <c r="A14" s="1" t="s">
        <v>29</v>
      </c>
    </row>
    <row r="15" spans="1:10" ht="63" customHeight="1" thickBot="1">
      <c r="A15" s="119"/>
      <c r="B15" s="120"/>
      <c r="C15" s="120"/>
      <c r="D15" s="120"/>
      <c r="E15" s="120"/>
      <c r="F15" s="120"/>
      <c r="G15" s="120"/>
      <c r="H15" s="120"/>
      <c r="I15" s="120"/>
      <c r="J15" s="120"/>
    </row>
    <row r="16" spans="1:10" ht="18.75">
      <c r="A16" s="23" t="s">
        <v>30</v>
      </c>
      <c r="B16" s="16" t="s">
        <v>31</v>
      </c>
      <c r="C16" s="97" t="s">
        <v>32</v>
      </c>
      <c r="D16" s="98"/>
      <c r="E16" s="16" t="s">
        <v>33</v>
      </c>
      <c r="F16" s="97" t="s">
        <v>34</v>
      </c>
      <c r="G16" s="98"/>
      <c r="H16" s="98"/>
      <c r="I16" s="122" t="s">
        <v>35</v>
      </c>
      <c r="J16" s="9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4" t="s">
        <v>37</v>
      </c>
      <c r="D18" s="95"/>
      <c r="E18" s="24" t="s">
        <v>38</v>
      </c>
      <c r="F18" s="94" t="s">
        <v>39</v>
      </c>
      <c r="G18" s="95"/>
      <c r="H18" s="95"/>
      <c r="I18" s="96"/>
      <c r="J18" s="95"/>
    </row>
    <row r="19" spans="1:10" s="7" customFormat="1" ht="16.5" customHeight="1">
      <c r="A19" s="22">
        <v>1</v>
      </c>
      <c r="B19" s="25" t="s">
        <v>36</v>
      </c>
      <c r="C19" s="94" t="s">
        <v>37</v>
      </c>
      <c r="D19" s="95"/>
      <c r="E19" s="24" t="s">
        <v>40</v>
      </c>
      <c r="F19" s="94" t="s">
        <v>41</v>
      </c>
      <c r="G19" s="95"/>
      <c r="H19" s="95"/>
      <c r="I19" s="96"/>
      <c r="J19" s="95"/>
    </row>
    <row r="20" spans="1:10" s="7" customFormat="1" ht="16.5" customHeight="1">
      <c r="A20" s="22"/>
      <c r="B20" s="25"/>
      <c r="C20" s="94"/>
      <c r="D20" s="95"/>
      <c r="E20" s="24"/>
      <c r="F20" s="94"/>
      <c r="G20" s="95"/>
      <c r="H20" s="95"/>
      <c r="I20" s="96"/>
      <c r="J20" s="95"/>
    </row>
    <row r="21" spans="1:10" s="7" customFormat="1" ht="16.5" customHeight="1">
      <c r="A21" s="22"/>
      <c r="B21" s="25"/>
      <c r="C21" s="94"/>
      <c r="D21" s="95"/>
      <c r="E21" s="24"/>
      <c r="F21" s="94"/>
      <c r="G21" s="95"/>
      <c r="H21" s="95"/>
      <c r="I21" s="96"/>
      <c r="J21" s="95"/>
    </row>
    <row r="22" spans="1:10" s="7" customFormat="1" ht="16.5" customHeight="1">
      <c r="A22" s="22"/>
      <c r="B22" s="25"/>
      <c r="C22" s="94"/>
      <c r="D22" s="95"/>
      <c r="E22" s="24"/>
      <c r="F22" s="94"/>
      <c r="G22" s="95"/>
      <c r="H22" s="95"/>
      <c r="I22" s="96"/>
      <c r="J22" s="95"/>
    </row>
    <row r="23" spans="1:10" s="7" customFormat="1" ht="16.5" customHeight="1">
      <c r="A23" s="22"/>
      <c r="B23" s="25"/>
      <c r="C23" s="94"/>
      <c r="D23" s="95"/>
      <c r="E23" s="24"/>
      <c r="F23" s="94"/>
      <c r="G23" s="95"/>
      <c r="H23" s="95"/>
      <c r="I23" s="96"/>
      <c r="J23" s="9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2" t="s">
        <v>42</v>
      </c>
      <c r="B25" s="93"/>
      <c r="C25" s="92" t="s">
        <v>43</v>
      </c>
      <c r="D25" s="93"/>
      <c r="E25" s="93"/>
      <c r="F25" s="17" t="s">
        <v>44</v>
      </c>
      <c r="G25" s="92" t="s">
        <v>45</v>
      </c>
      <c r="H25" s="93"/>
      <c r="I25" s="92" t="s">
        <v>46</v>
      </c>
      <c r="J25" s="93"/>
    </row>
    <row r="26" spans="1:10" ht="14.25" customHeight="1">
      <c r="A26" s="8"/>
      <c r="B26" s="18"/>
      <c r="C26" s="100" t="s">
        <v>47</v>
      </c>
      <c r="D26" s="85"/>
      <c r="E26" s="18"/>
      <c r="F26" s="100" t="s">
        <v>29</v>
      </c>
      <c r="G26" s="85"/>
      <c r="H26" s="85"/>
      <c r="I26" s="85"/>
      <c r="J26" s="85"/>
    </row>
    <row r="27" spans="1:10">
      <c r="A27" s="9"/>
      <c r="C27" s="7"/>
      <c r="D27" s="7"/>
      <c r="E27" s="7"/>
    </row>
    <row r="28" spans="1:10" s="5" customFormat="1" ht="14.25" customHeight="1">
      <c r="A28" s="94" t="s">
        <v>48</v>
      </c>
      <c r="B28" s="90"/>
      <c r="C28" s="94" t="s">
        <v>49</v>
      </c>
      <c r="D28" s="90"/>
      <c r="E28" s="90"/>
      <c r="F28" s="26" t="s">
        <v>50</v>
      </c>
      <c r="G28" s="89">
        <v>600</v>
      </c>
      <c r="H28" s="90"/>
      <c r="I28" s="89">
        <v>2</v>
      </c>
      <c r="J28" s="90"/>
    </row>
    <row r="29" spans="1:10" s="7" customFormat="1" ht="24.95" customHeight="1">
      <c r="A29" s="101" t="s">
        <v>51</v>
      </c>
      <c r="B29" s="95"/>
      <c r="C29" s="94" t="s">
        <v>11</v>
      </c>
      <c r="D29" s="95"/>
      <c r="E29" s="95"/>
      <c r="F29" s="94"/>
      <c r="G29" s="95"/>
      <c r="H29" s="95"/>
      <c r="I29" s="95"/>
      <c r="J29" s="95"/>
    </row>
    <row r="30" spans="1:10" s="5" customFormat="1" ht="14.25" customHeight="1">
      <c r="A30" s="94"/>
      <c r="B30" s="90"/>
      <c r="C30" s="94"/>
      <c r="D30" s="90"/>
      <c r="E30" s="90"/>
      <c r="F30" s="26"/>
      <c r="G30" s="89"/>
      <c r="H30" s="90"/>
      <c r="I30" s="89"/>
      <c r="J30" s="90"/>
    </row>
    <row r="31" spans="1:10" s="7" customFormat="1" ht="24.95" customHeight="1">
      <c r="A31" s="101"/>
      <c r="B31" s="95"/>
      <c r="C31" s="94"/>
      <c r="D31" s="95"/>
      <c r="E31" s="95"/>
      <c r="F31" s="94"/>
      <c r="G31" s="95"/>
      <c r="H31" s="95"/>
      <c r="I31" s="95"/>
      <c r="J31" s="95"/>
    </row>
    <row r="32" spans="1:10" s="5" customFormat="1" ht="14.25" customHeight="1">
      <c r="A32" s="94"/>
      <c r="B32" s="90"/>
      <c r="C32" s="94"/>
      <c r="D32" s="90"/>
      <c r="E32" s="90"/>
      <c r="F32" s="26"/>
      <c r="G32" s="89"/>
      <c r="H32" s="90"/>
      <c r="I32" s="89"/>
      <c r="J32" s="90"/>
    </row>
    <row r="33" spans="1:14" s="7" customFormat="1" ht="24.95" customHeight="1">
      <c r="A33" s="101"/>
      <c r="B33" s="95"/>
      <c r="C33" s="94"/>
      <c r="D33" s="95"/>
      <c r="E33" s="95"/>
      <c r="F33" s="94"/>
      <c r="G33" s="95"/>
      <c r="H33" s="95"/>
      <c r="I33" s="95"/>
      <c r="J33" s="95"/>
    </row>
    <row r="34" spans="1:14" s="5" customFormat="1" ht="14.25" customHeight="1">
      <c r="A34" s="94"/>
      <c r="B34" s="90"/>
      <c r="C34" s="94"/>
      <c r="D34" s="90"/>
      <c r="E34" s="90"/>
      <c r="F34" s="26"/>
      <c r="G34" s="89"/>
      <c r="H34" s="90"/>
      <c r="I34" s="89"/>
      <c r="J34" s="90"/>
    </row>
    <row r="35" spans="1:14" s="7" customFormat="1" ht="24.95" customHeight="1">
      <c r="A35" s="101"/>
      <c r="B35" s="95"/>
      <c r="C35" s="94"/>
      <c r="D35" s="95"/>
      <c r="E35" s="95"/>
      <c r="F35" s="94"/>
      <c r="G35" s="95"/>
      <c r="H35" s="95"/>
      <c r="I35" s="95"/>
      <c r="J35" s="95"/>
    </row>
    <row r="36" spans="1:14" s="5" customFormat="1" ht="14.25" customHeight="1">
      <c r="A36" s="94"/>
      <c r="B36" s="90"/>
      <c r="C36" s="94"/>
      <c r="D36" s="90"/>
      <c r="E36" s="90"/>
      <c r="F36" s="26"/>
      <c r="G36" s="89"/>
      <c r="H36" s="90"/>
      <c r="I36" s="89"/>
      <c r="J36" s="90"/>
    </row>
    <row r="37" spans="1:14" s="7" customFormat="1" ht="24.95" customHeight="1" thickBot="1">
      <c r="A37" s="101"/>
      <c r="B37" s="95"/>
      <c r="C37" s="94"/>
      <c r="D37" s="95"/>
      <c r="E37" s="95"/>
      <c r="F37" s="94"/>
      <c r="G37" s="95"/>
      <c r="H37" s="95"/>
      <c r="I37" s="95"/>
      <c r="J37" s="95"/>
    </row>
    <row r="38" spans="1:14" s="5" customFormat="1" ht="18" customHeight="1">
      <c r="A38" s="132" t="s">
        <v>52</v>
      </c>
      <c r="B38" s="133"/>
      <c r="C38" s="133"/>
      <c r="D38" s="133"/>
      <c r="E38" s="108" t="s">
        <v>53</v>
      </c>
      <c r="F38" s="109"/>
      <c r="G38" s="27" t="s">
        <v>54</v>
      </c>
      <c r="H38" s="110" t="s">
        <v>55</v>
      </c>
      <c r="I38" s="111"/>
      <c r="J38" s="28" t="s">
        <v>56</v>
      </c>
    </row>
    <row r="39" spans="1:14" s="7" customFormat="1" ht="18" customHeight="1">
      <c r="A39" s="123" t="str">
        <f>_xlfn.XLOOKUP(B3,[1]VFDB2!A:A,[1]VFDB2!B:B)</f>
        <v>ランプシェード　SL-600</v>
      </c>
      <c r="B39" s="124"/>
      <c r="C39" s="124"/>
      <c r="D39" s="124"/>
      <c r="E39" s="127" t="str" cm="1">
        <f t="array" ref="E39">IFERROR(IF(ISBLANK(INDEX(_xlfn._xlws.FILTER([1]加工記録２!$C$3:$C$999501, [1]加工記録２!$T$3:$T$999501=B5), 6)), "", INDEX(_xlfn._xlws.FILTER([1]加工記録２!$C$3:$C$999501, [1]加工記録２!$T$3:$T$999501=B5), 6)),"")</f>
        <v/>
      </c>
      <c r="F39" s="128"/>
      <c r="G39" s="131" cm="1">
        <f t="array" ref="G39">IFERROR(IF(ISBLANK(INDEX(_xlfn._xlws.FILTER([1]加工記録２!$C$3:$C$999501, [1]加工記録２!$T$3:$T$999501=B5), 7)), " ", INDEX(_xlfn._xlws.FILTER([1]加工記録２!$C$3:$C$999501, [1]加工記録２!$T$3:$T$999501=B5), 7))," ")</f>
        <v>4</v>
      </c>
      <c r="H39" s="29" t="s">
        <v>57</v>
      </c>
      <c r="I39" s="47" cm="1">
        <f t="array" ref="I39:J39">IFERROR(IF(ISBLANK(INDEX(_xlfn._xlws.FILTER([1]加工記録２!$O$3:$P$999564, [1]加工記録２!$T$3:$T$999564=B5), 1)), "", INDEX(_xlfn._xlws.FILTER([1]加工記録２!$O$3:$P$999564, [1]加工記録２!$T$3:$T$999564=B5), 1)),"")</f>
        <v>45996</v>
      </c>
      <c r="J39" s="48" t="str">
        <v/>
      </c>
    </row>
    <row r="40" spans="1:14" s="5" customFormat="1" ht="18" customHeight="1">
      <c r="A40" s="125"/>
      <c r="B40" s="126"/>
      <c r="C40" s="126"/>
      <c r="D40" s="126"/>
      <c r="E40" s="127"/>
      <c r="F40" s="128"/>
      <c r="G40" s="131"/>
      <c r="H40" s="29" t="s">
        <v>58</v>
      </c>
      <c r="I40" s="49" cm="1">
        <f t="array" ref="I40:J40">IFERROR(IF(ISBLANK(INDEX(_xlfn._xlws.FILTER([1]加工記録２!$O$3:$P$999564, [1]加工記録２!$T$3:$T$999564=B5), 2)), "", INDEX(_xlfn._xlws.FILTER([1]加工記録２!$O$3:$P$999564, [1]加工記録２!$T$3:$T$999564=B5), 2)),"")</f>
        <v>1200</v>
      </c>
      <c r="J40" s="50">
        <v>1</v>
      </c>
      <c r="K40" s="30"/>
    </row>
    <row r="41" spans="1:14" s="7" customFormat="1" ht="18" customHeight="1">
      <c r="A41" s="134" t="s">
        <v>59</v>
      </c>
      <c r="B41" s="147" t="str">
        <f>_xlfn.XLOOKUP(B3,[1]VFDB2!A:A,[1]VFDB2!J:J)</f>
        <v>〇</v>
      </c>
      <c r="C41" s="149" t="s">
        <v>60</v>
      </c>
      <c r="D41" s="151">
        <f>_xlfn.XLOOKUP(B3,[1]VFDB2!A:A,[1]VFDB2!P:P)</f>
        <v>2</v>
      </c>
      <c r="E41" s="127" t="str">
        <f>_xlfn.XLOOKUP(B3,[1]VFDB2!A:A,[1]VFDB2!V:V)</f>
        <v>KISCO右上貼付、切断面近く押さえ切断（要注意）</v>
      </c>
      <c r="F41" s="128"/>
      <c r="G41" s="142"/>
      <c r="H41" s="31" t="s">
        <v>61</v>
      </c>
      <c r="I41" s="49" cm="1">
        <f t="array" ref="I41:J41">IFERROR(IF(ISBLANK(INDEX(_xlfn._xlws.FILTER([1]加工記録２!$O$3:$P$999564, [1]加工記録２!$T$3:$T$999564=B5), 3)), "", INDEX(_xlfn._xlws.FILTER([1]加工記録２!$O$3:$P$999564, [1]加工記録２!$T$3:$T$999564=B5), 3)),"")</f>
        <v>656</v>
      </c>
      <c r="J41" s="51" t="str">
        <v/>
      </c>
      <c r="K41" s="32"/>
    </row>
    <row r="42" spans="1:14" s="5" customFormat="1" ht="18" customHeight="1">
      <c r="A42" s="146"/>
      <c r="B42" s="148"/>
      <c r="C42" s="150"/>
      <c r="D42" s="152"/>
      <c r="E42" s="127"/>
      <c r="F42" s="128"/>
      <c r="G42" s="142"/>
      <c r="H42" s="31" t="s">
        <v>62</v>
      </c>
      <c r="I42" s="49" cm="1">
        <f t="array" ref="I42:J42">IFERROR(IF(ISBLANK(INDEX(_xlfn._xlws.FILTER([1]加工記録２!$O$3:$P$999564, [1]加工記録２!$T$3:$T$999564=B5), 4)), "", INDEX(_xlfn._xlws.FILTER([1]加工記録２!$O$3:$P$999564, [1]加工記録２!$T$3:$T$999564=B5), 4)),"")</f>
        <v>56</v>
      </c>
      <c r="J42" s="52">
        <v>111</v>
      </c>
      <c r="K42" s="30"/>
    </row>
    <row r="43" spans="1:14" s="7" customFormat="1" ht="18" customHeight="1">
      <c r="A43" s="153" t="s">
        <v>63</v>
      </c>
      <c r="B43" s="155">
        <f>D3</f>
        <v>554</v>
      </c>
      <c r="C43" s="157" t="s">
        <v>64</v>
      </c>
      <c r="D43" s="140" t="str">
        <f>_xlfn.XLOOKUP(B3,[1]VFDB2!A:A,[1]VFDB2!L:L)</f>
        <v>+1.5</v>
      </c>
      <c r="E43" s="127" t="str">
        <f>_xlfn.XLOOKUP(B3,[1]VFDB2!A:A,[1]VFDB2!W:W)</f>
        <v>5段重ねで切断、欠け注意(刃交換)</v>
      </c>
      <c r="F43" s="128"/>
      <c r="G43" s="142"/>
      <c r="H43" s="31" t="s">
        <v>65</v>
      </c>
      <c r="I43" s="49" cm="1">
        <f t="array" ref="I43:J43">IFERROR(IF(ISBLANK(INDEX(_xlfn._xlws.FILTER([1]加工記録２!$O$3:$P$999564, [1]加工記録２!$T$3:$T$999564=B5), 5)), "", INDEX(_xlfn._xlws.FILTER([1]加工記録２!$O$3:$P$999564, [1]加工記録２!$T$3:$T$999564=B5), 5)),"")</f>
        <v>112</v>
      </c>
      <c r="J43" s="53" t="str">
        <v/>
      </c>
      <c r="K43" s="32"/>
    </row>
    <row r="44" spans="1:14" s="5" customFormat="1" ht="18" customHeight="1">
      <c r="A44" s="154"/>
      <c r="B44" s="156"/>
      <c r="C44" s="158"/>
      <c r="D44" s="159"/>
      <c r="E44" s="127"/>
      <c r="F44" s="128"/>
      <c r="G44" s="142"/>
      <c r="H44" s="31" t="s">
        <v>66</v>
      </c>
      <c r="I44" s="49" cm="1">
        <f t="array" ref="I44:J44">IFERROR(IF(ISBLANK(INDEX(_xlfn._xlws.FILTER([1]加工記録２!$O$3:$P$999564, [1]加工記録２!$T$3:$T$999564=B5), 6)), "", INDEX(_xlfn._xlws.FILTER([1]加工記録２!$O$3:$P$999564, [1]加工記録２!$T$3:$T$999564=B5), 6)),"")</f>
        <v>0</v>
      </c>
      <c r="J44" s="54" t="str">
        <v/>
      </c>
      <c r="K44" s="30"/>
    </row>
    <row r="45" spans="1:14" s="7" customFormat="1" ht="18" customHeight="1">
      <c r="A45" s="134" t="s">
        <v>67</v>
      </c>
      <c r="B45" s="136" t="str">
        <f>_xlfn.XLOOKUP(B3,[1]VFDB2!A:A,[1]VFDB2!AC:AC)</f>
        <v>換算表確認</v>
      </c>
      <c r="C45" s="138" t="s">
        <v>68</v>
      </c>
      <c r="D45" s="140" t="str">
        <f>_xlfn.XLOOKUP(B3,[1]VFDB2!A:A,[1]VFDB2!K:K)</f>
        <v>-1.5</v>
      </c>
      <c r="E45" s="127" t="str">
        <f>_xlfn.XLOOKUP(B3,[1]VFDB2!A:A,[1]VFDB2!R:R)</f>
        <v>ラベル2枚　長手無　鉢巻3回</v>
      </c>
      <c r="F45" s="128"/>
      <c r="G45" s="142"/>
      <c r="H45" s="31" t="s">
        <v>69</v>
      </c>
      <c r="I45" s="49" t="str" cm="1">
        <f t="array" ref="I45">IFERROR(IF(ISBLANK(INDEX(_xlfn._xlws.FILTER([1]加工記録２!$M$3:$M$999564, [1]加工記録２!$T$3:$T$999564=B5), 6)), "", INDEX(_xlfn._xlws.FILTER([1]加工記録２!$M$3:$M$999564, [1]加工記録２!$T$3:$T$999564=B5), 6)),"")</f>
        <v>c/m</v>
      </c>
      <c r="J45" s="55" t="str" cm="1">
        <f t="array" ref="J45">IFERROR(IF(ISBLANK(INDEX(_xlfn._xlws.FILTER([1]加工記録２!$P$3:$P$999564, [1]加工記録２!$T$3:$T$999564=B5), 7)), "", INDEX(_xlfn._xlws.FILTER([1]加工記録２!$P$3:$P$999564, [1]加工記録２!$T$3:$T$999564=B5), 7)),"")</f>
        <v/>
      </c>
      <c r="K45" s="32"/>
    </row>
    <row r="46" spans="1:14" s="5" customFormat="1" ht="18" customHeight="1" thickBot="1">
      <c r="A46" s="135"/>
      <c r="B46" s="137"/>
      <c r="C46" s="139"/>
      <c r="D46" s="141"/>
      <c r="E46" s="143"/>
      <c r="F46" s="144"/>
      <c r="G46" s="145"/>
      <c r="H46" s="33" t="s">
        <v>70</v>
      </c>
      <c r="I46" s="49" t="str" cm="1">
        <f t="array" ref="I46">IFERROR(IF(ISBLANK(INDEX(_xlfn._xlws.FILTER([1]加工記録２!$M$3:$M$999564, [1]加工記録２!$T$3:$T$999564=B5), 7)), "", INDEX(_xlfn._xlws.FILTER([1]加工記録２!$M$3:$M$999564, [1]加工記録２!$T$3:$T$999564=B5), 7)),"")</f>
        <v>t</v>
      </c>
      <c r="J46" s="56">
        <f>SUM(J39:J45)</f>
        <v>112</v>
      </c>
    </row>
    <row r="47" spans="1:14" s="44" customFormat="1" ht="18.95" customHeight="1">
      <c r="A47" s="34" t="s">
        <v>71</v>
      </c>
      <c r="B47" s="35" t="s">
        <v>72</v>
      </c>
      <c r="C47" s="36" t="s">
        <v>73</v>
      </c>
      <c r="D47" s="36" t="s">
        <v>74</v>
      </c>
      <c r="E47" s="37" t="s">
        <v>75</v>
      </c>
      <c r="F47" s="38" t="s">
        <v>76</v>
      </c>
      <c r="G47" s="39" t="s">
        <v>77</v>
      </c>
      <c r="H47" s="40" t="s">
        <v>78</v>
      </c>
      <c r="I47" s="41" t="s">
        <v>79</v>
      </c>
      <c r="J47" s="42" t="s">
        <v>80</v>
      </c>
      <c r="K47" s="43"/>
      <c r="L47" s="43"/>
      <c r="M47" s="43"/>
      <c r="N47" s="43"/>
    </row>
    <row r="48" spans="1:14" s="46" customFormat="1" ht="18.95" customHeight="1">
      <c r="A48" s="57" t="str" cm="1">
        <f t="array" ref="A48:J48">IFERROR(IF(ISBLANK(INDEX(_xlfn._xlws.FILTER([1]加工記録２!$D$3:$M$999564, [1]加工記録２!$T$3:$T$999564=B5), 1)), "", INDEX(_xlfn._xlws.FILTER([1]加工記録２!$D$3:$M$999564, [1]加工記録２!$T$3:$T$999564=B5),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>
        <v>0</v>
      </c>
      <c r="G48" s="62" t="str">
        <v/>
      </c>
      <c r="H48" s="63">
        <v>0</v>
      </c>
      <c r="I48" s="64">
        <v>45995</v>
      </c>
      <c r="J48" s="65">
        <v>2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IFERROR(IF(ISBLANK(INDEX(_xlfn._xlws.FILTER([1]加工記録２!$D$3:$M$999564, [1]加工記録２!$T$3:$T$999564=B5), 2)), "", INDEX(_xlfn._xlws.FILTER([1]加工記録２!$D$3:$M$999564, [1]加工記録２!$T$3:$T$999564=B5), 2)),"")</f>
        <v>45994</v>
      </c>
      <c r="B49" s="66" t="str">
        <v>25K20B　69</v>
      </c>
      <c r="C49" s="66">
        <v>24</v>
      </c>
      <c r="D49" s="67">
        <v>554.1</v>
      </c>
      <c r="E49" s="68">
        <v>554.30999999999995</v>
      </c>
      <c r="F49" s="69" t="str">
        <v>25K20B　69</v>
      </c>
      <c r="G49" s="70">
        <v>300</v>
      </c>
      <c r="H49" s="71">
        <v>150</v>
      </c>
      <c r="I49" s="64">
        <v>45996</v>
      </c>
      <c r="J49" s="65">
        <v>2</v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IFERROR(IF(ISBLANK(INDEX(_xlfn._xlws.FILTER([1]加工記録２!$D$3:$M$999564, [1]加工記録２!$T$3:$T$999564=B5), 3)), "", INDEX(_xlfn._xlws.FILTER([1]加工記録２!$D$3:$M$999564, [1]加工記録２!$T$3:$T$999564=B5), 3)),"")</f>
        <v>45994</v>
      </c>
      <c r="B50" s="66" t="str">
        <v>25K20B　69</v>
      </c>
      <c r="C50" s="66">
        <v>20</v>
      </c>
      <c r="D50" s="67">
        <v>554</v>
      </c>
      <c r="E50" s="68">
        <v>554.23</v>
      </c>
      <c r="F50" s="69" t="str">
        <v>25K20B　70</v>
      </c>
      <c r="G50" s="70">
        <v>300</v>
      </c>
      <c r="H50" s="71">
        <v>150</v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cm="1">
        <f t="array" ref="A51:J51">IFERROR(IF(ISBLANK(INDEX(_xlfn._xlws.FILTER([1]加工記録２!$D$3:$M$999564, [1]加工記録２!$T$3:$T$999564=B5), 4)), "", INDEX(_xlfn._xlws.FILTER([1]加工記録２!$D$3:$M$999564, [1]加工記録２!$T$3:$T$999564=B5), 4)),"")</f>
        <v>45994</v>
      </c>
      <c r="B51" s="66" t="str">
        <v>25K20B　70</v>
      </c>
      <c r="C51" s="66">
        <v>20</v>
      </c>
      <c r="D51" s="67">
        <v>554</v>
      </c>
      <c r="E51" s="68">
        <v>554.30999999999995</v>
      </c>
      <c r="F51" s="69" t="str">
        <v>25K20B　71</v>
      </c>
      <c r="G51" s="70">
        <v>300</v>
      </c>
      <c r="H51" s="71">
        <v>150</v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cm="1">
        <f t="array" ref="A52:J52">IFERROR(IF(ISBLANK(INDEX(_xlfn._xlws.FILTER([1]加工記録２!$D$3:$M$999564, [1]加工記録２!$T$3:$T$999564=B5), 5)), "", INDEX(_xlfn._xlws.FILTER([1]加工記録２!$D$3:$M$999564, [1]加工記録２!$T$3:$T$999564=B5), 5)),"")</f>
        <v>45994</v>
      </c>
      <c r="B52" s="66" t="str">
        <v>25K20B　71</v>
      </c>
      <c r="C52" s="66">
        <v>20</v>
      </c>
      <c r="D52" s="67">
        <v>554</v>
      </c>
      <c r="E52" s="68">
        <v>554.29999999999995</v>
      </c>
      <c r="F52" s="69" t="str">
        <v>25K20B　72</v>
      </c>
      <c r="G52" s="70">
        <v>300</v>
      </c>
      <c r="H52" s="71">
        <v>150</v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cm="1">
        <f t="array" ref="A53:H53">IFERROR(IF(ISBLANK(INDEX(_xlfn._xlws.FILTER([1]加工記録２!$D$3:$K$999564, [1]加工記録２!$T$3:$T$999564=B5), 6)), "", INDEX(_xlfn._xlws.FILTER([1]加工記録２!$D$3:$K$999564, [1]加工記録２!$T$3:$T$999564=B5), 6)),"")</f>
        <v>45994</v>
      </c>
      <c r="B53" s="66" t="str">
        <v>25K20B　72</v>
      </c>
      <c r="C53" s="66">
        <v>18</v>
      </c>
      <c r="D53" s="67">
        <v>553.9</v>
      </c>
      <c r="E53" s="68">
        <v>554.26</v>
      </c>
      <c r="F53" s="69" t="str">
        <v>25K20B　68</v>
      </c>
      <c r="G53" s="70">
        <v>112</v>
      </c>
      <c r="H53" s="71">
        <v>56</v>
      </c>
      <c r="I53" s="72"/>
      <c r="J53" s="73"/>
      <c r="K53" s="45"/>
      <c r="L53" s="45"/>
      <c r="M53" s="45"/>
      <c r="N53" s="45"/>
    </row>
    <row r="54" spans="1:14" s="46" customFormat="1" ht="18.95" customHeight="1" thickBot="1">
      <c r="A54" s="57" cm="1">
        <f t="array" ref="A54:H54">IFERROR(IF(ISBLANK(INDEX(_xlfn._xlws.FILTER([1]加工記録２!$D$3:$K$999564, [1]加工記録２!$T$3:$T$999564=B5), 7)), "", INDEX(_xlfn._xlws.FILTER([1]加工記録２!$D$3:$K$999564, [1]加工記録２!$T$3:$T$999564=B5), 7)),"")</f>
        <v>45996</v>
      </c>
      <c r="B54" s="66" t="str">
        <v>25K20B　68</v>
      </c>
      <c r="C54" s="66">
        <v>16</v>
      </c>
      <c r="D54" s="67">
        <v>553.9</v>
      </c>
      <c r="E54" s="68">
        <v>554.26</v>
      </c>
      <c r="F54" s="69" t="str">
        <v/>
      </c>
      <c r="G54" s="70" t="str">
        <v/>
      </c>
      <c r="H54" s="71">
        <v>0</v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cm="1">
        <f t="array" ref="A55:H55">IFERROR(IF(ISBLANK(INDEX(_xlfn._xlws.FILTER([1]加工記録２!$D$3:$K$999564, [1]加工記録２!$T$3:$T$999564=B5), 8)), "", INDEX(_xlfn._xlws.FILTER([1]加工記録２!$D$3:$K$999564, [1]加工記録２!$T$3:$T$999564=B5), 8)),"")</f>
        <v>45996</v>
      </c>
      <c r="B55" s="75" t="str">
        <v>25K20B　68</v>
      </c>
      <c r="C55" s="75">
        <v>18</v>
      </c>
      <c r="D55" s="76">
        <v>553.9</v>
      </c>
      <c r="E55" s="77">
        <v>554.1</v>
      </c>
      <c r="F55" s="78" t="str">
        <v/>
      </c>
      <c r="G55" s="79" t="str">
        <v/>
      </c>
      <c r="H55" s="80">
        <v>0</v>
      </c>
      <c r="I55" s="81" t="s">
        <v>81</v>
      </c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21:D21"/>
    <mergeCell ref="I23:J23"/>
    <mergeCell ref="C30:E30"/>
    <mergeCell ref="C23:D23"/>
    <mergeCell ref="F16:H16"/>
    <mergeCell ref="F7:G7"/>
    <mergeCell ref="F23:H23"/>
    <mergeCell ref="C20:D20"/>
    <mergeCell ref="C22:D22"/>
    <mergeCell ref="F26:J26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2025-12-05T02:46:37Z</dcterms:modified>
</cp:coreProperties>
</file>