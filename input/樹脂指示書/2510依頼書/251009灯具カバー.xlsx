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34F91D29-9165-4648-9050-DA6372BF3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<sst xmlns="http://schemas.openxmlformats.org/spreadsheetml/2006/main" count="279" uniqueCount="107">
  <si>
    <t>検査梱包指示書</t>
  </si>
  <si>
    <t>品目番号</t>
  </si>
  <si>
    <t>J1ZAFJB00208400</t>
  </si>
  <si>
    <t>Ｌ寸</t>
  </si>
  <si>
    <t>名称</t>
  </si>
  <si>
    <t>463301-2090灯具ｶﾊﾞｰPC IN</t>
  </si>
  <si>
    <t>上長</t>
  </si>
  <si>
    <t>係員</t>
  </si>
  <si>
    <t>製造指図№</t>
  </si>
  <si>
    <t>000000000008224</t>
  </si>
  <si>
    <t>原料名</t>
  </si>
  <si>
    <t>J6VZ041</t>
  </si>
  <si>
    <t>発注明細№</t>
  </si>
  <si>
    <t>000000000798035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</si>
  <si>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</si>
  <si>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</si>
  <si>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</si>
  <si>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</si>
  <si>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</si>
  <si>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</si>
  <si>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</si>
  <si>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</si>
  <si>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</si>
  <si>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</si>
  <si>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</si>
  <si>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*J1ZAFJB00208400*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</si>
  <si>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</si>
  <si>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</si>
  <si>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</si>
  <si>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</si>
  <si>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</si>
  <si>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</si>
  <si>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</si>
  <si>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</si>
  <si>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</si>
  <si>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</si>
  <si>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</si>
  <si>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</si>
  <si>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</si>
  <si>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</si>
  <si>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</si>
  <si>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</si>
  <si>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</si>
  <si>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</si>
  <si>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</si>
  <si>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</si>
  <si>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</si>
  <si>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</si>
  <si>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J1ZAFJA00208400</t>
  </si>
  <si>
    <t>@463301-2090灯具ｶﾊﾞｰPCIN</t>
  </si>
  <si>
    <t>V3J04</t>
  </si>
  <si>
    <t>*J1ZAFJA00208400*</t>
  </si>
  <si>
    <t>J6DW0044</t>
  </si>
  <si>
    <t>灯具-2</t>
  </si>
  <si>
    <t>*J6DW0044*</t>
  </si>
  <si>
    <t>J6XX0050</t>
  </si>
  <si>
    <t>(管理外)筋入ｸﾗﾌﾄ紙</t>
  </si>
  <si>
    <t>*J6XX0050*</t>
  </si>
  <si>
    <t>300＊100</t>
  </si>
  <si>
    <t>J1ZAFJB00209080</t>
  </si>
  <si>
    <t>463301-2130灯具ｶﾊﾞｰPC IN</t>
  </si>
  <si>
    <t>000000000008225</t>
  </si>
  <si>
    <t>000000000798036</t>
  </si>
  <si>
    <t>*J1ZAFJB00209080*</t>
  </si>
  <si>
    <t>J1ZAFJA00209080</t>
  </si>
  <si>
    <t>@463301-2130灯具ｶﾊﾞｰPCIN</t>
  </si>
  <si>
    <t>*J1ZAFJA00209080*</t>
  </si>
  <si>
    <t>J6DW0043</t>
  </si>
  <si>
    <t>灯具-1</t>
  </si>
  <si>
    <t>*J6DW0043*</t>
  </si>
  <si>
    <t>J1ZAFJB00211835</t>
  </si>
  <si>
    <t>463301-2050灯具ｶﾊﾞｰPC IN</t>
  </si>
  <si>
    <t>000000000008226</t>
  </si>
  <si>
    <t>000000000798037</t>
  </si>
  <si>
    <t>*J1ZAFJB00211835*</t>
  </si>
  <si>
    <t>J1ZAFJA00211835</t>
  </si>
  <si>
    <t>@463301-2050灯具ｶﾊﾞｰPCIN</t>
  </si>
  <si>
    <t>*J1ZAFJA00211835*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</si>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</sst>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77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3</xdr:row>
      <xdr:rowOff>66676</xdr:rowOff>
    </xdr:from>
    <xdr:to>
      <xdr:col>9</xdr:col>
      <xdr:colOff>600076</xdr:colOff>
      <xdr:row>5</xdr:row>
      <xdr:rowOff>123826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ED01CA-1DD3-7880-18F3-FE4A3003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1" y="60960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60</xdr:row>
      <xdr:rowOff>95250</xdr:rowOff>
    </xdr:from>
    <xdr:to>
      <xdr:col>9</xdr:col>
      <xdr:colOff>647700</xdr:colOff>
      <xdr:row>62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9901490-635D-4AA1-A0E7-7E783823A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138684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117</xdr:row>
      <xdr:rowOff>76200</xdr:rowOff>
    </xdr:from>
    <xdr:to>
      <xdr:col>9</xdr:col>
      <xdr:colOff>581025</xdr:colOff>
      <xdr:row>119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2D9D780-7185-4C24-8DBD-40B7839A7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70795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104775</xdr:rowOff>
    </xdr:from>
    <xdr:to>
      <xdr:col>8</xdr:col>
      <xdr:colOff>590550</xdr:colOff>
      <xdr:row>5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BC81188-0ADC-6C50-D381-27CD9BE8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4770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60</xdr:row>
      <xdr:rowOff>76200</xdr:rowOff>
    </xdr:from>
    <xdr:to>
      <xdr:col>8</xdr:col>
      <xdr:colOff>600075</xdr:colOff>
      <xdr:row>62</xdr:row>
      <xdr:rowOff>104775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933EF6B-C40E-4A78-9914-34CD783F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384935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117</xdr:row>
      <xdr:rowOff>152400</xdr:rowOff>
    </xdr:from>
    <xdr:to>
      <xdr:col>8</xdr:col>
      <xdr:colOff>609600</xdr:colOff>
      <xdr:row>119</xdr:row>
      <xdr:rowOff>180975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D7510C-ADA1-4F37-B8D9-88DFFEB64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27155775"/>
          <a:ext cx="428625" cy="428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C233">
            <v>5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C237">
            <v>64</v>
          </cell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4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C243" t="str">
            <v>灯具カバーPC IN 2130　L=908</v>
          </cell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C245">
            <v>176</v>
          </cell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C249">
            <v>11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C251" t="str">
            <v>灯具カバーPC IN 2090　L=840</v>
          </cell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C253">
            <v>176</v>
          </cell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C257">
            <v>5.5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C259" t="str">
            <v>照明ｶﾊﾞｰS15　L=550</v>
          </cell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C261">
            <v>500</v>
          </cell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C263">
            <v>3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C264" t="str">
            <v>基材梱包箱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C265">
            <v>10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C267" t="str">
            <v>照明ｶﾊﾞｰL15　L=820</v>
          </cell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C269">
            <v>300</v>
          </cell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C272" t="str">
            <v>基材梱包箱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C273">
            <v>6</v>
          </cell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C275" t="str">
            <v>8FL281304 6110　L=1478</v>
          </cell>
          <cell r="D275">
            <v>45933</v>
          </cell>
          <cell r="E275" t="str">
            <v>25I23-11</v>
          </cell>
          <cell r="I275" t="str">
            <v>25I23-11</v>
          </cell>
          <cell r="J275">
            <v>6</v>
          </cell>
          <cell r="K275">
            <v>6</v>
          </cell>
          <cell r="L275">
            <v>45950</v>
          </cell>
          <cell r="M275">
            <v>9</v>
          </cell>
          <cell r="O275">
            <v>45951</v>
          </cell>
          <cell r="P275">
            <v>8</v>
          </cell>
          <cell r="T275" t="str">
            <v>000000000007290</v>
          </cell>
        </row>
        <row r="276">
          <cell r="D276">
            <v>45937</v>
          </cell>
          <cell r="E276" t="str">
            <v>25I24-12</v>
          </cell>
          <cell r="F276" t="str">
            <v>-</v>
          </cell>
          <cell r="G276" t="str">
            <v/>
          </cell>
          <cell r="H276" t="str">
            <v>-</v>
          </cell>
          <cell r="I276" t="str">
            <v>25I24-12</v>
          </cell>
          <cell r="J276">
            <v>16</v>
          </cell>
          <cell r="K276">
            <v>16</v>
          </cell>
          <cell r="L276">
            <v>45951</v>
          </cell>
          <cell r="M276">
            <v>4</v>
          </cell>
          <cell r="O276">
            <v>1300</v>
          </cell>
          <cell r="T276" t="str">
            <v>000000000007290</v>
          </cell>
        </row>
        <row r="277">
          <cell r="C277">
            <v>1300</v>
          </cell>
          <cell r="D277">
            <v>45947</v>
          </cell>
          <cell r="E277" t="str">
            <v>25I25-13</v>
          </cell>
          <cell r="F277">
            <v>26</v>
          </cell>
          <cell r="G277">
            <v>1478.58</v>
          </cell>
          <cell r="H277">
            <v>1478.58</v>
          </cell>
          <cell r="I277" t="str">
            <v>25I25-13</v>
          </cell>
          <cell r="J277">
            <v>800</v>
          </cell>
          <cell r="K277">
            <v>800</v>
          </cell>
          <cell r="O277">
            <v>1309</v>
          </cell>
          <cell r="P277">
            <v>1</v>
          </cell>
          <cell r="T277" t="str">
            <v>000000000007290</v>
          </cell>
        </row>
        <row r="278">
          <cell r="D278">
            <v>45950</v>
          </cell>
          <cell r="E278" t="str">
            <v>25I25-13</v>
          </cell>
          <cell r="F278">
            <v>22</v>
          </cell>
          <cell r="G278">
            <v>1478.19</v>
          </cell>
          <cell r="H278">
            <v>1478.38</v>
          </cell>
          <cell r="I278" t="str">
            <v>25I26-14</v>
          </cell>
          <cell r="J278">
            <v>487</v>
          </cell>
          <cell r="K278">
            <v>487</v>
          </cell>
          <cell r="O278">
            <v>9</v>
          </cell>
          <cell r="T278" t="str">
            <v>000000000007290</v>
          </cell>
        </row>
        <row r="279">
          <cell r="C279">
            <v>1</v>
          </cell>
          <cell r="D279">
            <v>45950</v>
          </cell>
          <cell r="E279" t="str">
            <v>25I25-13</v>
          </cell>
          <cell r="F279">
            <v>22</v>
          </cell>
          <cell r="G279">
            <v>1478.19</v>
          </cell>
          <cell r="H279">
            <v>1478.39</v>
          </cell>
          <cell r="K279">
            <v>0</v>
          </cell>
          <cell r="O279">
            <v>9</v>
          </cell>
          <cell r="T279" t="str">
            <v>000000000007290</v>
          </cell>
        </row>
        <row r="280">
          <cell r="C280" t="str">
            <v>LED-A1478</v>
          </cell>
          <cell r="D280">
            <v>45950</v>
          </cell>
          <cell r="E280" t="str">
            <v>25I26-14</v>
          </cell>
          <cell r="F280">
            <v>22</v>
          </cell>
          <cell r="G280">
            <v>1478.19</v>
          </cell>
          <cell r="H280">
            <v>1478.27</v>
          </cell>
          <cell r="K280">
            <v>0</v>
          </cell>
          <cell r="L280" t="str">
            <v>旧品加工</v>
          </cell>
          <cell r="M280">
            <v>6</v>
          </cell>
          <cell r="O280">
            <v>0</v>
          </cell>
          <cell r="T280" t="str">
            <v>000000000007290</v>
          </cell>
        </row>
        <row r="281">
          <cell r="C281">
            <v>13</v>
          </cell>
          <cell r="D281">
            <v>45950</v>
          </cell>
          <cell r="E281" t="str">
            <v>25I26-14</v>
          </cell>
          <cell r="F281">
            <v>20</v>
          </cell>
          <cell r="G281">
            <v>1478</v>
          </cell>
          <cell r="H281">
            <v>1478.16</v>
          </cell>
          <cell r="K281">
            <v>0</v>
          </cell>
          <cell r="L281" t="str">
            <v>持出端材</v>
          </cell>
          <cell r="O281" t="str">
            <v>M/C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T/U</v>
          </cell>
          <cell r="P282">
            <v>9</v>
          </cell>
          <cell r="T282" t="str">
            <v>000000000007290</v>
          </cell>
        </row>
        <row r="283">
          <cell r="C283" t="str">
            <v>採光ルーバーパネルB　L=1996</v>
          </cell>
          <cell r="D283">
            <v>45944</v>
          </cell>
          <cell r="E283" t="str">
            <v>25H29-03</v>
          </cell>
          <cell r="I283" t="str">
            <v>25H29-03</v>
          </cell>
          <cell r="J283">
            <v>21</v>
          </cell>
          <cell r="K283">
            <v>21</v>
          </cell>
          <cell r="L283">
            <v>45951</v>
          </cell>
          <cell r="M283">
            <v>6</v>
          </cell>
          <cell r="O283">
            <v>45951</v>
          </cell>
          <cell r="P283">
            <v>1</v>
          </cell>
          <cell r="T283" t="str">
            <v>000000000008267</v>
          </cell>
        </row>
        <row r="284">
          <cell r="D284">
            <v>45951</v>
          </cell>
          <cell r="E284" t="str">
            <v>25J13-01</v>
          </cell>
          <cell r="F284">
            <v>18</v>
          </cell>
          <cell r="G284">
            <v>1995.74</v>
          </cell>
          <cell r="H284">
            <v>1996.21</v>
          </cell>
          <cell r="I284" t="str">
            <v>25J13-01</v>
          </cell>
          <cell r="J284">
            <v>285</v>
          </cell>
          <cell r="K284">
            <v>285</v>
          </cell>
          <cell r="O284">
            <v>252</v>
          </cell>
          <cell r="P284">
            <v>51</v>
          </cell>
          <cell r="T284" t="str">
            <v>000000000008267</v>
          </cell>
        </row>
        <row r="285">
          <cell r="C285">
            <v>252</v>
          </cell>
          <cell r="D285">
            <v>45951</v>
          </cell>
          <cell r="E285" t="str">
            <v>25J13-01</v>
          </cell>
          <cell r="F285">
            <v>20</v>
          </cell>
          <cell r="G285">
            <v>1996</v>
          </cell>
          <cell r="H285">
            <v>1996.6</v>
          </cell>
          <cell r="K285">
            <v>0</v>
          </cell>
          <cell r="O285">
            <v>306</v>
          </cell>
          <cell r="P285">
            <v>2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54</v>
          </cell>
          <cell r="T286" t="str">
            <v>000000000008267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54</v>
          </cell>
          <cell r="T287" t="str">
            <v>000000000008267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旧品加工</v>
          </cell>
          <cell r="M288">
            <v>21</v>
          </cell>
          <cell r="O288">
            <v>0</v>
          </cell>
          <cell r="T288" t="str">
            <v>000000000008267</v>
          </cell>
        </row>
        <row r="289">
          <cell r="C289">
            <v>6</v>
          </cell>
          <cell r="G289" t="str">
            <v/>
          </cell>
          <cell r="K289">
            <v>0</v>
          </cell>
          <cell r="L289" t="str">
            <v>持出端材</v>
          </cell>
          <cell r="O289" t="str">
            <v>M/C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T/U</v>
          </cell>
          <cell r="P290">
            <v>54</v>
          </cell>
          <cell r="T290" t="str">
            <v>000000000008267</v>
          </cell>
        </row>
        <row r="291">
          <cell r="C291" t="str">
            <v>8FL281304 6110　L=1478</v>
          </cell>
          <cell r="I291">
            <v>0</v>
          </cell>
          <cell r="J291">
            <v>0</v>
          </cell>
          <cell r="K291">
            <v>0</v>
          </cell>
          <cell r="L291">
            <v>45952</v>
          </cell>
          <cell r="M291">
            <v>4</v>
          </cell>
          <cell r="O291">
            <v>45952</v>
          </cell>
          <cell r="P291">
            <v>3</v>
          </cell>
          <cell r="T291" t="str">
            <v>000000000007956</v>
          </cell>
        </row>
        <row r="292">
          <cell r="D292">
            <v>45951</v>
          </cell>
          <cell r="E292" t="str">
            <v>25I26-14</v>
          </cell>
          <cell r="F292">
            <v>20</v>
          </cell>
          <cell r="G292">
            <v>1478</v>
          </cell>
          <cell r="H292">
            <v>1477.99</v>
          </cell>
          <cell r="I292" t="str">
            <v>25I26-14</v>
          </cell>
          <cell r="J292">
            <v>313</v>
          </cell>
          <cell r="K292">
            <v>313</v>
          </cell>
          <cell r="O292">
            <v>400</v>
          </cell>
          <cell r="T292" t="str">
            <v>000000000007956</v>
          </cell>
        </row>
        <row r="293">
          <cell r="C293">
            <v>400</v>
          </cell>
          <cell r="D293">
            <v>45951</v>
          </cell>
          <cell r="E293" t="str">
            <v>25J16-01</v>
          </cell>
          <cell r="F293">
            <v>20</v>
          </cell>
          <cell r="G293">
            <v>1478</v>
          </cell>
          <cell r="H293">
            <v>1478.36</v>
          </cell>
          <cell r="I293" t="str">
            <v>25J16-01</v>
          </cell>
          <cell r="J293">
            <v>90</v>
          </cell>
          <cell r="K293">
            <v>90</v>
          </cell>
          <cell r="O293">
            <v>403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3</v>
          </cell>
          <cell r="T294" t="str">
            <v>000000000007956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3</v>
          </cell>
          <cell r="T295" t="str">
            <v>000000000007956</v>
          </cell>
        </row>
        <row r="296">
          <cell r="C296" t="str">
            <v>LED-A1478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C297">
            <v>4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C/M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T/U</v>
          </cell>
          <cell r="P298">
            <v>3</v>
          </cell>
          <cell r="T298" t="str">
            <v>000000000007956</v>
          </cell>
        </row>
        <row r="299">
          <cell r="C299" t="str">
            <v>8FL281304 5010　L=888</v>
          </cell>
          <cell r="D299">
            <v>45936</v>
          </cell>
          <cell r="E299" t="str">
            <v>25I24-12</v>
          </cell>
          <cell r="I299" t="str">
            <v>25I24-12</v>
          </cell>
          <cell r="J299">
            <v>4</v>
          </cell>
          <cell r="K299">
            <v>2</v>
          </cell>
          <cell r="L299">
            <v>45952</v>
          </cell>
          <cell r="M299">
            <v>7</v>
          </cell>
          <cell r="O299">
            <v>45952</v>
          </cell>
          <cell r="P299">
            <v>6</v>
          </cell>
          <cell r="T299" t="str">
            <v>000000000007954</v>
          </cell>
        </row>
        <row r="300">
          <cell r="D300">
            <v>45951</v>
          </cell>
          <cell r="E300" t="str">
            <v>25J16-01</v>
          </cell>
          <cell r="F300">
            <v>20</v>
          </cell>
          <cell r="G300">
            <v>888</v>
          </cell>
          <cell r="H300">
            <v>888.24</v>
          </cell>
          <cell r="I300" t="str">
            <v>25J16-01</v>
          </cell>
          <cell r="J300">
            <v>701</v>
          </cell>
          <cell r="K300">
            <v>351</v>
          </cell>
          <cell r="O300">
            <v>700</v>
          </cell>
          <cell r="T300" t="str">
            <v>000000000007954</v>
          </cell>
        </row>
        <row r="301">
          <cell r="C301">
            <v>700</v>
          </cell>
          <cell r="D301">
            <v>45952</v>
          </cell>
          <cell r="E301" t="str">
            <v>25J16-01</v>
          </cell>
          <cell r="F301">
            <v>16</v>
          </cell>
          <cell r="G301">
            <v>887.77</v>
          </cell>
          <cell r="H301">
            <v>887.97</v>
          </cell>
          <cell r="K301">
            <v>0</v>
          </cell>
          <cell r="O301">
            <v>353</v>
          </cell>
          <cell r="P301">
            <v>1</v>
          </cell>
          <cell r="T301" t="str">
            <v>000000000007954</v>
          </cell>
        </row>
        <row r="302">
          <cell r="D302">
            <v>45952</v>
          </cell>
          <cell r="E302" t="str">
            <v>25J16-01</v>
          </cell>
          <cell r="F302">
            <v>18</v>
          </cell>
          <cell r="G302">
            <v>887.88</v>
          </cell>
          <cell r="H302">
            <v>887.83</v>
          </cell>
          <cell r="K302">
            <v>0</v>
          </cell>
          <cell r="O302">
            <v>4</v>
          </cell>
          <cell r="T302" t="str">
            <v>000000000007954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7</v>
          </cell>
          <cell r="T303" t="str">
            <v>000000000007954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M304">
            <v>5</v>
          </cell>
          <cell r="O304">
            <v>1</v>
          </cell>
          <cell r="T304" t="str">
            <v>000000000007954</v>
          </cell>
        </row>
        <row r="305">
          <cell r="C305">
            <v>7</v>
          </cell>
          <cell r="G305" t="str">
            <v/>
          </cell>
          <cell r="K305">
            <v>0</v>
          </cell>
          <cell r="L305" t="str">
            <v>持出端材</v>
          </cell>
          <cell r="O305" t="str">
            <v>C/M</v>
          </cell>
          <cell r="T305" t="str">
            <v>000000000007954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1</v>
          </cell>
          <cell r="O306" t="str">
            <v>T/U</v>
          </cell>
          <cell r="P306">
            <v>7</v>
          </cell>
          <cell r="T306" t="str">
            <v>000000000007954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L307">
            <v>45953</v>
          </cell>
          <cell r="M307">
            <v>2</v>
          </cell>
          <cell r="O307">
            <v>45953</v>
          </cell>
          <cell r="T307" t="str">
            <v>000000000007953</v>
          </cell>
        </row>
        <row r="308">
          <cell r="D308">
            <v>45952</v>
          </cell>
          <cell r="E308" t="str">
            <v>25J16-01</v>
          </cell>
          <cell r="F308">
            <v>20</v>
          </cell>
          <cell r="G308">
            <v>888</v>
          </cell>
          <cell r="H308">
            <v>887.83</v>
          </cell>
          <cell r="I308" t="str">
            <v>25J16-01</v>
          </cell>
          <cell r="J308">
            <v>200</v>
          </cell>
          <cell r="K308">
            <v>100</v>
          </cell>
          <cell r="O308">
            <v>200</v>
          </cell>
          <cell r="T308" t="str">
            <v>000000000007953</v>
          </cell>
        </row>
        <row r="309">
          <cell r="C309">
            <v>200</v>
          </cell>
          <cell r="D309">
            <v>45952</v>
          </cell>
          <cell r="E309" t="str">
            <v>25J16-01</v>
          </cell>
          <cell r="F309">
            <v>20</v>
          </cell>
          <cell r="G309">
            <v>888</v>
          </cell>
          <cell r="H309">
            <v>887.96</v>
          </cell>
          <cell r="K309">
            <v>0</v>
          </cell>
          <cell r="O309">
            <v>100</v>
          </cell>
          <cell r="T309" t="str">
            <v>000000000007953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C</v>
          </cell>
          <cell r="T313" t="str">
            <v>000000000007953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T</v>
          </cell>
          <cell r="P314">
            <v>0</v>
          </cell>
          <cell r="T314" t="str">
            <v>000000000007953</v>
          </cell>
        </row>
        <row r="315">
          <cell r="C315" t="str">
            <v>8FL281304 4910　L=592</v>
          </cell>
          <cell r="D315">
            <v>45937</v>
          </cell>
          <cell r="E315" t="str">
            <v>25I26-14</v>
          </cell>
          <cell r="I315" t="str">
            <v>25I26-14</v>
          </cell>
          <cell r="J315">
            <v>6</v>
          </cell>
          <cell r="K315">
            <v>2</v>
          </cell>
          <cell r="L315">
            <v>45953</v>
          </cell>
          <cell r="M315">
            <v>3</v>
          </cell>
          <cell r="O315">
            <v>45953</v>
          </cell>
          <cell r="P315">
            <v>1</v>
          </cell>
          <cell r="T315" t="str">
            <v>000000000007952</v>
          </cell>
        </row>
        <row r="316">
          <cell r="D316">
            <v>45952</v>
          </cell>
          <cell r="E316" t="str">
            <v>25J16-01</v>
          </cell>
          <cell r="F316">
            <v>20</v>
          </cell>
          <cell r="G316">
            <v>592</v>
          </cell>
          <cell r="H316">
            <v>591.72</v>
          </cell>
          <cell r="I316" t="str">
            <v>25J16-01</v>
          </cell>
          <cell r="J316">
            <v>291</v>
          </cell>
          <cell r="K316">
            <v>97</v>
          </cell>
          <cell r="O316">
            <v>300</v>
          </cell>
          <cell r="T316" t="str">
            <v>000000000007952</v>
          </cell>
        </row>
        <row r="317">
          <cell r="C317">
            <v>300</v>
          </cell>
          <cell r="D317">
            <v>45952</v>
          </cell>
          <cell r="E317" t="str">
            <v>25J16-01</v>
          </cell>
          <cell r="F317">
            <v>20</v>
          </cell>
          <cell r="G317">
            <v>592</v>
          </cell>
          <cell r="H317">
            <v>591.78</v>
          </cell>
          <cell r="K317">
            <v>0</v>
          </cell>
          <cell r="O317">
            <v>99</v>
          </cell>
          <cell r="T317" t="str">
            <v>000000000007952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000000000007952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000000000007952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8</v>
          </cell>
          <cell r="O320">
            <v>2</v>
          </cell>
          <cell r="T320" t="str">
            <v>000000000007952</v>
          </cell>
        </row>
        <row r="321">
          <cell r="C321">
            <v>3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C</v>
          </cell>
          <cell r="T321" t="str">
            <v>000000000007952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2</v>
          </cell>
          <cell r="O322" t="str">
            <v>T</v>
          </cell>
          <cell r="P322">
            <v>1</v>
          </cell>
          <cell r="T322" t="str">
            <v>000000000007952</v>
          </cell>
        </row>
        <row r="323">
          <cell r="C323" t="str">
            <v>8FL281304 4810　L=297</v>
          </cell>
          <cell r="D323">
            <v>45937</v>
          </cell>
          <cell r="E323" t="str">
            <v>25I24-12</v>
          </cell>
          <cell r="I323" t="str">
            <v>25I24-12</v>
          </cell>
          <cell r="J323">
            <v>0</v>
          </cell>
          <cell r="K323">
            <v>0</v>
          </cell>
          <cell r="L323">
            <v>45953</v>
          </cell>
          <cell r="M323">
            <v>4</v>
          </cell>
          <cell r="O323">
            <v>45953</v>
          </cell>
          <cell r="T323" t="str">
            <v>000000000007951</v>
          </cell>
        </row>
        <row r="324">
          <cell r="D324">
            <v>45952</v>
          </cell>
          <cell r="E324" t="str">
            <v>25J16-01</v>
          </cell>
          <cell r="G324" t="str">
            <v/>
          </cell>
          <cell r="I324" t="str">
            <v>25J16-01</v>
          </cell>
          <cell r="J324">
            <v>288</v>
          </cell>
          <cell r="K324">
            <v>48</v>
          </cell>
          <cell r="O324">
            <v>400</v>
          </cell>
          <cell r="T324" t="str">
            <v>000000000007951</v>
          </cell>
        </row>
        <row r="325">
          <cell r="C325">
            <v>400</v>
          </cell>
          <cell r="D325">
            <v>45952</v>
          </cell>
          <cell r="E325" t="str">
            <v>25I26-15</v>
          </cell>
          <cell r="G325" t="str">
            <v/>
          </cell>
          <cell r="I325" t="str">
            <v>25I26-15</v>
          </cell>
          <cell r="J325">
            <v>34</v>
          </cell>
          <cell r="K325">
            <v>6</v>
          </cell>
          <cell r="O325">
            <v>54</v>
          </cell>
          <cell r="T325" t="str">
            <v>000000000007951</v>
          </cell>
        </row>
        <row r="326">
          <cell r="G326" t="str">
            <v/>
          </cell>
          <cell r="K326">
            <v>0</v>
          </cell>
          <cell r="O326">
            <v>1</v>
          </cell>
          <cell r="T326" t="str">
            <v>000000000007951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000000000007951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M328">
            <v>5</v>
          </cell>
          <cell r="O328">
            <v>74</v>
          </cell>
          <cell r="T328" t="str">
            <v>000000000007951</v>
          </cell>
        </row>
        <row r="329">
          <cell r="C329">
            <v>4</v>
          </cell>
          <cell r="G329" t="str">
            <v/>
          </cell>
          <cell r="K329">
            <v>0</v>
          </cell>
          <cell r="L329" t="str">
            <v>持出端材</v>
          </cell>
          <cell r="M329">
            <v>69</v>
          </cell>
          <cell r="O329" t="str">
            <v>C</v>
          </cell>
          <cell r="P329">
            <v>1</v>
          </cell>
          <cell r="T329" t="str">
            <v>000000000007951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5</v>
          </cell>
          <cell r="O330" t="str">
            <v>T</v>
          </cell>
          <cell r="P330">
            <v>1</v>
          </cell>
          <cell r="T330" t="str">
            <v>000000000007951</v>
          </cell>
        </row>
        <row r="331">
          <cell r="C331" t="str">
            <v>採光ルーバーパネルB　L=1996</v>
          </cell>
          <cell r="D331">
            <v>45951</v>
          </cell>
          <cell r="E331" t="str">
            <v>25J13-01</v>
          </cell>
          <cell r="I331" t="str">
            <v>25J13-01</v>
          </cell>
          <cell r="J331">
            <v>14</v>
          </cell>
          <cell r="K331">
            <v>14</v>
          </cell>
          <cell r="L331">
            <v>45953</v>
          </cell>
          <cell r="M331">
            <v>5</v>
          </cell>
          <cell r="O331">
            <v>45953</v>
          </cell>
          <cell r="P331">
            <v>1</v>
          </cell>
          <cell r="T331" t="str">
            <v>000000000008268</v>
          </cell>
        </row>
        <row r="332">
          <cell r="D332">
            <v>45952</v>
          </cell>
          <cell r="E332" t="str">
            <v>25J14-02</v>
          </cell>
          <cell r="F332">
            <v>20</v>
          </cell>
          <cell r="G332">
            <v>1996</v>
          </cell>
          <cell r="H332">
            <v>1996.4</v>
          </cell>
          <cell r="I332" t="str">
            <v>25J14-02</v>
          </cell>
          <cell r="J332">
            <v>270</v>
          </cell>
          <cell r="K332">
            <v>270</v>
          </cell>
          <cell r="O332">
            <v>210</v>
          </cell>
          <cell r="P332">
            <v>73</v>
          </cell>
          <cell r="T332" t="str">
            <v>000000000008268</v>
          </cell>
        </row>
        <row r="333">
          <cell r="C333">
            <v>210</v>
          </cell>
          <cell r="D333">
            <v>45952</v>
          </cell>
          <cell r="E333" t="str">
            <v>25J14-02</v>
          </cell>
          <cell r="F333">
            <v>20</v>
          </cell>
          <cell r="G333">
            <v>1996</v>
          </cell>
          <cell r="H333">
            <v>1996.5</v>
          </cell>
          <cell r="K333">
            <v>0</v>
          </cell>
          <cell r="O333">
            <v>284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74</v>
          </cell>
          <cell r="T334" t="str">
            <v>000000000008268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74</v>
          </cell>
          <cell r="T335" t="str">
            <v>000000000008268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旧品加工</v>
          </cell>
          <cell r="M336">
            <v>14</v>
          </cell>
          <cell r="O336">
            <v>0</v>
          </cell>
          <cell r="T336" t="str">
            <v>000000000008268</v>
          </cell>
        </row>
        <row r="337">
          <cell r="C337">
            <v>5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M/C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T/U</v>
          </cell>
          <cell r="P338">
            <v>74</v>
          </cell>
          <cell r="T338" t="str">
            <v>000000000008268</v>
          </cell>
        </row>
        <row r="339">
          <cell r="C339" t="str">
            <v>採光ルーバーパネルB　L=1996</v>
          </cell>
          <cell r="D339">
            <v>45952</v>
          </cell>
          <cell r="E339" t="str">
            <v>25J14-02</v>
          </cell>
          <cell r="I339" t="str">
            <v>25J14-02</v>
          </cell>
          <cell r="J339">
            <v>30</v>
          </cell>
          <cell r="K339">
            <v>30</v>
          </cell>
          <cell r="L339">
            <v>45954</v>
          </cell>
          <cell r="M339">
            <v>7</v>
          </cell>
          <cell r="O339">
            <v>45954</v>
          </cell>
          <cell r="P339">
            <v>1</v>
          </cell>
          <cell r="T339" t="str">
            <v>000000000008269</v>
          </cell>
        </row>
        <row r="340">
          <cell r="D340">
            <v>45953</v>
          </cell>
          <cell r="E340" t="str">
            <v>25J14-03</v>
          </cell>
          <cell r="F340">
            <v>20</v>
          </cell>
          <cell r="G340">
            <v>1996</v>
          </cell>
          <cell r="H340">
            <v>1996.8</v>
          </cell>
          <cell r="I340" t="str">
            <v>25J14-03</v>
          </cell>
          <cell r="J340">
            <v>296</v>
          </cell>
          <cell r="K340">
            <v>296</v>
          </cell>
          <cell r="O340">
            <v>294</v>
          </cell>
          <cell r="P340">
            <v>31</v>
          </cell>
          <cell r="T340" t="str">
            <v>000000000008269</v>
          </cell>
        </row>
        <row r="341">
          <cell r="C341">
            <v>294</v>
          </cell>
          <cell r="D341">
            <v>45953</v>
          </cell>
          <cell r="E341" t="str">
            <v>25J14-03</v>
          </cell>
          <cell r="F341">
            <v>22</v>
          </cell>
          <cell r="G341">
            <v>1996.26</v>
          </cell>
          <cell r="H341">
            <v>1997.4</v>
          </cell>
          <cell r="K341">
            <v>0</v>
          </cell>
          <cell r="O341">
            <v>326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32</v>
          </cell>
          <cell r="T342" t="str">
            <v>000000000008269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32</v>
          </cell>
          <cell r="T343" t="str">
            <v>000000000008269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M344">
            <v>30</v>
          </cell>
          <cell r="O344">
            <v>0</v>
          </cell>
          <cell r="T344" t="str">
            <v>000000000008269</v>
          </cell>
        </row>
        <row r="345">
          <cell r="C345">
            <v>7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M/C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T</v>
          </cell>
          <cell r="P346">
            <v>32</v>
          </cell>
          <cell r="T346" t="str">
            <v>000000000008269</v>
          </cell>
        </row>
        <row r="347">
          <cell r="C347" t="str">
            <v>灯具カバーPC IN 2050　L=1183.5</v>
          </cell>
          <cell r="D347">
            <v>45939</v>
          </cell>
          <cell r="E347" t="str">
            <v>25I26-01</v>
          </cell>
          <cell r="I347" t="str">
            <v>25I26-01</v>
          </cell>
          <cell r="J347">
            <v>2</v>
          </cell>
          <cell r="K347">
            <v>2</v>
          </cell>
          <cell r="O347">
            <v>0</v>
          </cell>
          <cell r="P347">
            <v>25</v>
          </cell>
          <cell r="T347" t="str">
            <v>000000000008226</v>
          </cell>
        </row>
        <row r="348">
          <cell r="D348">
            <v>45954</v>
          </cell>
          <cell r="E348" t="str">
            <v>25J02-01</v>
          </cell>
          <cell r="G348" t="str">
            <v/>
          </cell>
          <cell r="I348" t="str">
            <v>25J02-01</v>
          </cell>
          <cell r="J348">
            <v>191</v>
          </cell>
          <cell r="K348">
            <v>191</v>
          </cell>
          <cell r="O348">
            <v>128</v>
          </cell>
          <cell r="P348">
            <v>16</v>
          </cell>
          <cell r="T348" t="str">
            <v>000000000008226</v>
          </cell>
        </row>
        <row r="349">
          <cell r="C349">
            <v>128</v>
          </cell>
          <cell r="G349" t="str">
            <v/>
          </cell>
          <cell r="K349">
            <v>0</v>
          </cell>
          <cell r="O349">
            <v>193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65</v>
          </cell>
          <cell r="T350" t="str">
            <v>000000000008226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65</v>
          </cell>
          <cell r="T351" t="str">
            <v>000000000008226</v>
          </cell>
        </row>
        <row r="352">
          <cell r="C352" t="str">
            <v>灯具-1　L=1370</v>
          </cell>
          <cell r="G352" t="str">
            <v/>
          </cell>
          <cell r="K352">
            <v>0</v>
          </cell>
          <cell r="L352" t="str">
            <v>旧品加工</v>
          </cell>
          <cell r="M352">
            <v>2</v>
          </cell>
          <cell r="O352">
            <v>0</v>
          </cell>
          <cell r="T352" t="str">
            <v>000000000008226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O353" t="str">
            <v>-</v>
          </cell>
          <cell r="P353">
            <v>24</v>
          </cell>
          <cell r="T353" t="str">
            <v>000000000008226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T/C</v>
          </cell>
          <cell r="P354">
            <v>65</v>
          </cell>
          <cell r="T354" t="str">
            <v>000000000008226</v>
          </cell>
        </row>
        <row r="355">
          <cell r="C355" t="str">
            <v>灯具カバーPC IN 2110　L=1815</v>
          </cell>
          <cell r="I355">
            <v>0</v>
          </cell>
          <cell r="J355">
            <v>0</v>
          </cell>
          <cell r="K355">
            <v>0</v>
          </cell>
          <cell r="L355">
            <v>45957</v>
          </cell>
          <cell r="M355">
            <v>9</v>
          </cell>
          <cell r="O355">
            <v>45957</v>
          </cell>
          <cell r="P355">
            <v>7</v>
          </cell>
          <cell r="T355" t="str">
            <v>000000000007424</v>
          </cell>
        </row>
        <row r="356">
          <cell r="D356">
            <v>45957</v>
          </cell>
          <cell r="E356" t="str">
            <v>25J23-01</v>
          </cell>
          <cell r="G356" t="str">
            <v/>
          </cell>
          <cell r="I356" t="str">
            <v>25J23-01</v>
          </cell>
          <cell r="J356">
            <v>187</v>
          </cell>
          <cell r="K356">
            <v>187</v>
          </cell>
          <cell r="O356">
            <v>144</v>
          </cell>
          <cell r="P356">
            <v>35</v>
          </cell>
          <cell r="T356" t="str">
            <v>000000000007424</v>
          </cell>
        </row>
        <row r="357">
          <cell r="C357">
            <v>144</v>
          </cell>
          <cell r="G357" t="str">
            <v/>
          </cell>
          <cell r="K357">
            <v>0</v>
          </cell>
          <cell r="O357">
            <v>187</v>
          </cell>
          <cell r="P357">
            <v>1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43</v>
          </cell>
          <cell r="T358" t="str">
            <v>000000000007424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43</v>
          </cell>
          <cell r="T359" t="str">
            <v>000000000007424</v>
          </cell>
        </row>
        <row r="360">
          <cell r="C360" t="str">
            <v>灯具-2　L＝1996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C361">
            <v>9</v>
          </cell>
          <cell r="G361" t="str">
            <v/>
          </cell>
          <cell r="K361">
            <v>0</v>
          </cell>
          <cell r="L361" t="str">
            <v>持出端材</v>
          </cell>
          <cell r="O361" t="str">
            <v>-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 t="str">
            <v>C</v>
          </cell>
          <cell r="P362">
            <v>43</v>
          </cell>
          <cell r="T362" t="str">
            <v>000000000007424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000000000007289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000000000007289</v>
          </cell>
        </row>
        <row r="365">
          <cell r="C365">
            <v>2000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000000000007289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000000000007289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000000000007289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000000000007289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000000000007289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000000000007289</v>
          </cell>
        </row>
        <row r="371">
          <cell r="C371" t="str">
            <v>MDPQ-689B L4 　L=2574　　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000000000008804</v>
          </cell>
        </row>
        <row r="372">
          <cell r="G372">
            <v>2574</v>
          </cell>
          <cell r="I372" t="str">
            <v/>
          </cell>
          <cell r="K372">
            <v>0</v>
          </cell>
          <cell r="O372">
            <v>0</v>
          </cell>
          <cell r="T372" t="str">
            <v>000000000008804</v>
          </cell>
        </row>
        <row r="373">
          <cell r="C373">
            <v>100</v>
          </cell>
          <cell r="G373">
            <v>2574</v>
          </cell>
          <cell r="K373">
            <v>0</v>
          </cell>
          <cell r="O373">
            <v>0</v>
          </cell>
          <cell r="T373" t="str">
            <v>000000000008804</v>
          </cell>
        </row>
        <row r="374">
          <cell r="G374">
            <v>2574</v>
          </cell>
          <cell r="K374">
            <v>0</v>
          </cell>
          <cell r="O374">
            <v>0</v>
          </cell>
          <cell r="T374" t="str">
            <v>000000000008804</v>
          </cell>
        </row>
        <row r="375">
          <cell r="C375">
            <v>1</v>
          </cell>
          <cell r="G375">
            <v>2574</v>
          </cell>
          <cell r="K375">
            <v>0</v>
          </cell>
          <cell r="O375">
            <v>0</v>
          </cell>
          <cell r="T375" t="str">
            <v>000000000008804</v>
          </cell>
        </row>
        <row r="376">
          <cell r="G376">
            <v>2574</v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000000000008804</v>
          </cell>
        </row>
        <row r="377">
          <cell r="C377">
            <v>0</v>
          </cell>
          <cell r="G377">
            <v>2574</v>
          </cell>
          <cell r="K377">
            <v>0</v>
          </cell>
          <cell r="L377" t="str">
            <v>持出端材</v>
          </cell>
          <cell r="T377" t="str">
            <v>000000000008804</v>
          </cell>
        </row>
        <row r="378">
          <cell r="G378">
            <v>2574</v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000000000008804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000000000007955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000000000007955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000000000007955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000000000007955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000000000007955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000000000007955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000000000007955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000000000007955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000000000008361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000000000008361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000000000008361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000000000008361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000000000008361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000000000008361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000000000008361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000000000008361</v>
          </cell>
        </row>
        <row r="395">
          <cell r="C395" t="str">
            <v>8FL281304 8310　L=748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000000000008360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000000000008360</v>
          </cell>
        </row>
        <row r="397">
          <cell r="C397">
            <v>200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000000000008360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000000000008360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000000000008360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000000000008360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000000000008360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000000000008360</v>
          </cell>
        </row>
        <row r="403">
          <cell r="C403" t="str">
            <v>8FL281304 4910　L=592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000000000008357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000000000008357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000000000008357</v>
          </cell>
        </row>
        <row r="407">
          <cell r="C407">
            <v>3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000000000008357</v>
          </cell>
        </row>
        <row r="408">
          <cell r="C408" t="str">
            <v>LED-A592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000000000008357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000000000008357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000000000008354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000000000008354</v>
          </cell>
        </row>
        <row r="413">
          <cell r="C413">
            <v>300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000000000008354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000000000008354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000000000008354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000000000008354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000000000008354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000000000008354</v>
          </cell>
        </row>
        <row r="419">
          <cell r="C419" t="str">
            <v>灯具カバーPC IN 2070　L=1966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000000000007926-2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000000000007926-2</v>
          </cell>
        </row>
        <row r="421">
          <cell r="C421">
            <v>144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000000000007926-2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000000000007926-2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000000000007926-2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000000000007926-2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000000000007926-2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000000000007926-2</v>
          </cell>
        </row>
        <row r="427">
          <cell r="C427" t="str">
            <v>灯具カバーPC IN 2110　L=1815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000000000008710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000000000008710</v>
          </cell>
        </row>
        <row r="429">
          <cell r="C429">
            <v>192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000000000008710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000000000008710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000000000008710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000000000008710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000000000008710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000000000008710</v>
          </cell>
        </row>
        <row r="435">
          <cell r="C435" t="str">
            <v>灯具カバーPC IN 2080　L=1540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000000000008709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000000000008709</v>
          </cell>
        </row>
        <row r="437">
          <cell r="C437">
            <v>96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000000000008709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000000000008709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000000000008709</v>
          </cell>
        </row>
        <row r="440">
          <cell r="C440" t="str">
            <v>灯具-2　L＝1996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000000000008709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000000000008709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000000000008709</v>
          </cell>
        </row>
        <row r="443">
          <cell r="C443" t="str">
            <v>8FL281304 6110　L=1478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000000000008364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000000000008364</v>
          </cell>
        </row>
        <row r="445">
          <cell r="C445">
            <v>400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000000000008364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000000000008364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000000000008364</v>
          </cell>
        </row>
        <row r="448">
          <cell r="C448" t="str">
            <v>LED-A1478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000000000008364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000000000008364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000000000008364</v>
          </cell>
        </row>
        <row r="451">
          <cell r="C451" t="str">
            <v>8FL281304 5010　L=888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000000000008362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000000000008362</v>
          </cell>
        </row>
        <row r="453">
          <cell r="C453">
            <v>800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000000000008362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000000000008362</v>
          </cell>
        </row>
        <row r="455">
          <cell r="C455">
            <v>2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000000000008362</v>
          </cell>
        </row>
        <row r="456">
          <cell r="C456" t="str">
            <v>LED-A888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000000000008362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000000000008362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000000000008362</v>
          </cell>
        </row>
        <row r="459">
          <cell r="C459" t="str">
            <v>8FL281304 4910　L=592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000000000008358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000000000008358</v>
          </cell>
        </row>
        <row r="461">
          <cell r="C461">
            <v>200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000000000008358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000000000008358</v>
          </cell>
        </row>
        <row r="463">
          <cell r="C463">
            <v>3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000000000008358</v>
          </cell>
        </row>
        <row r="464">
          <cell r="C464" t="str">
            <v>LED-A592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000000000008358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000000000008358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000000000008358</v>
          </cell>
        </row>
        <row r="467">
          <cell r="C467" t="str">
            <v>8FL281304 4910　L=592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000000000008359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000000000008359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000000000008359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000000000008359</v>
          </cell>
        </row>
        <row r="471">
          <cell r="C471">
            <v>3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000000000008359</v>
          </cell>
        </row>
        <row r="472">
          <cell r="C472" t="str">
            <v>LED-A592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000000000008359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000000000008359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000000000008359</v>
          </cell>
        </row>
        <row r="475">
          <cell r="C475" t="str">
            <v>8FL281304 4810　L=297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000000000008355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000000000008355</v>
          </cell>
        </row>
        <row r="477">
          <cell r="C477">
            <v>200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000000000008355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000000000008355</v>
          </cell>
        </row>
        <row r="479">
          <cell r="C479">
            <v>6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000000000008355</v>
          </cell>
        </row>
        <row r="480">
          <cell r="C480" t="str">
            <v>LED-A300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000000000008355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000000000008355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000000000008355</v>
          </cell>
        </row>
        <row r="483">
          <cell r="C483" t="str">
            <v>8FL281304 4810　L=297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000000000008356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000000000008356</v>
          </cell>
        </row>
        <row r="485">
          <cell r="C485">
            <v>300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000000000008356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000000000008356</v>
          </cell>
        </row>
        <row r="487">
          <cell r="C487">
            <v>6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000000000008356</v>
          </cell>
        </row>
        <row r="488">
          <cell r="C488" t="str">
            <v>LED-A300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000000000008356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000000000008356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000000000008356</v>
          </cell>
        </row>
        <row r="491">
          <cell r="C491" t="str">
            <v>8FL281304 5010　L=888</v>
          </cell>
          <cell r="T491" t="str">
            <v>000000000008363</v>
          </cell>
        </row>
        <row r="492">
          <cell r="T492" t="str">
            <v>000000000008363</v>
          </cell>
        </row>
        <row r="493">
          <cell r="C493">
            <v>2000</v>
          </cell>
          <cell r="T493" t="str">
            <v>000000000008363</v>
          </cell>
        </row>
        <row r="494">
          <cell r="T494" t="str">
            <v>000000000008363</v>
          </cell>
        </row>
        <row r="495">
          <cell r="C495">
            <v>2</v>
          </cell>
          <cell r="T495" t="str">
            <v>000000000008363</v>
          </cell>
        </row>
        <row r="496">
          <cell r="C496" t="str">
            <v>LED-A888</v>
          </cell>
          <cell r="T496" t="str">
            <v>000000000008363</v>
          </cell>
        </row>
        <row r="497">
          <cell r="T497" t="str">
            <v>000000000008363</v>
          </cell>
        </row>
        <row r="498">
          <cell r="T498" t="str">
            <v>000000000008363</v>
          </cell>
        </row>
        <row r="499">
          <cell r="C499" t="str">
            <v>PK-59827 L=700</v>
          </cell>
          <cell r="T499" t="str">
            <v>000000000008411</v>
          </cell>
        </row>
        <row r="500">
          <cell r="T500" t="str">
            <v>000000000008411</v>
          </cell>
        </row>
        <row r="501">
          <cell r="C501">
            <v>1054</v>
          </cell>
          <cell r="T501" t="str">
            <v>000000000008411</v>
          </cell>
        </row>
        <row r="502">
          <cell r="T502" t="str">
            <v>000000000008411</v>
          </cell>
        </row>
        <row r="503">
          <cell r="C503">
            <v>2</v>
          </cell>
          <cell r="T503" t="str">
            <v>000000000008411</v>
          </cell>
        </row>
        <row r="504">
          <cell r="C504" t="str">
            <v>PK-59827 L=700用</v>
          </cell>
          <cell r="T504" t="str">
            <v>000000000008411</v>
          </cell>
        </row>
        <row r="505">
          <cell r="T505" t="str">
            <v>000000000008411</v>
          </cell>
        </row>
        <row r="506">
          <cell r="T506" t="str">
            <v>000000000008411</v>
          </cell>
        </row>
        <row r="507">
          <cell r="C507" t="str">
            <v>8FL281304 8310　L=748</v>
          </cell>
          <cell r="T507" t="str">
            <v>000000000008801</v>
          </cell>
        </row>
        <row r="508">
          <cell r="T508" t="str">
            <v>000000000008801</v>
          </cell>
        </row>
        <row r="509">
          <cell r="C509">
            <v>200</v>
          </cell>
          <cell r="T509" t="str">
            <v>000000000008801</v>
          </cell>
        </row>
        <row r="510">
          <cell r="T510" t="str">
            <v>000000000008801</v>
          </cell>
        </row>
        <row r="511">
          <cell r="C511">
            <v>2</v>
          </cell>
          <cell r="T511" t="str">
            <v>000000000008801</v>
          </cell>
        </row>
        <row r="512">
          <cell r="C512" t="str">
            <v>LED-A888</v>
          </cell>
          <cell r="T512" t="str">
            <v>000000000008801</v>
          </cell>
        </row>
        <row r="513">
          <cell r="T513" t="str">
            <v>000000000008801</v>
          </cell>
        </row>
        <row r="514">
          <cell r="T514" t="str">
            <v>000000000008801</v>
          </cell>
        </row>
        <row r="515">
          <cell r="C515" t="str">
            <v>8FL281304 5010　L=888</v>
          </cell>
          <cell r="T515" t="str">
            <v>000000000008802</v>
          </cell>
        </row>
        <row r="516">
          <cell r="T516" t="str">
            <v>000000000008802</v>
          </cell>
        </row>
        <row r="517">
          <cell r="C517">
            <v>100</v>
          </cell>
          <cell r="T517" t="str">
            <v>000000000008802</v>
          </cell>
        </row>
        <row r="518">
          <cell r="T518" t="str">
            <v>000000000008802</v>
          </cell>
        </row>
        <row r="519">
          <cell r="C519">
            <v>2</v>
          </cell>
          <cell r="T519" t="str">
            <v>000000000008802</v>
          </cell>
        </row>
        <row r="520">
          <cell r="C520" t="str">
            <v>LED-A888</v>
          </cell>
          <cell r="T520" t="str">
            <v>000000000008802</v>
          </cell>
        </row>
        <row r="521">
          <cell r="T521" t="str">
            <v>000000000008802</v>
          </cell>
        </row>
        <row r="522">
          <cell r="T522" t="str">
            <v>000000000008802</v>
          </cell>
        </row>
        <row r="523">
          <cell r="C523" t="str">
            <v>8FL281304 6110　L=1478</v>
          </cell>
          <cell r="T523" t="str">
            <v>000000000008803</v>
          </cell>
        </row>
        <row r="524">
          <cell r="T524" t="str">
            <v>000000000008803</v>
          </cell>
        </row>
        <row r="525">
          <cell r="C525">
            <v>200</v>
          </cell>
          <cell r="T525" t="str">
            <v>000000000008803</v>
          </cell>
        </row>
        <row r="526">
          <cell r="T526" t="str">
            <v>000000000008803</v>
          </cell>
        </row>
        <row r="527">
          <cell r="C527">
            <v>1</v>
          </cell>
          <cell r="T527" t="str">
            <v>000000000008803</v>
          </cell>
        </row>
        <row r="528">
          <cell r="C528" t="str">
            <v>LED-A1478</v>
          </cell>
          <cell r="T528" t="str">
            <v>000000000008803</v>
          </cell>
        </row>
        <row r="529">
          <cell r="T529" t="str">
            <v>000000000008803</v>
          </cell>
        </row>
        <row r="530">
          <cell r="T530" t="str">
            <v>000000000008803</v>
          </cell>
        </row>
        <row r="531">
          <cell r="C531" t="str">
            <v>灯具カバーPC IN 2070　L=1966</v>
          </cell>
          <cell r="T531" t="str">
            <v>000000000008712</v>
          </cell>
        </row>
        <row r="532">
          <cell r="T532" t="str">
            <v>000000000008712</v>
          </cell>
        </row>
        <row r="533">
          <cell r="C533">
            <v>192</v>
          </cell>
          <cell r="T533" t="str">
            <v>000000000008712</v>
          </cell>
        </row>
        <row r="534">
          <cell r="T534" t="str">
            <v>000000000008712</v>
          </cell>
        </row>
        <row r="535">
          <cell r="C535">
            <v>1</v>
          </cell>
          <cell r="T535" t="str">
            <v>000000000008712</v>
          </cell>
        </row>
        <row r="536">
          <cell r="C536" t="str">
            <v>灯具-2　L＝1996</v>
          </cell>
          <cell r="T536" t="str">
            <v>000000000008712</v>
          </cell>
        </row>
        <row r="537">
          <cell r="T537" t="str">
            <v>000000000008712</v>
          </cell>
        </row>
        <row r="538">
          <cell r="T538" t="str">
            <v>000000000008712</v>
          </cell>
        </row>
        <row r="539">
          <cell r="C539" t="str">
            <v>灯具カバーPC IN 2110　L=1815</v>
          </cell>
          <cell r="T539" t="str">
            <v>000000000008711</v>
          </cell>
        </row>
        <row r="540">
          <cell r="T540" t="str">
            <v>000000000008711</v>
          </cell>
        </row>
        <row r="541">
          <cell r="C541">
            <v>192</v>
          </cell>
          <cell r="T541" t="str">
            <v>000000000008711</v>
          </cell>
        </row>
        <row r="542">
          <cell r="T542" t="str">
            <v>000000000008711</v>
          </cell>
        </row>
        <row r="543">
          <cell r="C543">
            <v>1</v>
          </cell>
          <cell r="T543" t="str">
            <v>000000000008711</v>
          </cell>
        </row>
        <row r="544">
          <cell r="C544" t="str">
            <v>灯具-2　L＝1996</v>
          </cell>
          <cell r="T544" t="str">
            <v>000000000008711</v>
          </cell>
        </row>
        <row r="545">
          <cell r="T545" t="str">
            <v>000000000008711</v>
          </cell>
        </row>
        <row r="546">
          <cell r="T546" t="str">
            <v>000000000008711</v>
          </cell>
        </row>
        <row r="547">
          <cell r="C547" t="str">
            <v>灯具カバーPC IN 2130　L=908</v>
          </cell>
          <cell r="T547" t="str">
            <v>000000000008704</v>
          </cell>
        </row>
        <row r="548">
          <cell r="T548" t="str">
            <v>000000000008704</v>
          </cell>
        </row>
        <row r="549">
          <cell r="C549">
            <v>192</v>
          </cell>
          <cell r="T549" t="str">
            <v>000000000008704</v>
          </cell>
        </row>
        <row r="550">
          <cell r="T550" t="str">
            <v>000000000008704</v>
          </cell>
        </row>
        <row r="551">
          <cell r="C551">
            <v>1</v>
          </cell>
          <cell r="T551" t="str">
            <v>000000000008704</v>
          </cell>
        </row>
        <row r="552">
          <cell r="C552" t="str">
            <v>灯具-1　L=1370</v>
          </cell>
          <cell r="T552" t="str">
            <v>000000000008704</v>
          </cell>
        </row>
        <row r="553">
          <cell r="T553" t="str">
            <v>000000000008704</v>
          </cell>
        </row>
        <row r="554">
          <cell r="T554" t="str">
            <v>000000000008704</v>
          </cell>
        </row>
        <row r="555">
          <cell r="C555" t="str">
            <v>灯具カバーPC IN 2050　L=1183.5</v>
          </cell>
          <cell r="T555" t="str">
            <v>000000000008707</v>
          </cell>
        </row>
        <row r="556">
          <cell r="T556" t="str">
            <v>000000000008707</v>
          </cell>
        </row>
        <row r="557">
          <cell r="C557">
            <v>192</v>
          </cell>
          <cell r="T557" t="str">
            <v>000000000008707</v>
          </cell>
        </row>
        <row r="558">
          <cell r="T558" t="str">
            <v>000000000008707</v>
          </cell>
        </row>
        <row r="559">
          <cell r="C559">
            <v>1</v>
          </cell>
          <cell r="T559" t="str">
            <v>000000000008707</v>
          </cell>
        </row>
        <row r="560">
          <cell r="C560" t="str">
            <v>灯具-1　L=1370</v>
          </cell>
          <cell r="T560" t="str">
            <v>000000000008707</v>
          </cell>
        </row>
        <row r="561">
          <cell r="T561" t="str">
            <v>000000000008707</v>
          </cell>
        </row>
        <row r="562">
          <cell r="T562" t="str">
            <v>000000000008707</v>
          </cell>
        </row>
        <row r="563">
          <cell r="C563">
            <v>45967</v>
          </cell>
          <cell r="T563" t="str">
            <v/>
          </cell>
        </row>
        <row r="564">
          <cell r="T564" t="str">
            <v/>
          </cell>
        </row>
        <row r="565">
          <cell r="T565" t="str">
            <v/>
          </cell>
        </row>
        <row r="566">
          <cell r="T566" t="str">
            <v/>
          </cell>
        </row>
        <row r="567">
          <cell r="T567" t="str">
            <v/>
          </cell>
        </row>
        <row r="568">
          <cell r="T568" t="str">
            <v/>
          </cell>
        </row>
        <row r="569">
          <cell r="T569" t="str">
            <v/>
          </cell>
        </row>
        <row r="570">
          <cell r="T570" t="str">
            <v/>
          </cell>
        </row>
        <row r="571">
          <cell r="C571" t="str">
            <v>灯具カバーPC IN 2480　L=954</v>
          </cell>
          <cell r="T571" t="str">
            <v>000000000008705</v>
          </cell>
        </row>
        <row r="572">
          <cell r="T572" t="str">
            <v>000000000008705</v>
          </cell>
        </row>
        <row r="573">
          <cell r="C573">
            <v>96</v>
          </cell>
          <cell r="T573" t="str">
            <v>000000000008705</v>
          </cell>
        </row>
        <row r="574">
          <cell r="T574" t="str">
            <v>000000000008705</v>
          </cell>
        </row>
        <row r="575">
          <cell r="C575">
            <v>1</v>
          </cell>
          <cell r="T575" t="str">
            <v>000000000008705</v>
          </cell>
        </row>
        <row r="576">
          <cell r="C576" t="str">
            <v>灯具-1　L=1370</v>
          </cell>
          <cell r="T576" t="str">
            <v>000000000008705</v>
          </cell>
        </row>
        <row r="577">
          <cell r="T577" t="str">
            <v>000000000008705</v>
          </cell>
        </row>
        <row r="578">
          <cell r="T578" t="str">
            <v>000000000008705</v>
          </cell>
        </row>
        <row r="579">
          <cell r="C579" t="str">
            <v>灯具カバーPC IN 2130　L=908</v>
          </cell>
          <cell r="T579" t="str">
            <v>000000000008703</v>
          </cell>
        </row>
        <row r="580">
          <cell r="T580" t="str">
            <v>000000000008703</v>
          </cell>
        </row>
        <row r="581">
          <cell r="C581">
            <v>192</v>
          </cell>
          <cell r="T581" t="str">
            <v>000000000008703</v>
          </cell>
        </row>
        <row r="582">
          <cell r="T582" t="str">
            <v>000000000008703</v>
          </cell>
        </row>
        <row r="583">
          <cell r="C583">
            <v>1</v>
          </cell>
          <cell r="T583" t="str">
            <v>000000000008703</v>
          </cell>
        </row>
        <row r="584">
          <cell r="C584" t="str">
            <v>灯具-1　L=1370</v>
          </cell>
          <cell r="T584" t="str">
            <v>000000000008703</v>
          </cell>
        </row>
        <row r="585">
          <cell r="T585" t="str">
            <v>000000000008703</v>
          </cell>
        </row>
        <row r="586">
          <cell r="T586" t="str">
            <v>000000000008703</v>
          </cell>
        </row>
        <row r="587">
          <cell r="C587" t="str">
            <v>灯具カバーPC  　7530    L=565</v>
          </cell>
          <cell r="T587" t="str">
            <v>000000000008700</v>
          </cell>
        </row>
        <row r="588">
          <cell r="T588" t="str">
            <v>000000000008700</v>
          </cell>
        </row>
        <row r="589">
          <cell r="C589">
            <v>20</v>
          </cell>
          <cell r="T589" t="str">
            <v>000000000008700</v>
          </cell>
        </row>
        <row r="590">
          <cell r="T590" t="str">
            <v>000000000008700</v>
          </cell>
        </row>
        <row r="591">
          <cell r="C591">
            <v>2</v>
          </cell>
          <cell r="T591" t="str">
            <v>000000000008700</v>
          </cell>
        </row>
        <row r="592">
          <cell r="C592" t="str">
            <v>H型ジョイナー端材</v>
          </cell>
          <cell r="T592" t="str">
            <v>000000000008700</v>
          </cell>
        </row>
        <row r="593">
          <cell r="T593" t="str">
            <v>000000000008700</v>
          </cell>
        </row>
        <row r="594">
          <cell r="T594" t="str">
            <v>000000000008700</v>
          </cell>
        </row>
        <row r="595">
          <cell r="C595" t="str">
            <v>灯具カバーPC IN 2060　L=1258.5</v>
          </cell>
          <cell r="T595" t="str">
            <v>000000000008708</v>
          </cell>
        </row>
        <row r="596">
          <cell r="T596" t="str">
            <v>000000000008708</v>
          </cell>
        </row>
        <row r="597">
          <cell r="C597">
            <v>80</v>
          </cell>
          <cell r="T597" t="str">
            <v>000000000008708</v>
          </cell>
        </row>
        <row r="598">
          <cell r="T598" t="str">
            <v>000000000008708</v>
          </cell>
        </row>
        <row r="599">
          <cell r="C599">
            <v>1</v>
          </cell>
          <cell r="T599" t="str">
            <v>000000000008708</v>
          </cell>
        </row>
        <row r="600">
          <cell r="C600" t="str">
            <v>灯具-1　L=1370</v>
          </cell>
          <cell r="T600" t="str">
            <v>000000000008708</v>
          </cell>
        </row>
        <row r="601">
          <cell r="T601" t="str">
            <v>000000000008708</v>
          </cell>
        </row>
        <row r="602">
          <cell r="T602" t="str">
            <v>000000000008708</v>
          </cell>
        </row>
        <row r="603">
          <cell r="C603" t="str">
            <v>灯具カバーPC IN 2050　L=1183.5</v>
          </cell>
          <cell r="T603" t="str">
            <v>000000000008706</v>
          </cell>
        </row>
        <row r="604">
          <cell r="T604" t="str">
            <v>000000000008706</v>
          </cell>
        </row>
        <row r="605">
          <cell r="C605">
            <v>192</v>
          </cell>
          <cell r="T605" t="str">
            <v>000000000008706</v>
          </cell>
        </row>
        <row r="606">
          <cell r="T606" t="str">
            <v>000000000008706</v>
          </cell>
        </row>
        <row r="607">
          <cell r="C607">
            <v>1</v>
          </cell>
          <cell r="T607" t="str">
            <v>000000000008706</v>
          </cell>
        </row>
        <row r="608">
          <cell r="C608" t="str">
            <v>灯具-1　L=1370</v>
          </cell>
          <cell r="T608" t="str">
            <v>000000000008706</v>
          </cell>
        </row>
        <row r="609">
          <cell r="T609" t="str">
            <v>000000000008706</v>
          </cell>
        </row>
        <row r="610">
          <cell r="T610" t="str">
            <v>000000000008706</v>
          </cell>
        </row>
        <row r="611">
          <cell r="C611" t="str">
            <v>灯具カバーPC  　2200    L=221.8</v>
          </cell>
          <cell r="T611" t="str">
            <v>000000000008699</v>
          </cell>
        </row>
        <row r="612">
          <cell r="T612" t="str">
            <v>000000000008699</v>
          </cell>
        </row>
        <row r="613">
          <cell r="C613">
            <v>20</v>
          </cell>
          <cell r="T613" t="str">
            <v>000000000008699</v>
          </cell>
        </row>
        <row r="614">
          <cell r="T614" t="str">
            <v>000000000008699</v>
          </cell>
        </row>
        <row r="615">
          <cell r="C615">
            <v>2</v>
          </cell>
          <cell r="T615" t="str">
            <v>000000000008699</v>
          </cell>
        </row>
        <row r="616">
          <cell r="C616" t="str">
            <v>H型ジョイナー端材</v>
          </cell>
          <cell r="T616" t="str">
            <v>000000000008699</v>
          </cell>
        </row>
        <row r="617">
          <cell r="T617" t="str">
            <v>000000000008699</v>
          </cell>
        </row>
        <row r="618">
          <cell r="T618" t="str">
            <v>000000000008699</v>
          </cell>
        </row>
        <row r="619">
          <cell r="C619" t="str">
            <v>灯具カバーPC IN 2140　L=547</v>
          </cell>
          <cell r="T619" t="str">
            <v>000000000008701</v>
          </cell>
        </row>
        <row r="620">
          <cell r="T620" t="str">
            <v>000000000008701</v>
          </cell>
        </row>
        <row r="621">
          <cell r="C621">
            <v>80</v>
          </cell>
          <cell r="T621" t="str">
            <v>000000000008701</v>
          </cell>
        </row>
        <row r="622">
          <cell r="T622" t="str">
            <v>000000000008701</v>
          </cell>
        </row>
        <row r="623">
          <cell r="C623">
            <v>1</v>
          </cell>
          <cell r="T623" t="str">
            <v>000000000008701</v>
          </cell>
        </row>
        <row r="624">
          <cell r="C624" t="str">
            <v>灯具-1　L=1370</v>
          </cell>
          <cell r="T624" t="str">
            <v>000000000008701</v>
          </cell>
        </row>
        <row r="625">
          <cell r="T625" t="str">
            <v>000000000008701</v>
          </cell>
        </row>
        <row r="626">
          <cell r="T626" t="str">
            <v>000000000008701</v>
          </cell>
        </row>
        <row r="627">
          <cell r="C627" t="str">
            <v>灯具カバーPC IN 2090　L=840</v>
          </cell>
          <cell r="T627" t="str">
            <v>000000000008702</v>
          </cell>
        </row>
        <row r="628">
          <cell r="T628" t="str">
            <v>000000000008702</v>
          </cell>
        </row>
        <row r="629">
          <cell r="C629">
            <v>192</v>
          </cell>
          <cell r="T629" t="str">
            <v>000000000008702</v>
          </cell>
        </row>
        <row r="630">
          <cell r="T630" t="str">
            <v>000000000008702</v>
          </cell>
        </row>
        <row r="631">
          <cell r="C631">
            <v>1</v>
          </cell>
          <cell r="T631" t="str">
            <v>000000000008702</v>
          </cell>
        </row>
        <row r="632">
          <cell r="C632" t="str">
            <v>灯具-2　L＝1996</v>
          </cell>
          <cell r="T632" t="str">
            <v>000000000008702</v>
          </cell>
        </row>
        <row r="633">
          <cell r="T633" t="str">
            <v>000000000008702</v>
          </cell>
        </row>
        <row r="634">
          <cell r="T634" t="str">
            <v>000000000008702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topLeftCell="A150" workbookViewId="0">
      <selection activeCell="G93" sqref="G93:H9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1" t="s">
        <v>0</v>
      </c>
      <c r="C1" s="89"/>
      <c r="D1" s="8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9"/>
      <c r="C2" s="89"/>
      <c r="D2" s="89"/>
      <c r="E2" s="12"/>
      <c r="F2" s="12"/>
      <c r="G2" s="12"/>
      <c r="H2" s="12"/>
      <c r="I2" s="12"/>
      <c r="J2" s="12"/>
    </row>
    <row r="3" spans="1:10" ht="14.25" customHeight="1">
      <c r="A3" s="93" t="s">
        <v>1</v>
      </c>
      <c r="B3" s="93" t="s">
        <v>2</v>
      </c>
      <c r="C3" s="93" t="s">
        <v>3</v>
      </c>
      <c r="D3" s="140">
        <v>840</v>
      </c>
      <c r="E3" s="93" t="s">
        <v>4</v>
      </c>
      <c r="F3" s="149" t="s">
        <v>5</v>
      </c>
      <c r="G3" s="89"/>
      <c r="H3" s="122"/>
      <c r="I3" s="13" t="s">
        <v>6</v>
      </c>
      <c r="J3" s="13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22"/>
      <c r="I4" s="129"/>
      <c r="J4" s="129"/>
    </row>
    <row r="5" spans="1:10" ht="17.45" customHeight="1">
      <c r="A5" s="88" t="s">
        <v>8</v>
      </c>
      <c r="B5" s="88" t="s">
        <v>9</v>
      </c>
      <c r="E5" s="88" t="s">
        <v>10</v>
      </c>
      <c r="F5" s="121" t="s">
        <v>11</v>
      </c>
      <c r="G5" s="89"/>
      <c r="H5" s="122"/>
      <c r="I5" s="130"/>
      <c r="J5" s="130"/>
    </row>
    <row r="6" spans="1:10" ht="17.45" customHeight="1">
      <c r="A6" s="89"/>
      <c r="B6" s="89"/>
      <c r="E6" s="89"/>
      <c r="F6" s="89"/>
      <c r="G6" s="89"/>
      <c r="H6" s="122"/>
      <c r="I6" s="14"/>
      <c r="J6" s="14"/>
    </row>
    <row r="7" spans="1:10" ht="17.45" customHeight="1">
      <c r="A7" s="88" t="s">
        <v>12</v>
      </c>
      <c r="B7" s="88" t="s">
        <v>13</v>
      </c>
      <c r="E7" s="2" t="s">
        <v>14</v>
      </c>
      <c r="F7" s="141" t="s">
        <v>15</v>
      </c>
      <c r="G7" s="89"/>
      <c r="H7" s="21"/>
    </row>
    <row r="8" spans="1:10" ht="17.45" customHeight="1">
      <c r="A8" s="89"/>
      <c r="B8" s="8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45965</v>
      </c>
      <c r="E9" s="2" t="s">
        <v>19</v>
      </c>
      <c r="F9" s="90">
        <v>16</v>
      </c>
      <c r="G9" s="89"/>
      <c r="H9" s="21"/>
    </row>
    <row r="10" spans="1:10" ht="17.45" customHeight="1">
      <c r="A10" s="2" t="s">
        <v>20</v>
      </c>
      <c r="B10" s="4">
        <v>45965</v>
      </c>
      <c r="E10" s="2" t="s">
        <v>21</v>
      </c>
      <c r="F10" s="21">
        <v>12</v>
      </c>
      <c r="G10" s="125" t="s">
        <v>22</v>
      </c>
      <c r="H10" s="94">
        <v>192</v>
      </c>
      <c r="I10" s="95"/>
      <c r="J10" s="9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97"/>
      <c r="H11" s="97"/>
      <c r="I11" s="98"/>
      <c r="J11" s="99"/>
    </row>
    <row r="12" spans="1:10" ht="13.5" customHeight="1">
      <c r="A12" s="120" t="s">
        <v>25</v>
      </c>
      <c r="B12" s="89"/>
      <c r="C12" s="89"/>
      <c r="D12" s="20"/>
      <c r="F12" s="3"/>
      <c r="G12" s="131" t="s">
        <v>26</v>
      </c>
      <c r="H12" s="152" t="s">
        <v>27</v>
      </c>
      <c r="I12" s="127" t="s">
        <v>28</v>
      </c>
      <c r="J12" s="122"/>
    </row>
    <row r="13" spans="1:10" ht="13.5" customHeight="1">
      <c r="A13" s="89"/>
      <c r="B13" s="89"/>
      <c r="C13" s="89"/>
      <c r="D13" s="20"/>
      <c r="F13" s="3"/>
      <c r="G13" s="132"/>
      <c r="H13" s="132"/>
      <c r="I13" s="98"/>
      <c r="J13" s="99"/>
    </row>
    <row r="14" spans="1:10" ht="13.5" customHeight="1">
      <c r="A14" s="1" t="s">
        <v>29</v>
      </c>
    </row>
    <row r="15" spans="1:10" ht="63" customHeight="1" thickBo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 ht="18.75">
      <c r="A16" s="23" t="s">
        <v>30</v>
      </c>
      <c r="B16" s="16" t="s">
        <v>31</v>
      </c>
      <c r="C16" s="128" t="s">
        <v>32</v>
      </c>
      <c r="D16" s="124"/>
      <c r="E16" s="16" t="s">
        <v>33</v>
      </c>
      <c r="F16" s="128" t="s">
        <v>34</v>
      </c>
      <c r="G16" s="124"/>
      <c r="H16" s="124"/>
      <c r="I16" s="123" t="s">
        <v>35</v>
      </c>
      <c r="J16" s="12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1" t="s">
        <v>37</v>
      </c>
      <c r="D18" s="92"/>
      <c r="E18" s="24" t="s">
        <v>38</v>
      </c>
      <c r="F18" s="91" t="s">
        <v>39</v>
      </c>
      <c r="G18" s="92"/>
      <c r="H18" s="92"/>
      <c r="I18" s="126"/>
      <c r="J18" s="92"/>
    </row>
    <row r="19" spans="1:10" s="7" customFormat="1" ht="16.5" customHeight="1">
      <c r="A19" s="22">
        <v>1</v>
      </c>
      <c r="B19" s="25" t="s">
        <v>36</v>
      </c>
      <c r="C19" s="91" t="s">
        <v>37</v>
      </c>
      <c r="D19" s="92"/>
      <c r="E19" s="24" t="s">
        <v>40</v>
      </c>
      <c r="F19" s="91" t="s">
        <v>41</v>
      </c>
      <c r="G19" s="92"/>
      <c r="H19" s="92"/>
      <c r="I19" s="126"/>
      <c r="J19" s="92"/>
    </row>
    <row r="20" spans="1:10" s="7" customFormat="1" ht="16.5" customHeight="1">
      <c r="A20" s="22"/>
      <c r="B20" s="25"/>
      <c r="C20" s="91"/>
      <c r="D20" s="92"/>
      <c r="E20" s="24"/>
      <c r="F20" s="91"/>
      <c r="G20" s="92"/>
      <c r="H20" s="92"/>
      <c r="I20" s="126"/>
      <c r="J20" s="92"/>
    </row>
    <row r="21" spans="1:10" s="7" customFormat="1" ht="16.5" customHeight="1">
      <c r="A21" s="22"/>
      <c r="B21" s="25"/>
      <c r="C21" s="91"/>
      <c r="D21" s="92"/>
      <c r="E21" s="24"/>
      <c r="F21" s="91"/>
      <c r="G21" s="92"/>
      <c r="H21" s="92"/>
      <c r="I21" s="126"/>
      <c r="J21" s="92"/>
    </row>
    <row r="22" spans="1:10" s="7" customFormat="1" ht="16.5" customHeight="1">
      <c r="A22" s="22"/>
      <c r="B22" s="25"/>
      <c r="C22" s="91"/>
      <c r="D22" s="92"/>
      <c r="E22" s="24"/>
      <c r="F22" s="91"/>
      <c r="G22" s="92"/>
      <c r="H22" s="92"/>
      <c r="I22" s="126"/>
      <c r="J22" s="92"/>
    </row>
    <row r="23" spans="1:10" s="7" customFormat="1" ht="16.5" customHeight="1">
      <c r="A23" s="22"/>
      <c r="B23" s="25"/>
      <c r="C23" s="91"/>
      <c r="D23" s="92"/>
      <c r="E23" s="24"/>
      <c r="F23" s="91"/>
      <c r="G23" s="92"/>
      <c r="H23" s="92"/>
      <c r="I23" s="126"/>
      <c r="J23" s="9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6" t="s">
        <v>42</v>
      </c>
      <c r="B25" s="117"/>
      <c r="C25" s="116" t="s">
        <v>43</v>
      </c>
      <c r="D25" s="117"/>
      <c r="E25" s="117"/>
      <c r="F25" s="17" t="s">
        <v>44</v>
      </c>
      <c r="G25" s="116" t="s">
        <v>45</v>
      </c>
      <c r="H25" s="117"/>
      <c r="I25" s="116" t="s">
        <v>46</v>
      </c>
      <c r="J25" s="117"/>
    </row>
    <row r="26" spans="1:10" ht="14.25" customHeight="1">
      <c r="A26" s="8"/>
      <c r="B26" s="18"/>
      <c r="C26" s="150" t="s">
        <v>47</v>
      </c>
      <c r="D26" s="98"/>
      <c r="E26" s="18"/>
      <c r="F26" s="150" t="s">
        <v>29</v>
      </c>
      <c r="G26" s="98"/>
      <c r="H26" s="98"/>
      <c r="I26" s="98"/>
      <c r="J26" s="98"/>
    </row>
    <row r="27" spans="1:10">
      <c r="A27" s="9"/>
      <c r="C27" s="7"/>
      <c r="D27" s="7"/>
      <c r="E27" s="7"/>
    </row>
    <row r="28" spans="1:10" s="5" customFormat="1" ht="14.25" customHeight="1">
      <c r="A28" s="91" t="s">
        <v>48</v>
      </c>
      <c r="B28" s="118"/>
      <c r="C28" s="91" t="s">
        <v>49</v>
      </c>
      <c r="D28" s="118"/>
      <c r="E28" s="118"/>
      <c r="F28" s="26" t="s">
        <v>50</v>
      </c>
      <c r="G28" s="115">
        <v>192</v>
      </c>
      <c r="H28" s="118"/>
      <c r="I28" s="115">
        <v>12</v>
      </c>
      <c r="J28" s="118"/>
    </row>
    <row r="29" spans="1:10" s="7" customFormat="1" ht="24.95" customHeight="1">
      <c r="A29" s="119" t="s">
        <v>51</v>
      </c>
      <c r="B29" s="92"/>
      <c r="C29" s="91" t="s">
        <v>11</v>
      </c>
      <c r="D29" s="92"/>
      <c r="E29" s="92"/>
      <c r="F29" s="91"/>
      <c r="G29" s="92"/>
      <c r="H29" s="92"/>
      <c r="I29" s="92"/>
      <c r="J29" s="92"/>
    </row>
    <row r="30" spans="1:10" s="5" customFormat="1" ht="14.25" customHeight="1">
      <c r="A30" s="91" t="s">
        <v>52</v>
      </c>
      <c r="B30" s="118"/>
      <c r="C30" s="91" t="s">
        <v>53</v>
      </c>
      <c r="D30" s="118"/>
      <c r="E30" s="118"/>
      <c r="F30" s="26" t="s">
        <v>27</v>
      </c>
      <c r="G30" s="115">
        <v>5.952</v>
      </c>
      <c r="H30" s="118"/>
      <c r="I30" s="115">
        <v>0.372</v>
      </c>
      <c r="J30" s="118"/>
    </row>
    <row r="31" spans="1:10" s="7" customFormat="1" ht="24.95" customHeight="1">
      <c r="A31" s="119" t="s">
        <v>54</v>
      </c>
      <c r="B31" s="92"/>
      <c r="C31" s="91"/>
      <c r="D31" s="92"/>
      <c r="E31" s="92"/>
      <c r="F31" s="91"/>
      <c r="G31" s="92"/>
      <c r="H31" s="92"/>
      <c r="I31" s="92"/>
      <c r="J31" s="92"/>
    </row>
    <row r="32" spans="1:10" s="5" customFormat="1" ht="14.25" customHeight="1">
      <c r="A32" s="91" t="s">
        <v>55</v>
      </c>
      <c r="B32" s="118"/>
      <c r="C32" s="91" t="s">
        <v>56</v>
      </c>
      <c r="D32" s="118"/>
      <c r="E32" s="118"/>
      <c r="F32" s="26"/>
      <c r="G32" s="115">
        <v>0.57599999999999996</v>
      </c>
      <c r="H32" s="118"/>
      <c r="I32" s="115">
        <v>3.5999999999999997E-2</v>
      </c>
      <c r="J32" s="118"/>
    </row>
    <row r="33" spans="1:14" s="7" customFormat="1" ht="24.95" customHeight="1">
      <c r="A33" s="119" t="s">
        <v>57</v>
      </c>
      <c r="B33" s="92"/>
      <c r="C33" s="91" t="s">
        <v>58</v>
      </c>
      <c r="D33" s="92"/>
      <c r="E33" s="92"/>
      <c r="F33" s="91"/>
      <c r="G33" s="92"/>
      <c r="H33" s="92"/>
      <c r="I33" s="92"/>
      <c r="J33" s="92"/>
    </row>
    <row r="34" spans="1:14" s="5" customFormat="1" ht="14.25" customHeight="1">
      <c r="A34" s="91"/>
      <c r="B34" s="118"/>
      <c r="C34" s="91"/>
      <c r="D34" s="118"/>
      <c r="E34" s="118"/>
      <c r="F34" s="26"/>
      <c r="G34" s="115"/>
      <c r="H34" s="118"/>
      <c r="I34" s="115"/>
      <c r="J34" s="118"/>
    </row>
    <row r="35" spans="1:14" s="7" customFormat="1" ht="24.95" customHeight="1">
      <c r="A35" s="119"/>
      <c r="B35" s="92"/>
      <c r="C35" s="91"/>
      <c r="D35" s="92"/>
      <c r="E35" s="92"/>
      <c r="F35" s="91"/>
      <c r="G35" s="92"/>
      <c r="H35" s="92"/>
      <c r="I35" s="92"/>
      <c r="J35" s="92"/>
    </row>
    <row r="36" spans="1:14" s="5" customFormat="1" ht="14.25" customHeight="1">
      <c r="A36" s="91"/>
      <c r="B36" s="118"/>
      <c r="C36" s="91"/>
      <c r="D36" s="118"/>
      <c r="E36" s="118"/>
      <c r="F36" s="26"/>
      <c r="G36" s="115"/>
      <c r="H36" s="118"/>
      <c r="I36" s="115"/>
      <c r="J36" s="118"/>
    </row>
    <row r="37" spans="1:14" s="7" customFormat="1" ht="24.95" customHeight="1" thickBot="1">
      <c r="A37" s="119"/>
      <c r="B37" s="92"/>
      <c r="C37" s="91"/>
      <c r="D37" s="92"/>
      <c r="E37" s="92"/>
      <c r="F37" s="91"/>
      <c r="G37" s="92"/>
      <c r="H37" s="92"/>
      <c r="I37" s="92"/>
      <c r="J37" s="92"/>
    </row>
    <row r="38" spans="1:14" s="5" customFormat="1" ht="18" customHeight="1">
      <c r="A38" s="100" t="s">
        <v>78</v>
      </c>
      <c r="B38" s="101"/>
      <c r="C38" s="101"/>
      <c r="D38" s="101"/>
      <c r="E38" s="102" t="s">
        <v>79</v>
      </c>
      <c r="F38" s="103"/>
      <c r="G38" s="27" t="s">
        <v>80</v>
      </c>
      <c r="H38" s="104" t="s">
        <v>81</v>
      </c>
      <c r="I38" s="105"/>
      <c r="J38" s="28" t="s">
        <v>82</v>
      </c>
    </row>
    <row r="39" spans="1:14" s="7" customFormat="1" ht="18" customHeight="1">
      <c r="A39" s="106" t="str">
        <f>_xlfn.XLOOKUP(B3,[1]VFDB2!A:A,[1]VFDB2!B:B)</f>
        <v>灯具カバーPC IN 2090　L=840</v>
      </c>
      <c r="B39" s="107"/>
      <c r="C39" s="107"/>
      <c r="D39" s="107"/>
      <c r="E39" s="110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灯具-2　L＝1996</v>
      </c>
      <c r="F39" s="111"/>
      <c r="G39" s="112" cm="1">
        <f t="array" ref="G39">IFERROR(IF(ISBLANK(INDEX(_xlfn._xlws.FILTER([1]加工記録２!$C$3:$C$999991, [1]加工記録２!$T$3:$T$999991=B5), 7)), " ", INDEX(_xlfn._xlws.FILTER([1]加工記録２!$C$3:$C$999991, [1]加工記録２!$T$3:$T$999991=B5), 7))," ")</f>
        <v>5.5</v>
      </c>
      <c r="H39" s="29" t="s">
        <v>83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45981</v>
      </c>
      <c r="J39" s="31">
        <v>10</v>
      </c>
    </row>
    <row r="40" spans="1:14" s="5" customFormat="1" ht="18" customHeight="1">
      <c r="A40" s="108"/>
      <c r="B40" s="109"/>
      <c r="C40" s="109"/>
      <c r="D40" s="109"/>
      <c r="E40" s="110"/>
      <c r="F40" s="111"/>
      <c r="G40" s="112"/>
      <c r="H40" s="29" t="s">
        <v>84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176</v>
      </c>
      <c r="J40" s="33">
        <v>26</v>
      </c>
      <c r="K40" s="34"/>
    </row>
    <row r="41" spans="1:14" s="7" customFormat="1" ht="18" customHeight="1">
      <c r="A41" s="113" t="s">
        <v>85</v>
      </c>
      <c r="B41" s="138" t="str">
        <f>_xlfn.XLOOKUP(B3,[1]VFDB2!A:A,[1]VFDB2!J:J)</f>
        <v>-</v>
      </c>
      <c r="C41" s="133" t="s">
        <v>86</v>
      </c>
      <c r="D41" s="135">
        <f>_xlfn.XLOOKUP(B3,[1]VFDB2!A:A,[1]VFDB2!P:P)</f>
        <v>1</v>
      </c>
      <c r="E41" s="110" t="str">
        <f>_xlfn.XLOOKUP(B3,[1]VFDB2!A:A,[1]VFDB2!V:V)</f>
        <v>梱包:1996(840×2)</v>
      </c>
      <c r="F41" s="111"/>
      <c r="G41" s="137"/>
      <c r="H41" s="35" t="s">
        <v>87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212</v>
      </c>
      <c r="J41" s="36" t="str">
        <v/>
      </c>
      <c r="K41" s="37"/>
    </row>
    <row r="42" spans="1:14" s="5" customFormat="1" ht="18" customHeight="1">
      <c r="A42" s="114"/>
      <c r="B42" s="139"/>
      <c r="C42" s="134"/>
      <c r="D42" s="136"/>
      <c r="E42" s="110"/>
      <c r="F42" s="111"/>
      <c r="G42" s="137"/>
      <c r="H42" s="35" t="s">
        <v>88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36</v>
      </c>
      <c r="J42" s="38" t="str">
        <v/>
      </c>
      <c r="K42" s="34"/>
    </row>
    <row r="43" spans="1:14" s="7" customFormat="1" ht="18" customHeight="1">
      <c r="A43" s="142" t="s">
        <v>89</v>
      </c>
      <c r="B43" s="144">
        <f>D3</f>
        <v>840</v>
      </c>
      <c r="C43" s="155" t="s">
        <v>90</v>
      </c>
      <c r="D43" s="157" t="str">
        <f>_xlfn.XLOOKUP(B3,[1]VFDB2!A:A,[1]VFDB2!L:L)</f>
        <v>+2</v>
      </c>
      <c r="E43" s="110" t="str">
        <f>_xlfn.XLOOKUP(B3,[1]VFDB2!A:A,[1]VFDB2!W:W)</f>
        <v>クラフト紙：1996型　1/2</v>
      </c>
      <c r="F43" s="111"/>
      <c r="G43" s="137"/>
      <c r="H43" s="35" t="s">
        <v>91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36</v>
      </c>
      <c r="J43" s="39" t="str">
        <v/>
      </c>
      <c r="K43" s="37"/>
    </row>
    <row r="44" spans="1:14" s="5" customFormat="1" ht="18" customHeight="1">
      <c r="A44" s="143"/>
      <c r="B44" s="145"/>
      <c r="C44" s="156"/>
      <c r="D44" s="158"/>
      <c r="E44" s="110"/>
      <c r="F44" s="111"/>
      <c r="G44" s="137"/>
      <c r="H44" s="35" t="s">
        <v>92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113" t="s">
        <v>93</v>
      </c>
      <c r="B45" s="147" t="str">
        <f>_xlfn.XLOOKUP(B3,[1]VFDB2!A:A,[1]VFDB2!AC:AC)</f>
        <v>換算表確認</v>
      </c>
      <c r="C45" s="159" t="s">
        <v>94</v>
      </c>
      <c r="D45" s="157">
        <f>_xlfn.XLOOKUP(B3,[1]VFDB2!A:A,[1]VFDB2!K:K)</f>
        <v>-2</v>
      </c>
      <c r="E45" s="110" t="str">
        <f>_xlfn.XLOOKUP(B3,[1]VFDB2!A:A,[1]VFDB2!R:R)</f>
        <v>ラベル２枚　長手有　鉢巻無</v>
      </c>
      <c r="F45" s="111"/>
      <c r="G45" s="137"/>
      <c r="H45" s="35" t="s">
        <v>95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-</v>
      </c>
      <c r="J45" s="41" t="str">
        <v/>
      </c>
      <c r="K45" s="37"/>
    </row>
    <row r="46" spans="1:14" s="5" customFormat="1" ht="18" customHeight="1" thickBot="1">
      <c r="A46" s="146"/>
      <c r="B46" s="148"/>
      <c r="C46" s="160"/>
      <c r="D46" s="161"/>
      <c r="E46" s="162"/>
      <c r="F46" s="163"/>
      <c r="G46" s="164"/>
      <c r="H46" s="42" t="s">
        <v>96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T</v>
      </c>
      <c r="J46" s="44">
        <v>36</v>
      </c>
    </row>
    <row r="47" spans="1:14" s="55" customFormat="1" ht="18.95" customHeight="1">
      <c r="A47" s="45" t="s">
        <v>97</v>
      </c>
      <c r="B47" s="46" t="s">
        <v>98</v>
      </c>
      <c r="C47" s="47" t="s">
        <v>99</v>
      </c>
      <c r="D47" s="47" t="s">
        <v>100</v>
      </c>
      <c r="E47" s="48" t="s">
        <v>101</v>
      </c>
      <c r="F47" s="49" t="s">
        <v>102</v>
      </c>
      <c r="G47" s="50" t="s">
        <v>103</v>
      </c>
      <c r="H47" s="51" t="s">
        <v>104</v>
      </c>
      <c r="I47" s="52" t="s">
        <v>105</v>
      </c>
      <c r="J47" s="53" t="s">
        <v>106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>45938</v>
      </c>
      <c r="B48" s="57" t="str">
        <v>25I24-01</v>
      </c>
      <c r="C48" s="58" t="str">
        <v/>
      </c>
      <c r="D48" s="58" t="str">
        <v/>
      </c>
      <c r="E48" s="59" t="str">
        <v/>
      </c>
      <c r="F48" s="60" t="str">
        <v>25I24-01</v>
      </c>
      <c r="G48" s="61">
        <v>15</v>
      </c>
      <c r="H48" s="62">
        <v>15</v>
      </c>
      <c r="I48" s="63">
        <v>45981</v>
      </c>
      <c r="J48" s="64">
        <v>11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45950</v>
      </c>
      <c r="B49" s="68" t="str">
        <v>25J02-01</v>
      </c>
      <c r="C49" s="68" t="str">
        <v/>
      </c>
      <c r="D49" s="68" t="str">
        <v/>
      </c>
      <c r="E49" s="69" t="str">
        <v/>
      </c>
      <c r="F49" s="70" t="str">
        <v>25J02-01</v>
      </c>
      <c r="G49" s="71">
        <v>197</v>
      </c>
      <c r="H49" s="72">
        <v>197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t="str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/>
      </c>
      <c r="B50" s="68" t="str">
        <v/>
      </c>
      <c r="C50" s="68" t="str">
        <v/>
      </c>
      <c r="D50" s="68" t="str">
        <v/>
      </c>
      <c r="E50" s="69" t="str">
        <v/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15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1" t="s">
        <v>0</v>
      </c>
      <c r="C58" s="89"/>
      <c r="D58" s="89"/>
      <c r="E58" s="11"/>
      <c r="F58" s="11"/>
      <c r="G58" s="11"/>
      <c r="H58" s="11"/>
      <c r="I58" s="11"/>
      <c r="J58" s="11"/>
    </row>
    <row r="59" spans="1:14" ht="14.25" customHeight="1">
      <c r="A59" s="12"/>
      <c r="B59" s="89"/>
      <c r="C59" s="89"/>
      <c r="D59" s="89"/>
      <c r="E59" s="12"/>
      <c r="F59" s="12"/>
      <c r="G59" s="12"/>
      <c r="H59" s="12"/>
      <c r="I59" s="12"/>
      <c r="J59" s="12"/>
    </row>
    <row r="60" spans="1:14" ht="14.25" customHeight="1">
      <c r="A60" s="93" t="s">
        <v>1</v>
      </c>
      <c r="B60" s="93" t="s">
        <v>59</v>
      </c>
      <c r="C60" s="93" t="s">
        <v>3</v>
      </c>
      <c r="D60" s="140">
        <v>908</v>
      </c>
      <c r="E60" s="93" t="s">
        <v>4</v>
      </c>
      <c r="F60" s="149" t="s">
        <v>60</v>
      </c>
      <c r="G60" s="89"/>
      <c r="H60" s="122"/>
      <c r="I60" s="13" t="s">
        <v>6</v>
      </c>
      <c r="J60" s="13" t="s">
        <v>7</v>
      </c>
    </row>
    <row r="61" spans="1:14" ht="14.25" customHeight="1">
      <c r="A61" s="89"/>
      <c r="B61" s="89"/>
      <c r="C61" s="89"/>
      <c r="D61" s="89"/>
      <c r="E61" s="89"/>
      <c r="F61" s="89"/>
      <c r="G61" s="89"/>
      <c r="H61" s="122"/>
      <c r="I61" s="129"/>
      <c r="J61" s="129"/>
    </row>
    <row r="62" spans="1:14" ht="17.45" customHeight="1">
      <c r="A62" s="88" t="s">
        <v>8</v>
      </c>
      <c r="B62" s="88" t="s">
        <v>61</v>
      </c>
      <c r="E62" s="88" t="s">
        <v>10</v>
      </c>
      <c r="F62" s="121" t="s">
        <v>11</v>
      </c>
      <c r="G62" s="89"/>
      <c r="H62" s="122"/>
      <c r="I62" s="130"/>
      <c r="J62" s="130"/>
    </row>
    <row r="63" spans="1:14" ht="17.45" customHeight="1">
      <c r="A63" s="89"/>
      <c r="B63" s="89"/>
      <c r="E63" s="89"/>
      <c r="F63" s="89"/>
      <c r="G63" s="89"/>
      <c r="H63" s="122"/>
      <c r="I63" s="14"/>
      <c r="J63" s="14"/>
    </row>
    <row r="64" spans="1:14" ht="17.45" customHeight="1">
      <c r="A64" s="88" t="s">
        <v>12</v>
      </c>
      <c r="B64" s="88" t="s">
        <v>62</v>
      </c>
      <c r="E64" s="2" t="s">
        <v>14</v>
      </c>
      <c r="F64" s="141" t="s">
        <v>15</v>
      </c>
      <c r="G64" s="89"/>
      <c r="H64" s="21"/>
    </row>
    <row r="65" spans="1:10" ht="17.45" customHeight="1">
      <c r="A65" s="89"/>
      <c r="B65" s="89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45965</v>
      </c>
      <c r="E66" s="2" t="s">
        <v>19</v>
      </c>
      <c r="F66" s="90">
        <v>16</v>
      </c>
      <c r="G66" s="89"/>
      <c r="H66" s="21"/>
    </row>
    <row r="67" spans="1:10" ht="17.45" customHeight="1">
      <c r="A67" s="2" t="s">
        <v>20</v>
      </c>
      <c r="B67" s="4">
        <v>45965</v>
      </c>
      <c r="E67" s="2" t="s">
        <v>21</v>
      </c>
      <c r="F67" s="21">
        <v>12</v>
      </c>
      <c r="G67" s="125" t="s">
        <v>22</v>
      </c>
      <c r="H67" s="94">
        <v>192</v>
      </c>
      <c r="I67" s="95"/>
      <c r="J67" s="96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97"/>
      <c r="H68" s="97"/>
      <c r="I68" s="98"/>
      <c r="J68" s="99"/>
    </row>
    <row r="69" spans="1:10" ht="13.5" customHeight="1">
      <c r="A69" s="120" t="s">
        <v>63</v>
      </c>
      <c r="B69" s="89"/>
      <c r="C69" s="89"/>
      <c r="D69" s="20"/>
      <c r="F69" s="3"/>
      <c r="G69" s="131" t="s">
        <v>26</v>
      </c>
      <c r="H69" s="152" t="s">
        <v>27</v>
      </c>
      <c r="I69" s="127" t="s">
        <v>28</v>
      </c>
      <c r="J69" s="122"/>
    </row>
    <row r="70" spans="1:10" ht="13.5" customHeight="1">
      <c r="A70" s="89"/>
      <c r="B70" s="89"/>
      <c r="C70" s="89"/>
      <c r="D70" s="20"/>
      <c r="F70" s="3"/>
      <c r="G70" s="132"/>
      <c r="H70" s="132"/>
      <c r="I70" s="98"/>
      <c r="J70" s="99"/>
    </row>
    <row r="71" spans="1:10" ht="13.5" customHeight="1">
      <c r="A71" s="1" t="s">
        <v>29</v>
      </c>
    </row>
    <row r="72" spans="1:10" ht="63" customHeight="1">
      <c r="A72" s="153"/>
      <c r="B72" s="154"/>
      <c r="C72" s="154"/>
      <c r="D72" s="154"/>
      <c r="E72" s="154"/>
      <c r="F72" s="154"/>
      <c r="G72" s="154"/>
      <c r="H72" s="154"/>
      <c r="I72" s="154"/>
      <c r="J72" s="154"/>
    </row>
    <row r="73" spans="1:10" ht="18.75">
      <c r="A73" s="23" t="s">
        <v>30</v>
      </c>
      <c r="B73" s="16" t="s">
        <v>31</v>
      </c>
      <c r="C73" s="128" t="s">
        <v>32</v>
      </c>
      <c r="D73" s="124"/>
      <c r="E73" s="16" t="s">
        <v>33</v>
      </c>
      <c r="F73" s="128" t="s">
        <v>34</v>
      </c>
      <c r="G73" s="124"/>
      <c r="H73" s="124"/>
      <c r="I73" s="123" t="s">
        <v>35</v>
      </c>
      <c r="J73" s="12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1" t="s">
        <v>37</v>
      </c>
      <c r="D75" s="89"/>
      <c r="E75" s="24" t="s">
        <v>38</v>
      </c>
      <c r="F75" s="91" t="s">
        <v>39</v>
      </c>
      <c r="G75" s="89"/>
      <c r="H75" s="89"/>
      <c r="I75" s="126"/>
      <c r="J75" s="89"/>
    </row>
    <row r="76" spans="1:10" ht="16.5" customHeight="1">
      <c r="A76" s="22">
        <v>1</v>
      </c>
      <c r="B76" s="25" t="s">
        <v>36</v>
      </c>
      <c r="C76" s="91" t="s">
        <v>37</v>
      </c>
      <c r="D76" s="89"/>
      <c r="E76" s="24" t="s">
        <v>40</v>
      </c>
      <c r="F76" s="91" t="s">
        <v>41</v>
      </c>
      <c r="G76" s="89"/>
      <c r="H76" s="89"/>
      <c r="I76" s="126"/>
      <c r="J76" s="89"/>
    </row>
    <row r="77" spans="1:10" ht="16.5" customHeight="1">
      <c r="A77" s="22"/>
      <c r="B77" s="25"/>
      <c r="C77" s="91"/>
      <c r="D77" s="89"/>
      <c r="E77" s="24"/>
      <c r="F77" s="91"/>
      <c r="G77" s="89"/>
      <c r="H77" s="89"/>
      <c r="I77" s="126"/>
      <c r="J77" s="89"/>
    </row>
    <row r="78" spans="1:10" ht="16.5" customHeight="1">
      <c r="A78" s="22"/>
      <c r="B78" s="25"/>
      <c r="C78" s="91"/>
      <c r="D78" s="89"/>
      <c r="E78" s="24"/>
      <c r="F78" s="91"/>
      <c r="G78" s="89"/>
      <c r="H78" s="89"/>
      <c r="I78" s="126"/>
      <c r="J78" s="89"/>
    </row>
    <row r="79" spans="1:10" ht="16.5" customHeight="1">
      <c r="A79" s="22"/>
      <c r="B79" s="25"/>
      <c r="C79" s="91"/>
      <c r="D79" s="89"/>
      <c r="E79" s="24"/>
      <c r="F79" s="91"/>
      <c r="G79" s="89"/>
      <c r="H79" s="89"/>
      <c r="I79" s="126"/>
      <c r="J79" s="89"/>
    </row>
    <row r="80" spans="1:10" ht="16.5" customHeight="1">
      <c r="A80" s="22"/>
      <c r="B80" s="25"/>
      <c r="C80" s="91"/>
      <c r="D80" s="89"/>
      <c r="E80" s="24"/>
      <c r="F80" s="91"/>
      <c r="G80" s="89"/>
      <c r="H80" s="89"/>
      <c r="I80" s="126"/>
      <c r="J80" s="89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6" t="s">
        <v>42</v>
      </c>
      <c r="B82" s="117"/>
      <c r="C82" s="116" t="s">
        <v>43</v>
      </c>
      <c r="D82" s="117"/>
      <c r="E82" s="117"/>
      <c r="F82" s="17" t="s">
        <v>44</v>
      </c>
      <c r="G82" s="116" t="s">
        <v>45</v>
      </c>
      <c r="H82" s="117"/>
      <c r="I82" s="116" t="s">
        <v>46</v>
      </c>
      <c r="J82" s="117"/>
    </row>
    <row r="83" spans="1:10" ht="14.25" customHeight="1">
      <c r="A83" s="8"/>
      <c r="B83" s="18"/>
      <c r="C83" s="150" t="s">
        <v>47</v>
      </c>
      <c r="D83" s="98"/>
      <c r="E83" s="18"/>
      <c r="F83" s="150" t="s">
        <v>29</v>
      </c>
      <c r="G83" s="98"/>
      <c r="H83" s="98"/>
      <c r="I83" s="98"/>
      <c r="J83" s="98"/>
    </row>
    <row r="84" spans="1:10">
      <c r="A84" s="9"/>
      <c r="C84" s="7"/>
      <c r="D84" s="7"/>
      <c r="E84" s="7"/>
    </row>
    <row r="85" spans="1:10" ht="14.25" customHeight="1">
      <c r="A85" s="91" t="s">
        <v>64</v>
      </c>
      <c r="B85" s="89"/>
      <c r="C85" s="91" t="s">
        <v>65</v>
      </c>
      <c r="D85" s="89"/>
      <c r="E85" s="89"/>
      <c r="F85" s="26" t="s">
        <v>50</v>
      </c>
      <c r="G85" s="115">
        <v>192</v>
      </c>
      <c r="H85" s="89"/>
      <c r="I85" s="115">
        <v>12</v>
      </c>
      <c r="J85" s="89"/>
    </row>
    <row r="86" spans="1:10" ht="24.95" customHeight="1">
      <c r="A86" s="119" t="s">
        <v>66</v>
      </c>
      <c r="B86" s="89"/>
      <c r="C86" s="91" t="s">
        <v>11</v>
      </c>
      <c r="D86" s="89"/>
      <c r="E86" s="89"/>
      <c r="F86" s="91"/>
      <c r="G86" s="89"/>
      <c r="H86" s="89"/>
      <c r="I86" s="89"/>
      <c r="J86" s="89"/>
    </row>
    <row r="87" spans="1:10" ht="14.25" customHeight="1">
      <c r="A87" s="91" t="s">
        <v>67</v>
      </c>
      <c r="B87" s="89"/>
      <c r="C87" s="91" t="s">
        <v>68</v>
      </c>
      <c r="D87" s="89"/>
      <c r="E87" s="89"/>
      <c r="F87" s="26" t="s">
        <v>27</v>
      </c>
      <c r="G87" s="115">
        <v>12.096</v>
      </c>
      <c r="H87" s="89"/>
      <c r="I87" s="115">
        <v>0.75600000000000001</v>
      </c>
      <c r="J87" s="89"/>
    </row>
    <row r="88" spans="1:10" ht="24.95" customHeight="1">
      <c r="A88" s="119" t="s">
        <v>69</v>
      </c>
      <c r="B88" s="89"/>
      <c r="C88" s="91"/>
      <c r="D88" s="89"/>
      <c r="E88" s="89"/>
      <c r="F88" s="91"/>
      <c r="G88" s="89"/>
      <c r="H88" s="89"/>
      <c r="I88" s="89"/>
      <c r="J88" s="89"/>
    </row>
    <row r="89" spans="1:10" ht="14.25" customHeight="1">
      <c r="A89" s="91" t="s">
        <v>55</v>
      </c>
      <c r="B89" s="89"/>
      <c r="C89" s="91" t="s">
        <v>56</v>
      </c>
      <c r="D89" s="89"/>
      <c r="E89" s="89"/>
      <c r="F89" s="26"/>
      <c r="G89" s="115">
        <v>0.57599999999999996</v>
      </c>
      <c r="H89" s="89"/>
      <c r="I89" s="115">
        <v>3.5999999999999997E-2</v>
      </c>
      <c r="J89" s="89"/>
    </row>
    <row r="90" spans="1:10" ht="24.95" customHeight="1">
      <c r="A90" s="119" t="s">
        <v>57</v>
      </c>
      <c r="B90" s="89"/>
      <c r="C90" s="91" t="s">
        <v>58</v>
      </c>
      <c r="D90" s="89"/>
      <c r="E90" s="89"/>
      <c r="F90" s="91"/>
      <c r="G90" s="89"/>
      <c r="H90" s="89"/>
      <c r="I90" s="89"/>
      <c r="J90" s="89"/>
    </row>
    <row r="91" spans="1:10" ht="14.25" customHeight="1">
      <c r="A91" s="91"/>
      <c r="B91" s="89"/>
      <c r="C91" s="91"/>
      <c r="D91" s="89"/>
      <c r="E91" s="89"/>
      <c r="F91" s="26"/>
      <c r="G91" s="115"/>
      <c r="H91" s="89"/>
      <c r="I91" s="115"/>
      <c r="J91" s="89"/>
    </row>
    <row r="92" spans="1:10" ht="24.95" customHeight="1">
      <c r="A92" s="119"/>
      <c r="B92" s="89"/>
      <c r="C92" s="91"/>
      <c r="D92" s="89"/>
      <c r="E92" s="89"/>
      <c r="F92" s="91"/>
      <c r="G92" s="89"/>
      <c r="H92" s="89"/>
      <c r="I92" s="89"/>
      <c r="J92" s="89"/>
    </row>
    <row r="93" spans="1:10" ht="14.25" customHeight="1">
      <c r="A93" s="91"/>
      <c r="B93" s="89"/>
      <c r="C93" s="91"/>
      <c r="D93" s="89"/>
      <c r="E93" s="89"/>
      <c r="F93" s="26"/>
      <c r="G93" s="115"/>
      <c r="H93" s="89"/>
      <c r="I93" s="115"/>
      <c r="J93" s="89"/>
    </row>
    <row r="94" spans="1:10" ht="24.95" customHeight="1" thickBot="1">
      <c r="A94" s="119"/>
      <c r="B94" s="89"/>
      <c r="C94" s="91"/>
      <c r="D94" s="89"/>
      <c r="E94" s="89"/>
      <c r="F94" s="91"/>
      <c r="G94" s="89"/>
      <c r="H94" s="89"/>
      <c r="I94" s="89"/>
      <c r="J94" s="89"/>
    </row>
    <row r="95" spans="1:10" s="5" customFormat="1" ht="18" customHeight="1">
      <c r="A95" s="100" t="s">
        <v>78</v>
      </c>
      <c r="B95" s="101"/>
      <c r="C95" s="101"/>
      <c r="D95" s="101"/>
      <c r="E95" s="102" t="s">
        <v>79</v>
      </c>
      <c r="F95" s="103"/>
      <c r="G95" s="27" t="s">
        <v>80</v>
      </c>
      <c r="H95" s="104" t="s">
        <v>81</v>
      </c>
      <c r="I95" s="105"/>
      <c r="J95" s="28" t="s">
        <v>82</v>
      </c>
    </row>
    <row r="96" spans="1:10" s="7" customFormat="1" ht="18" customHeight="1">
      <c r="A96" s="106" t="str">
        <f>_xlfn.XLOOKUP(B60,[1]VFDB2!A:A,[1]VFDB2!B:B)</f>
        <v>灯具カバーPC IN 2130　L=908</v>
      </c>
      <c r="B96" s="107"/>
      <c r="C96" s="107"/>
      <c r="D96" s="107"/>
      <c r="E96" s="110" t="str" cm="1">
        <f t="array" ref="E96">IFERROR(IF(ISBLANK(INDEX(_xlfn._xlws.FILTER([1]加工記録２!$C$3:$C$999991, [1]加工記録２!$T$3:$T$999991=B62), 6)), "", INDEX(_xlfn._xlws.FILTER([1]加工記録２!$C$3:$C$999991, [1]加工記録２!$T$3:$T$999991=B62), 6)),"")</f>
        <v>灯具-1　L=1370</v>
      </c>
      <c r="F96" s="111"/>
      <c r="G96" s="112" cm="1">
        <f t="array" ref="G96">IFERROR(IF(ISBLANK(INDEX(_xlfn._xlws.FILTER([1]加工記録２!$C$3:$C$999991, [1]加工記録２!$T$3:$T$999991=B62), 7)), " ", INDEX(_xlfn._xlws.FILTER([1]加工記録２!$C$3:$C$999991, [1]加工記録２!$T$3:$T$999991=B62), 7))," ")</f>
        <v>11</v>
      </c>
      <c r="H96" s="29" t="s">
        <v>83</v>
      </c>
      <c r="I96" s="30" cm="1">
        <f t="array" ref="I96:J96">IFERROR(IF(ISBLANK(INDEX(_xlfn._xlws.FILTER([1]加工記録２!$O$3:$P$999991, [1]加工記録２!$T$3:$T$999991=B62), 1)), "", INDEX(_xlfn._xlws.FILTER([1]加工記録２!$O$3:$P$999991, [1]加工記録２!$T$3:$T$999991=B62), 1)),"")</f>
        <v>45855</v>
      </c>
      <c r="J96" s="31">
        <v>11</v>
      </c>
    </row>
    <row r="97" spans="1:14" s="5" customFormat="1" ht="18" customHeight="1">
      <c r="A97" s="108"/>
      <c r="B97" s="109"/>
      <c r="C97" s="109"/>
      <c r="D97" s="109"/>
      <c r="E97" s="110"/>
      <c r="F97" s="111"/>
      <c r="G97" s="112"/>
      <c r="H97" s="29" t="s">
        <v>84</v>
      </c>
      <c r="I97" s="32" cm="1">
        <f t="array" ref="I97:J97">IFERROR(IF(ISBLANK(INDEX(_xlfn._xlws.FILTER([1]加工記録２!$O$3:$P$999991, [1]加工記録２!$T$3:$T$999991=B62), 2)), "", INDEX(_xlfn._xlws.FILTER([1]加工記録２!$O$3:$P$999991, [1]加工記録２!$T$3:$T$999991=B62), 2)),"")</f>
        <v>176</v>
      </c>
      <c r="J97" s="33">
        <v>20</v>
      </c>
      <c r="K97" s="34"/>
    </row>
    <row r="98" spans="1:14" s="7" customFormat="1" ht="18" customHeight="1">
      <c r="A98" s="113" t="s">
        <v>85</v>
      </c>
      <c r="B98" s="138" t="str">
        <f>_xlfn.XLOOKUP(B60,[1]VFDB2!A:A,[1]VFDB2!J:J)</f>
        <v>-</v>
      </c>
      <c r="C98" s="133" t="s">
        <v>86</v>
      </c>
      <c r="D98" s="135">
        <f>_xlfn.XLOOKUP(B60,[1]VFDB2!A:A,[1]VFDB2!P:P)</f>
        <v>1</v>
      </c>
      <c r="E98" s="110" t="str">
        <f>_xlfn.XLOOKUP(B60,[1]VFDB2!A:A,[1]VFDB2!V:V)</f>
        <v>梱包:1370(切詰)</v>
      </c>
      <c r="F98" s="111"/>
      <c r="G98" s="137"/>
      <c r="H98" s="35" t="s">
        <v>87</v>
      </c>
      <c r="I98" s="32" cm="1">
        <f t="array" ref="I98:J98">IFERROR(IF(ISBLANK(INDEX(_xlfn._xlws.FILTER([1]加工記録２!$O$3:$P$999991, [1]加工記録２!$T$3:$T$999991=B62), 3)), "", INDEX(_xlfn._xlws.FILTER([1]加工記録２!$O$3:$P$999991, [1]加工記録２!$T$3:$T$999991=B62), 3)),"")</f>
        <v>207</v>
      </c>
      <c r="J98" s="36" t="str">
        <v/>
      </c>
      <c r="K98" s="37"/>
    </row>
    <row r="99" spans="1:14" s="5" customFormat="1" ht="18" customHeight="1">
      <c r="A99" s="114"/>
      <c r="B99" s="139"/>
      <c r="C99" s="134"/>
      <c r="D99" s="136"/>
      <c r="E99" s="110"/>
      <c r="F99" s="111"/>
      <c r="G99" s="137"/>
      <c r="H99" s="35" t="s">
        <v>88</v>
      </c>
      <c r="I99" s="32" cm="1">
        <f t="array" ref="I99:J99">IFERROR(IF(ISBLANK(INDEX(_xlfn._xlws.FILTER([1]加工記録２!$O$3:$P$999991, [1]加工記録２!$T$3:$T$999991=B62), 4)), "", INDEX(_xlfn._xlws.FILTER([1]加工記録２!$O$3:$P$999991, [1]加工記録２!$T$3:$T$999991=B62), 4)),"")</f>
        <v>31</v>
      </c>
      <c r="J99" s="38" t="str">
        <v/>
      </c>
      <c r="K99" s="34"/>
    </row>
    <row r="100" spans="1:14" s="7" customFormat="1" ht="18" customHeight="1">
      <c r="A100" s="142" t="s">
        <v>89</v>
      </c>
      <c r="B100" s="144">
        <f>D60</f>
        <v>908</v>
      </c>
      <c r="C100" s="155" t="s">
        <v>90</v>
      </c>
      <c r="D100" s="157" t="str">
        <f>_xlfn.XLOOKUP(B60,[1]VFDB2!A:A,[1]VFDB2!L:L)</f>
        <v>+2</v>
      </c>
      <c r="E100" s="110" t="str">
        <f>_xlfn.XLOOKUP(B60,[1]VFDB2!A:A,[1]VFDB2!W:W)</f>
        <v>クラフト紙：1996型　1/2</v>
      </c>
      <c r="F100" s="111"/>
      <c r="G100" s="137"/>
      <c r="H100" s="35" t="s">
        <v>91</v>
      </c>
      <c r="I100" s="32" cm="1">
        <f t="array" ref="I100:J100">IFERROR(IF(ISBLANK(INDEX(_xlfn._xlws.FILTER([1]加工記録２!$O$3:$P$999991, [1]加工記録２!$T$3:$T$999991=B62), 5)), "", INDEX(_xlfn._xlws.FILTER([1]加工記録２!$O$3:$P$999991, [1]加工記録２!$T$3:$T$999991=B62), 5)),"")</f>
        <v>31</v>
      </c>
      <c r="J100" s="39" t="str">
        <v/>
      </c>
      <c r="K100" s="37"/>
    </row>
    <row r="101" spans="1:14" s="5" customFormat="1" ht="18" customHeight="1">
      <c r="A101" s="143"/>
      <c r="B101" s="145"/>
      <c r="C101" s="156"/>
      <c r="D101" s="158"/>
      <c r="E101" s="110"/>
      <c r="F101" s="111"/>
      <c r="G101" s="137"/>
      <c r="H101" s="35" t="s">
        <v>92</v>
      </c>
      <c r="I101" s="32" cm="1">
        <f t="array" ref="I101:J101">IFERROR(IF(ISBLANK(INDEX(_xlfn._xlws.FILTER([1]加工記録２!$O$3:$P$999991, [1]加工記録２!$T$3:$T$999991=B62), 6)), "", INDEX(_xlfn._xlws.FILTER([1]加工記録２!$O$3:$P$999991, [1]加工記録２!$T$3:$T$999991=B62), 6)),"")</f>
        <v>0</v>
      </c>
      <c r="J101" s="40" t="str">
        <v/>
      </c>
      <c r="K101" s="34"/>
    </row>
    <row r="102" spans="1:14" s="7" customFormat="1" ht="18" customHeight="1">
      <c r="A102" s="113" t="s">
        <v>93</v>
      </c>
      <c r="B102" s="147" t="str">
        <f>_xlfn.XLOOKUP(B60,[1]VFDB2!A:A,[1]VFDB2!AC:AC)</f>
        <v>換算表確認</v>
      </c>
      <c r="C102" s="159" t="s">
        <v>94</v>
      </c>
      <c r="D102" s="157">
        <f>_xlfn.XLOOKUP(B60,[1]VFDB2!A:A,[1]VFDB2!K:K)</f>
        <v>-2</v>
      </c>
      <c r="E102" s="110" t="str">
        <f>_xlfn.XLOOKUP(B60,[1]VFDB2!A:A,[1]VFDB2!R:R)</f>
        <v>ラベル２枚　長手有　鉢巻無</v>
      </c>
      <c r="F102" s="111"/>
      <c r="G102" s="137"/>
      <c r="H102" s="35" t="s">
        <v>95</v>
      </c>
      <c r="I102" s="32" t="str" cm="1">
        <f t="array" ref="I102:J102">IFERROR(IF(ISBLANK(INDEX(_xlfn._xlws.FILTER([1]加工記録２!$O$3:$P$999991, [1]加工記録２!$T$3:$T$999991=B62), 7)), "", INDEX(_xlfn._xlws.FILTER([1]加工記録２!$O$3:$P$999991, [1]加工記録２!$T$3:$T$999991=B62), 7)),"")</f>
        <v>-</v>
      </c>
      <c r="J102" s="41" t="str">
        <v/>
      </c>
      <c r="K102" s="37"/>
    </row>
    <row r="103" spans="1:14" s="5" customFormat="1" ht="18" customHeight="1" thickBot="1">
      <c r="A103" s="146"/>
      <c r="B103" s="148"/>
      <c r="C103" s="160"/>
      <c r="D103" s="161"/>
      <c r="E103" s="162"/>
      <c r="F103" s="163"/>
      <c r="G103" s="164"/>
      <c r="H103" s="42" t="s">
        <v>96</v>
      </c>
      <c r="I103" s="43" t="str" cm="1">
        <f t="array" ref="I103:J103">IFERROR(IF(ISBLANK(INDEX(_xlfn._xlws.FILTER([1]加工記録２!$O$3:$P$999991, [1]加工記録２!$T$3:$T$999991=B62), 8)), "", INDEX(_xlfn._xlws.FILTER([1]加工記録２!$O$3:$P$999991, [1]加工記録２!$T$3:$T$999991=B62), 8)),"")</f>
        <v>T/C</v>
      </c>
      <c r="J103" s="44">
        <v>31</v>
      </c>
    </row>
    <row r="104" spans="1:14" s="55" customFormat="1" ht="18.95" customHeight="1">
      <c r="A104" s="45" t="s">
        <v>97</v>
      </c>
      <c r="B104" s="46" t="s">
        <v>98</v>
      </c>
      <c r="C104" s="47" t="s">
        <v>99</v>
      </c>
      <c r="D104" s="47" t="s">
        <v>100</v>
      </c>
      <c r="E104" s="48" t="s">
        <v>101</v>
      </c>
      <c r="F104" s="49" t="s">
        <v>102</v>
      </c>
      <c r="G104" s="50" t="s">
        <v>103</v>
      </c>
      <c r="H104" s="51" t="s">
        <v>104</v>
      </c>
      <c r="I104" s="52" t="s">
        <v>105</v>
      </c>
      <c r="J104" s="53" t="s">
        <v>106</v>
      </c>
      <c r="K104" s="54"/>
      <c r="L104" s="54"/>
      <c r="M104" s="54"/>
      <c r="N104" s="54"/>
    </row>
    <row r="105" spans="1:14" s="66" customFormat="1" ht="18.95" customHeight="1">
      <c r="A105" s="56" cm="1">
        <f t="array" ref="A105:J105">IFERROR(IF(ISBLANK(INDEX(_xlfn._xlws.FILTER([1]加工記録２!$D$3:$M$999991, [1]加工記録２!$T$3:$T$999991=B62), 1)), "", INDEX(_xlfn._xlws.FILTER([1]加工記録２!$D$3:$M$999991, [1]加工記録２!$T$3:$T$999991=B62), 1)),"")</f>
        <v>45889</v>
      </c>
      <c r="B105" s="57" t="str">
        <v>25G30-01</v>
      </c>
      <c r="C105" s="58" t="str">
        <v/>
      </c>
      <c r="D105" s="58" t="str">
        <v/>
      </c>
      <c r="E105" s="59" t="str">
        <v/>
      </c>
      <c r="F105" s="60" t="str">
        <v>25G30-01</v>
      </c>
      <c r="G105" s="61">
        <v>1</v>
      </c>
      <c r="H105" s="62">
        <v>1</v>
      </c>
      <c r="I105" s="63">
        <v>45855</v>
      </c>
      <c r="J105" s="64">
        <v>11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IFERROR(IF(ISBLANK(INDEX(_xlfn._xlws.FILTER([1]加工記録２!$D$3:$M$999991, [1]加工記録２!$T$3:$T$999991=B62), 2)), "", INDEX(_xlfn._xlws.FILTER([1]加工記録２!$D$3:$M$999991, [1]加工記録２!$T$3:$T$999991=B62), 2)),"")</f>
        <v>45939</v>
      </c>
      <c r="B106" s="68" t="str">
        <v>25I25-01</v>
      </c>
      <c r="C106" s="68" t="str">
        <v/>
      </c>
      <c r="D106" s="68" t="str">
        <v/>
      </c>
      <c r="E106" s="69" t="str">
        <v/>
      </c>
      <c r="F106" s="70" t="str">
        <v>25I25-01</v>
      </c>
      <c r="G106" s="71">
        <v>6</v>
      </c>
      <c r="H106" s="72">
        <v>6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IFERROR(IF(ISBLANK(INDEX(_xlfn._xlws.FILTER([1]加工記録２!$D$3:$M$999991, [1]加工記録２!$T$3:$T$999991=B62), 3)), "", INDEX(_xlfn._xlws.FILTER([1]加工記録２!$D$3:$M$999991, [1]加工記録２!$T$3:$T$999991=B62), 3)),"")</f>
        <v>45947</v>
      </c>
      <c r="B107" s="68" t="str">
        <v>25J02-01</v>
      </c>
      <c r="C107" s="68" t="str">
        <v/>
      </c>
      <c r="D107" s="68" t="str">
        <v/>
      </c>
      <c r="E107" s="69" t="str">
        <v/>
      </c>
      <c r="F107" s="70" t="str">
        <v>25J02-01</v>
      </c>
      <c r="G107" s="71">
        <v>200</v>
      </c>
      <c r="H107" s="72">
        <v>200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IFERROR(IF(ISBLANK(INDEX(_xlfn._xlws.FILTER([1]加工記録２!$D$3:$M$999991, [1]加工記録２!$T$3:$T$999991=B62), 4)), "", INDEX(_xlfn._xlws.FILTER([1]加工記録２!$D$3:$M$999991, [1]加工記録２!$T$3:$T$999991=B62),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IFERROR(IF(ISBLANK(INDEX(_xlfn._xlws.FILTER([1]加工記録２!$D$3:$M$999991, [1]加工記録２!$T$3:$T$999991=B62), 5)), "", INDEX(_xlfn._xlws.FILTER([1]加工記録２!$D$3:$M$999991, [1]加工記録２!$T$3:$T$999991=B62),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IFERROR(IF(ISBLANK(INDEX(_xlfn._xlws.FILTER([1]加工記録２!$D$3:$M$999991, [1]加工記録２!$T$3:$T$999991=B62), 6)), "", INDEX(_xlfn._xlws.FILTER([1]加工記録２!$D$3:$M$999991, [1]加工記録２!$T$3:$T$999991=B62),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>
        <v>1</v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IFERROR(IF(ISBLANK(INDEX(_xlfn._xlws.FILTER([1]加工記録２!$D$3:$M$999991, [1]加工記録２!$T$3:$T$999991=B62), 7)), "", INDEX(_xlfn._xlws.FILTER([1]加工記録２!$D$3:$M$999991, [1]加工記録２!$T$3:$T$999991=B62),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IFERROR(IF(ISBLANK(INDEX(_xlfn._xlws.FILTER([1]加工記録２!$D$3:$M$999991, [1]加工記録２!$T$3:$T$999991=B62), 8)), "", INDEX(_xlfn._xlws.FILTER([1]加工記録２!$D$3:$M$999991, [1]加工記録２!$T$3:$T$999991=B62),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1" t="s">
        <v>0</v>
      </c>
      <c r="C115" s="89"/>
      <c r="D115" s="89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9"/>
      <c r="C116" s="89"/>
      <c r="D116" s="89"/>
      <c r="E116" s="12"/>
      <c r="F116" s="12"/>
      <c r="G116" s="12"/>
      <c r="H116" s="12"/>
      <c r="I116" s="12"/>
      <c r="J116" s="12"/>
    </row>
    <row r="117" spans="1:10" ht="14.25" customHeight="1">
      <c r="A117" s="93" t="s">
        <v>1</v>
      </c>
      <c r="B117" s="93" t="s">
        <v>70</v>
      </c>
      <c r="C117" s="93" t="s">
        <v>3</v>
      </c>
      <c r="D117" s="140">
        <v>1183</v>
      </c>
      <c r="E117" s="93" t="s">
        <v>4</v>
      </c>
      <c r="F117" s="149" t="s">
        <v>71</v>
      </c>
      <c r="G117" s="89"/>
      <c r="H117" s="122"/>
      <c r="I117" s="13" t="s">
        <v>6</v>
      </c>
      <c r="J117" s="13" t="s">
        <v>7</v>
      </c>
    </row>
    <row r="118" spans="1:10" ht="14.25" customHeight="1">
      <c r="A118" s="89"/>
      <c r="B118" s="89"/>
      <c r="C118" s="89"/>
      <c r="D118" s="89"/>
      <c r="E118" s="89"/>
      <c r="F118" s="89"/>
      <c r="G118" s="89"/>
      <c r="H118" s="122"/>
      <c r="I118" s="129"/>
      <c r="J118" s="129"/>
    </row>
    <row r="119" spans="1:10" ht="17.45" customHeight="1">
      <c r="A119" s="88" t="s">
        <v>8</v>
      </c>
      <c r="B119" s="88" t="s">
        <v>72</v>
      </c>
      <c r="E119" s="88" t="s">
        <v>10</v>
      </c>
      <c r="F119" s="121" t="s">
        <v>11</v>
      </c>
      <c r="G119" s="89"/>
      <c r="H119" s="122"/>
      <c r="I119" s="130"/>
      <c r="J119" s="130"/>
    </row>
    <row r="120" spans="1:10" ht="17.45" customHeight="1">
      <c r="A120" s="89"/>
      <c r="B120" s="89"/>
      <c r="E120" s="89"/>
      <c r="F120" s="89"/>
      <c r="G120" s="89"/>
      <c r="H120" s="122"/>
      <c r="I120" s="14"/>
      <c r="J120" s="14"/>
    </row>
    <row r="121" spans="1:10" ht="17.45" customHeight="1">
      <c r="A121" s="88" t="s">
        <v>12</v>
      </c>
      <c r="B121" s="88" t="s">
        <v>73</v>
      </c>
      <c r="E121" s="2" t="s">
        <v>14</v>
      </c>
      <c r="F121" s="141" t="s">
        <v>15</v>
      </c>
      <c r="G121" s="89"/>
      <c r="H121" s="21"/>
    </row>
    <row r="122" spans="1:10" ht="17.45" customHeight="1">
      <c r="A122" s="89"/>
      <c r="B122" s="89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45965</v>
      </c>
      <c r="E123" s="2" t="s">
        <v>19</v>
      </c>
      <c r="F123" s="90">
        <v>16</v>
      </c>
      <c r="G123" s="89"/>
      <c r="H123" s="21"/>
    </row>
    <row r="124" spans="1:10" ht="17.45" customHeight="1">
      <c r="A124" s="2" t="s">
        <v>20</v>
      </c>
      <c r="B124" s="4">
        <v>45965</v>
      </c>
      <c r="E124" s="2" t="s">
        <v>21</v>
      </c>
      <c r="F124" s="21">
        <v>12</v>
      </c>
      <c r="G124" s="125" t="s">
        <v>22</v>
      </c>
      <c r="H124" s="94">
        <v>192</v>
      </c>
      <c r="I124" s="95"/>
      <c r="J124" s="96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97"/>
      <c r="H125" s="97"/>
      <c r="I125" s="98"/>
      <c r="J125" s="99"/>
    </row>
    <row r="126" spans="1:10" ht="13.5" customHeight="1">
      <c r="A126" s="120" t="s">
        <v>74</v>
      </c>
      <c r="B126" s="89"/>
      <c r="C126" s="89"/>
      <c r="D126" s="20"/>
      <c r="F126" s="3"/>
      <c r="G126" s="131" t="s">
        <v>26</v>
      </c>
      <c r="H126" s="152" t="s">
        <v>27</v>
      </c>
      <c r="I126" s="127" t="s">
        <v>28</v>
      </c>
      <c r="J126" s="122"/>
    </row>
    <row r="127" spans="1:10" ht="13.5" customHeight="1">
      <c r="A127" s="89"/>
      <c r="B127" s="89"/>
      <c r="C127" s="89"/>
      <c r="D127" s="20"/>
      <c r="F127" s="3"/>
      <c r="G127" s="132"/>
      <c r="H127" s="132"/>
      <c r="I127" s="98"/>
      <c r="J127" s="99"/>
    </row>
    <row r="128" spans="1:10" ht="13.5" customHeight="1">
      <c r="A128" s="1" t="s">
        <v>29</v>
      </c>
    </row>
    <row r="129" spans="1:10" ht="63" customHeight="1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</row>
    <row r="130" spans="1:10" ht="18.75">
      <c r="A130" s="23" t="s">
        <v>30</v>
      </c>
      <c r="B130" s="16" t="s">
        <v>31</v>
      </c>
      <c r="C130" s="128" t="s">
        <v>32</v>
      </c>
      <c r="D130" s="124"/>
      <c r="E130" s="16" t="s">
        <v>33</v>
      </c>
      <c r="F130" s="128" t="s">
        <v>34</v>
      </c>
      <c r="G130" s="124"/>
      <c r="H130" s="124"/>
      <c r="I130" s="123" t="s">
        <v>35</v>
      </c>
      <c r="J130" s="12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91" t="s">
        <v>37</v>
      </c>
      <c r="D132" s="89"/>
      <c r="E132" s="24" t="s">
        <v>38</v>
      </c>
      <c r="F132" s="91" t="s">
        <v>39</v>
      </c>
      <c r="G132" s="89"/>
      <c r="H132" s="89"/>
      <c r="I132" s="126"/>
      <c r="J132" s="89"/>
    </row>
    <row r="133" spans="1:10" ht="16.5" customHeight="1">
      <c r="A133" s="22">
        <v>1</v>
      </c>
      <c r="B133" s="25" t="s">
        <v>36</v>
      </c>
      <c r="C133" s="91" t="s">
        <v>37</v>
      </c>
      <c r="D133" s="89"/>
      <c r="E133" s="24" t="s">
        <v>40</v>
      </c>
      <c r="F133" s="91" t="s">
        <v>41</v>
      </c>
      <c r="G133" s="89"/>
      <c r="H133" s="89"/>
      <c r="I133" s="126"/>
      <c r="J133" s="89"/>
    </row>
    <row r="134" spans="1:10" ht="16.5" customHeight="1">
      <c r="A134" s="22"/>
      <c r="B134" s="25"/>
      <c r="C134" s="91"/>
      <c r="D134" s="89"/>
      <c r="E134" s="24"/>
      <c r="F134" s="91"/>
      <c r="G134" s="89"/>
      <c r="H134" s="89"/>
      <c r="I134" s="126"/>
      <c r="J134" s="89"/>
    </row>
    <row r="135" spans="1:10" ht="16.5" customHeight="1">
      <c r="A135" s="22"/>
      <c r="B135" s="25"/>
      <c r="C135" s="91"/>
      <c r="D135" s="89"/>
      <c r="E135" s="24"/>
      <c r="F135" s="91"/>
      <c r="G135" s="89"/>
      <c r="H135" s="89"/>
      <c r="I135" s="126"/>
      <c r="J135" s="89"/>
    </row>
    <row r="136" spans="1:10" ht="16.5" customHeight="1">
      <c r="A136" s="22"/>
      <c r="B136" s="25"/>
      <c r="C136" s="91"/>
      <c r="D136" s="89"/>
      <c r="E136" s="24"/>
      <c r="F136" s="91"/>
      <c r="G136" s="89"/>
      <c r="H136" s="89"/>
      <c r="I136" s="126"/>
      <c r="J136" s="89"/>
    </row>
    <row r="137" spans="1:10" ht="16.5" customHeight="1">
      <c r="A137" s="22"/>
      <c r="B137" s="25"/>
      <c r="C137" s="91"/>
      <c r="D137" s="89"/>
      <c r="E137" s="24"/>
      <c r="F137" s="91"/>
      <c r="G137" s="89"/>
      <c r="H137" s="89"/>
      <c r="I137" s="126"/>
      <c r="J137" s="89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6" t="s">
        <v>42</v>
      </c>
      <c r="B139" s="117"/>
      <c r="C139" s="116" t="s">
        <v>43</v>
      </c>
      <c r="D139" s="117"/>
      <c r="E139" s="117"/>
      <c r="F139" s="17" t="s">
        <v>44</v>
      </c>
      <c r="G139" s="116" t="s">
        <v>45</v>
      </c>
      <c r="H139" s="117"/>
      <c r="I139" s="116" t="s">
        <v>46</v>
      </c>
      <c r="J139" s="117"/>
    </row>
    <row r="140" spans="1:10" ht="14.25" customHeight="1">
      <c r="A140" s="8"/>
      <c r="B140" s="18"/>
      <c r="C140" s="150" t="s">
        <v>47</v>
      </c>
      <c r="D140" s="98"/>
      <c r="E140" s="18"/>
      <c r="F140" s="150" t="s">
        <v>29</v>
      </c>
      <c r="G140" s="98"/>
      <c r="H140" s="98"/>
      <c r="I140" s="98"/>
      <c r="J140" s="98"/>
    </row>
    <row r="141" spans="1:10">
      <c r="A141" s="9"/>
      <c r="C141" s="7"/>
      <c r="D141" s="7"/>
      <c r="E141" s="7"/>
    </row>
    <row r="142" spans="1:10" ht="14.25" customHeight="1">
      <c r="A142" s="91" t="s">
        <v>75</v>
      </c>
      <c r="B142" s="89"/>
      <c r="C142" s="91" t="s">
        <v>76</v>
      </c>
      <c r="D142" s="89"/>
      <c r="E142" s="89"/>
      <c r="F142" s="26" t="s">
        <v>50</v>
      </c>
      <c r="G142" s="115">
        <v>192</v>
      </c>
      <c r="H142" s="89"/>
      <c r="I142" s="115">
        <v>12</v>
      </c>
      <c r="J142" s="89"/>
    </row>
    <row r="143" spans="1:10" ht="24.95" customHeight="1">
      <c r="A143" s="119" t="s">
        <v>77</v>
      </c>
      <c r="B143" s="89"/>
      <c r="C143" s="91" t="s">
        <v>11</v>
      </c>
      <c r="D143" s="89"/>
      <c r="E143" s="89"/>
      <c r="F143" s="91"/>
      <c r="G143" s="89"/>
      <c r="H143" s="89"/>
      <c r="I143" s="89"/>
      <c r="J143" s="89"/>
    </row>
    <row r="144" spans="1:10" ht="14.25" customHeight="1">
      <c r="A144" s="91" t="s">
        <v>67</v>
      </c>
      <c r="B144" s="89"/>
      <c r="C144" s="91" t="s">
        <v>68</v>
      </c>
      <c r="D144" s="89"/>
      <c r="E144" s="89"/>
      <c r="F144" s="26" t="s">
        <v>27</v>
      </c>
      <c r="G144" s="115">
        <v>12.096</v>
      </c>
      <c r="H144" s="89"/>
      <c r="I144" s="115">
        <v>0.75600000000000001</v>
      </c>
      <c r="J144" s="89"/>
    </row>
    <row r="145" spans="1:11" ht="24.95" customHeight="1">
      <c r="A145" s="119" t="s">
        <v>69</v>
      </c>
      <c r="B145" s="89"/>
      <c r="C145" s="91"/>
      <c r="D145" s="89"/>
      <c r="E145" s="89"/>
      <c r="F145" s="91"/>
      <c r="G145" s="89"/>
      <c r="H145" s="89"/>
      <c r="I145" s="89"/>
      <c r="J145" s="89"/>
    </row>
    <row r="146" spans="1:11" ht="14.25" customHeight="1">
      <c r="A146" s="91" t="s">
        <v>55</v>
      </c>
      <c r="B146" s="89"/>
      <c r="C146" s="91" t="s">
        <v>56</v>
      </c>
      <c r="D146" s="89"/>
      <c r="E146" s="89"/>
      <c r="F146" s="26"/>
      <c r="G146" s="115">
        <v>0.76800000000000002</v>
      </c>
      <c r="H146" s="89"/>
      <c r="I146" s="115">
        <v>4.8000000000000001E-2</v>
      </c>
      <c r="J146" s="89"/>
    </row>
    <row r="147" spans="1:11" ht="24.95" customHeight="1">
      <c r="A147" s="119" t="s">
        <v>57</v>
      </c>
      <c r="B147" s="89"/>
      <c r="C147" s="91" t="s">
        <v>58</v>
      </c>
      <c r="D147" s="89"/>
      <c r="E147" s="89"/>
      <c r="F147" s="91"/>
      <c r="G147" s="89"/>
      <c r="H147" s="89"/>
      <c r="I147" s="89"/>
      <c r="J147" s="89"/>
    </row>
    <row r="148" spans="1:11" ht="14.25" customHeight="1">
      <c r="A148" s="91"/>
      <c r="B148" s="89"/>
      <c r="C148" s="91"/>
      <c r="D148" s="89"/>
      <c r="E148" s="89"/>
      <c r="F148" s="26"/>
      <c r="G148" s="115"/>
      <c r="H148" s="89"/>
      <c r="I148" s="115"/>
      <c r="J148" s="89"/>
    </row>
    <row r="149" spans="1:11" ht="24.95" customHeight="1">
      <c r="A149" s="119"/>
      <c r="B149" s="89"/>
      <c r="C149" s="91"/>
      <c r="D149" s="89"/>
      <c r="E149" s="89"/>
      <c r="F149" s="91"/>
      <c r="G149" s="89"/>
      <c r="H149" s="89"/>
      <c r="I149" s="89"/>
      <c r="J149" s="89"/>
    </row>
    <row r="150" spans="1:11" ht="14.25" customHeight="1">
      <c r="A150" s="91"/>
      <c r="B150" s="89"/>
      <c r="C150" s="91"/>
      <c r="D150" s="89"/>
      <c r="E150" s="89"/>
      <c r="F150" s="26"/>
      <c r="G150" s="115"/>
      <c r="H150" s="89"/>
      <c r="I150" s="115"/>
      <c r="J150" s="89"/>
    </row>
    <row r="151" spans="1:11" ht="24.95" customHeight="1" thickBot="1">
      <c r="A151" s="119"/>
      <c r="B151" s="89"/>
      <c r="C151" s="91"/>
      <c r="D151" s="89"/>
      <c r="E151" s="89"/>
      <c r="F151" s="91"/>
      <c r="G151" s="89"/>
      <c r="H151" s="89"/>
      <c r="I151" s="89"/>
      <c r="J151" s="89"/>
    </row>
    <row r="152" spans="1:11" s="5" customFormat="1" ht="18" customHeight="1">
      <c r="A152" s="100" t="s">
        <v>78</v>
      </c>
      <c r="B152" s="101"/>
      <c r="C152" s="101"/>
      <c r="D152" s="101"/>
      <c r="E152" s="102" t="s">
        <v>79</v>
      </c>
      <c r="F152" s="103"/>
      <c r="G152" s="27" t="s">
        <v>80</v>
      </c>
      <c r="H152" s="104" t="s">
        <v>81</v>
      </c>
      <c r="I152" s="105"/>
      <c r="J152" s="28" t="s">
        <v>82</v>
      </c>
    </row>
    <row r="153" spans="1:11" s="7" customFormat="1" ht="18" customHeight="1">
      <c r="A153" s="106" t="str">
        <f>_xlfn.XLOOKUP(B117,[1]VFDB2!A:A,[1]VFDB2!B:B)</f>
        <v>灯具カバーPC IN 2050　L=1183.5</v>
      </c>
      <c r="B153" s="107"/>
      <c r="C153" s="107"/>
      <c r="D153" s="107"/>
      <c r="E153" s="110" t="str" cm="1">
        <f t="array" ref="E153">IFERROR(IF(ISBLANK(INDEX(_xlfn._xlws.FILTER([1]加工記録２!$C$3:$C$999991, [1]加工記録２!$T$3:$T$999991=B119), 6)), "", INDEX(_xlfn._xlws.FILTER([1]加工記録２!$C$3:$C$999991, [1]加工記録２!$T$3:$T$999991=B119), 6)),"")</f>
        <v>灯具-1　L=1370</v>
      </c>
      <c r="F153" s="111"/>
      <c r="G153" s="112" cm="1">
        <f t="array" ref="G153">IFERROR(IF(ISBLANK(INDEX(_xlfn._xlws.FILTER([1]加工記録２!$C$3:$C$999991, [1]加工記録２!$T$3:$T$999991=B119), 7)), " ", INDEX(_xlfn._xlws.FILTER([1]加工記録２!$C$3:$C$999991, [1]加工記録２!$T$3:$T$999991=B119), 7))," ")</f>
        <v>0</v>
      </c>
      <c r="H153" s="29" t="s">
        <v>83</v>
      </c>
      <c r="I153" s="30" cm="1">
        <f t="array" ref="I153:J153">IFERROR(IF(ISBLANK(INDEX(_xlfn._xlws.FILTER([1]加工記録２!$O$3:$P$999991, [1]加工記録２!$T$3:$T$999991=B119), 1)), "", INDEX(_xlfn._xlws.FILTER([1]加工記録２!$O$3:$P$999991, [1]加工記録２!$T$3:$T$999991=B119), 1)),"")</f>
        <v>0</v>
      </c>
      <c r="J153" s="31">
        <v>25</v>
      </c>
    </row>
    <row r="154" spans="1:11" s="5" customFormat="1" ht="18" customHeight="1">
      <c r="A154" s="108"/>
      <c r="B154" s="109"/>
      <c r="C154" s="109"/>
      <c r="D154" s="109"/>
      <c r="E154" s="110"/>
      <c r="F154" s="111"/>
      <c r="G154" s="112"/>
      <c r="H154" s="29" t="s">
        <v>84</v>
      </c>
      <c r="I154" s="32" cm="1">
        <f t="array" ref="I154:J154">IFERROR(IF(ISBLANK(INDEX(_xlfn._xlws.FILTER([1]加工記録２!$O$3:$P$999991, [1]加工記録２!$T$3:$T$999991=B119), 2)), "", INDEX(_xlfn._xlws.FILTER([1]加工記録２!$O$3:$P$999991, [1]加工記録２!$T$3:$T$999991=B119), 2)),"")</f>
        <v>128</v>
      </c>
      <c r="J154" s="33">
        <v>16</v>
      </c>
      <c r="K154" s="34"/>
    </row>
    <row r="155" spans="1:11" s="7" customFormat="1" ht="18" customHeight="1">
      <c r="A155" s="113" t="s">
        <v>85</v>
      </c>
      <c r="B155" s="138" t="str">
        <f>_xlfn.XLOOKUP(B117,[1]VFDB2!A:A,[1]VFDB2!J:J)</f>
        <v>-</v>
      </c>
      <c r="C155" s="133" t="s">
        <v>86</v>
      </c>
      <c r="D155" s="135">
        <f>_xlfn.XLOOKUP(B117,[1]VFDB2!A:A,[1]VFDB2!P:P)</f>
        <v>1</v>
      </c>
      <c r="E155" s="110" t="str">
        <f>_xlfn.XLOOKUP(B117,[1]VFDB2!A:A,[1]VFDB2!V:V)</f>
        <v>梱包箱:1370　隙間埋め</v>
      </c>
      <c r="F155" s="111"/>
      <c r="G155" s="137"/>
      <c r="H155" s="35" t="s">
        <v>87</v>
      </c>
      <c r="I155" s="32" cm="1">
        <f t="array" ref="I155:J155">IFERROR(IF(ISBLANK(INDEX(_xlfn._xlws.FILTER([1]加工記録２!$O$3:$P$999991, [1]加工記録２!$T$3:$T$999991=B119), 3)), "", INDEX(_xlfn._xlws.FILTER([1]加工記録２!$O$3:$P$999991, [1]加工記録２!$T$3:$T$999991=B119), 3)),"")</f>
        <v>193</v>
      </c>
      <c r="J155" s="36" t="str">
        <v/>
      </c>
      <c r="K155" s="37"/>
    </row>
    <row r="156" spans="1:11" s="5" customFormat="1" ht="18" customHeight="1">
      <c r="A156" s="114"/>
      <c r="B156" s="139"/>
      <c r="C156" s="134"/>
      <c r="D156" s="136"/>
      <c r="E156" s="110"/>
      <c r="F156" s="111"/>
      <c r="G156" s="137"/>
      <c r="H156" s="35" t="s">
        <v>88</v>
      </c>
      <c r="I156" s="32" cm="1">
        <f t="array" ref="I156:J156">IFERROR(IF(ISBLANK(INDEX(_xlfn._xlws.FILTER([1]加工記録２!$O$3:$P$999991, [1]加工記録２!$T$3:$T$999991=B119), 4)), "", INDEX(_xlfn._xlws.FILTER([1]加工記録２!$O$3:$P$999991, [1]加工記録２!$T$3:$T$999991=B119), 4)),"")</f>
        <v>65</v>
      </c>
      <c r="J156" s="38" t="str">
        <v/>
      </c>
      <c r="K156" s="34"/>
    </row>
    <row r="157" spans="1:11" s="7" customFormat="1" ht="18" customHeight="1">
      <c r="A157" s="142" t="s">
        <v>89</v>
      </c>
      <c r="B157" s="144">
        <f>D117</f>
        <v>1183</v>
      </c>
      <c r="C157" s="155" t="s">
        <v>90</v>
      </c>
      <c r="D157" s="157" t="str">
        <f>_xlfn.XLOOKUP(B117,[1]VFDB2!A:A,[1]VFDB2!L:L)</f>
        <v>+2</v>
      </c>
      <c r="E157" s="110" t="str">
        <f>_xlfn.XLOOKUP(B117,[1]VFDB2!A:A,[1]VFDB2!W:W)</f>
        <v>クラフト紙：1370型</v>
      </c>
      <c r="F157" s="111"/>
      <c r="G157" s="137"/>
      <c r="H157" s="35" t="s">
        <v>91</v>
      </c>
      <c r="I157" s="32" cm="1">
        <f t="array" ref="I157:J157">IFERROR(IF(ISBLANK(INDEX(_xlfn._xlws.FILTER([1]加工記録２!$O$3:$P$999991, [1]加工記録２!$T$3:$T$999991=B119), 5)), "", INDEX(_xlfn._xlws.FILTER([1]加工記録２!$O$3:$P$999991, [1]加工記録２!$T$3:$T$999991=B119), 5)),"")</f>
        <v>65</v>
      </c>
      <c r="J157" s="39" t="str">
        <v/>
      </c>
      <c r="K157" s="37"/>
    </row>
    <row r="158" spans="1:11" s="5" customFormat="1" ht="18" customHeight="1">
      <c r="A158" s="143"/>
      <c r="B158" s="145"/>
      <c r="C158" s="156"/>
      <c r="D158" s="158"/>
      <c r="E158" s="110"/>
      <c r="F158" s="111"/>
      <c r="G158" s="137"/>
      <c r="H158" s="35" t="s">
        <v>92</v>
      </c>
      <c r="I158" s="32" cm="1">
        <f t="array" ref="I158:J158">IFERROR(IF(ISBLANK(INDEX(_xlfn._xlws.FILTER([1]加工記録２!$O$3:$P$999991, [1]加工記録２!$T$3:$T$999991=B119), 6)), "", INDEX(_xlfn._xlws.FILTER([1]加工記録２!$O$3:$P$999991, [1]加工記録２!$T$3:$T$999991=B119), 6)),"")</f>
        <v>0</v>
      </c>
      <c r="J158" s="40" t="str">
        <v/>
      </c>
      <c r="K158" s="34"/>
    </row>
    <row r="159" spans="1:11" s="7" customFormat="1" ht="18" customHeight="1">
      <c r="A159" s="113" t="s">
        <v>93</v>
      </c>
      <c r="B159" s="147" t="str">
        <f>_xlfn.XLOOKUP(B117,[1]VFDB2!A:A,[1]VFDB2!AC:AC)</f>
        <v>換算表確認</v>
      </c>
      <c r="C159" s="159" t="s">
        <v>94</v>
      </c>
      <c r="D159" s="157">
        <f>_xlfn.XLOOKUP(B117,[1]VFDB2!A:A,[1]VFDB2!K:K)</f>
        <v>-2</v>
      </c>
      <c r="E159" s="110" t="str">
        <f>_xlfn.XLOOKUP(B117,[1]VFDB2!A:A,[1]VFDB2!R:R)</f>
        <v>ラベル2枚　長手有　鉢巻１</v>
      </c>
      <c r="F159" s="111"/>
      <c r="G159" s="137"/>
      <c r="H159" s="35" t="s">
        <v>95</v>
      </c>
      <c r="I159" s="32" t="str" cm="1">
        <f t="array" ref="I159:J159">IFERROR(IF(ISBLANK(INDEX(_xlfn._xlws.FILTER([1]加工記録２!$O$3:$P$999991, [1]加工記録２!$T$3:$T$999991=B119), 7)), "", INDEX(_xlfn._xlws.FILTER([1]加工記録２!$O$3:$P$999991, [1]加工記録２!$T$3:$T$999991=B119), 7)),"")</f>
        <v>-</v>
      </c>
      <c r="J159" s="41">
        <v>24</v>
      </c>
      <c r="K159" s="37"/>
    </row>
    <row r="160" spans="1:11" s="5" customFormat="1" ht="18" customHeight="1" thickBot="1">
      <c r="A160" s="146"/>
      <c r="B160" s="148"/>
      <c r="C160" s="160"/>
      <c r="D160" s="161"/>
      <c r="E160" s="162"/>
      <c r="F160" s="163"/>
      <c r="G160" s="164"/>
      <c r="H160" s="42" t="s">
        <v>96</v>
      </c>
      <c r="I160" s="43" t="str" cm="1">
        <f t="array" ref="I160:J160">IFERROR(IF(ISBLANK(INDEX(_xlfn._xlws.FILTER([1]加工記録２!$O$3:$P$999991, [1]加工記録２!$T$3:$T$999991=B119), 8)), "", INDEX(_xlfn._xlws.FILTER([1]加工記録２!$O$3:$P$999991, [1]加工記録２!$T$3:$T$999991=B119), 8)),"")</f>
        <v>T/C</v>
      </c>
      <c r="J160" s="44">
        <v>65</v>
      </c>
    </row>
    <row r="161" spans="1:14" s="55" customFormat="1" ht="18.95" customHeight="1">
      <c r="A161" s="45" t="s">
        <v>97</v>
      </c>
      <c r="B161" s="46" t="s">
        <v>98</v>
      </c>
      <c r="C161" s="47" t="s">
        <v>99</v>
      </c>
      <c r="D161" s="47" t="s">
        <v>100</v>
      </c>
      <c r="E161" s="48" t="s">
        <v>101</v>
      </c>
      <c r="F161" s="49" t="s">
        <v>102</v>
      </c>
      <c r="G161" s="50" t="s">
        <v>103</v>
      </c>
      <c r="H161" s="51" t="s">
        <v>104</v>
      </c>
      <c r="I161" s="52" t="s">
        <v>105</v>
      </c>
      <c r="J161" s="53" t="s">
        <v>106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IFERROR(IF(ISBLANK(INDEX(_xlfn._xlws.FILTER([1]加工記録２!$D$3:$M$999991, [1]加工記録２!$T$3:$T$999991=B119), 1)), "", INDEX(_xlfn._xlws.FILTER([1]加工記録２!$D$3:$M$999991, [1]加工記録２!$T$3:$T$999991=B119), 1)),"")</f>
        <v>45939</v>
      </c>
      <c r="B162" s="57" t="str">
        <v>25I26-01</v>
      </c>
      <c r="C162" s="58" t="str">
        <v/>
      </c>
      <c r="D162" s="58" t="str">
        <v/>
      </c>
      <c r="E162" s="59" t="str">
        <v/>
      </c>
      <c r="F162" s="60" t="str">
        <v>25I26-01</v>
      </c>
      <c r="G162" s="61">
        <v>2</v>
      </c>
      <c r="H162" s="62">
        <v>2</v>
      </c>
      <c r="I162" s="63" t="str">
        <v/>
      </c>
      <c r="J162" s="64" t="str">
        <v/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IFERROR(IF(ISBLANK(INDEX(_xlfn._xlws.FILTER([1]加工記録２!$D$3:$M$999991, [1]加工記録２!$T$3:$T$999991=B119), 2)), "", INDEX(_xlfn._xlws.FILTER([1]加工記録２!$D$3:$M$999991, [1]加工記録２!$T$3:$T$999991=B119), 2)),"")</f>
        <v>45954</v>
      </c>
      <c r="B163" s="68" t="str">
        <v>25J02-01</v>
      </c>
      <c r="C163" s="68" t="str">
        <v/>
      </c>
      <c r="D163" s="68" t="str">
        <v/>
      </c>
      <c r="E163" s="69" t="str">
        <v/>
      </c>
      <c r="F163" s="70" t="str">
        <v>25J02-01</v>
      </c>
      <c r="G163" s="71">
        <v>191</v>
      </c>
      <c r="H163" s="72">
        <v>191</v>
      </c>
      <c r="I163" s="63" t="str">
        <v/>
      </c>
      <c r="J163" s="64" t="str">
        <v/>
      </c>
      <c r="K163" s="65"/>
      <c r="L163" s="65"/>
      <c r="M163" s="65"/>
      <c r="N163" s="65"/>
    </row>
    <row r="164" spans="1:14" s="66" customFormat="1" ht="18.95" customHeight="1">
      <c r="A164" s="67" t="str" cm="1">
        <f t="array" ref="A164:J164">IFERROR(IF(ISBLANK(INDEX(_xlfn._xlws.FILTER([1]加工記録２!$D$3:$M$999991, [1]加工記録２!$T$3:$T$999991=B119), 3)), "", INDEX(_xlfn._xlws.FILTER([1]加工記録２!$D$3:$M$999991, [1]加工記録２!$T$3:$T$999991=B119), 3)),"")</f>
        <v/>
      </c>
      <c r="B164" s="68" t="str">
        <v/>
      </c>
      <c r="C164" s="68" t="str">
        <v/>
      </c>
      <c r="D164" s="68" t="str">
        <v/>
      </c>
      <c r="E164" s="69" t="str">
        <v/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IFERROR(IF(ISBLANK(INDEX(_xlfn._xlws.FILTER([1]加工記録２!$D$3:$M$999991, [1]加工記録２!$T$3:$T$999991=B119), 4)), "", INDEX(_xlfn._xlws.FILTER([1]加工記録２!$D$3:$M$999991, [1]加工記録２!$T$3:$T$999991=B119),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IFERROR(IF(ISBLANK(INDEX(_xlfn._xlws.FILTER([1]加工記録２!$D$3:$M$999991, [1]加工記録２!$T$3:$T$999991=B119), 5)), "", INDEX(_xlfn._xlws.FILTER([1]加工記録２!$D$3:$M$999991, [1]加工記録２!$T$3:$T$999991=B119),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IFERROR(IF(ISBLANK(INDEX(_xlfn._xlws.FILTER([1]加工記録２!$D$3:$M$999991, [1]加工記録２!$T$3:$T$999991=B119), 6)), "", INDEX(_xlfn._xlws.FILTER([1]加工記録２!$D$3:$M$999991, [1]加工記録２!$T$3:$T$999991=B119),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2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IFERROR(IF(ISBLANK(INDEX(_xlfn._xlws.FILTER([1]加工記録２!$D$3:$M$999991, [1]加工記録２!$T$3:$T$999991=B119), 7)), "", INDEX(_xlfn._xlws.FILTER([1]加工記録２!$D$3:$M$999991, [1]加工記録２!$T$3:$T$999991=B119),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IFERROR(IF(ISBLANK(INDEX(_xlfn._xlws.FILTER([1]加工記録２!$D$3:$M$999991, [1]加工記録２!$T$3:$T$999991=B119), 8)), "", INDEX(_xlfn._xlws.FILTER([1]加工記録２!$D$3:$M$999991, [1]加工記録２!$T$3:$T$999991=B119),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321"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  <mergeCell ref="A152:D152"/>
    <mergeCell ref="E152:F152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G39:G40"/>
    <mergeCell ref="A41:A42"/>
    <mergeCell ref="B41:B42"/>
    <mergeCell ref="C41:C42"/>
    <mergeCell ref="G148:H148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132:H132"/>
    <mergeCell ref="C87:E87"/>
    <mergeCell ref="C89:E89"/>
    <mergeCell ref="C88:E88"/>
    <mergeCell ref="A129:J129"/>
    <mergeCell ref="A142:B142"/>
    <mergeCell ref="A145:B145"/>
    <mergeCell ref="G12:G13"/>
    <mergeCell ref="A28:B28"/>
    <mergeCell ref="I30:J30"/>
    <mergeCell ref="A30:B30"/>
    <mergeCell ref="C94:E94"/>
    <mergeCell ref="C150:E150"/>
    <mergeCell ref="C144:E144"/>
    <mergeCell ref="C80:D80"/>
    <mergeCell ref="G87:H87"/>
    <mergeCell ref="I87:J87"/>
    <mergeCell ref="J118:J119"/>
    <mergeCell ref="C37:E37"/>
    <mergeCell ref="C26:D26"/>
    <mergeCell ref="G82:H82"/>
    <mergeCell ref="C134:D134"/>
    <mergeCell ref="F117:H118"/>
    <mergeCell ref="F29:J29"/>
    <mergeCell ref="I139:J139"/>
    <mergeCell ref="C146:E146"/>
    <mergeCell ref="A148:B148"/>
    <mergeCell ref="A15:J15"/>
    <mergeCell ref="F130:H130"/>
    <mergeCell ref="F66:G66"/>
    <mergeCell ref="E39:F40"/>
    <mergeCell ref="C18:D18"/>
    <mergeCell ref="A34:B34"/>
    <mergeCell ref="A143:B143"/>
    <mergeCell ref="G126:G127"/>
    <mergeCell ref="A36:B36"/>
    <mergeCell ref="B121:B122"/>
    <mergeCell ref="A72:J72"/>
    <mergeCell ref="I69:J70"/>
    <mergeCell ref="F133:H133"/>
    <mergeCell ref="F75:H75"/>
    <mergeCell ref="F135:H135"/>
    <mergeCell ref="C90:E90"/>
    <mergeCell ref="C139:E139"/>
    <mergeCell ref="C140:D140"/>
    <mergeCell ref="C82:E82"/>
    <mergeCell ref="C86:E86"/>
    <mergeCell ref="C100:C101"/>
    <mergeCell ref="D100:D101"/>
    <mergeCell ref="E100:G101"/>
    <mergeCell ref="C102:C103"/>
    <mergeCell ref="D102:D103"/>
    <mergeCell ref="E102:G103"/>
    <mergeCell ref="C77:D77"/>
    <mergeCell ref="C22:D22"/>
    <mergeCell ref="A3:A4"/>
    <mergeCell ref="F86:J86"/>
    <mergeCell ref="G146:H146"/>
    <mergeCell ref="I75:J75"/>
    <mergeCell ref="I146:J146"/>
    <mergeCell ref="A149:B149"/>
    <mergeCell ref="A5:A6"/>
    <mergeCell ref="A86:B86"/>
    <mergeCell ref="A144:B144"/>
    <mergeCell ref="A12:C13"/>
    <mergeCell ref="F19:H19"/>
    <mergeCell ref="H126:H127"/>
    <mergeCell ref="I78:J78"/>
    <mergeCell ref="I136:J136"/>
    <mergeCell ref="B117:B118"/>
    <mergeCell ref="B115:D116"/>
    <mergeCell ref="I25:J25"/>
    <mergeCell ref="F79:H79"/>
    <mergeCell ref="E60:E61"/>
    <mergeCell ref="C36:E36"/>
    <mergeCell ref="I118:I119"/>
    <mergeCell ref="D3:D4"/>
    <mergeCell ref="H12:H13"/>
    <mergeCell ref="I12:J13"/>
    <mergeCell ref="B1:D2"/>
    <mergeCell ref="I20:J20"/>
    <mergeCell ref="G85:H85"/>
    <mergeCell ref="A117:A118"/>
    <mergeCell ref="C143:E143"/>
    <mergeCell ref="A119:A120"/>
    <mergeCell ref="F147:J147"/>
    <mergeCell ref="B3:B4"/>
    <mergeCell ref="I80:J80"/>
    <mergeCell ref="A87:B87"/>
    <mergeCell ref="I144:J144"/>
    <mergeCell ref="H69:H70"/>
    <mergeCell ref="A89:B89"/>
    <mergeCell ref="B58:D59"/>
    <mergeCell ref="F140:J140"/>
    <mergeCell ref="F9:G9"/>
    <mergeCell ref="G36:H36"/>
    <mergeCell ref="I36:J36"/>
    <mergeCell ref="F136:H136"/>
    <mergeCell ref="C76:D76"/>
    <mergeCell ref="F78:H78"/>
    <mergeCell ref="F92:J92"/>
    <mergeCell ref="G91:H91"/>
    <mergeCell ref="F143:J143"/>
    <mergeCell ref="I150:J150"/>
    <mergeCell ref="F26:J26"/>
    <mergeCell ref="F90:J90"/>
    <mergeCell ref="A32:B32"/>
    <mergeCell ref="J61:J62"/>
    <mergeCell ref="I34:J34"/>
    <mergeCell ref="I89:J89"/>
    <mergeCell ref="F137:H137"/>
    <mergeCell ref="G150:H150"/>
    <mergeCell ref="I134:J134"/>
    <mergeCell ref="A37:B37"/>
    <mergeCell ref="C137:D137"/>
    <mergeCell ref="A92:B92"/>
    <mergeCell ref="A94:B94"/>
    <mergeCell ref="C28:E28"/>
    <mergeCell ref="A29:B29"/>
    <mergeCell ref="G30:H30"/>
    <mergeCell ref="C130:D130"/>
    <mergeCell ref="F73:H73"/>
    <mergeCell ref="I132:J132"/>
    <mergeCell ref="C135:D135"/>
    <mergeCell ref="I76:J76"/>
    <mergeCell ref="A90:B90"/>
    <mergeCell ref="C91:E91"/>
    <mergeCell ref="A151:B151"/>
    <mergeCell ref="A150:B150"/>
    <mergeCell ref="A62:A63"/>
    <mergeCell ref="A126:C127"/>
    <mergeCell ref="G144:H144"/>
    <mergeCell ref="I73:J73"/>
    <mergeCell ref="D60:D61"/>
    <mergeCell ref="A64:A65"/>
    <mergeCell ref="C19:D19"/>
    <mergeCell ref="F21:H21"/>
    <mergeCell ref="C25:E25"/>
    <mergeCell ref="C85:E85"/>
    <mergeCell ref="F35:J35"/>
    <mergeCell ref="C60:C61"/>
    <mergeCell ref="C132:D132"/>
    <mergeCell ref="C33:E33"/>
    <mergeCell ref="G25:H25"/>
    <mergeCell ref="C35:E35"/>
    <mergeCell ref="F64:G64"/>
    <mergeCell ref="G142:H142"/>
    <mergeCell ref="I142:J142"/>
    <mergeCell ref="C92:E92"/>
    <mergeCell ref="C30:E30"/>
    <mergeCell ref="I79:J79"/>
    <mergeCell ref="F3:H4"/>
    <mergeCell ref="F5:H6"/>
    <mergeCell ref="G89:H89"/>
    <mergeCell ref="F37:J37"/>
    <mergeCell ref="I21:J21"/>
    <mergeCell ref="C21:D21"/>
    <mergeCell ref="F80:H80"/>
    <mergeCell ref="C29:E29"/>
    <mergeCell ref="H10:J11"/>
    <mergeCell ref="I32:J32"/>
    <mergeCell ref="F83:J83"/>
    <mergeCell ref="I16:J16"/>
    <mergeCell ref="I18:J18"/>
    <mergeCell ref="C3:C4"/>
    <mergeCell ref="E3:E4"/>
    <mergeCell ref="E5:E6"/>
    <mergeCell ref="F7:G7"/>
    <mergeCell ref="I4:I5"/>
    <mergeCell ref="G10:G11"/>
    <mergeCell ref="J4:J5"/>
    <mergeCell ref="C83:D83"/>
    <mergeCell ref="C16:D16"/>
    <mergeCell ref="F31:J31"/>
    <mergeCell ref="C34:E34"/>
    <mergeCell ref="A7:A8"/>
    <mergeCell ref="A88:B88"/>
    <mergeCell ref="A85:B85"/>
    <mergeCell ref="B7:B8"/>
    <mergeCell ref="A100:A101"/>
    <mergeCell ref="B100:B101"/>
    <mergeCell ref="A102:A103"/>
    <mergeCell ref="B102:B103"/>
    <mergeCell ref="F23:H23"/>
    <mergeCell ref="C20:D20"/>
    <mergeCell ref="A31:B31"/>
    <mergeCell ref="C93:E93"/>
    <mergeCell ref="F18:H18"/>
    <mergeCell ref="F60:H61"/>
    <mergeCell ref="C79:D79"/>
    <mergeCell ref="C73:D73"/>
    <mergeCell ref="F22:H22"/>
    <mergeCell ref="F33:J33"/>
    <mergeCell ref="I23:J23"/>
    <mergeCell ref="C23:D23"/>
    <mergeCell ref="A38:D38"/>
    <mergeCell ref="E38:F38"/>
    <mergeCell ref="H38:I38"/>
    <mergeCell ref="A39:D40"/>
    <mergeCell ref="C98:C99"/>
    <mergeCell ref="D98:D99"/>
    <mergeCell ref="E98:G99"/>
    <mergeCell ref="A139:B139"/>
    <mergeCell ref="A146:B146"/>
    <mergeCell ref="B62:B63"/>
    <mergeCell ref="A82:B82"/>
    <mergeCell ref="B98:B99"/>
    <mergeCell ref="B60:B61"/>
    <mergeCell ref="D117:D118"/>
    <mergeCell ref="A121:A122"/>
    <mergeCell ref="F121:G121"/>
    <mergeCell ref="I82:J82"/>
    <mergeCell ref="F94:J94"/>
    <mergeCell ref="G93:H93"/>
    <mergeCell ref="H124:J125"/>
    <mergeCell ref="I137:J137"/>
    <mergeCell ref="I126:J127"/>
    <mergeCell ref="C151:E151"/>
    <mergeCell ref="C32:E32"/>
    <mergeCell ref="F16:H16"/>
    <mergeCell ref="G32:H32"/>
    <mergeCell ref="I77:J77"/>
    <mergeCell ref="E117:E118"/>
    <mergeCell ref="I133:J133"/>
    <mergeCell ref="I22:J22"/>
    <mergeCell ref="I19:J19"/>
    <mergeCell ref="G67:G68"/>
    <mergeCell ref="I61:I62"/>
    <mergeCell ref="G69:G70"/>
    <mergeCell ref="C75:D75"/>
    <mergeCell ref="I91:J91"/>
    <mergeCell ref="F134:H134"/>
    <mergeCell ref="G28:H28"/>
    <mergeCell ref="I28:J28"/>
    <mergeCell ref="C31:E31"/>
    <mergeCell ref="F151:J151"/>
    <mergeCell ref="E62:E63"/>
    <mergeCell ref="C136:D136"/>
    <mergeCell ref="F88:J88"/>
    <mergeCell ref="F76:H76"/>
    <mergeCell ref="C142:E142"/>
    <mergeCell ref="I93:J93"/>
    <mergeCell ref="A69:C70"/>
    <mergeCell ref="E119:E120"/>
    <mergeCell ref="A93:B93"/>
    <mergeCell ref="F62:H63"/>
    <mergeCell ref="C149:E149"/>
    <mergeCell ref="I130:J130"/>
    <mergeCell ref="C133:D133"/>
    <mergeCell ref="F145:J145"/>
    <mergeCell ref="F119:H120"/>
    <mergeCell ref="G124:G125"/>
    <mergeCell ref="G139:H139"/>
    <mergeCell ref="I135:J135"/>
    <mergeCell ref="F77:H77"/>
    <mergeCell ref="C145:E145"/>
    <mergeCell ref="F149:J149"/>
    <mergeCell ref="A91:B91"/>
    <mergeCell ref="I148:J148"/>
    <mergeCell ref="B5:B6"/>
    <mergeCell ref="F123:G123"/>
    <mergeCell ref="C78:D78"/>
    <mergeCell ref="C147:E147"/>
    <mergeCell ref="F20:H20"/>
    <mergeCell ref="A60:A61"/>
    <mergeCell ref="H67:J68"/>
    <mergeCell ref="C148:E148"/>
    <mergeCell ref="A95:D95"/>
    <mergeCell ref="E95:F95"/>
    <mergeCell ref="H95:I95"/>
    <mergeCell ref="A96:D97"/>
    <mergeCell ref="E96:F97"/>
    <mergeCell ref="G96:G97"/>
    <mergeCell ref="A98:A99"/>
    <mergeCell ref="I85:J85"/>
    <mergeCell ref="A25:B25"/>
    <mergeCell ref="C117:C118"/>
    <mergeCell ref="G34:H34"/>
    <mergeCell ref="B119:B120"/>
    <mergeCell ref="A33:B33"/>
    <mergeCell ref="B64:B65"/>
    <mergeCell ref="A35:B35"/>
    <mergeCell ref="A147:B147"/>
  </mergeCells>
  <phoneticPr fontId="2"/>
  <conditionalFormatting sqref="D50:D55">
    <cfRule type="cellIs" dxfId="8" priority="6" operator="equal">
      <formula>$D49</formula>
    </cfRule>
  </conditionalFormatting>
  <conditionalFormatting sqref="D107:D112">
    <cfRule type="cellIs" dxfId="7" priority="3" operator="equal">
      <formula>$D106</formula>
    </cfRule>
  </conditionalFormatting>
  <conditionalFormatting sqref="D164:D169">
    <cfRule type="cellIs" dxfId="6" priority="9" operator="equal">
      <formula>$D163</formula>
    </cfRule>
  </conditionalFormatting>
  <conditionalFormatting sqref="I39">
    <cfRule type="cellIs" dxfId="5" priority="4" operator="lessThan">
      <formula>45658</formula>
    </cfRule>
  </conditionalFormatting>
  <conditionalFormatting sqref="I96">
    <cfRule type="cellIs" dxfId="4" priority="1" operator="lessThan">
      <formula>45658</formula>
    </cfRule>
  </conditionalFormatting>
  <conditionalFormatting sqref="I153">
    <cfRule type="cellIs" dxfId="3" priority="7" operator="lessThan">
      <formula>45658</formula>
    </cfRule>
  </conditionalFormatting>
  <conditionalFormatting sqref="J46">
    <cfRule type="cellIs" dxfId="2" priority="5" operator="equal">
      <formula>0</formula>
    </cfRule>
  </conditionalFormatting>
  <conditionalFormatting sqref="J103">
    <cfRule type="cellIs" dxfId="1" priority="2" operator="equal">
      <formula>0</formula>
    </cfRule>
  </conditionalFormatting>
  <conditionalFormatting sqref="J160">
    <cfRule type="cellIs" dxfId="0" priority="8" operator="equal">
      <formula>0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2" manualBreakCount="2">
    <brk id="57" max="16383" man="1"/>
    <brk id="11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2024-07-22T04:35:10Z</cp:lastPrinted>
  <dcterms:created xsi:type="dcterms:W3CDTF">2024-07-11T02:08:33Z</dcterms:created>
  <dcterms:modified xsi:type="dcterms:W3CDTF">2025-10-27T22:51:56Z</dcterms:modified>
</cp:coreProperties>
</file>