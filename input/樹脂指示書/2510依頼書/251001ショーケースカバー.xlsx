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C4D993E7-25B4-4887-9C07-BF63DD8D7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3" i="1" l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J273" i="1" a="1"/>
  <c r="J273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G267" i="1" a="1"/>
  <c r="G267" i="1" s="1"/>
  <c r="E267" i="1" a="1"/>
  <c r="E267" i="1" s="1"/>
  <c r="A267" i="1"/>
  <c r="J274" i="1" l="1"/>
  <c r="I267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J216" i="1" a="1"/>
  <c r="J216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G210" i="1" a="1"/>
  <c r="G210" i="1" s="1"/>
  <c r="E210" i="1" a="1"/>
  <c r="E210" i="1" s="1"/>
  <c r="A210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G153" i="1" a="1"/>
  <c r="G153" i="1" s="1"/>
  <c r="E153" i="1" a="1"/>
  <c r="E153" i="1" s="1"/>
  <c r="A153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/>
  <c r="I102" i="1" a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J217" i="1" l="1"/>
  <c r="I210" i="1"/>
  <c r="J160" i="1"/>
  <c r="I153" i="1"/>
  <c r="J103" i="1"/>
  <c r="I96" i="1"/>
  <c r="J46" i="1"/>
  <c r="I328" i="1" l="1" a="1"/>
  <c r="I328" i="1" s="1"/>
  <c r="A337" i="1" a="1"/>
  <c r="A337" i="1" s="1"/>
  <c r="A335" i="1" a="1"/>
  <c r="A335" i="1" s="1"/>
  <c r="A338" i="1" a="1"/>
  <c r="A338" i="1" s="1"/>
  <c r="A340" i="1" a="1"/>
  <c r="A340" i="1" s="1"/>
  <c r="A339" i="1" a="1"/>
  <c r="A339" i="1" s="1"/>
  <c r="A336" i="1" a="1"/>
  <c r="A336" i="1" s="1"/>
  <c r="A334" i="1" a="1"/>
  <c r="A334" i="1" s="1"/>
  <c r="A333" i="1" a="1"/>
  <c r="A333" i="1" s="1"/>
  <c r="I331" i="1" a="1"/>
  <c r="I331" i="1" s="1"/>
  <c r="I327" i="1" a="1"/>
  <c r="I327" i="1" s="1"/>
  <c r="I330" i="1" a="1"/>
  <c r="I330" i="1" s="1"/>
  <c r="I329" i="1" a="1"/>
  <c r="I329" i="1" s="1"/>
  <c r="I326" i="1" a="1"/>
  <c r="I326" i="1" s="1"/>
  <c r="I325" i="1" a="1"/>
  <c r="I325" i="1" s="1"/>
  <c r="G324" i="1" a="1"/>
  <c r="G324" i="1" s="1"/>
  <c r="I324" i="1" a="1"/>
  <c r="I324" i="1" s="1"/>
  <c r="E324" i="1" a="1"/>
  <c r="E324" i="1" s="1"/>
  <c r="E330" i="1"/>
  <c r="D330" i="1"/>
  <c r="B330" i="1"/>
  <c r="E328" i="1"/>
  <c r="D328" i="1"/>
  <c r="E326" i="1"/>
  <c r="D326" i="1"/>
  <c r="B326" i="1"/>
  <c r="A324" i="1"/>
  <c r="B3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<sst xmlns="http://schemas.openxmlformats.org/spreadsheetml/2006/main" count="582" uniqueCount="132">
  <si>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</si>
  <si>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</si>
  <si>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</si>
  <si>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</si>
  <si>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</si>
  <si>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</si>
  <si>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</si>
  <si>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</si>
  <si>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</si>
  <si>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000000000007951</t>
  </si>
  <si>
    <t>原料名</t>
  </si>
  <si>
    <t>(CASE 297MILK-W4)</t>
  </si>
  <si>
    <t>発注明細№</t>
  </si>
  <si>
    <t>000000000794769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</si>
  <si>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</si>
  <si>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</si>
  <si>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</si>
  <si>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</si>
  <si>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</si>
  <si>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</si>
  <si>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</si>
  <si>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</si>
  <si>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</si>
  <si>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</si>
  <si>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</si>
  <si>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</si>
  <si>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</si>
  <si>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</si>
  <si>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</si>
  <si>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</si>
  <si>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</si>
  <si>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</si>
  <si>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</si>
  <si>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</si>
  <si>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</si>
  <si>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</si>
  <si>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</si>
  <si>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</si>
  <si>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</si>
  <si>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</si>
  <si>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</si>
  <si>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</si>
  <si>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</si>
  <si>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</si>
  <si>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</si>
  <si>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</si>
  <si>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</si>
  <si>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</si>
  <si>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</si>
  <si>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</si>
  <si>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</si>
  <si>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</si>
  <si>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</si>
  <si>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</si>
  <si>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</si>
  <si>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</si>
  <si>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</si>
  <si>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</si>
  <si>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</si>
  <si>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</si>
  <si>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</si>
  <si>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</si>
  <si>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</si>
  <si>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</si>
  <si>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</si>
  <si>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J1JAZZB10805920</t>
  </si>
  <si>
    <t>8FL2813044910</t>
  </si>
  <si>
    <t>000000000007952</t>
  </si>
  <si>
    <t>(CASE 592MILK-W4)</t>
  </si>
  <si>
    <t>000000000794770</t>
  </si>
  <si>
    <t>*J1JAZZB10805920*</t>
  </si>
  <si>
    <t>J6DW0088</t>
  </si>
  <si>
    <t>LED-A592</t>
  </si>
  <si>
    <t>*J6DW0088*</t>
  </si>
  <si>
    <t>L592×W275×H166</t>
  </si>
  <si>
    <t>J1JAZZB10808880</t>
  </si>
  <si>
    <t>8FL2813045010</t>
  </si>
  <si>
    <t>000000000007953</t>
  </si>
  <si>
    <t>(CASE 888MILK-W4)</t>
  </si>
  <si>
    <t>000000000794771</t>
  </si>
  <si>
    <t>*J1JAZZB10808880*</t>
  </si>
  <si>
    <t>J6DW0089</t>
  </si>
  <si>
    <t>LED-A888</t>
  </si>
  <si>
    <t>*J6DW0089*</t>
  </si>
  <si>
    <t>L888×W275×H166</t>
  </si>
  <si>
    <t>J6XX0044</t>
  </si>
  <si>
    <t>*J6XX0044*</t>
  </si>
  <si>
    <t>400＊900</t>
  </si>
  <si>
    <t>000000000007954</t>
  </si>
  <si>
    <t>000000000794772</t>
  </si>
  <si>
    <t>000000000007955</t>
  </si>
  <si>
    <t>000000000794773</t>
  </si>
  <si>
    <t>J1JAZZB10814780</t>
  </si>
  <si>
    <t>8FL2813046110</t>
  </si>
  <si>
    <t>000000000007956</t>
  </si>
  <si>
    <t>(CASE 1478MILK-W4)</t>
  </si>
  <si>
    <t>000000000794774</t>
  </si>
  <si>
    <t>*J1JAZZB10814780*</t>
  </si>
  <si>
    <t>J6DW0092</t>
  </si>
  <si>
    <t>LED-A1478</t>
  </si>
  <si>
    <t>*J6DW0092*</t>
  </si>
  <si>
    <t>L1478×W275×H166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</si>
  <si>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</si>
  <si>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</si>
  <si>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</si>
  <si>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</si>
  <si>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</si>
  <si>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</si>
  <si>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</si>
  <si>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</si>
  <si>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</si>
  <si>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</si>
  <si>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</si>
  <si>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</si>
  <si>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</si>
  <si>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</si>
  <si>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</si>
  <si>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</si>
  <si>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</si>
  <si>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</si>
  <si>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</si>
  <si>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</si>
  <si>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</si>
  <si>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</si>
  <si>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</si>
  <si>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</si>
  <si>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</si>
  <si>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</si>
  <si>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</si>
  <si>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</si>
  <si>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</si>
  <si>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(管理外)LLDPE規格ｼｰﾄ0.02×950×100m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</si>
</sst>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</numFmts>
  <fonts count="36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13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79" fontId="19" fillId="0" borderId="22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3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3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2" xfId="0" applyFont="1" applyBorder="1" applyAlignment="1">
      <alignment horizontal="left" vertical="center" wrapText="1"/>
    </xf>
    <xf numFmtId="184" fontId="19" fillId="5" borderId="23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3" xfId="0" applyNumberFormat="1" applyFont="1" applyFill="1" applyBorder="1" applyAlignment="1">
      <alignment horizontal="left" vertical="center" shrinkToFit="1"/>
    </xf>
    <xf numFmtId="187" fontId="19" fillId="5" borderId="23" xfId="0" applyNumberFormat="1" applyFont="1" applyFill="1" applyBorder="1" applyAlignment="1">
      <alignment horizontal="left" vertical="center" shrinkToFit="1"/>
    </xf>
    <xf numFmtId="188" fontId="19" fillId="5" borderId="23" xfId="0" applyNumberFormat="1" applyFont="1" applyFill="1" applyBorder="1" applyAlignment="1">
      <alignment horizontal="left" vertical="center" shrinkToFit="1"/>
    </xf>
    <xf numFmtId="190" fontId="19" fillId="5" borderId="23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92" fontId="15" fillId="0" borderId="22" xfId="0" applyNumberFormat="1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92" fontId="15" fillId="0" borderId="25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5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5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194" fontId="32" fillId="0" borderId="2" xfId="1" applyNumberFormat="1" applyFont="1" applyBorder="1" applyAlignment="1">
      <alignment horizontal="center" vertical="center" shrinkToFit="1"/>
    </xf>
    <xf numFmtId="0" fontId="32" fillId="0" borderId="2" xfId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left" vertical="center"/>
    </xf>
    <xf numFmtId="195" fontId="15" fillId="0" borderId="2" xfId="0" applyNumberFormat="1" applyFont="1" applyBorder="1" applyAlignment="1">
      <alignment horizontal="center" vertical="center"/>
    </xf>
    <xf numFmtId="195" fontId="15" fillId="0" borderId="23" xfId="0" applyNumberFormat="1" applyFont="1" applyBorder="1" applyAlignment="1">
      <alignment horizontal="center" vertical="center"/>
    </xf>
    <xf numFmtId="181" fontId="15" fillId="4" borderId="30" xfId="0" applyNumberFormat="1" applyFont="1" applyFill="1" applyBorder="1" applyAlignment="1">
      <alignment horizontal="center" vertical="center"/>
    </xf>
    <xf numFmtId="195" fontId="15" fillId="0" borderId="31" xfId="0" applyNumberFormat="1" applyFont="1" applyBorder="1" applyAlignment="1">
      <alignment horizontal="center" vertical="center"/>
    </xf>
    <xf numFmtId="195" fontId="15" fillId="0" borderId="32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92" fontId="15" fillId="0" borderId="30" xfId="0" applyNumberFormat="1" applyFont="1" applyBorder="1" applyAlignment="1">
      <alignment horizontal="center" vertical="center"/>
    </xf>
    <xf numFmtId="193" fontId="15" fillId="0" borderId="32" xfId="0" applyNumberFormat="1" applyFont="1" applyBorder="1" applyAlignment="1">
      <alignment horizontal="center" vertical="center"/>
    </xf>
    <xf numFmtId="194" fontId="33" fillId="0" borderId="2" xfId="1" applyNumberFormat="1" applyFont="1" applyBorder="1" applyAlignment="1">
      <alignment horizontal="center" vertical="center" shrinkToFit="1"/>
    </xf>
    <xf numFmtId="182" fontId="34" fillId="5" borderId="23" xfId="0" applyNumberFormat="1" applyFont="1" applyFill="1" applyBorder="1" applyAlignment="1">
      <alignment horizontal="left" vertical="center" shrinkToFit="1"/>
    </xf>
    <xf numFmtId="0" fontId="33" fillId="0" borderId="2" xfId="1" applyFont="1" applyBorder="1" applyAlignment="1">
      <alignment horizontal="center" vertical="center" shrinkToFit="1"/>
    </xf>
    <xf numFmtId="183" fontId="34" fillId="5" borderId="23" xfId="0" applyNumberFormat="1" applyFont="1" applyFill="1" applyBorder="1" applyAlignment="1">
      <alignment horizontal="left" vertical="center" shrinkToFit="1"/>
    </xf>
    <xf numFmtId="184" fontId="34" fillId="5" borderId="23" xfId="0" applyNumberFormat="1" applyFont="1" applyFill="1" applyBorder="1" applyAlignment="1">
      <alignment horizontal="left" vertical="center" shrinkToFit="1"/>
    </xf>
    <xf numFmtId="185" fontId="34" fillId="5" borderId="23" xfId="0" applyNumberFormat="1" applyFont="1" applyFill="1" applyBorder="1" applyAlignment="1">
      <alignment horizontal="left" vertical="center" shrinkToFit="1"/>
    </xf>
    <xf numFmtId="187" fontId="34" fillId="5" borderId="23" xfId="0" applyNumberFormat="1" applyFont="1" applyFill="1" applyBorder="1" applyAlignment="1">
      <alignment horizontal="left" vertical="center" shrinkToFit="1"/>
    </xf>
    <xf numFmtId="188" fontId="34" fillId="5" borderId="23" xfId="0" applyNumberFormat="1" applyFont="1" applyFill="1" applyBorder="1" applyAlignment="1">
      <alignment horizontal="left" vertical="center" shrinkToFit="1"/>
    </xf>
    <xf numFmtId="190" fontId="34" fillId="5" borderId="23" xfId="0" applyNumberFormat="1" applyFont="1" applyFill="1" applyBorder="1" applyAlignment="1">
      <alignment horizontal="left" vertical="center" shrinkToFit="1"/>
    </xf>
    <xf numFmtId="191" fontId="34" fillId="5" borderId="32" xfId="0" applyNumberFormat="1" applyFont="1" applyFill="1" applyBorder="1" applyAlignment="1">
      <alignment horizontal="left" vertical="center"/>
    </xf>
    <xf numFmtId="181" fontId="35" fillId="4" borderId="22" xfId="0" applyNumberFormat="1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4" borderId="35" xfId="0" applyFont="1" applyFill="1" applyBorder="1" applyAlignment="1">
      <alignment horizontal="center" vertical="center"/>
    </xf>
    <xf numFmtId="189" fontId="35" fillId="4" borderId="36" xfId="0" applyNumberFormat="1" applyFont="1" applyFill="1" applyBorder="1" applyAlignment="1">
      <alignment horizontal="center" vertical="center"/>
    </xf>
    <xf numFmtId="179" fontId="35" fillId="4" borderId="22" xfId="0" applyNumberFormat="1" applyFont="1" applyFill="1" applyBorder="1" applyAlignment="1">
      <alignment horizontal="center" vertical="center"/>
    </xf>
    <xf numFmtId="179" fontId="35" fillId="4" borderId="2" xfId="0" applyNumberFormat="1" applyFont="1" applyFill="1" applyBorder="1" applyAlignment="1">
      <alignment horizontal="center" vertical="center"/>
    </xf>
    <xf numFmtId="179" fontId="35" fillId="4" borderId="23" xfId="0" applyNumberFormat="1" applyFont="1" applyFill="1" applyBorder="1" applyAlignment="1">
      <alignment horizontal="center" vertical="center"/>
    </xf>
    <xf numFmtId="192" fontId="35" fillId="0" borderId="22" xfId="0" applyNumberFormat="1" applyFont="1" applyBorder="1" applyAlignment="1">
      <alignment horizontal="center" vertical="center"/>
    </xf>
    <xf numFmtId="193" fontId="35" fillId="0" borderId="23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95" fontId="35" fillId="0" borderId="2" xfId="0" applyNumberFormat="1" applyFont="1" applyBorder="1" applyAlignment="1">
      <alignment horizontal="center" vertical="center"/>
    </xf>
    <xf numFmtId="195" fontId="35" fillId="0" borderId="23" xfId="0" applyNumberFormat="1" applyFont="1" applyBorder="1" applyAlignment="1">
      <alignment horizontal="center" vertical="center"/>
    </xf>
    <xf numFmtId="179" fontId="35" fillId="0" borderId="22" xfId="0" applyNumberFormat="1" applyFont="1" applyBorder="1" applyAlignment="1">
      <alignment horizontal="center" vertical="center"/>
    </xf>
    <xf numFmtId="179" fontId="35" fillId="0" borderId="2" xfId="0" applyNumberFormat="1" applyFont="1" applyBorder="1" applyAlignment="1">
      <alignment horizontal="center" vertical="center"/>
    </xf>
    <xf numFmtId="179" fontId="35" fillId="0" borderId="23" xfId="0" applyNumberFormat="1" applyFont="1" applyBorder="1" applyAlignment="1">
      <alignment horizontal="center" vertical="center"/>
    </xf>
    <xf numFmtId="192" fontId="35" fillId="0" borderId="25" xfId="0" applyNumberFormat="1" applyFont="1" applyBorder="1" applyAlignment="1">
      <alignment horizontal="center" vertical="center"/>
    </xf>
    <xf numFmtId="193" fontId="35" fillId="0" borderId="37" xfId="0" applyNumberFormat="1" applyFont="1" applyBorder="1" applyAlignment="1">
      <alignment horizontal="center" vertical="center"/>
    </xf>
    <xf numFmtId="181" fontId="35" fillId="4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195" fontId="35" fillId="0" borderId="31" xfId="0" applyNumberFormat="1" applyFont="1" applyBorder="1" applyAlignment="1">
      <alignment horizontal="center" vertical="center"/>
    </xf>
    <xf numFmtId="195" fontId="35" fillId="0" borderId="32" xfId="0" applyNumberFormat="1" applyFont="1" applyBorder="1" applyAlignment="1">
      <alignment horizontal="center" vertical="center"/>
    </xf>
    <xf numFmtId="179" fontId="35" fillId="0" borderId="30" xfId="0" applyNumberFormat="1" applyFont="1" applyBorder="1" applyAlignment="1">
      <alignment horizontal="center" vertical="center"/>
    </xf>
    <xf numFmtId="179" fontId="35" fillId="0" borderId="31" xfId="0" applyNumberFormat="1" applyFont="1" applyBorder="1" applyAlignment="1">
      <alignment horizontal="center" vertical="center"/>
    </xf>
    <xf numFmtId="179" fontId="35" fillId="0" borderId="32" xfId="0" applyNumberFormat="1" applyFont="1" applyBorder="1" applyAlignment="1">
      <alignment horizontal="center" vertical="center"/>
    </xf>
    <xf numFmtId="192" fontId="35" fillId="0" borderId="30" xfId="0" applyNumberFormat="1" applyFont="1" applyBorder="1" applyAlignment="1">
      <alignment horizontal="center" vertical="center"/>
    </xf>
    <xf numFmtId="193" fontId="35" fillId="0" borderId="32" xfId="0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13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11" fillId="0" borderId="0" xfId="1" applyNumberFormat="1" applyFont="1" applyAlignment="1">
      <alignment vertical="center" shrinkToFi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13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0" fontId="14" fillId="2" borderId="2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13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horizontal="right" vertical="center" shrinkToFit="1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取引 (2)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3">
          <cell r="C3" t="str">
            <v>8FL281304 5010　L=888</v>
          </cell>
          <cell r="I3">
            <v>0</v>
          </cell>
          <cell r="K3">
            <v>0</v>
          </cell>
          <cell r="L3">
            <v>45959</v>
          </cell>
          <cell r="M3">
            <v>11</v>
          </cell>
          <cell r="O3">
            <v>45960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>
            <v>45960</v>
          </cell>
          <cell r="M4">
            <v>9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K6">
            <v>0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K7">
            <v>0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K8">
            <v>0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G9" t="str">
            <v/>
          </cell>
          <cell r="K9">
            <v>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I11">
            <v>0</v>
          </cell>
          <cell r="K11">
            <v>0</v>
          </cell>
          <cell r="L11">
            <v>45960</v>
          </cell>
          <cell r="M11">
            <v>4</v>
          </cell>
          <cell r="O11">
            <v>45960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K13">
            <v>0</v>
          </cell>
          <cell r="O13">
            <v>201</v>
          </cell>
          <cell r="T13" t="str">
            <v>000000000008361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000000000008361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>
            <v>45961</v>
          </cell>
          <cell r="M19">
            <v>2</v>
          </cell>
          <cell r="O19">
            <v>45961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K21">
            <v>0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000000000008360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25J16-15</v>
          </cell>
          <cell r="I27" t="str">
            <v>25J16-15</v>
          </cell>
          <cell r="J27">
            <v>7</v>
          </cell>
          <cell r="K27">
            <v>2</v>
          </cell>
          <cell r="L27">
            <v>45961</v>
          </cell>
          <cell r="M27">
            <v>2</v>
          </cell>
          <cell r="O27">
            <v>45961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192</v>
          </cell>
          <cell r="K28">
            <v>64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K29">
            <v>0</v>
          </cell>
          <cell r="O29">
            <v>67</v>
          </cell>
          <cell r="T29" t="str">
            <v>000000000008357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000000000008357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25J16-15</v>
          </cell>
          <cell r="I35" t="str">
            <v>25J16-15</v>
          </cell>
          <cell r="J35">
            <v>7</v>
          </cell>
          <cell r="K35">
            <v>1</v>
          </cell>
          <cell r="L35">
            <v>45961</v>
          </cell>
          <cell r="M35">
            <v>3</v>
          </cell>
          <cell r="O35">
            <v>45961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233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K37">
            <v>0</v>
          </cell>
          <cell r="O37">
            <v>41</v>
          </cell>
          <cell r="T37" t="str">
            <v>000000000008354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000000000008354</v>
          </cell>
        </row>
        <row r="39">
          <cell r="C39">
            <v>6</v>
          </cell>
          <cell r="G39" t="str">
            <v/>
          </cell>
          <cell r="K39">
            <v>0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65</v>
          </cell>
          <cell r="T40" t="str">
            <v>000000000008354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U</v>
          </cell>
          <cell r="O41">
            <v>64</v>
          </cell>
          <cell r="T41" t="str">
            <v>000000000008354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I43">
            <v>0</v>
          </cell>
          <cell r="K43" t="e">
            <v>#VALUE!</v>
          </cell>
          <cell r="L43">
            <v>45961</v>
          </cell>
          <cell r="M43">
            <v>1</v>
          </cell>
          <cell r="O43">
            <v>45961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 t="e">
            <v>#VALUE!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G46" t="str">
            <v/>
          </cell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G47" t="str">
            <v/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G48" t="str">
            <v/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G49" t="str">
            <v/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G50" t="str">
            <v/>
          </cell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>
            <v>45961</v>
          </cell>
          <cell r="M51">
            <v>4</v>
          </cell>
          <cell r="O51">
            <v>45961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G52" t="str">
            <v/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G53" t="str">
            <v/>
          </cell>
          <cell r="K53">
            <v>0</v>
          </cell>
          <cell r="O53">
            <v>95</v>
          </cell>
          <cell r="T53" t="str">
            <v>000000000008709</v>
          </cell>
        </row>
        <row r="54">
          <cell r="G54" t="str">
            <v/>
          </cell>
          <cell r="K54">
            <v>0</v>
          </cell>
          <cell r="O54">
            <v>31</v>
          </cell>
          <cell r="T54" t="str">
            <v>000000000008709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I59">
            <v>0</v>
          </cell>
          <cell r="K59">
            <v>0</v>
          </cell>
          <cell r="O59">
            <v>0</v>
          </cell>
          <cell r="T59" t="str">
            <v>000000000007926-2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000000000007926-2</v>
          </cell>
        </row>
        <row r="61">
          <cell r="C61">
            <v>144</v>
          </cell>
          <cell r="G61" t="str">
            <v/>
          </cell>
          <cell r="K61">
            <v>0</v>
          </cell>
          <cell r="O61">
            <v>0</v>
          </cell>
          <cell r="T61" t="str">
            <v>000000000007926-2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000000000007926-2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0</v>
          </cell>
          <cell r="T63" t="str">
            <v>000000000007926-2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切断</v>
          </cell>
          <cell r="O64">
            <v>0</v>
          </cell>
          <cell r="T64" t="str">
            <v>000000000007926-2</v>
          </cell>
        </row>
        <row r="65">
          <cell r="C65">
            <v>0</v>
          </cell>
          <cell r="G65" t="str">
            <v/>
          </cell>
          <cell r="K65">
            <v>0</v>
          </cell>
          <cell r="L65" t="str">
            <v>検査</v>
          </cell>
          <cell r="T65" t="str">
            <v>000000000007926-2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>
            <v>0</v>
          </cell>
          <cell r="P66">
            <v>0</v>
          </cell>
          <cell r="T66" t="str">
            <v>000000000007926-2</v>
          </cell>
        </row>
        <row r="67">
          <cell r="C67" t="str">
            <v>灯具カバーPC IN 2110　L=1815</v>
          </cell>
          <cell r="I67">
            <v>0</v>
          </cell>
          <cell r="K67">
            <v>0</v>
          </cell>
          <cell r="O67">
            <v>0</v>
          </cell>
          <cell r="T67" t="str">
            <v>000000000008710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000000000008710</v>
          </cell>
        </row>
        <row r="69">
          <cell r="C69">
            <v>192</v>
          </cell>
          <cell r="G69" t="str">
            <v/>
          </cell>
          <cell r="K69">
            <v>0</v>
          </cell>
          <cell r="O69">
            <v>0</v>
          </cell>
          <cell r="T69" t="str">
            <v>000000000008710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000000000008710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0</v>
          </cell>
          <cell r="T71" t="str">
            <v>000000000008710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O72">
            <v>0</v>
          </cell>
          <cell r="T72" t="str">
            <v>000000000008710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検査</v>
          </cell>
          <cell r="T73" t="str">
            <v>000000000008710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>
            <v>0</v>
          </cell>
          <cell r="P74">
            <v>0</v>
          </cell>
          <cell r="T74" t="str">
            <v>000000000008710</v>
          </cell>
        </row>
        <row r="75">
          <cell r="C75" t="str">
            <v>灯具カバーPC IN 2480　L=954</v>
          </cell>
          <cell r="I75">
            <v>0</v>
          </cell>
          <cell r="K75">
            <v>0</v>
          </cell>
          <cell r="O75">
            <v>0</v>
          </cell>
          <cell r="T75" t="str">
            <v>000000000008705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000000000008705</v>
          </cell>
        </row>
        <row r="77">
          <cell r="C77">
            <v>96</v>
          </cell>
          <cell r="G77" t="str">
            <v/>
          </cell>
          <cell r="K77">
            <v>0</v>
          </cell>
          <cell r="O77">
            <v>0</v>
          </cell>
          <cell r="T77" t="str">
            <v>000000000008705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000000000008705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000000000008705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000000000008705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000000000008705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>
            <v>0</v>
          </cell>
          <cell r="P82">
            <v>0</v>
          </cell>
          <cell r="T82" t="str">
            <v>000000000008705</v>
          </cell>
        </row>
        <row r="83">
          <cell r="C83" t="str">
            <v>8FL281304 5010　L=888</v>
          </cell>
          <cell r="I83">
            <v>0</v>
          </cell>
          <cell r="K83">
            <v>0</v>
          </cell>
          <cell r="O83">
            <v>0</v>
          </cell>
          <cell r="T83" t="str">
            <v>000000000008362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000000000008362</v>
          </cell>
        </row>
        <row r="85">
          <cell r="C85">
            <v>800</v>
          </cell>
          <cell r="G85" t="str">
            <v/>
          </cell>
          <cell r="K85">
            <v>0</v>
          </cell>
          <cell r="O85">
            <v>0</v>
          </cell>
          <cell r="T85" t="str">
            <v>000000000008362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000000000008362</v>
          </cell>
        </row>
        <row r="87">
          <cell r="C87">
            <v>2</v>
          </cell>
          <cell r="G87" t="str">
            <v/>
          </cell>
          <cell r="K87">
            <v>0</v>
          </cell>
          <cell r="O87">
            <v>0</v>
          </cell>
          <cell r="T87" t="str">
            <v>000000000008362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000000000008362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000000000008362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>
            <v>0</v>
          </cell>
          <cell r="P90">
            <v>0</v>
          </cell>
          <cell r="T90" t="str">
            <v>000000000008362</v>
          </cell>
        </row>
        <row r="91">
          <cell r="C91" t="str">
            <v>8FL281304 6110　L=1478</v>
          </cell>
          <cell r="I91">
            <v>0</v>
          </cell>
          <cell r="K91">
            <v>0</v>
          </cell>
          <cell r="O91">
            <v>0</v>
          </cell>
          <cell r="T91" t="str">
            <v>000000000008364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000000000008364</v>
          </cell>
        </row>
        <row r="93">
          <cell r="C93">
            <v>400</v>
          </cell>
          <cell r="G93" t="str">
            <v/>
          </cell>
          <cell r="K93">
            <v>0</v>
          </cell>
          <cell r="O93">
            <v>0</v>
          </cell>
          <cell r="T93" t="str">
            <v>000000000008364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000000000008364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000000000008364</v>
          </cell>
        </row>
        <row r="96">
          <cell r="C96" t="str">
            <v>LED-A1478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000000000008364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000000000008364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>
            <v>0</v>
          </cell>
          <cell r="P98">
            <v>0</v>
          </cell>
          <cell r="T98" t="str">
            <v>000000000008364</v>
          </cell>
        </row>
        <row r="99">
          <cell r="C99" t="str">
            <v>8FL281304 8310　L=748</v>
          </cell>
          <cell r="I99">
            <v>0</v>
          </cell>
          <cell r="K99">
            <v>0</v>
          </cell>
          <cell r="O99">
            <v>0</v>
          </cell>
          <cell r="T99" t="str">
            <v>000000000008941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000000000008941</v>
          </cell>
        </row>
        <row r="101">
          <cell r="C101">
            <v>200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000000000008941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000000000008941</v>
          </cell>
        </row>
        <row r="103">
          <cell r="C103">
            <v>2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000000000008941</v>
          </cell>
        </row>
        <row r="104">
          <cell r="C104" t="str">
            <v>LED-A888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000000000008941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000000000008941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>
            <v>0</v>
          </cell>
          <cell r="P106">
            <v>0</v>
          </cell>
          <cell r="T106" t="str">
            <v>000000000008941</v>
          </cell>
        </row>
        <row r="107">
          <cell r="C107" t="str">
            <v>8FL281304 4910　L=592</v>
          </cell>
          <cell r="I107">
            <v>0</v>
          </cell>
          <cell r="K107">
            <v>0</v>
          </cell>
          <cell r="O107">
            <v>0</v>
          </cell>
          <cell r="T107" t="str">
            <v>000000000008358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000000000008358</v>
          </cell>
        </row>
        <row r="109">
          <cell r="C109">
            <v>200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000000000008358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000000000008358</v>
          </cell>
        </row>
        <row r="111">
          <cell r="C111">
            <v>3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000000000008358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000000000008358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>
            <v>0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I115">
            <v>0</v>
          </cell>
          <cell r="K115">
            <v>0</v>
          </cell>
          <cell r="O115">
            <v>0</v>
          </cell>
          <cell r="T115" t="str">
            <v>000000000008359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000000000008359</v>
          </cell>
        </row>
        <row r="117">
          <cell r="C117">
            <v>200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000000000008359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000000000008359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000000000008359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000000000008359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000000000008359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>
            <v>0</v>
          </cell>
          <cell r="P122">
            <v>0</v>
          </cell>
          <cell r="T122" t="str">
            <v>000000000008359</v>
          </cell>
        </row>
        <row r="123">
          <cell r="C123" t="str">
            <v>8FL281304 4810　L=297</v>
          </cell>
          <cell r="I123">
            <v>0</v>
          </cell>
          <cell r="K123">
            <v>0</v>
          </cell>
          <cell r="O123">
            <v>0</v>
          </cell>
          <cell r="T123" t="str">
            <v>000000000008355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000000000008355</v>
          </cell>
        </row>
        <row r="125">
          <cell r="C125">
            <v>200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000000000008355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000000000008355</v>
          </cell>
        </row>
        <row r="127">
          <cell r="C127">
            <v>6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000000000008355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000000000008355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>
            <v>0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I131">
            <v>0</v>
          </cell>
          <cell r="K131">
            <v>0</v>
          </cell>
          <cell r="O131">
            <v>0</v>
          </cell>
          <cell r="T131" t="str">
            <v>000000000008356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000000000008356</v>
          </cell>
        </row>
        <row r="133">
          <cell r="C133">
            <v>300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000000000008356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000000000008356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000000000008356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000000000008356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I139">
            <v>0</v>
          </cell>
          <cell r="K139">
            <v>0</v>
          </cell>
          <cell r="O139">
            <v>0</v>
          </cell>
          <cell r="T139" t="str">
            <v>000000000008363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000000000008363</v>
          </cell>
        </row>
        <row r="141">
          <cell r="C141">
            <v>2000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000000000008363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000000000008363</v>
          </cell>
        </row>
        <row r="143">
          <cell r="C143">
            <v>2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000000000008363</v>
          </cell>
        </row>
        <row r="144">
          <cell r="C144" t="str">
            <v>LED-A888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000000000008363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000000000008363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>
            <v>0</v>
          </cell>
          <cell r="P146">
            <v>0</v>
          </cell>
          <cell r="T146" t="str">
            <v>000000000008363</v>
          </cell>
        </row>
        <row r="147">
          <cell r="C147" t="str">
            <v>灯具カバーPC IN 2050　L=1183.5</v>
          </cell>
          <cell r="I147">
            <v>0</v>
          </cell>
          <cell r="K147">
            <v>0</v>
          </cell>
          <cell r="O147">
            <v>0</v>
          </cell>
          <cell r="T147" t="str">
            <v>000000000008706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000000000008706</v>
          </cell>
        </row>
        <row r="149">
          <cell r="C149">
            <v>192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000000000008706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000000000008706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000000000008706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000000000008706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000000000008706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>
            <v>0</v>
          </cell>
          <cell r="P154">
            <v>0</v>
          </cell>
          <cell r="T154" t="str">
            <v>000000000008706</v>
          </cell>
        </row>
        <row r="155">
          <cell r="C155" t="str">
            <v>灯具カバーPC IN 2090　L=840</v>
          </cell>
          <cell r="I155">
            <v>0</v>
          </cell>
          <cell r="K155">
            <v>0</v>
          </cell>
          <cell r="O155">
            <v>0</v>
          </cell>
          <cell r="T155" t="str">
            <v>000000000008702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000000000008702</v>
          </cell>
        </row>
        <row r="157">
          <cell r="C157">
            <v>192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000000000008702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000000000008702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000000000008702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000000000008702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000000000008702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>
            <v>0</v>
          </cell>
          <cell r="P162">
            <v>0</v>
          </cell>
          <cell r="T162" t="str">
            <v>000000000008702</v>
          </cell>
        </row>
        <row r="163">
          <cell r="C163" t="str">
            <v>PK-59827 L=700</v>
          </cell>
          <cell r="I163">
            <v>0</v>
          </cell>
          <cell r="K163">
            <v>0</v>
          </cell>
          <cell r="O163">
            <v>0</v>
          </cell>
          <cell r="T163" t="str">
            <v>000000000008411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000000000008411</v>
          </cell>
        </row>
        <row r="165">
          <cell r="C165">
            <v>1054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000000000008411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000000000008411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000000000008411</v>
          </cell>
        </row>
        <row r="168">
          <cell r="C168" t="str">
            <v>PK-59827 L=700用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000000000008411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000000000008411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>
            <v>0</v>
          </cell>
          <cell r="P170">
            <v>0</v>
          </cell>
          <cell r="T170" t="str">
            <v>000000000008411</v>
          </cell>
        </row>
        <row r="171">
          <cell r="C171" t="str">
            <v>採光ルーバーパネルB　L=1996</v>
          </cell>
          <cell r="I171">
            <v>0</v>
          </cell>
          <cell r="K171">
            <v>0</v>
          </cell>
          <cell r="O171">
            <v>0</v>
          </cell>
          <cell r="T171" t="str">
            <v>000000000008853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000000000008853</v>
          </cell>
        </row>
        <row r="173">
          <cell r="C173">
            <v>420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000000000008853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000000000008853</v>
          </cell>
        </row>
        <row r="175">
          <cell r="C175">
            <v>1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000000000008853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000000000008853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000000000008853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>
            <v>0</v>
          </cell>
          <cell r="P178">
            <v>0</v>
          </cell>
          <cell r="T178" t="str">
            <v>000000000008853</v>
          </cell>
        </row>
        <row r="179">
          <cell r="C179" t="str">
            <v>採光ルーバーパネルB　L=1996</v>
          </cell>
          <cell r="I179">
            <v>0</v>
          </cell>
          <cell r="K179">
            <v>0</v>
          </cell>
          <cell r="O179">
            <v>0</v>
          </cell>
          <cell r="T179" t="str">
            <v>000000000008854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000000000008854</v>
          </cell>
        </row>
        <row r="181">
          <cell r="C181">
            <v>126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000000000008854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000000000008854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000000000008854</v>
          </cell>
        </row>
        <row r="184">
          <cell r="C184" t="str">
            <v>上-1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000000000008854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000000000008854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>
            <v>0</v>
          </cell>
          <cell r="P186">
            <v>0</v>
          </cell>
          <cell r="T186" t="str">
            <v>000000000008854</v>
          </cell>
        </row>
        <row r="187">
          <cell r="C187" t="str">
            <v>8FL281304 6110　L=1478</v>
          </cell>
          <cell r="I187">
            <v>0</v>
          </cell>
          <cell r="K187">
            <v>0</v>
          </cell>
          <cell r="O187">
            <v>0</v>
          </cell>
          <cell r="T187" t="str">
            <v>000000000008803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000000000008803</v>
          </cell>
        </row>
        <row r="189">
          <cell r="C189">
            <v>200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000000000008803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000000000008803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000000000008803</v>
          </cell>
        </row>
        <row r="192">
          <cell r="C192" t="str">
            <v>LED-A1478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000000000008803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000000000008803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>
            <v>0</v>
          </cell>
          <cell r="P194">
            <v>0</v>
          </cell>
          <cell r="T194" t="str">
            <v>000000000008803</v>
          </cell>
        </row>
        <row r="195">
          <cell r="C195" t="str">
            <v>8FL281304 5010　L=888</v>
          </cell>
          <cell r="I195">
            <v>0</v>
          </cell>
          <cell r="K195">
            <v>0</v>
          </cell>
          <cell r="O195">
            <v>0</v>
          </cell>
          <cell r="T195" t="str">
            <v>000000000008802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000000000008802</v>
          </cell>
        </row>
        <row r="197">
          <cell r="C197">
            <v>100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000000000008802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000000000008802</v>
          </cell>
        </row>
        <row r="199">
          <cell r="C199">
            <v>2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000000000008802</v>
          </cell>
        </row>
        <row r="200">
          <cell r="C200" t="str">
            <v>LED-A888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000000000008802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000000000008802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>
            <v>0</v>
          </cell>
          <cell r="P202">
            <v>0</v>
          </cell>
          <cell r="T202" t="str">
            <v>000000000008802</v>
          </cell>
        </row>
        <row r="203">
          <cell r="C203" t="str">
            <v>8FL281304 8310　L=748</v>
          </cell>
          <cell r="I203">
            <v>0</v>
          </cell>
          <cell r="K203">
            <v>0</v>
          </cell>
          <cell r="O203">
            <v>0</v>
          </cell>
          <cell r="T203" t="str">
            <v>000000000008801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000000000008801</v>
          </cell>
        </row>
        <row r="205">
          <cell r="C205">
            <v>200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000000000008801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000000000008801</v>
          </cell>
        </row>
        <row r="207">
          <cell r="C207">
            <v>2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000000000008801</v>
          </cell>
        </row>
        <row r="208">
          <cell r="C208" t="str">
            <v>LED-A888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000000000008801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000000000008801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>
            <v>0</v>
          </cell>
          <cell r="P210">
            <v>0</v>
          </cell>
          <cell r="T210" t="str">
            <v>000000000008801</v>
          </cell>
        </row>
        <row r="211">
          <cell r="C211" t="str">
            <v>灯具カバーPC IN 2070　L=1966</v>
          </cell>
          <cell r="I211">
            <v>0</v>
          </cell>
          <cell r="K211">
            <v>0</v>
          </cell>
          <cell r="O211">
            <v>0</v>
          </cell>
          <cell r="T211" t="str">
            <v>000000000008712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000000000008712</v>
          </cell>
        </row>
        <row r="213">
          <cell r="C213">
            <v>192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000000000008712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000000000008712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000000000008712</v>
          </cell>
        </row>
        <row r="216">
          <cell r="C216" t="str">
            <v>灯具-2　L＝1996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000000000008712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000000000008712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>
            <v>0</v>
          </cell>
          <cell r="P218">
            <v>0</v>
          </cell>
          <cell r="T218" t="str">
            <v>000000000008712</v>
          </cell>
        </row>
        <row r="219">
          <cell r="C219" t="str">
            <v>灯具カバーPC IN 2110　L=1815</v>
          </cell>
          <cell r="I219">
            <v>0</v>
          </cell>
          <cell r="K219">
            <v>0</v>
          </cell>
          <cell r="O219">
            <v>0</v>
          </cell>
          <cell r="T219" t="str">
            <v>000000000008711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000000000008711</v>
          </cell>
        </row>
        <row r="221">
          <cell r="C221">
            <v>192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000000000008711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000000000008711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000000000008711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000000000008711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000000000008711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>
            <v>0</v>
          </cell>
          <cell r="P226">
            <v>0</v>
          </cell>
          <cell r="T226" t="str">
            <v>000000000008711</v>
          </cell>
        </row>
        <row r="227">
          <cell r="C227" t="str">
            <v>灯具カバーPC IN 2060　L=1258.5</v>
          </cell>
          <cell r="I227">
            <v>0</v>
          </cell>
          <cell r="K227">
            <v>0</v>
          </cell>
          <cell r="O227">
            <v>0</v>
          </cell>
          <cell r="T227" t="str">
            <v>000000000008708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000000000008708</v>
          </cell>
        </row>
        <row r="229">
          <cell r="C229">
            <v>80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000000000008708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000000000008708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000000000008708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000000000008708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000000000008708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>
            <v>0</v>
          </cell>
          <cell r="P234">
            <v>0</v>
          </cell>
          <cell r="T234" t="str">
            <v>000000000008708</v>
          </cell>
        </row>
        <row r="235">
          <cell r="C235" t="str">
            <v>灯具カバーPC IN 2050　L=1183.5</v>
          </cell>
          <cell r="I235">
            <v>0</v>
          </cell>
          <cell r="K235">
            <v>0</v>
          </cell>
          <cell r="O235">
            <v>0</v>
          </cell>
          <cell r="T235" t="str">
            <v>000000000008707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000000000008707</v>
          </cell>
        </row>
        <row r="237">
          <cell r="C237">
            <v>192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000000000008707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000000000008707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000000000008707</v>
          </cell>
        </row>
        <row r="240">
          <cell r="C240" t="str">
            <v>灯具-1　L=1370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000000000008707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000000000008707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>
            <v>0</v>
          </cell>
          <cell r="P242">
            <v>0</v>
          </cell>
          <cell r="T242" t="str">
            <v>000000000008707</v>
          </cell>
        </row>
        <row r="243">
          <cell r="C243" t="str">
            <v>採光ルーバーパネルB　L=1996</v>
          </cell>
          <cell r="I243">
            <v>0</v>
          </cell>
          <cell r="K243">
            <v>0</v>
          </cell>
          <cell r="O243">
            <v>0</v>
          </cell>
          <cell r="T243" t="str">
            <v>000000000008855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000000000008855</v>
          </cell>
        </row>
        <row r="245">
          <cell r="C245">
            <v>630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000000000008855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000000000008855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000000000008855</v>
          </cell>
        </row>
        <row r="248">
          <cell r="C248" t="str">
            <v>上-1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000000000008855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000000000008855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>
            <v>0</v>
          </cell>
          <cell r="P250">
            <v>0</v>
          </cell>
          <cell r="T250" t="str">
            <v>000000000008855</v>
          </cell>
        </row>
        <row r="251">
          <cell r="C251" t="str">
            <v>ランプシェード　SL-600</v>
          </cell>
          <cell r="I251">
            <v>0</v>
          </cell>
          <cell r="K251">
            <v>0</v>
          </cell>
          <cell r="O251">
            <v>0</v>
          </cell>
          <cell r="T251" t="str">
            <v>000000000008890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000000000008890</v>
          </cell>
        </row>
        <row r="253">
          <cell r="C253">
            <v>1200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000000000008890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000000000008890</v>
          </cell>
        </row>
        <row r="255">
          <cell r="C255">
            <v>2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000000000008890</v>
          </cell>
        </row>
        <row r="256"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000000000008890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000000000008890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>
            <v>0</v>
          </cell>
          <cell r="P258">
            <v>0</v>
          </cell>
          <cell r="T258" t="str">
            <v>000000000008890</v>
          </cell>
        </row>
        <row r="259">
          <cell r="C259">
            <v>45967</v>
          </cell>
          <cell r="I259">
            <v>0</v>
          </cell>
          <cell r="K259" t="e">
            <v>#DIV/0!</v>
          </cell>
          <cell r="O259">
            <v>0</v>
          </cell>
          <cell r="T259" t="str">
            <v/>
          </cell>
        </row>
        <row r="260">
          <cell r="G260" t="str">
            <v/>
          </cell>
          <cell r="I260" t="str">
            <v/>
          </cell>
          <cell r="K260" t="e">
            <v>#DIV/0!</v>
          </cell>
          <cell r="O260" t="e">
            <v>#DIV/0!</v>
          </cell>
          <cell r="T260" t="str">
            <v/>
          </cell>
        </row>
        <row r="261">
          <cell r="G261" t="str">
            <v/>
          </cell>
          <cell r="K261" t="e">
            <v>#DIV/0!</v>
          </cell>
          <cell r="O261" t="str">
            <v/>
          </cell>
          <cell r="T261" t="str">
            <v/>
          </cell>
        </row>
        <row r="262">
          <cell r="G262" t="str">
            <v/>
          </cell>
          <cell r="K262" t="e">
            <v>#DIV/0!</v>
          </cell>
          <cell r="O262" t="str">
            <v/>
          </cell>
          <cell r="T262" t="str">
            <v/>
          </cell>
        </row>
        <row r="263">
          <cell r="G263" t="str">
            <v/>
          </cell>
          <cell r="K263" t="e">
            <v>#DIV/0!</v>
          </cell>
          <cell r="O263">
            <v>0</v>
          </cell>
          <cell r="T263" t="str">
            <v/>
          </cell>
        </row>
        <row r="264">
          <cell r="G264" t="str">
            <v/>
          </cell>
          <cell r="K264" t="e">
            <v>#DIV/0!</v>
          </cell>
          <cell r="L264" t="str">
            <v>切断</v>
          </cell>
          <cell r="O264" t="e">
            <v>#DIV/0!</v>
          </cell>
          <cell r="T264" t="str">
            <v/>
          </cell>
        </row>
        <row r="265">
          <cell r="C265" t="e">
            <v>#N/A</v>
          </cell>
          <cell r="G265" t="str">
            <v/>
          </cell>
          <cell r="K265" t="e">
            <v>#DIV/0!</v>
          </cell>
          <cell r="L265" t="str">
            <v>検査</v>
          </cell>
          <cell r="T265" t="str">
            <v/>
          </cell>
        </row>
        <row r="266">
          <cell r="G266" t="str">
            <v/>
          </cell>
          <cell r="K266" t="e">
            <v>#DIV/0!</v>
          </cell>
          <cell r="L266" t="str">
            <v>α端材</v>
          </cell>
          <cell r="M266" t="e">
            <v>#DIV/0!</v>
          </cell>
          <cell r="O266" t="e">
            <v>#DIV/0!</v>
          </cell>
          <cell r="P266">
            <v>0</v>
          </cell>
          <cell r="T266" t="str">
            <v/>
          </cell>
        </row>
        <row r="267">
          <cell r="C267" t="str">
            <v>灯具カバーPC IN 2130　L=908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000000000008703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000000000008703</v>
          </cell>
        </row>
        <row r="269">
          <cell r="C269">
            <v>192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000000000008703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000000000008703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000000000008703</v>
          </cell>
        </row>
        <row r="272">
          <cell r="C272" t="str">
            <v>灯具-1　L=1370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000000000008703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000000000008703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>
            <v>0</v>
          </cell>
          <cell r="P274">
            <v>0</v>
          </cell>
          <cell r="T274" t="str">
            <v>000000000008703</v>
          </cell>
        </row>
        <row r="275">
          <cell r="C275">
            <v>45974</v>
          </cell>
          <cell r="I275">
            <v>0</v>
          </cell>
          <cell r="K275" t="e">
            <v>#DIV/0!</v>
          </cell>
          <cell r="O275">
            <v>0</v>
          </cell>
          <cell r="T275" t="str">
            <v/>
          </cell>
        </row>
        <row r="276">
          <cell r="G276" t="str">
            <v/>
          </cell>
          <cell r="I276" t="str">
            <v/>
          </cell>
          <cell r="K276" t="e">
            <v>#DIV/0!</v>
          </cell>
          <cell r="O276" t="e">
            <v>#DIV/0!</v>
          </cell>
          <cell r="T276" t="str">
            <v/>
          </cell>
        </row>
        <row r="277">
          <cell r="G277" t="str">
            <v/>
          </cell>
          <cell r="K277" t="e">
            <v>#DIV/0!</v>
          </cell>
          <cell r="O277" t="str">
            <v/>
          </cell>
          <cell r="T277" t="str">
            <v/>
          </cell>
        </row>
        <row r="278">
          <cell r="G278" t="str">
            <v/>
          </cell>
          <cell r="K278" t="e">
            <v>#DIV/0!</v>
          </cell>
          <cell r="O278" t="str">
            <v/>
          </cell>
          <cell r="T278" t="str">
            <v/>
          </cell>
        </row>
        <row r="279">
          <cell r="G279" t="str">
            <v/>
          </cell>
          <cell r="K279" t="e">
            <v>#DIV/0!</v>
          </cell>
          <cell r="O279">
            <v>0</v>
          </cell>
          <cell r="T279" t="str">
            <v/>
          </cell>
        </row>
        <row r="280">
          <cell r="G280" t="str">
            <v/>
          </cell>
          <cell r="K280" t="e">
            <v>#DIV/0!</v>
          </cell>
          <cell r="L280" t="str">
            <v>切断</v>
          </cell>
          <cell r="O280" t="e">
            <v>#DIV/0!</v>
          </cell>
          <cell r="T280" t="str">
            <v/>
          </cell>
        </row>
        <row r="281">
          <cell r="C281" t="e">
            <v>#N/A</v>
          </cell>
          <cell r="G281" t="str">
            <v/>
          </cell>
          <cell r="K281" t="e">
            <v>#DIV/0!</v>
          </cell>
          <cell r="L281" t="str">
            <v>検査</v>
          </cell>
          <cell r="T281" t="str">
            <v/>
          </cell>
        </row>
        <row r="282">
          <cell r="G282" t="str">
            <v/>
          </cell>
          <cell r="K282" t="e">
            <v>#DIV/0!</v>
          </cell>
          <cell r="L282" t="str">
            <v>α端材</v>
          </cell>
          <cell r="M282" t="e">
            <v>#DIV/0!</v>
          </cell>
          <cell r="O282" t="e">
            <v>#DIV/0!</v>
          </cell>
          <cell r="P282">
            <v>0</v>
          </cell>
          <cell r="T282" t="str">
            <v/>
          </cell>
        </row>
        <row r="283">
          <cell r="C283" t="str">
            <v>灯具カバーPC IN 2130　L=908</v>
          </cell>
          <cell r="I283">
            <v>0</v>
          </cell>
          <cell r="K283">
            <v>0</v>
          </cell>
          <cell r="O283">
            <v>0</v>
          </cell>
          <cell r="T283" t="str">
            <v>000000000008704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000000000008704</v>
          </cell>
        </row>
        <row r="285">
          <cell r="C285">
            <v>192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000000000008704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000000000008704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000000000008704</v>
          </cell>
        </row>
        <row r="288">
          <cell r="C288" t="str">
            <v>灯具-1　L=1370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000000000008704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000000000008704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>
            <v>0</v>
          </cell>
          <cell r="P290">
            <v>0</v>
          </cell>
          <cell r="T290" t="str">
            <v>000000000008704</v>
          </cell>
        </row>
        <row r="291">
          <cell r="C291" t="str">
            <v>灯具カバーPC  　2200    L=221.8</v>
          </cell>
          <cell r="I291">
            <v>0</v>
          </cell>
          <cell r="K291">
            <v>0</v>
          </cell>
          <cell r="O291">
            <v>0</v>
          </cell>
          <cell r="T291" t="str">
            <v>000000000008699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000000000008699</v>
          </cell>
        </row>
        <row r="293">
          <cell r="C293">
            <v>20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000000000008699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000000000008699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000000000008699</v>
          </cell>
        </row>
        <row r="296">
          <cell r="C296" t="str">
            <v>H型ジョイナー端材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000000000008699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000000000008699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>
            <v>0</v>
          </cell>
          <cell r="P298">
            <v>0</v>
          </cell>
          <cell r="T298" t="str">
            <v>000000000008699</v>
          </cell>
        </row>
        <row r="299">
          <cell r="C299" t="str">
            <v>灯具カバーPC IN 2140　L=547</v>
          </cell>
          <cell r="I299">
            <v>0</v>
          </cell>
          <cell r="K299">
            <v>0</v>
          </cell>
          <cell r="O299">
            <v>0</v>
          </cell>
          <cell r="T299" t="str">
            <v>000000000008701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000000000008701</v>
          </cell>
        </row>
        <row r="301">
          <cell r="C301">
            <v>80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000000000008701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000000000008701</v>
          </cell>
        </row>
        <row r="303">
          <cell r="C303">
            <v>1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000000000008701</v>
          </cell>
        </row>
        <row r="304">
          <cell r="C304" t="str">
            <v>灯具-1　L=1370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000000000008701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000000000008701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O306">
            <v>0</v>
          </cell>
          <cell r="P306">
            <v>0</v>
          </cell>
          <cell r="T306" t="str">
            <v>000000000008701</v>
          </cell>
        </row>
        <row r="307">
          <cell r="C307" t="str">
            <v>灯具カバーPC  　7530    L=565</v>
          </cell>
          <cell r="I307">
            <v>0</v>
          </cell>
          <cell r="K307">
            <v>0</v>
          </cell>
          <cell r="O307">
            <v>0</v>
          </cell>
          <cell r="T307" t="str">
            <v>000000000008700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000000000008700</v>
          </cell>
        </row>
        <row r="309">
          <cell r="C309">
            <v>20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000000000008700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000000000008700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000000000008700</v>
          </cell>
        </row>
        <row r="312">
          <cell r="C312" t="str">
            <v>H型ジョイナー端材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000000000008700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000000000008700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>
            <v>0</v>
          </cell>
          <cell r="P314">
            <v>0</v>
          </cell>
          <cell r="T314" t="str">
            <v>000000000008700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294" workbookViewId="0">
      <selection activeCell="AE264" sqref="AE26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99" t="s">
        <v>0</v>
      </c>
      <c r="C1" s="136"/>
      <c r="D1" s="13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36"/>
      <c r="C2" s="136"/>
      <c r="D2" s="136"/>
      <c r="E2" s="12"/>
      <c r="F2" s="12"/>
      <c r="G2" s="12"/>
      <c r="H2" s="12"/>
      <c r="I2" s="12"/>
      <c r="J2" s="12"/>
    </row>
    <row r="3" spans="1:10" ht="14.25" customHeight="1">
      <c r="A3" s="194" t="s">
        <v>1</v>
      </c>
      <c r="B3" s="194" t="s">
        <v>2</v>
      </c>
      <c r="C3" s="194" t="s">
        <v>3</v>
      </c>
      <c r="D3" s="196">
        <v>297</v>
      </c>
      <c r="E3" s="194" t="s">
        <v>4</v>
      </c>
      <c r="F3" s="188" t="s">
        <v>5</v>
      </c>
      <c r="G3" s="136"/>
      <c r="H3" s="139"/>
      <c r="I3" s="13" t="s">
        <v>6</v>
      </c>
      <c r="J3" s="13" t="s">
        <v>7</v>
      </c>
    </row>
    <row r="4" spans="1:10" ht="14.25" customHeight="1">
      <c r="A4" s="136"/>
      <c r="B4" s="136"/>
      <c r="C4" s="136"/>
      <c r="D4" s="136"/>
      <c r="E4" s="136"/>
      <c r="F4" s="136"/>
      <c r="G4" s="136"/>
      <c r="H4" s="139"/>
      <c r="I4" s="186"/>
      <c r="J4" s="186"/>
    </row>
    <row r="5" spans="1:10" ht="17.45" customHeight="1">
      <c r="A5" s="154" t="s">
        <v>8</v>
      </c>
      <c r="B5" s="154" t="s">
        <v>9</v>
      </c>
      <c r="E5" s="154" t="s">
        <v>10</v>
      </c>
      <c r="F5" s="198" t="s">
        <v>11</v>
      </c>
      <c r="G5" s="136"/>
      <c r="H5" s="139"/>
      <c r="I5" s="187"/>
      <c r="J5" s="187"/>
    </row>
    <row r="6" spans="1:10" ht="17.45" customHeight="1">
      <c r="A6" s="136"/>
      <c r="B6" s="136"/>
      <c r="E6" s="136"/>
      <c r="F6" s="136"/>
      <c r="G6" s="136"/>
      <c r="H6" s="139"/>
      <c r="I6" s="14"/>
      <c r="J6" s="14"/>
    </row>
    <row r="7" spans="1:10" ht="17.45" customHeight="1">
      <c r="A7" s="154" t="s">
        <v>12</v>
      </c>
      <c r="B7" s="154" t="s">
        <v>13</v>
      </c>
      <c r="E7" s="2" t="s">
        <v>14</v>
      </c>
      <c r="F7" s="204" t="s">
        <v>15</v>
      </c>
      <c r="G7" s="136"/>
      <c r="H7" s="21"/>
    </row>
    <row r="8" spans="1:10" ht="17.45" customHeight="1">
      <c r="A8" s="136"/>
      <c r="B8" s="136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45958</v>
      </c>
      <c r="E9" s="2" t="s">
        <v>19</v>
      </c>
      <c r="F9" s="193">
        <v>100</v>
      </c>
      <c r="G9" s="136"/>
      <c r="H9" s="21"/>
    </row>
    <row r="10" spans="1:10" ht="17.45" customHeight="1">
      <c r="A10" s="2" t="s">
        <v>20</v>
      </c>
      <c r="B10" s="4">
        <v>45958</v>
      </c>
      <c r="E10" s="2" t="s">
        <v>21</v>
      </c>
      <c r="F10" s="21">
        <v>4</v>
      </c>
      <c r="G10" s="205" t="s">
        <v>22</v>
      </c>
      <c r="H10" s="200">
        <v>400</v>
      </c>
      <c r="I10" s="201"/>
      <c r="J10" s="20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203"/>
      <c r="H11" s="203"/>
      <c r="I11" s="140"/>
      <c r="J11" s="141"/>
    </row>
    <row r="12" spans="1:10" ht="13.5" customHeight="1">
      <c r="A12" s="195" t="s">
        <v>25</v>
      </c>
      <c r="B12" s="136"/>
      <c r="C12" s="136"/>
      <c r="D12" s="20"/>
      <c r="F12" s="3"/>
      <c r="G12" s="181" t="s">
        <v>26</v>
      </c>
      <c r="H12" s="190" t="s">
        <v>27</v>
      </c>
      <c r="I12" s="138" t="s">
        <v>28</v>
      </c>
      <c r="J12" s="139"/>
    </row>
    <row r="13" spans="1:10" ht="13.5" customHeight="1">
      <c r="A13" s="136"/>
      <c r="B13" s="136"/>
      <c r="C13" s="136"/>
      <c r="D13" s="20"/>
      <c r="F13" s="3"/>
      <c r="G13" s="182"/>
      <c r="H13" s="182"/>
      <c r="I13" s="140"/>
      <c r="J13" s="141"/>
    </row>
    <row r="14" spans="1:10" ht="13.5" customHeight="1">
      <c r="A14" s="1" t="s">
        <v>29</v>
      </c>
    </row>
    <row r="15" spans="1:10" ht="63" customHeight="1" thickBot="1">
      <c r="A15" s="184"/>
      <c r="B15" s="185"/>
      <c r="C15" s="185"/>
      <c r="D15" s="185"/>
      <c r="E15" s="185"/>
      <c r="F15" s="185"/>
      <c r="G15" s="185"/>
      <c r="H15" s="185"/>
      <c r="I15" s="185"/>
      <c r="J15" s="185"/>
    </row>
    <row r="16" spans="1:10" ht="18.75">
      <c r="A16" s="23" t="s">
        <v>30</v>
      </c>
      <c r="B16" s="16" t="s">
        <v>31</v>
      </c>
      <c r="C16" s="191" t="s">
        <v>32</v>
      </c>
      <c r="D16" s="192"/>
      <c r="E16" s="16" t="s">
        <v>33</v>
      </c>
      <c r="F16" s="191" t="s">
        <v>34</v>
      </c>
      <c r="G16" s="192"/>
      <c r="H16" s="192"/>
      <c r="I16" s="208" t="s">
        <v>35</v>
      </c>
      <c r="J16" s="19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42" t="s">
        <v>37</v>
      </c>
      <c r="D18" s="197"/>
      <c r="E18" s="24" t="s">
        <v>38</v>
      </c>
      <c r="F18" s="142" t="s">
        <v>39</v>
      </c>
      <c r="G18" s="197"/>
      <c r="H18" s="197"/>
      <c r="I18" s="137"/>
      <c r="J18" s="197"/>
    </row>
    <row r="19" spans="1:10" s="7" customFormat="1" ht="16.5" customHeight="1">
      <c r="A19" s="22">
        <v>1</v>
      </c>
      <c r="B19" s="25" t="s">
        <v>36</v>
      </c>
      <c r="C19" s="142" t="s">
        <v>37</v>
      </c>
      <c r="D19" s="197"/>
      <c r="E19" s="24" t="s">
        <v>40</v>
      </c>
      <c r="F19" s="142" t="s">
        <v>41</v>
      </c>
      <c r="G19" s="197"/>
      <c r="H19" s="197"/>
      <c r="I19" s="137"/>
      <c r="J19" s="197"/>
    </row>
    <row r="20" spans="1:10" s="7" customFormat="1" ht="16.5" customHeight="1">
      <c r="A20" s="22"/>
      <c r="B20" s="25"/>
      <c r="C20" s="142"/>
      <c r="D20" s="197"/>
      <c r="E20" s="24"/>
      <c r="F20" s="142"/>
      <c r="G20" s="197"/>
      <c r="H20" s="197"/>
      <c r="I20" s="137"/>
      <c r="J20" s="197"/>
    </row>
    <row r="21" spans="1:10" s="7" customFormat="1" ht="16.5" customHeight="1">
      <c r="A21" s="22"/>
      <c r="B21" s="25"/>
      <c r="C21" s="142"/>
      <c r="D21" s="197"/>
      <c r="E21" s="24"/>
      <c r="F21" s="142"/>
      <c r="G21" s="197"/>
      <c r="H21" s="197"/>
      <c r="I21" s="137"/>
      <c r="J21" s="197"/>
    </row>
    <row r="22" spans="1:10" s="7" customFormat="1" ht="16.5" customHeight="1">
      <c r="A22" s="22"/>
      <c r="B22" s="25"/>
      <c r="C22" s="142"/>
      <c r="D22" s="197"/>
      <c r="E22" s="24"/>
      <c r="F22" s="142"/>
      <c r="G22" s="197"/>
      <c r="H22" s="197"/>
      <c r="I22" s="137"/>
      <c r="J22" s="197"/>
    </row>
    <row r="23" spans="1:10" s="7" customFormat="1" ht="16.5" customHeight="1">
      <c r="A23" s="22"/>
      <c r="B23" s="25"/>
      <c r="C23" s="142"/>
      <c r="D23" s="197"/>
      <c r="E23" s="24"/>
      <c r="F23" s="142"/>
      <c r="G23" s="197"/>
      <c r="H23" s="197"/>
      <c r="I23" s="137"/>
      <c r="J23" s="19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44" t="s">
        <v>42</v>
      </c>
      <c r="B25" s="145"/>
      <c r="C25" s="144" t="s">
        <v>43</v>
      </c>
      <c r="D25" s="145"/>
      <c r="E25" s="145"/>
      <c r="F25" s="17" t="s">
        <v>44</v>
      </c>
      <c r="G25" s="144" t="s">
        <v>45</v>
      </c>
      <c r="H25" s="145"/>
      <c r="I25" s="144" t="s">
        <v>46</v>
      </c>
      <c r="J25" s="145"/>
    </row>
    <row r="26" spans="1:10" ht="14.25" customHeight="1">
      <c r="A26" s="8"/>
      <c r="B26" s="18"/>
      <c r="C26" s="189" t="s">
        <v>47</v>
      </c>
      <c r="D26" s="140"/>
      <c r="E26" s="18"/>
      <c r="F26" s="189" t="s">
        <v>29</v>
      </c>
      <c r="G26" s="140"/>
      <c r="H26" s="140"/>
      <c r="I26" s="140"/>
      <c r="J26" s="140"/>
    </row>
    <row r="27" spans="1:10">
      <c r="A27" s="9"/>
      <c r="C27" s="7"/>
      <c r="D27" s="7"/>
      <c r="E27" s="7"/>
    </row>
    <row r="28" spans="1:10" s="5" customFormat="1" ht="14.25" customHeight="1">
      <c r="A28" s="142" t="s">
        <v>48</v>
      </c>
      <c r="B28" s="183"/>
      <c r="C28" s="142" t="s">
        <v>49</v>
      </c>
      <c r="D28" s="183"/>
      <c r="E28" s="183"/>
      <c r="F28" s="26" t="s">
        <v>50</v>
      </c>
      <c r="G28" s="143">
        <v>66.8</v>
      </c>
      <c r="H28" s="183"/>
      <c r="I28" s="143">
        <v>0.66800000000000004</v>
      </c>
      <c r="J28" s="183"/>
    </row>
    <row r="29" spans="1:10" s="7" customFormat="1" ht="24.95" customHeight="1">
      <c r="A29" s="135" t="s">
        <v>51</v>
      </c>
      <c r="B29" s="197"/>
      <c r="C29" s="142"/>
      <c r="D29" s="197"/>
      <c r="E29" s="197"/>
      <c r="F29" s="142"/>
      <c r="G29" s="197"/>
      <c r="H29" s="197"/>
      <c r="I29" s="197"/>
      <c r="J29" s="197"/>
    </row>
    <row r="30" spans="1:10" s="5" customFormat="1" ht="14.25" customHeight="1">
      <c r="A30" s="142" t="s">
        <v>52</v>
      </c>
      <c r="B30" s="183"/>
      <c r="C30" s="142" t="s">
        <v>53</v>
      </c>
      <c r="D30" s="183"/>
      <c r="E30" s="183"/>
      <c r="F30" s="26" t="s">
        <v>54</v>
      </c>
      <c r="G30" s="143">
        <v>4</v>
      </c>
      <c r="H30" s="183"/>
      <c r="I30" s="143">
        <v>0.04</v>
      </c>
      <c r="J30" s="183"/>
    </row>
    <row r="31" spans="1:10" s="7" customFormat="1" ht="24.95" customHeight="1">
      <c r="A31" s="135" t="s">
        <v>55</v>
      </c>
      <c r="B31" s="197"/>
      <c r="C31" s="142" t="s">
        <v>56</v>
      </c>
      <c r="D31" s="197"/>
      <c r="E31" s="197"/>
      <c r="F31" s="142"/>
      <c r="G31" s="197"/>
      <c r="H31" s="197"/>
      <c r="I31" s="197"/>
      <c r="J31" s="197"/>
    </row>
    <row r="32" spans="1:10" s="5" customFormat="1" ht="14.25" customHeight="1">
      <c r="A32" s="142" t="s">
        <v>57</v>
      </c>
      <c r="B32" s="183"/>
      <c r="C32" s="142" t="s">
        <v>58</v>
      </c>
      <c r="D32" s="183"/>
      <c r="E32" s="183"/>
      <c r="F32" s="26"/>
      <c r="G32" s="143">
        <v>0.4</v>
      </c>
      <c r="H32" s="183"/>
      <c r="I32" s="143">
        <v>4.0000000000000001E-3</v>
      </c>
      <c r="J32" s="183"/>
    </row>
    <row r="33" spans="1:14" s="7" customFormat="1" ht="24.95" customHeight="1">
      <c r="A33" s="135" t="s">
        <v>59</v>
      </c>
      <c r="B33" s="197"/>
      <c r="C33" s="142" t="s">
        <v>60</v>
      </c>
      <c r="D33" s="197"/>
      <c r="E33" s="197"/>
      <c r="F33" s="142"/>
      <c r="G33" s="197"/>
      <c r="H33" s="197"/>
      <c r="I33" s="197"/>
      <c r="J33" s="197"/>
    </row>
    <row r="34" spans="1:14" s="5" customFormat="1" ht="14.25" customHeight="1">
      <c r="A34" s="142" t="s">
        <v>61</v>
      </c>
      <c r="B34" s="183"/>
      <c r="C34" s="142" t="s">
        <v>62</v>
      </c>
      <c r="D34" s="183"/>
      <c r="E34" s="183"/>
      <c r="F34" s="26"/>
      <c r="G34" s="143">
        <v>0.4</v>
      </c>
      <c r="H34" s="183"/>
      <c r="I34" s="143">
        <v>4.0000000000000001E-3</v>
      </c>
      <c r="J34" s="183"/>
    </row>
    <row r="35" spans="1:14" s="7" customFormat="1" ht="24.95" customHeight="1">
      <c r="A35" s="135" t="s">
        <v>63</v>
      </c>
      <c r="B35" s="197"/>
      <c r="C35" s="142" t="s">
        <v>64</v>
      </c>
      <c r="D35" s="197"/>
      <c r="E35" s="197"/>
      <c r="F35" s="142"/>
      <c r="G35" s="197"/>
      <c r="H35" s="197"/>
      <c r="I35" s="197"/>
      <c r="J35" s="197"/>
    </row>
    <row r="36" spans="1:14" s="5" customFormat="1" ht="14.25" customHeight="1">
      <c r="A36" s="142"/>
      <c r="B36" s="183"/>
      <c r="C36" s="142"/>
      <c r="D36" s="183"/>
      <c r="E36" s="183"/>
      <c r="F36" s="26"/>
      <c r="G36" s="143"/>
      <c r="H36" s="183"/>
      <c r="I36" s="143"/>
      <c r="J36" s="183"/>
    </row>
    <row r="37" spans="1:14" s="7" customFormat="1" ht="24.95" customHeight="1" thickBot="1">
      <c r="A37" s="135"/>
      <c r="B37" s="197"/>
      <c r="C37" s="142"/>
      <c r="D37" s="197"/>
      <c r="E37" s="197"/>
      <c r="F37" s="142"/>
      <c r="G37" s="197"/>
      <c r="H37" s="197"/>
      <c r="I37" s="197"/>
      <c r="J37" s="197"/>
    </row>
    <row r="38" spans="1:14" s="5" customFormat="1" ht="18" customHeight="1">
      <c r="A38" s="206" t="s">
        <v>102</v>
      </c>
      <c r="B38" s="207"/>
      <c r="C38" s="207"/>
      <c r="D38" s="207"/>
      <c r="E38" s="174" t="s">
        <v>103</v>
      </c>
      <c r="F38" s="175"/>
      <c r="G38" s="27" t="s">
        <v>104</v>
      </c>
      <c r="H38" s="209" t="s">
        <v>105</v>
      </c>
      <c r="I38" s="210"/>
      <c r="J38" s="28" t="s">
        <v>106</v>
      </c>
    </row>
    <row r="39" spans="1:14" s="7" customFormat="1" ht="18" customHeight="1">
      <c r="A39" s="176" t="str">
        <f>_xlfn.XLOOKUP(B3,[1]VFDB2!A:A,[1]VFDB2!B:B)</f>
        <v>8FL281304 4810　L=297</v>
      </c>
      <c r="B39" s="177"/>
      <c r="C39" s="177"/>
      <c r="D39" s="177"/>
      <c r="E39" s="161" t="str" cm="1">
        <f t="array" ref="E39">IFERROR(IF(ISBLANK(INDEX(_xlfn._xlws.FILTER([1]加工記録２!$C$3:$C$999615, [1]加工記録２!$T$3:$T$999615=B5), 6)), "", INDEX(_xlfn._xlws.FILTER([1]加工記録２!$C$3:$C$999615, [1]加工記録２!$T$3:$T$999615=B5), 6)),"")</f>
        <v/>
      </c>
      <c r="F39" s="162"/>
      <c r="G39" s="211" t="str" cm="1">
        <f t="array" ref="G39">IFERROR(IF(ISBLANK(INDEX(_xlfn._xlws.FILTER([1]加工記録２!$C$3:$C$999615, [1]加工記録２!$T$3:$T$999615=B5), 7)), " ", INDEX(_xlfn._xlws.FILTER([1]加工記録２!$C$3:$C$999615, [1]加工記録２!$T$3:$T$999615=B5), 7))," ")</f>
        <v xml:space="preserve"> </v>
      </c>
      <c r="H39" s="29" t="s">
        <v>107</v>
      </c>
      <c r="I39" s="88" t="str" cm="1">
        <f t="array" ref="I39">IFERROR(IF(ISBLANK(INDEX(_xlfn._xlws.FILTER([1]加工記録２!$O$3:$P$999678, [1]加工記録２!$T$3:$T$999678=$B$5), 1)), "", INDEX(_xlfn._xlws.FILTER([1]加工記録２!$O$3:$P$999678, [1]加工記録２!$T$3:$T$999678=$B$5), 1)),"")</f>
        <v/>
      </c>
      <c r="J39" s="31"/>
    </row>
    <row r="40" spans="1:14" s="5" customFormat="1" ht="18" customHeight="1">
      <c r="A40" s="178"/>
      <c r="B40" s="179"/>
      <c r="C40" s="179"/>
      <c r="D40" s="179"/>
      <c r="E40" s="161"/>
      <c r="F40" s="162"/>
      <c r="G40" s="211"/>
      <c r="H40" s="29" t="s">
        <v>108</v>
      </c>
      <c r="I40" s="89" t="str" cm="1">
        <f t="array" ref="I40">IFERROR(IF(ISBLANK(INDEX(_xlfn._xlws.FILTER([1]加工記録２!$O$3:$P$999678, [1]加工記録２!$T$3:$T$999678=$B$5), 2)), "", INDEX(_xlfn._xlws.FILTER([1]加工記録２!$O$3:$P$999678, [1]加工記録２!$T$3:$T$999678=$B$5), 2)),"")</f>
        <v/>
      </c>
      <c r="J40" s="33"/>
      <c r="K40" s="34"/>
    </row>
    <row r="41" spans="1:14" s="7" customFormat="1" ht="18" customHeight="1">
      <c r="A41" s="164" t="s">
        <v>109</v>
      </c>
      <c r="B41" s="155" t="str">
        <f>_xlfn.XLOOKUP(B3,[1]VFDB2!A:A,[1]VFDB2!J:J)</f>
        <v>〇</v>
      </c>
      <c r="C41" s="157" t="s">
        <v>110</v>
      </c>
      <c r="D41" s="159">
        <f>_xlfn.XLOOKUP(B3,[1]VFDB2!A:A,[1]VFDB2!P:P)</f>
        <v>6</v>
      </c>
      <c r="E41" s="161" t="str">
        <f>_xlfn.XLOOKUP(B3,[1]VFDB2!A:A,[1]VFDB2!V:V)</f>
        <v>1箱目の梱包数 目視確認　以降、重量測定</v>
      </c>
      <c r="F41" s="162"/>
      <c r="G41" s="163"/>
      <c r="H41" s="35" t="s">
        <v>111</v>
      </c>
      <c r="I41" s="89" t="str" cm="1">
        <f t="array" ref="I41">IFERROR(IF(ISBLANK(INDEX(_xlfn._xlws.FILTER([1]加工記録２!$O$3:$P$999678,[1]加工記録２!$T$3:$T$999678=$B$5), 3)), "", INDEX(_xlfn._xlws.FILTER([1]加工記録２!$O$3:$P$999678, [1]加工記録２!$T$3:$T$999678=$B$5), 3)),"")</f>
        <v/>
      </c>
      <c r="J41" s="36"/>
      <c r="K41" s="37"/>
    </row>
    <row r="42" spans="1:14" s="5" customFormat="1" ht="18" customHeight="1">
      <c r="A42" s="180"/>
      <c r="B42" s="156"/>
      <c r="C42" s="158"/>
      <c r="D42" s="160"/>
      <c r="E42" s="161"/>
      <c r="F42" s="162"/>
      <c r="G42" s="163"/>
      <c r="H42" s="35" t="s">
        <v>112</v>
      </c>
      <c r="I42" s="89" t="str" cm="1">
        <f t="array" ref="I42">IFERROR(IF(ISBLANK(INDEX(_xlfn._xlws.FILTER([1]加工記録２!$O$3:$P$999678,[1]加工記録２!$T$3:$T$999678=$B$5), 4)), "", INDEX(_xlfn._xlws.FILTER([1]加工記録２!$O$3:$P$999678, [1]加工記録２!$T$3:$T$999678=$B$5), 4)),"")</f>
        <v/>
      </c>
      <c r="J42" s="38"/>
      <c r="K42" s="34"/>
    </row>
    <row r="43" spans="1:14" s="7" customFormat="1" ht="18" customHeight="1">
      <c r="A43" s="146" t="s">
        <v>113</v>
      </c>
      <c r="B43" s="148">
        <f>D3</f>
        <v>297</v>
      </c>
      <c r="C43" s="150" t="s">
        <v>114</v>
      </c>
      <c r="D43" s="152" t="str">
        <f>_xlfn.XLOOKUP(B3,[1]VFDB2!A:A,[1]VFDB2!L:L)</f>
        <v>+0.5</v>
      </c>
      <c r="E43" s="161" t="str">
        <f>_xlfn.XLOOKUP(B3,[1]VFDB2!A:A,[1]VFDB2!W:W)</f>
        <v>クラフト紙：592型　1/2</v>
      </c>
      <c r="F43" s="162"/>
      <c r="G43" s="163"/>
      <c r="H43" s="35" t="s">
        <v>115</v>
      </c>
      <c r="I43" s="89" t="str" cm="1">
        <f t="array" ref="I43">IFERROR(IF(ISBLANK(INDEX(_xlfn._xlws.FILTER([1]加工記録２!$O$3:$P$999678,[1]加工記録２!$T$3:$T$999678=$B$5), 5)), "", INDEX(_xlfn._xlws.FILTER([1]加工記録２!$O$3:$P$999678, [1]加工記録２!$T$3:$T$999678=$B$5), 5)),"")</f>
        <v/>
      </c>
      <c r="J43" s="39"/>
      <c r="K43" s="37"/>
    </row>
    <row r="44" spans="1:14" s="5" customFormat="1" ht="18" customHeight="1">
      <c r="A44" s="147"/>
      <c r="B44" s="149"/>
      <c r="C44" s="151"/>
      <c r="D44" s="153"/>
      <c r="E44" s="161"/>
      <c r="F44" s="162"/>
      <c r="G44" s="163"/>
      <c r="H44" s="35" t="s">
        <v>116</v>
      </c>
      <c r="I44" s="89" t="str" cm="1">
        <f t="array" ref="I44">IFERROR(IF(ISBLANK(INDEX(_xlfn._xlws.FILTER([1]加工記録２!$O$3:$P$999678,[1]加工記録２!$T$3:$T$999678=$B$5), 6)), "", INDEX(_xlfn._xlws.FILTER([1]加工記録２!$O$3:$P$999678, [1]加工記録２!$T$3:$T$999678=$B$5), 6)),"")</f>
        <v/>
      </c>
      <c r="J44" s="40"/>
      <c r="K44" s="34"/>
    </row>
    <row r="45" spans="1:14" s="7" customFormat="1" ht="18" customHeight="1">
      <c r="A45" s="164" t="s">
        <v>117</v>
      </c>
      <c r="B45" s="166" t="str">
        <f>_xlfn.XLOOKUP(B3,[1]VFDB2!A:A,[1]VFDB2!AC:AC)</f>
        <v>換算表確認</v>
      </c>
      <c r="C45" s="168" t="s">
        <v>118</v>
      </c>
      <c r="D45" s="152" t="str">
        <f>_xlfn.XLOOKUP(B3,[1]VFDB2!A:A,[1]VFDB2!K:K)</f>
        <v>－0.5</v>
      </c>
      <c r="E45" s="161" t="str">
        <f>_xlfn.XLOOKUP(B3,[1]VFDB2!A:A,[1]VFDB2!R:R)</f>
        <v>ラベル１枚　長手無　鉢巻１回</v>
      </c>
      <c r="F45" s="162"/>
      <c r="G45" s="163"/>
      <c r="H45" s="35" t="s">
        <v>119</v>
      </c>
      <c r="I45" s="89" t="str" cm="1">
        <f t="array" ref="I45">IFERROR(IF(ISBLANK(INDEX(_xlfn._xlws.FILTER([1]加工記録２!$M$3:$M$999678, [1]加工記録２!$T$3:$T$999678=$B$5), 6)), "", INDEX(_xlfn._xlws.FILTER([1]加工記録２!$M$3:$M$999678, [1]加工記録２!$T$3:$T$999678=$B$5), 6)),"")</f>
        <v/>
      </c>
      <c r="J45" s="41" t="str" cm="1">
        <f t="array" ref="J45">IFERROR(IF(ISBLANK(INDEX(_xlfn._xlws.FILTER([1]加工記録２!$P$3:$P$999678, [1]加工記録２!$T$3:$T$999678=B5), 7)), "", INDEX(_xlfn._xlws.FILTER([1]加工記録２!$P$3:$P$999678, [1]加工記録２!$T$3:$T$999678=B5), 7)),"")</f>
        <v/>
      </c>
      <c r="K45" s="37"/>
    </row>
    <row r="46" spans="1:14" s="5" customFormat="1" ht="18" customHeight="1" thickBot="1">
      <c r="A46" s="165"/>
      <c r="B46" s="167"/>
      <c r="C46" s="169"/>
      <c r="D46" s="170"/>
      <c r="E46" s="171"/>
      <c r="F46" s="172"/>
      <c r="G46" s="173"/>
      <c r="H46" s="42" t="s">
        <v>120</v>
      </c>
      <c r="I46" s="89" t="str" cm="1">
        <f t="array" ref="I46">IFERROR(IF(ISBLANK(INDEX(_xlfn._xlws.FILTER([1]加工記録２!$M$3:$M$999678, [1]加工記録２!$T$3:$T$999678=$B$5), 7)), "", INDEX(_xlfn._xlws.FILTER([1]加工記録２!$M$3:$M$999678, [1]加工記録２!$T$3:$T$999678=$B$5), 7)),"")</f>
        <v/>
      </c>
      <c r="J46" s="90">
        <f>SUM(J39:J45)</f>
        <v>0</v>
      </c>
    </row>
    <row r="47" spans="1:14" s="55" customFormat="1" ht="18.95" customHeight="1">
      <c r="A47" s="45" t="s">
        <v>121</v>
      </c>
      <c r="B47" s="46" t="s">
        <v>122</v>
      </c>
      <c r="C47" s="47" t="s">
        <v>123</v>
      </c>
      <c r="D47" s="47" t="s">
        <v>124</v>
      </c>
      <c r="E47" s="48" t="s">
        <v>125</v>
      </c>
      <c r="F47" s="49" t="s">
        <v>126</v>
      </c>
      <c r="G47" s="50" t="s">
        <v>127</v>
      </c>
      <c r="H47" s="51" t="s">
        <v>128</v>
      </c>
      <c r="I47" s="52" t="s">
        <v>129</v>
      </c>
      <c r="J47" s="53" t="s">
        <v>130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">IFERROR(IF(ISBLANK(INDEX(_xlfn._xlws.FILTER([1]加工記録２!$D$3:$M$999678, [1]加工記録２!$T$3:$T$999678=$B$5), 1)), "", INDEX(_xlfn._xlws.FILTER([1]加工記録２!$D$3:$M$999678, [1]加工記録２!$T$3:$T$999678=$B$5), 1)),"")</f>
        <v/>
      </c>
      <c r="B48" s="57"/>
      <c r="C48" s="58"/>
      <c r="D48" s="58"/>
      <c r="E48" s="59"/>
      <c r="F48" s="60"/>
      <c r="G48" s="61"/>
      <c r="H48" s="62"/>
      <c r="I48" s="63"/>
      <c r="J48" s="64"/>
      <c r="K48" s="65"/>
      <c r="L48" s="65"/>
      <c r="M48" s="65"/>
      <c r="N48" s="65"/>
    </row>
    <row r="49" spans="1:14" s="66" customFormat="1" ht="18.95" customHeight="1">
      <c r="A49" s="56" t="str" cm="1">
        <f t="array" ref="A49">IFERROR(IF(ISBLANK(INDEX(_xlfn._xlws.FILTER([1]加工記録２!$D$3:$M$999678, [1]加工記録２!$T$3:$T$999678=$B$5), 2)), "", INDEX(_xlfn._xlws.FILTER([1]加工記録２!$D$3:$M$999678, [1]加工記録２!$T$3:$T$999678=$B$5), 2)),"")</f>
        <v/>
      </c>
      <c r="B49" s="68"/>
      <c r="C49" s="68"/>
      <c r="D49" s="91"/>
      <c r="E49" s="92"/>
      <c r="F49" s="70"/>
      <c r="G49" s="71"/>
      <c r="H49" s="72"/>
      <c r="I49" s="63"/>
      <c r="J49" s="64"/>
      <c r="K49" s="65"/>
      <c r="L49" s="65"/>
      <c r="M49" s="65"/>
      <c r="N49" s="65"/>
    </row>
    <row r="50" spans="1:14" s="66" customFormat="1" ht="18.95" customHeight="1">
      <c r="A50" s="56" t="str" cm="1">
        <f t="array" ref="A50">IFERROR(IF(ISBLANK(INDEX(_xlfn._xlws.FILTER([1]加工記録２!$D$3:$M$999678, [1]加工記録２!$T$3:$T$999678=$B$5), 3)), "", INDEX(_xlfn._xlws.FILTER([1]加工記録２!$D$3:$M$999678, [1]加工記録２!$T$3:$T$999678=$B$5), 3)),"")</f>
        <v/>
      </c>
      <c r="B50" s="68"/>
      <c r="C50" s="68"/>
      <c r="D50" s="91"/>
      <c r="E50" s="92"/>
      <c r="F50" s="70"/>
      <c r="G50" s="71"/>
      <c r="H50" s="72"/>
      <c r="I50" s="63"/>
      <c r="J50" s="64"/>
      <c r="K50" s="65"/>
      <c r="L50" s="65"/>
      <c r="M50" s="65"/>
      <c r="N50" s="65"/>
    </row>
    <row r="51" spans="1:14" s="66" customFormat="1" ht="18.95" customHeight="1">
      <c r="A51" s="56" t="str" cm="1">
        <f t="array" ref="A51">IFERROR(IF(ISBLANK(INDEX(_xlfn._xlws.FILTER([1]加工記録２!$D$3:$M$999678, [1]加工記録２!$T$3:$T$999678=$B$5), 4)), "", INDEX(_xlfn._xlws.FILTER([1]加工記録２!$D$3:$M$999678, [1]加工記録２!$T$3:$T$999678=$B$5), 4)),"")</f>
        <v/>
      </c>
      <c r="B51" s="68"/>
      <c r="C51" s="68"/>
      <c r="D51" s="91"/>
      <c r="E51" s="92"/>
      <c r="F51" s="70"/>
      <c r="G51" s="71"/>
      <c r="H51" s="72"/>
      <c r="I51" s="63"/>
      <c r="J51" s="64"/>
      <c r="K51" s="65"/>
      <c r="L51" s="65"/>
      <c r="M51" s="65"/>
      <c r="N51" s="65"/>
    </row>
    <row r="52" spans="1:14" s="66" customFormat="1" ht="18.95" customHeight="1">
      <c r="A52" s="56" t="str" cm="1">
        <f t="array" ref="A52">IFERROR(IF(ISBLANK(INDEX(_xlfn._xlws.FILTER([1]加工記録２!$D$3:$M$999678, [1]加工記録２!$T$3:$T$999678=$B$5), 5)), "", INDEX(_xlfn._xlws.FILTER([1]加工記録２!$D$3:$M$999678, [1]加工記録２!$T$3:$T$999678=$B$5), 5)),"")</f>
        <v/>
      </c>
      <c r="B52" s="68"/>
      <c r="C52" s="68"/>
      <c r="D52" s="91"/>
      <c r="E52" s="92"/>
      <c r="F52" s="70"/>
      <c r="G52" s="71"/>
      <c r="H52" s="72"/>
      <c r="I52" s="73"/>
      <c r="J52" s="74"/>
      <c r="K52" s="65"/>
      <c r="L52" s="65"/>
      <c r="M52" s="65"/>
      <c r="N52" s="65"/>
    </row>
    <row r="53" spans="1:14" s="66" customFormat="1" ht="18.95" customHeight="1">
      <c r="A53" s="56" t="str" cm="1">
        <f t="array" ref="A53">IFERROR(IF(ISBLANK(INDEX(_xlfn._xlws.FILTER([1]加工記録２!$D$3:$K$999678, [1]加工記録２!$T$3:$T$999678=$B$5), 6)), "", INDEX(_xlfn._xlws.FILTER([1]加工記録２!$D$3:$K$999678, [1]加工記録２!$T$3:$T$999678=$B$5), 6)),"")</f>
        <v/>
      </c>
      <c r="B53" s="68"/>
      <c r="C53" s="68"/>
      <c r="D53" s="91"/>
      <c r="E53" s="92"/>
      <c r="F53" s="70"/>
      <c r="G53" s="71"/>
      <c r="H53" s="72"/>
      <c r="I53" s="73"/>
      <c r="J53" s="74"/>
      <c r="K53" s="65"/>
      <c r="L53" s="65"/>
      <c r="M53" s="65"/>
      <c r="N53" s="65"/>
    </row>
    <row r="54" spans="1:14" s="66" customFormat="1" ht="18.95" customHeight="1">
      <c r="A54" s="56" t="str" cm="1">
        <f t="array" ref="A54">IFERROR(IF(ISBLANK(INDEX(_xlfn._xlws.FILTER([1]加工記録２!$D$3:$K$999678, [1]加工記録２!$T$3:$T$999678=$B$5), 7)), "", INDEX(_xlfn._xlws.FILTER([1]加工記録２!$D$3:$K$999678, [1]加工記録２!$T$3:$T$999678=$B$5), 7)),"")</f>
        <v/>
      </c>
      <c r="B54" s="68"/>
      <c r="C54" s="68"/>
      <c r="D54" s="91"/>
      <c r="E54" s="92"/>
      <c r="F54" s="70"/>
      <c r="G54" s="71"/>
      <c r="H54" s="72"/>
      <c r="I54" s="73"/>
      <c r="J54" s="74"/>
      <c r="K54" s="65"/>
      <c r="L54" s="65"/>
      <c r="M54" s="65"/>
      <c r="N54" s="65"/>
    </row>
    <row r="55" spans="1:14" s="66" customFormat="1" ht="18.95" customHeight="1" thickBot="1">
      <c r="A55" s="93" t="str" cm="1">
        <f t="array" ref="A55">IFERROR(IF(ISBLANK(INDEX(_xlfn._xlws.FILTER([1]加工記録２!$D$3:$K$999678, [1]加工記録２!$T$3:$T$999678=$B$5), 8)), "", INDEX(_xlfn._xlws.FILTER([1]加工記録２!$D$3:$K$999678, [1]加工記録２!$T$3:$T$999678=$B$5), 8)),"")</f>
        <v/>
      </c>
      <c r="B55" s="81"/>
      <c r="C55" s="81"/>
      <c r="D55" s="94"/>
      <c r="E55" s="95"/>
      <c r="F55" s="83"/>
      <c r="G55" s="84"/>
      <c r="H55" s="96"/>
      <c r="I55" s="97"/>
      <c r="J55" s="98"/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99" t="s">
        <v>0</v>
      </c>
      <c r="C58" s="136"/>
      <c r="D58" s="136"/>
      <c r="E58" s="11"/>
      <c r="F58" s="11"/>
      <c r="G58" s="11"/>
      <c r="H58" s="11"/>
      <c r="I58" s="11"/>
      <c r="J58" s="11"/>
    </row>
    <row r="59" spans="1:14" ht="14.25" customHeight="1">
      <c r="A59" s="12"/>
      <c r="B59" s="136"/>
      <c r="C59" s="136"/>
      <c r="D59" s="136"/>
      <c r="E59" s="12"/>
      <c r="F59" s="12"/>
      <c r="G59" s="12"/>
      <c r="H59" s="12"/>
      <c r="I59" s="12"/>
      <c r="J59" s="12"/>
    </row>
    <row r="60" spans="1:14" ht="14.25" customHeight="1">
      <c r="A60" s="194" t="s">
        <v>1</v>
      </c>
      <c r="B60" s="194" t="s">
        <v>65</v>
      </c>
      <c r="C60" s="194" t="s">
        <v>3</v>
      </c>
      <c r="D60" s="196">
        <v>592</v>
      </c>
      <c r="E60" s="194" t="s">
        <v>4</v>
      </c>
      <c r="F60" s="188" t="s">
        <v>66</v>
      </c>
      <c r="G60" s="136"/>
      <c r="H60" s="139"/>
      <c r="I60" s="13" t="s">
        <v>6</v>
      </c>
      <c r="J60" s="13" t="s">
        <v>7</v>
      </c>
    </row>
    <row r="61" spans="1:14" ht="14.25" customHeight="1">
      <c r="A61" s="136"/>
      <c r="B61" s="136"/>
      <c r="C61" s="136"/>
      <c r="D61" s="136"/>
      <c r="E61" s="136"/>
      <c r="F61" s="136"/>
      <c r="G61" s="136"/>
      <c r="H61" s="139"/>
      <c r="I61" s="186"/>
      <c r="J61" s="186"/>
    </row>
    <row r="62" spans="1:14" ht="17.45" customHeight="1">
      <c r="A62" s="154" t="s">
        <v>8</v>
      </c>
      <c r="B62" s="154" t="s">
        <v>67</v>
      </c>
      <c r="E62" s="154" t="s">
        <v>10</v>
      </c>
      <c r="F62" s="198" t="s">
        <v>68</v>
      </c>
      <c r="G62" s="136"/>
      <c r="H62" s="139"/>
      <c r="I62" s="187"/>
      <c r="J62" s="187"/>
    </row>
    <row r="63" spans="1:14" ht="17.45" customHeight="1">
      <c r="A63" s="136"/>
      <c r="B63" s="136"/>
      <c r="E63" s="136"/>
      <c r="F63" s="136"/>
      <c r="G63" s="136"/>
      <c r="H63" s="139"/>
      <c r="I63" s="14"/>
      <c r="J63" s="14"/>
    </row>
    <row r="64" spans="1:14" ht="17.45" customHeight="1">
      <c r="A64" s="154" t="s">
        <v>12</v>
      </c>
      <c r="B64" s="154" t="s">
        <v>69</v>
      </c>
      <c r="E64" s="2" t="s">
        <v>14</v>
      </c>
      <c r="F64" s="204" t="s">
        <v>15</v>
      </c>
      <c r="G64" s="136"/>
      <c r="H64" s="21"/>
    </row>
    <row r="65" spans="1:10" ht="17.45" customHeight="1">
      <c r="A65" s="136"/>
      <c r="B65" s="136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45958</v>
      </c>
      <c r="E66" s="2" t="s">
        <v>19</v>
      </c>
      <c r="F66" s="193">
        <v>100</v>
      </c>
      <c r="G66" s="136"/>
      <c r="H66" s="21"/>
    </row>
    <row r="67" spans="1:10" ht="17.45" customHeight="1">
      <c r="A67" s="2" t="s">
        <v>20</v>
      </c>
      <c r="B67" s="4">
        <v>45958</v>
      </c>
      <c r="E67" s="2" t="s">
        <v>21</v>
      </c>
      <c r="F67" s="21">
        <v>3</v>
      </c>
      <c r="G67" s="205" t="s">
        <v>22</v>
      </c>
      <c r="H67" s="200">
        <v>300</v>
      </c>
      <c r="I67" s="201"/>
      <c r="J67" s="20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203"/>
      <c r="H68" s="203"/>
      <c r="I68" s="140"/>
      <c r="J68" s="141"/>
    </row>
    <row r="69" spans="1:10" ht="13.5" customHeight="1">
      <c r="A69" s="195" t="s">
        <v>70</v>
      </c>
      <c r="B69" s="136"/>
      <c r="C69" s="136"/>
      <c r="D69" s="20"/>
      <c r="F69" s="3"/>
      <c r="G69" s="181" t="s">
        <v>26</v>
      </c>
      <c r="H69" s="190" t="s">
        <v>27</v>
      </c>
      <c r="I69" s="138" t="s">
        <v>28</v>
      </c>
      <c r="J69" s="139"/>
    </row>
    <row r="70" spans="1:10" ht="13.5" customHeight="1">
      <c r="A70" s="136"/>
      <c r="B70" s="136"/>
      <c r="C70" s="136"/>
      <c r="D70" s="20"/>
      <c r="F70" s="3"/>
      <c r="G70" s="182"/>
      <c r="H70" s="182"/>
      <c r="I70" s="140"/>
      <c r="J70" s="141"/>
    </row>
    <row r="71" spans="1:10" ht="13.5" customHeight="1">
      <c r="A71" s="1" t="s">
        <v>29</v>
      </c>
    </row>
    <row r="72" spans="1:10" ht="63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</row>
    <row r="73" spans="1:10" ht="18.75">
      <c r="A73" s="23" t="s">
        <v>30</v>
      </c>
      <c r="B73" s="16" t="s">
        <v>31</v>
      </c>
      <c r="C73" s="191" t="s">
        <v>32</v>
      </c>
      <c r="D73" s="192"/>
      <c r="E73" s="16" t="s">
        <v>33</v>
      </c>
      <c r="F73" s="191" t="s">
        <v>34</v>
      </c>
      <c r="G73" s="192"/>
      <c r="H73" s="192"/>
      <c r="I73" s="208" t="s">
        <v>35</v>
      </c>
      <c r="J73" s="192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42" t="s">
        <v>37</v>
      </c>
      <c r="D75" s="136"/>
      <c r="E75" s="24" t="s">
        <v>38</v>
      </c>
      <c r="F75" s="142" t="s">
        <v>39</v>
      </c>
      <c r="G75" s="136"/>
      <c r="H75" s="136"/>
      <c r="I75" s="137"/>
      <c r="J75" s="136"/>
    </row>
    <row r="76" spans="1:10" ht="16.5" customHeight="1">
      <c r="A76" s="22">
        <v>1</v>
      </c>
      <c r="B76" s="25" t="s">
        <v>36</v>
      </c>
      <c r="C76" s="142" t="s">
        <v>37</v>
      </c>
      <c r="D76" s="136"/>
      <c r="E76" s="24" t="s">
        <v>40</v>
      </c>
      <c r="F76" s="142" t="s">
        <v>41</v>
      </c>
      <c r="G76" s="136"/>
      <c r="H76" s="136"/>
      <c r="I76" s="137"/>
      <c r="J76" s="136"/>
    </row>
    <row r="77" spans="1:10" ht="16.5" customHeight="1">
      <c r="A77" s="22"/>
      <c r="B77" s="25"/>
      <c r="C77" s="142"/>
      <c r="D77" s="136"/>
      <c r="E77" s="24"/>
      <c r="F77" s="142"/>
      <c r="G77" s="136"/>
      <c r="H77" s="136"/>
      <c r="I77" s="137"/>
      <c r="J77" s="136"/>
    </row>
    <row r="78" spans="1:10" ht="16.5" customHeight="1">
      <c r="A78" s="22"/>
      <c r="B78" s="25"/>
      <c r="C78" s="142"/>
      <c r="D78" s="136"/>
      <c r="E78" s="24"/>
      <c r="F78" s="142"/>
      <c r="G78" s="136"/>
      <c r="H78" s="136"/>
      <c r="I78" s="137"/>
      <c r="J78" s="136"/>
    </row>
    <row r="79" spans="1:10" ht="16.5" customHeight="1">
      <c r="A79" s="22"/>
      <c r="B79" s="25"/>
      <c r="C79" s="142"/>
      <c r="D79" s="136"/>
      <c r="E79" s="24"/>
      <c r="F79" s="142"/>
      <c r="G79" s="136"/>
      <c r="H79" s="136"/>
      <c r="I79" s="137"/>
      <c r="J79" s="136"/>
    </row>
    <row r="80" spans="1:10" ht="16.5" customHeight="1">
      <c r="A80" s="22"/>
      <c r="B80" s="25"/>
      <c r="C80" s="142"/>
      <c r="D80" s="136"/>
      <c r="E80" s="24"/>
      <c r="F80" s="142"/>
      <c r="G80" s="136"/>
      <c r="H80" s="136"/>
      <c r="I80" s="137"/>
      <c r="J80" s="13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44" t="s">
        <v>42</v>
      </c>
      <c r="B82" s="145"/>
      <c r="C82" s="144" t="s">
        <v>43</v>
      </c>
      <c r="D82" s="145"/>
      <c r="E82" s="145"/>
      <c r="F82" s="17" t="s">
        <v>44</v>
      </c>
      <c r="G82" s="144" t="s">
        <v>45</v>
      </c>
      <c r="H82" s="145"/>
      <c r="I82" s="144" t="s">
        <v>46</v>
      </c>
      <c r="J82" s="145"/>
    </row>
    <row r="83" spans="1:10" ht="14.25" customHeight="1">
      <c r="A83" s="8"/>
      <c r="B83" s="18"/>
      <c r="C83" s="189" t="s">
        <v>47</v>
      </c>
      <c r="D83" s="140"/>
      <c r="E83" s="18"/>
      <c r="F83" s="189" t="s">
        <v>29</v>
      </c>
      <c r="G83" s="140"/>
      <c r="H83" s="140"/>
      <c r="I83" s="140"/>
      <c r="J83" s="140"/>
    </row>
    <row r="84" spans="1:10">
      <c r="A84" s="9"/>
      <c r="C84" s="7"/>
      <c r="D84" s="7"/>
      <c r="E84" s="7"/>
    </row>
    <row r="85" spans="1:10" ht="14.25" customHeight="1">
      <c r="A85" s="142" t="s">
        <v>48</v>
      </c>
      <c r="B85" s="136"/>
      <c r="C85" s="142" t="s">
        <v>49</v>
      </c>
      <c r="D85" s="136"/>
      <c r="E85" s="136"/>
      <c r="F85" s="26" t="s">
        <v>50</v>
      </c>
      <c r="G85" s="143">
        <v>99.9</v>
      </c>
      <c r="H85" s="136"/>
      <c r="I85" s="143">
        <v>0.999</v>
      </c>
      <c r="J85" s="136"/>
    </row>
    <row r="86" spans="1:10" ht="24.95" customHeight="1">
      <c r="A86" s="135" t="s">
        <v>51</v>
      </c>
      <c r="B86" s="136"/>
      <c r="C86" s="142"/>
      <c r="D86" s="136"/>
      <c r="E86" s="136"/>
      <c r="F86" s="142"/>
      <c r="G86" s="136"/>
      <c r="H86" s="136"/>
      <c r="I86" s="136"/>
      <c r="J86" s="136"/>
    </row>
    <row r="87" spans="1:10" ht="14.25" customHeight="1">
      <c r="A87" s="142" t="s">
        <v>71</v>
      </c>
      <c r="B87" s="136"/>
      <c r="C87" s="142" t="s">
        <v>72</v>
      </c>
      <c r="D87" s="136"/>
      <c r="E87" s="136"/>
      <c r="F87" s="26" t="s">
        <v>54</v>
      </c>
      <c r="G87" s="143">
        <v>3</v>
      </c>
      <c r="H87" s="136"/>
      <c r="I87" s="143">
        <v>0.03</v>
      </c>
      <c r="J87" s="136"/>
    </row>
    <row r="88" spans="1:10" ht="24.95" customHeight="1">
      <c r="A88" s="135" t="s">
        <v>73</v>
      </c>
      <c r="B88" s="136"/>
      <c r="C88" s="142" t="s">
        <v>74</v>
      </c>
      <c r="D88" s="136"/>
      <c r="E88" s="136"/>
      <c r="F88" s="142"/>
      <c r="G88" s="136"/>
      <c r="H88" s="136"/>
      <c r="I88" s="136"/>
      <c r="J88" s="136"/>
    </row>
    <row r="89" spans="1:10" ht="14.25" customHeight="1">
      <c r="A89" s="142" t="s">
        <v>57</v>
      </c>
      <c r="B89" s="136"/>
      <c r="C89" s="142" t="s">
        <v>58</v>
      </c>
      <c r="D89" s="136"/>
      <c r="E89" s="136"/>
      <c r="F89" s="26"/>
      <c r="G89" s="143">
        <v>0.3</v>
      </c>
      <c r="H89" s="136"/>
      <c r="I89" s="143">
        <v>3.0000000000000001E-3</v>
      </c>
      <c r="J89" s="136"/>
    </row>
    <row r="90" spans="1:10" ht="24.95" customHeight="1">
      <c r="A90" s="135" t="s">
        <v>59</v>
      </c>
      <c r="B90" s="136"/>
      <c r="C90" s="142" t="s">
        <v>60</v>
      </c>
      <c r="D90" s="136"/>
      <c r="E90" s="136"/>
      <c r="F90" s="142"/>
      <c r="G90" s="136"/>
      <c r="H90" s="136"/>
      <c r="I90" s="136"/>
      <c r="J90" s="136"/>
    </row>
    <row r="91" spans="1:10" ht="14.25" customHeight="1">
      <c r="A91" s="142" t="s">
        <v>61</v>
      </c>
      <c r="B91" s="136"/>
      <c r="C91" s="142" t="s">
        <v>62</v>
      </c>
      <c r="D91" s="136"/>
      <c r="E91" s="136"/>
      <c r="F91" s="26"/>
      <c r="G91" s="143">
        <v>0.3</v>
      </c>
      <c r="H91" s="136"/>
      <c r="I91" s="143">
        <v>3.0000000000000001E-3</v>
      </c>
      <c r="J91" s="136"/>
    </row>
    <row r="92" spans="1:10" ht="24.95" customHeight="1">
      <c r="A92" s="135" t="s">
        <v>63</v>
      </c>
      <c r="B92" s="136"/>
      <c r="C92" s="142" t="s">
        <v>64</v>
      </c>
      <c r="D92" s="136"/>
      <c r="E92" s="136"/>
      <c r="F92" s="142"/>
      <c r="G92" s="136"/>
      <c r="H92" s="136"/>
      <c r="I92" s="136"/>
      <c r="J92" s="136"/>
    </row>
    <row r="93" spans="1:10" ht="14.25" customHeight="1">
      <c r="A93" s="142"/>
      <c r="B93" s="136"/>
      <c r="C93" s="142"/>
      <c r="D93" s="136"/>
      <c r="E93" s="136"/>
      <c r="F93" s="26"/>
      <c r="G93" s="143"/>
      <c r="H93" s="136"/>
      <c r="I93" s="143"/>
      <c r="J93" s="136"/>
    </row>
    <row r="94" spans="1:10" ht="24.95" customHeight="1" thickBot="1">
      <c r="A94" s="135"/>
      <c r="B94" s="136"/>
      <c r="C94" s="142"/>
      <c r="D94" s="136"/>
      <c r="E94" s="136"/>
      <c r="F94" s="142"/>
      <c r="G94" s="136"/>
      <c r="H94" s="136"/>
      <c r="I94" s="136"/>
      <c r="J94" s="136"/>
    </row>
    <row r="95" spans="1:10" s="5" customFormat="1" ht="18" customHeight="1">
      <c r="A95" s="206" t="s">
        <v>102</v>
      </c>
      <c r="B95" s="207"/>
      <c r="C95" s="207"/>
      <c r="D95" s="207"/>
      <c r="E95" s="174" t="s">
        <v>103</v>
      </c>
      <c r="F95" s="175"/>
      <c r="G95" s="27" t="s">
        <v>104</v>
      </c>
      <c r="H95" s="209" t="s">
        <v>105</v>
      </c>
      <c r="I95" s="210"/>
      <c r="J95" s="28" t="s">
        <v>106</v>
      </c>
    </row>
    <row r="96" spans="1:10" s="7" customFormat="1" ht="18" customHeight="1">
      <c r="A96" s="176" t="str">
        <f>_xlfn.XLOOKUP(B60,[1]VFDB2!A:A,[1]VFDB2!B:B)</f>
        <v>8FL281304 4910　L=592</v>
      </c>
      <c r="B96" s="177"/>
      <c r="C96" s="177"/>
      <c r="D96" s="177"/>
      <c r="E96" s="161" t="str" cm="1">
        <f t="array" ref="E96">IFERROR(IF(ISBLANK(INDEX(_xlfn._xlws.FILTER([1]加工記録２!$C$3:$C$999615, [1]加工記録２!$T$3:$T$999615=B62), 6)), "", INDEX(_xlfn._xlws.FILTER([1]加工記録２!$C$3:$C$999615, [1]加工記録２!$T$3:$T$999615=B62), 6)),"")</f>
        <v/>
      </c>
      <c r="F96" s="162"/>
      <c r="G96" s="211" t="str" cm="1">
        <f t="array" ref="G96">IFERROR(IF(ISBLANK(INDEX(_xlfn._xlws.FILTER([1]加工記録２!$C$3:$C$999615, [1]加工記録２!$T$3:$T$999615=B62), 7)), " ", INDEX(_xlfn._xlws.FILTER([1]加工記録２!$C$3:$C$999615, [1]加工記録２!$T$3:$T$999615=B62), 7))," ")</f>
        <v xml:space="preserve"> </v>
      </c>
      <c r="H96" s="29" t="s">
        <v>107</v>
      </c>
      <c r="I96" s="88" t="str" cm="1">
        <f t="array" ref="I96">IFERROR(IF(ISBLANK(INDEX(_xlfn._xlws.FILTER([1]加工記録２!$O$3:$P$999678, [1]加工記録２!$T$3:$T$999678=$B$5), 1)), "", INDEX(_xlfn._xlws.FILTER([1]加工記録２!$O$3:$P$999678, [1]加工記録２!$T$3:$T$999678=$B$5), 1)),"")</f>
        <v/>
      </c>
      <c r="J96" s="31"/>
    </row>
    <row r="97" spans="1:14" s="5" customFormat="1" ht="18" customHeight="1">
      <c r="A97" s="178"/>
      <c r="B97" s="179"/>
      <c r="C97" s="179"/>
      <c r="D97" s="179"/>
      <c r="E97" s="161"/>
      <c r="F97" s="162"/>
      <c r="G97" s="211"/>
      <c r="H97" s="29" t="s">
        <v>108</v>
      </c>
      <c r="I97" s="89" t="str" cm="1">
        <f t="array" ref="I97">IFERROR(IF(ISBLANK(INDEX(_xlfn._xlws.FILTER([1]加工記録２!$O$3:$P$999678, [1]加工記録２!$T$3:$T$999678=$B$5), 2)), "", INDEX(_xlfn._xlws.FILTER([1]加工記録２!$O$3:$P$999678, [1]加工記録２!$T$3:$T$999678=$B$5), 2)),"")</f>
        <v/>
      </c>
      <c r="J97" s="33"/>
      <c r="K97" s="34"/>
    </row>
    <row r="98" spans="1:14" s="7" customFormat="1" ht="18" customHeight="1">
      <c r="A98" s="164" t="s">
        <v>109</v>
      </c>
      <c r="B98" s="155" t="str">
        <f>_xlfn.XLOOKUP(B60,[1]VFDB2!A:A,[1]VFDB2!J:J)</f>
        <v>〇</v>
      </c>
      <c r="C98" s="157" t="s">
        <v>110</v>
      </c>
      <c r="D98" s="159">
        <f>_xlfn.XLOOKUP(B60,[1]VFDB2!A:A,[1]VFDB2!P:P)</f>
        <v>3</v>
      </c>
      <c r="E98" s="161" t="str">
        <f>_xlfn.XLOOKUP(B60,[1]VFDB2!A:A,[1]VFDB2!V:V)</f>
        <v>1箱目の梱包数 目視確認　以降、重量測定</v>
      </c>
      <c r="F98" s="162"/>
      <c r="G98" s="163"/>
      <c r="H98" s="35" t="s">
        <v>111</v>
      </c>
      <c r="I98" s="89" t="str" cm="1">
        <f t="array" ref="I98">IFERROR(IF(ISBLANK(INDEX(_xlfn._xlws.FILTER([1]加工記録２!$O$3:$P$999678,[1]加工記録２!$T$3:$T$999678=$B$5), 3)), "", INDEX(_xlfn._xlws.FILTER([1]加工記録２!$O$3:$P$999678, [1]加工記録２!$T$3:$T$999678=$B$5), 3)),"")</f>
        <v/>
      </c>
      <c r="J98" s="36"/>
      <c r="K98" s="37"/>
    </row>
    <row r="99" spans="1:14" s="5" customFormat="1" ht="18" customHeight="1">
      <c r="A99" s="180"/>
      <c r="B99" s="156"/>
      <c r="C99" s="158"/>
      <c r="D99" s="160"/>
      <c r="E99" s="161"/>
      <c r="F99" s="162"/>
      <c r="G99" s="163"/>
      <c r="H99" s="35" t="s">
        <v>112</v>
      </c>
      <c r="I99" s="89" t="str" cm="1">
        <f t="array" ref="I99">IFERROR(IF(ISBLANK(INDEX(_xlfn._xlws.FILTER([1]加工記録２!$O$3:$P$999678,[1]加工記録２!$T$3:$T$999678=$B$5), 4)), "", INDEX(_xlfn._xlws.FILTER([1]加工記録２!$O$3:$P$999678, [1]加工記録２!$T$3:$T$999678=$B$5), 4)),"")</f>
        <v/>
      </c>
      <c r="J99" s="38"/>
      <c r="K99" s="34"/>
    </row>
    <row r="100" spans="1:14" s="7" customFormat="1" ht="18" customHeight="1">
      <c r="A100" s="146" t="s">
        <v>113</v>
      </c>
      <c r="B100" s="148">
        <f>D60</f>
        <v>592</v>
      </c>
      <c r="C100" s="150" t="s">
        <v>114</v>
      </c>
      <c r="D100" s="152" t="str">
        <f>_xlfn.XLOOKUP(B60,[1]VFDB2!A:A,[1]VFDB2!L:L)</f>
        <v>+0</v>
      </c>
      <c r="E100" s="161" t="str">
        <f>_xlfn.XLOOKUP(B60,[1]VFDB2!A:A,[1]VFDB2!W:W)</f>
        <v>クラフト紙：592型</v>
      </c>
      <c r="F100" s="162"/>
      <c r="G100" s="163"/>
      <c r="H100" s="35" t="s">
        <v>115</v>
      </c>
      <c r="I100" s="89" t="str" cm="1">
        <f t="array" ref="I100">IFERROR(IF(ISBLANK(INDEX(_xlfn._xlws.FILTER([1]加工記録２!$O$3:$P$999678,[1]加工記録２!$T$3:$T$999678=$B$5), 5)), "", INDEX(_xlfn._xlws.FILTER([1]加工記録２!$O$3:$P$999678, [1]加工記録２!$T$3:$T$999678=$B$5), 5)),"")</f>
        <v/>
      </c>
      <c r="J100" s="39"/>
      <c r="K100" s="37"/>
    </row>
    <row r="101" spans="1:14" s="5" customFormat="1" ht="18" customHeight="1">
      <c r="A101" s="147"/>
      <c r="B101" s="149"/>
      <c r="C101" s="151"/>
      <c r="D101" s="153"/>
      <c r="E101" s="161"/>
      <c r="F101" s="162"/>
      <c r="G101" s="163"/>
      <c r="H101" s="35" t="s">
        <v>116</v>
      </c>
      <c r="I101" s="89" t="str" cm="1">
        <f t="array" ref="I101">IFERROR(IF(ISBLANK(INDEX(_xlfn._xlws.FILTER([1]加工記録２!$O$3:$P$999678,[1]加工記録２!$T$3:$T$999678=$B$5), 6)), "", INDEX(_xlfn._xlws.FILTER([1]加工記録２!$O$3:$P$999678, [1]加工記録２!$T$3:$T$999678=$B$5), 6)),"")</f>
        <v/>
      </c>
      <c r="J101" s="40"/>
      <c r="K101" s="34"/>
    </row>
    <row r="102" spans="1:14" s="7" customFormat="1" ht="18" customHeight="1">
      <c r="A102" s="164" t="s">
        <v>117</v>
      </c>
      <c r="B102" s="166" t="str">
        <f>_xlfn.XLOOKUP(B60,[1]VFDB2!A:A,[1]VFDB2!AC:AC)</f>
        <v>換算表確認</v>
      </c>
      <c r="C102" s="168" t="s">
        <v>118</v>
      </c>
      <c r="D102" s="152" t="str">
        <f>_xlfn.XLOOKUP(B60,[1]VFDB2!A:A,[1]VFDB2!K:K)</f>
        <v>-1</v>
      </c>
      <c r="E102" s="161" t="str">
        <f>_xlfn.XLOOKUP(B60,[1]VFDB2!A:A,[1]VFDB2!R:R)</f>
        <v>ラベル１枚　長手無　鉢巻１回</v>
      </c>
      <c r="F102" s="162"/>
      <c r="G102" s="163"/>
      <c r="H102" s="35" t="s">
        <v>119</v>
      </c>
      <c r="I102" s="89" t="str" cm="1">
        <f t="array" ref="I102">IFERROR(IF(ISBLANK(INDEX(_xlfn._xlws.FILTER([1]加工記録２!$M$3:$M$999678, [1]加工記録２!$T$3:$T$999678=$B$5), 6)), "", INDEX(_xlfn._xlws.FILTER([1]加工記録２!$M$3:$M$999678, [1]加工記録２!$T$3:$T$999678=$B$5), 6)),"")</f>
        <v/>
      </c>
      <c r="J102" s="41" t="str" cm="1">
        <f t="array" ref="J102">IFERROR(IF(ISBLANK(INDEX(_xlfn._xlws.FILTER([1]加工記録２!$P$3:$P$999678, [1]加工記録２!$T$3:$T$999678=B62), 7)), "", INDEX(_xlfn._xlws.FILTER([1]加工記録２!$P$3:$P$999678, [1]加工記録２!$T$3:$T$999678=B62), 7)),"")</f>
        <v/>
      </c>
      <c r="K102" s="37"/>
    </row>
    <row r="103" spans="1:14" s="5" customFormat="1" ht="18" customHeight="1" thickBot="1">
      <c r="A103" s="165"/>
      <c r="B103" s="167"/>
      <c r="C103" s="169"/>
      <c r="D103" s="170"/>
      <c r="E103" s="171"/>
      <c r="F103" s="172"/>
      <c r="G103" s="173"/>
      <c r="H103" s="42" t="s">
        <v>120</v>
      </c>
      <c r="I103" s="89" t="str" cm="1">
        <f t="array" ref="I103">IFERROR(IF(ISBLANK(INDEX(_xlfn._xlws.FILTER([1]加工記録２!$M$3:$M$999678, [1]加工記録２!$T$3:$T$999678=$B$5), 7)), "", INDEX(_xlfn._xlws.FILTER([1]加工記録２!$M$3:$M$999678, [1]加工記録２!$T$3:$T$999678=$B$5), 7)),"")</f>
        <v/>
      </c>
      <c r="J103" s="90">
        <f>SUM(J96:J102)</f>
        <v>0</v>
      </c>
    </row>
    <row r="104" spans="1:14" s="55" customFormat="1" ht="18.95" customHeight="1">
      <c r="A104" s="45" t="s">
        <v>121</v>
      </c>
      <c r="B104" s="46" t="s">
        <v>122</v>
      </c>
      <c r="C104" s="47" t="s">
        <v>123</v>
      </c>
      <c r="D104" s="47" t="s">
        <v>124</v>
      </c>
      <c r="E104" s="48" t="s">
        <v>125</v>
      </c>
      <c r="F104" s="49" t="s">
        <v>126</v>
      </c>
      <c r="G104" s="50" t="s">
        <v>127</v>
      </c>
      <c r="H104" s="51" t="s">
        <v>128</v>
      </c>
      <c r="I104" s="52" t="s">
        <v>129</v>
      </c>
      <c r="J104" s="53" t="s">
        <v>130</v>
      </c>
      <c r="K104" s="54"/>
      <c r="L104" s="54"/>
      <c r="M104" s="54"/>
      <c r="N104" s="54"/>
    </row>
    <row r="105" spans="1:14" s="66" customFormat="1" ht="18.95" customHeight="1">
      <c r="A105" s="56" t="str" cm="1">
        <f t="array" ref="A105">IFERROR(IF(ISBLANK(INDEX(_xlfn._xlws.FILTER([1]加工記録２!$D$3:$M$999678, [1]加工記録２!$T$3:$T$999678=$B$5), 1)), "", INDEX(_xlfn._xlws.FILTER([1]加工記録２!$D$3:$M$999678, [1]加工記録２!$T$3:$T$999678=$B$5), 1)),"")</f>
        <v/>
      </c>
      <c r="B105" s="57"/>
      <c r="C105" s="58"/>
      <c r="D105" s="58"/>
      <c r="E105" s="59"/>
      <c r="F105" s="60"/>
      <c r="G105" s="61"/>
      <c r="H105" s="62"/>
      <c r="I105" s="63"/>
      <c r="J105" s="64"/>
      <c r="K105" s="65"/>
      <c r="L105" s="65"/>
      <c r="M105" s="65"/>
      <c r="N105" s="65"/>
    </row>
    <row r="106" spans="1:14" s="66" customFormat="1" ht="18.95" customHeight="1">
      <c r="A106" s="56" t="str" cm="1">
        <f t="array" ref="A106">IFERROR(IF(ISBLANK(INDEX(_xlfn._xlws.FILTER([1]加工記録２!$D$3:$M$999678, [1]加工記録２!$T$3:$T$999678=$B$5), 2)), "", INDEX(_xlfn._xlws.FILTER([1]加工記録２!$D$3:$M$999678, [1]加工記録２!$T$3:$T$999678=$B$5), 2)),"")</f>
        <v/>
      </c>
      <c r="B106" s="68"/>
      <c r="C106" s="68"/>
      <c r="D106" s="91"/>
      <c r="E106" s="92"/>
      <c r="F106" s="70"/>
      <c r="G106" s="71"/>
      <c r="H106" s="72"/>
      <c r="I106" s="63"/>
      <c r="J106" s="64"/>
      <c r="K106" s="65"/>
      <c r="L106" s="65"/>
      <c r="M106" s="65"/>
      <c r="N106" s="65"/>
    </row>
    <row r="107" spans="1:14" s="66" customFormat="1" ht="18.95" customHeight="1">
      <c r="A107" s="56" t="str" cm="1">
        <f t="array" ref="A107">IFERROR(IF(ISBLANK(INDEX(_xlfn._xlws.FILTER([1]加工記録２!$D$3:$M$999678, [1]加工記録２!$T$3:$T$999678=$B$5), 3)), "", INDEX(_xlfn._xlws.FILTER([1]加工記録２!$D$3:$M$999678, [1]加工記録２!$T$3:$T$999678=$B$5), 3)),"")</f>
        <v/>
      </c>
      <c r="B107" s="68"/>
      <c r="C107" s="68"/>
      <c r="D107" s="91"/>
      <c r="E107" s="92"/>
      <c r="F107" s="70"/>
      <c r="G107" s="71"/>
      <c r="H107" s="72"/>
      <c r="I107" s="63"/>
      <c r="J107" s="64"/>
      <c r="K107" s="65"/>
      <c r="L107" s="65"/>
      <c r="M107" s="65"/>
      <c r="N107" s="65"/>
    </row>
    <row r="108" spans="1:14" s="66" customFormat="1" ht="18.95" customHeight="1">
      <c r="A108" s="56" t="str" cm="1">
        <f t="array" ref="A108">IFERROR(IF(ISBLANK(INDEX(_xlfn._xlws.FILTER([1]加工記録２!$D$3:$M$999678, [1]加工記録２!$T$3:$T$999678=$B$5), 4)), "", INDEX(_xlfn._xlws.FILTER([1]加工記録２!$D$3:$M$999678, [1]加工記録２!$T$3:$T$999678=$B$5), 4)),"")</f>
        <v/>
      </c>
      <c r="B108" s="68"/>
      <c r="C108" s="68"/>
      <c r="D108" s="91"/>
      <c r="E108" s="92"/>
      <c r="F108" s="70"/>
      <c r="G108" s="71"/>
      <c r="H108" s="72"/>
      <c r="I108" s="63"/>
      <c r="J108" s="64"/>
      <c r="K108" s="65"/>
      <c r="L108" s="65"/>
      <c r="M108" s="65"/>
      <c r="N108" s="65"/>
    </row>
    <row r="109" spans="1:14" s="66" customFormat="1" ht="18.95" customHeight="1">
      <c r="A109" s="56" t="str" cm="1">
        <f t="array" ref="A109">IFERROR(IF(ISBLANK(INDEX(_xlfn._xlws.FILTER([1]加工記録２!$D$3:$M$999678, [1]加工記録２!$T$3:$T$999678=$B$5), 5)), "", INDEX(_xlfn._xlws.FILTER([1]加工記録２!$D$3:$M$999678, [1]加工記録２!$T$3:$T$999678=$B$5), 5)),"")</f>
        <v/>
      </c>
      <c r="B109" s="68"/>
      <c r="C109" s="68"/>
      <c r="D109" s="91"/>
      <c r="E109" s="92"/>
      <c r="F109" s="70"/>
      <c r="G109" s="71"/>
      <c r="H109" s="72"/>
      <c r="I109" s="73"/>
      <c r="J109" s="74"/>
      <c r="K109" s="65"/>
      <c r="L109" s="65"/>
      <c r="M109" s="65"/>
      <c r="N109" s="65"/>
    </row>
    <row r="110" spans="1:14" s="66" customFormat="1" ht="18.95" customHeight="1">
      <c r="A110" s="56" t="str" cm="1">
        <f t="array" ref="A110">IFERROR(IF(ISBLANK(INDEX(_xlfn._xlws.FILTER([1]加工記録２!$D$3:$K$999678, [1]加工記録２!$T$3:$T$999678=$B$5), 6)), "", INDEX(_xlfn._xlws.FILTER([1]加工記録２!$D$3:$K$999678, [1]加工記録２!$T$3:$T$999678=$B$5), 6)),"")</f>
        <v/>
      </c>
      <c r="B110" s="68"/>
      <c r="C110" s="68"/>
      <c r="D110" s="91"/>
      <c r="E110" s="92"/>
      <c r="F110" s="70"/>
      <c r="G110" s="71"/>
      <c r="H110" s="72"/>
      <c r="I110" s="73"/>
      <c r="J110" s="74"/>
      <c r="K110" s="65"/>
      <c r="L110" s="65"/>
      <c r="M110" s="65"/>
      <c r="N110" s="65"/>
    </row>
    <row r="111" spans="1:14" s="66" customFormat="1" ht="18.95" customHeight="1">
      <c r="A111" s="56" t="str" cm="1">
        <f t="array" ref="A111">IFERROR(IF(ISBLANK(INDEX(_xlfn._xlws.FILTER([1]加工記録２!$D$3:$K$999678, [1]加工記録２!$T$3:$T$999678=$B$5), 7)), "", INDEX(_xlfn._xlws.FILTER([1]加工記録２!$D$3:$K$999678, [1]加工記録２!$T$3:$T$999678=$B$5), 7)),"")</f>
        <v/>
      </c>
      <c r="B111" s="68"/>
      <c r="C111" s="68"/>
      <c r="D111" s="91"/>
      <c r="E111" s="92"/>
      <c r="F111" s="70"/>
      <c r="G111" s="71"/>
      <c r="H111" s="72"/>
      <c r="I111" s="73"/>
      <c r="J111" s="74"/>
      <c r="K111" s="65"/>
      <c r="L111" s="65"/>
      <c r="M111" s="65"/>
      <c r="N111" s="65"/>
    </row>
    <row r="112" spans="1:14" s="66" customFormat="1" ht="18.95" customHeight="1" thickBot="1">
      <c r="A112" s="93" t="str" cm="1">
        <f t="array" ref="A112">IFERROR(IF(ISBLANK(INDEX(_xlfn._xlws.FILTER([1]加工記録２!$D$3:$K$999678, [1]加工記録２!$T$3:$T$999678=$B$5), 8)), "", INDEX(_xlfn._xlws.FILTER([1]加工記録２!$D$3:$K$999678, [1]加工記録２!$T$3:$T$999678=$B$5), 8)),"")</f>
        <v/>
      </c>
      <c r="B112" s="81"/>
      <c r="C112" s="81"/>
      <c r="D112" s="94"/>
      <c r="E112" s="95"/>
      <c r="F112" s="83"/>
      <c r="G112" s="84"/>
      <c r="H112" s="96"/>
      <c r="I112" s="97"/>
      <c r="J112" s="98"/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99" t="s">
        <v>0</v>
      </c>
      <c r="C115" s="136"/>
      <c r="D115" s="13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36"/>
      <c r="C116" s="136"/>
      <c r="D116" s="136"/>
      <c r="E116" s="12"/>
      <c r="F116" s="12"/>
      <c r="G116" s="12"/>
      <c r="H116" s="12"/>
      <c r="I116" s="12"/>
      <c r="J116" s="12"/>
    </row>
    <row r="117" spans="1:10" ht="14.25" customHeight="1">
      <c r="A117" s="194" t="s">
        <v>1</v>
      </c>
      <c r="B117" s="194" t="s">
        <v>75</v>
      </c>
      <c r="C117" s="194" t="s">
        <v>3</v>
      </c>
      <c r="D117" s="196">
        <v>888</v>
      </c>
      <c r="E117" s="194" t="s">
        <v>4</v>
      </c>
      <c r="F117" s="188" t="s">
        <v>76</v>
      </c>
      <c r="G117" s="136"/>
      <c r="H117" s="139"/>
      <c r="I117" s="13" t="s">
        <v>6</v>
      </c>
      <c r="J117" s="13" t="s">
        <v>7</v>
      </c>
    </row>
    <row r="118" spans="1:10" ht="14.25" customHeight="1">
      <c r="A118" s="136"/>
      <c r="B118" s="136"/>
      <c r="C118" s="136"/>
      <c r="D118" s="136"/>
      <c r="E118" s="136"/>
      <c r="F118" s="136"/>
      <c r="G118" s="136"/>
      <c r="H118" s="139"/>
      <c r="I118" s="186"/>
      <c r="J118" s="186"/>
    </row>
    <row r="119" spans="1:10" ht="17.45" customHeight="1">
      <c r="A119" s="154" t="s">
        <v>8</v>
      </c>
      <c r="B119" s="154" t="s">
        <v>77</v>
      </c>
      <c r="E119" s="154" t="s">
        <v>10</v>
      </c>
      <c r="F119" s="198" t="s">
        <v>78</v>
      </c>
      <c r="G119" s="136"/>
      <c r="H119" s="139"/>
      <c r="I119" s="187"/>
      <c r="J119" s="187"/>
    </row>
    <row r="120" spans="1:10" ht="17.45" customHeight="1">
      <c r="A120" s="136"/>
      <c r="B120" s="136"/>
      <c r="E120" s="136"/>
      <c r="F120" s="136"/>
      <c r="G120" s="136"/>
      <c r="H120" s="139"/>
      <c r="I120" s="14"/>
      <c r="J120" s="14"/>
    </row>
    <row r="121" spans="1:10" ht="17.45" customHeight="1">
      <c r="A121" s="154" t="s">
        <v>12</v>
      </c>
      <c r="B121" s="154" t="s">
        <v>79</v>
      </c>
      <c r="E121" s="2" t="s">
        <v>14</v>
      </c>
      <c r="F121" s="204" t="s">
        <v>15</v>
      </c>
      <c r="G121" s="136"/>
      <c r="H121" s="21"/>
    </row>
    <row r="122" spans="1:10" ht="17.45" customHeight="1">
      <c r="A122" s="136"/>
      <c r="B122" s="136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45958</v>
      </c>
      <c r="E123" s="2" t="s">
        <v>19</v>
      </c>
      <c r="F123" s="193">
        <v>100</v>
      </c>
      <c r="G123" s="136"/>
      <c r="H123" s="21"/>
    </row>
    <row r="124" spans="1:10" ht="17.45" customHeight="1">
      <c r="A124" s="2" t="s">
        <v>20</v>
      </c>
      <c r="B124" s="4">
        <v>45958</v>
      </c>
      <c r="E124" s="2" t="s">
        <v>21</v>
      </c>
      <c r="F124" s="21">
        <v>2</v>
      </c>
      <c r="G124" s="205" t="s">
        <v>22</v>
      </c>
      <c r="H124" s="200">
        <v>200</v>
      </c>
      <c r="I124" s="201"/>
      <c r="J124" s="20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203"/>
      <c r="H125" s="203"/>
      <c r="I125" s="140"/>
      <c r="J125" s="141"/>
    </row>
    <row r="126" spans="1:10" ht="13.5" customHeight="1">
      <c r="A126" s="195" t="s">
        <v>80</v>
      </c>
      <c r="B126" s="136"/>
      <c r="C126" s="136"/>
      <c r="D126" s="20"/>
      <c r="F126" s="3"/>
      <c r="G126" s="181" t="s">
        <v>26</v>
      </c>
      <c r="H126" s="190" t="s">
        <v>27</v>
      </c>
      <c r="I126" s="138" t="s">
        <v>28</v>
      </c>
      <c r="J126" s="139"/>
    </row>
    <row r="127" spans="1:10" ht="13.5" customHeight="1">
      <c r="A127" s="136"/>
      <c r="B127" s="136"/>
      <c r="C127" s="136"/>
      <c r="D127" s="20"/>
      <c r="F127" s="3"/>
      <c r="G127" s="182"/>
      <c r="H127" s="182"/>
      <c r="I127" s="140"/>
      <c r="J127" s="141"/>
    </row>
    <row r="128" spans="1:10" ht="13.5" customHeight="1">
      <c r="A128" s="1" t="s">
        <v>29</v>
      </c>
    </row>
    <row r="129" spans="1:10" ht="63" customHeight="1">
      <c r="A129" s="184"/>
      <c r="B129" s="185"/>
      <c r="C129" s="185"/>
      <c r="D129" s="185"/>
      <c r="E129" s="185"/>
      <c r="F129" s="185"/>
      <c r="G129" s="185"/>
      <c r="H129" s="185"/>
      <c r="I129" s="185"/>
      <c r="J129" s="185"/>
    </row>
    <row r="130" spans="1:10" ht="18.75">
      <c r="A130" s="23" t="s">
        <v>30</v>
      </c>
      <c r="B130" s="16" t="s">
        <v>31</v>
      </c>
      <c r="C130" s="191" t="s">
        <v>32</v>
      </c>
      <c r="D130" s="192"/>
      <c r="E130" s="16" t="s">
        <v>33</v>
      </c>
      <c r="F130" s="191" t="s">
        <v>34</v>
      </c>
      <c r="G130" s="192"/>
      <c r="H130" s="192"/>
      <c r="I130" s="208" t="s">
        <v>35</v>
      </c>
      <c r="J130" s="192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42" t="s">
        <v>37</v>
      </c>
      <c r="D132" s="136"/>
      <c r="E132" s="24" t="s">
        <v>38</v>
      </c>
      <c r="F132" s="142" t="s">
        <v>39</v>
      </c>
      <c r="G132" s="136"/>
      <c r="H132" s="136"/>
      <c r="I132" s="137"/>
      <c r="J132" s="136"/>
    </row>
    <row r="133" spans="1:10" ht="16.5" customHeight="1">
      <c r="A133" s="22">
        <v>1</v>
      </c>
      <c r="B133" s="25" t="s">
        <v>36</v>
      </c>
      <c r="C133" s="142" t="s">
        <v>37</v>
      </c>
      <c r="D133" s="136"/>
      <c r="E133" s="24" t="s">
        <v>40</v>
      </c>
      <c r="F133" s="142" t="s">
        <v>41</v>
      </c>
      <c r="G133" s="136"/>
      <c r="H133" s="136"/>
      <c r="I133" s="137"/>
      <c r="J133" s="136"/>
    </row>
    <row r="134" spans="1:10" ht="16.5" customHeight="1">
      <c r="A134" s="22"/>
      <c r="B134" s="25"/>
      <c r="C134" s="142"/>
      <c r="D134" s="136"/>
      <c r="E134" s="24"/>
      <c r="F134" s="142"/>
      <c r="G134" s="136"/>
      <c r="H134" s="136"/>
      <c r="I134" s="137"/>
      <c r="J134" s="136"/>
    </row>
    <row r="135" spans="1:10" ht="16.5" customHeight="1">
      <c r="A135" s="22"/>
      <c r="B135" s="25"/>
      <c r="C135" s="142"/>
      <c r="D135" s="136"/>
      <c r="E135" s="24"/>
      <c r="F135" s="142"/>
      <c r="G135" s="136"/>
      <c r="H135" s="136"/>
      <c r="I135" s="137"/>
      <c r="J135" s="136"/>
    </row>
    <row r="136" spans="1:10" ht="16.5" customHeight="1">
      <c r="A136" s="22"/>
      <c r="B136" s="25"/>
      <c r="C136" s="142"/>
      <c r="D136" s="136"/>
      <c r="E136" s="24"/>
      <c r="F136" s="142"/>
      <c r="G136" s="136"/>
      <c r="H136" s="136"/>
      <c r="I136" s="137"/>
      <c r="J136" s="136"/>
    </row>
    <row r="137" spans="1:10" ht="16.5" customHeight="1">
      <c r="A137" s="22"/>
      <c r="B137" s="25"/>
      <c r="C137" s="142"/>
      <c r="D137" s="136"/>
      <c r="E137" s="24"/>
      <c r="F137" s="142"/>
      <c r="G137" s="136"/>
      <c r="H137" s="136"/>
      <c r="I137" s="137"/>
      <c r="J137" s="13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44" t="s">
        <v>42</v>
      </c>
      <c r="B139" s="145"/>
      <c r="C139" s="144" t="s">
        <v>43</v>
      </c>
      <c r="D139" s="145"/>
      <c r="E139" s="145"/>
      <c r="F139" s="17" t="s">
        <v>44</v>
      </c>
      <c r="G139" s="144" t="s">
        <v>45</v>
      </c>
      <c r="H139" s="145"/>
      <c r="I139" s="144" t="s">
        <v>46</v>
      </c>
      <c r="J139" s="145"/>
    </row>
    <row r="140" spans="1:10" ht="14.25" customHeight="1">
      <c r="A140" s="8"/>
      <c r="B140" s="18"/>
      <c r="C140" s="189" t="s">
        <v>47</v>
      </c>
      <c r="D140" s="140"/>
      <c r="E140" s="18"/>
      <c r="F140" s="189" t="s">
        <v>29</v>
      </c>
      <c r="G140" s="140"/>
      <c r="H140" s="140"/>
      <c r="I140" s="140"/>
      <c r="J140" s="140"/>
    </row>
    <row r="141" spans="1:10">
      <c r="A141" s="9"/>
      <c r="C141" s="7"/>
      <c r="D141" s="7"/>
      <c r="E141" s="7"/>
    </row>
    <row r="142" spans="1:10" ht="14.25" customHeight="1">
      <c r="A142" s="142" t="s">
        <v>48</v>
      </c>
      <c r="B142" s="136"/>
      <c r="C142" s="142" t="s">
        <v>49</v>
      </c>
      <c r="D142" s="136"/>
      <c r="E142" s="136"/>
      <c r="F142" s="26" t="s">
        <v>50</v>
      </c>
      <c r="G142" s="143">
        <v>100</v>
      </c>
      <c r="H142" s="136"/>
      <c r="I142" s="143">
        <v>1</v>
      </c>
      <c r="J142" s="136"/>
    </row>
    <row r="143" spans="1:10" ht="24.95" customHeight="1">
      <c r="A143" s="135" t="s">
        <v>51</v>
      </c>
      <c r="B143" s="136"/>
      <c r="C143" s="142"/>
      <c r="D143" s="136"/>
      <c r="E143" s="136"/>
      <c r="F143" s="142"/>
      <c r="G143" s="136"/>
      <c r="H143" s="136"/>
      <c r="I143" s="136"/>
      <c r="J143" s="136"/>
    </row>
    <row r="144" spans="1:10" ht="14.25" customHeight="1">
      <c r="A144" s="142" t="s">
        <v>81</v>
      </c>
      <c r="B144" s="136"/>
      <c r="C144" s="142" t="s">
        <v>82</v>
      </c>
      <c r="D144" s="136"/>
      <c r="E144" s="136"/>
      <c r="F144" s="26" t="s">
        <v>36</v>
      </c>
      <c r="G144" s="143">
        <v>2</v>
      </c>
      <c r="H144" s="136"/>
      <c r="I144" s="143">
        <v>0.02</v>
      </c>
      <c r="J144" s="136"/>
    </row>
    <row r="145" spans="1:11" ht="24.95" customHeight="1">
      <c r="A145" s="135" t="s">
        <v>83</v>
      </c>
      <c r="B145" s="136"/>
      <c r="C145" s="142" t="s">
        <v>84</v>
      </c>
      <c r="D145" s="136"/>
      <c r="E145" s="136"/>
      <c r="F145" s="142"/>
      <c r="G145" s="136"/>
      <c r="H145" s="136"/>
      <c r="I145" s="136"/>
      <c r="J145" s="136"/>
    </row>
    <row r="146" spans="1:11" ht="14.25" customHeight="1">
      <c r="A146" s="142" t="s">
        <v>85</v>
      </c>
      <c r="B146" s="136"/>
      <c r="C146" s="142" t="s">
        <v>58</v>
      </c>
      <c r="D146" s="136"/>
      <c r="E146" s="136"/>
      <c r="F146" s="26"/>
      <c r="G146" s="143">
        <v>22</v>
      </c>
      <c r="H146" s="136"/>
      <c r="I146" s="143">
        <v>0.22</v>
      </c>
      <c r="J146" s="136"/>
    </row>
    <row r="147" spans="1:11" ht="24.95" customHeight="1">
      <c r="A147" s="135" t="s">
        <v>86</v>
      </c>
      <c r="B147" s="136"/>
      <c r="C147" s="142" t="s">
        <v>87</v>
      </c>
      <c r="D147" s="136"/>
      <c r="E147" s="136"/>
      <c r="F147" s="142"/>
      <c r="G147" s="136"/>
      <c r="H147" s="136"/>
      <c r="I147" s="136"/>
      <c r="J147" s="136"/>
    </row>
    <row r="148" spans="1:11" ht="14.25" customHeight="1">
      <c r="A148" s="142" t="s">
        <v>61</v>
      </c>
      <c r="B148" s="136"/>
      <c r="C148" s="212" t="s">
        <v>131</v>
      </c>
      <c r="D148" s="136"/>
      <c r="E148" s="136"/>
      <c r="F148" s="26"/>
      <c r="G148" s="143">
        <v>0.2</v>
      </c>
      <c r="H148" s="136"/>
      <c r="I148" s="143">
        <v>2E-3</v>
      </c>
      <c r="J148" s="136"/>
    </row>
    <row r="149" spans="1:11" ht="24.95" customHeight="1">
      <c r="A149" s="135" t="s">
        <v>63</v>
      </c>
      <c r="B149" s="136"/>
      <c r="C149" s="142" t="s">
        <v>64</v>
      </c>
      <c r="D149" s="136"/>
      <c r="E149" s="136"/>
      <c r="F149" s="142"/>
      <c r="G149" s="136"/>
      <c r="H149" s="136"/>
      <c r="I149" s="136"/>
      <c r="J149" s="136"/>
    </row>
    <row r="150" spans="1:11" ht="14.25" customHeight="1">
      <c r="A150" s="142"/>
      <c r="B150" s="136"/>
      <c r="C150" s="142"/>
      <c r="D150" s="136"/>
      <c r="E150" s="136"/>
      <c r="F150" s="26"/>
      <c r="G150" s="143"/>
      <c r="H150" s="136"/>
      <c r="I150" s="143"/>
      <c r="J150" s="136"/>
    </row>
    <row r="151" spans="1:11" ht="24.95" customHeight="1" thickBot="1">
      <c r="A151" s="135"/>
      <c r="B151" s="136"/>
      <c r="C151" s="142"/>
      <c r="D151" s="136"/>
      <c r="E151" s="136"/>
      <c r="F151" s="142"/>
      <c r="G151" s="136"/>
      <c r="H151" s="136"/>
      <c r="I151" s="136"/>
      <c r="J151" s="136"/>
    </row>
    <row r="152" spans="1:11" s="5" customFormat="1" ht="18" customHeight="1">
      <c r="A152" s="206" t="s">
        <v>102</v>
      </c>
      <c r="B152" s="207"/>
      <c r="C152" s="207"/>
      <c r="D152" s="207"/>
      <c r="E152" s="174" t="s">
        <v>103</v>
      </c>
      <c r="F152" s="175"/>
      <c r="G152" s="27" t="s">
        <v>104</v>
      </c>
      <c r="H152" s="209" t="s">
        <v>105</v>
      </c>
      <c r="I152" s="210"/>
      <c r="J152" s="28" t="s">
        <v>106</v>
      </c>
    </row>
    <row r="153" spans="1:11" s="7" customFormat="1" ht="18" customHeight="1">
      <c r="A153" s="176" t="str">
        <f>_xlfn.XLOOKUP(B117,[1]VFDB2!A:A,[1]VFDB2!B:B)</f>
        <v>8FL281304 5010　L=888</v>
      </c>
      <c r="B153" s="177"/>
      <c r="C153" s="177"/>
      <c r="D153" s="177"/>
      <c r="E153" s="161" t="str" cm="1">
        <f t="array" ref="E153">IFERROR(IF(ISBLANK(INDEX(_xlfn._xlws.FILTER([1]加工記録２!$C$3:$C$999615, [1]加工記録２!$T$3:$T$999615=B119), 6)), "", INDEX(_xlfn._xlws.FILTER([1]加工記録２!$C$3:$C$999615, [1]加工記録２!$T$3:$T$999615=B119), 6)),"")</f>
        <v/>
      </c>
      <c r="F153" s="162"/>
      <c r="G153" s="211" t="str" cm="1">
        <f t="array" ref="G153">IFERROR(IF(ISBLANK(INDEX(_xlfn._xlws.FILTER([1]加工記録２!$C$3:$C$999615, [1]加工記録２!$T$3:$T$999615=B119), 7)), " ", INDEX(_xlfn._xlws.FILTER([1]加工記録２!$C$3:$C$999615, [1]加工記録２!$T$3:$T$999615=B119), 7))," ")</f>
        <v xml:space="preserve"> </v>
      </c>
      <c r="H153" s="29" t="s">
        <v>107</v>
      </c>
      <c r="I153" s="88" t="str" cm="1">
        <f t="array" ref="I153">IFERROR(IF(ISBLANK(INDEX(_xlfn._xlws.FILTER([1]加工記録２!$O$3:$P$999678, [1]加工記録２!$T$3:$T$999678=$B$5), 1)), "", INDEX(_xlfn._xlws.FILTER([1]加工記録２!$O$3:$P$999678, [1]加工記録２!$T$3:$T$999678=$B$5), 1)),"")</f>
        <v/>
      </c>
      <c r="J153" s="31"/>
    </row>
    <row r="154" spans="1:11" s="5" customFormat="1" ht="18" customHeight="1">
      <c r="A154" s="178"/>
      <c r="B154" s="179"/>
      <c r="C154" s="179"/>
      <c r="D154" s="179"/>
      <c r="E154" s="161"/>
      <c r="F154" s="162"/>
      <c r="G154" s="211"/>
      <c r="H154" s="29" t="s">
        <v>108</v>
      </c>
      <c r="I154" s="89" t="str" cm="1">
        <f t="array" ref="I154">IFERROR(IF(ISBLANK(INDEX(_xlfn._xlws.FILTER([1]加工記録２!$O$3:$P$999678, [1]加工記録２!$T$3:$T$999678=$B$5), 2)), "", INDEX(_xlfn._xlws.FILTER([1]加工記録２!$O$3:$P$999678, [1]加工記録２!$T$3:$T$999678=$B$5), 2)),"")</f>
        <v/>
      </c>
      <c r="J154" s="33"/>
      <c r="K154" s="34"/>
    </row>
    <row r="155" spans="1:11" s="7" customFormat="1" ht="18" customHeight="1">
      <c r="A155" s="164" t="s">
        <v>109</v>
      </c>
      <c r="B155" s="155" t="str">
        <f>_xlfn.XLOOKUP(B117,[1]VFDB2!A:A,[1]VFDB2!J:J)</f>
        <v>〇</v>
      </c>
      <c r="C155" s="157" t="s">
        <v>110</v>
      </c>
      <c r="D155" s="159">
        <f>_xlfn.XLOOKUP(B117,[1]VFDB2!A:A,[1]VFDB2!P:P)</f>
        <v>2</v>
      </c>
      <c r="E155" s="161" t="str">
        <f>_xlfn.XLOOKUP(B117,[1]VFDB2!A:A,[1]VFDB2!V:V)</f>
        <v>1箱目の梱包数 目視確認　以降、重量測定</v>
      </c>
      <c r="F155" s="162"/>
      <c r="G155" s="163"/>
      <c r="H155" s="35" t="s">
        <v>111</v>
      </c>
      <c r="I155" s="89" t="str" cm="1">
        <f t="array" ref="I155">IFERROR(IF(ISBLANK(INDEX(_xlfn._xlws.FILTER([1]加工記録２!$O$3:$P$999678,[1]加工記録２!$T$3:$T$999678=$B$5), 3)), "", INDEX(_xlfn._xlws.FILTER([1]加工記録２!$O$3:$P$999678, [1]加工記録２!$T$3:$T$999678=$B$5), 3)),"")</f>
        <v/>
      </c>
      <c r="J155" s="36"/>
      <c r="K155" s="37"/>
    </row>
    <row r="156" spans="1:11" s="5" customFormat="1" ht="18" customHeight="1">
      <c r="A156" s="180"/>
      <c r="B156" s="156"/>
      <c r="C156" s="158"/>
      <c r="D156" s="160"/>
      <c r="E156" s="161"/>
      <c r="F156" s="162"/>
      <c r="G156" s="163"/>
      <c r="H156" s="35" t="s">
        <v>112</v>
      </c>
      <c r="I156" s="89" t="str" cm="1">
        <f t="array" ref="I156">IFERROR(IF(ISBLANK(INDEX(_xlfn._xlws.FILTER([1]加工記録２!$O$3:$P$999678,[1]加工記録２!$T$3:$T$999678=$B$5), 4)), "", INDEX(_xlfn._xlws.FILTER([1]加工記録２!$O$3:$P$999678, [1]加工記録２!$T$3:$T$999678=$B$5), 4)),"")</f>
        <v/>
      </c>
      <c r="J156" s="38"/>
      <c r="K156" s="34"/>
    </row>
    <row r="157" spans="1:11" s="7" customFormat="1" ht="18" customHeight="1">
      <c r="A157" s="146" t="s">
        <v>113</v>
      </c>
      <c r="B157" s="148">
        <f>D117</f>
        <v>888</v>
      </c>
      <c r="C157" s="150" t="s">
        <v>114</v>
      </c>
      <c r="D157" s="152" t="str">
        <f>_xlfn.XLOOKUP(B117,[1]VFDB2!A:A,[1]VFDB2!L:L)</f>
        <v>+0.5</v>
      </c>
      <c r="E157" s="161" t="str">
        <f>_xlfn.XLOOKUP(B117,[1]VFDB2!A:A,[1]VFDB2!W:W)</f>
        <v>L=888用　クラフト紙</v>
      </c>
      <c r="F157" s="162"/>
      <c r="G157" s="163"/>
      <c r="H157" s="35" t="s">
        <v>115</v>
      </c>
      <c r="I157" s="89" t="str" cm="1">
        <f t="array" ref="I157">IFERROR(IF(ISBLANK(INDEX(_xlfn._xlws.FILTER([1]加工記録２!$O$3:$P$999678,[1]加工記録２!$T$3:$T$999678=$B$5), 5)), "", INDEX(_xlfn._xlws.FILTER([1]加工記録２!$O$3:$P$999678, [1]加工記録２!$T$3:$T$999678=$B$5), 5)),"")</f>
        <v/>
      </c>
      <c r="J157" s="39"/>
      <c r="K157" s="37"/>
    </row>
    <row r="158" spans="1:11" s="5" customFormat="1" ht="18" customHeight="1">
      <c r="A158" s="147"/>
      <c r="B158" s="149"/>
      <c r="C158" s="151"/>
      <c r="D158" s="153"/>
      <c r="E158" s="161"/>
      <c r="F158" s="162"/>
      <c r="G158" s="163"/>
      <c r="H158" s="35" t="s">
        <v>116</v>
      </c>
      <c r="I158" s="89" t="str" cm="1">
        <f t="array" ref="I158">IFERROR(IF(ISBLANK(INDEX(_xlfn._xlws.FILTER([1]加工記録２!$O$3:$P$999678,[1]加工記録２!$T$3:$T$999678=$B$5), 6)), "", INDEX(_xlfn._xlws.FILTER([1]加工記録２!$O$3:$P$999678, [1]加工記録２!$T$3:$T$999678=$B$5), 6)),"")</f>
        <v/>
      </c>
      <c r="J158" s="40"/>
      <c r="K158" s="34"/>
    </row>
    <row r="159" spans="1:11" s="7" customFormat="1" ht="18" customHeight="1">
      <c r="A159" s="164" t="s">
        <v>117</v>
      </c>
      <c r="B159" s="166" t="str">
        <f>_xlfn.XLOOKUP(B117,[1]VFDB2!A:A,[1]VFDB2!AC:AC)</f>
        <v>換算表確認</v>
      </c>
      <c r="C159" s="168" t="s">
        <v>118</v>
      </c>
      <c r="D159" s="152" t="str">
        <f>_xlfn.XLOOKUP(B117,[1]VFDB2!A:A,[1]VFDB2!K:K)</f>
        <v>－0.5</v>
      </c>
      <c r="E159" s="161" t="str">
        <f>_xlfn.XLOOKUP(B117,[1]VFDB2!A:A,[1]VFDB2!R:R)</f>
        <v>ラベル１枚　長手無　鉢巻１回</v>
      </c>
      <c r="F159" s="162"/>
      <c r="G159" s="163"/>
      <c r="H159" s="35" t="s">
        <v>119</v>
      </c>
      <c r="I159" s="89" t="str" cm="1">
        <f t="array" ref="I159">IFERROR(IF(ISBLANK(INDEX(_xlfn._xlws.FILTER([1]加工記録２!$M$3:$M$999678, [1]加工記録２!$T$3:$T$999678=$B$5), 6)), "", INDEX(_xlfn._xlws.FILTER([1]加工記録２!$M$3:$M$999678, [1]加工記録２!$T$3:$T$999678=$B$5), 6)),"")</f>
        <v/>
      </c>
      <c r="J159" s="41" t="str" cm="1">
        <f t="array" ref="J159">IFERROR(IF(ISBLANK(INDEX(_xlfn._xlws.FILTER([1]加工記録２!$P$3:$P$999678, [1]加工記録２!$T$3:$T$999678=B119), 7)), "", INDEX(_xlfn._xlws.FILTER([1]加工記録２!$P$3:$P$999678, [1]加工記録２!$T$3:$T$999678=B119), 7)),"")</f>
        <v/>
      </c>
      <c r="K159" s="37"/>
    </row>
    <row r="160" spans="1:11" s="5" customFormat="1" ht="18" customHeight="1" thickBot="1">
      <c r="A160" s="165"/>
      <c r="B160" s="167"/>
      <c r="C160" s="169"/>
      <c r="D160" s="170"/>
      <c r="E160" s="171"/>
      <c r="F160" s="172"/>
      <c r="G160" s="173"/>
      <c r="H160" s="42" t="s">
        <v>120</v>
      </c>
      <c r="I160" s="89" t="str" cm="1">
        <f t="array" ref="I160">IFERROR(IF(ISBLANK(INDEX(_xlfn._xlws.FILTER([1]加工記録２!$M$3:$M$999678, [1]加工記録２!$T$3:$T$999678=$B$5), 7)), "", INDEX(_xlfn._xlws.FILTER([1]加工記録２!$M$3:$M$999678, [1]加工記録２!$T$3:$T$999678=$B$5), 7)),"")</f>
        <v/>
      </c>
      <c r="J160" s="90">
        <f>SUM(J153:J159)</f>
        <v>0</v>
      </c>
    </row>
    <row r="161" spans="1:14" s="55" customFormat="1" ht="18.95" customHeight="1">
      <c r="A161" s="45" t="s">
        <v>121</v>
      </c>
      <c r="B161" s="46" t="s">
        <v>122</v>
      </c>
      <c r="C161" s="47" t="s">
        <v>123</v>
      </c>
      <c r="D161" s="47" t="s">
        <v>124</v>
      </c>
      <c r="E161" s="48" t="s">
        <v>125</v>
      </c>
      <c r="F161" s="49" t="s">
        <v>126</v>
      </c>
      <c r="G161" s="50" t="s">
        <v>127</v>
      </c>
      <c r="H161" s="51" t="s">
        <v>128</v>
      </c>
      <c r="I161" s="52" t="s">
        <v>129</v>
      </c>
      <c r="J161" s="53" t="s">
        <v>130</v>
      </c>
      <c r="K161" s="54"/>
      <c r="L161" s="54"/>
      <c r="M161" s="54"/>
      <c r="N161" s="54"/>
    </row>
    <row r="162" spans="1:14" s="66" customFormat="1" ht="18.95" customHeight="1">
      <c r="A162" s="56" t="str" cm="1">
        <f t="array" ref="A162">IFERROR(IF(ISBLANK(INDEX(_xlfn._xlws.FILTER([1]加工記録２!$D$3:$M$999678, [1]加工記録２!$T$3:$T$999678=$B$5), 1)), "", INDEX(_xlfn._xlws.FILTER([1]加工記録２!$D$3:$M$999678, [1]加工記録２!$T$3:$T$999678=$B$5), 1)),"")</f>
        <v/>
      </c>
      <c r="B162" s="57"/>
      <c r="C162" s="58"/>
      <c r="D162" s="58"/>
      <c r="E162" s="59"/>
      <c r="F162" s="60"/>
      <c r="G162" s="61"/>
      <c r="H162" s="62"/>
      <c r="I162" s="63"/>
      <c r="J162" s="64"/>
      <c r="K162" s="65"/>
      <c r="L162" s="65"/>
      <c r="M162" s="65"/>
      <c r="N162" s="65"/>
    </row>
    <row r="163" spans="1:14" s="66" customFormat="1" ht="18.95" customHeight="1">
      <c r="A163" s="56" t="str" cm="1">
        <f t="array" ref="A163">IFERROR(IF(ISBLANK(INDEX(_xlfn._xlws.FILTER([1]加工記録２!$D$3:$M$999678, [1]加工記録２!$T$3:$T$999678=$B$5), 2)), "", INDEX(_xlfn._xlws.FILTER([1]加工記録２!$D$3:$M$999678, [1]加工記録２!$T$3:$T$999678=$B$5), 2)),"")</f>
        <v/>
      </c>
      <c r="B163" s="68"/>
      <c r="C163" s="68"/>
      <c r="D163" s="91"/>
      <c r="E163" s="92"/>
      <c r="F163" s="70"/>
      <c r="G163" s="71"/>
      <c r="H163" s="72"/>
      <c r="I163" s="63"/>
      <c r="J163" s="64"/>
      <c r="K163" s="65"/>
      <c r="L163" s="65"/>
      <c r="M163" s="65"/>
      <c r="N163" s="65"/>
    </row>
    <row r="164" spans="1:14" s="66" customFormat="1" ht="18.95" customHeight="1">
      <c r="A164" s="56" t="str" cm="1">
        <f t="array" ref="A164">IFERROR(IF(ISBLANK(INDEX(_xlfn._xlws.FILTER([1]加工記録２!$D$3:$M$999678, [1]加工記録２!$T$3:$T$999678=$B$5), 3)), "", INDEX(_xlfn._xlws.FILTER([1]加工記録２!$D$3:$M$999678, [1]加工記録２!$T$3:$T$999678=$B$5), 3)),"")</f>
        <v/>
      </c>
      <c r="B164" s="68"/>
      <c r="C164" s="68"/>
      <c r="D164" s="91"/>
      <c r="E164" s="92"/>
      <c r="F164" s="70"/>
      <c r="G164" s="71"/>
      <c r="H164" s="72"/>
      <c r="I164" s="63"/>
      <c r="J164" s="64"/>
      <c r="K164" s="65"/>
      <c r="L164" s="65"/>
      <c r="M164" s="65"/>
      <c r="N164" s="65"/>
    </row>
    <row r="165" spans="1:14" s="66" customFormat="1" ht="18.95" customHeight="1">
      <c r="A165" s="56" t="str" cm="1">
        <f t="array" ref="A165">IFERROR(IF(ISBLANK(INDEX(_xlfn._xlws.FILTER([1]加工記録２!$D$3:$M$999678, [1]加工記録２!$T$3:$T$999678=$B$5), 4)), "", INDEX(_xlfn._xlws.FILTER([1]加工記録２!$D$3:$M$999678, [1]加工記録２!$T$3:$T$999678=$B$5), 4)),"")</f>
        <v/>
      </c>
      <c r="B165" s="68"/>
      <c r="C165" s="68"/>
      <c r="D165" s="91"/>
      <c r="E165" s="92"/>
      <c r="F165" s="70"/>
      <c r="G165" s="71"/>
      <c r="H165" s="72"/>
      <c r="I165" s="63"/>
      <c r="J165" s="64"/>
      <c r="K165" s="65"/>
      <c r="L165" s="65"/>
      <c r="M165" s="65"/>
      <c r="N165" s="65"/>
    </row>
    <row r="166" spans="1:14" s="66" customFormat="1" ht="18.95" customHeight="1">
      <c r="A166" s="56" t="str" cm="1">
        <f t="array" ref="A166">IFERROR(IF(ISBLANK(INDEX(_xlfn._xlws.FILTER([1]加工記録２!$D$3:$M$999678, [1]加工記録２!$T$3:$T$999678=$B$5), 5)), "", INDEX(_xlfn._xlws.FILTER([1]加工記録２!$D$3:$M$999678, [1]加工記録２!$T$3:$T$999678=$B$5), 5)),"")</f>
        <v/>
      </c>
      <c r="B166" s="68"/>
      <c r="C166" s="68"/>
      <c r="D166" s="91"/>
      <c r="E166" s="92"/>
      <c r="F166" s="70"/>
      <c r="G166" s="71"/>
      <c r="H166" s="72"/>
      <c r="I166" s="73"/>
      <c r="J166" s="74"/>
      <c r="K166" s="65"/>
      <c r="L166" s="65"/>
      <c r="M166" s="65"/>
      <c r="N166" s="65"/>
    </row>
    <row r="167" spans="1:14" s="66" customFormat="1" ht="18.95" customHeight="1">
      <c r="A167" s="56" t="str" cm="1">
        <f t="array" ref="A167">IFERROR(IF(ISBLANK(INDEX(_xlfn._xlws.FILTER([1]加工記録２!$D$3:$K$999678, [1]加工記録２!$T$3:$T$999678=$B$5), 6)), "", INDEX(_xlfn._xlws.FILTER([1]加工記録２!$D$3:$K$999678, [1]加工記録２!$T$3:$T$999678=$B$5), 6)),"")</f>
        <v/>
      </c>
      <c r="B167" s="68"/>
      <c r="C167" s="68"/>
      <c r="D167" s="91"/>
      <c r="E167" s="92"/>
      <c r="F167" s="70"/>
      <c r="G167" s="71"/>
      <c r="H167" s="72"/>
      <c r="I167" s="73"/>
      <c r="J167" s="74"/>
      <c r="K167" s="65"/>
      <c r="L167" s="65"/>
      <c r="M167" s="65"/>
      <c r="N167" s="65"/>
    </row>
    <row r="168" spans="1:14" s="66" customFormat="1" ht="18.95" customHeight="1">
      <c r="A168" s="56" t="str" cm="1">
        <f t="array" ref="A168">IFERROR(IF(ISBLANK(INDEX(_xlfn._xlws.FILTER([1]加工記録２!$D$3:$K$999678, [1]加工記録２!$T$3:$T$999678=$B$5), 7)), "", INDEX(_xlfn._xlws.FILTER([1]加工記録２!$D$3:$K$999678, [1]加工記録２!$T$3:$T$999678=$B$5), 7)),"")</f>
        <v/>
      </c>
      <c r="B168" s="68"/>
      <c r="C168" s="68"/>
      <c r="D168" s="91"/>
      <c r="E168" s="92"/>
      <c r="F168" s="70"/>
      <c r="G168" s="71"/>
      <c r="H168" s="72"/>
      <c r="I168" s="73"/>
      <c r="J168" s="74"/>
      <c r="K168" s="65"/>
      <c r="L168" s="65"/>
      <c r="M168" s="65"/>
      <c r="N168" s="65"/>
    </row>
    <row r="169" spans="1:14" s="66" customFormat="1" ht="18.95" customHeight="1" thickBot="1">
      <c r="A169" s="93" t="str" cm="1">
        <f t="array" ref="A169">IFERROR(IF(ISBLANK(INDEX(_xlfn._xlws.FILTER([1]加工記録２!$D$3:$K$999678, [1]加工記録２!$T$3:$T$999678=$B$5), 8)), "", INDEX(_xlfn._xlws.FILTER([1]加工記録２!$D$3:$K$999678, [1]加工記録２!$T$3:$T$999678=$B$5), 8)),"")</f>
        <v/>
      </c>
      <c r="B169" s="81"/>
      <c r="C169" s="81"/>
      <c r="D169" s="94"/>
      <c r="E169" s="95"/>
      <c r="F169" s="83"/>
      <c r="G169" s="84"/>
      <c r="H169" s="96"/>
      <c r="I169" s="97"/>
      <c r="J169" s="98"/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99" t="s">
        <v>0</v>
      </c>
      <c r="C172" s="136"/>
      <c r="D172" s="13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36"/>
      <c r="C173" s="136"/>
      <c r="D173" s="136"/>
      <c r="E173" s="12"/>
      <c r="F173" s="12"/>
      <c r="G173" s="12"/>
      <c r="H173" s="12"/>
      <c r="I173" s="12"/>
      <c r="J173" s="12"/>
    </row>
    <row r="174" spans="1:14" ht="14.25" customHeight="1">
      <c r="A174" s="194" t="s">
        <v>1</v>
      </c>
      <c r="B174" s="194" t="s">
        <v>75</v>
      </c>
      <c r="C174" s="194" t="s">
        <v>3</v>
      </c>
      <c r="D174" s="196">
        <v>888</v>
      </c>
      <c r="E174" s="194" t="s">
        <v>4</v>
      </c>
      <c r="F174" s="188" t="s">
        <v>76</v>
      </c>
      <c r="G174" s="136"/>
      <c r="H174" s="139"/>
      <c r="I174" s="13" t="s">
        <v>6</v>
      </c>
      <c r="J174" s="13" t="s">
        <v>7</v>
      </c>
    </row>
    <row r="175" spans="1:14" ht="14.25" customHeight="1">
      <c r="A175" s="136"/>
      <c r="B175" s="136"/>
      <c r="C175" s="136"/>
      <c r="D175" s="136"/>
      <c r="E175" s="136"/>
      <c r="F175" s="136"/>
      <c r="G175" s="136"/>
      <c r="H175" s="139"/>
      <c r="I175" s="186"/>
      <c r="J175" s="186"/>
    </row>
    <row r="176" spans="1:14" ht="17.45" customHeight="1">
      <c r="A176" s="154" t="s">
        <v>8</v>
      </c>
      <c r="B176" s="154" t="s">
        <v>88</v>
      </c>
      <c r="E176" s="154" t="s">
        <v>10</v>
      </c>
      <c r="F176" s="198" t="s">
        <v>78</v>
      </c>
      <c r="G176" s="136"/>
      <c r="H176" s="139"/>
      <c r="I176" s="187"/>
      <c r="J176" s="187"/>
    </row>
    <row r="177" spans="1:10" ht="17.45" customHeight="1">
      <c r="A177" s="136"/>
      <c r="B177" s="136"/>
      <c r="E177" s="136"/>
      <c r="F177" s="136"/>
      <c r="G177" s="136"/>
      <c r="H177" s="139"/>
      <c r="I177" s="14"/>
      <c r="J177" s="14"/>
    </row>
    <row r="178" spans="1:10" ht="17.45" customHeight="1">
      <c r="A178" s="154" t="s">
        <v>12</v>
      </c>
      <c r="B178" s="154" t="s">
        <v>89</v>
      </c>
      <c r="E178" s="2" t="s">
        <v>14</v>
      </c>
      <c r="F178" s="204" t="s">
        <v>15</v>
      </c>
      <c r="G178" s="136"/>
      <c r="H178" s="21"/>
    </row>
    <row r="179" spans="1:10" ht="17.45" customHeight="1">
      <c r="A179" s="136"/>
      <c r="B179" s="136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45959</v>
      </c>
      <c r="E180" s="2" t="s">
        <v>19</v>
      </c>
      <c r="F180" s="193">
        <v>100</v>
      </c>
      <c r="G180" s="136"/>
      <c r="H180" s="21"/>
    </row>
    <row r="181" spans="1:10" ht="17.45" customHeight="1">
      <c r="A181" s="2" t="s">
        <v>20</v>
      </c>
      <c r="B181" s="4">
        <v>45959</v>
      </c>
      <c r="E181" s="2" t="s">
        <v>21</v>
      </c>
      <c r="F181" s="21">
        <v>7</v>
      </c>
      <c r="G181" s="205" t="s">
        <v>22</v>
      </c>
      <c r="H181" s="200">
        <v>700</v>
      </c>
      <c r="I181" s="201"/>
      <c r="J181" s="202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203"/>
      <c r="H182" s="203"/>
      <c r="I182" s="140"/>
      <c r="J182" s="141"/>
    </row>
    <row r="183" spans="1:10" ht="13.5" customHeight="1">
      <c r="A183" s="195" t="s">
        <v>80</v>
      </c>
      <c r="B183" s="136"/>
      <c r="C183" s="136"/>
      <c r="D183" s="20"/>
      <c r="F183" s="3"/>
      <c r="G183" s="181" t="s">
        <v>26</v>
      </c>
      <c r="H183" s="190" t="s">
        <v>27</v>
      </c>
      <c r="I183" s="138" t="s">
        <v>28</v>
      </c>
      <c r="J183" s="139"/>
    </row>
    <row r="184" spans="1:10" ht="13.5" customHeight="1">
      <c r="A184" s="136"/>
      <c r="B184" s="136"/>
      <c r="C184" s="136"/>
      <c r="D184" s="20"/>
      <c r="F184" s="3"/>
      <c r="G184" s="182"/>
      <c r="H184" s="182"/>
      <c r="I184" s="140"/>
      <c r="J184" s="141"/>
    </row>
    <row r="185" spans="1:10" ht="13.5" customHeight="1">
      <c r="A185" s="1" t="s">
        <v>29</v>
      </c>
    </row>
    <row r="186" spans="1:10" ht="63" customHeight="1">
      <c r="A186" s="184"/>
      <c r="B186" s="185"/>
      <c r="C186" s="185"/>
      <c r="D186" s="185"/>
      <c r="E186" s="185"/>
      <c r="F186" s="185"/>
      <c r="G186" s="185"/>
      <c r="H186" s="185"/>
      <c r="I186" s="185"/>
      <c r="J186" s="185"/>
    </row>
    <row r="187" spans="1:10" ht="18.75">
      <c r="A187" s="23" t="s">
        <v>30</v>
      </c>
      <c r="B187" s="16" t="s">
        <v>31</v>
      </c>
      <c r="C187" s="191" t="s">
        <v>32</v>
      </c>
      <c r="D187" s="192"/>
      <c r="E187" s="16" t="s">
        <v>33</v>
      </c>
      <c r="F187" s="191" t="s">
        <v>34</v>
      </c>
      <c r="G187" s="192"/>
      <c r="H187" s="192"/>
      <c r="I187" s="208" t="s">
        <v>35</v>
      </c>
      <c r="J187" s="192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42" t="s">
        <v>37</v>
      </c>
      <c r="D189" s="136"/>
      <c r="E189" s="24" t="s">
        <v>38</v>
      </c>
      <c r="F189" s="142" t="s">
        <v>39</v>
      </c>
      <c r="G189" s="136"/>
      <c r="H189" s="136"/>
      <c r="I189" s="137"/>
      <c r="J189" s="136"/>
    </row>
    <row r="190" spans="1:10" ht="16.5" customHeight="1">
      <c r="A190" s="22">
        <v>1</v>
      </c>
      <c r="B190" s="25" t="s">
        <v>36</v>
      </c>
      <c r="C190" s="142" t="s">
        <v>37</v>
      </c>
      <c r="D190" s="136"/>
      <c r="E190" s="24" t="s">
        <v>40</v>
      </c>
      <c r="F190" s="142" t="s">
        <v>41</v>
      </c>
      <c r="G190" s="136"/>
      <c r="H190" s="136"/>
      <c r="I190" s="137"/>
      <c r="J190" s="136"/>
    </row>
    <row r="191" spans="1:10" ht="16.5" customHeight="1">
      <c r="A191" s="22"/>
      <c r="B191" s="25"/>
      <c r="C191" s="142"/>
      <c r="D191" s="136"/>
      <c r="E191" s="24"/>
      <c r="F191" s="142"/>
      <c r="G191" s="136"/>
      <c r="H191" s="136"/>
      <c r="I191" s="137"/>
      <c r="J191" s="136"/>
    </row>
    <row r="192" spans="1:10" ht="16.5" customHeight="1">
      <c r="A192" s="22"/>
      <c r="B192" s="25"/>
      <c r="C192" s="142"/>
      <c r="D192" s="136"/>
      <c r="E192" s="24"/>
      <c r="F192" s="142"/>
      <c r="G192" s="136"/>
      <c r="H192" s="136"/>
      <c r="I192" s="137"/>
      <c r="J192" s="136"/>
    </row>
    <row r="193" spans="1:10" ht="16.5" customHeight="1">
      <c r="A193" s="22"/>
      <c r="B193" s="25"/>
      <c r="C193" s="142"/>
      <c r="D193" s="136"/>
      <c r="E193" s="24"/>
      <c r="F193" s="142"/>
      <c r="G193" s="136"/>
      <c r="H193" s="136"/>
      <c r="I193" s="137"/>
      <c r="J193" s="136"/>
    </row>
    <row r="194" spans="1:10" ht="16.5" customHeight="1">
      <c r="A194" s="22"/>
      <c r="B194" s="25"/>
      <c r="C194" s="142"/>
      <c r="D194" s="136"/>
      <c r="E194" s="24"/>
      <c r="F194" s="142"/>
      <c r="G194" s="136"/>
      <c r="H194" s="136"/>
      <c r="I194" s="137"/>
      <c r="J194" s="13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44" t="s">
        <v>42</v>
      </c>
      <c r="B196" s="145"/>
      <c r="C196" s="144" t="s">
        <v>43</v>
      </c>
      <c r="D196" s="145"/>
      <c r="E196" s="145"/>
      <c r="F196" s="17" t="s">
        <v>44</v>
      </c>
      <c r="G196" s="144" t="s">
        <v>45</v>
      </c>
      <c r="H196" s="145"/>
      <c r="I196" s="144" t="s">
        <v>46</v>
      </c>
      <c r="J196" s="145"/>
    </row>
    <row r="197" spans="1:10" ht="14.25" customHeight="1">
      <c r="A197" s="8"/>
      <c r="B197" s="18"/>
      <c r="C197" s="189" t="s">
        <v>47</v>
      </c>
      <c r="D197" s="140"/>
      <c r="E197" s="18"/>
      <c r="F197" s="189" t="s">
        <v>29</v>
      </c>
      <c r="G197" s="140"/>
      <c r="H197" s="140"/>
      <c r="I197" s="140"/>
      <c r="J197" s="140"/>
    </row>
    <row r="198" spans="1:10">
      <c r="A198" s="9"/>
      <c r="C198" s="7"/>
      <c r="D198" s="7"/>
      <c r="E198" s="7"/>
    </row>
    <row r="199" spans="1:10" ht="14.25" customHeight="1">
      <c r="A199" s="142" t="s">
        <v>48</v>
      </c>
      <c r="B199" s="136"/>
      <c r="C199" s="142" t="s">
        <v>49</v>
      </c>
      <c r="D199" s="136"/>
      <c r="E199" s="136"/>
      <c r="F199" s="26" t="s">
        <v>50</v>
      </c>
      <c r="G199" s="143">
        <v>350</v>
      </c>
      <c r="H199" s="136"/>
      <c r="I199" s="143">
        <v>3.5</v>
      </c>
      <c r="J199" s="136"/>
    </row>
    <row r="200" spans="1:10" ht="24.95" customHeight="1">
      <c r="A200" s="135" t="s">
        <v>51</v>
      </c>
      <c r="B200" s="136"/>
      <c r="C200" s="142"/>
      <c r="D200" s="136"/>
      <c r="E200" s="136"/>
      <c r="F200" s="142"/>
      <c r="G200" s="136"/>
      <c r="H200" s="136"/>
      <c r="I200" s="136"/>
      <c r="J200" s="136"/>
    </row>
    <row r="201" spans="1:10" ht="14.25" customHeight="1">
      <c r="A201" s="142" t="s">
        <v>81</v>
      </c>
      <c r="B201" s="136"/>
      <c r="C201" s="142" t="s">
        <v>82</v>
      </c>
      <c r="D201" s="136"/>
      <c r="E201" s="136"/>
      <c r="F201" s="26" t="s">
        <v>36</v>
      </c>
      <c r="G201" s="143">
        <v>7</v>
      </c>
      <c r="H201" s="136"/>
      <c r="I201" s="143">
        <v>7.0000000000000007E-2</v>
      </c>
      <c r="J201" s="136"/>
    </row>
    <row r="202" spans="1:10" ht="24.95" customHeight="1">
      <c r="A202" s="135" t="s">
        <v>83</v>
      </c>
      <c r="B202" s="136"/>
      <c r="C202" s="142" t="s">
        <v>84</v>
      </c>
      <c r="D202" s="136"/>
      <c r="E202" s="136"/>
      <c r="F202" s="142"/>
      <c r="G202" s="136"/>
      <c r="H202" s="136"/>
      <c r="I202" s="136"/>
      <c r="J202" s="136"/>
    </row>
    <row r="203" spans="1:10" ht="14.25" customHeight="1">
      <c r="A203" s="142" t="s">
        <v>85</v>
      </c>
      <c r="B203" s="136"/>
      <c r="C203" s="142" t="s">
        <v>58</v>
      </c>
      <c r="D203" s="136"/>
      <c r="E203" s="136"/>
      <c r="F203" s="26"/>
      <c r="G203" s="143">
        <v>77</v>
      </c>
      <c r="H203" s="136"/>
      <c r="I203" s="143">
        <v>0.77</v>
      </c>
      <c r="J203" s="136"/>
    </row>
    <row r="204" spans="1:10" ht="24.95" customHeight="1">
      <c r="A204" s="135" t="s">
        <v>86</v>
      </c>
      <c r="B204" s="136"/>
      <c r="C204" s="142" t="s">
        <v>87</v>
      </c>
      <c r="D204" s="136"/>
      <c r="E204" s="136"/>
      <c r="F204" s="142"/>
      <c r="G204" s="136"/>
      <c r="H204" s="136"/>
      <c r="I204" s="136"/>
      <c r="J204" s="136"/>
    </row>
    <row r="205" spans="1:10" ht="14.25" customHeight="1">
      <c r="A205" s="142" t="s">
        <v>61</v>
      </c>
      <c r="B205" s="136"/>
      <c r="C205" s="142" t="s">
        <v>62</v>
      </c>
      <c r="D205" s="136"/>
      <c r="E205" s="136"/>
      <c r="F205" s="26"/>
      <c r="G205" s="143">
        <v>0.7</v>
      </c>
      <c r="H205" s="136"/>
      <c r="I205" s="143">
        <v>7.0000000000000001E-3</v>
      </c>
      <c r="J205" s="136"/>
    </row>
    <row r="206" spans="1:10" ht="24.95" customHeight="1">
      <c r="A206" s="135" t="s">
        <v>63</v>
      </c>
      <c r="B206" s="136"/>
      <c r="C206" s="142" t="s">
        <v>64</v>
      </c>
      <c r="D206" s="136"/>
      <c r="E206" s="136"/>
      <c r="F206" s="142"/>
      <c r="G206" s="136"/>
      <c r="H206" s="136"/>
      <c r="I206" s="136"/>
      <c r="J206" s="136"/>
    </row>
    <row r="207" spans="1:10" ht="14.25" customHeight="1">
      <c r="A207" s="142"/>
      <c r="B207" s="136"/>
      <c r="C207" s="142"/>
      <c r="D207" s="136"/>
      <c r="E207" s="136"/>
      <c r="F207" s="26"/>
      <c r="G207" s="143"/>
      <c r="H207" s="136"/>
      <c r="I207" s="143"/>
      <c r="J207" s="136"/>
    </row>
    <row r="208" spans="1:10" ht="24.95" customHeight="1" thickBot="1">
      <c r="A208" s="135"/>
      <c r="B208" s="136"/>
      <c r="C208" s="142"/>
      <c r="D208" s="136"/>
      <c r="E208" s="136"/>
      <c r="F208" s="142"/>
      <c r="G208" s="136"/>
      <c r="H208" s="136"/>
      <c r="I208" s="136"/>
      <c r="J208" s="136"/>
    </row>
    <row r="209" spans="1:14" s="5" customFormat="1" ht="18" customHeight="1">
      <c r="A209" s="206" t="s">
        <v>102</v>
      </c>
      <c r="B209" s="207"/>
      <c r="C209" s="207"/>
      <c r="D209" s="207"/>
      <c r="E209" s="174" t="s">
        <v>103</v>
      </c>
      <c r="F209" s="175"/>
      <c r="G209" s="27" t="s">
        <v>104</v>
      </c>
      <c r="H209" s="209" t="s">
        <v>105</v>
      </c>
      <c r="I209" s="210"/>
      <c r="J209" s="28" t="s">
        <v>106</v>
      </c>
    </row>
    <row r="210" spans="1:14" s="7" customFormat="1" ht="18" customHeight="1">
      <c r="A210" s="176" t="str">
        <f>_xlfn.XLOOKUP(B174,[1]VFDB2!A:A,[1]VFDB2!B:B)</f>
        <v>8FL281304 5010　L=888</v>
      </c>
      <c r="B210" s="177"/>
      <c r="C210" s="177"/>
      <c r="D210" s="177"/>
      <c r="E210" s="161" t="str" cm="1">
        <f t="array" ref="E210">IFERROR(IF(ISBLANK(INDEX(_xlfn._xlws.FILTER([1]加工記録２!$C$3:$C$999615, [1]加工記録２!$T$3:$T$999615=B176), 6)), "", INDEX(_xlfn._xlws.FILTER([1]加工記録２!$C$3:$C$999615, [1]加工記録２!$T$3:$T$999615=B176), 6)),"")</f>
        <v/>
      </c>
      <c r="F210" s="162"/>
      <c r="G210" s="211" t="str" cm="1">
        <f t="array" ref="G210">IFERROR(IF(ISBLANK(INDEX(_xlfn._xlws.FILTER([1]加工記録２!$C$3:$C$999615, [1]加工記録２!$T$3:$T$999615=B176), 7)), " ", INDEX(_xlfn._xlws.FILTER([1]加工記録２!$C$3:$C$999615, [1]加工記録２!$T$3:$T$999615=B176), 7))," ")</f>
        <v xml:space="preserve"> </v>
      </c>
      <c r="H210" s="29" t="s">
        <v>107</v>
      </c>
      <c r="I210" s="88" t="str" cm="1">
        <f t="array" ref="I210">IFERROR(IF(ISBLANK(INDEX(_xlfn._xlws.FILTER([1]加工記録２!$O$3:$P$999678, [1]加工記録２!$T$3:$T$999678=$B$5), 1)), "", INDEX(_xlfn._xlws.FILTER([1]加工記録２!$O$3:$P$999678, [1]加工記録２!$T$3:$T$999678=$B$5), 1)),"")</f>
        <v/>
      </c>
      <c r="J210" s="31"/>
    </row>
    <row r="211" spans="1:14" s="5" customFormat="1" ht="18" customHeight="1">
      <c r="A211" s="178"/>
      <c r="B211" s="179"/>
      <c r="C211" s="179"/>
      <c r="D211" s="179"/>
      <c r="E211" s="161"/>
      <c r="F211" s="162"/>
      <c r="G211" s="211"/>
      <c r="H211" s="29" t="s">
        <v>108</v>
      </c>
      <c r="I211" s="89" t="str" cm="1">
        <f t="array" ref="I211">IFERROR(IF(ISBLANK(INDEX(_xlfn._xlws.FILTER([1]加工記録２!$O$3:$P$999678, [1]加工記録２!$T$3:$T$999678=$B$5), 2)), "", INDEX(_xlfn._xlws.FILTER([1]加工記録２!$O$3:$P$999678, [1]加工記録２!$T$3:$T$999678=$B$5), 2)),"")</f>
        <v/>
      </c>
      <c r="J211" s="33"/>
      <c r="K211" s="34"/>
    </row>
    <row r="212" spans="1:14" s="7" customFormat="1" ht="18" customHeight="1">
      <c r="A212" s="164" t="s">
        <v>109</v>
      </c>
      <c r="B212" s="155" t="str">
        <f>_xlfn.XLOOKUP(B174,[1]VFDB2!A:A,[1]VFDB2!J:J)</f>
        <v>〇</v>
      </c>
      <c r="C212" s="157" t="s">
        <v>110</v>
      </c>
      <c r="D212" s="159">
        <f>_xlfn.XLOOKUP(B174,[1]VFDB2!A:A,[1]VFDB2!P:P)</f>
        <v>2</v>
      </c>
      <c r="E212" s="161" t="str">
        <f>_xlfn.XLOOKUP(B174,[1]VFDB2!A:A,[1]VFDB2!V:V)</f>
        <v>1箱目の梱包数 目視確認　以降、重量測定</v>
      </c>
      <c r="F212" s="162"/>
      <c r="G212" s="163"/>
      <c r="H212" s="35" t="s">
        <v>111</v>
      </c>
      <c r="I212" s="89" t="str" cm="1">
        <f t="array" ref="I212">IFERROR(IF(ISBLANK(INDEX(_xlfn._xlws.FILTER([1]加工記録２!$O$3:$P$999678,[1]加工記録２!$T$3:$T$999678=$B$5), 3)), "", INDEX(_xlfn._xlws.FILTER([1]加工記録２!$O$3:$P$999678, [1]加工記録２!$T$3:$T$999678=$B$5), 3)),"")</f>
        <v/>
      </c>
      <c r="J212" s="36"/>
      <c r="K212" s="37"/>
    </row>
    <row r="213" spans="1:14" s="5" customFormat="1" ht="18" customHeight="1">
      <c r="A213" s="180"/>
      <c r="B213" s="156"/>
      <c r="C213" s="158"/>
      <c r="D213" s="160"/>
      <c r="E213" s="161"/>
      <c r="F213" s="162"/>
      <c r="G213" s="163"/>
      <c r="H213" s="35" t="s">
        <v>112</v>
      </c>
      <c r="I213" s="89" t="str" cm="1">
        <f t="array" ref="I213">IFERROR(IF(ISBLANK(INDEX(_xlfn._xlws.FILTER([1]加工記録２!$O$3:$P$999678,[1]加工記録２!$T$3:$T$999678=$B$5), 4)), "", INDEX(_xlfn._xlws.FILTER([1]加工記録２!$O$3:$P$999678, [1]加工記録２!$T$3:$T$999678=$B$5), 4)),"")</f>
        <v/>
      </c>
      <c r="J213" s="38"/>
      <c r="K213" s="34"/>
    </row>
    <row r="214" spans="1:14" s="7" customFormat="1" ht="18" customHeight="1">
      <c r="A214" s="146" t="s">
        <v>113</v>
      </c>
      <c r="B214" s="148">
        <f>D174</f>
        <v>888</v>
      </c>
      <c r="C214" s="150" t="s">
        <v>114</v>
      </c>
      <c r="D214" s="152" t="str">
        <f>_xlfn.XLOOKUP(B174,[1]VFDB2!A:A,[1]VFDB2!L:L)</f>
        <v>+0.5</v>
      </c>
      <c r="E214" s="161" t="str">
        <f>_xlfn.XLOOKUP(B174,[1]VFDB2!A:A,[1]VFDB2!W:W)</f>
        <v>L=888用　クラフト紙</v>
      </c>
      <c r="F214" s="162"/>
      <c r="G214" s="163"/>
      <c r="H214" s="35" t="s">
        <v>115</v>
      </c>
      <c r="I214" s="89" t="str" cm="1">
        <f t="array" ref="I214">IFERROR(IF(ISBLANK(INDEX(_xlfn._xlws.FILTER([1]加工記録２!$O$3:$P$999678,[1]加工記録２!$T$3:$T$999678=$B$5), 5)), "", INDEX(_xlfn._xlws.FILTER([1]加工記録２!$O$3:$P$999678, [1]加工記録２!$T$3:$T$999678=$B$5), 5)),"")</f>
        <v/>
      </c>
      <c r="J214" s="39"/>
      <c r="K214" s="37"/>
    </row>
    <row r="215" spans="1:14" s="5" customFormat="1" ht="18" customHeight="1">
      <c r="A215" s="147"/>
      <c r="B215" s="149"/>
      <c r="C215" s="151"/>
      <c r="D215" s="153"/>
      <c r="E215" s="161"/>
      <c r="F215" s="162"/>
      <c r="G215" s="163"/>
      <c r="H215" s="35" t="s">
        <v>116</v>
      </c>
      <c r="I215" s="89" t="str" cm="1">
        <f t="array" ref="I215">IFERROR(IF(ISBLANK(INDEX(_xlfn._xlws.FILTER([1]加工記録２!$O$3:$P$999678,[1]加工記録２!$T$3:$T$999678=$B$5), 6)), "", INDEX(_xlfn._xlws.FILTER([1]加工記録２!$O$3:$P$999678, [1]加工記録２!$T$3:$T$999678=$B$5), 6)),"")</f>
        <v/>
      </c>
      <c r="J215" s="40"/>
      <c r="K215" s="34"/>
    </row>
    <row r="216" spans="1:14" s="7" customFormat="1" ht="18" customHeight="1">
      <c r="A216" s="164" t="s">
        <v>117</v>
      </c>
      <c r="B216" s="166" t="str">
        <f>_xlfn.XLOOKUP(B174,[1]VFDB2!A:A,[1]VFDB2!AC:AC)</f>
        <v>換算表確認</v>
      </c>
      <c r="C216" s="168" t="s">
        <v>118</v>
      </c>
      <c r="D216" s="152" t="str">
        <f>_xlfn.XLOOKUP(B174,[1]VFDB2!A:A,[1]VFDB2!K:K)</f>
        <v>－0.5</v>
      </c>
      <c r="E216" s="161" t="str">
        <f>_xlfn.XLOOKUP(B174,[1]VFDB2!A:A,[1]VFDB2!R:R)</f>
        <v>ラベル１枚　長手無　鉢巻１回</v>
      </c>
      <c r="F216" s="162"/>
      <c r="G216" s="163"/>
      <c r="H216" s="35" t="s">
        <v>119</v>
      </c>
      <c r="I216" s="89" t="str" cm="1">
        <f t="array" ref="I216">IFERROR(IF(ISBLANK(INDEX(_xlfn._xlws.FILTER([1]加工記録２!$M$3:$M$999678, [1]加工記録２!$T$3:$T$999678=$B$5), 6)), "", INDEX(_xlfn._xlws.FILTER([1]加工記録２!$M$3:$M$999678, [1]加工記録２!$T$3:$T$999678=$B$5), 6)),"")</f>
        <v/>
      </c>
      <c r="J216" s="41" t="str" cm="1">
        <f t="array" ref="J216">IFERROR(IF(ISBLANK(INDEX(_xlfn._xlws.FILTER([1]加工記録２!$P$3:$P$999678, [1]加工記録２!$T$3:$T$999678=B176), 7)), "", INDEX(_xlfn._xlws.FILTER([1]加工記録２!$P$3:$P$999678, [1]加工記録２!$T$3:$T$999678=B176), 7)),"")</f>
        <v/>
      </c>
      <c r="K216" s="37"/>
    </row>
    <row r="217" spans="1:14" s="5" customFormat="1" ht="18" customHeight="1" thickBot="1">
      <c r="A217" s="165"/>
      <c r="B217" s="167"/>
      <c r="C217" s="169"/>
      <c r="D217" s="170"/>
      <c r="E217" s="171"/>
      <c r="F217" s="172"/>
      <c r="G217" s="173"/>
      <c r="H217" s="42" t="s">
        <v>120</v>
      </c>
      <c r="I217" s="89" t="str" cm="1">
        <f t="array" ref="I217">IFERROR(IF(ISBLANK(INDEX(_xlfn._xlws.FILTER([1]加工記録２!$M$3:$M$999678, [1]加工記録２!$T$3:$T$999678=$B$5), 7)), "", INDEX(_xlfn._xlws.FILTER([1]加工記録２!$M$3:$M$999678, [1]加工記録２!$T$3:$T$999678=$B$5), 7)),"")</f>
        <v/>
      </c>
      <c r="J217" s="90">
        <f>SUM(J210:J216)</f>
        <v>0</v>
      </c>
    </row>
    <row r="218" spans="1:14" s="55" customFormat="1" ht="18.95" customHeight="1">
      <c r="A218" s="45" t="s">
        <v>121</v>
      </c>
      <c r="B218" s="46" t="s">
        <v>122</v>
      </c>
      <c r="C218" s="47" t="s">
        <v>123</v>
      </c>
      <c r="D218" s="47" t="s">
        <v>124</v>
      </c>
      <c r="E218" s="48" t="s">
        <v>125</v>
      </c>
      <c r="F218" s="49" t="s">
        <v>126</v>
      </c>
      <c r="G218" s="50" t="s">
        <v>127</v>
      </c>
      <c r="H218" s="51" t="s">
        <v>128</v>
      </c>
      <c r="I218" s="52" t="s">
        <v>129</v>
      </c>
      <c r="J218" s="53" t="s">
        <v>130</v>
      </c>
      <c r="K218" s="54"/>
      <c r="L218" s="54"/>
      <c r="M218" s="54"/>
      <c r="N218" s="54"/>
    </row>
    <row r="219" spans="1:14" s="66" customFormat="1" ht="18.95" customHeight="1">
      <c r="A219" s="56" t="str" cm="1">
        <f t="array" ref="A219">IFERROR(IF(ISBLANK(INDEX(_xlfn._xlws.FILTER([1]加工記録２!$D$3:$M$999678, [1]加工記録２!$T$3:$T$999678=$B$5), 1)), "", INDEX(_xlfn._xlws.FILTER([1]加工記録２!$D$3:$M$999678, [1]加工記録２!$T$3:$T$999678=$B$5), 1)),"")</f>
        <v/>
      </c>
      <c r="B219" s="57"/>
      <c r="C219" s="58"/>
      <c r="D219" s="58"/>
      <c r="E219" s="59"/>
      <c r="F219" s="60"/>
      <c r="G219" s="61"/>
      <c r="H219" s="62"/>
      <c r="I219" s="63"/>
      <c r="J219" s="64"/>
      <c r="K219" s="65"/>
      <c r="L219" s="65"/>
      <c r="M219" s="65"/>
      <c r="N219" s="65"/>
    </row>
    <row r="220" spans="1:14" s="66" customFormat="1" ht="18.95" customHeight="1">
      <c r="A220" s="56" t="str" cm="1">
        <f t="array" ref="A220">IFERROR(IF(ISBLANK(INDEX(_xlfn._xlws.FILTER([1]加工記録２!$D$3:$M$999678, [1]加工記録２!$T$3:$T$999678=$B$5), 2)), "", INDEX(_xlfn._xlws.FILTER([1]加工記録２!$D$3:$M$999678, [1]加工記録２!$T$3:$T$999678=$B$5), 2)),"")</f>
        <v/>
      </c>
      <c r="B220" s="68"/>
      <c r="C220" s="68"/>
      <c r="D220" s="91"/>
      <c r="E220" s="92"/>
      <c r="F220" s="70"/>
      <c r="G220" s="71"/>
      <c r="H220" s="72"/>
      <c r="I220" s="63"/>
      <c r="J220" s="64"/>
      <c r="K220" s="65"/>
      <c r="L220" s="65"/>
      <c r="M220" s="65"/>
      <c r="N220" s="65"/>
    </row>
    <row r="221" spans="1:14" s="66" customFormat="1" ht="18.95" customHeight="1">
      <c r="A221" s="56" t="str" cm="1">
        <f t="array" ref="A221">IFERROR(IF(ISBLANK(INDEX(_xlfn._xlws.FILTER([1]加工記録２!$D$3:$M$999678, [1]加工記録２!$T$3:$T$999678=$B$5), 3)), "", INDEX(_xlfn._xlws.FILTER([1]加工記録２!$D$3:$M$999678, [1]加工記録２!$T$3:$T$999678=$B$5), 3)),"")</f>
        <v/>
      </c>
      <c r="B221" s="68"/>
      <c r="C221" s="68"/>
      <c r="D221" s="91"/>
      <c r="E221" s="92"/>
      <c r="F221" s="70"/>
      <c r="G221" s="71"/>
      <c r="H221" s="72"/>
      <c r="I221" s="63"/>
      <c r="J221" s="64"/>
      <c r="K221" s="65"/>
      <c r="L221" s="65"/>
      <c r="M221" s="65"/>
      <c r="N221" s="65"/>
    </row>
    <row r="222" spans="1:14" s="66" customFormat="1" ht="18.95" customHeight="1">
      <c r="A222" s="56" t="str" cm="1">
        <f t="array" ref="A222">IFERROR(IF(ISBLANK(INDEX(_xlfn._xlws.FILTER([1]加工記録２!$D$3:$M$999678, [1]加工記録２!$T$3:$T$999678=$B$5), 4)), "", INDEX(_xlfn._xlws.FILTER([1]加工記録２!$D$3:$M$999678, [1]加工記録２!$T$3:$T$999678=$B$5), 4)),"")</f>
        <v/>
      </c>
      <c r="B222" s="68"/>
      <c r="C222" s="68"/>
      <c r="D222" s="91"/>
      <c r="E222" s="92"/>
      <c r="F222" s="70"/>
      <c r="G222" s="71"/>
      <c r="H222" s="72"/>
      <c r="I222" s="63"/>
      <c r="J222" s="64"/>
      <c r="K222" s="65"/>
      <c r="L222" s="65"/>
      <c r="M222" s="65"/>
      <c r="N222" s="65"/>
    </row>
    <row r="223" spans="1:14" s="66" customFormat="1" ht="18.95" customHeight="1">
      <c r="A223" s="56" t="str" cm="1">
        <f t="array" ref="A223">IFERROR(IF(ISBLANK(INDEX(_xlfn._xlws.FILTER([1]加工記録２!$D$3:$M$999678, [1]加工記録２!$T$3:$T$999678=$B$5), 5)), "", INDEX(_xlfn._xlws.FILTER([1]加工記録２!$D$3:$M$999678, [1]加工記録２!$T$3:$T$999678=$B$5), 5)),"")</f>
        <v/>
      </c>
      <c r="B223" s="68"/>
      <c r="C223" s="68"/>
      <c r="D223" s="91"/>
      <c r="E223" s="92"/>
      <c r="F223" s="70"/>
      <c r="G223" s="71"/>
      <c r="H223" s="72"/>
      <c r="I223" s="73"/>
      <c r="J223" s="74"/>
      <c r="K223" s="65"/>
      <c r="L223" s="65"/>
      <c r="M223" s="65"/>
      <c r="N223" s="65"/>
    </row>
    <row r="224" spans="1:14" s="66" customFormat="1" ht="18.95" customHeight="1">
      <c r="A224" s="56" t="str" cm="1">
        <f t="array" ref="A224">IFERROR(IF(ISBLANK(INDEX(_xlfn._xlws.FILTER([1]加工記録２!$D$3:$K$999678, [1]加工記録２!$T$3:$T$999678=$B$5), 6)), "", INDEX(_xlfn._xlws.FILTER([1]加工記録２!$D$3:$K$999678, [1]加工記録２!$T$3:$T$999678=$B$5), 6)),"")</f>
        <v/>
      </c>
      <c r="B224" s="68"/>
      <c r="C224" s="68"/>
      <c r="D224" s="91"/>
      <c r="E224" s="92"/>
      <c r="F224" s="70"/>
      <c r="G224" s="71"/>
      <c r="H224" s="72"/>
      <c r="I224" s="73"/>
      <c r="J224" s="74"/>
      <c r="K224" s="65"/>
      <c r="L224" s="65"/>
      <c r="M224" s="65"/>
      <c r="N224" s="65"/>
    </row>
    <row r="225" spans="1:14" s="66" customFormat="1" ht="18.95" customHeight="1">
      <c r="A225" s="56" t="str" cm="1">
        <f t="array" ref="A225">IFERROR(IF(ISBLANK(INDEX(_xlfn._xlws.FILTER([1]加工記録２!$D$3:$K$999678, [1]加工記録２!$T$3:$T$999678=$B$5), 7)), "", INDEX(_xlfn._xlws.FILTER([1]加工記録２!$D$3:$K$999678, [1]加工記録２!$T$3:$T$999678=$B$5), 7)),"")</f>
        <v/>
      </c>
      <c r="B225" s="68"/>
      <c r="C225" s="68"/>
      <c r="D225" s="91"/>
      <c r="E225" s="92"/>
      <c r="F225" s="70"/>
      <c r="G225" s="71"/>
      <c r="H225" s="72"/>
      <c r="I225" s="73"/>
      <c r="J225" s="74"/>
      <c r="K225" s="65"/>
      <c r="L225" s="65"/>
      <c r="M225" s="65"/>
      <c r="N225" s="65"/>
    </row>
    <row r="226" spans="1:14" s="66" customFormat="1" ht="18.95" customHeight="1" thickBot="1">
      <c r="A226" s="93" t="str" cm="1">
        <f t="array" ref="A226">IFERROR(IF(ISBLANK(INDEX(_xlfn._xlws.FILTER([1]加工記録２!$D$3:$K$999678, [1]加工記録２!$T$3:$T$999678=$B$5), 8)), "", INDEX(_xlfn._xlws.FILTER([1]加工記録２!$D$3:$K$999678, [1]加工記録２!$T$3:$T$999678=$B$5), 8)),"")</f>
        <v/>
      </c>
      <c r="B226" s="81"/>
      <c r="C226" s="81"/>
      <c r="D226" s="94"/>
      <c r="E226" s="95"/>
      <c r="F226" s="83"/>
      <c r="G226" s="84"/>
      <c r="H226" s="96"/>
      <c r="I226" s="97"/>
      <c r="J226" s="98"/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99" t="s">
        <v>0</v>
      </c>
      <c r="C229" s="136"/>
      <c r="D229" s="136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36"/>
      <c r="C230" s="136"/>
      <c r="D230" s="136"/>
      <c r="E230" s="12"/>
      <c r="F230" s="12"/>
      <c r="G230" s="12"/>
      <c r="H230" s="12"/>
      <c r="I230" s="12"/>
      <c r="J230" s="12"/>
    </row>
    <row r="231" spans="1:14" ht="14.25" customHeight="1">
      <c r="A231" s="194" t="s">
        <v>1</v>
      </c>
      <c r="B231" s="194" t="s">
        <v>75</v>
      </c>
      <c r="C231" s="194" t="s">
        <v>3</v>
      </c>
      <c r="D231" s="196">
        <v>888</v>
      </c>
      <c r="E231" s="194" t="s">
        <v>4</v>
      </c>
      <c r="F231" s="188" t="s">
        <v>76</v>
      </c>
      <c r="G231" s="136"/>
      <c r="H231" s="139"/>
      <c r="I231" s="13" t="s">
        <v>6</v>
      </c>
      <c r="J231" s="13" t="s">
        <v>7</v>
      </c>
    </row>
    <row r="232" spans="1:14" ht="14.25" customHeight="1">
      <c r="A232" s="136"/>
      <c r="B232" s="136"/>
      <c r="C232" s="136"/>
      <c r="D232" s="136"/>
      <c r="E232" s="136"/>
      <c r="F232" s="136"/>
      <c r="G232" s="136"/>
      <c r="H232" s="139"/>
      <c r="I232" s="186"/>
      <c r="J232" s="186"/>
    </row>
    <row r="233" spans="1:14" ht="17.45" customHeight="1">
      <c r="A233" s="154" t="s">
        <v>8</v>
      </c>
      <c r="B233" s="154" t="s">
        <v>90</v>
      </c>
      <c r="E233" s="154" t="s">
        <v>10</v>
      </c>
      <c r="F233" s="198" t="s">
        <v>78</v>
      </c>
      <c r="G233" s="136"/>
      <c r="H233" s="139"/>
      <c r="I233" s="187"/>
      <c r="J233" s="187"/>
    </row>
    <row r="234" spans="1:14" ht="17.45" customHeight="1">
      <c r="A234" s="136"/>
      <c r="B234" s="136"/>
      <c r="E234" s="136"/>
      <c r="F234" s="136"/>
      <c r="G234" s="136"/>
      <c r="H234" s="139"/>
      <c r="I234" s="14"/>
      <c r="J234" s="14"/>
    </row>
    <row r="235" spans="1:14" ht="17.45" customHeight="1">
      <c r="A235" s="154" t="s">
        <v>12</v>
      </c>
      <c r="B235" s="154" t="s">
        <v>91</v>
      </c>
      <c r="E235" s="2" t="s">
        <v>14</v>
      </c>
      <c r="F235" s="204" t="s">
        <v>15</v>
      </c>
      <c r="G235" s="136"/>
      <c r="H235" s="21"/>
    </row>
    <row r="236" spans="1:14" ht="17.45" customHeight="1">
      <c r="A236" s="136"/>
      <c r="B236" s="136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45959</v>
      </c>
      <c r="E237" s="2" t="s">
        <v>19</v>
      </c>
      <c r="F237" s="193">
        <v>100</v>
      </c>
      <c r="G237" s="136"/>
      <c r="H237" s="21"/>
    </row>
    <row r="238" spans="1:14" ht="17.45" customHeight="1">
      <c r="A238" s="2" t="s">
        <v>20</v>
      </c>
      <c r="B238" s="4">
        <v>45959</v>
      </c>
      <c r="E238" s="2" t="s">
        <v>21</v>
      </c>
      <c r="F238" s="21">
        <v>20</v>
      </c>
      <c r="G238" s="205" t="s">
        <v>22</v>
      </c>
      <c r="H238" s="200">
        <v>2000</v>
      </c>
      <c r="I238" s="201"/>
      <c r="J238" s="202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203"/>
      <c r="H239" s="203"/>
      <c r="I239" s="140"/>
      <c r="J239" s="141"/>
    </row>
    <row r="240" spans="1:14" ht="13.5" customHeight="1">
      <c r="A240" s="195" t="s">
        <v>80</v>
      </c>
      <c r="B240" s="136"/>
      <c r="C240" s="136"/>
      <c r="D240" s="20"/>
      <c r="F240" s="3"/>
      <c r="G240" s="181" t="s">
        <v>26</v>
      </c>
      <c r="H240" s="190" t="s">
        <v>27</v>
      </c>
      <c r="I240" s="138" t="s">
        <v>28</v>
      </c>
      <c r="J240" s="139"/>
    </row>
    <row r="241" spans="1:10" ht="13.5" customHeight="1">
      <c r="A241" s="136"/>
      <c r="B241" s="136"/>
      <c r="C241" s="136"/>
      <c r="D241" s="20"/>
      <c r="F241" s="3"/>
      <c r="G241" s="182"/>
      <c r="H241" s="182"/>
      <c r="I241" s="140"/>
      <c r="J241" s="141"/>
    </row>
    <row r="242" spans="1:10" ht="13.5" customHeight="1">
      <c r="A242" s="1" t="s">
        <v>29</v>
      </c>
    </row>
    <row r="243" spans="1:10" ht="63" customHeight="1">
      <c r="A243" s="184"/>
      <c r="B243" s="185"/>
      <c r="C243" s="185"/>
      <c r="D243" s="185"/>
      <c r="E243" s="185"/>
      <c r="F243" s="185"/>
      <c r="G243" s="185"/>
      <c r="H243" s="185"/>
      <c r="I243" s="185"/>
      <c r="J243" s="185"/>
    </row>
    <row r="244" spans="1:10" ht="18.75">
      <c r="A244" s="23" t="s">
        <v>30</v>
      </c>
      <c r="B244" s="16" t="s">
        <v>31</v>
      </c>
      <c r="C244" s="191" t="s">
        <v>32</v>
      </c>
      <c r="D244" s="192"/>
      <c r="E244" s="16" t="s">
        <v>33</v>
      </c>
      <c r="F244" s="191" t="s">
        <v>34</v>
      </c>
      <c r="G244" s="192"/>
      <c r="H244" s="192"/>
      <c r="I244" s="208" t="s">
        <v>35</v>
      </c>
      <c r="J244" s="192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42" t="s">
        <v>37</v>
      </c>
      <c r="D246" s="136"/>
      <c r="E246" s="24" t="s">
        <v>38</v>
      </c>
      <c r="F246" s="142" t="s">
        <v>39</v>
      </c>
      <c r="G246" s="136"/>
      <c r="H246" s="136"/>
      <c r="I246" s="137"/>
      <c r="J246" s="136"/>
    </row>
    <row r="247" spans="1:10" ht="16.5" customHeight="1">
      <c r="A247" s="22">
        <v>1</v>
      </c>
      <c r="B247" s="25" t="s">
        <v>36</v>
      </c>
      <c r="C247" s="142" t="s">
        <v>37</v>
      </c>
      <c r="D247" s="136"/>
      <c r="E247" s="24" t="s">
        <v>40</v>
      </c>
      <c r="F247" s="142" t="s">
        <v>41</v>
      </c>
      <c r="G247" s="136"/>
      <c r="H247" s="136"/>
      <c r="I247" s="137"/>
      <c r="J247" s="136"/>
    </row>
    <row r="248" spans="1:10" ht="16.5" customHeight="1">
      <c r="A248" s="22"/>
      <c r="B248" s="25"/>
      <c r="C248" s="142"/>
      <c r="D248" s="136"/>
      <c r="E248" s="24"/>
      <c r="F248" s="142"/>
      <c r="G248" s="136"/>
      <c r="H248" s="136"/>
      <c r="I248" s="137"/>
      <c r="J248" s="136"/>
    </row>
    <row r="249" spans="1:10" ht="16.5" customHeight="1">
      <c r="A249" s="22"/>
      <c r="B249" s="25"/>
      <c r="C249" s="142"/>
      <c r="D249" s="136"/>
      <c r="E249" s="24"/>
      <c r="F249" s="142"/>
      <c r="G249" s="136"/>
      <c r="H249" s="136"/>
      <c r="I249" s="137"/>
      <c r="J249" s="136"/>
    </row>
    <row r="250" spans="1:10" ht="16.5" customHeight="1">
      <c r="A250" s="22"/>
      <c r="B250" s="25"/>
      <c r="C250" s="142"/>
      <c r="D250" s="136"/>
      <c r="E250" s="24"/>
      <c r="F250" s="142"/>
      <c r="G250" s="136"/>
      <c r="H250" s="136"/>
      <c r="I250" s="137"/>
      <c r="J250" s="136"/>
    </row>
    <row r="251" spans="1:10" ht="16.5" customHeight="1">
      <c r="A251" s="22"/>
      <c r="B251" s="25"/>
      <c r="C251" s="142"/>
      <c r="D251" s="136"/>
      <c r="E251" s="24"/>
      <c r="F251" s="142"/>
      <c r="G251" s="136"/>
      <c r="H251" s="136"/>
      <c r="I251" s="137"/>
      <c r="J251" s="136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44" t="s">
        <v>42</v>
      </c>
      <c r="B253" s="145"/>
      <c r="C253" s="144" t="s">
        <v>43</v>
      </c>
      <c r="D253" s="145"/>
      <c r="E253" s="145"/>
      <c r="F253" s="17" t="s">
        <v>44</v>
      </c>
      <c r="G253" s="144" t="s">
        <v>45</v>
      </c>
      <c r="H253" s="145"/>
      <c r="I253" s="144" t="s">
        <v>46</v>
      </c>
      <c r="J253" s="145"/>
    </row>
    <row r="254" spans="1:10" ht="14.25" customHeight="1">
      <c r="A254" s="8"/>
      <c r="B254" s="18"/>
      <c r="C254" s="189" t="s">
        <v>47</v>
      </c>
      <c r="D254" s="140"/>
      <c r="E254" s="18"/>
      <c r="F254" s="189" t="s">
        <v>29</v>
      </c>
      <c r="G254" s="140"/>
      <c r="H254" s="140"/>
      <c r="I254" s="140"/>
      <c r="J254" s="140"/>
    </row>
    <row r="255" spans="1:10">
      <c r="A255" s="9"/>
      <c r="C255" s="7"/>
      <c r="D255" s="7"/>
      <c r="E255" s="7"/>
    </row>
    <row r="256" spans="1:10" ht="14.25" customHeight="1">
      <c r="A256" s="142" t="s">
        <v>48</v>
      </c>
      <c r="B256" s="136"/>
      <c r="C256" s="142" t="s">
        <v>49</v>
      </c>
      <c r="D256" s="136"/>
      <c r="E256" s="136"/>
      <c r="F256" s="26" t="s">
        <v>50</v>
      </c>
      <c r="G256" s="143">
        <v>1000</v>
      </c>
      <c r="H256" s="136"/>
      <c r="I256" s="143">
        <v>10</v>
      </c>
      <c r="J256" s="136"/>
    </row>
    <row r="257" spans="1:11" ht="24.95" customHeight="1">
      <c r="A257" s="135" t="s">
        <v>51</v>
      </c>
      <c r="B257" s="136"/>
      <c r="C257" s="142"/>
      <c r="D257" s="136"/>
      <c r="E257" s="136"/>
      <c r="F257" s="142"/>
      <c r="G257" s="136"/>
      <c r="H257" s="136"/>
      <c r="I257" s="136"/>
      <c r="J257" s="136"/>
    </row>
    <row r="258" spans="1:11" ht="14.25" customHeight="1">
      <c r="A258" s="142" t="s">
        <v>81</v>
      </c>
      <c r="B258" s="136"/>
      <c r="C258" s="142" t="s">
        <v>82</v>
      </c>
      <c r="D258" s="136"/>
      <c r="E258" s="136"/>
      <c r="F258" s="26" t="s">
        <v>36</v>
      </c>
      <c r="G258" s="143">
        <v>20</v>
      </c>
      <c r="H258" s="136"/>
      <c r="I258" s="143">
        <v>0.2</v>
      </c>
      <c r="J258" s="136"/>
    </row>
    <row r="259" spans="1:11" ht="24.95" customHeight="1">
      <c r="A259" s="135" t="s">
        <v>83</v>
      </c>
      <c r="B259" s="136"/>
      <c r="C259" s="142" t="s">
        <v>84</v>
      </c>
      <c r="D259" s="136"/>
      <c r="E259" s="136"/>
      <c r="F259" s="142"/>
      <c r="G259" s="136"/>
      <c r="H259" s="136"/>
      <c r="I259" s="136"/>
      <c r="J259" s="136"/>
    </row>
    <row r="260" spans="1:11" ht="14.25" customHeight="1">
      <c r="A260" s="142" t="s">
        <v>85</v>
      </c>
      <c r="B260" s="136"/>
      <c r="C260" s="142" t="s">
        <v>58</v>
      </c>
      <c r="D260" s="136"/>
      <c r="E260" s="136"/>
      <c r="F260" s="26"/>
      <c r="G260" s="143">
        <v>220</v>
      </c>
      <c r="H260" s="136"/>
      <c r="I260" s="143">
        <v>2.2000000000000002</v>
      </c>
      <c r="J260" s="136"/>
    </row>
    <row r="261" spans="1:11" ht="24.95" customHeight="1">
      <c r="A261" s="135" t="s">
        <v>86</v>
      </c>
      <c r="B261" s="136"/>
      <c r="C261" s="142" t="s">
        <v>87</v>
      </c>
      <c r="D261" s="136"/>
      <c r="E261" s="136"/>
      <c r="F261" s="142"/>
      <c r="G261" s="136"/>
      <c r="H261" s="136"/>
      <c r="I261" s="136"/>
      <c r="J261" s="136"/>
    </row>
    <row r="262" spans="1:11" ht="14.25" customHeight="1">
      <c r="A262" s="142" t="s">
        <v>61</v>
      </c>
      <c r="B262" s="136"/>
      <c r="C262" s="142" t="s">
        <v>62</v>
      </c>
      <c r="D262" s="136"/>
      <c r="E262" s="136"/>
      <c r="F262" s="26"/>
      <c r="G262" s="143">
        <v>2</v>
      </c>
      <c r="H262" s="136"/>
      <c r="I262" s="143">
        <v>0.02</v>
      </c>
      <c r="J262" s="136"/>
    </row>
    <row r="263" spans="1:11" ht="24.95" customHeight="1">
      <c r="A263" s="135" t="s">
        <v>63</v>
      </c>
      <c r="B263" s="136"/>
      <c r="C263" s="142" t="s">
        <v>64</v>
      </c>
      <c r="D263" s="136"/>
      <c r="E263" s="136"/>
      <c r="F263" s="142"/>
      <c r="G263" s="136"/>
      <c r="H263" s="136"/>
      <c r="I263" s="136"/>
      <c r="J263" s="136"/>
    </row>
    <row r="264" spans="1:11" ht="14.25" customHeight="1">
      <c r="A264" s="142"/>
      <c r="B264" s="136"/>
      <c r="C264" s="142"/>
      <c r="D264" s="136"/>
      <c r="E264" s="136"/>
      <c r="F264" s="26"/>
      <c r="G264" s="143"/>
      <c r="H264" s="136"/>
      <c r="I264" s="143"/>
      <c r="J264" s="136"/>
    </row>
    <row r="265" spans="1:11" ht="24.95" customHeight="1" thickBot="1">
      <c r="A265" s="135"/>
      <c r="B265" s="136"/>
      <c r="C265" s="142"/>
      <c r="D265" s="136"/>
      <c r="E265" s="136"/>
      <c r="F265" s="142"/>
      <c r="G265" s="136"/>
      <c r="H265" s="136"/>
      <c r="I265" s="136"/>
      <c r="J265" s="136"/>
    </row>
    <row r="266" spans="1:11" s="5" customFormat="1" ht="18" customHeight="1">
      <c r="A266" s="206" t="s">
        <v>102</v>
      </c>
      <c r="B266" s="207"/>
      <c r="C266" s="207"/>
      <c r="D266" s="207"/>
      <c r="E266" s="174" t="s">
        <v>103</v>
      </c>
      <c r="F266" s="175"/>
      <c r="G266" s="27" t="s">
        <v>104</v>
      </c>
      <c r="H266" s="209" t="s">
        <v>105</v>
      </c>
      <c r="I266" s="210"/>
      <c r="J266" s="28" t="s">
        <v>106</v>
      </c>
    </row>
    <row r="267" spans="1:11" s="7" customFormat="1" ht="18" customHeight="1">
      <c r="A267" s="176" t="str">
        <f>_xlfn.XLOOKUP(B231,[1]VFDB2!A:A,[1]VFDB2!B:B)</f>
        <v>8FL281304 5010　L=888</v>
      </c>
      <c r="B267" s="177"/>
      <c r="C267" s="177"/>
      <c r="D267" s="177"/>
      <c r="E267" s="161" t="str" cm="1">
        <f t="array" ref="E267">IFERROR(IF(ISBLANK(INDEX(_xlfn._xlws.FILTER([1]加工記録２!$C$3:$C$999615, [1]加工記録２!$T$3:$T$999615=B233), 6)), "", INDEX(_xlfn._xlws.FILTER([1]加工記録２!$C$3:$C$999615, [1]加工記録２!$T$3:$T$999615=B233), 6)),"")</f>
        <v>LED-A888</v>
      </c>
      <c r="F267" s="162"/>
      <c r="G267" s="211" cm="1">
        <f t="array" ref="G267">IFERROR(IF(ISBLANK(INDEX(_xlfn._xlws.FILTER([1]加工記録２!$C$3:$C$999615, [1]加工記録２!$T$3:$T$999615=B233), 7)), " ", INDEX(_xlfn._xlws.FILTER([1]加工記録２!$C$3:$C$999615, [1]加工記録２!$T$3:$T$999615=B233), 7))," ")</f>
        <v>20</v>
      </c>
      <c r="H267" s="29" t="s">
        <v>107</v>
      </c>
      <c r="I267" s="99" cm="1">
        <f t="array" ref="I267:J267">IFERROR(IF(ISBLANK(INDEX(_xlfn._xlws.FILTER([1]加工記録２!$O$3:$P$999678, [1]加工記録２!$T$3:$T$999678=B233), 1)), "", INDEX(_xlfn._xlws.FILTER([1]加工記録２!$O$3:$P$999678, [1]加工記録２!$T$3:$T$999678=B233), 1)),"")</f>
        <v>45960</v>
      </c>
      <c r="J267" s="100">
        <v>17</v>
      </c>
    </row>
    <row r="268" spans="1:11" s="5" customFormat="1" ht="18" customHeight="1">
      <c r="A268" s="178"/>
      <c r="B268" s="179"/>
      <c r="C268" s="179"/>
      <c r="D268" s="179"/>
      <c r="E268" s="161"/>
      <c r="F268" s="162"/>
      <c r="G268" s="211"/>
      <c r="H268" s="29" t="s">
        <v>108</v>
      </c>
      <c r="I268" s="101" cm="1">
        <f t="array" ref="I268:J268">IFERROR(IF(ISBLANK(INDEX(_xlfn._xlws.FILTER([1]加工記録２!$O$3:$P$999678, [1]加工記録２!$T$3:$T$999678=B233), 2)), "", INDEX(_xlfn._xlws.FILTER([1]加工記録２!$O$3:$P$999678, [1]加工記録２!$T$3:$T$999678=B233), 2)),"")</f>
        <v>2000</v>
      </c>
      <c r="J268" s="102">
        <v>2</v>
      </c>
      <c r="K268" s="34"/>
    </row>
    <row r="269" spans="1:11" s="7" customFormat="1" ht="18" customHeight="1">
      <c r="A269" s="164" t="s">
        <v>109</v>
      </c>
      <c r="B269" s="155" t="str">
        <f>_xlfn.XLOOKUP(B231,[1]VFDB2!A:A,[1]VFDB2!J:J)</f>
        <v>〇</v>
      </c>
      <c r="C269" s="157" t="s">
        <v>110</v>
      </c>
      <c r="D269" s="159">
        <f>_xlfn.XLOOKUP(B231,[1]VFDB2!A:A,[1]VFDB2!P:P)</f>
        <v>2</v>
      </c>
      <c r="E269" s="161" t="str">
        <f>_xlfn.XLOOKUP(B231,[1]VFDB2!A:A,[1]VFDB2!V:V)</f>
        <v>1箱目の梱包数 目視確認　以降、重量測定</v>
      </c>
      <c r="F269" s="162"/>
      <c r="G269" s="163"/>
      <c r="H269" s="35" t="s">
        <v>111</v>
      </c>
      <c r="I269" s="101" cm="1">
        <f t="array" ref="I269:J269">IFERROR(IF(ISBLANK(INDEX(_xlfn._xlws.FILTER([1]加工記録２!$O$3:$P$999678, [1]加工記録２!$T$3:$T$999678=B233), 3)), "", INDEX(_xlfn._xlws.FILTER([1]加工記録２!$O$3:$P$999678, [1]加工記録２!$T$3:$T$999678=B233), 3)),"")</f>
        <v>1011</v>
      </c>
      <c r="J269" s="103">
        <v>3</v>
      </c>
      <c r="K269" s="37"/>
    </row>
    <row r="270" spans="1:11" s="5" customFormat="1" ht="18" customHeight="1">
      <c r="A270" s="180"/>
      <c r="B270" s="156"/>
      <c r="C270" s="158"/>
      <c r="D270" s="160"/>
      <c r="E270" s="161"/>
      <c r="F270" s="162"/>
      <c r="G270" s="163"/>
      <c r="H270" s="35" t="s">
        <v>112</v>
      </c>
      <c r="I270" s="101" cm="1">
        <f t="array" ref="I270:J270">IFERROR(IF(ISBLANK(INDEX(_xlfn._xlws.FILTER([1]加工記録２!$O$3:$P$999678, [1]加工記録２!$T$3:$T$999678=B233), 4)), "", INDEX(_xlfn._xlws.FILTER([1]加工記録２!$O$3:$P$999678, [1]加工記録２!$T$3:$T$999678=B233), 4)),"")</f>
        <v>11</v>
      </c>
      <c r="J270" s="104" t="str">
        <v/>
      </c>
      <c r="K270" s="34"/>
    </row>
    <row r="271" spans="1:11" s="7" customFormat="1" ht="18" customHeight="1">
      <c r="A271" s="146" t="s">
        <v>113</v>
      </c>
      <c r="B271" s="148">
        <f>D231</f>
        <v>888</v>
      </c>
      <c r="C271" s="150" t="s">
        <v>114</v>
      </c>
      <c r="D271" s="152" t="str">
        <f>_xlfn.XLOOKUP(B231,[1]VFDB2!A:A,[1]VFDB2!L:L)</f>
        <v>+0.5</v>
      </c>
      <c r="E271" s="161" t="str">
        <f>_xlfn.XLOOKUP(B231,[1]VFDB2!A:A,[1]VFDB2!W:W)</f>
        <v>L=888用　クラフト紙</v>
      </c>
      <c r="F271" s="162"/>
      <c r="G271" s="163"/>
      <c r="H271" s="35" t="s">
        <v>115</v>
      </c>
      <c r="I271" s="101" cm="1">
        <f t="array" ref="I271:J271">IFERROR(IF(ISBLANK(INDEX(_xlfn._xlws.FILTER([1]加工記録２!$O$3:$P$999678, [1]加工記録２!$T$3:$T$999678=B233), 5)), "", INDEX(_xlfn._xlws.FILTER([1]加工記録２!$O$3:$P$999678, [1]加工記録２!$T$3:$T$999678=B233), 5)),"")</f>
        <v>22</v>
      </c>
      <c r="J271" s="105" t="str">
        <v/>
      </c>
      <c r="K271" s="37"/>
    </row>
    <row r="272" spans="1:11" s="5" customFormat="1" ht="18" customHeight="1">
      <c r="A272" s="147"/>
      <c r="B272" s="149"/>
      <c r="C272" s="151"/>
      <c r="D272" s="153"/>
      <c r="E272" s="161"/>
      <c r="F272" s="162"/>
      <c r="G272" s="163"/>
      <c r="H272" s="35" t="s">
        <v>116</v>
      </c>
      <c r="I272" s="101" cm="1">
        <f t="array" ref="I272:J272">IFERROR(IF(ISBLANK(INDEX(_xlfn._xlws.FILTER([1]加工記録２!$O$3:$P$999678, [1]加工記録２!$T$3:$T$999678=B233), 6)), "", INDEX(_xlfn._xlws.FILTER([1]加工記録２!$O$3:$P$999678, [1]加工記録２!$T$3:$T$999678=B233), 6)),"")</f>
        <v>0</v>
      </c>
      <c r="J272" s="106" t="str">
        <v/>
      </c>
      <c r="K272" s="34"/>
    </row>
    <row r="273" spans="1:14" s="7" customFormat="1" ht="18" customHeight="1">
      <c r="A273" s="164" t="s">
        <v>117</v>
      </c>
      <c r="B273" s="166" t="str">
        <f>_xlfn.XLOOKUP(B231,[1]VFDB2!A:A,[1]VFDB2!AC:AC)</f>
        <v>換算表確認</v>
      </c>
      <c r="C273" s="168" t="s">
        <v>118</v>
      </c>
      <c r="D273" s="152" t="str">
        <f>_xlfn.XLOOKUP(B231,[1]VFDB2!A:A,[1]VFDB2!K:K)</f>
        <v>－0.5</v>
      </c>
      <c r="E273" s="161" t="str">
        <f>_xlfn.XLOOKUP(B231,[1]VFDB2!A:A,[1]VFDB2!R:R)</f>
        <v>ラベル１枚　長手無　鉢巻１回</v>
      </c>
      <c r="F273" s="162"/>
      <c r="G273" s="163"/>
      <c r="H273" s="35" t="s">
        <v>119</v>
      </c>
      <c r="I273" s="101" t="str" cm="1">
        <f t="array" ref="I273">IFERROR(IF(ISBLANK(INDEX(_xlfn._xlws.FILTER([1]加工記録２!$M$3:$M$999678, [1]加工記録２!$T$3:$T$999678=B233), 6)), "", INDEX(_xlfn._xlws.FILTER([1]加工記録２!$M$3:$M$999678, [1]加工記録２!$T$3:$T$999678=B233), 6)),"")</f>
        <v>C/M</v>
      </c>
      <c r="J273" s="107" t="str" cm="1">
        <f t="array" ref="J273">IFERROR(IF(ISBLANK(INDEX(_xlfn._xlws.FILTER([1]加工記録２!$P$3:$P$999678, [1]加工記録２!$T$3:$T$999678=B233), 7)), "", INDEX(_xlfn._xlws.FILTER([1]加工記録２!$P$3:$P$999678, [1]加工記録２!$T$3:$T$999678=B233), 7)),"")</f>
        <v/>
      </c>
      <c r="K273" s="37"/>
    </row>
    <row r="274" spans="1:14" s="5" customFormat="1" ht="18" customHeight="1" thickBot="1">
      <c r="A274" s="165"/>
      <c r="B274" s="167"/>
      <c r="C274" s="169"/>
      <c r="D274" s="170"/>
      <c r="E274" s="171"/>
      <c r="F274" s="172"/>
      <c r="G274" s="173"/>
      <c r="H274" s="42" t="s">
        <v>120</v>
      </c>
      <c r="I274" s="101" t="str" cm="1">
        <f t="array" ref="I274">IFERROR(IF(ISBLANK(INDEX(_xlfn._xlws.FILTER([1]加工記録２!$M$3:$M$999678, [1]加工記録２!$T$3:$T$999678=B233), 7)), "", INDEX(_xlfn._xlws.FILTER([1]加工記録２!$M$3:$M$999678, [1]加工記録２!$T$3:$T$999678=B233), 7)),"")</f>
        <v>T/U</v>
      </c>
      <c r="J274" s="108">
        <f>SUM(J267:J273)</f>
        <v>22</v>
      </c>
    </row>
    <row r="275" spans="1:14" s="55" customFormat="1" ht="18.95" customHeight="1">
      <c r="A275" s="45" t="s">
        <v>121</v>
      </c>
      <c r="B275" s="46" t="s">
        <v>122</v>
      </c>
      <c r="C275" s="47" t="s">
        <v>123</v>
      </c>
      <c r="D275" s="47" t="s">
        <v>124</v>
      </c>
      <c r="E275" s="48" t="s">
        <v>125</v>
      </c>
      <c r="F275" s="49" t="s">
        <v>126</v>
      </c>
      <c r="G275" s="50" t="s">
        <v>127</v>
      </c>
      <c r="H275" s="51" t="s">
        <v>128</v>
      </c>
      <c r="I275" s="52" t="s">
        <v>129</v>
      </c>
      <c r="J275" s="53" t="s">
        <v>130</v>
      </c>
      <c r="K275" s="54"/>
      <c r="L275" s="54"/>
      <c r="M275" s="54"/>
      <c r="N275" s="54"/>
    </row>
    <row r="276" spans="1:14" s="66" customFormat="1" ht="18.95" customHeight="1">
      <c r="A276" s="109" t="str" cm="1">
        <f t="array" ref="A276:J276">IFERROR(IF(ISBLANK(INDEX(_xlfn._xlws.FILTER([1]加工記録２!$D$3:$M$999678, [1]加工記録２!$T$3:$T$999678=B233), 1)), "", INDEX(_xlfn._xlws.FILTER([1]加工記録２!$D$3:$M$999678, [1]加工記録２!$T$3:$T$999678=B233), 1)),"")</f>
        <v/>
      </c>
      <c r="B276" s="110" t="str">
        <v/>
      </c>
      <c r="C276" s="111" t="str">
        <v/>
      </c>
      <c r="D276" s="111" t="str">
        <v/>
      </c>
      <c r="E276" s="112" t="str">
        <v/>
      </c>
      <c r="F276" s="113">
        <v>0</v>
      </c>
      <c r="G276" s="114" t="str">
        <v/>
      </c>
      <c r="H276" s="115">
        <v>0</v>
      </c>
      <c r="I276" s="116">
        <v>45959</v>
      </c>
      <c r="J276" s="117">
        <v>11</v>
      </c>
      <c r="K276" s="65"/>
      <c r="L276" s="65"/>
      <c r="M276" s="65"/>
      <c r="N276" s="65"/>
    </row>
    <row r="277" spans="1:14" s="66" customFormat="1" ht="18.95" customHeight="1">
      <c r="A277" s="109" cm="1">
        <f t="array" ref="A277:J277">IFERROR(IF(ISBLANK(INDEX(_xlfn._xlws.FILTER([1]加工記録２!$D$3:$M$999678, [1]加工記録２!$T$3:$T$999678=B233), 2)), "", INDEX(_xlfn._xlws.FILTER([1]加工記録２!$D$3:$M$999678, [1]加工記録２!$T$3:$T$999678=B233), 2)),"")</f>
        <v>45958</v>
      </c>
      <c r="B277" s="118" t="str">
        <v>25J17-03</v>
      </c>
      <c r="C277" s="118">
        <v>20</v>
      </c>
      <c r="D277" s="119">
        <v>888</v>
      </c>
      <c r="E277" s="120">
        <v>888.15</v>
      </c>
      <c r="F277" s="121" t="str">
        <v>25J17-03</v>
      </c>
      <c r="G277" s="122">
        <v>1276</v>
      </c>
      <c r="H277" s="123">
        <v>638</v>
      </c>
      <c r="I277" s="116">
        <v>45960</v>
      </c>
      <c r="J277" s="117">
        <v>9</v>
      </c>
      <c r="K277" s="65"/>
      <c r="L277" s="65"/>
      <c r="M277" s="65"/>
      <c r="N277" s="65"/>
    </row>
    <row r="278" spans="1:14" s="66" customFormat="1" ht="18.95" customHeight="1">
      <c r="A278" s="109" cm="1">
        <f t="array" ref="A278:J278">IFERROR(IF(ISBLANK(INDEX(_xlfn._xlws.FILTER([1]加工記録２!$D$3:$M$999678, [1]加工記録２!$T$3:$T$999678=B233), 3)), "", INDEX(_xlfn._xlws.FILTER([1]加工記録２!$D$3:$M$999678, [1]加工記録２!$T$3:$T$999678=B233), 3)),"")</f>
        <v>45958</v>
      </c>
      <c r="B278" s="118" t="str">
        <v>25J17-03</v>
      </c>
      <c r="C278" s="118">
        <v>20</v>
      </c>
      <c r="D278" s="119">
        <v>888</v>
      </c>
      <c r="E278" s="120">
        <v>888.08</v>
      </c>
      <c r="F278" s="121" t="str">
        <v>25J18-04</v>
      </c>
      <c r="G278" s="122">
        <v>746</v>
      </c>
      <c r="H278" s="123">
        <v>373</v>
      </c>
      <c r="I278" s="116" t="str">
        <v/>
      </c>
      <c r="J278" s="117" t="str">
        <v/>
      </c>
      <c r="K278" s="65"/>
      <c r="L278" s="65"/>
      <c r="M278" s="65"/>
      <c r="N278" s="65"/>
    </row>
    <row r="279" spans="1:14" s="66" customFormat="1" ht="18.95" customHeight="1">
      <c r="A279" s="109" cm="1">
        <f t="array" ref="A279:J279">IFERROR(IF(ISBLANK(INDEX(_xlfn._xlws.FILTER([1]加工記録２!$D$3:$M$999678, [1]加工記録２!$T$3:$T$999678=B233), 4)), "", INDEX(_xlfn._xlws.FILTER([1]加工記録２!$D$3:$M$999678, [1]加工記録２!$T$3:$T$999678=B233), 4)),"")</f>
        <v>45959</v>
      </c>
      <c r="B279" s="118" t="str">
        <v>25J17-03</v>
      </c>
      <c r="C279" s="118">
        <v>22</v>
      </c>
      <c r="D279" s="119">
        <v>888.12</v>
      </c>
      <c r="E279" s="120">
        <v>888.19</v>
      </c>
      <c r="F279" s="121" t="str">
        <v/>
      </c>
      <c r="G279" s="122" t="str">
        <v/>
      </c>
      <c r="H279" s="123">
        <v>0</v>
      </c>
      <c r="I279" s="116" t="str">
        <v/>
      </c>
      <c r="J279" s="117" t="str">
        <v/>
      </c>
      <c r="K279" s="65"/>
      <c r="L279" s="65"/>
      <c r="M279" s="65"/>
      <c r="N279" s="65"/>
    </row>
    <row r="280" spans="1:14" s="66" customFormat="1" ht="18.95" customHeight="1">
      <c r="A280" s="109" cm="1">
        <f t="array" ref="A280:J280">IFERROR(IF(ISBLANK(INDEX(_xlfn._xlws.FILTER([1]加工記録２!$D$3:$M$999678, [1]加工記録２!$T$3:$T$999678=B233), 5)), "", INDEX(_xlfn._xlws.FILTER([1]加工記録２!$D$3:$M$999678, [1]加工記録２!$T$3:$T$999678=B233), 5)),"")</f>
        <v>45959</v>
      </c>
      <c r="B280" s="118" t="str">
        <v>25J17-03</v>
      </c>
      <c r="C280" s="118">
        <v>22</v>
      </c>
      <c r="D280" s="119">
        <v>888.12</v>
      </c>
      <c r="E280" s="120">
        <v>888.21</v>
      </c>
      <c r="F280" s="121" t="str">
        <v/>
      </c>
      <c r="G280" s="122" t="str">
        <v/>
      </c>
      <c r="H280" s="123">
        <v>0</v>
      </c>
      <c r="I280" s="124" t="str">
        <v/>
      </c>
      <c r="J280" s="125" t="str">
        <v/>
      </c>
      <c r="K280" s="65"/>
      <c r="L280" s="65"/>
      <c r="M280" s="65"/>
      <c r="N280" s="65"/>
    </row>
    <row r="281" spans="1:14" s="66" customFormat="1" ht="18.95" customHeight="1">
      <c r="A281" s="109" cm="1">
        <f t="array" ref="A281:H281">IFERROR(IF(ISBLANK(INDEX(_xlfn._xlws.FILTER([1]加工記録２!$D$3:$K$999678, [1]加工記録２!$T$3:$T$999678=B233), 6)), "", INDEX(_xlfn._xlws.FILTER([1]加工記録２!$D$3:$K$999678, [1]加工記録２!$T$3:$T$999678=B233), 6)),"")</f>
        <v>45959</v>
      </c>
      <c r="B281" s="118" t="str">
        <v>25J18-04</v>
      </c>
      <c r="C281" s="118">
        <v>22</v>
      </c>
      <c r="D281" s="119">
        <v>888.12</v>
      </c>
      <c r="E281" s="120">
        <v>888.22</v>
      </c>
      <c r="F281" s="121" t="str">
        <v/>
      </c>
      <c r="G281" s="122" t="str">
        <v/>
      </c>
      <c r="H281" s="123">
        <v>0</v>
      </c>
      <c r="I281" s="124"/>
      <c r="J281" s="125"/>
      <c r="K281" s="65"/>
      <c r="L281" s="65"/>
      <c r="M281" s="65"/>
      <c r="N281" s="65"/>
    </row>
    <row r="282" spans="1:14" s="66" customFormat="1" ht="18.95" customHeight="1">
      <c r="A282" s="109" t="str" cm="1">
        <f t="array" ref="A282:H282">IFERROR(IF(ISBLANK(INDEX(_xlfn._xlws.FILTER([1]加工記録２!$D$3:$K$999678, [1]加工記録２!$T$3:$T$999678=B233), 7)), "", INDEX(_xlfn._xlws.FILTER([1]加工記録２!$D$3:$K$999678, [1]加工記録２!$T$3:$T$999678=B233), 7)),"")</f>
        <v/>
      </c>
      <c r="B282" s="118" t="str">
        <v/>
      </c>
      <c r="C282" s="118" t="str">
        <v/>
      </c>
      <c r="D282" s="119" t="str">
        <v/>
      </c>
      <c r="E282" s="120" t="str">
        <v/>
      </c>
      <c r="F282" s="121" t="str">
        <v/>
      </c>
      <c r="G282" s="122" t="str">
        <v/>
      </c>
      <c r="H282" s="123">
        <v>0</v>
      </c>
      <c r="I282" s="124"/>
      <c r="J282" s="125"/>
      <c r="K282" s="65"/>
      <c r="L282" s="65"/>
      <c r="M282" s="65"/>
      <c r="N282" s="65"/>
    </row>
    <row r="283" spans="1:14" s="66" customFormat="1" ht="18.95" customHeight="1" thickBot="1">
      <c r="A283" s="126" t="str" cm="1">
        <f t="array" ref="A283:H283">IFERROR(IF(ISBLANK(INDEX(_xlfn._xlws.FILTER([1]加工記録２!$D$3:$K$999678, [1]加工記録２!$T$3:$T$999678=B233), 8)), "", INDEX(_xlfn._xlws.FILTER([1]加工記録２!$D$3:$K$999678, [1]加工記録２!$T$3:$T$999678=B233), 8)),"")</f>
        <v/>
      </c>
      <c r="B283" s="127" t="str">
        <v/>
      </c>
      <c r="C283" s="127" t="str">
        <v/>
      </c>
      <c r="D283" s="128" t="str">
        <v/>
      </c>
      <c r="E283" s="129" t="str">
        <v/>
      </c>
      <c r="F283" s="130" t="str">
        <v/>
      </c>
      <c r="G283" s="131" t="str">
        <v/>
      </c>
      <c r="H283" s="132">
        <v>0</v>
      </c>
      <c r="I283" s="133"/>
      <c r="J283" s="134"/>
      <c r="K283" s="65"/>
      <c r="L283" s="65"/>
      <c r="M283" s="65"/>
      <c r="N283" s="6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99" t="s">
        <v>0</v>
      </c>
      <c r="C286" s="136"/>
      <c r="D286" s="136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36"/>
      <c r="C287" s="136"/>
      <c r="D287" s="136"/>
      <c r="E287" s="12"/>
      <c r="F287" s="12"/>
      <c r="G287" s="12"/>
      <c r="H287" s="12"/>
      <c r="I287" s="12"/>
      <c r="J287" s="12"/>
    </row>
    <row r="288" spans="1:14" ht="14.25" customHeight="1">
      <c r="A288" s="194" t="s">
        <v>1</v>
      </c>
      <c r="B288" s="194" t="s">
        <v>92</v>
      </c>
      <c r="C288" s="194" t="s">
        <v>3</v>
      </c>
      <c r="D288" s="196">
        <v>1478</v>
      </c>
      <c r="E288" s="194" t="s">
        <v>4</v>
      </c>
      <c r="F288" s="188" t="s">
        <v>93</v>
      </c>
      <c r="G288" s="136"/>
      <c r="H288" s="139"/>
      <c r="I288" s="13" t="s">
        <v>6</v>
      </c>
      <c r="J288" s="13" t="s">
        <v>7</v>
      </c>
    </row>
    <row r="289" spans="1:10" ht="14.25" customHeight="1">
      <c r="A289" s="136"/>
      <c r="B289" s="136"/>
      <c r="C289" s="136"/>
      <c r="D289" s="136"/>
      <c r="E289" s="136"/>
      <c r="F289" s="136"/>
      <c r="G289" s="136"/>
      <c r="H289" s="139"/>
      <c r="I289" s="186"/>
      <c r="J289" s="186"/>
    </row>
    <row r="290" spans="1:10" ht="17.45" customHeight="1">
      <c r="A290" s="154" t="s">
        <v>8</v>
      </c>
      <c r="B290" s="154" t="s">
        <v>94</v>
      </c>
      <c r="E290" s="154" t="s">
        <v>10</v>
      </c>
      <c r="F290" s="198" t="s">
        <v>95</v>
      </c>
      <c r="G290" s="136"/>
      <c r="H290" s="139"/>
      <c r="I290" s="187"/>
      <c r="J290" s="187"/>
    </row>
    <row r="291" spans="1:10" ht="17.45" customHeight="1">
      <c r="A291" s="136"/>
      <c r="B291" s="136"/>
      <c r="E291" s="136"/>
      <c r="F291" s="136"/>
      <c r="G291" s="136"/>
      <c r="H291" s="139"/>
      <c r="I291" s="14"/>
      <c r="J291" s="14"/>
    </row>
    <row r="292" spans="1:10" ht="17.45" customHeight="1">
      <c r="A292" s="154" t="s">
        <v>12</v>
      </c>
      <c r="B292" s="154" t="s">
        <v>96</v>
      </c>
      <c r="E292" s="2" t="s">
        <v>14</v>
      </c>
      <c r="F292" s="204" t="s">
        <v>15</v>
      </c>
      <c r="G292" s="136"/>
      <c r="H292" s="21"/>
    </row>
    <row r="293" spans="1:10" ht="17.45" customHeight="1">
      <c r="A293" s="136"/>
      <c r="B293" s="136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45959</v>
      </c>
      <c r="E294" s="2" t="s">
        <v>19</v>
      </c>
      <c r="F294" s="193">
        <v>100</v>
      </c>
      <c r="G294" s="136"/>
      <c r="H294" s="21"/>
    </row>
    <row r="295" spans="1:10" ht="17.45" customHeight="1">
      <c r="A295" s="2" t="s">
        <v>20</v>
      </c>
      <c r="B295" s="4">
        <v>45959</v>
      </c>
      <c r="E295" s="2" t="s">
        <v>21</v>
      </c>
      <c r="F295" s="21">
        <v>4</v>
      </c>
      <c r="G295" s="205" t="s">
        <v>22</v>
      </c>
      <c r="H295" s="200">
        <v>400</v>
      </c>
      <c r="I295" s="201"/>
      <c r="J295" s="202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203"/>
      <c r="H296" s="203"/>
      <c r="I296" s="140"/>
      <c r="J296" s="141"/>
    </row>
    <row r="297" spans="1:10" ht="13.5" customHeight="1">
      <c r="A297" s="195" t="s">
        <v>97</v>
      </c>
      <c r="B297" s="136"/>
      <c r="C297" s="136"/>
      <c r="D297" s="20"/>
      <c r="F297" s="3"/>
      <c r="G297" s="181" t="s">
        <v>26</v>
      </c>
      <c r="H297" s="190" t="s">
        <v>27</v>
      </c>
      <c r="I297" s="138" t="s">
        <v>28</v>
      </c>
      <c r="J297" s="139"/>
    </row>
    <row r="298" spans="1:10" ht="13.5" customHeight="1">
      <c r="A298" s="136"/>
      <c r="B298" s="136"/>
      <c r="C298" s="136"/>
      <c r="D298" s="20"/>
      <c r="F298" s="3"/>
      <c r="G298" s="182"/>
      <c r="H298" s="182"/>
      <c r="I298" s="140"/>
      <c r="J298" s="141"/>
    </row>
    <row r="299" spans="1:10" ht="13.5" customHeight="1">
      <c r="A299" s="1" t="s">
        <v>29</v>
      </c>
    </row>
    <row r="300" spans="1:10" ht="63" customHeight="1">
      <c r="A300" s="184"/>
      <c r="B300" s="185"/>
      <c r="C300" s="185"/>
      <c r="D300" s="185"/>
      <c r="E300" s="185"/>
      <c r="F300" s="185"/>
      <c r="G300" s="185"/>
      <c r="H300" s="185"/>
      <c r="I300" s="185"/>
      <c r="J300" s="185"/>
    </row>
    <row r="301" spans="1:10" ht="18.75">
      <c r="A301" s="23" t="s">
        <v>30</v>
      </c>
      <c r="B301" s="16" t="s">
        <v>31</v>
      </c>
      <c r="C301" s="191" t="s">
        <v>32</v>
      </c>
      <c r="D301" s="192"/>
      <c r="E301" s="16" t="s">
        <v>33</v>
      </c>
      <c r="F301" s="191" t="s">
        <v>34</v>
      </c>
      <c r="G301" s="192"/>
      <c r="H301" s="192"/>
      <c r="I301" s="208" t="s">
        <v>35</v>
      </c>
      <c r="J301" s="192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42" t="s">
        <v>37</v>
      </c>
      <c r="D303" s="136"/>
      <c r="E303" s="24" t="s">
        <v>38</v>
      </c>
      <c r="F303" s="142" t="s">
        <v>39</v>
      </c>
      <c r="G303" s="136"/>
      <c r="H303" s="136"/>
      <c r="I303" s="137"/>
      <c r="J303" s="136"/>
    </row>
    <row r="304" spans="1:10" ht="16.5" customHeight="1">
      <c r="A304" s="22">
        <v>1</v>
      </c>
      <c r="B304" s="25" t="s">
        <v>36</v>
      </c>
      <c r="C304" s="142" t="s">
        <v>37</v>
      </c>
      <c r="D304" s="136"/>
      <c r="E304" s="24" t="s">
        <v>40</v>
      </c>
      <c r="F304" s="142" t="s">
        <v>41</v>
      </c>
      <c r="G304" s="136"/>
      <c r="H304" s="136"/>
      <c r="I304" s="137"/>
      <c r="J304" s="136"/>
    </row>
    <row r="305" spans="1:10" ht="16.5" customHeight="1">
      <c r="A305" s="22"/>
      <c r="B305" s="25"/>
      <c r="C305" s="142"/>
      <c r="D305" s="136"/>
      <c r="E305" s="24"/>
      <c r="F305" s="142"/>
      <c r="G305" s="136"/>
      <c r="H305" s="136"/>
      <c r="I305" s="137"/>
      <c r="J305" s="136"/>
    </row>
    <row r="306" spans="1:10" ht="16.5" customHeight="1">
      <c r="A306" s="22"/>
      <c r="B306" s="25"/>
      <c r="C306" s="142"/>
      <c r="D306" s="136"/>
      <c r="E306" s="24"/>
      <c r="F306" s="142"/>
      <c r="G306" s="136"/>
      <c r="H306" s="136"/>
      <c r="I306" s="137"/>
      <c r="J306" s="136"/>
    </row>
    <row r="307" spans="1:10" ht="16.5" customHeight="1">
      <c r="A307" s="22"/>
      <c r="B307" s="25"/>
      <c r="C307" s="142"/>
      <c r="D307" s="136"/>
      <c r="E307" s="24"/>
      <c r="F307" s="142"/>
      <c r="G307" s="136"/>
      <c r="H307" s="136"/>
      <c r="I307" s="137"/>
      <c r="J307" s="136"/>
    </row>
    <row r="308" spans="1:10" ht="16.5" customHeight="1">
      <c r="A308" s="22"/>
      <c r="B308" s="25"/>
      <c r="C308" s="142"/>
      <c r="D308" s="136"/>
      <c r="E308" s="24"/>
      <c r="F308" s="142"/>
      <c r="G308" s="136"/>
      <c r="H308" s="136"/>
      <c r="I308" s="137"/>
      <c r="J308" s="136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44" t="s">
        <v>42</v>
      </c>
      <c r="B310" s="145"/>
      <c r="C310" s="144" t="s">
        <v>43</v>
      </c>
      <c r="D310" s="145"/>
      <c r="E310" s="145"/>
      <c r="F310" s="17" t="s">
        <v>44</v>
      </c>
      <c r="G310" s="144" t="s">
        <v>45</v>
      </c>
      <c r="H310" s="145"/>
      <c r="I310" s="144" t="s">
        <v>46</v>
      </c>
      <c r="J310" s="145"/>
    </row>
    <row r="311" spans="1:10" ht="14.25" customHeight="1">
      <c r="A311" s="8"/>
      <c r="B311" s="18"/>
      <c r="C311" s="189" t="s">
        <v>47</v>
      </c>
      <c r="D311" s="140"/>
      <c r="E311" s="18"/>
      <c r="F311" s="189" t="s">
        <v>29</v>
      </c>
      <c r="G311" s="140"/>
      <c r="H311" s="140"/>
      <c r="I311" s="140"/>
      <c r="J311" s="140"/>
    </row>
    <row r="312" spans="1:10">
      <c r="A312" s="9"/>
      <c r="C312" s="7"/>
      <c r="D312" s="7"/>
      <c r="E312" s="7"/>
    </row>
    <row r="313" spans="1:10" ht="14.25" customHeight="1">
      <c r="A313" s="142" t="s">
        <v>48</v>
      </c>
      <c r="B313" s="136"/>
      <c r="C313" s="142" t="s">
        <v>49</v>
      </c>
      <c r="D313" s="136"/>
      <c r="E313" s="136"/>
      <c r="F313" s="26" t="s">
        <v>50</v>
      </c>
      <c r="G313" s="143">
        <v>400</v>
      </c>
      <c r="H313" s="136"/>
      <c r="I313" s="143">
        <v>4</v>
      </c>
      <c r="J313" s="136"/>
    </row>
    <row r="314" spans="1:10" ht="24.95" customHeight="1">
      <c r="A314" s="135" t="s">
        <v>51</v>
      </c>
      <c r="B314" s="136"/>
      <c r="C314" s="142"/>
      <c r="D314" s="136"/>
      <c r="E314" s="136"/>
      <c r="F314" s="142"/>
      <c r="G314" s="136"/>
      <c r="H314" s="136"/>
      <c r="I314" s="136"/>
      <c r="J314" s="136"/>
    </row>
    <row r="315" spans="1:10" ht="14.25" customHeight="1">
      <c r="A315" s="142" t="s">
        <v>98</v>
      </c>
      <c r="B315" s="136"/>
      <c r="C315" s="142" t="s">
        <v>99</v>
      </c>
      <c r="D315" s="136"/>
      <c r="E315" s="136"/>
      <c r="F315" s="26" t="s">
        <v>54</v>
      </c>
      <c r="G315" s="143">
        <v>4</v>
      </c>
      <c r="H315" s="136"/>
      <c r="I315" s="143">
        <v>0.04</v>
      </c>
      <c r="J315" s="136"/>
    </row>
    <row r="316" spans="1:10" ht="24.95" customHeight="1">
      <c r="A316" s="135" t="s">
        <v>100</v>
      </c>
      <c r="B316" s="136"/>
      <c r="C316" s="142" t="s">
        <v>101</v>
      </c>
      <c r="D316" s="136"/>
      <c r="E316" s="136"/>
      <c r="F316" s="142"/>
      <c r="G316" s="136"/>
      <c r="H316" s="136"/>
      <c r="I316" s="136"/>
      <c r="J316" s="136"/>
    </row>
    <row r="317" spans="1:10" ht="14.25" customHeight="1">
      <c r="A317" s="142" t="s">
        <v>57</v>
      </c>
      <c r="B317" s="136"/>
      <c r="C317" s="142" t="s">
        <v>58</v>
      </c>
      <c r="D317" s="136"/>
      <c r="E317" s="136"/>
      <c r="F317" s="26"/>
      <c r="G317" s="143">
        <v>0.8</v>
      </c>
      <c r="H317" s="136"/>
      <c r="I317" s="143">
        <v>8.0000000000000002E-3</v>
      </c>
      <c r="J317" s="136"/>
    </row>
    <row r="318" spans="1:10" ht="24.95" customHeight="1">
      <c r="A318" s="135" t="s">
        <v>59</v>
      </c>
      <c r="B318" s="136"/>
      <c r="C318" s="142" t="s">
        <v>60</v>
      </c>
      <c r="D318" s="136"/>
      <c r="E318" s="136"/>
      <c r="F318" s="142"/>
      <c r="G318" s="136"/>
      <c r="H318" s="136"/>
      <c r="I318" s="136"/>
      <c r="J318" s="136"/>
    </row>
    <row r="319" spans="1:10" ht="14.25" customHeight="1">
      <c r="A319" s="142" t="s">
        <v>61</v>
      </c>
      <c r="B319" s="136"/>
      <c r="C319" s="142" t="s">
        <v>62</v>
      </c>
      <c r="D319" s="136"/>
      <c r="E319" s="136"/>
      <c r="F319" s="26"/>
      <c r="G319" s="143">
        <v>0.4</v>
      </c>
      <c r="H319" s="136"/>
      <c r="I319" s="143">
        <v>4.0000000000000001E-3</v>
      </c>
      <c r="J319" s="136"/>
    </row>
    <row r="320" spans="1:10" ht="24.95" customHeight="1">
      <c r="A320" s="135" t="s">
        <v>63</v>
      </c>
      <c r="B320" s="136"/>
      <c r="C320" s="142" t="s">
        <v>64</v>
      </c>
      <c r="D320" s="136"/>
      <c r="E320" s="136"/>
      <c r="F320" s="142"/>
      <c r="G320" s="136"/>
      <c r="H320" s="136"/>
      <c r="I320" s="136"/>
      <c r="J320" s="136"/>
    </row>
    <row r="321" spans="1:14" ht="14.25" customHeight="1">
      <c r="A321" s="142"/>
      <c r="B321" s="136"/>
      <c r="C321" s="142"/>
      <c r="D321" s="136"/>
      <c r="E321" s="136"/>
      <c r="F321" s="26"/>
      <c r="G321" s="143"/>
      <c r="H321" s="136"/>
      <c r="I321" s="143"/>
      <c r="J321" s="136"/>
    </row>
    <row r="322" spans="1:14" ht="24.95" customHeight="1" thickBot="1">
      <c r="A322" s="135"/>
      <c r="B322" s="136"/>
      <c r="C322" s="142"/>
      <c r="D322" s="136"/>
      <c r="E322" s="136"/>
      <c r="F322" s="142"/>
      <c r="G322" s="136"/>
      <c r="H322" s="136"/>
      <c r="I322" s="136"/>
      <c r="J322" s="136"/>
    </row>
    <row r="323" spans="1:14" s="5" customFormat="1" ht="18" customHeight="1">
      <c r="A323" s="206" t="s">
        <v>102</v>
      </c>
      <c r="B323" s="207"/>
      <c r="C323" s="207"/>
      <c r="D323" s="207"/>
      <c r="E323" s="174" t="s">
        <v>103</v>
      </c>
      <c r="F323" s="175"/>
      <c r="G323" s="27" t="s">
        <v>104</v>
      </c>
      <c r="H323" s="209" t="s">
        <v>105</v>
      </c>
      <c r="I323" s="210"/>
      <c r="J323" s="28" t="s">
        <v>106</v>
      </c>
    </row>
    <row r="324" spans="1:14" s="7" customFormat="1" ht="18" customHeight="1">
      <c r="A324" s="176" t="str">
        <f>_xlfn.XLOOKUP(B288,[1]VFDB2!A:A,[1]VFDB2!B:B)</f>
        <v>8FL281304 6110　L=1478</v>
      </c>
      <c r="B324" s="177"/>
      <c r="C324" s="177"/>
      <c r="D324" s="177"/>
      <c r="E324" s="161" t="str" cm="1">
        <f t="array" ref="E324">IFERROR(IF(ISBLANK(INDEX(_xlfn._xlws.FILTER([1]加工記録２!$C$3:$C$999991, [1]加工記録２!$T$3:$T$999991=B290), 6)), "", INDEX(_xlfn._xlws.FILTER([1]加工記録２!$C$3:$C$999991, [1]加工記録２!$T$3:$T$999991=B290), 6)),"")</f>
        <v/>
      </c>
      <c r="F324" s="162"/>
      <c r="G324" s="211" t="str" cm="1">
        <f t="array" ref="G324">IFERROR(IF(ISBLANK(INDEX(_xlfn._xlws.FILTER([1]加工記録２!$C$3:$C$999991, [1]加工記録２!$T$3:$T$999991=B290), 7)), " ", INDEX(_xlfn._xlws.FILTER([1]加工記録２!$C$3:$C$999991, [1]加工記録２!$T$3:$T$999991=B290), 7))," ")</f>
        <v xml:space="preserve"> </v>
      </c>
      <c r="H324" s="29" t="s">
        <v>107</v>
      </c>
      <c r="I324" s="30" t="str" cm="1">
        <f t="array" ref="I324">IFERROR(IF(ISBLANK(INDEX(_xlfn._xlws.FILTER([1]加工記録２!$O$3:$P$999991, [1]加工記録２!$T$3:$T$999991=B290), 1)), "", INDEX(_xlfn._xlws.FILTER([1]加工記録２!$O$3:$P$999991, [1]加工記録２!$T$3:$T$999991=B290), 1)),"")</f>
        <v/>
      </c>
      <c r="J324" s="31"/>
    </row>
    <row r="325" spans="1:14" s="5" customFormat="1" ht="18" customHeight="1">
      <c r="A325" s="178"/>
      <c r="B325" s="179"/>
      <c r="C325" s="179"/>
      <c r="D325" s="179"/>
      <c r="E325" s="161"/>
      <c r="F325" s="162"/>
      <c r="G325" s="211"/>
      <c r="H325" s="29" t="s">
        <v>108</v>
      </c>
      <c r="I325" s="32" t="str" cm="1">
        <f t="array" ref="I325">IFERROR(IF(ISBLANK(INDEX(_xlfn._xlws.FILTER([1]加工記録２!$O$3:$P$999991, [1]加工記録２!$T$3:$T$999991=B290), 2)), "", INDEX(_xlfn._xlws.FILTER([1]加工記録２!$O$3:$P$999991, [1]加工記録２!$T$3:$T$999991=B290), 2)),"")</f>
        <v/>
      </c>
      <c r="J325" s="33"/>
      <c r="K325" s="34"/>
    </row>
    <row r="326" spans="1:14" s="7" customFormat="1" ht="18" customHeight="1">
      <c r="A326" s="164" t="s">
        <v>109</v>
      </c>
      <c r="B326" s="155" t="str">
        <f>_xlfn.XLOOKUP(B288,[1]VFDB2!A:A,[1]VFDB2!J:J)</f>
        <v>〇</v>
      </c>
      <c r="C326" s="157" t="s">
        <v>110</v>
      </c>
      <c r="D326" s="159">
        <f>_xlfn.XLOOKUP(B288,[1]VFDB2!A:A,[1]VFDB2!P:P)</f>
        <v>1</v>
      </c>
      <c r="E326" s="161" t="str">
        <f>_xlfn.XLOOKUP(B288,[1]VFDB2!A:A,[1]VFDB2!V:V)</f>
        <v>1箱目の梱包数 目視確認　以降、重量測定</v>
      </c>
      <c r="F326" s="162"/>
      <c r="G326" s="163"/>
      <c r="H326" s="35" t="s">
        <v>111</v>
      </c>
      <c r="I326" s="32" t="str" cm="1">
        <f t="array" ref="I326">IFERROR(IF(ISBLANK(INDEX(_xlfn._xlws.FILTER([1]加工記録２!$O$3:$P$999991, [1]加工記録２!$T$3:$T$999991=B290), 3)), "", INDEX(_xlfn._xlws.FILTER([1]加工記録２!$O$3:$P$999991, [1]加工記録２!$T$3:$T$999991=B290), 3)),"")</f>
        <v/>
      </c>
      <c r="J326" s="36"/>
      <c r="K326" s="37"/>
    </row>
    <row r="327" spans="1:14" s="5" customFormat="1" ht="18" customHeight="1">
      <c r="A327" s="180"/>
      <c r="B327" s="156"/>
      <c r="C327" s="158"/>
      <c r="D327" s="160"/>
      <c r="E327" s="161"/>
      <c r="F327" s="162"/>
      <c r="G327" s="163"/>
      <c r="H327" s="35" t="s">
        <v>112</v>
      </c>
      <c r="I327" s="32" t="str" cm="1">
        <f t="array" ref="I327">IFERROR(IF(ISBLANK(INDEX(_xlfn._xlws.FILTER([1]加工記録２!$O$3:$P$999991, [1]加工記録２!$T$3:$T$999991=B290), 4)), "", INDEX(_xlfn._xlws.FILTER([1]加工記録２!$O$3:$P$999991, [1]加工記録２!$T$3:$T$999991=B290), 4)),"")</f>
        <v/>
      </c>
      <c r="J327" s="38"/>
      <c r="K327" s="34"/>
    </row>
    <row r="328" spans="1:14" s="7" customFormat="1" ht="18" customHeight="1">
      <c r="A328" s="146" t="s">
        <v>113</v>
      </c>
      <c r="B328" s="148">
        <f>D288</f>
        <v>1478</v>
      </c>
      <c r="C328" s="150" t="s">
        <v>114</v>
      </c>
      <c r="D328" s="152" t="str">
        <f>_xlfn.XLOOKUP(B288,[1]VFDB2!A:A,[1]VFDB2!L:L)</f>
        <v>+0.5</v>
      </c>
      <c r="E328" s="161" t="str">
        <f>_xlfn.XLOOKUP(B288,[1]VFDB2!A:A,[1]VFDB2!W:W)</f>
        <v>クラフト紙：1478型</v>
      </c>
      <c r="F328" s="162"/>
      <c r="G328" s="163"/>
      <c r="H328" s="35" t="s">
        <v>115</v>
      </c>
      <c r="I328" s="32" t="str" cm="1">
        <f t="array" ref="I328">IFERROR(IF(ISBLANK(INDEX(_xlfn._xlws.FILTER([1]加工記録２!$O$3:$P$999991, [1]加工記録２!$T$3:$T$999991=B290), 5)), "", INDEX(_xlfn._xlws.FILTER([1]加工記録２!$O$3:$P$999991, [1]加工記録２!$T$3:$T$999991=B290), 5)),"")</f>
        <v/>
      </c>
      <c r="J328" s="39"/>
      <c r="K328" s="37"/>
    </row>
    <row r="329" spans="1:14" s="5" customFormat="1" ht="18" customHeight="1">
      <c r="A329" s="147"/>
      <c r="B329" s="149"/>
      <c r="C329" s="151"/>
      <c r="D329" s="153"/>
      <c r="E329" s="161"/>
      <c r="F329" s="162"/>
      <c r="G329" s="163"/>
      <c r="H329" s="35" t="s">
        <v>116</v>
      </c>
      <c r="I329" s="32" t="str" cm="1">
        <f t="array" ref="I329">IFERROR(IF(ISBLANK(INDEX(_xlfn._xlws.FILTER([1]加工記録２!$O$3:$P$999991, [1]加工記録２!$T$3:$T$999991=B290), 6)), "", INDEX(_xlfn._xlws.FILTER([1]加工記録２!$O$3:$P$999991, [1]加工記録２!$T$3:$T$999991=B290), 6)),"")</f>
        <v/>
      </c>
      <c r="J329" s="40"/>
      <c r="K329" s="34"/>
    </row>
    <row r="330" spans="1:14" s="7" customFormat="1" ht="18" customHeight="1">
      <c r="A330" s="164" t="s">
        <v>117</v>
      </c>
      <c r="B330" s="166" t="str">
        <f>_xlfn.XLOOKUP(B288,[1]VFDB2!A:A,[1]VFDB2!AC:AC)</f>
        <v>換算表確認</v>
      </c>
      <c r="C330" s="168" t="s">
        <v>118</v>
      </c>
      <c r="D330" s="152" t="str">
        <f>_xlfn.XLOOKUP(B288,[1]VFDB2!A:A,[1]VFDB2!K:K)</f>
        <v>－0.5</v>
      </c>
      <c r="E330" s="161" t="str">
        <f>_xlfn.XLOOKUP(B288,[1]VFDB2!A:A,[1]VFDB2!R:R)</f>
        <v>ラベル１枚　長手無　鉢巻１回</v>
      </c>
      <c r="F330" s="162"/>
      <c r="G330" s="163"/>
      <c r="H330" s="35" t="s">
        <v>119</v>
      </c>
      <c r="I330" s="32" t="str" cm="1">
        <f t="array" ref="I330">IFERROR(IF(ISBLANK(INDEX(_xlfn._xlws.FILTER([1]加工記録２!$O$3:$P$999991, [1]加工記録２!$T$3:$T$999991=B290), 7)), "", INDEX(_xlfn._xlws.FILTER([1]加工記録２!$O$3:$P$999991, [1]加工記録２!$T$3:$T$999991=B290), 7)),"")</f>
        <v/>
      </c>
      <c r="J330" s="41"/>
      <c r="K330" s="37"/>
    </row>
    <row r="331" spans="1:14" s="5" customFormat="1" ht="18" customHeight="1" thickBot="1">
      <c r="A331" s="165"/>
      <c r="B331" s="167"/>
      <c r="C331" s="169"/>
      <c r="D331" s="170"/>
      <c r="E331" s="171"/>
      <c r="F331" s="172"/>
      <c r="G331" s="173"/>
      <c r="H331" s="42" t="s">
        <v>120</v>
      </c>
      <c r="I331" s="43" t="str" cm="1">
        <f t="array" ref="I331">IFERROR(IF(ISBLANK(INDEX(_xlfn._xlws.FILTER([1]加工記録２!$O$3:$P$999991, [1]加工記録２!$T$3:$T$999991=B290), 8)), "", INDEX(_xlfn._xlws.FILTER([1]加工記録２!$O$3:$P$999991, [1]加工記録２!$T$3:$T$999991=B290), 8)),"")</f>
        <v/>
      </c>
      <c r="J331" s="44"/>
    </row>
    <row r="332" spans="1:14" s="55" customFormat="1" ht="18.95" customHeight="1">
      <c r="A332" s="45" t="s">
        <v>121</v>
      </c>
      <c r="B332" s="46" t="s">
        <v>122</v>
      </c>
      <c r="C332" s="47" t="s">
        <v>123</v>
      </c>
      <c r="D332" s="47" t="s">
        <v>124</v>
      </c>
      <c r="E332" s="48" t="s">
        <v>125</v>
      </c>
      <c r="F332" s="49" t="s">
        <v>126</v>
      </c>
      <c r="G332" s="50" t="s">
        <v>127</v>
      </c>
      <c r="H332" s="51" t="s">
        <v>128</v>
      </c>
      <c r="I332" s="52" t="s">
        <v>129</v>
      </c>
      <c r="J332" s="53" t="s">
        <v>130</v>
      </c>
      <c r="K332" s="54"/>
      <c r="L332" s="54"/>
      <c r="M332" s="54"/>
      <c r="N332" s="54"/>
    </row>
    <row r="333" spans="1:14" s="66" customFormat="1" ht="18.95" customHeight="1">
      <c r="A333" s="56" t="str" cm="1">
        <f t="array" ref="A333">IFERROR(IF(ISBLANK(INDEX(_xlfn._xlws.FILTER([1]加工記録２!$D$3:$M$999991, [1]加工記録２!$T$3:$T$999991=B290), 1)), "", INDEX(_xlfn._xlws.FILTER([1]加工記録２!$D$3:$M$999991, [1]加工記録２!$T$3:$T$999991=B290), 1)),"")</f>
        <v/>
      </c>
      <c r="B333" s="57"/>
      <c r="C333" s="58"/>
      <c r="D333" s="58"/>
      <c r="E333" s="59"/>
      <c r="F333" s="60"/>
      <c r="G333" s="61"/>
      <c r="H333" s="62"/>
      <c r="I333" s="63"/>
      <c r="J333" s="64"/>
      <c r="K333" s="65"/>
      <c r="L333" s="65"/>
      <c r="M333" s="65"/>
      <c r="N333" s="65"/>
    </row>
    <row r="334" spans="1:14" s="66" customFormat="1" ht="18.95" customHeight="1">
      <c r="A334" s="67" t="str" cm="1">
        <f t="array" ref="A334">IFERROR(IF(ISBLANK(INDEX(_xlfn._xlws.FILTER([1]加工記録２!$D$3:$M$999991, [1]加工記録２!$T$3:$T$999991=B290), 2)), "", INDEX(_xlfn._xlws.FILTER([1]加工記録２!$D$3:$M$999991, [1]加工記録２!$T$3:$T$999991=B290), 2)),"")</f>
        <v/>
      </c>
      <c r="B334" s="68"/>
      <c r="C334" s="68"/>
      <c r="D334" s="68"/>
      <c r="E334" s="69"/>
      <c r="F334" s="70"/>
      <c r="G334" s="71"/>
      <c r="H334" s="72"/>
      <c r="I334" s="63"/>
      <c r="J334" s="64"/>
      <c r="K334" s="65"/>
      <c r="L334" s="65"/>
      <c r="M334" s="65"/>
      <c r="N334" s="65"/>
    </row>
    <row r="335" spans="1:14" s="66" customFormat="1" ht="18.95" customHeight="1">
      <c r="A335" s="67" t="str" cm="1">
        <f t="array" ref="A335">IFERROR(IF(ISBLANK(INDEX(_xlfn._xlws.FILTER([1]加工記録２!$D$3:$M$999991, [1]加工記録２!$T$3:$T$999991=B290), 3)), "", INDEX(_xlfn._xlws.FILTER([1]加工記録２!$D$3:$M$999991, [1]加工記録２!$T$3:$T$999991=B290), 3)),"")</f>
        <v/>
      </c>
      <c r="B335" s="68"/>
      <c r="C335" s="68"/>
      <c r="D335" s="68"/>
      <c r="E335" s="69"/>
      <c r="F335" s="70"/>
      <c r="G335" s="71"/>
      <c r="H335" s="72"/>
      <c r="I335" s="63"/>
      <c r="J335" s="64"/>
      <c r="K335" s="65"/>
      <c r="L335" s="65"/>
      <c r="M335" s="65"/>
      <c r="N335" s="65"/>
    </row>
    <row r="336" spans="1:14" s="66" customFormat="1" ht="18.95" customHeight="1">
      <c r="A336" s="67" t="str" cm="1">
        <f t="array" ref="A336">IFERROR(IF(ISBLANK(INDEX(_xlfn._xlws.FILTER([1]加工記録２!$D$3:$M$999991, [1]加工記録２!$T$3:$T$999991=B290), 4)), "", INDEX(_xlfn._xlws.FILTER([1]加工記録２!$D$3:$M$999991, [1]加工記録２!$T$3:$T$999991=B290), 4)),"")</f>
        <v/>
      </c>
      <c r="B336" s="68"/>
      <c r="C336" s="68"/>
      <c r="D336" s="68"/>
      <c r="E336" s="69"/>
      <c r="F336" s="70"/>
      <c r="G336" s="71"/>
      <c r="H336" s="72"/>
      <c r="I336" s="63"/>
      <c r="J336" s="64"/>
      <c r="K336" s="65"/>
      <c r="L336" s="65"/>
      <c r="M336" s="65"/>
      <c r="N336" s="65"/>
    </row>
    <row r="337" spans="1:14" s="66" customFormat="1" ht="18.95" customHeight="1">
      <c r="A337" s="67" t="str" cm="1">
        <f t="array" ref="A337">IFERROR(IF(ISBLANK(INDEX(_xlfn._xlws.FILTER([1]加工記録２!$D$3:$M$999991, [1]加工記録２!$T$3:$T$999991=B290), 5)), "", INDEX(_xlfn._xlws.FILTER([1]加工記録２!$D$3:$M$999991, [1]加工記録２!$T$3:$T$999991=B290), 5)),"")</f>
        <v/>
      </c>
      <c r="B337" s="68"/>
      <c r="C337" s="68"/>
      <c r="D337" s="68"/>
      <c r="E337" s="69"/>
      <c r="F337" s="70"/>
      <c r="G337" s="71"/>
      <c r="H337" s="72"/>
      <c r="I337" s="73"/>
      <c r="J337" s="74"/>
      <c r="K337" s="65"/>
      <c r="L337" s="65"/>
      <c r="M337" s="65"/>
      <c r="N337" s="65"/>
    </row>
    <row r="338" spans="1:14" s="66" customFormat="1" ht="18.95" customHeight="1">
      <c r="A338" s="67" t="str" cm="1">
        <f t="array" ref="A338">IFERROR(IF(ISBLANK(INDEX(_xlfn._xlws.FILTER([1]加工記録２!$D$3:$M$999991, [1]加工記録２!$T$3:$T$999991=B290), 6)), "", INDEX(_xlfn._xlws.FILTER([1]加工記録２!$D$3:$M$999991, [1]加工記録２!$T$3:$T$999991=B290), 6)),"")</f>
        <v/>
      </c>
      <c r="B338" s="68"/>
      <c r="C338" s="68"/>
      <c r="D338" s="68"/>
      <c r="E338" s="69"/>
      <c r="F338" s="70"/>
      <c r="G338" s="71"/>
      <c r="H338" s="75"/>
      <c r="I338" s="76"/>
      <c r="J338" s="77"/>
      <c r="K338" s="65"/>
      <c r="L338" s="65"/>
      <c r="M338" s="65"/>
      <c r="N338" s="65"/>
    </row>
    <row r="339" spans="1:14" s="66" customFormat="1" ht="18.95" customHeight="1">
      <c r="A339" s="67" t="str" cm="1">
        <f t="array" ref="A339">IFERROR(IF(ISBLANK(INDEX(_xlfn._xlws.FILTER([1]加工記録２!$D$3:$M$999991, [1]加工記録２!$T$3:$T$999991=B290), 7)), "", INDEX(_xlfn._xlws.FILTER([1]加工記録２!$D$3:$M$999991, [1]加工記録２!$T$3:$T$999991=B290), 7)),"")</f>
        <v/>
      </c>
      <c r="B339" s="68"/>
      <c r="C339" s="68"/>
      <c r="D339" s="68"/>
      <c r="E339" s="69"/>
      <c r="F339" s="70"/>
      <c r="G339" s="71"/>
      <c r="H339" s="75"/>
      <c r="I339" s="78"/>
      <c r="J339" s="79"/>
      <c r="K339" s="65"/>
      <c r="L339" s="65"/>
      <c r="M339" s="65"/>
      <c r="N339" s="65"/>
    </row>
    <row r="340" spans="1:14" s="66" customFormat="1" ht="18.95" customHeight="1" thickBot="1">
      <c r="A340" s="80" t="str" cm="1">
        <f t="array" ref="A340">IFERROR(IF(ISBLANK(INDEX(_xlfn._xlws.FILTER([1]加工記録２!$D$3:$M$999991, [1]加工記録２!$T$3:$T$999991=B290), 8)), "", INDEX(_xlfn._xlws.FILTER([1]加工記録２!$D$3:$M$999991, [1]加工記録２!$T$3:$T$999991=B290), 8)),"")</f>
        <v/>
      </c>
      <c r="B340" s="81"/>
      <c r="C340" s="81"/>
      <c r="D340" s="81"/>
      <c r="E340" s="82"/>
      <c r="F340" s="83"/>
      <c r="G340" s="84"/>
      <c r="H340" s="85"/>
      <c r="I340" s="86"/>
      <c r="J340" s="87"/>
      <c r="K340" s="65"/>
      <c r="L340" s="65"/>
      <c r="M340" s="65"/>
      <c r="N340" s="6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</sheetData>
  <mergeCells count="642">
    <mergeCell ref="A330:A331"/>
    <mergeCell ref="B330:B331"/>
    <mergeCell ref="C330:C331"/>
    <mergeCell ref="D330:D331"/>
    <mergeCell ref="E330:G331"/>
    <mergeCell ref="A326:A327"/>
    <mergeCell ref="B326:B327"/>
    <mergeCell ref="C326:C327"/>
    <mergeCell ref="D326:D327"/>
    <mergeCell ref="E326:G327"/>
    <mergeCell ref="A328:A329"/>
    <mergeCell ref="B328:B329"/>
    <mergeCell ref="C328:C329"/>
    <mergeCell ref="D328:D329"/>
    <mergeCell ref="E328:G329"/>
    <mergeCell ref="I4:I5"/>
    <mergeCell ref="F318:J318"/>
    <mergeCell ref="C310:E310"/>
    <mergeCell ref="B5:B6"/>
    <mergeCell ref="A318:B318"/>
    <mergeCell ref="F123:G123"/>
    <mergeCell ref="C78:D78"/>
    <mergeCell ref="A314:B314"/>
    <mergeCell ref="F16:H16"/>
    <mergeCell ref="F187:H187"/>
    <mergeCell ref="E233:E234"/>
    <mergeCell ref="A95:D95"/>
    <mergeCell ref="E95:F95"/>
    <mergeCell ref="H95:I95"/>
    <mergeCell ref="A96:D97"/>
    <mergeCell ref="E96:F97"/>
    <mergeCell ref="G96:G97"/>
    <mergeCell ref="F76:H76"/>
    <mergeCell ref="I297:J298"/>
    <mergeCell ref="I262:J262"/>
    <mergeCell ref="I260:J260"/>
    <mergeCell ref="I258:J258"/>
    <mergeCell ref="I36:J36"/>
    <mergeCell ref="C250:D250"/>
    <mergeCell ref="I93:J93"/>
    <mergeCell ref="I264:J264"/>
    <mergeCell ref="A69:C70"/>
    <mergeCell ref="E119:E120"/>
    <mergeCell ref="A209:D209"/>
    <mergeCell ref="E209:F209"/>
    <mergeCell ref="H209:I209"/>
    <mergeCell ref="A210:D211"/>
    <mergeCell ref="E210:F211"/>
    <mergeCell ref="G210:G211"/>
    <mergeCell ref="A212:A213"/>
    <mergeCell ref="B212:B213"/>
    <mergeCell ref="C212:C213"/>
    <mergeCell ref="D212:D213"/>
    <mergeCell ref="E212:G213"/>
    <mergeCell ref="B100:B101"/>
    <mergeCell ref="C100:C101"/>
    <mergeCell ref="D100:D101"/>
    <mergeCell ref="E100:G101"/>
    <mergeCell ref="C117:C118"/>
    <mergeCell ref="F121:G121"/>
    <mergeCell ref="C135:D135"/>
    <mergeCell ref="I187:J187"/>
    <mergeCell ref="A261:B261"/>
    <mergeCell ref="I319:J319"/>
    <mergeCell ref="C136:D136"/>
    <mergeCell ref="C265:E265"/>
    <mergeCell ref="A176:A177"/>
    <mergeCell ref="A240:C241"/>
    <mergeCell ref="G264:H264"/>
    <mergeCell ref="F303:H303"/>
    <mergeCell ref="A174:A175"/>
    <mergeCell ref="F193:H193"/>
    <mergeCell ref="F176:H177"/>
    <mergeCell ref="G240:G241"/>
    <mergeCell ref="C202:E202"/>
    <mergeCell ref="C199:E199"/>
    <mergeCell ref="A235:A236"/>
    <mergeCell ref="F194:H194"/>
    <mergeCell ref="A207:B207"/>
    <mergeCell ref="A196:B196"/>
    <mergeCell ref="A152:D152"/>
    <mergeCell ref="E152:F152"/>
    <mergeCell ref="H152:I152"/>
    <mergeCell ref="A153:D154"/>
    <mergeCell ref="E153:F154"/>
    <mergeCell ref="G153:G154"/>
    <mergeCell ref="A155:A156"/>
    <mergeCell ref="J289:J290"/>
    <mergeCell ref="A60:A61"/>
    <mergeCell ref="H67:J68"/>
    <mergeCell ref="C148:E148"/>
    <mergeCell ref="C246:D246"/>
    <mergeCell ref="I82:J82"/>
    <mergeCell ref="I253:J253"/>
    <mergeCell ref="C264:E264"/>
    <mergeCell ref="F250:H250"/>
    <mergeCell ref="A183:C184"/>
    <mergeCell ref="B60:B61"/>
    <mergeCell ref="I249:J249"/>
    <mergeCell ref="C147:E147"/>
    <mergeCell ref="C91:E91"/>
    <mergeCell ref="B176:B177"/>
    <mergeCell ref="A256:B256"/>
    <mergeCell ref="B178:B179"/>
    <mergeCell ref="C193:D193"/>
    <mergeCell ref="I246:J246"/>
    <mergeCell ref="A94:B94"/>
    <mergeCell ref="F145:J145"/>
    <mergeCell ref="G205:H205"/>
    <mergeCell ref="I77:J77"/>
    <mergeCell ref="E117:E118"/>
    <mergeCell ref="C3:C4"/>
    <mergeCell ref="E3:E4"/>
    <mergeCell ref="I19:J19"/>
    <mergeCell ref="F151:J151"/>
    <mergeCell ref="B7:B8"/>
    <mergeCell ref="A93:B93"/>
    <mergeCell ref="F62:H63"/>
    <mergeCell ref="E5:E6"/>
    <mergeCell ref="G67:G68"/>
    <mergeCell ref="I61:I62"/>
    <mergeCell ref="G69:G70"/>
    <mergeCell ref="F7:G7"/>
    <mergeCell ref="C32:E32"/>
    <mergeCell ref="C145:E145"/>
    <mergeCell ref="D117:D118"/>
    <mergeCell ref="A121:A122"/>
    <mergeCell ref="F149:J149"/>
    <mergeCell ref="A91:B91"/>
    <mergeCell ref="I148:J148"/>
    <mergeCell ref="F134:H134"/>
    <mergeCell ref="A7:A8"/>
    <mergeCell ref="I16:J16"/>
    <mergeCell ref="F20:H20"/>
    <mergeCell ref="G32:H32"/>
    <mergeCell ref="A322:B322"/>
    <mergeCell ref="C318:E318"/>
    <mergeCell ref="E288:E289"/>
    <mergeCell ref="G258:H258"/>
    <mergeCell ref="B231:B232"/>
    <mergeCell ref="F231:H232"/>
    <mergeCell ref="F301:H301"/>
    <mergeCell ref="A214:A215"/>
    <mergeCell ref="B214:B215"/>
    <mergeCell ref="C214:C215"/>
    <mergeCell ref="D214:D215"/>
    <mergeCell ref="C316:E316"/>
    <mergeCell ref="A292:A293"/>
    <mergeCell ref="G321:H321"/>
    <mergeCell ref="B292:B293"/>
    <mergeCell ref="C248:D248"/>
    <mergeCell ref="C254:D254"/>
    <mergeCell ref="A317:B317"/>
    <mergeCell ref="C262:E262"/>
    <mergeCell ref="C247:D247"/>
    <mergeCell ref="B216:B217"/>
    <mergeCell ref="C216:C217"/>
    <mergeCell ref="D216:D217"/>
    <mergeCell ref="E216:G217"/>
    <mergeCell ref="A323:D323"/>
    <mergeCell ref="E323:F323"/>
    <mergeCell ref="H323:I323"/>
    <mergeCell ref="A324:D325"/>
    <mergeCell ref="E324:F325"/>
    <mergeCell ref="G324:G325"/>
    <mergeCell ref="C146:E146"/>
    <mergeCell ref="A148:B148"/>
    <mergeCell ref="C187:D187"/>
    <mergeCell ref="I203:J203"/>
    <mergeCell ref="I301:J301"/>
    <mergeCell ref="C200:E200"/>
    <mergeCell ref="I256:J256"/>
    <mergeCell ref="A300:J300"/>
    <mergeCell ref="G310:H310"/>
    <mergeCell ref="I190:J190"/>
    <mergeCell ref="F233:H234"/>
    <mergeCell ref="A231:A232"/>
    <mergeCell ref="I303:J303"/>
    <mergeCell ref="F294:G294"/>
    <mergeCell ref="A146:B146"/>
    <mergeCell ref="F190:H190"/>
    <mergeCell ref="G262:H262"/>
    <mergeCell ref="A320:B320"/>
    <mergeCell ref="A92:B92"/>
    <mergeCell ref="I205:J205"/>
    <mergeCell ref="I79:J79"/>
    <mergeCell ref="G144:H144"/>
    <mergeCell ref="F178:G178"/>
    <mergeCell ref="I251:J251"/>
    <mergeCell ref="I189:J189"/>
    <mergeCell ref="F80:H80"/>
    <mergeCell ref="A82:B82"/>
    <mergeCell ref="E174:E175"/>
    <mergeCell ref="C149:E149"/>
    <mergeCell ref="I130:J130"/>
    <mergeCell ref="C130:D130"/>
    <mergeCell ref="C133:D133"/>
    <mergeCell ref="C140:D140"/>
    <mergeCell ref="A150:B150"/>
    <mergeCell ref="F86:J86"/>
    <mergeCell ref="G146:H146"/>
    <mergeCell ref="C191:D191"/>
    <mergeCell ref="I132:J132"/>
    <mergeCell ref="B115:D116"/>
    <mergeCell ref="A98:A99"/>
    <mergeCell ref="B98:B99"/>
    <mergeCell ref="C98:C99"/>
    <mergeCell ref="G260:H260"/>
    <mergeCell ref="A119:A120"/>
    <mergeCell ref="A142:B142"/>
    <mergeCell ref="I89:J89"/>
    <mergeCell ref="E214:G215"/>
    <mergeCell ref="A216:A217"/>
    <mergeCell ref="A102:A103"/>
    <mergeCell ref="D3:D4"/>
    <mergeCell ref="A208:B208"/>
    <mergeCell ref="F35:J35"/>
    <mergeCell ref="A145:B145"/>
    <mergeCell ref="A139:B139"/>
    <mergeCell ref="C60:C61"/>
    <mergeCell ref="H12:H13"/>
    <mergeCell ref="H183:H184"/>
    <mergeCell ref="A203:B203"/>
    <mergeCell ref="C132:D132"/>
    <mergeCell ref="C19:D19"/>
    <mergeCell ref="C190:D190"/>
    <mergeCell ref="G25:H25"/>
    <mergeCell ref="H124:J125"/>
    <mergeCell ref="I137:J137"/>
    <mergeCell ref="I139:J139"/>
    <mergeCell ref="C31:E31"/>
    <mergeCell ref="I18:J18"/>
    <mergeCell ref="C29:E29"/>
    <mergeCell ref="I28:J28"/>
    <mergeCell ref="G30:H30"/>
    <mergeCell ref="F73:H73"/>
    <mergeCell ref="F23:H23"/>
    <mergeCell ref="C20:D20"/>
    <mergeCell ref="H10:J11"/>
    <mergeCell ref="H181:J182"/>
    <mergeCell ref="I32:J32"/>
    <mergeCell ref="I134:J134"/>
    <mergeCell ref="G10:G11"/>
    <mergeCell ref="G181:G182"/>
    <mergeCell ref="F18:H18"/>
    <mergeCell ref="F21:H21"/>
    <mergeCell ref="C21:D21"/>
    <mergeCell ref="I22:J22"/>
    <mergeCell ref="F180:G180"/>
    <mergeCell ref="C26:D26"/>
    <mergeCell ref="C82:E82"/>
    <mergeCell ref="I34:J34"/>
    <mergeCell ref="C80:D80"/>
    <mergeCell ref="G87:H87"/>
    <mergeCell ref="I150:J150"/>
    <mergeCell ref="A37:B37"/>
    <mergeCell ref="C137:D137"/>
    <mergeCell ref="C22:D22"/>
    <mergeCell ref="F64:G64"/>
    <mergeCell ref="C28:E28"/>
    <mergeCell ref="C30:E30"/>
    <mergeCell ref="C33:E33"/>
    <mergeCell ref="I73:J73"/>
    <mergeCell ref="G34:H34"/>
    <mergeCell ref="C75:D75"/>
    <mergeCell ref="A33:B33"/>
    <mergeCell ref="F31:J31"/>
    <mergeCell ref="C34:E34"/>
    <mergeCell ref="A35:B35"/>
    <mergeCell ref="C25:E25"/>
    <mergeCell ref="C85:E85"/>
    <mergeCell ref="I69:J70"/>
    <mergeCell ref="H38:I38"/>
    <mergeCell ref="G39:G40"/>
    <mergeCell ref="A32:B32"/>
    <mergeCell ref="I23:J23"/>
    <mergeCell ref="C23:D23"/>
    <mergeCell ref="F22:H22"/>
    <mergeCell ref="C37:E37"/>
    <mergeCell ref="C306:D306"/>
    <mergeCell ref="F308:H308"/>
    <mergeCell ref="J4:J5"/>
    <mergeCell ref="J175:J176"/>
    <mergeCell ref="F322:J322"/>
    <mergeCell ref="B229:D230"/>
    <mergeCell ref="C251:D251"/>
    <mergeCell ref="F191:H191"/>
    <mergeCell ref="A259:B259"/>
    <mergeCell ref="I250:J250"/>
    <mergeCell ref="A29:B29"/>
    <mergeCell ref="C174:C175"/>
    <mergeCell ref="I12:J13"/>
    <mergeCell ref="G28:H28"/>
    <mergeCell ref="A64:A65"/>
    <mergeCell ref="A31:B31"/>
    <mergeCell ref="A129:J129"/>
    <mergeCell ref="C16:D16"/>
    <mergeCell ref="F119:H120"/>
    <mergeCell ref="A117:A118"/>
    <mergeCell ref="A85:B85"/>
    <mergeCell ref="C151:E151"/>
    <mergeCell ref="G319:H319"/>
    <mergeCell ref="I191:J191"/>
    <mergeCell ref="A25:B25"/>
    <mergeCell ref="C18:D18"/>
    <mergeCell ref="B62:B63"/>
    <mergeCell ref="C315:E315"/>
    <mergeCell ref="C301:D301"/>
    <mergeCell ref="G124:G125"/>
    <mergeCell ref="C142:E142"/>
    <mergeCell ref="I315:J315"/>
    <mergeCell ref="I304:J304"/>
    <mergeCell ref="H297:H298"/>
    <mergeCell ref="C256:E256"/>
    <mergeCell ref="F288:H289"/>
    <mergeCell ref="F305:H305"/>
    <mergeCell ref="G142:H142"/>
    <mergeCell ref="F304:H304"/>
    <mergeCell ref="D174:D175"/>
    <mergeCell ref="G267:G268"/>
    <mergeCell ref="G315:H315"/>
    <mergeCell ref="F314:J314"/>
    <mergeCell ref="G313:H313"/>
    <mergeCell ref="I142:J142"/>
    <mergeCell ref="C263:E263"/>
    <mergeCell ref="C313:E313"/>
    <mergeCell ref="F261:J261"/>
    <mergeCell ref="C304:D304"/>
    <mergeCell ref="C314:E314"/>
    <mergeCell ref="F306:H306"/>
    <mergeCell ref="C307:D307"/>
    <mergeCell ref="I232:I233"/>
    <mergeCell ref="D102:D103"/>
    <mergeCell ref="E102:G103"/>
    <mergeCell ref="A319:B319"/>
    <mergeCell ref="I199:J199"/>
    <mergeCell ref="F140:J140"/>
    <mergeCell ref="E231:E232"/>
    <mergeCell ref="B235:B236"/>
    <mergeCell ref="I313:J313"/>
    <mergeCell ref="C257:E257"/>
    <mergeCell ref="B286:D287"/>
    <mergeCell ref="I194:J194"/>
    <mergeCell ref="A262:B262"/>
    <mergeCell ref="A266:D266"/>
    <mergeCell ref="E266:F266"/>
    <mergeCell ref="H266:I266"/>
    <mergeCell ref="A267:D268"/>
    <mergeCell ref="E267:F268"/>
    <mergeCell ref="F143:J143"/>
    <mergeCell ref="G295:G296"/>
    <mergeCell ref="C319:E319"/>
    <mergeCell ref="F307:H307"/>
    <mergeCell ref="D288:D289"/>
    <mergeCell ref="F235:G235"/>
    <mergeCell ref="C320:E320"/>
    <mergeCell ref="I305:J305"/>
    <mergeCell ref="A147:B147"/>
    <mergeCell ref="A263:B263"/>
    <mergeCell ref="A62:A63"/>
    <mergeCell ref="A126:C127"/>
    <mergeCell ref="I247:J247"/>
    <mergeCell ref="C303:D303"/>
    <mergeCell ref="F290:H291"/>
    <mergeCell ref="C317:E317"/>
    <mergeCell ref="G207:H207"/>
    <mergeCell ref="A243:J243"/>
    <mergeCell ref="F311:J311"/>
    <mergeCell ref="I244:J244"/>
    <mergeCell ref="F265:J265"/>
    <mergeCell ref="A313:B313"/>
    <mergeCell ref="F246:H246"/>
    <mergeCell ref="I308:J308"/>
    <mergeCell ref="C308:D308"/>
    <mergeCell ref="F206:J206"/>
    <mergeCell ref="I75:J75"/>
    <mergeCell ref="I146:J146"/>
    <mergeCell ref="I78:J78"/>
    <mergeCell ref="C73:D73"/>
    <mergeCell ref="F33:J33"/>
    <mergeCell ref="A34:B34"/>
    <mergeCell ref="A36:B36"/>
    <mergeCell ref="C35:E35"/>
    <mergeCell ref="C92:E92"/>
    <mergeCell ref="E62:E63"/>
    <mergeCell ref="I91:J91"/>
    <mergeCell ref="I85:J85"/>
    <mergeCell ref="C83:D83"/>
    <mergeCell ref="D60:D61"/>
    <mergeCell ref="G36:H36"/>
    <mergeCell ref="I76:J76"/>
    <mergeCell ref="A45:A46"/>
    <mergeCell ref="B45:B46"/>
    <mergeCell ref="C45:C46"/>
    <mergeCell ref="D45:D46"/>
    <mergeCell ref="E45:G46"/>
    <mergeCell ref="F77:H77"/>
    <mergeCell ref="B64:B65"/>
    <mergeCell ref="A38:D38"/>
    <mergeCell ref="B1:D2"/>
    <mergeCell ref="I20:J20"/>
    <mergeCell ref="G85:H85"/>
    <mergeCell ref="G256:H256"/>
    <mergeCell ref="C206:E206"/>
    <mergeCell ref="C143:E143"/>
    <mergeCell ref="F147:J147"/>
    <mergeCell ref="B3:B4"/>
    <mergeCell ref="I80:J80"/>
    <mergeCell ref="A87:B87"/>
    <mergeCell ref="I25:J25"/>
    <mergeCell ref="C134:D134"/>
    <mergeCell ref="F9:G9"/>
    <mergeCell ref="H238:J239"/>
    <mergeCell ref="C77:D77"/>
    <mergeCell ref="F29:J29"/>
    <mergeCell ref="F79:H79"/>
    <mergeCell ref="E60:E61"/>
    <mergeCell ref="C36:E36"/>
    <mergeCell ref="C207:E207"/>
    <mergeCell ref="B233:B234"/>
    <mergeCell ref="B58:D59"/>
    <mergeCell ref="F90:J90"/>
    <mergeCell ref="J61:J62"/>
    <mergeCell ref="C253:E253"/>
    <mergeCell ref="A3:A4"/>
    <mergeCell ref="C288:C289"/>
    <mergeCell ref="A202:B202"/>
    <mergeCell ref="I175:I176"/>
    <mergeCell ref="I118:I119"/>
    <mergeCell ref="A5:A6"/>
    <mergeCell ref="A86:B86"/>
    <mergeCell ref="I248:J248"/>
    <mergeCell ref="A151:B151"/>
    <mergeCell ref="A273:A274"/>
    <mergeCell ref="B273:B274"/>
    <mergeCell ref="C273:C274"/>
    <mergeCell ref="D273:D274"/>
    <mergeCell ref="E273:G274"/>
    <mergeCell ref="G196:H196"/>
    <mergeCell ref="A265:B265"/>
    <mergeCell ref="A264:B264"/>
    <mergeCell ref="F263:J263"/>
    <mergeCell ref="G199:H199"/>
    <mergeCell ref="A269:A270"/>
    <mergeCell ref="B269:B270"/>
    <mergeCell ref="C269:C270"/>
    <mergeCell ref="D269:D270"/>
    <mergeCell ref="E269:G270"/>
    <mergeCell ref="F3:H4"/>
    <mergeCell ref="F174:H175"/>
    <mergeCell ref="H295:J296"/>
    <mergeCell ref="F136:H136"/>
    <mergeCell ref="C76:D76"/>
    <mergeCell ref="B288:B289"/>
    <mergeCell ref="F78:H78"/>
    <mergeCell ref="C204:E204"/>
    <mergeCell ref="F92:J92"/>
    <mergeCell ref="G91:H91"/>
    <mergeCell ref="I144:J144"/>
    <mergeCell ref="B117:B118"/>
    <mergeCell ref="F292:G292"/>
    <mergeCell ref="F26:J26"/>
    <mergeCell ref="E176:E177"/>
    <mergeCell ref="I21:J21"/>
    <mergeCell ref="F202:J202"/>
    <mergeCell ref="E290:E291"/>
    <mergeCell ref="I135:J135"/>
    <mergeCell ref="F244:H244"/>
    <mergeCell ref="F192:H192"/>
    <mergeCell ref="G238:G239"/>
    <mergeCell ref="C196:E196"/>
    <mergeCell ref="A321:B321"/>
    <mergeCell ref="A144:B144"/>
    <mergeCell ref="A12:C13"/>
    <mergeCell ref="F19:H19"/>
    <mergeCell ref="F5:H6"/>
    <mergeCell ref="G89:H89"/>
    <mergeCell ref="A290:A291"/>
    <mergeCell ref="A200:B200"/>
    <mergeCell ref="B172:D173"/>
    <mergeCell ref="F37:J37"/>
    <mergeCell ref="A288:A289"/>
    <mergeCell ref="F316:J316"/>
    <mergeCell ref="A260:B260"/>
    <mergeCell ref="F75:H75"/>
    <mergeCell ref="H69:H70"/>
    <mergeCell ref="F200:J200"/>
    <mergeCell ref="C208:E208"/>
    <mergeCell ref="I240:J241"/>
    <mergeCell ref="F249:H249"/>
    <mergeCell ref="C150:E150"/>
    <mergeCell ref="C311:D311"/>
    <mergeCell ref="C144:E144"/>
    <mergeCell ref="A233:A234"/>
    <mergeCell ref="I321:J321"/>
    <mergeCell ref="F320:J320"/>
    <mergeCell ref="G82:H82"/>
    <mergeCell ref="C249:D249"/>
    <mergeCell ref="G253:H253"/>
    <mergeCell ref="C203:E203"/>
    <mergeCell ref="H126:H127"/>
    <mergeCell ref="F189:H189"/>
    <mergeCell ref="F257:J257"/>
    <mergeCell ref="C260:E260"/>
    <mergeCell ref="C259:E259"/>
    <mergeCell ref="A297:C298"/>
    <mergeCell ref="A257:B257"/>
    <mergeCell ref="A271:A272"/>
    <mergeCell ref="B271:B272"/>
    <mergeCell ref="C271:C272"/>
    <mergeCell ref="D271:D272"/>
    <mergeCell ref="E271:G272"/>
    <mergeCell ref="F208:J208"/>
    <mergeCell ref="D231:D232"/>
    <mergeCell ref="F259:J259"/>
    <mergeCell ref="F254:J254"/>
    <mergeCell ref="C231:C232"/>
    <mergeCell ref="C86:E86"/>
    <mergeCell ref="I136:J136"/>
    <mergeCell ref="B290:B291"/>
    <mergeCell ref="G317:H317"/>
    <mergeCell ref="A149:B149"/>
    <mergeCell ref="I317:J317"/>
    <mergeCell ref="B119:B120"/>
    <mergeCell ref="C139:E139"/>
    <mergeCell ref="C197:D197"/>
    <mergeCell ref="I289:I290"/>
    <mergeCell ref="I310:J310"/>
    <mergeCell ref="A310:B310"/>
    <mergeCell ref="A253:B253"/>
    <mergeCell ref="A315:B315"/>
    <mergeCell ref="G148:H148"/>
    <mergeCell ref="C189:D189"/>
    <mergeCell ref="A143:B143"/>
    <mergeCell ref="I196:J196"/>
    <mergeCell ref="C261:E261"/>
    <mergeCell ref="G126:G127"/>
    <mergeCell ref="I207:J207"/>
    <mergeCell ref="F237:G237"/>
    <mergeCell ref="F251:H251"/>
    <mergeCell ref="C305:D305"/>
    <mergeCell ref="I307:J307"/>
    <mergeCell ref="I306:J306"/>
    <mergeCell ref="C322:E322"/>
    <mergeCell ref="C321:E321"/>
    <mergeCell ref="F60:H61"/>
    <mergeCell ref="C79:D79"/>
    <mergeCell ref="A258:B258"/>
    <mergeCell ref="F133:H133"/>
    <mergeCell ref="F197:J197"/>
    <mergeCell ref="I192:J192"/>
    <mergeCell ref="H240:H241"/>
    <mergeCell ref="A72:J72"/>
    <mergeCell ref="A186:J186"/>
    <mergeCell ref="F130:H130"/>
    <mergeCell ref="F66:G66"/>
    <mergeCell ref="C192:D192"/>
    <mergeCell ref="I183:J184"/>
    <mergeCell ref="C244:D244"/>
    <mergeCell ref="F132:H132"/>
    <mergeCell ref="B174:B175"/>
    <mergeCell ref="C87:E87"/>
    <mergeCell ref="C258:E258"/>
    <mergeCell ref="F117:H118"/>
    <mergeCell ref="G297:G298"/>
    <mergeCell ref="A316:B316"/>
    <mergeCell ref="F83:J83"/>
    <mergeCell ref="G12:G13"/>
    <mergeCell ref="A28:B28"/>
    <mergeCell ref="G183:G184"/>
    <mergeCell ref="F248:H248"/>
    <mergeCell ref="I30:J30"/>
    <mergeCell ref="C205:E205"/>
    <mergeCell ref="A30:B30"/>
    <mergeCell ref="C94:E94"/>
    <mergeCell ref="A15:J15"/>
    <mergeCell ref="I201:J201"/>
    <mergeCell ref="J232:J233"/>
    <mergeCell ref="C89:E89"/>
    <mergeCell ref="G203:H203"/>
    <mergeCell ref="C88:E88"/>
    <mergeCell ref="I87:J87"/>
    <mergeCell ref="J118:J119"/>
    <mergeCell ref="F247:H247"/>
    <mergeCell ref="A205:B205"/>
    <mergeCell ref="C43:C44"/>
    <mergeCell ref="D43:D44"/>
    <mergeCell ref="E43:G44"/>
    <mergeCell ref="C201:E201"/>
    <mergeCell ref="A43:A44"/>
    <mergeCell ref="B43:B44"/>
    <mergeCell ref="E38:F38"/>
    <mergeCell ref="A39:D40"/>
    <mergeCell ref="E39:F40"/>
    <mergeCell ref="A41:A42"/>
    <mergeCell ref="B41:B42"/>
    <mergeCell ref="C41:C42"/>
    <mergeCell ref="D41:D42"/>
    <mergeCell ref="E41:G42"/>
    <mergeCell ref="E155:G156"/>
    <mergeCell ref="B121:B122"/>
    <mergeCell ref="F88:J88"/>
    <mergeCell ref="F137:H137"/>
    <mergeCell ref="G150:H150"/>
    <mergeCell ref="A88:B88"/>
    <mergeCell ref="A90:B90"/>
    <mergeCell ref="A89:B89"/>
    <mergeCell ref="C90:E90"/>
    <mergeCell ref="F135:H135"/>
    <mergeCell ref="F94:J94"/>
    <mergeCell ref="G93:H93"/>
    <mergeCell ref="C93:E93"/>
    <mergeCell ref="I133:J133"/>
    <mergeCell ref="B102:B103"/>
    <mergeCell ref="C102:C103"/>
    <mergeCell ref="D98:D99"/>
    <mergeCell ref="E98:G99"/>
    <mergeCell ref="A100:A101"/>
    <mergeCell ref="E157:G158"/>
    <mergeCell ref="A159:A160"/>
    <mergeCell ref="B159:B160"/>
    <mergeCell ref="C159:C160"/>
    <mergeCell ref="D159:D160"/>
    <mergeCell ref="E159:G160"/>
    <mergeCell ref="A206:B206"/>
    <mergeCell ref="I193:J193"/>
    <mergeCell ref="I126:J127"/>
    <mergeCell ref="C194:D194"/>
    <mergeCell ref="G201:H201"/>
    <mergeCell ref="G139:H139"/>
    <mergeCell ref="A204:B204"/>
    <mergeCell ref="A157:A158"/>
    <mergeCell ref="B157:B158"/>
    <mergeCell ref="C157:C158"/>
    <mergeCell ref="D157:D158"/>
    <mergeCell ref="F204:J204"/>
    <mergeCell ref="A199:B199"/>
    <mergeCell ref="A178:A179"/>
    <mergeCell ref="A201:B201"/>
    <mergeCell ref="B155:B156"/>
    <mergeCell ref="C155:C156"/>
    <mergeCell ref="D155:D156"/>
  </mergeCells>
  <phoneticPr fontId="2"/>
  <conditionalFormatting sqref="D50:D55">
    <cfRule type="cellIs" dxfId="5" priority="18" operator="equal">
      <formula>$D49</formula>
    </cfRule>
  </conditionalFormatting>
  <conditionalFormatting sqref="D107:D112">
    <cfRule type="cellIs" dxfId="4" priority="16" operator="equal">
      <formula>$D106</formula>
    </cfRule>
  </conditionalFormatting>
  <conditionalFormatting sqref="D164:D169">
    <cfRule type="cellIs" dxfId="3" priority="14" operator="equal">
      <formula>$D163</formula>
    </cfRule>
  </conditionalFormatting>
  <conditionalFormatting sqref="D221:D226">
    <cfRule type="cellIs" dxfId="2" priority="12" operator="equal">
      <formula>$D220</formula>
    </cfRule>
  </conditionalFormatting>
  <conditionalFormatting sqref="D278:D283">
    <cfRule type="cellIs" dxfId="1" priority="1" operator="equal">
      <formula>$D277</formula>
    </cfRule>
  </conditionalFormatting>
  <conditionalFormatting sqref="D335:D340">
    <cfRule type="cellIs" dxfId="0" priority="23" operator="equal">
      <formula>$D334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5" manualBreakCount="5">
    <brk id="57" max="16383" man="1"/>
    <brk id="114" max="16383" man="1"/>
    <brk id="171" max="16383" man="1"/>
    <brk id="228" max="16383" man="1"/>
    <brk id="2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2025-10-07T01:28:35Z</cp:lastPrinted>
  <dcterms:created xsi:type="dcterms:W3CDTF">2024-07-11T02:08:33Z</dcterms:created>
  <dcterms:modified xsi:type="dcterms:W3CDTF">2025-10-31T07:26:07Z</dcterms:modified>
</cp:coreProperties>
</file>