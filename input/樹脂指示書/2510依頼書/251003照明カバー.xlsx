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3AE51AC6-71DC-4DB1-AC54-7AC3879F46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<sst xmlns="http://schemas.openxmlformats.org/spreadsheetml/2006/main" count="86" uniqueCount="82">
  <si>
    <t>検査梱包指示書</t>
  </si>
  <si>
    <t>品目番号</t>
  </si>
  <si>
    <t>J1DAFZB00105500</t>
  </si>
  <si>
    <t>Ｌ寸</t>
  </si>
  <si>
    <t>名称</t>
  </si>
  <si>
    <t>照明ｶﾊﾞｰS15</t>
  </si>
  <si>
    <t>上長</t>
  </si>
  <si>
    <t>係員</t>
  </si>
  <si>
    <t>製造指図№</t>
  </si>
  <si>
    <t>000000000008066</t>
  </si>
  <si>
    <t>原料名</t>
  </si>
  <si>
    <t>(J6VG005)</t>
  </si>
  <si>
    <t>発注明細№</t>
  </si>
  <si>
    <t>000000000796200</t>
  </si>
  <si>
    <t>色　名</t>
  </si>
  <si>
    <t>乳白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</si>
  <si>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</si>
  <si>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</si>
  <si>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</si>
  <si>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</si>
  <si>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</si>
  <si>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</si>
  <si>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</si>
  <si>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</si>
  <si>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4171</t>
  </si>
  <si>
    <t>*J1DAFZB00105500*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</si>
  <si>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</si>
  <si>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</si>
  <si>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</si>
  <si>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</si>
  <si>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</si>
  <si>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</si>
  <si>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</si>
  <si>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</si>
  <si>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</si>
  <si>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</si>
  <si>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</si>
  <si>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</si>
  <si>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</si>
  <si>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</si>
  <si>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</si>
  <si>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</si>
  <si>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</si>
  <si>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</si>
  <si>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</si>
  <si>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</si>
  <si>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</si>
  <si>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</si>
  <si>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@照明ｶﾊﾞｰ</t>
  </si>
  <si>
    <t>V3W04</t>
  </si>
  <si>
    <t>*J1DAFZA00117200*</t>
  </si>
  <si>
    <t>J1DAFZA00117200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</si>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</sst>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0" fontId="1" fillId="0" borderId="0" xfId="0" applyFont="1">
      <alignment vertical="center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142876</xdr:colOff>
      <xdr:row>3</xdr:row>
      <xdr:rowOff>114301</xdr:rowOff>
    </xdr:from>
    <xdr:to>
      <xdr:col>9</xdr:col>
      <xdr:colOff>638176</xdr:colOff>
      <xdr:row>5</xdr:row>
      <xdr:rowOff>209551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C1D962-93E9-B3B2-2045-4F797456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1" y="657226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</xdr:row>
      <xdr:rowOff>57150</xdr:rowOff>
    </xdr:from>
    <xdr:to>
      <xdr:col>8</xdr:col>
      <xdr:colOff>600075</xdr:colOff>
      <xdr:row>5</xdr:row>
      <xdr:rowOff>123825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BD5E88B-E97E-AA20-BE2C-8739B37DD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00075"/>
          <a:ext cx="46672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4810　L=297</v>
          </cell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C5">
            <v>300</v>
          </cell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C11" t="str">
            <v>8FL281304 4910　L=592</v>
          </cell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C13">
            <v>300</v>
          </cell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C15">
            <v>3</v>
          </cell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C16" t="str">
            <v>LED-A592</v>
          </cell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C19" t="str">
            <v>8FL281304 5010　L=888</v>
          </cell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C21">
            <v>3000</v>
          </cell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C23">
            <v>2</v>
          </cell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C24" t="str">
            <v>LED-A888</v>
          </cell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C25">
            <v>30</v>
          </cell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C27" t="str">
            <v>灯具カバーPC IN 2070　L=1966</v>
          </cell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C29">
            <v>48</v>
          </cell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C32" t="str">
            <v>灯具-2　L＝1996</v>
          </cell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C35" t="str">
            <v>8FL281304 5010　L=888</v>
          </cell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C37">
            <v>100</v>
          </cell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C45">
            <v>900</v>
          </cell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C49">
            <v>9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C51" t="str">
            <v>8FL281304 8310　L=748</v>
          </cell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C53">
            <v>200</v>
          </cell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C59" t="str">
            <v>8FL281304 6110　L=1478</v>
          </cell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C61">
            <v>600</v>
          </cell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C65">
            <v>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C67" t="str">
            <v>8FL281304 5010　L=888</v>
          </cell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C69">
            <v>1000</v>
          </cell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C71">
            <v>2</v>
          </cell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C75" t="str">
            <v>8FL281304 5010　L=888</v>
          </cell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C77">
            <v>400</v>
          </cell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C83" t="str">
            <v>8FL281304 8110　L=444</v>
          </cell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C85">
            <v>100</v>
          </cell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C87">
            <v>4</v>
          </cell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C88" t="str">
            <v>LED-A444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C89">
            <v>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C91" t="str">
            <v>8FL281304 4910　L=592</v>
          </cell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C93">
            <v>400</v>
          </cell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C95">
            <v>3</v>
          </cell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C96" t="str">
            <v>LED-A592</v>
          </cell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C99" t="str">
            <v>8FL281304 4810　L=297</v>
          </cell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C101">
            <v>200</v>
          </cell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C103">
            <v>6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C104" t="str">
            <v>LED-A300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C107" t="str">
            <v>8FL281304 4810　L=297</v>
          </cell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C109">
            <v>300</v>
          </cell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C111">
            <v>6</v>
          </cell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C112" t="str">
            <v>LED-A300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C113">
            <v>3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C115" t="str">
            <v>灯具カバーPC IN 2070　L=1966</v>
          </cell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C117">
            <v>32</v>
          </cell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C123" t="str">
            <v>灯具カバーPC IN 2070　L=1966</v>
          </cell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C125">
            <v>16</v>
          </cell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C131" t="str">
            <v>灯具カバーPC IN 2110　L=1815</v>
          </cell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C136" t="str">
            <v>灯具-2　L＝1996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C137">
            <v>6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C139" t="str">
            <v>灯具カバーPC IN 2090　L=840</v>
          </cell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C141">
            <v>160</v>
          </cell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C145">
            <v>5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C147" t="str">
            <v>灯具カバーPC IN 2140　L=547</v>
          </cell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C149">
            <v>144</v>
          </cell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C153">
            <v>4.5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C155" t="str">
            <v>灯具カバーPC IN 2130　L=908</v>
          </cell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C157">
            <v>160</v>
          </cell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C161">
            <v>10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C163" t="str">
            <v>灯具カバーPC IN 2050　L=1183.5</v>
          </cell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C165">
            <v>160</v>
          </cell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C169">
            <v>10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C171" t="str">
            <v>採光ルーバーパネルB　L=1996</v>
          </cell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C173">
            <v>252</v>
          </cell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C175">
            <v>1</v>
          </cell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C177">
            <v>6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C179" t="str">
            <v>灯具カバーPC IN 2100　L=1923</v>
          </cell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C181">
            <v>160</v>
          </cell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C185">
            <v>10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C187" t="str">
            <v>灯具カバーPC IN 2070　L=1966</v>
          </cell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C189">
            <v>192</v>
          </cell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C193">
            <v>12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C195" t="str">
            <v>灯具カバーPC IN 2500　L=1238</v>
          </cell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C197">
            <v>64</v>
          </cell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C201">
            <v>4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C203" t="str">
            <v>灯具カバーPC IN 2080　L=1540</v>
          </cell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C209">
            <v>5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C211" t="str">
            <v>灯具カバーPC IN 2060　L=1258.5</v>
          </cell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C219" t="str">
            <v>灯具カバーPC  　2190    L=1240</v>
          </cell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C221">
            <v>24</v>
          </cell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C224" t="str">
            <v>H型ジョイナー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C225">
            <v>12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C227" t="str">
            <v>灯具カバーPC IN 2470　L=1648</v>
          </cell>
          <cell r="D227">
            <v>45848</v>
          </cell>
          <cell r="E227" t="str">
            <v>25G03-01</v>
          </cell>
          <cell r="I227" t="str">
            <v>25G03-01</v>
          </cell>
          <cell r="J227">
            <v>2</v>
          </cell>
          <cell r="K227">
            <v>2</v>
          </cell>
          <cell r="L227">
            <v>45947</v>
          </cell>
          <cell r="M227">
            <v>5</v>
          </cell>
          <cell r="O227">
            <v>45947</v>
          </cell>
          <cell r="P227">
            <v>8</v>
          </cell>
          <cell r="T227" t="str">
            <v>000000000007422</v>
          </cell>
        </row>
        <row r="228">
          <cell r="D228">
            <v>45947</v>
          </cell>
          <cell r="E228" t="str">
            <v>25I27-01</v>
          </cell>
          <cell r="G228" t="str">
            <v/>
          </cell>
          <cell r="I228" t="str">
            <v>25I27-01</v>
          </cell>
          <cell r="J228">
            <v>90</v>
          </cell>
          <cell r="K228">
            <v>90</v>
          </cell>
          <cell r="O228">
            <v>80</v>
          </cell>
          <cell r="P228">
            <v>4</v>
          </cell>
          <cell r="T228" t="str">
            <v>000000000007422</v>
          </cell>
        </row>
        <row r="229">
          <cell r="C229">
            <v>80</v>
          </cell>
          <cell r="G229" t="str">
            <v/>
          </cell>
          <cell r="K229">
            <v>0</v>
          </cell>
          <cell r="O229">
            <v>92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12</v>
          </cell>
          <cell r="T230" t="str">
            <v>000000000007422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12</v>
          </cell>
          <cell r="T231" t="str">
            <v>000000000007422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M232">
            <v>2</v>
          </cell>
          <cell r="O232">
            <v>0</v>
          </cell>
          <cell r="T232" t="str">
            <v>000000000007422</v>
          </cell>
        </row>
        <row r="233">
          <cell r="C233">
            <v>5</v>
          </cell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T</v>
          </cell>
          <cell r="P234">
            <v>12</v>
          </cell>
          <cell r="T234" t="str">
            <v>000000000007422</v>
          </cell>
        </row>
        <row r="235">
          <cell r="C235" t="str">
            <v>灯具カバーPC IN 2110　L=1815</v>
          </cell>
          <cell r="I235">
            <v>0</v>
          </cell>
          <cell r="J235">
            <v>0</v>
          </cell>
          <cell r="K235">
            <v>0</v>
          </cell>
          <cell r="L235">
            <v>45947</v>
          </cell>
          <cell r="M235">
            <v>4</v>
          </cell>
          <cell r="O235">
            <v>45947</v>
          </cell>
          <cell r="P235">
            <v>3</v>
          </cell>
          <cell r="T235" t="str">
            <v>000000000007423-2</v>
          </cell>
        </row>
        <row r="236">
          <cell r="D236">
            <v>45947</v>
          </cell>
          <cell r="E236" t="str">
            <v>25I27-01</v>
          </cell>
          <cell r="G236" t="str">
            <v/>
          </cell>
          <cell r="I236" t="str">
            <v>25I27-01</v>
          </cell>
          <cell r="J236">
            <v>72</v>
          </cell>
          <cell r="K236">
            <v>72</v>
          </cell>
          <cell r="O236">
            <v>64</v>
          </cell>
          <cell r="P236">
            <v>5</v>
          </cell>
          <cell r="T236" t="str">
            <v>000000000007423-2</v>
          </cell>
        </row>
        <row r="237">
          <cell r="C237">
            <v>64</v>
          </cell>
          <cell r="G237" t="str">
            <v/>
          </cell>
          <cell r="K237">
            <v>0</v>
          </cell>
          <cell r="O237">
            <v>72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8</v>
          </cell>
          <cell r="T238" t="str">
            <v>000000000007423-2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8</v>
          </cell>
          <cell r="T239" t="str">
            <v>000000000007423-2</v>
          </cell>
        </row>
        <row r="240">
          <cell r="C240" t="str">
            <v>灯具-2　L＝1996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C241">
            <v>4</v>
          </cell>
          <cell r="G241" t="str">
            <v/>
          </cell>
          <cell r="K241">
            <v>0</v>
          </cell>
          <cell r="L241" t="str">
            <v>持出端材</v>
          </cell>
          <cell r="O241" t="str">
            <v>-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T</v>
          </cell>
          <cell r="P242">
            <v>8</v>
          </cell>
          <cell r="T242" t="str">
            <v>000000000007423-2</v>
          </cell>
        </row>
        <row r="243">
          <cell r="C243" t="str">
            <v>灯具カバーPC IN 2130　L=908</v>
          </cell>
          <cell r="D243">
            <v>45889</v>
          </cell>
          <cell r="E243" t="str">
            <v>25G30-01</v>
          </cell>
          <cell r="I243" t="str">
            <v>25G30-01</v>
          </cell>
          <cell r="J243">
            <v>1</v>
          </cell>
          <cell r="K243">
            <v>1</v>
          </cell>
          <cell r="L243">
            <v>45855</v>
          </cell>
          <cell r="M243">
            <v>11</v>
          </cell>
          <cell r="O243">
            <v>45855</v>
          </cell>
          <cell r="P243">
            <v>11</v>
          </cell>
          <cell r="T243" t="str">
            <v>000000000008225</v>
          </cell>
        </row>
        <row r="244">
          <cell r="D244">
            <v>45939</v>
          </cell>
          <cell r="E244" t="str">
            <v>25I25-01</v>
          </cell>
          <cell r="G244" t="str">
            <v/>
          </cell>
          <cell r="I244" t="str">
            <v>25I25-01</v>
          </cell>
          <cell r="J244">
            <v>6</v>
          </cell>
          <cell r="K244">
            <v>6</v>
          </cell>
          <cell r="O244">
            <v>176</v>
          </cell>
          <cell r="P244">
            <v>20</v>
          </cell>
          <cell r="T244" t="str">
            <v>000000000008225</v>
          </cell>
        </row>
        <row r="245">
          <cell r="C245">
            <v>176</v>
          </cell>
          <cell r="D245">
            <v>45947</v>
          </cell>
          <cell r="E245" t="str">
            <v>25J02-01</v>
          </cell>
          <cell r="G245" t="str">
            <v/>
          </cell>
          <cell r="I245" t="str">
            <v>25J02-01</v>
          </cell>
          <cell r="J245">
            <v>200</v>
          </cell>
          <cell r="K245">
            <v>200</v>
          </cell>
          <cell r="O245">
            <v>207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31</v>
          </cell>
          <cell r="T246" t="str">
            <v>000000000008225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31</v>
          </cell>
          <cell r="T247" t="str">
            <v>000000000008225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M248">
            <v>1</v>
          </cell>
          <cell r="O248">
            <v>0</v>
          </cell>
          <cell r="T248" t="str">
            <v>000000000008225</v>
          </cell>
        </row>
        <row r="249">
          <cell r="C249">
            <v>11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31</v>
          </cell>
          <cell r="T250" t="str">
            <v>000000000008225</v>
          </cell>
        </row>
        <row r="251">
          <cell r="C251" t="str">
            <v>灯具カバーPC IN 2090　L=840</v>
          </cell>
          <cell r="D251">
            <v>45938</v>
          </cell>
          <cell r="E251" t="str">
            <v>25I24-01</v>
          </cell>
          <cell r="I251" t="str">
            <v>25I24-01</v>
          </cell>
          <cell r="J251">
            <v>15</v>
          </cell>
          <cell r="K251">
            <v>15</v>
          </cell>
          <cell r="L251">
            <v>45981</v>
          </cell>
          <cell r="M251">
            <v>11</v>
          </cell>
          <cell r="O251">
            <v>45981</v>
          </cell>
          <cell r="P251">
            <v>10</v>
          </cell>
          <cell r="T251" t="str">
            <v>000000000008224</v>
          </cell>
        </row>
        <row r="252">
          <cell r="D252">
            <v>45950</v>
          </cell>
          <cell r="E252" t="str">
            <v>25J02-01</v>
          </cell>
          <cell r="G252" t="str">
            <v/>
          </cell>
          <cell r="I252" t="str">
            <v>25J02-01</v>
          </cell>
          <cell r="J252">
            <v>197</v>
          </cell>
          <cell r="K252">
            <v>197</v>
          </cell>
          <cell r="O252">
            <v>176</v>
          </cell>
          <cell r="P252">
            <v>26</v>
          </cell>
          <cell r="T252" t="str">
            <v>000000000008224</v>
          </cell>
        </row>
        <row r="253">
          <cell r="C253">
            <v>176</v>
          </cell>
          <cell r="G253" t="str">
            <v/>
          </cell>
          <cell r="K253">
            <v>0</v>
          </cell>
          <cell r="O253">
            <v>212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36</v>
          </cell>
          <cell r="T254" t="str">
            <v>000000000008224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36</v>
          </cell>
          <cell r="T255" t="str">
            <v>000000000008224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旧品加工</v>
          </cell>
          <cell r="M256">
            <v>15</v>
          </cell>
          <cell r="O256">
            <v>0</v>
          </cell>
          <cell r="T256" t="str">
            <v>000000000008224</v>
          </cell>
        </row>
        <row r="257">
          <cell r="C257">
            <v>5.5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T</v>
          </cell>
          <cell r="P258">
            <v>36</v>
          </cell>
          <cell r="T258" t="str">
            <v>000000000008224</v>
          </cell>
        </row>
        <row r="259">
          <cell r="C259" t="str">
            <v>照明ｶﾊﾞｰS15　L=550</v>
          </cell>
          <cell r="I259">
            <v>0</v>
          </cell>
          <cell r="J259">
            <v>0</v>
          </cell>
          <cell r="K259">
            <v>0</v>
          </cell>
          <cell r="L259">
            <v>45947</v>
          </cell>
          <cell r="M259">
            <v>10</v>
          </cell>
          <cell r="O259">
            <v>45947</v>
          </cell>
          <cell r="T259" t="str">
            <v>000000000008066</v>
          </cell>
        </row>
        <row r="260">
          <cell r="D260">
            <v>45947</v>
          </cell>
          <cell r="E260" t="str">
            <v>25A16C</v>
          </cell>
          <cell r="F260">
            <v>20</v>
          </cell>
          <cell r="G260">
            <v>550</v>
          </cell>
          <cell r="H260">
            <v>550.25</v>
          </cell>
          <cell r="I260" t="str">
            <v>25A16C</v>
          </cell>
          <cell r="J260">
            <v>300</v>
          </cell>
          <cell r="K260">
            <v>100</v>
          </cell>
          <cell r="O260">
            <v>500</v>
          </cell>
          <cell r="T260" t="str">
            <v>000000000008066</v>
          </cell>
        </row>
        <row r="261">
          <cell r="C261">
            <v>500</v>
          </cell>
          <cell r="D261">
            <v>45947</v>
          </cell>
          <cell r="E261" t="str">
            <v>25A16B</v>
          </cell>
          <cell r="F261">
            <v>26</v>
          </cell>
          <cell r="G261">
            <v>550.20000000000005</v>
          </cell>
          <cell r="H261">
            <v>550.29999999999995</v>
          </cell>
          <cell r="I261" t="str">
            <v>25A16B</v>
          </cell>
          <cell r="J261">
            <v>200</v>
          </cell>
          <cell r="K261">
            <v>67</v>
          </cell>
          <cell r="O261">
            <v>167</v>
          </cell>
          <cell r="T261" t="str">
            <v>000000000008066</v>
          </cell>
        </row>
        <row r="262">
          <cell r="D262">
            <v>45947</v>
          </cell>
          <cell r="E262" t="str">
            <v>25A16B</v>
          </cell>
          <cell r="F262">
            <v>26</v>
          </cell>
          <cell r="G262">
            <v>550.20000000000005</v>
          </cell>
          <cell r="H262">
            <v>550.21</v>
          </cell>
          <cell r="K262">
            <v>0</v>
          </cell>
          <cell r="O262">
            <v>0</v>
          </cell>
          <cell r="T262" t="str">
            <v>000000000008066</v>
          </cell>
        </row>
        <row r="263">
          <cell r="C263">
            <v>3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000000000008066</v>
          </cell>
        </row>
        <row r="264">
          <cell r="C264" t="str">
            <v>基材梱包箱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000000000008066</v>
          </cell>
        </row>
        <row r="265">
          <cell r="C265">
            <v>10</v>
          </cell>
          <cell r="G265" t="str">
            <v/>
          </cell>
          <cell r="K265">
            <v>0</v>
          </cell>
          <cell r="L265" t="str">
            <v>持出端材</v>
          </cell>
          <cell r="O265" t="str">
            <v>M</v>
          </cell>
          <cell r="T265" t="str">
            <v>000000000008066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M</v>
          </cell>
          <cell r="P266">
            <v>0</v>
          </cell>
          <cell r="T266" t="str">
            <v>000000000008066</v>
          </cell>
        </row>
        <row r="267">
          <cell r="C267" t="str">
            <v>照明ｶﾊﾞｰL15　L=820</v>
          </cell>
          <cell r="I267">
            <v>0</v>
          </cell>
          <cell r="J267">
            <v>0</v>
          </cell>
          <cell r="K267">
            <v>0</v>
          </cell>
          <cell r="L267">
            <v>45946</v>
          </cell>
          <cell r="M267">
            <v>6</v>
          </cell>
          <cell r="O267">
            <v>45946</v>
          </cell>
          <cell r="T267" t="str">
            <v>000000000008266</v>
          </cell>
        </row>
        <row r="268">
          <cell r="D268">
            <v>45946</v>
          </cell>
          <cell r="E268" t="str">
            <v>25A16B</v>
          </cell>
          <cell r="F268">
            <v>22</v>
          </cell>
          <cell r="G268">
            <v>820.1</v>
          </cell>
          <cell r="H268">
            <v>820.35</v>
          </cell>
          <cell r="I268" t="str">
            <v>25A16B</v>
          </cell>
          <cell r="J268">
            <v>100</v>
          </cell>
          <cell r="K268">
            <v>50</v>
          </cell>
          <cell r="O268">
            <v>300</v>
          </cell>
          <cell r="T268" t="str">
            <v>000000000008266</v>
          </cell>
        </row>
        <row r="269">
          <cell r="C269">
            <v>300</v>
          </cell>
          <cell r="D269">
            <v>45946</v>
          </cell>
          <cell r="E269" t="str">
            <v>25A16C</v>
          </cell>
          <cell r="F269">
            <v>22</v>
          </cell>
          <cell r="G269">
            <v>820.1</v>
          </cell>
          <cell r="H269">
            <v>819.83</v>
          </cell>
          <cell r="I269" t="str">
            <v>25A16C</v>
          </cell>
          <cell r="J269">
            <v>200</v>
          </cell>
          <cell r="K269">
            <v>100</v>
          </cell>
          <cell r="O269">
            <v>150</v>
          </cell>
          <cell r="T269" t="str">
            <v>000000000008266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000000000008266</v>
          </cell>
        </row>
        <row r="271">
          <cell r="C271">
            <v>2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000000000008266</v>
          </cell>
        </row>
        <row r="272">
          <cell r="C272" t="str">
            <v>基材梱包箱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000000000008266</v>
          </cell>
        </row>
        <row r="273">
          <cell r="C273">
            <v>6</v>
          </cell>
          <cell r="G273" t="str">
            <v/>
          </cell>
          <cell r="K273">
            <v>0</v>
          </cell>
          <cell r="L273" t="str">
            <v>持出端材</v>
          </cell>
          <cell r="O273" t="str">
            <v>M</v>
          </cell>
          <cell r="T273" t="str">
            <v>000000000008266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 t="str">
            <v>M</v>
          </cell>
          <cell r="P274">
            <v>0</v>
          </cell>
          <cell r="T274" t="str">
            <v>000000000008266</v>
          </cell>
        </row>
        <row r="275">
          <cell r="C275" t="str">
            <v>8FL281304 6110　L=1478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000000000007290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000000000007290</v>
          </cell>
        </row>
        <row r="277">
          <cell r="C277">
            <v>1300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000000000007290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000000000007290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000000000007290</v>
          </cell>
        </row>
        <row r="280">
          <cell r="C280" t="str">
            <v>LED-A1478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000000000007290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000000000007290</v>
          </cell>
        </row>
        <row r="283">
          <cell r="C283" t="str">
            <v>採光ルーバーパネルB　L=1996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000000000008267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000000000008267</v>
          </cell>
        </row>
        <row r="285">
          <cell r="C285">
            <v>294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000000000008267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000000000008267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000000000008267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000000000008267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000000000008267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000000000008267</v>
          </cell>
        </row>
        <row r="291">
          <cell r="C291" t="str">
            <v>8FL281304 6110　L=1478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000000000007956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000000000007956</v>
          </cell>
        </row>
        <row r="293">
          <cell r="C293">
            <v>400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000000000007956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000000000007956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000000000007956</v>
          </cell>
        </row>
        <row r="296">
          <cell r="C296" t="str">
            <v>LED-A1478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000000000007956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000000000007956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000000000007956</v>
          </cell>
        </row>
        <row r="299">
          <cell r="C299" t="str">
            <v>8FL281304 4810　L=297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000000000007951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000000000007951</v>
          </cell>
        </row>
        <row r="301">
          <cell r="C301">
            <v>400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000000000007951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000000000007951</v>
          </cell>
        </row>
        <row r="303">
          <cell r="C303">
            <v>6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000000000007951</v>
          </cell>
        </row>
        <row r="304">
          <cell r="C304" t="str">
            <v>LED-A300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000000000007951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000000000007951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000000000007951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000000000007952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000000000007952</v>
          </cell>
        </row>
        <row r="309">
          <cell r="C309">
            <v>300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000000000007952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000000000007952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000000000007952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000000000007952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000000000007952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000000000007952</v>
          </cell>
        </row>
        <row r="315">
          <cell r="C315" t="str">
            <v>8FL281304 5010　L=888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000000000007953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000000000007953</v>
          </cell>
        </row>
        <row r="317">
          <cell r="C317">
            <v>200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000000000007953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000000000007953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000000000007953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000000000007953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000000000007953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000000000007953</v>
          </cell>
        </row>
        <row r="323">
          <cell r="C323" t="str">
            <v>8FL281304 5010　L=888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000000000007954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000000000007954</v>
          </cell>
        </row>
        <row r="325">
          <cell r="C325">
            <v>700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000000000007954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000000000007954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000000000007954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000000000007954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000000000007954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000000000007954</v>
          </cell>
        </row>
        <row r="331">
          <cell r="C331" t="str">
            <v>採光ルーバーパネルB　L=1996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000000000008268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000000000008268</v>
          </cell>
        </row>
        <row r="333">
          <cell r="C333">
            <v>294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000000000008268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000000000008268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000000000008268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000000000008268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000000000008268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000000000008268</v>
          </cell>
        </row>
        <row r="339">
          <cell r="C339" t="str">
            <v>採光ルーバーパネルB　L=1996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000000000008269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000000000008269</v>
          </cell>
        </row>
        <row r="341">
          <cell r="C341">
            <v>294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000000000008269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000000000008269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000000000008269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000000000008269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000000000008269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000000000008269</v>
          </cell>
        </row>
        <row r="347">
          <cell r="C347" t="str">
            <v>灯具カバーPC IN 2050　L=1183.5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000000000008226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000000000008226</v>
          </cell>
        </row>
        <row r="349">
          <cell r="C349">
            <v>192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000000000008226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000000000008226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000000000008226</v>
          </cell>
        </row>
        <row r="352">
          <cell r="C352" t="str">
            <v>灯具-1　L=1370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000000000008226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000000000008226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000000000008226</v>
          </cell>
        </row>
        <row r="355">
          <cell r="C355" t="str">
            <v>灯具カバーPC IN 2110　L=1815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000000000007424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000000000007424</v>
          </cell>
        </row>
        <row r="357">
          <cell r="C357">
            <v>192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000000000007424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000000000007424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000000000007424</v>
          </cell>
        </row>
        <row r="360">
          <cell r="C360" t="str">
            <v>灯具-2　L＝1996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000000000007424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000000000007424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000000000007424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000000000007289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000000000007289</v>
          </cell>
        </row>
        <row r="365">
          <cell r="C365">
            <v>2000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000000000007289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000000000007289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000000000007289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000000000007289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000000000007289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000000000007289</v>
          </cell>
        </row>
        <row r="371">
          <cell r="C371" t="str">
            <v>8FL281304 5010　L=888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000000000007955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000000000007955</v>
          </cell>
        </row>
        <row r="373">
          <cell r="C373">
            <v>2000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000000000007955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000000000007955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000000000007955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000000000007955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000000000007955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000000000007955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000000000008361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000000000008361</v>
          </cell>
        </row>
        <row r="381">
          <cell r="C381">
            <v>400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000000000008361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000000000008361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000000000008361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000000000008361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000000000008361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000000000008361</v>
          </cell>
        </row>
        <row r="387">
          <cell r="C387" t="str">
            <v>8FL281304 8310　L=748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000000000008360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000000000008360</v>
          </cell>
        </row>
        <row r="389">
          <cell r="C389">
            <v>200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000000000008360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000000000008360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000000000008360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000000000008360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000000000008360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000000000008360</v>
          </cell>
        </row>
        <row r="395">
          <cell r="C395" t="str">
            <v>8FL281304 4910　L=592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000000000008357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000000000008357</v>
          </cell>
        </row>
        <row r="397">
          <cell r="C397">
            <v>200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000000000008357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000000000008357</v>
          </cell>
        </row>
        <row r="399">
          <cell r="C399">
            <v>3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000000000008357</v>
          </cell>
        </row>
        <row r="400">
          <cell r="C400" t="str">
            <v>LED-A592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000000000008357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000000000008357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000000000008357</v>
          </cell>
        </row>
        <row r="403">
          <cell r="C403" t="str">
            <v>8FL281304 4810　L=297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000000000008354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000000000008354</v>
          </cell>
        </row>
        <row r="405">
          <cell r="C405">
            <v>300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000000000008354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000000000008354</v>
          </cell>
        </row>
        <row r="407">
          <cell r="C407">
            <v>6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000000000008354</v>
          </cell>
        </row>
        <row r="408">
          <cell r="C408" t="str">
            <v>LED-A300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000000000008354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000000000008354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000000000008354</v>
          </cell>
        </row>
        <row r="411">
          <cell r="C411" t="str">
            <v>灯具カバーPC IN 2070　L=1966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000000000007926-2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000000000007926-2</v>
          </cell>
        </row>
        <row r="413">
          <cell r="C413">
            <v>144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000000000007926-2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000000000007926-2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000000000007926-2</v>
          </cell>
        </row>
        <row r="416">
          <cell r="C416" t="str">
            <v>灯具-2　L＝1996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000000000007926-2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000000000007926-2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000000000007926-2</v>
          </cell>
        </row>
        <row r="419">
          <cell r="C419" t="str">
            <v>8FL281304 6110　L=1478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000000000008364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000000000008364</v>
          </cell>
        </row>
        <row r="421">
          <cell r="C421">
            <v>400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000000000008364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000000000008364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000000000008364</v>
          </cell>
        </row>
        <row r="424">
          <cell r="C424" t="str">
            <v>LED-A1478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000000000008364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000000000008364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000000000008364</v>
          </cell>
        </row>
        <row r="427">
          <cell r="C427" t="str">
            <v>8FL281304 5010　L=888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000000000008362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000000000008362</v>
          </cell>
        </row>
        <row r="429">
          <cell r="C429">
            <v>800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000000000008362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000000000008362</v>
          </cell>
        </row>
        <row r="431">
          <cell r="C431">
            <v>2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000000000008362</v>
          </cell>
        </row>
        <row r="432">
          <cell r="C432" t="str">
            <v>LED-A888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000000000008362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000000000008362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000000000008362</v>
          </cell>
        </row>
        <row r="435">
          <cell r="C435" t="str">
            <v>8FL281304 4910　L=592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000000000008358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000000000008358</v>
          </cell>
        </row>
        <row r="437">
          <cell r="C437">
            <v>200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000000000008358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000000000008358</v>
          </cell>
        </row>
        <row r="439">
          <cell r="C439">
            <v>3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000000000008358</v>
          </cell>
        </row>
        <row r="440">
          <cell r="C440" t="str">
            <v>LED-A592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000000000008358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000000000008358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000000000008358</v>
          </cell>
        </row>
        <row r="443">
          <cell r="C443" t="str">
            <v>8FL281304 4910　L=592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000000000008359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000000000008359</v>
          </cell>
        </row>
        <row r="445">
          <cell r="C445">
            <v>200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000000000008359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000000000008359</v>
          </cell>
        </row>
        <row r="447">
          <cell r="C447">
            <v>3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000000000008359</v>
          </cell>
        </row>
        <row r="448">
          <cell r="C448" t="str">
            <v>LED-A592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000000000008359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000000000008359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000000000008359</v>
          </cell>
        </row>
        <row r="451">
          <cell r="C451" t="str">
            <v>8FL281304 4810　L=297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000000000008356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000000000008356</v>
          </cell>
        </row>
        <row r="453">
          <cell r="C453">
            <v>300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000000000008356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000000000008356</v>
          </cell>
        </row>
        <row r="455">
          <cell r="C455">
            <v>6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000000000008356</v>
          </cell>
        </row>
        <row r="456">
          <cell r="C456" t="str">
            <v>LED-A300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000000000008356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000000000008356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000000000008356</v>
          </cell>
        </row>
        <row r="459">
          <cell r="C459" t="str">
            <v>8FL281304 4810　L=297</v>
          </cell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000000000008355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000000000008355</v>
          </cell>
        </row>
        <row r="461">
          <cell r="C461">
            <v>200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000000000008355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000000000008355</v>
          </cell>
        </row>
        <row r="463">
          <cell r="C463">
            <v>6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000000000008355</v>
          </cell>
        </row>
        <row r="464">
          <cell r="C464" t="str">
            <v>LED-A300</v>
          </cell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000000000008355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000000000008355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000000000008355</v>
          </cell>
        </row>
        <row r="467">
          <cell r="C467" t="str">
            <v>8FL281304 5010　L=888</v>
          </cell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000000000008363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000000000008363</v>
          </cell>
        </row>
        <row r="469">
          <cell r="C469">
            <v>2000</v>
          </cell>
          <cell r="G469" t="str">
            <v/>
          </cell>
          <cell r="K469">
            <v>0</v>
          </cell>
          <cell r="O469">
            <v>0</v>
          </cell>
          <cell r="T469" t="str">
            <v>000000000008363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000000000008363</v>
          </cell>
        </row>
        <row r="471">
          <cell r="C471">
            <v>2</v>
          </cell>
          <cell r="G471" t="str">
            <v/>
          </cell>
          <cell r="K471">
            <v>0</v>
          </cell>
          <cell r="O471">
            <v>0</v>
          </cell>
          <cell r="T471" t="str">
            <v>000000000008363</v>
          </cell>
        </row>
        <row r="472">
          <cell r="C472" t="str">
            <v>LED-A888</v>
          </cell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000000000008363</v>
          </cell>
        </row>
        <row r="473">
          <cell r="C473">
            <v>0</v>
          </cell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000000000008363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000000000008363</v>
          </cell>
        </row>
        <row r="475">
          <cell r="C475" t="str">
            <v>PK-59827 L=700</v>
          </cell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000000000008411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000000000008411</v>
          </cell>
        </row>
        <row r="477">
          <cell r="C477">
            <v>1054</v>
          </cell>
          <cell r="G477" t="str">
            <v/>
          </cell>
          <cell r="K477">
            <v>0</v>
          </cell>
          <cell r="O477">
            <v>0</v>
          </cell>
          <cell r="T477" t="str">
            <v>000000000008411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000000000008411</v>
          </cell>
        </row>
        <row r="479">
          <cell r="C479">
            <v>2</v>
          </cell>
          <cell r="G479" t="str">
            <v/>
          </cell>
          <cell r="K479">
            <v>0</v>
          </cell>
          <cell r="O479">
            <v>0</v>
          </cell>
          <cell r="T479" t="str">
            <v>000000000008411</v>
          </cell>
        </row>
        <row r="480">
          <cell r="C480" t="str">
            <v>PK-59827 L=700用</v>
          </cell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000000000008411</v>
          </cell>
        </row>
        <row r="481">
          <cell r="C481">
            <v>0</v>
          </cell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000000000008411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000000000008411</v>
          </cell>
        </row>
        <row r="483">
          <cell r="C483" t="str">
            <v>PK-59827 L=700</v>
          </cell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000000000008411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000000000008411</v>
          </cell>
        </row>
        <row r="485">
          <cell r="C485">
            <v>1054</v>
          </cell>
          <cell r="G485" t="str">
            <v/>
          </cell>
          <cell r="K485">
            <v>0</v>
          </cell>
          <cell r="O485">
            <v>0</v>
          </cell>
          <cell r="T485" t="str">
            <v>000000000008411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000000000008411</v>
          </cell>
        </row>
        <row r="487">
          <cell r="C487">
            <v>2</v>
          </cell>
          <cell r="G487" t="str">
            <v/>
          </cell>
          <cell r="K487">
            <v>0</v>
          </cell>
          <cell r="O487">
            <v>0</v>
          </cell>
          <cell r="T487" t="str">
            <v>000000000008411</v>
          </cell>
        </row>
        <row r="488">
          <cell r="C488" t="str">
            <v>PK-59827 L=700用</v>
          </cell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000000000008411</v>
          </cell>
        </row>
        <row r="489">
          <cell r="C489">
            <v>0</v>
          </cell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000000000008411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000000000008411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4" workbookViewId="0">
      <selection activeCell="S51" sqref="S51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6" t="s">
        <v>0</v>
      </c>
      <c r="C1" s="91"/>
      <c r="D1" s="91"/>
      <c r="E1" s="11"/>
      <c r="F1" s="11"/>
      <c r="G1" s="11"/>
      <c r="H1" s="11"/>
      <c r="I1" s="11"/>
      <c r="J1" s="11"/>
    </row>
    <row r="2" spans="1:10" ht="14.25" customHeight="1" thickTop="1">
      <c r="A2" s="12"/>
      <c r="B2" s="91"/>
      <c r="C2" s="91"/>
      <c r="D2" s="91"/>
      <c r="E2" s="12"/>
      <c r="F2" s="12"/>
      <c r="G2" s="12"/>
      <c r="H2" s="12"/>
      <c r="I2" s="12"/>
      <c r="J2" s="12"/>
    </row>
    <row r="3" spans="1:10" ht="14.25" customHeight="1">
      <c r="A3" s="100" t="s">
        <v>1</v>
      </c>
      <c r="B3" s="100" t="s">
        <v>2</v>
      </c>
      <c r="C3" s="100" t="s">
        <v>3</v>
      </c>
      <c r="D3" s="123">
        <v>550</v>
      </c>
      <c r="E3" s="100" t="s">
        <v>4</v>
      </c>
      <c r="F3" s="126" t="s">
        <v>5</v>
      </c>
      <c r="G3" s="91"/>
      <c r="H3" s="94"/>
      <c r="I3" s="13" t="s">
        <v>6</v>
      </c>
      <c r="J3" s="13" t="s">
        <v>7</v>
      </c>
    </row>
    <row r="4" spans="1:10" ht="14.25" customHeight="1">
      <c r="A4" s="91"/>
      <c r="B4" s="91"/>
      <c r="C4" s="91"/>
      <c r="D4" s="91"/>
      <c r="E4" s="91"/>
      <c r="F4" s="91"/>
      <c r="G4" s="91"/>
      <c r="H4" s="94"/>
      <c r="I4" s="105"/>
      <c r="J4" s="105"/>
    </row>
    <row r="5" spans="1:10" ht="17.45" customHeight="1">
      <c r="A5" s="90" t="s">
        <v>8</v>
      </c>
      <c r="B5" s="90" t="s">
        <v>9</v>
      </c>
      <c r="E5" s="90" t="s">
        <v>10</v>
      </c>
      <c r="F5" s="97" t="s">
        <v>11</v>
      </c>
      <c r="G5" s="91"/>
      <c r="H5" s="94"/>
      <c r="I5" s="106"/>
      <c r="J5" s="106"/>
    </row>
    <row r="6" spans="1:10" ht="17.45" customHeight="1">
      <c r="A6" s="91"/>
      <c r="B6" s="91"/>
      <c r="E6" s="91"/>
      <c r="F6" s="91"/>
      <c r="G6" s="91"/>
      <c r="H6" s="94"/>
      <c r="I6" s="14"/>
      <c r="J6" s="14"/>
    </row>
    <row r="7" spans="1:10" ht="17.45" customHeight="1">
      <c r="A7" s="90" t="s">
        <v>12</v>
      </c>
      <c r="B7" s="90" t="s">
        <v>13</v>
      </c>
      <c r="E7" s="2" t="s">
        <v>14</v>
      </c>
      <c r="F7" s="115" t="s">
        <v>15</v>
      </c>
      <c r="G7" s="91"/>
      <c r="H7" s="21"/>
    </row>
    <row r="8" spans="1:10" ht="17.45" customHeight="1">
      <c r="A8" s="91"/>
      <c r="B8" s="91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45961</v>
      </c>
      <c r="E9" s="2" t="s">
        <v>19</v>
      </c>
      <c r="F9" s="138">
        <v>50</v>
      </c>
      <c r="G9" s="91"/>
      <c r="H9" s="21"/>
    </row>
    <row r="10" spans="1:10" ht="17.45" customHeight="1">
      <c r="A10" s="2" t="s">
        <v>20</v>
      </c>
      <c r="B10" s="4">
        <v>45961</v>
      </c>
      <c r="E10" s="2" t="s">
        <v>21</v>
      </c>
      <c r="F10" s="21">
        <v>10</v>
      </c>
      <c r="G10" s="108" t="s">
        <v>22</v>
      </c>
      <c r="H10" s="120">
        <v>500</v>
      </c>
      <c r="I10" s="121"/>
      <c r="J10" s="12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09"/>
      <c r="H11" s="109"/>
      <c r="I11" s="95"/>
      <c r="J11" s="96"/>
    </row>
    <row r="12" spans="1:10" ht="13.5" customHeight="1">
      <c r="A12" s="107" t="s">
        <v>25</v>
      </c>
      <c r="B12" s="91"/>
      <c r="C12" s="91"/>
      <c r="D12" s="20"/>
      <c r="F12" s="3"/>
      <c r="G12" s="117" t="s">
        <v>26</v>
      </c>
      <c r="H12" s="137" t="s">
        <v>27</v>
      </c>
      <c r="I12" s="93" t="s">
        <v>28</v>
      </c>
      <c r="J12" s="94"/>
    </row>
    <row r="13" spans="1:10" ht="13.5" customHeight="1">
      <c r="A13" s="91"/>
      <c r="B13" s="91"/>
      <c r="C13" s="91"/>
      <c r="D13" s="20"/>
      <c r="F13" s="3"/>
      <c r="G13" s="118"/>
      <c r="H13" s="118"/>
      <c r="I13" s="95"/>
      <c r="J13" s="96"/>
    </row>
    <row r="14" spans="1:10" ht="13.5" customHeight="1">
      <c r="A14" s="1" t="s">
        <v>29</v>
      </c>
    </row>
    <row r="15" spans="1:10" ht="63" customHeight="1" thickBot="1">
      <c r="A15" s="124"/>
      <c r="B15" s="125"/>
      <c r="C15" s="125"/>
      <c r="D15" s="125"/>
      <c r="E15" s="125"/>
      <c r="F15" s="125"/>
      <c r="G15" s="125"/>
      <c r="H15" s="125"/>
      <c r="I15" s="125"/>
      <c r="J15" s="125"/>
    </row>
    <row r="16" spans="1:10" ht="18.75">
      <c r="A16" s="23" t="s">
        <v>30</v>
      </c>
      <c r="B16" s="16" t="s">
        <v>31</v>
      </c>
      <c r="C16" s="112" t="s">
        <v>32</v>
      </c>
      <c r="D16" s="113"/>
      <c r="E16" s="16" t="s">
        <v>33</v>
      </c>
      <c r="F16" s="112" t="s">
        <v>34</v>
      </c>
      <c r="G16" s="113"/>
      <c r="H16" s="113"/>
      <c r="I16" s="114" t="s">
        <v>35</v>
      </c>
      <c r="J16" s="11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2" t="s">
        <v>37</v>
      </c>
      <c r="D18" s="89"/>
      <c r="E18" s="24" t="s">
        <v>38</v>
      </c>
      <c r="F18" s="92" t="s">
        <v>39</v>
      </c>
      <c r="G18" s="89"/>
      <c r="H18" s="89"/>
      <c r="I18" s="104"/>
      <c r="J18" s="89"/>
    </row>
    <row r="19" spans="1:10" s="7" customFormat="1" ht="16.5" customHeight="1">
      <c r="A19" s="22">
        <v>1</v>
      </c>
      <c r="B19" s="25" t="s">
        <v>36</v>
      </c>
      <c r="C19" s="92" t="s">
        <v>37</v>
      </c>
      <c r="D19" s="89"/>
      <c r="E19" s="24" t="s">
        <v>40</v>
      </c>
      <c r="F19" s="92" t="s">
        <v>41</v>
      </c>
      <c r="G19" s="89"/>
      <c r="H19" s="89"/>
      <c r="I19" s="104"/>
      <c r="J19" s="89"/>
    </row>
    <row r="20" spans="1:10" s="7" customFormat="1" ht="16.5" customHeight="1">
      <c r="A20" s="22"/>
      <c r="B20" s="25"/>
      <c r="C20" s="92"/>
      <c r="D20" s="89"/>
      <c r="E20" s="24"/>
      <c r="F20" s="92"/>
      <c r="G20" s="89"/>
      <c r="H20" s="89"/>
      <c r="I20" s="104"/>
      <c r="J20" s="89"/>
    </row>
    <row r="21" spans="1:10" s="7" customFormat="1" ht="16.5" customHeight="1">
      <c r="A21" s="22"/>
      <c r="B21" s="25"/>
      <c r="C21" s="92"/>
      <c r="D21" s="89"/>
      <c r="E21" s="24"/>
      <c r="F21" s="92"/>
      <c r="G21" s="89"/>
      <c r="H21" s="89"/>
      <c r="I21" s="104"/>
      <c r="J21" s="89"/>
    </row>
    <row r="22" spans="1:10" s="7" customFormat="1" ht="16.5" customHeight="1">
      <c r="A22" s="22"/>
      <c r="B22" s="25"/>
      <c r="C22" s="92"/>
      <c r="D22" s="89"/>
      <c r="E22" s="24"/>
      <c r="F22" s="92"/>
      <c r="G22" s="89"/>
      <c r="H22" s="89"/>
      <c r="I22" s="104"/>
      <c r="J22" s="89"/>
    </row>
    <row r="23" spans="1:10" s="7" customFormat="1" ht="16.5" customHeight="1">
      <c r="A23" s="22"/>
      <c r="B23" s="25"/>
      <c r="C23" s="92"/>
      <c r="D23" s="89"/>
      <c r="E23" s="24"/>
      <c r="F23" s="92"/>
      <c r="G23" s="89"/>
      <c r="H23" s="89"/>
      <c r="I23" s="104"/>
      <c r="J23" s="8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01" t="s">
        <v>42</v>
      </c>
      <c r="B25" s="102"/>
      <c r="C25" s="101" t="s">
        <v>43</v>
      </c>
      <c r="D25" s="102"/>
      <c r="E25" s="102"/>
      <c r="F25" s="17" t="s">
        <v>44</v>
      </c>
      <c r="G25" s="101" t="s">
        <v>45</v>
      </c>
      <c r="H25" s="102"/>
      <c r="I25" s="101" t="s">
        <v>46</v>
      </c>
      <c r="J25" s="102"/>
    </row>
    <row r="26" spans="1:10" ht="14.25" customHeight="1">
      <c r="A26" s="8"/>
      <c r="B26" s="18"/>
      <c r="C26" s="103" t="s">
        <v>47</v>
      </c>
      <c r="D26" s="95"/>
      <c r="E26" s="18"/>
      <c r="F26" s="103" t="s">
        <v>29</v>
      </c>
      <c r="G26" s="95"/>
      <c r="H26" s="95"/>
      <c r="I26" s="95"/>
      <c r="J26" s="95"/>
    </row>
    <row r="27" spans="1:10">
      <c r="A27" s="9"/>
      <c r="C27" s="7"/>
      <c r="D27" s="7"/>
      <c r="E27" s="7"/>
    </row>
    <row r="28" spans="1:10" s="5" customFormat="1" ht="14.25" customHeight="1">
      <c r="A28" s="119" t="s">
        <v>51</v>
      </c>
      <c r="B28" s="99"/>
      <c r="C28" s="92" t="s">
        <v>48</v>
      </c>
      <c r="D28" s="99"/>
      <c r="E28" s="99"/>
      <c r="F28" s="26" t="s">
        <v>49</v>
      </c>
      <c r="G28" s="98">
        <v>166.5</v>
      </c>
      <c r="H28" s="99"/>
      <c r="I28" s="98">
        <v>3.33</v>
      </c>
      <c r="J28" s="99"/>
    </row>
    <row r="29" spans="1:10" s="7" customFormat="1" ht="24.95" customHeight="1">
      <c r="A29" s="88" t="s">
        <v>50</v>
      </c>
      <c r="B29" s="89"/>
      <c r="C29" s="92" t="s">
        <v>11</v>
      </c>
      <c r="D29" s="89"/>
      <c r="E29" s="89"/>
      <c r="F29" s="92"/>
      <c r="G29" s="89"/>
      <c r="H29" s="89"/>
      <c r="I29" s="89"/>
      <c r="J29" s="89"/>
    </row>
    <row r="30" spans="1:10" s="5" customFormat="1" ht="14.25" customHeight="1">
      <c r="A30" s="92"/>
      <c r="B30" s="99"/>
      <c r="C30" s="92"/>
      <c r="D30" s="99"/>
      <c r="E30" s="99"/>
      <c r="F30" s="26"/>
      <c r="G30" s="98"/>
      <c r="H30" s="99"/>
      <c r="I30" s="98"/>
      <c r="J30" s="99"/>
    </row>
    <row r="31" spans="1:10" s="7" customFormat="1" ht="24.95" customHeight="1">
      <c r="A31" s="88"/>
      <c r="B31" s="89"/>
      <c r="C31" s="92"/>
      <c r="D31" s="89"/>
      <c r="E31" s="89"/>
      <c r="F31" s="92"/>
      <c r="G31" s="89"/>
      <c r="H31" s="89"/>
      <c r="I31" s="89"/>
      <c r="J31" s="89"/>
    </row>
    <row r="32" spans="1:10" s="5" customFormat="1" ht="14.25" customHeight="1">
      <c r="A32" s="92"/>
      <c r="B32" s="99"/>
      <c r="C32" s="92"/>
      <c r="D32" s="99"/>
      <c r="E32" s="99"/>
      <c r="F32" s="26"/>
      <c r="G32" s="98"/>
      <c r="H32" s="99"/>
      <c r="I32" s="98"/>
      <c r="J32" s="99"/>
    </row>
    <row r="33" spans="1:14" s="7" customFormat="1" ht="24.95" customHeight="1">
      <c r="A33" s="88"/>
      <c r="B33" s="89"/>
      <c r="C33" s="92"/>
      <c r="D33" s="89"/>
      <c r="E33" s="89"/>
      <c r="F33" s="92"/>
      <c r="G33" s="89"/>
      <c r="H33" s="89"/>
      <c r="I33" s="89"/>
      <c r="J33" s="89"/>
    </row>
    <row r="34" spans="1:14" s="5" customFormat="1" ht="14.25" customHeight="1">
      <c r="A34" s="92"/>
      <c r="B34" s="99"/>
      <c r="C34" s="92"/>
      <c r="D34" s="99"/>
      <c r="E34" s="99"/>
      <c r="F34" s="26"/>
      <c r="G34" s="98"/>
      <c r="H34" s="99"/>
      <c r="I34" s="98"/>
      <c r="J34" s="99"/>
    </row>
    <row r="35" spans="1:14" s="7" customFormat="1" ht="24.95" customHeight="1">
      <c r="A35" s="88"/>
      <c r="B35" s="89"/>
      <c r="C35" s="92"/>
      <c r="D35" s="89"/>
      <c r="E35" s="89"/>
      <c r="F35" s="92"/>
      <c r="G35" s="89"/>
      <c r="H35" s="89"/>
      <c r="I35" s="89"/>
      <c r="J35" s="89"/>
    </row>
    <row r="36" spans="1:14" s="5" customFormat="1" ht="14.25" customHeight="1">
      <c r="A36" s="92"/>
      <c r="B36" s="99"/>
      <c r="C36" s="92"/>
      <c r="D36" s="99"/>
      <c r="E36" s="99"/>
      <c r="F36" s="26"/>
      <c r="G36" s="98"/>
      <c r="H36" s="99"/>
      <c r="I36" s="98"/>
      <c r="J36" s="99"/>
    </row>
    <row r="37" spans="1:14" s="7" customFormat="1" ht="24.95" customHeight="1" thickBot="1">
      <c r="A37" s="88"/>
      <c r="B37" s="89"/>
      <c r="C37" s="92"/>
      <c r="D37" s="89"/>
      <c r="E37" s="89"/>
      <c r="F37" s="92"/>
      <c r="G37" s="89"/>
      <c r="H37" s="89"/>
      <c r="I37" s="89"/>
      <c r="J37" s="89"/>
    </row>
    <row r="38" spans="1:14" s="5" customFormat="1" ht="18" customHeight="1">
      <c r="A38" s="110" t="s">
        <v>52</v>
      </c>
      <c r="B38" s="111"/>
      <c r="C38" s="111"/>
      <c r="D38" s="111"/>
      <c r="E38" s="127" t="s">
        <v>53</v>
      </c>
      <c r="F38" s="128"/>
      <c r="G38" s="27" t="s">
        <v>54</v>
      </c>
      <c r="H38" s="129" t="s">
        <v>55</v>
      </c>
      <c r="I38" s="130"/>
      <c r="J38" s="28" t="s">
        <v>56</v>
      </c>
    </row>
    <row r="39" spans="1:14" s="7" customFormat="1" ht="18" customHeight="1">
      <c r="A39" s="131" t="str">
        <f>_xlfn.XLOOKUP(B3,[1]VFDB2!A:A,[1]VFDB2!B:B)</f>
        <v>照明ｶﾊﾞｰS15　L=550</v>
      </c>
      <c r="B39" s="132"/>
      <c r="C39" s="132"/>
      <c r="D39" s="132"/>
      <c r="E39" s="135" t="str" cm="1">
        <f t="array" ref="E39">IFERROR(IF(ISBLANK(INDEX(_xlfn._xlws.FILTER([1]加工記録２!$C$3:$C$999991, [1]加工記録２!$T$3:$T$999991=B5), 6)), "", INDEX(_xlfn._xlws.FILTER([1]加工記録２!$C$3:$C$999991, [1]加工記録２!$T$3:$T$999991=B5), 6)),"")</f>
        <v>基材梱包箱</v>
      </c>
      <c r="F39" s="136"/>
      <c r="G39" s="139" t="s">
        <v>81</v>
      </c>
      <c r="H39" s="29" t="s">
        <v>57</v>
      </c>
      <c r="I39" s="30" cm="1">
        <f t="array" ref="I39:J39">IFERROR(IF(ISBLANK(INDEX(_xlfn._xlws.FILTER([1]加工記録２!$O$3:$P$999991, [1]加工記録２!$T$3:$T$999991=B5), 1)), "", INDEX(_xlfn._xlws.FILTER([1]加工記録２!$O$3:$P$999991, [1]加工記録２!$T$3:$T$999991=B5), 1)),"")</f>
        <v>45947</v>
      </c>
      <c r="J39" s="31" t="str">
        <v/>
      </c>
    </row>
    <row r="40" spans="1:14" s="5" customFormat="1" ht="18" customHeight="1">
      <c r="A40" s="133"/>
      <c r="B40" s="134"/>
      <c r="C40" s="134"/>
      <c r="D40" s="134"/>
      <c r="E40" s="135"/>
      <c r="F40" s="136"/>
      <c r="G40" s="139"/>
      <c r="H40" s="29" t="s">
        <v>58</v>
      </c>
      <c r="I40" s="32" cm="1">
        <f t="array" ref="I40:J40">IFERROR(IF(ISBLANK(INDEX(_xlfn._xlws.FILTER([1]加工記録２!$O$3:$P$999991, [1]加工記録２!$T$3:$T$999991=B5), 2)), "", INDEX(_xlfn._xlws.FILTER([1]加工記録２!$O$3:$P$999991, [1]加工記録２!$T$3:$T$999991=B5), 2)),"")</f>
        <v>500</v>
      </c>
      <c r="J40" s="33" t="str">
        <v/>
      </c>
      <c r="K40" s="34"/>
    </row>
    <row r="41" spans="1:14" s="7" customFormat="1" ht="18" customHeight="1">
      <c r="A41" s="140" t="s">
        <v>59</v>
      </c>
      <c r="B41" s="153" t="str">
        <f>_xlfn.XLOOKUP(B3,[1]VFDB2!A:A,[1]VFDB2!J:J)</f>
        <v>〇</v>
      </c>
      <c r="C41" s="155" t="s">
        <v>60</v>
      </c>
      <c r="D41" s="157">
        <f>_xlfn.XLOOKUP(B3,[1]VFDB2!A:A,[1]VFDB2!P:P)</f>
        <v>3</v>
      </c>
      <c r="E41" s="135">
        <f>_xlfn.XLOOKUP(B3,[1]VFDB2!A:A,[1]VFDB2!V:V)</f>
        <v>0</v>
      </c>
      <c r="F41" s="136"/>
      <c r="G41" s="148"/>
      <c r="H41" s="35" t="s">
        <v>61</v>
      </c>
      <c r="I41" s="32" cm="1">
        <f t="array" ref="I41:J41">IFERROR(IF(ISBLANK(INDEX(_xlfn._xlws.FILTER([1]加工記録２!$O$3:$P$999991, [1]加工記録２!$T$3:$T$999991=B5), 3)), "", INDEX(_xlfn._xlws.FILTER([1]加工記録２!$O$3:$P$999991, [1]加工記録２!$T$3:$T$999991=B5), 3)),"")</f>
        <v>167</v>
      </c>
      <c r="J41" s="36" t="str">
        <v/>
      </c>
      <c r="K41" s="37"/>
    </row>
    <row r="42" spans="1:14" s="5" customFormat="1" ht="18" customHeight="1">
      <c r="A42" s="152"/>
      <c r="B42" s="154"/>
      <c r="C42" s="156"/>
      <c r="D42" s="158"/>
      <c r="E42" s="135"/>
      <c r="F42" s="136"/>
      <c r="G42" s="148"/>
      <c r="H42" s="35" t="s">
        <v>62</v>
      </c>
      <c r="I42" s="32" cm="1">
        <f t="array" ref="I42:J42">IFERROR(IF(ISBLANK(INDEX(_xlfn._xlws.FILTER([1]加工記録２!$O$3:$P$999991, [1]加工記録２!$T$3:$T$999991=B5), 4)), "", INDEX(_xlfn._xlws.FILTER([1]加工記録２!$O$3:$P$999991, [1]加工記録２!$T$3:$T$999991=B5), 4)),"")</f>
        <v>0</v>
      </c>
      <c r="J42" s="38" t="str">
        <v/>
      </c>
      <c r="K42" s="34"/>
    </row>
    <row r="43" spans="1:14" s="7" customFormat="1" ht="18" customHeight="1">
      <c r="A43" s="159" t="s">
        <v>63</v>
      </c>
      <c r="B43" s="161">
        <f>D3</f>
        <v>550</v>
      </c>
      <c r="C43" s="163" t="s">
        <v>64</v>
      </c>
      <c r="D43" s="146" t="str">
        <f>_xlfn.XLOOKUP(B3,[1]VFDB2!A:A,[1]VFDB2!L:L)</f>
        <v>+1</v>
      </c>
      <c r="E43" s="135">
        <f>_xlfn.XLOOKUP(B3,[1]VFDB2!A:A,[1]VFDB2!W:W)</f>
        <v>0</v>
      </c>
      <c r="F43" s="136"/>
      <c r="G43" s="148"/>
      <c r="H43" s="35" t="s">
        <v>65</v>
      </c>
      <c r="I43" s="32" cm="1">
        <f t="array" ref="I43:J43">IFERROR(IF(ISBLANK(INDEX(_xlfn._xlws.FILTER([1]加工記録２!$O$3:$P$999991, [1]加工記録２!$T$3:$T$999991=B5), 5)), "", INDEX(_xlfn._xlws.FILTER([1]加工記録２!$O$3:$P$999991, [1]加工記録２!$T$3:$T$999991=B5), 5)),"")</f>
        <v>0</v>
      </c>
      <c r="J43" s="39" t="str">
        <v/>
      </c>
      <c r="K43" s="37"/>
    </row>
    <row r="44" spans="1:14" s="5" customFormat="1" ht="18" customHeight="1">
      <c r="A44" s="160"/>
      <c r="B44" s="162"/>
      <c r="C44" s="164"/>
      <c r="D44" s="165"/>
      <c r="E44" s="135"/>
      <c r="F44" s="136"/>
      <c r="G44" s="148"/>
      <c r="H44" s="35" t="s">
        <v>66</v>
      </c>
      <c r="I44" s="32" cm="1">
        <f t="array" ref="I44:J44">IFERROR(IF(ISBLANK(INDEX(_xlfn._xlws.FILTER([1]加工記録２!$O$3:$P$999991, [1]加工記録２!$T$3:$T$999991=B5), 6)), "", INDEX(_xlfn._xlws.FILTER([1]加工記録２!$O$3:$P$999991, [1]加工記録２!$T$3:$T$999991=B5), 6)),"")</f>
        <v>0</v>
      </c>
      <c r="J44" s="40" t="str">
        <v/>
      </c>
      <c r="K44" s="34"/>
    </row>
    <row r="45" spans="1:14" s="7" customFormat="1" ht="18" customHeight="1">
      <c r="A45" s="140" t="s">
        <v>67</v>
      </c>
      <c r="B45" s="142" t="str">
        <f>_xlfn.XLOOKUP(B3,[1]VFDB2!A:A,[1]VFDB2!AC:AC)</f>
        <v>換算表確認</v>
      </c>
      <c r="C45" s="144" t="s">
        <v>68</v>
      </c>
      <c r="D45" s="146">
        <f>_xlfn.XLOOKUP(B3,[1]VFDB2!A:A,[1]VFDB2!K:K)</f>
        <v>-1</v>
      </c>
      <c r="E45" s="135" t="str">
        <f>_xlfn.XLOOKUP(B3,[1]VFDB2!A:A,[1]VFDB2!R:R)</f>
        <v>ラベル２枚　長手有　鉢巻無</v>
      </c>
      <c r="F45" s="136"/>
      <c r="G45" s="148"/>
      <c r="H45" s="35" t="s">
        <v>69</v>
      </c>
      <c r="I45" s="32" t="str" cm="1">
        <f t="array" ref="I45:J45">IFERROR(IF(ISBLANK(INDEX(_xlfn._xlws.FILTER([1]加工記録２!$O$3:$P$999991, [1]加工記録２!$T$3:$T$999991=B5), 7)), "", INDEX(_xlfn._xlws.FILTER([1]加工記録２!$O$3:$P$999991, [1]加工記録２!$T$3:$T$999991=B5), 7)),"")</f>
        <v>M</v>
      </c>
      <c r="J45" s="41" t="str">
        <v/>
      </c>
      <c r="K45" s="37"/>
    </row>
    <row r="46" spans="1:14" s="5" customFormat="1" ht="18" customHeight="1" thickBot="1">
      <c r="A46" s="141"/>
      <c r="B46" s="143"/>
      <c r="C46" s="145"/>
      <c r="D46" s="147"/>
      <c r="E46" s="149"/>
      <c r="F46" s="150"/>
      <c r="G46" s="151"/>
      <c r="H46" s="42" t="s">
        <v>70</v>
      </c>
      <c r="I46" s="43" t="str" cm="1">
        <f t="array" ref="I46:J46">IFERROR(IF(ISBLANK(INDEX(_xlfn._xlws.FILTER([1]加工記録２!$O$3:$P$999991, [1]加工記録２!$T$3:$T$999991=B5), 8)), "", INDEX(_xlfn._xlws.FILTER([1]加工記録２!$O$3:$P$999991, [1]加工記録２!$T$3:$T$999991=B5), 8)),"")</f>
        <v>M</v>
      </c>
      <c r="J46" s="44">
        <v>0</v>
      </c>
    </row>
    <row r="47" spans="1:14" s="55" customFormat="1" ht="18.95" customHeight="1">
      <c r="A47" s="45" t="s">
        <v>71</v>
      </c>
      <c r="B47" s="46" t="s">
        <v>72</v>
      </c>
      <c r="C47" s="47" t="s">
        <v>73</v>
      </c>
      <c r="D47" s="47" t="s">
        <v>74</v>
      </c>
      <c r="E47" s="48" t="s">
        <v>75</v>
      </c>
      <c r="F47" s="49" t="s">
        <v>76</v>
      </c>
      <c r="G47" s="50" t="s">
        <v>77</v>
      </c>
      <c r="H47" s="51" t="s">
        <v>78</v>
      </c>
      <c r="I47" s="52" t="s">
        <v>79</v>
      </c>
      <c r="J47" s="53" t="s">
        <v>80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IFERROR(IF(ISBLANK(INDEX(_xlfn._xlws.FILTER([1]加工記録２!$D$3:$M$999991, [1]加工記録２!$T$3:$T$999991=B5), 1)), "", INDEX(_xlfn._xlws.FILTER([1]加工記録２!$D$3:$M$999991, [1]加工記録２!$T$3:$T$999991=B5), 1)),"")</f>
        <v/>
      </c>
      <c r="B48" s="57" t="str">
        <v/>
      </c>
      <c r="C48" s="58" t="str">
        <v/>
      </c>
      <c r="D48" s="58" t="str">
        <v/>
      </c>
      <c r="E48" s="59" t="str">
        <v/>
      </c>
      <c r="F48" s="60">
        <v>0</v>
      </c>
      <c r="G48" s="61">
        <v>0</v>
      </c>
      <c r="H48" s="62">
        <v>0</v>
      </c>
      <c r="I48" s="63">
        <v>45947</v>
      </c>
      <c r="J48" s="64">
        <v>10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IFERROR(IF(ISBLANK(INDEX(_xlfn._xlws.FILTER([1]加工記録２!$D$3:$M$999991, [1]加工記録２!$T$3:$T$999991=B5), 2)), "", INDEX(_xlfn._xlws.FILTER([1]加工記録２!$D$3:$M$999991, [1]加工記録２!$T$3:$T$999991=B5), 2)),"")</f>
        <v>45947</v>
      </c>
      <c r="B49" s="68" t="str">
        <v>25A16C</v>
      </c>
      <c r="C49" s="68">
        <v>20</v>
      </c>
      <c r="D49" s="68">
        <v>550</v>
      </c>
      <c r="E49" s="69">
        <v>550.25</v>
      </c>
      <c r="F49" s="70" t="str">
        <v>25A16C</v>
      </c>
      <c r="G49" s="71">
        <v>300</v>
      </c>
      <c r="H49" s="72">
        <v>100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IFERROR(IF(ISBLANK(INDEX(_xlfn._xlws.FILTER([1]加工記録２!$D$3:$M$999991, [1]加工記録２!$T$3:$T$999991=B5), 3)), "", INDEX(_xlfn._xlws.FILTER([1]加工記録２!$D$3:$M$999991, [1]加工記録２!$T$3:$T$999991=B5), 3)),"")</f>
        <v>45947</v>
      </c>
      <c r="B50" s="68" t="str">
        <v>25A16B</v>
      </c>
      <c r="C50" s="68">
        <v>26</v>
      </c>
      <c r="D50" s="68">
        <v>550.20000000000005</v>
      </c>
      <c r="E50" s="69">
        <v>550.29999999999995</v>
      </c>
      <c r="F50" s="70" t="str">
        <v>25A16B</v>
      </c>
      <c r="G50" s="71">
        <v>200</v>
      </c>
      <c r="H50" s="72">
        <v>67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cm="1">
        <f t="array" ref="A51:J51">IFERROR(IF(ISBLANK(INDEX(_xlfn._xlws.FILTER([1]加工記録２!$D$3:$M$999991, [1]加工記録２!$T$3:$T$999991=B5), 4)), "", INDEX(_xlfn._xlws.FILTER([1]加工記録２!$D$3:$M$999991, [1]加工記録２!$T$3:$T$999991=B5), 4)),"")</f>
        <v>45947</v>
      </c>
      <c r="B51" s="68" t="str">
        <v>25A16B</v>
      </c>
      <c r="C51" s="68">
        <v>26</v>
      </c>
      <c r="D51" s="68">
        <v>550.20000000000005</v>
      </c>
      <c r="E51" s="69">
        <v>550.21</v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IFERROR(IF(ISBLANK(INDEX(_xlfn._xlws.FILTER([1]加工記録２!$D$3:$M$999991, [1]加工記録２!$T$3:$T$999991=B5), 5)), "", INDEX(_xlfn._xlws.FILTER([1]加工記録２!$D$3:$M$999991, [1]加工記録２!$T$3:$T$999991=B5),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 t="str">
        <v/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A38:D38"/>
    <mergeCell ref="C16:D16"/>
    <mergeCell ref="I16:J16"/>
    <mergeCell ref="I25:J25"/>
    <mergeCell ref="F33:J33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E38:F38"/>
    <mergeCell ref="H38:I3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12:J13"/>
    <mergeCell ref="F5:H6"/>
    <mergeCell ref="G32:H32"/>
    <mergeCell ref="C3:C4"/>
    <mergeCell ref="G25:H25"/>
    <mergeCell ref="E3:E4"/>
    <mergeCell ref="F18:H18"/>
    <mergeCell ref="F22:H22"/>
  </mergeCells>
  <phoneticPr fontId="2"/>
  <conditionalFormatting sqref="D50:D55">
    <cfRule type="cellIs" dxfId="2" priority="3" operator="equal">
      <formula>$D49</formula>
    </cfRule>
  </conditionalFormatting>
  <conditionalFormatting sqref="I39">
    <cfRule type="cellIs" dxfId="1" priority="1" operator="lessThan">
      <formula>45658</formula>
    </cfRule>
  </conditionalFormatting>
  <conditionalFormatting sqref="J46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2025-10-07T01:25:18Z</cp:lastPrinted>
  <dcterms:created xsi:type="dcterms:W3CDTF">2024-07-11T02:08:33Z</dcterms:created>
  <dcterms:modified xsi:type="dcterms:W3CDTF">2025-10-20T07:22:32Z</dcterms:modified>
</cp:coreProperties>
</file>