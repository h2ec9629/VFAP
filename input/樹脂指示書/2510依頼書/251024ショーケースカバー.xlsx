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F9F71515-BE92-4CFB-8D36-BC1F38326B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9" i="1" l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J159" i="1" a="1"/>
  <c r="J159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J102" i="1" a="1"/>
  <c r="J102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G96" i="1" a="1"/>
  <c r="G96" i="1" s="1"/>
  <c r="E96" i="1" a="1"/>
  <c r="E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G39" i="1" a="1"/>
  <c r="G39" i="1" s="1"/>
  <c r="E39" i="1" a="1"/>
  <c r="E39" i="1" s="1"/>
  <c r="A39" i="1"/>
  <c r="J160" i="1" l="1"/>
  <c r="J103" i="1"/>
  <c r="I96" i="1"/>
  <c r="J46" i="1"/>
  <c r="I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<sst xmlns="http://schemas.openxmlformats.org/spreadsheetml/2006/main" count="291" uniqueCount="112">
  <si>
    <t>検査梱包指示書</t>
  </si>
  <si>
    <t>品目番号</t>
  </si>
  <si>
    <t>J1JAZZB10807480</t>
  </si>
  <si>
    <t>Ｌ寸</t>
  </si>
  <si>
    <t>名称</t>
  </si>
  <si>
    <t>8FL2813048310</t>
  </si>
  <si>
    <t>上長</t>
  </si>
  <si>
    <t>係員</t>
  </si>
  <si>
    <t>製造指図№</t>
  </si>
  <si>
    <t>000000000008801</t>
  </si>
  <si>
    <t>原料名</t>
  </si>
  <si>
    <t>(CASE 748MILK-W4)</t>
  </si>
  <si>
    <t>発注明細№</t>
  </si>
  <si>
    <t>000000000802076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</si>
  <si>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</si>
  <si>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</si>
  <si>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</si>
  <si>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</si>
  <si>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</si>
  <si>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</si>
  <si>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</si>
  <si>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</si>
  <si>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</si>
  <si>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</si>
  <si>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</si>
  <si>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*J1JAZZB10807480*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</si>
  <si>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</si>
  <si>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</si>
  <si>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</si>
  <si>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</si>
  <si>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</si>
  <si>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</si>
  <si>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</si>
  <si>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</si>
  <si>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</si>
  <si>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</si>
  <si>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</si>
  <si>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</si>
  <si>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</si>
  <si>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</si>
  <si>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</si>
  <si>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</si>
  <si>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</si>
  <si>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</si>
  <si>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</si>
  <si>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</si>
  <si>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</si>
  <si>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</si>
  <si>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</si>
  <si>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</si>
  <si>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</si>
  <si>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J6DW0089</t>
  </si>
  <si>
    <t>LED-A888</t>
  </si>
  <si>
    <t>*J6DW0089*</t>
  </si>
  <si>
    <t>L888×W275×H166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</si>
  <si>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</si>
  <si>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</si>
  <si>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</si>
  <si>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</si>
  <si>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</si>
  <si>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</si>
  <si>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</si>
  <si>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</si>
  <si>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J1JAZZB10808880</t>
  </si>
  <si>
    <t>8FL2813045010</t>
  </si>
  <si>
    <t>000000000008802</t>
  </si>
  <si>
    <t>(CASE 888MILK-W4)</t>
  </si>
  <si>
    <t>000000000802077</t>
  </si>
  <si>
    <t>*J1JAZZB10808880*</t>
  </si>
  <si>
    <t>J6XX0044</t>
  </si>
  <si>
    <t>*J6XX0044*</t>
  </si>
  <si>
    <t>400＊900</t>
  </si>
  <si>
    <t>J1JAZZB10814780</t>
  </si>
  <si>
    <t>8FL2813046110</t>
  </si>
  <si>
    <t>000000000008803</t>
  </si>
  <si>
    <t>(CASE 1478MILK-W4)</t>
  </si>
  <si>
    <t>000000000802078</t>
  </si>
  <si>
    <t>*J1JAZZB10814780*</t>
  </si>
  <si>
    <t>J6DW0092</t>
  </si>
  <si>
    <t>LED-A1478</t>
  </si>
  <si>
    <t>V3W04</t>
  </si>
  <si>
    <t>*J6DW0092*</t>
  </si>
  <si>
    <t>L1478×W275×H166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</si>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</sst>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mm/dd"/>
    <numFmt numFmtId="195" formatCode="0.00_);[Red]\(0.00\)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49" fontId="20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49" fontId="22" fillId="0" borderId="0" xfId="1" applyNumberFormat="1" applyFont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0" fontId="24" fillId="6" borderId="17" xfId="0" applyFont="1" applyFill="1" applyBorder="1" applyAlignment="1">
      <alignment horizontal="center" vertical="center"/>
    </xf>
    <xf numFmtId="49" fontId="24" fillId="6" borderId="18" xfId="1" applyNumberFormat="1" applyFont="1" applyFill="1" applyBorder="1" applyAlignment="1">
      <alignment vertical="center" shrinkToFit="1"/>
    </xf>
    <xf numFmtId="49" fontId="24" fillId="6" borderId="18" xfId="1" applyNumberFormat="1" applyFont="1" applyFill="1" applyBorder="1" applyAlignment="1">
      <alignment horizontal="center" vertical="center" shrinkToFit="1"/>
    </xf>
    <xf numFmtId="49" fontId="24" fillId="6" borderId="19" xfId="0" applyNumberFormat="1" applyFont="1" applyFill="1" applyBorder="1" applyAlignment="1">
      <alignment horizontal="center" vertical="center" shrinkToFit="1"/>
    </xf>
    <xf numFmtId="0" fontId="24" fillId="2" borderId="17" xfId="0" applyFont="1" applyFill="1" applyBorder="1">
      <alignment vertical="center"/>
    </xf>
    <xf numFmtId="49" fontId="24" fillId="2" borderId="18" xfId="0" applyNumberFormat="1" applyFont="1" applyFill="1" applyBorder="1" applyAlignment="1">
      <alignment horizontal="center" vertical="center" shrinkToFit="1"/>
    </xf>
    <xf numFmtId="49" fontId="24" fillId="2" borderId="19" xfId="0" applyNumberFormat="1" applyFont="1" applyFill="1" applyBorder="1" applyAlignment="1">
      <alignment horizontal="center" vertical="center" shrinkToFit="1"/>
    </xf>
    <xf numFmtId="0" fontId="25" fillId="3" borderId="33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4" fontId="30" fillId="0" borderId="2" xfId="1" applyNumberFormat="1" applyFont="1" applyBorder="1" applyAlignment="1">
      <alignment horizontal="center" vertical="center" shrinkToFit="1"/>
    </xf>
    <xf numFmtId="182" fontId="31" fillId="5" borderId="22" xfId="0" applyNumberFormat="1" applyFont="1" applyFill="1" applyBorder="1" applyAlignment="1">
      <alignment horizontal="left" vertical="center" shrinkToFit="1"/>
    </xf>
    <xf numFmtId="0" fontId="30" fillId="0" borderId="2" xfId="1" applyFont="1" applyBorder="1" applyAlignment="1">
      <alignment horizontal="center" vertical="center" shrinkToFit="1"/>
    </xf>
    <xf numFmtId="183" fontId="31" fillId="5" borderId="22" xfId="0" applyNumberFormat="1" applyFont="1" applyFill="1" applyBorder="1" applyAlignment="1">
      <alignment horizontal="left" vertical="center" shrinkToFit="1"/>
    </xf>
    <xf numFmtId="184" fontId="31" fillId="5" borderId="22" xfId="0" applyNumberFormat="1" applyFont="1" applyFill="1" applyBorder="1" applyAlignment="1">
      <alignment horizontal="left" vertical="center" shrinkToFit="1"/>
    </xf>
    <xf numFmtId="185" fontId="31" fillId="5" borderId="22" xfId="0" applyNumberFormat="1" applyFont="1" applyFill="1" applyBorder="1" applyAlignment="1">
      <alignment horizontal="left" vertical="center" shrinkToFit="1"/>
    </xf>
    <xf numFmtId="187" fontId="31" fillId="5" borderId="22" xfId="0" applyNumberFormat="1" applyFont="1" applyFill="1" applyBorder="1" applyAlignment="1">
      <alignment horizontal="left" vertical="center" shrinkToFit="1"/>
    </xf>
    <xf numFmtId="188" fontId="31" fillId="5" borderId="22" xfId="0" applyNumberFormat="1" applyFont="1" applyFill="1" applyBorder="1" applyAlignment="1">
      <alignment horizontal="left" vertical="center" shrinkToFit="1"/>
    </xf>
    <xf numFmtId="190" fontId="31" fillId="5" borderId="22" xfId="0" applyNumberFormat="1" applyFont="1" applyFill="1" applyBorder="1" applyAlignment="1">
      <alignment horizontal="left" vertical="center" shrinkToFit="1"/>
    </xf>
    <xf numFmtId="191" fontId="31" fillId="5" borderId="32" xfId="0" applyNumberFormat="1" applyFont="1" applyFill="1" applyBorder="1" applyAlignment="1">
      <alignment horizontal="left" vertical="center"/>
    </xf>
    <xf numFmtId="181" fontId="32" fillId="4" borderId="21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189" fontId="32" fillId="4" borderId="36" xfId="0" applyNumberFormat="1" applyFont="1" applyFill="1" applyBorder="1" applyAlignment="1">
      <alignment horizontal="center" vertical="center"/>
    </xf>
    <xf numFmtId="179" fontId="32" fillId="4" borderId="21" xfId="0" applyNumberFormat="1" applyFont="1" applyFill="1" applyBorder="1" applyAlignment="1">
      <alignment horizontal="center" vertical="center"/>
    </xf>
    <xf numFmtId="179" fontId="32" fillId="4" borderId="2" xfId="0" applyNumberFormat="1" applyFont="1" applyFill="1" applyBorder="1" applyAlignment="1">
      <alignment horizontal="center" vertical="center"/>
    </xf>
    <xf numFmtId="179" fontId="32" fillId="4" borderId="22" xfId="0" applyNumberFormat="1" applyFont="1" applyFill="1" applyBorder="1" applyAlignment="1">
      <alignment horizontal="center" vertical="center"/>
    </xf>
    <xf numFmtId="192" fontId="32" fillId="0" borderId="21" xfId="0" applyNumberFormat="1" applyFont="1" applyBorder="1" applyAlignment="1">
      <alignment horizontal="center" vertical="center"/>
    </xf>
    <xf numFmtId="193" fontId="32" fillId="0" borderId="22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95" fontId="32" fillId="0" borderId="2" xfId="0" applyNumberFormat="1" applyFont="1" applyBorder="1" applyAlignment="1">
      <alignment horizontal="center" vertical="center"/>
    </xf>
    <xf numFmtId="195" fontId="32" fillId="0" borderId="22" xfId="0" applyNumberFormat="1" applyFont="1" applyBorder="1" applyAlignment="1">
      <alignment horizontal="center" vertical="center"/>
    </xf>
    <xf numFmtId="179" fontId="32" fillId="0" borderId="21" xfId="0" applyNumberFormat="1" applyFont="1" applyBorder="1" applyAlignment="1">
      <alignment horizontal="center" vertical="center"/>
    </xf>
    <xf numFmtId="179" fontId="32" fillId="0" borderId="2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192" fontId="32" fillId="0" borderId="24" xfId="0" applyNumberFormat="1" applyFont="1" applyBorder="1" applyAlignment="1">
      <alignment horizontal="center" vertical="center"/>
    </xf>
    <xf numFmtId="193" fontId="32" fillId="0" borderId="37" xfId="0" applyNumberFormat="1" applyFont="1" applyBorder="1" applyAlignment="1">
      <alignment horizontal="center" vertical="center"/>
    </xf>
    <xf numFmtId="181" fontId="32" fillId="4" borderId="30" xfId="0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95" fontId="32" fillId="0" borderId="31" xfId="0" applyNumberFormat="1" applyFont="1" applyBorder="1" applyAlignment="1">
      <alignment horizontal="center" vertical="center"/>
    </xf>
    <xf numFmtId="195" fontId="32" fillId="0" borderId="32" xfId="0" applyNumberFormat="1" applyFont="1" applyBorder="1" applyAlignment="1">
      <alignment horizontal="center" vertical="center"/>
    </xf>
    <xf numFmtId="179" fontId="32" fillId="0" borderId="30" xfId="0" applyNumberFormat="1" applyFont="1" applyBorder="1" applyAlignment="1">
      <alignment horizontal="center" vertical="center"/>
    </xf>
    <xf numFmtId="179" fontId="32" fillId="0" borderId="31" xfId="0" applyNumberFormat="1" applyFont="1" applyBorder="1" applyAlignment="1">
      <alignment horizontal="center" vertical="center"/>
    </xf>
    <xf numFmtId="179" fontId="32" fillId="0" borderId="32" xfId="0" applyNumberFormat="1" applyFont="1" applyBorder="1" applyAlignment="1">
      <alignment horizontal="center" vertical="center"/>
    </xf>
    <xf numFmtId="192" fontId="32" fillId="0" borderId="30" xfId="0" applyNumberFormat="1" applyFont="1" applyBorder="1" applyAlignment="1">
      <alignment horizontal="center" vertical="center"/>
    </xf>
    <xf numFmtId="193" fontId="32" fillId="0" borderId="32" xfId="0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4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0" fontId="0" fillId="0" borderId="8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1" fillId="0" borderId="13" xfId="1" applyFont="1" applyBorder="1" applyAlignment="1">
      <alignment horizontal="center" vertical="center" shrinkToFit="1"/>
    </xf>
    <xf numFmtId="0" fontId="21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77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10" fillId="0" borderId="4" xfId="1" applyNumberFormat="1" applyFont="1" applyBorder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23" fillId="2" borderId="25" xfId="0" applyNumberFormat="1" applyFont="1" applyFill="1" applyBorder="1" applyAlignment="1">
      <alignment horizontal="center" vertical="center"/>
    </xf>
    <xf numFmtId="49" fontId="23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23" fillId="2" borderId="25" xfId="1" applyNumberFormat="1" applyFont="1" applyFill="1" applyBorder="1" applyAlignment="1">
      <alignment horizontal="center" vertical="center" shrinkToFit="1"/>
    </xf>
    <xf numFmtId="49" fontId="23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3</xdr:row>
      <xdr:rowOff>95250</xdr:rowOff>
    </xdr:from>
    <xdr:to>
      <xdr:col>8</xdr:col>
      <xdr:colOff>638175</xdr:colOff>
      <xdr:row>5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012A26-4844-F471-1927-B1B72D453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638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60</xdr:row>
      <xdr:rowOff>85725</xdr:rowOff>
    </xdr:from>
    <xdr:to>
      <xdr:col>8</xdr:col>
      <xdr:colOff>657225</xdr:colOff>
      <xdr:row>62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010484C-C447-4853-93D1-B5215DF2C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6225" y="138588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117</xdr:row>
      <xdr:rowOff>95250</xdr:rowOff>
    </xdr:from>
    <xdr:to>
      <xdr:col>8</xdr:col>
      <xdr:colOff>638175</xdr:colOff>
      <xdr:row>119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7DC6B06-4AD3-4615-9CA7-962780863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270986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117</xdr:row>
      <xdr:rowOff>47625</xdr:rowOff>
    </xdr:from>
    <xdr:to>
      <xdr:col>9</xdr:col>
      <xdr:colOff>666750</xdr:colOff>
      <xdr:row>119</xdr:row>
      <xdr:rowOff>190500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13024D4-C7C1-FA68-FF53-3B6481688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8700" y="27051000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60</xdr:row>
      <xdr:rowOff>38100</xdr:rowOff>
    </xdr:from>
    <xdr:to>
      <xdr:col>9</xdr:col>
      <xdr:colOff>685800</xdr:colOff>
      <xdr:row>62</xdr:row>
      <xdr:rowOff>180975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3113230-FE0C-4EBE-9D3F-52C49370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0" y="13811250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</xdr:row>
      <xdr:rowOff>47625</xdr:rowOff>
    </xdr:from>
    <xdr:to>
      <xdr:col>9</xdr:col>
      <xdr:colOff>666750</xdr:colOff>
      <xdr:row>5</xdr:row>
      <xdr:rowOff>190500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C527081-83E7-4BF1-BCDC-B4374385D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8700" y="590550"/>
          <a:ext cx="542925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Sheet1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I3">
            <v>0</v>
          </cell>
          <cell r="K3">
            <v>0</v>
          </cell>
          <cell r="L3">
            <v>45959</v>
          </cell>
          <cell r="M3">
            <v>11</v>
          </cell>
          <cell r="O3">
            <v>45960</v>
          </cell>
          <cell r="P3">
            <v>17</v>
          </cell>
          <cell r="T3" t="str">
            <v>000000000007955</v>
          </cell>
        </row>
        <row r="4"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>
            <v>45960</v>
          </cell>
          <cell r="M4">
            <v>9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O5">
            <v>1011</v>
          </cell>
          <cell r="P5">
            <v>3</v>
          </cell>
          <cell r="T5" t="str">
            <v>000000000007955</v>
          </cell>
        </row>
        <row r="6"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K6">
            <v>0</v>
          </cell>
          <cell r="O6">
            <v>11</v>
          </cell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K7">
            <v>0</v>
          </cell>
          <cell r="O7">
            <v>22</v>
          </cell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K8">
            <v>0</v>
          </cell>
          <cell r="L8" t="str">
            <v>切断</v>
          </cell>
          <cell r="M8" t="str">
            <v>C/M</v>
          </cell>
          <cell r="O8">
            <v>0</v>
          </cell>
          <cell r="T8" t="str">
            <v>000000000007955</v>
          </cell>
        </row>
        <row r="9">
          <cell r="C9">
            <v>20</v>
          </cell>
          <cell r="G9" t="str">
            <v/>
          </cell>
          <cell r="K9">
            <v>0</v>
          </cell>
          <cell r="L9" t="str">
            <v>検査</v>
          </cell>
          <cell r="M9" t="str">
            <v>T/U</v>
          </cell>
          <cell r="T9" t="str">
            <v>000000000007955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I11">
            <v>0</v>
          </cell>
          <cell r="K11">
            <v>0</v>
          </cell>
          <cell r="L11">
            <v>45960</v>
          </cell>
          <cell r="M11">
            <v>4</v>
          </cell>
          <cell r="O11">
            <v>45960</v>
          </cell>
          <cell r="P11">
            <v>2</v>
          </cell>
          <cell r="T11" t="str">
            <v>000000000008361</v>
          </cell>
        </row>
        <row r="12"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O12">
            <v>400</v>
          </cell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K13">
            <v>0</v>
          </cell>
          <cell r="O13">
            <v>201</v>
          </cell>
          <cell r="T13" t="str">
            <v>000000000008361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000000000008361</v>
          </cell>
        </row>
        <row r="15">
          <cell r="C15">
            <v>2</v>
          </cell>
          <cell r="G15" t="str">
            <v/>
          </cell>
          <cell r="K15">
            <v>0</v>
          </cell>
          <cell r="O15">
            <v>2</v>
          </cell>
          <cell r="T15" t="str">
            <v>000000000008361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000000000008361</v>
          </cell>
        </row>
        <row r="17">
          <cell r="C17">
            <v>4</v>
          </cell>
          <cell r="G17" t="str">
            <v/>
          </cell>
          <cell r="K17">
            <v>0</v>
          </cell>
          <cell r="L17" t="str">
            <v>検査</v>
          </cell>
          <cell r="M17" t="str">
            <v>U</v>
          </cell>
          <cell r="T17" t="str">
            <v>000000000008361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I19" t="str">
            <v>25I23-11</v>
          </cell>
          <cell r="J19">
            <v>4</v>
          </cell>
          <cell r="K19">
            <v>2</v>
          </cell>
          <cell r="L19">
            <v>45961</v>
          </cell>
          <cell r="M19">
            <v>2</v>
          </cell>
          <cell r="O19">
            <v>45961</v>
          </cell>
          <cell r="T19" t="str">
            <v>000000000008360</v>
          </cell>
        </row>
        <row r="20"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O20">
            <v>200</v>
          </cell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K21">
            <v>0</v>
          </cell>
          <cell r="O21">
            <v>101</v>
          </cell>
          <cell r="P21">
            <v>1</v>
          </cell>
          <cell r="T21" t="str">
            <v>000000000008360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000000000008360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1</v>
          </cell>
          <cell r="T23" t="str">
            <v>000000000008360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切断</v>
          </cell>
          <cell r="M24" t="str">
            <v>C</v>
          </cell>
          <cell r="O24">
            <v>0</v>
          </cell>
          <cell r="T24" t="str">
            <v>000000000008360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M25" t="str">
            <v>U</v>
          </cell>
          <cell r="T25" t="str">
            <v>000000000008360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25I16-15</v>
          </cell>
          <cell r="I27" t="str">
            <v>25I16-15</v>
          </cell>
          <cell r="J27">
            <v>7</v>
          </cell>
          <cell r="K27">
            <v>2</v>
          </cell>
          <cell r="L27">
            <v>45961</v>
          </cell>
          <cell r="M27">
            <v>2</v>
          </cell>
          <cell r="O27">
            <v>45961</v>
          </cell>
          <cell r="T27" t="str">
            <v>000000000008357</v>
          </cell>
        </row>
        <row r="28"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193</v>
          </cell>
          <cell r="K28">
            <v>65</v>
          </cell>
          <cell r="O28">
            <v>200</v>
          </cell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K29">
            <v>0</v>
          </cell>
          <cell r="O29">
            <v>67</v>
          </cell>
          <cell r="T29" t="str">
            <v>000000000008357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000000000008357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0</v>
          </cell>
          <cell r="T31" t="str">
            <v>000000000008357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C</v>
          </cell>
          <cell r="O32">
            <v>1</v>
          </cell>
          <cell r="T32" t="str">
            <v>000000000008357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U</v>
          </cell>
          <cell r="T33" t="str">
            <v>000000000008357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25I16-15</v>
          </cell>
          <cell r="I35" t="str">
            <v>25I16-15</v>
          </cell>
          <cell r="J35">
            <v>7</v>
          </cell>
          <cell r="K35">
            <v>1</v>
          </cell>
          <cell r="L35">
            <v>45961</v>
          </cell>
          <cell r="M35">
            <v>3</v>
          </cell>
          <cell r="O35">
            <v>45961</v>
          </cell>
          <cell r="P35">
            <v>5</v>
          </cell>
          <cell r="T35" t="str">
            <v>000000000008354</v>
          </cell>
        </row>
        <row r="36"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232</v>
          </cell>
          <cell r="K36">
            <v>39</v>
          </cell>
          <cell r="O36">
            <v>300</v>
          </cell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K37">
            <v>0</v>
          </cell>
          <cell r="O37">
            <v>40</v>
          </cell>
          <cell r="T37" t="str">
            <v>000000000008354</v>
          </cell>
        </row>
        <row r="38">
          <cell r="G38" t="str">
            <v/>
          </cell>
          <cell r="K38">
            <v>0</v>
          </cell>
          <cell r="O38">
            <v>1</v>
          </cell>
          <cell r="T38" t="str">
            <v>000000000008354</v>
          </cell>
        </row>
        <row r="39">
          <cell r="C39">
            <v>6</v>
          </cell>
          <cell r="G39" t="str">
            <v/>
          </cell>
          <cell r="K39">
            <v>0</v>
          </cell>
          <cell r="O39">
            <v>5</v>
          </cell>
          <cell r="T39" t="str">
            <v>000000000008354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C</v>
          </cell>
          <cell r="O40">
            <v>67</v>
          </cell>
          <cell r="T40" t="str">
            <v>000000000008354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U</v>
          </cell>
          <cell r="O41">
            <v>66</v>
          </cell>
          <cell r="T41" t="str">
            <v>000000000008354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I43">
            <v>0</v>
          </cell>
          <cell r="K43" t="e">
            <v>#VALUE!</v>
          </cell>
          <cell r="L43">
            <v>45961</v>
          </cell>
          <cell r="M43">
            <v>1</v>
          </cell>
          <cell r="O43">
            <v>45961</v>
          </cell>
          <cell r="T43" t="str">
            <v>000000000008942</v>
          </cell>
        </row>
        <row r="44">
          <cell r="D44">
            <v>45961</v>
          </cell>
          <cell r="E44" t="str">
            <v>22L27B</v>
          </cell>
          <cell r="G44">
            <v>866.5</v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O44">
            <v>6</v>
          </cell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G45">
            <v>866.5</v>
          </cell>
          <cell r="H45">
            <v>865.71</v>
          </cell>
          <cell r="K45" t="e">
            <v>#VALUE!</v>
          </cell>
          <cell r="O45" t="str">
            <v/>
          </cell>
          <cell r="T45" t="str">
            <v>000000000008942</v>
          </cell>
        </row>
        <row r="46">
          <cell r="G46" t="str">
            <v/>
          </cell>
          <cell r="K46" t="e">
            <v>#VALUE!</v>
          </cell>
          <cell r="O46" t="str">
            <v/>
          </cell>
          <cell r="T46" t="str">
            <v>000000000008942</v>
          </cell>
        </row>
        <row r="47">
          <cell r="C47" t="str">
            <v xml:space="preserve"> 図面確認</v>
          </cell>
          <cell r="G47" t="str">
            <v/>
          </cell>
          <cell r="K47" t="e">
            <v>#VALUE!</v>
          </cell>
          <cell r="O47">
            <v>0</v>
          </cell>
          <cell r="T47" t="str">
            <v>000000000008942</v>
          </cell>
        </row>
        <row r="48">
          <cell r="C48" t="str">
            <v>SB-246</v>
          </cell>
          <cell r="G48" t="str">
            <v/>
          </cell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T48" t="str">
            <v>000000000008942</v>
          </cell>
        </row>
        <row r="49">
          <cell r="C49">
            <v>1</v>
          </cell>
          <cell r="G49" t="str">
            <v/>
          </cell>
          <cell r="K49" t="e">
            <v>#VALUE!</v>
          </cell>
          <cell r="L49" t="str">
            <v>検査</v>
          </cell>
          <cell r="M49" t="str">
            <v>M</v>
          </cell>
          <cell r="T49" t="str">
            <v>000000000008942</v>
          </cell>
        </row>
        <row r="50">
          <cell r="G50" t="str">
            <v/>
          </cell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I51" t="str">
            <v>25I27-01</v>
          </cell>
          <cell r="J51">
            <v>5</v>
          </cell>
          <cell r="K51">
            <v>5</v>
          </cell>
          <cell r="L51">
            <v>45961</v>
          </cell>
          <cell r="M51">
            <v>4</v>
          </cell>
          <cell r="O51">
            <v>45961</v>
          </cell>
          <cell r="P51">
            <v>13</v>
          </cell>
          <cell r="T51" t="str">
            <v>000000000008709</v>
          </cell>
        </row>
        <row r="52">
          <cell r="D52">
            <v>45961</v>
          </cell>
          <cell r="E52" t="str">
            <v>25J26-01</v>
          </cell>
          <cell r="G52" t="str">
            <v/>
          </cell>
          <cell r="I52" t="str">
            <v>25J26-01</v>
          </cell>
          <cell r="J52">
            <v>90</v>
          </cell>
          <cell r="K52">
            <v>90</v>
          </cell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G53" t="str">
            <v/>
          </cell>
          <cell r="K53">
            <v>0</v>
          </cell>
          <cell r="O53">
            <v>95</v>
          </cell>
          <cell r="T53" t="str">
            <v>000000000008709</v>
          </cell>
        </row>
        <row r="54">
          <cell r="G54" t="str">
            <v/>
          </cell>
          <cell r="K54">
            <v>0</v>
          </cell>
          <cell r="O54">
            <v>31</v>
          </cell>
          <cell r="T54" t="str">
            <v>000000000008709</v>
          </cell>
        </row>
        <row r="55">
          <cell r="C55">
            <v>1</v>
          </cell>
          <cell r="G55" t="str">
            <v/>
          </cell>
          <cell r="K55">
            <v>0</v>
          </cell>
          <cell r="O55">
            <v>31</v>
          </cell>
          <cell r="T55" t="str">
            <v>000000000008709</v>
          </cell>
        </row>
        <row r="56">
          <cell r="C56" t="str">
            <v>灯具-2　L＝1996</v>
          </cell>
          <cell r="G56" t="str">
            <v/>
          </cell>
          <cell r="K56">
            <v>0</v>
          </cell>
          <cell r="L56" t="str">
            <v>切断</v>
          </cell>
          <cell r="M56" t="str">
            <v>-</v>
          </cell>
          <cell r="O56">
            <v>0</v>
          </cell>
          <cell r="T56" t="str">
            <v>000000000008709</v>
          </cell>
        </row>
        <row r="57">
          <cell r="C57">
            <v>4</v>
          </cell>
          <cell r="G57" t="str">
            <v/>
          </cell>
          <cell r="K57">
            <v>0</v>
          </cell>
          <cell r="L57" t="str">
            <v>検査</v>
          </cell>
          <cell r="M57" t="str">
            <v>C</v>
          </cell>
          <cell r="T57" t="str">
            <v>000000000008709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I59">
            <v>0</v>
          </cell>
          <cell r="K59">
            <v>0</v>
          </cell>
          <cell r="L59">
            <v>45965</v>
          </cell>
          <cell r="M59">
            <v>5</v>
          </cell>
          <cell r="O59">
            <v>45965</v>
          </cell>
          <cell r="P59">
            <v>5</v>
          </cell>
          <cell r="T59" t="str">
            <v>000000000007926-2</v>
          </cell>
        </row>
        <row r="60">
          <cell r="D60">
            <v>45965</v>
          </cell>
          <cell r="E60" t="str">
            <v>25J02-02</v>
          </cell>
          <cell r="G60" t="str">
            <v/>
          </cell>
          <cell r="I60" t="str">
            <v>25J02-02</v>
          </cell>
          <cell r="J60">
            <v>121</v>
          </cell>
          <cell r="K60">
            <v>121</v>
          </cell>
          <cell r="O60">
            <v>80</v>
          </cell>
          <cell r="P60">
            <v>36</v>
          </cell>
          <cell r="T60" t="str">
            <v>000000000007926-2</v>
          </cell>
        </row>
        <row r="61">
          <cell r="C61">
            <v>80</v>
          </cell>
          <cell r="G61" t="str">
            <v/>
          </cell>
          <cell r="I61" t="str">
            <v>次回納品11/14</v>
          </cell>
          <cell r="K61">
            <v>0</v>
          </cell>
          <cell r="O61">
            <v>121</v>
          </cell>
          <cell r="T61" t="str">
            <v>000000000007926-2</v>
          </cell>
        </row>
        <row r="62">
          <cell r="G62" t="str">
            <v/>
          </cell>
          <cell r="K62">
            <v>0</v>
          </cell>
          <cell r="O62">
            <v>41</v>
          </cell>
          <cell r="T62" t="str">
            <v>000000000007926-2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41</v>
          </cell>
          <cell r="T63" t="str">
            <v>000000000007926-2</v>
          </cell>
        </row>
        <row r="64">
          <cell r="C64" t="str">
            <v>灯具-2　L＝1996</v>
          </cell>
          <cell r="G64" t="str">
            <v/>
          </cell>
          <cell r="K64">
            <v>0</v>
          </cell>
          <cell r="L64" t="str">
            <v>切断</v>
          </cell>
          <cell r="M64" t="str">
            <v>-</v>
          </cell>
          <cell r="O64">
            <v>0</v>
          </cell>
          <cell r="T64" t="str">
            <v>000000000007926-2</v>
          </cell>
        </row>
        <row r="65">
          <cell r="C65">
            <v>5</v>
          </cell>
          <cell r="G65" t="str">
            <v/>
          </cell>
          <cell r="K65">
            <v>0</v>
          </cell>
          <cell r="L65" t="str">
            <v>検査</v>
          </cell>
          <cell r="M65" t="str">
            <v>T</v>
          </cell>
          <cell r="T65" t="str">
            <v>000000000007926-2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>
            <v>0</v>
          </cell>
          <cell r="P66">
            <v>41</v>
          </cell>
          <cell r="T66" t="str">
            <v>000000000007926-2</v>
          </cell>
        </row>
        <row r="67">
          <cell r="C67" t="str">
            <v>灯具カバーPC IN 2110　L=1815</v>
          </cell>
          <cell r="D67">
            <v>45957</v>
          </cell>
          <cell r="E67" t="str">
            <v>25J23-01</v>
          </cell>
          <cell r="I67" t="str">
            <v>25J23-01</v>
          </cell>
          <cell r="J67">
            <v>13</v>
          </cell>
          <cell r="K67">
            <v>13</v>
          </cell>
          <cell r="L67">
            <v>45965</v>
          </cell>
          <cell r="M67">
            <v>10</v>
          </cell>
          <cell r="O67">
            <v>45965</v>
          </cell>
          <cell r="P67">
            <v>19</v>
          </cell>
          <cell r="T67" t="str">
            <v>000000000008710</v>
          </cell>
        </row>
        <row r="68">
          <cell r="D68">
            <v>45965</v>
          </cell>
          <cell r="E68" t="str">
            <v>25J23-02</v>
          </cell>
          <cell r="G68" t="str">
            <v/>
          </cell>
          <cell r="I68" t="str">
            <v>25J23-02</v>
          </cell>
          <cell r="J68">
            <v>196</v>
          </cell>
          <cell r="K68">
            <v>196</v>
          </cell>
          <cell r="O68">
            <v>160</v>
          </cell>
          <cell r="P68">
            <v>29</v>
          </cell>
          <cell r="T68" t="str">
            <v>000000000008710</v>
          </cell>
        </row>
        <row r="69">
          <cell r="C69">
            <v>160</v>
          </cell>
          <cell r="G69" t="str">
            <v/>
          </cell>
          <cell r="I69" t="str">
            <v>次回納品11/25</v>
          </cell>
          <cell r="K69">
            <v>0</v>
          </cell>
          <cell r="O69">
            <v>209</v>
          </cell>
          <cell r="P69">
            <v>1</v>
          </cell>
          <cell r="T69" t="str">
            <v>000000000008710</v>
          </cell>
        </row>
        <row r="70">
          <cell r="G70" t="str">
            <v/>
          </cell>
          <cell r="K70">
            <v>0</v>
          </cell>
          <cell r="O70">
            <v>49</v>
          </cell>
          <cell r="T70" t="str">
            <v>000000000008710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49</v>
          </cell>
          <cell r="T71" t="str">
            <v>000000000008710</v>
          </cell>
        </row>
        <row r="72">
          <cell r="C72" t="str">
            <v>灯具-2　L＝1996</v>
          </cell>
          <cell r="G72" t="str">
            <v/>
          </cell>
          <cell r="K72">
            <v>0</v>
          </cell>
          <cell r="L72" t="str">
            <v>切断</v>
          </cell>
          <cell r="M72" t="str">
            <v>-</v>
          </cell>
          <cell r="O72">
            <v>0</v>
          </cell>
          <cell r="T72" t="str">
            <v>000000000008710</v>
          </cell>
        </row>
        <row r="73">
          <cell r="C73">
            <v>10</v>
          </cell>
          <cell r="G73" t="str">
            <v/>
          </cell>
          <cell r="K73">
            <v>0</v>
          </cell>
          <cell r="L73" t="str">
            <v>検査</v>
          </cell>
          <cell r="M73" t="str">
            <v>T/C</v>
          </cell>
          <cell r="T73" t="str">
            <v>000000000008710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>
            <v>0</v>
          </cell>
          <cell r="P74">
            <v>49</v>
          </cell>
          <cell r="T74" t="str">
            <v>000000000008710</v>
          </cell>
        </row>
        <row r="75">
          <cell r="C75" t="str">
            <v>灯具カバーPC IN 2480　L=954</v>
          </cell>
          <cell r="D75">
            <v>45918</v>
          </cell>
          <cell r="E75" t="str">
            <v>25I07-09</v>
          </cell>
          <cell r="I75" t="str">
            <v>25I07-09</v>
          </cell>
          <cell r="J75">
            <v>14</v>
          </cell>
          <cell r="K75">
            <v>14</v>
          </cell>
          <cell r="L75">
            <v>45966</v>
          </cell>
          <cell r="M75">
            <v>6</v>
          </cell>
          <cell r="O75">
            <v>45966</v>
          </cell>
          <cell r="P75">
            <v>6</v>
          </cell>
          <cell r="T75" t="str">
            <v>000000000008705</v>
          </cell>
        </row>
        <row r="76">
          <cell r="D76">
            <v>45966</v>
          </cell>
          <cell r="E76" t="str">
            <v>25J24-01</v>
          </cell>
          <cell r="G76" t="str">
            <v/>
          </cell>
          <cell r="I76" t="str">
            <v>25J24-01</v>
          </cell>
          <cell r="J76">
            <v>95</v>
          </cell>
          <cell r="K76">
            <v>95</v>
          </cell>
          <cell r="O76">
            <v>96</v>
          </cell>
          <cell r="P76">
            <v>7</v>
          </cell>
          <cell r="T76" t="str">
            <v>000000000008705</v>
          </cell>
        </row>
        <row r="77">
          <cell r="C77">
            <v>96</v>
          </cell>
          <cell r="G77" t="str">
            <v/>
          </cell>
          <cell r="K77">
            <v>0</v>
          </cell>
          <cell r="O77">
            <v>109</v>
          </cell>
          <cell r="T77" t="str">
            <v>000000000008705</v>
          </cell>
        </row>
        <row r="78">
          <cell r="G78" t="str">
            <v/>
          </cell>
          <cell r="K78">
            <v>0</v>
          </cell>
          <cell r="O78">
            <v>13</v>
          </cell>
          <cell r="T78" t="str">
            <v>000000000008705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13</v>
          </cell>
          <cell r="T79" t="str">
            <v>000000000008705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切断</v>
          </cell>
          <cell r="M80" t="str">
            <v>-</v>
          </cell>
          <cell r="O80">
            <v>0</v>
          </cell>
          <cell r="T80" t="str">
            <v>000000000008705</v>
          </cell>
        </row>
        <row r="81">
          <cell r="C81">
            <v>6</v>
          </cell>
          <cell r="G81" t="str">
            <v/>
          </cell>
          <cell r="K81">
            <v>0</v>
          </cell>
          <cell r="L81" t="str">
            <v>検査</v>
          </cell>
          <cell r="M81" t="str">
            <v>T</v>
          </cell>
          <cell r="T81" t="str">
            <v>000000000008705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>
            <v>0</v>
          </cell>
          <cell r="P82">
            <v>13</v>
          </cell>
          <cell r="T82" t="str">
            <v>000000000008705</v>
          </cell>
        </row>
        <row r="83">
          <cell r="C83" t="str">
            <v>8FL281304 5010　L=888</v>
          </cell>
          <cell r="D83">
            <v>45960</v>
          </cell>
          <cell r="E83" t="str">
            <v>25J18-04</v>
          </cell>
          <cell r="I83" t="str">
            <v>25J18-04</v>
          </cell>
          <cell r="J83">
            <v>134</v>
          </cell>
          <cell r="K83">
            <v>67</v>
          </cell>
          <cell r="L83">
            <v>45961</v>
          </cell>
          <cell r="M83">
            <v>1</v>
          </cell>
          <cell r="O83">
            <v>45966</v>
          </cell>
          <cell r="P83">
            <v>5</v>
          </cell>
          <cell r="T83" t="str">
            <v>000000000008362</v>
          </cell>
        </row>
        <row r="84">
          <cell r="D84">
            <v>45965</v>
          </cell>
          <cell r="E84" t="str">
            <v>25J19-05</v>
          </cell>
          <cell r="F84">
            <v>20</v>
          </cell>
          <cell r="G84">
            <v>888</v>
          </cell>
          <cell r="H84">
            <v>888.13</v>
          </cell>
          <cell r="I84" t="str">
            <v>25J19-05</v>
          </cell>
          <cell r="J84">
            <v>671</v>
          </cell>
          <cell r="K84">
            <v>336</v>
          </cell>
          <cell r="L84">
            <v>45966</v>
          </cell>
          <cell r="M84">
            <v>7</v>
          </cell>
          <cell r="O84">
            <v>800</v>
          </cell>
          <cell r="T84" t="str">
            <v>000000000008362</v>
          </cell>
        </row>
        <row r="85">
          <cell r="C85">
            <v>800</v>
          </cell>
          <cell r="D85">
            <v>45965</v>
          </cell>
          <cell r="E85" t="str">
            <v>25J19-05</v>
          </cell>
          <cell r="F85">
            <v>20</v>
          </cell>
          <cell r="G85">
            <v>888</v>
          </cell>
          <cell r="H85">
            <v>888.07</v>
          </cell>
          <cell r="K85">
            <v>0</v>
          </cell>
          <cell r="O85">
            <v>403</v>
          </cell>
          <cell r="T85" t="str">
            <v>000000000008362</v>
          </cell>
        </row>
        <row r="86">
          <cell r="D86">
            <v>45966</v>
          </cell>
          <cell r="E86" t="str">
            <v>25J19-05</v>
          </cell>
          <cell r="F86">
            <v>20</v>
          </cell>
          <cell r="G86">
            <v>888</v>
          </cell>
          <cell r="H86">
            <v>888.16</v>
          </cell>
          <cell r="K86">
            <v>0</v>
          </cell>
          <cell r="O86">
            <v>3</v>
          </cell>
          <cell r="T86" t="str">
            <v>000000000008362</v>
          </cell>
        </row>
        <row r="87">
          <cell r="C87">
            <v>2</v>
          </cell>
          <cell r="D87">
            <v>45966</v>
          </cell>
          <cell r="E87" t="str">
            <v>25J19-05</v>
          </cell>
          <cell r="F87">
            <v>22</v>
          </cell>
          <cell r="G87">
            <v>888.12</v>
          </cell>
          <cell r="H87">
            <v>888.19</v>
          </cell>
          <cell r="K87">
            <v>0</v>
          </cell>
          <cell r="O87">
            <v>5</v>
          </cell>
          <cell r="T87" t="str">
            <v>000000000008362</v>
          </cell>
        </row>
        <row r="88">
          <cell r="C88" t="str">
            <v>LED-A888</v>
          </cell>
          <cell r="G88" t="str">
            <v/>
          </cell>
          <cell r="K88">
            <v>0</v>
          </cell>
          <cell r="L88" t="str">
            <v>切断</v>
          </cell>
          <cell r="M88" t="str">
            <v>M/C</v>
          </cell>
          <cell r="O88">
            <v>0</v>
          </cell>
          <cell r="T88" t="str">
            <v>000000000008362</v>
          </cell>
        </row>
        <row r="89">
          <cell r="C89">
            <v>8</v>
          </cell>
          <cell r="G89" t="str">
            <v/>
          </cell>
          <cell r="K89">
            <v>0</v>
          </cell>
          <cell r="L89" t="str">
            <v>検査</v>
          </cell>
          <cell r="M89" t="str">
            <v>T/U</v>
          </cell>
          <cell r="T89" t="str">
            <v>000000000008362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>
            <v>0</v>
          </cell>
          <cell r="P90">
            <v>5</v>
          </cell>
          <cell r="T90" t="str">
            <v>000000000008362</v>
          </cell>
        </row>
        <row r="91">
          <cell r="C91" t="str">
            <v>8FL281304 6110　L=1478</v>
          </cell>
          <cell r="D91">
            <v>45952</v>
          </cell>
          <cell r="E91" t="str">
            <v>25J16-01</v>
          </cell>
          <cell r="I91" t="str">
            <v>25J16-01</v>
          </cell>
          <cell r="J91">
            <v>9</v>
          </cell>
          <cell r="K91">
            <v>9</v>
          </cell>
          <cell r="L91">
            <v>45966</v>
          </cell>
          <cell r="M91">
            <v>1</v>
          </cell>
          <cell r="O91">
            <v>45967</v>
          </cell>
          <cell r="P91">
            <v>1</v>
          </cell>
          <cell r="T91" t="str">
            <v>000000000008364</v>
          </cell>
        </row>
        <row r="92">
          <cell r="D92">
            <v>45965</v>
          </cell>
          <cell r="E92" t="str">
            <v>25J19-05</v>
          </cell>
          <cell r="F92">
            <v>22</v>
          </cell>
          <cell r="G92">
            <v>1478.19</v>
          </cell>
          <cell r="H92">
            <v>1478.28</v>
          </cell>
          <cell r="I92" t="str">
            <v>25J19-05</v>
          </cell>
          <cell r="J92">
            <v>392</v>
          </cell>
          <cell r="K92">
            <v>392</v>
          </cell>
          <cell r="L92">
            <v>45967</v>
          </cell>
          <cell r="M92">
            <v>3</v>
          </cell>
          <cell r="O92">
            <v>400</v>
          </cell>
          <cell r="T92" t="str">
            <v>000000000008364</v>
          </cell>
        </row>
        <row r="93">
          <cell r="C93">
            <v>400</v>
          </cell>
          <cell r="D93">
            <v>45965</v>
          </cell>
          <cell r="E93" t="str">
            <v>25J19-05</v>
          </cell>
          <cell r="F93">
            <v>22</v>
          </cell>
          <cell r="G93">
            <v>1478.19</v>
          </cell>
          <cell r="H93">
            <v>1478.22</v>
          </cell>
          <cell r="K93">
            <v>0</v>
          </cell>
          <cell r="O93">
            <v>401</v>
          </cell>
          <cell r="T93" t="str">
            <v>000000000008364</v>
          </cell>
        </row>
        <row r="94">
          <cell r="G94" t="str">
            <v/>
          </cell>
          <cell r="K94">
            <v>0</v>
          </cell>
          <cell r="O94">
            <v>1</v>
          </cell>
          <cell r="T94" t="str">
            <v>000000000008364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1</v>
          </cell>
          <cell r="T95" t="str">
            <v>000000000008364</v>
          </cell>
        </row>
        <row r="96">
          <cell r="C96" t="str">
            <v>LED-A1478</v>
          </cell>
          <cell r="G96" t="str">
            <v/>
          </cell>
          <cell r="K96">
            <v>0</v>
          </cell>
          <cell r="L96" t="str">
            <v>切断</v>
          </cell>
          <cell r="M96" t="str">
            <v>M/C</v>
          </cell>
          <cell r="O96">
            <v>0</v>
          </cell>
          <cell r="T96" t="str">
            <v>000000000008364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検査</v>
          </cell>
          <cell r="M97" t="str">
            <v>T/U</v>
          </cell>
          <cell r="T97" t="str">
            <v>000000000008364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>
            <v>0</v>
          </cell>
          <cell r="P98">
            <v>1</v>
          </cell>
          <cell r="T98" t="str">
            <v>000000000008364</v>
          </cell>
        </row>
        <row r="99">
          <cell r="C99" t="str">
            <v>8FL281304 8310　L=748</v>
          </cell>
          <cell r="D99">
            <v>45961</v>
          </cell>
          <cell r="E99" t="str">
            <v>25I26-01</v>
          </cell>
          <cell r="I99" t="str">
            <v>25I26-01</v>
          </cell>
          <cell r="J99">
            <v>5</v>
          </cell>
          <cell r="K99">
            <v>2</v>
          </cell>
          <cell r="L99">
            <v>45967</v>
          </cell>
          <cell r="M99">
            <v>2</v>
          </cell>
          <cell r="O99">
            <v>45967</v>
          </cell>
          <cell r="P99">
            <v>1</v>
          </cell>
          <cell r="T99" t="str">
            <v>000000000008941</v>
          </cell>
        </row>
        <row r="100">
          <cell r="D100">
            <v>45966</v>
          </cell>
          <cell r="E100" t="str">
            <v>25J19-05</v>
          </cell>
          <cell r="F100">
            <v>22</v>
          </cell>
          <cell r="G100">
            <v>748.1</v>
          </cell>
          <cell r="H100">
            <v>748.12</v>
          </cell>
          <cell r="I100" t="str">
            <v>25J19-05</v>
          </cell>
          <cell r="J100">
            <v>128</v>
          </cell>
          <cell r="K100">
            <v>64</v>
          </cell>
          <cell r="O100">
            <v>200</v>
          </cell>
          <cell r="T100" t="str">
            <v>000000000008941</v>
          </cell>
        </row>
        <row r="101">
          <cell r="C101">
            <v>200</v>
          </cell>
          <cell r="D101">
            <v>45966</v>
          </cell>
          <cell r="E101" t="str">
            <v>25J20-06</v>
          </cell>
          <cell r="F101">
            <v>22</v>
          </cell>
          <cell r="G101">
            <v>748.1</v>
          </cell>
          <cell r="H101">
            <v>748.09</v>
          </cell>
          <cell r="I101" t="str">
            <v>25J20-06</v>
          </cell>
          <cell r="J101">
            <v>68</v>
          </cell>
          <cell r="K101">
            <v>34</v>
          </cell>
          <cell r="O101">
            <v>101</v>
          </cell>
          <cell r="T101" t="str">
            <v>000000000008941</v>
          </cell>
        </row>
        <row r="102">
          <cell r="G102" t="str">
            <v/>
          </cell>
          <cell r="K102">
            <v>0</v>
          </cell>
          <cell r="O102">
            <v>1</v>
          </cell>
          <cell r="T102" t="str">
            <v>000000000008941</v>
          </cell>
        </row>
        <row r="103">
          <cell r="C103">
            <v>2</v>
          </cell>
          <cell r="G103" t="str">
            <v/>
          </cell>
          <cell r="K103">
            <v>0</v>
          </cell>
          <cell r="O103">
            <v>1</v>
          </cell>
          <cell r="T103" t="str">
            <v>000000000008941</v>
          </cell>
        </row>
        <row r="104">
          <cell r="C104" t="str">
            <v>LED-A888</v>
          </cell>
          <cell r="G104" t="str">
            <v/>
          </cell>
          <cell r="K104">
            <v>0</v>
          </cell>
          <cell r="L104" t="str">
            <v>切断</v>
          </cell>
          <cell r="M104" t="str">
            <v>M</v>
          </cell>
          <cell r="O104">
            <v>1</v>
          </cell>
          <cell r="T104" t="str">
            <v>000000000008941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検査</v>
          </cell>
          <cell r="M105" t="str">
            <v>T</v>
          </cell>
          <cell r="T105" t="str">
            <v>000000000008941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1</v>
          </cell>
          <cell r="O106">
            <v>1</v>
          </cell>
          <cell r="P106">
            <v>1</v>
          </cell>
          <cell r="T106" t="str">
            <v>000000000008941</v>
          </cell>
        </row>
        <row r="107">
          <cell r="C107" t="str">
            <v>8FL281304 4910　L=592</v>
          </cell>
          <cell r="D107">
            <v>45961</v>
          </cell>
          <cell r="E107" t="str">
            <v>25J18-04</v>
          </cell>
          <cell r="I107" t="str">
            <v>25J18-04</v>
          </cell>
          <cell r="J107">
            <v>11</v>
          </cell>
          <cell r="K107">
            <v>3</v>
          </cell>
          <cell r="L107">
            <v>45967</v>
          </cell>
          <cell r="M107">
            <v>2</v>
          </cell>
          <cell r="O107">
            <v>45967</v>
          </cell>
          <cell r="T107" t="str">
            <v>000000000008358</v>
          </cell>
        </row>
        <row r="108">
          <cell r="D108">
            <v>45966</v>
          </cell>
          <cell r="E108" t="str">
            <v>25J20-06</v>
          </cell>
          <cell r="F108">
            <v>22</v>
          </cell>
          <cell r="G108">
            <v>592.08000000000004</v>
          </cell>
          <cell r="H108">
            <v>591.67999999999995</v>
          </cell>
          <cell r="I108" t="str">
            <v>25J20-06</v>
          </cell>
          <cell r="J108">
            <v>191</v>
          </cell>
          <cell r="K108">
            <v>64</v>
          </cell>
          <cell r="O108">
            <v>200</v>
          </cell>
          <cell r="T108" t="str">
            <v>000000000008358</v>
          </cell>
        </row>
        <row r="109">
          <cell r="C109">
            <v>200</v>
          </cell>
          <cell r="D109">
            <v>45966</v>
          </cell>
          <cell r="E109" t="str">
            <v>25J20-06</v>
          </cell>
          <cell r="F109">
            <v>22</v>
          </cell>
          <cell r="G109">
            <v>592.08000000000004</v>
          </cell>
          <cell r="H109">
            <v>591.58000000000004</v>
          </cell>
          <cell r="K109">
            <v>0</v>
          </cell>
          <cell r="O109">
            <v>67</v>
          </cell>
          <cell r="T109" t="str">
            <v>000000000008358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000000000008358</v>
          </cell>
        </row>
        <row r="111">
          <cell r="C111">
            <v>3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000000000008358</v>
          </cell>
        </row>
        <row r="112">
          <cell r="C112" t="str">
            <v>LED-A592</v>
          </cell>
          <cell r="G112" t="str">
            <v/>
          </cell>
          <cell r="K112">
            <v>0</v>
          </cell>
          <cell r="L112" t="str">
            <v>切断</v>
          </cell>
          <cell r="M112" t="str">
            <v>M</v>
          </cell>
          <cell r="O112">
            <v>2</v>
          </cell>
          <cell r="T112" t="str">
            <v>000000000008358</v>
          </cell>
        </row>
        <row r="113">
          <cell r="C113">
            <v>2</v>
          </cell>
          <cell r="G113" t="str">
            <v/>
          </cell>
          <cell r="K113">
            <v>0</v>
          </cell>
          <cell r="L113" t="str">
            <v>検査</v>
          </cell>
          <cell r="M113" t="str">
            <v>T</v>
          </cell>
          <cell r="T113" t="str">
            <v>000000000008358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2</v>
          </cell>
          <cell r="O114">
            <v>2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I115">
            <v>0</v>
          </cell>
          <cell r="K115">
            <v>0</v>
          </cell>
          <cell r="L115">
            <v>45967</v>
          </cell>
          <cell r="M115">
            <v>2</v>
          </cell>
          <cell r="O115">
            <v>45967</v>
          </cell>
          <cell r="P115">
            <v>1</v>
          </cell>
          <cell r="T115" t="str">
            <v>000000000008359</v>
          </cell>
        </row>
        <row r="116">
          <cell r="D116">
            <v>45966</v>
          </cell>
          <cell r="E116" t="str">
            <v>25J20-06</v>
          </cell>
          <cell r="F116">
            <v>20</v>
          </cell>
          <cell r="G116">
            <v>592</v>
          </cell>
          <cell r="H116">
            <v>591.66</v>
          </cell>
          <cell r="I116" t="str">
            <v>25J20-06</v>
          </cell>
          <cell r="J116">
            <v>201</v>
          </cell>
          <cell r="K116">
            <v>67</v>
          </cell>
          <cell r="O116">
            <v>200</v>
          </cell>
          <cell r="T116" t="str">
            <v>000000000008359</v>
          </cell>
        </row>
        <row r="117">
          <cell r="C117">
            <v>200</v>
          </cell>
          <cell r="D117">
            <v>45966</v>
          </cell>
          <cell r="E117" t="str">
            <v>25J20-06</v>
          </cell>
          <cell r="F117">
            <v>20</v>
          </cell>
          <cell r="G117">
            <v>592</v>
          </cell>
          <cell r="H117">
            <v>591.71</v>
          </cell>
          <cell r="K117">
            <v>0</v>
          </cell>
          <cell r="O117">
            <v>67</v>
          </cell>
          <cell r="T117" t="str">
            <v>000000000008359</v>
          </cell>
        </row>
        <row r="118">
          <cell r="G118" t="str">
            <v/>
          </cell>
          <cell r="K118">
            <v>0</v>
          </cell>
          <cell r="O118">
            <v>1</v>
          </cell>
          <cell r="T118" t="str">
            <v>000000000008359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1</v>
          </cell>
          <cell r="T119" t="str">
            <v>000000000008359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切断</v>
          </cell>
          <cell r="M120" t="str">
            <v>M</v>
          </cell>
          <cell r="O120">
            <v>0</v>
          </cell>
          <cell r="T120" t="str">
            <v>000000000008359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検査</v>
          </cell>
          <cell r="M121" t="str">
            <v>T</v>
          </cell>
          <cell r="T121" t="str">
            <v>000000000008359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>
            <v>0</v>
          </cell>
          <cell r="P122">
            <v>1</v>
          </cell>
          <cell r="T122" t="str">
            <v>000000000008359</v>
          </cell>
        </row>
        <row r="123">
          <cell r="C123" t="str">
            <v>8FL281304 4810　L=297</v>
          </cell>
          <cell r="D123">
            <v>45961</v>
          </cell>
          <cell r="E123" t="str">
            <v>25J18-04</v>
          </cell>
          <cell r="I123" t="str">
            <v>25J18-04</v>
          </cell>
          <cell r="J123">
            <v>5</v>
          </cell>
          <cell r="K123">
            <v>0</v>
          </cell>
          <cell r="L123">
            <v>45967</v>
          </cell>
          <cell r="M123">
            <v>2</v>
          </cell>
          <cell r="O123">
            <v>45967</v>
          </cell>
          <cell r="T123" t="str">
            <v>000000000008355</v>
          </cell>
        </row>
        <row r="124">
          <cell r="D124">
            <v>45967</v>
          </cell>
          <cell r="E124" t="str">
            <v>25J20-06</v>
          </cell>
          <cell r="F124">
            <v>22</v>
          </cell>
          <cell r="G124">
            <v>297.04000000000002</v>
          </cell>
          <cell r="H124">
            <v>297.04000000000002</v>
          </cell>
          <cell r="I124" t="str">
            <v>25J20-06</v>
          </cell>
          <cell r="J124">
            <v>171</v>
          </cell>
          <cell r="K124">
            <v>29</v>
          </cell>
          <cell r="O124">
            <v>200</v>
          </cell>
          <cell r="T124" t="str">
            <v>000000000008355</v>
          </cell>
        </row>
        <row r="125">
          <cell r="C125">
            <v>200</v>
          </cell>
          <cell r="D125">
            <v>45967</v>
          </cell>
          <cell r="E125" t="str">
            <v>25J20-06</v>
          </cell>
          <cell r="F125">
            <v>22</v>
          </cell>
          <cell r="G125">
            <v>297.04000000000002</v>
          </cell>
          <cell r="H125">
            <v>297.19</v>
          </cell>
          <cell r="K125">
            <v>0</v>
          </cell>
          <cell r="O125">
            <v>31</v>
          </cell>
          <cell r="T125" t="str">
            <v>000000000008355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000000000008355</v>
          </cell>
        </row>
        <row r="127">
          <cell r="C127">
            <v>6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000000000008355</v>
          </cell>
        </row>
        <row r="128">
          <cell r="C128" t="str">
            <v>LED-A300</v>
          </cell>
          <cell r="G128" t="str">
            <v/>
          </cell>
          <cell r="K128">
            <v>0</v>
          </cell>
          <cell r="L128" t="str">
            <v>切断</v>
          </cell>
          <cell r="M128" t="str">
            <v>C</v>
          </cell>
          <cell r="O128">
            <v>24</v>
          </cell>
          <cell r="T128" t="str">
            <v>000000000008355</v>
          </cell>
        </row>
        <row r="129">
          <cell r="C129">
            <v>2</v>
          </cell>
          <cell r="G129" t="str">
            <v/>
          </cell>
          <cell r="K129">
            <v>0</v>
          </cell>
          <cell r="L129" t="str">
            <v>検査</v>
          </cell>
          <cell r="M129" t="str">
            <v>U</v>
          </cell>
          <cell r="O129">
            <v>19</v>
          </cell>
          <cell r="T129" t="str">
            <v>000000000008355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5</v>
          </cell>
          <cell r="O130">
            <v>5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I131">
            <v>0</v>
          </cell>
          <cell r="K131">
            <v>0</v>
          </cell>
          <cell r="L131">
            <v>45967</v>
          </cell>
          <cell r="M131">
            <v>3</v>
          </cell>
          <cell r="O131">
            <v>45967</v>
          </cell>
          <cell r="T131" t="str">
            <v>000000000008356</v>
          </cell>
        </row>
        <row r="132">
          <cell r="D132">
            <v>45967</v>
          </cell>
          <cell r="E132" t="str">
            <v>25J20-06</v>
          </cell>
          <cell r="F132">
            <v>22</v>
          </cell>
          <cell r="G132">
            <v>297.04000000000002</v>
          </cell>
          <cell r="H132">
            <v>297.01</v>
          </cell>
          <cell r="I132" t="str">
            <v>25J20-06</v>
          </cell>
          <cell r="J132">
            <v>300</v>
          </cell>
          <cell r="K132">
            <v>50</v>
          </cell>
          <cell r="O132">
            <v>300</v>
          </cell>
          <cell r="T132" t="str">
            <v>000000000008356</v>
          </cell>
        </row>
        <row r="133">
          <cell r="C133">
            <v>300</v>
          </cell>
          <cell r="D133">
            <v>45967</v>
          </cell>
          <cell r="E133" t="str">
            <v>25J20-06</v>
          </cell>
          <cell r="F133">
            <v>22</v>
          </cell>
          <cell r="G133">
            <v>297.04000000000002</v>
          </cell>
          <cell r="H133">
            <v>297.08</v>
          </cell>
          <cell r="K133">
            <v>0</v>
          </cell>
          <cell r="O133">
            <v>50</v>
          </cell>
          <cell r="T133" t="str">
            <v>000000000008356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000000000008356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000000000008356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切断</v>
          </cell>
          <cell r="M136" t="str">
            <v>C</v>
          </cell>
          <cell r="O136">
            <v>0</v>
          </cell>
          <cell r="T136" t="str">
            <v>000000000008356</v>
          </cell>
        </row>
        <row r="137">
          <cell r="C137">
            <v>3</v>
          </cell>
          <cell r="G137" t="str">
            <v/>
          </cell>
          <cell r="K137">
            <v>0</v>
          </cell>
          <cell r="L137" t="str">
            <v>検査</v>
          </cell>
          <cell r="M137" t="str">
            <v>U/T</v>
          </cell>
          <cell r="T137" t="str">
            <v>000000000008356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D139">
            <v>45966</v>
          </cell>
          <cell r="E139" t="str">
            <v>25J20-06</v>
          </cell>
          <cell r="I139" t="str">
            <v>25J20-06</v>
          </cell>
          <cell r="J139">
            <v>1</v>
          </cell>
          <cell r="K139">
            <v>0</v>
          </cell>
          <cell r="L139">
            <v>45968</v>
          </cell>
          <cell r="M139">
            <v>16</v>
          </cell>
          <cell r="O139">
            <v>45971</v>
          </cell>
          <cell r="P139">
            <v>4</v>
          </cell>
          <cell r="T139" t="str">
            <v>000000000008363</v>
          </cell>
        </row>
        <row r="140">
          <cell r="D140">
            <v>45967</v>
          </cell>
          <cell r="E140" t="str">
            <v>25J20-06</v>
          </cell>
          <cell r="F140">
            <v>22</v>
          </cell>
          <cell r="G140">
            <v>888.12</v>
          </cell>
          <cell r="H140">
            <v>888.27</v>
          </cell>
          <cell r="I140" t="str">
            <v>25J20-06</v>
          </cell>
          <cell r="J140">
            <v>1099</v>
          </cell>
          <cell r="K140">
            <v>550</v>
          </cell>
          <cell r="L140">
            <v>45971</v>
          </cell>
          <cell r="M140">
            <v>4</v>
          </cell>
          <cell r="O140">
            <v>2000</v>
          </cell>
          <cell r="T140" t="str">
            <v>000000000008363</v>
          </cell>
        </row>
        <row r="141">
          <cell r="C141">
            <v>2000</v>
          </cell>
          <cell r="D141">
            <v>45967</v>
          </cell>
          <cell r="E141" t="str">
            <v>25J20-06</v>
          </cell>
          <cell r="F141">
            <v>22</v>
          </cell>
          <cell r="G141">
            <v>888.12</v>
          </cell>
          <cell r="H141">
            <v>888.13</v>
          </cell>
          <cell r="I141" t="str">
            <v>25J21-07</v>
          </cell>
          <cell r="J141">
            <v>910</v>
          </cell>
          <cell r="K141">
            <v>455</v>
          </cell>
          <cell r="O141">
            <v>1006</v>
          </cell>
          <cell r="P141">
            <v>4</v>
          </cell>
          <cell r="T141" t="str">
            <v>000000000008363</v>
          </cell>
        </row>
        <row r="142">
          <cell r="D142">
            <v>45967</v>
          </cell>
          <cell r="E142" t="str">
            <v>25J20-06</v>
          </cell>
          <cell r="F142">
            <v>20</v>
          </cell>
          <cell r="G142">
            <v>888</v>
          </cell>
          <cell r="H142">
            <v>888.37</v>
          </cell>
          <cell r="K142">
            <v>0</v>
          </cell>
          <cell r="O142">
            <v>6</v>
          </cell>
          <cell r="T142" t="str">
            <v>000000000008363</v>
          </cell>
        </row>
        <row r="143">
          <cell r="C143">
            <v>2</v>
          </cell>
          <cell r="D143">
            <v>45968</v>
          </cell>
          <cell r="E143" t="str">
            <v>25J21-07</v>
          </cell>
          <cell r="F143">
            <v>20</v>
          </cell>
          <cell r="G143">
            <v>888</v>
          </cell>
          <cell r="H143">
            <v>888.27</v>
          </cell>
          <cell r="K143">
            <v>0</v>
          </cell>
          <cell r="O143">
            <v>11</v>
          </cell>
          <cell r="T143" t="str">
            <v>000000000008363</v>
          </cell>
        </row>
        <row r="144">
          <cell r="C144" t="str">
            <v>LED-A888</v>
          </cell>
          <cell r="D144">
            <v>45968</v>
          </cell>
          <cell r="E144" t="str">
            <v>25J21-07</v>
          </cell>
          <cell r="F144">
            <v>20</v>
          </cell>
          <cell r="G144">
            <v>888</v>
          </cell>
          <cell r="H144">
            <v>888.22</v>
          </cell>
          <cell r="K144">
            <v>0</v>
          </cell>
          <cell r="L144" t="str">
            <v>切断</v>
          </cell>
          <cell r="M144" t="str">
            <v>C/M</v>
          </cell>
          <cell r="O144">
            <v>1</v>
          </cell>
          <cell r="T144" t="str">
            <v>000000000008363</v>
          </cell>
        </row>
        <row r="145">
          <cell r="C145">
            <v>20</v>
          </cell>
          <cell r="D145">
            <v>45968</v>
          </cell>
          <cell r="E145" t="str">
            <v>25J21-07</v>
          </cell>
          <cell r="F145">
            <v>22</v>
          </cell>
          <cell r="G145">
            <v>888.12</v>
          </cell>
          <cell r="H145">
            <v>888.31</v>
          </cell>
          <cell r="K145">
            <v>0</v>
          </cell>
          <cell r="L145" t="str">
            <v>検査</v>
          </cell>
          <cell r="M145" t="str">
            <v>T/U</v>
          </cell>
          <cell r="P145">
            <v>3</v>
          </cell>
          <cell r="T145" t="str">
            <v>000000000008363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1</v>
          </cell>
          <cell r="O146">
            <v>1</v>
          </cell>
          <cell r="P146">
            <v>11</v>
          </cell>
          <cell r="T146" t="str">
            <v>000000000008363</v>
          </cell>
        </row>
        <row r="147">
          <cell r="C147" t="str">
            <v>灯具カバーPC IN 2130　L=908</v>
          </cell>
          <cell r="I147">
            <v>0</v>
          </cell>
          <cell r="K147">
            <v>0</v>
          </cell>
          <cell r="L147">
            <v>45967</v>
          </cell>
          <cell r="M147">
            <v>11</v>
          </cell>
          <cell r="O147">
            <v>45967</v>
          </cell>
          <cell r="P147">
            <v>6</v>
          </cell>
          <cell r="T147" t="str">
            <v>000000000008703</v>
          </cell>
        </row>
        <row r="148">
          <cell r="D148">
            <v>45967</v>
          </cell>
          <cell r="E148" t="str">
            <v>25J25-01</v>
          </cell>
          <cell r="G148" t="str">
            <v/>
          </cell>
          <cell r="I148" t="str">
            <v>25J25-01</v>
          </cell>
          <cell r="J148">
            <v>200</v>
          </cell>
          <cell r="K148">
            <v>200</v>
          </cell>
          <cell r="O148">
            <v>176</v>
          </cell>
          <cell r="P148">
            <v>18</v>
          </cell>
          <cell r="T148" t="str">
            <v>000000000008703</v>
          </cell>
        </row>
        <row r="149">
          <cell r="C149">
            <v>176</v>
          </cell>
          <cell r="G149" t="str">
            <v/>
          </cell>
          <cell r="K149">
            <v>0</v>
          </cell>
          <cell r="O149">
            <v>200</v>
          </cell>
          <cell r="T149" t="str">
            <v>000000000008703</v>
          </cell>
        </row>
        <row r="150">
          <cell r="G150" t="str">
            <v/>
          </cell>
          <cell r="K150">
            <v>0</v>
          </cell>
          <cell r="O150">
            <v>24</v>
          </cell>
          <cell r="T150" t="str">
            <v>000000000008703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24</v>
          </cell>
          <cell r="T151" t="str">
            <v>000000000008703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切断</v>
          </cell>
          <cell r="M152" t="str">
            <v>-</v>
          </cell>
          <cell r="O152">
            <v>0</v>
          </cell>
          <cell r="T152" t="str">
            <v>000000000008703</v>
          </cell>
        </row>
        <row r="153">
          <cell r="C153">
            <v>11</v>
          </cell>
          <cell r="G153" t="str">
            <v/>
          </cell>
          <cell r="K153">
            <v>0</v>
          </cell>
          <cell r="L153" t="str">
            <v>検査</v>
          </cell>
          <cell r="M153" t="str">
            <v>C</v>
          </cell>
          <cell r="T153" t="str">
            <v>000000000008703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>
            <v>0</v>
          </cell>
          <cell r="P154">
            <v>24</v>
          </cell>
          <cell r="T154" t="str">
            <v>000000000008703</v>
          </cell>
        </row>
        <row r="155">
          <cell r="C155" t="str">
            <v>灯具カバーPC IN 2130　L=908</v>
          </cell>
          <cell r="I155">
            <v>0</v>
          </cell>
          <cell r="K155">
            <v>0</v>
          </cell>
          <cell r="L155">
            <v>45968</v>
          </cell>
          <cell r="M155">
            <v>9</v>
          </cell>
          <cell r="O155">
            <v>45968</v>
          </cell>
          <cell r="P155">
            <v>24</v>
          </cell>
          <cell r="T155" t="str">
            <v>000000000008704</v>
          </cell>
        </row>
        <row r="156">
          <cell r="D156">
            <v>45968</v>
          </cell>
          <cell r="E156" t="str">
            <v>25J25-02</v>
          </cell>
          <cell r="G156" t="str">
            <v/>
          </cell>
          <cell r="I156" t="str">
            <v>25J25-02</v>
          </cell>
          <cell r="J156">
            <v>187</v>
          </cell>
          <cell r="K156">
            <v>187</v>
          </cell>
          <cell r="O156">
            <v>144</v>
          </cell>
          <cell r="P156">
            <v>17</v>
          </cell>
          <cell r="T156" t="str">
            <v>000000000008704</v>
          </cell>
        </row>
        <row r="157">
          <cell r="C157">
            <v>144</v>
          </cell>
          <cell r="G157" t="str">
            <v/>
          </cell>
          <cell r="K157">
            <v>0</v>
          </cell>
          <cell r="O157">
            <v>187</v>
          </cell>
          <cell r="P157">
            <v>2</v>
          </cell>
          <cell r="T157" t="str">
            <v>000000000008704</v>
          </cell>
        </row>
        <row r="158">
          <cell r="G158" t="str">
            <v/>
          </cell>
          <cell r="K158">
            <v>0</v>
          </cell>
          <cell r="O158">
            <v>43</v>
          </cell>
          <cell r="T158" t="str">
            <v>000000000008704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43</v>
          </cell>
          <cell r="T159" t="str">
            <v>000000000008704</v>
          </cell>
        </row>
        <row r="160">
          <cell r="C160" t="str">
            <v>灯具-1　L=1370</v>
          </cell>
          <cell r="G160" t="str">
            <v/>
          </cell>
          <cell r="K160">
            <v>0</v>
          </cell>
          <cell r="L160" t="str">
            <v>切断</v>
          </cell>
          <cell r="M160" t="str">
            <v>-</v>
          </cell>
          <cell r="O160">
            <v>0</v>
          </cell>
          <cell r="T160" t="str">
            <v>000000000008704</v>
          </cell>
        </row>
        <row r="161">
          <cell r="C161">
            <v>9</v>
          </cell>
          <cell r="G161" t="str">
            <v/>
          </cell>
          <cell r="K161">
            <v>0</v>
          </cell>
          <cell r="L161" t="str">
            <v>検査</v>
          </cell>
          <cell r="M161" t="str">
            <v>C</v>
          </cell>
          <cell r="T161" t="str">
            <v>000000000008704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>
            <v>0</v>
          </cell>
          <cell r="P162">
            <v>43</v>
          </cell>
          <cell r="T162" t="str">
            <v>000000000008704</v>
          </cell>
        </row>
        <row r="163">
          <cell r="C163" t="str">
            <v>灯具カバーPC IN 2140　L=547</v>
          </cell>
          <cell r="D163">
            <v>45938</v>
          </cell>
          <cell r="E163" t="str">
            <v>25I25-01</v>
          </cell>
          <cell r="I163" t="str">
            <v>25I25-01</v>
          </cell>
          <cell r="J163">
            <v>14</v>
          </cell>
          <cell r="K163">
            <v>14</v>
          </cell>
          <cell r="L163">
            <v>45971</v>
          </cell>
          <cell r="M163">
            <v>6</v>
          </cell>
          <cell r="O163">
            <v>45971</v>
          </cell>
          <cell r="P163">
            <v>1</v>
          </cell>
          <cell r="T163" t="str">
            <v>000000000008701</v>
          </cell>
        </row>
        <row r="164">
          <cell r="D164">
            <v>45971</v>
          </cell>
          <cell r="E164" t="str">
            <v>25J24-01</v>
          </cell>
          <cell r="G164" t="str">
            <v/>
          </cell>
          <cell r="I164" t="str">
            <v>25J24-01</v>
          </cell>
          <cell r="J164">
            <v>85</v>
          </cell>
          <cell r="K164">
            <v>85</v>
          </cell>
          <cell r="O164">
            <v>96</v>
          </cell>
          <cell r="P164">
            <v>2</v>
          </cell>
          <cell r="T164" t="str">
            <v>000000000008701</v>
          </cell>
        </row>
        <row r="165">
          <cell r="C165">
            <v>96</v>
          </cell>
          <cell r="G165" t="str">
            <v/>
          </cell>
          <cell r="K165">
            <v>0</v>
          </cell>
          <cell r="O165">
            <v>99</v>
          </cell>
          <cell r="T165" t="str">
            <v>000000000008701</v>
          </cell>
        </row>
        <row r="166">
          <cell r="G166" t="str">
            <v/>
          </cell>
          <cell r="K166">
            <v>0</v>
          </cell>
          <cell r="O166">
            <v>3</v>
          </cell>
          <cell r="T166" t="str">
            <v>000000000008701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3</v>
          </cell>
          <cell r="T167" t="str">
            <v>000000000008701</v>
          </cell>
        </row>
        <row r="168">
          <cell r="C168" t="str">
            <v>灯具-1　L=1370</v>
          </cell>
          <cell r="G168" t="str">
            <v/>
          </cell>
          <cell r="K168">
            <v>0</v>
          </cell>
          <cell r="L168" t="str">
            <v>切断</v>
          </cell>
          <cell r="M168" t="str">
            <v>-</v>
          </cell>
          <cell r="O168">
            <v>0</v>
          </cell>
          <cell r="T168" t="str">
            <v>000000000008701</v>
          </cell>
        </row>
        <row r="169">
          <cell r="C169">
            <v>3</v>
          </cell>
          <cell r="G169" t="str">
            <v/>
          </cell>
          <cell r="K169">
            <v>0</v>
          </cell>
          <cell r="L169" t="str">
            <v>検査</v>
          </cell>
          <cell r="M169" t="str">
            <v>C</v>
          </cell>
          <cell r="T169" t="str">
            <v>000000000008701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>
            <v>0</v>
          </cell>
          <cell r="P170">
            <v>3</v>
          </cell>
          <cell r="T170" t="str">
            <v>000000000008701</v>
          </cell>
        </row>
        <row r="171">
          <cell r="C171" t="str">
            <v>PK-59827 L=700</v>
          </cell>
          <cell r="D171">
            <v>45922</v>
          </cell>
          <cell r="E171" t="str">
            <v>25I05-02</v>
          </cell>
          <cell r="I171" t="str">
            <v>25I05-02</v>
          </cell>
          <cell r="J171">
            <v>19</v>
          </cell>
          <cell r="K171">
            <v>9</v>
          </cell>
          <cell r="L171">
            <v>45971</v>
          </cell>
          <cell r="M171">
            <v>15</v>
          </cell>
          <cell r="O171">
            <v>45972</v>
          </cell>
          <cell r="P171">
            <v>34</v>
          </cell>
          <cell r="T171" t="str">
            <v>000000000008411</v>
          </cell>
        </row>
        <row r="172">
          <cell r="D172">
            <v>45968</v>
          </cell>
          <cell r="E172" t="str">
            <v>25J28</v>
          </cell>
          <cell r="F172">
            <v>21</v>
          </cell>
          <cell r="G172">
            <v>699.9</v>
          </cell>
          <cell r="H172">
            <v>700.16</v>
          </cell>
          <cell r="I172" t="str">
            <v>25J28</v>
          </cell>
          <cell r="J172">
            <v>352</v>
          </cell>
          <cell r="K172">
            <v>176</v>
          </cell>
          <cell r="L172">
            <v>45972</v>
          </cell>
          <cell r="M172">
            <v>15</v>
          </cell>
          <cell r="O172">
            <v>1020</v>
          </cell>
          <cell r="P172">
            <v>1</v>
          </cell>
          <cell r="T172" t="str">
            <v>000000000008411</v>
          </cell>
        </row>
        <row r="173">
          <cell r="C173">
            <v>1020</v>
          </cell>
          <cell r="D173">
            <v>45968</v>
          </cell>
          <cell r="E173" t="str">
            <v>25J28</v>
          </cell>
          <cell r="F173">
            <v>21</v>
          </cell>
          <cell r="G173">
            <v>699.9</v>
          </cell>
          <cell r="H173">
            <v>700.1</v>
          </cell>
          <cell r="I173" t="str">
            <v>25K04</v>
          </cell>
          <cell r="J173">
            <v>722</v>
          </cell>
          <cell r="K173">
            <v>361</v>
          </cell>
          <cell r="O173">
            <v>547</v>
          </cell>
          <cell r="P173">
            <v>10</v>
          </cell>
          <cell r="T173" t="str">
            <v>000000000008411</v>
          </cell>
        </row>
        <row r="174">
          <cell r="D174">
            <v>45971</v>
          </cell>
          <cell r="E174" t="str">
            <v>25J28</v>
          </cell>
          <cell r="F174">
            <v>15</v>
          </cell>
          <cell r="G174">
            <v>699.61</v>
          </cell>
          <cell r="H174">
            <v>700.2</v>
          </cell>
          <cell r="K174">
            <v>0</v>
          </cell>
          <cell r="O174">
            <v>37</v>
          </cell>
          <cell r="T174" t="str">
            <v>000000000008411</v>
          </cell>
        </row>
        <row r="175">
          <cell r="C175">
            <v>2</v>
          </cell>
          <cell r="D175">
            <v>45971</v>
          </cell>
          <cell r="E175" t="str">
            <v>25K04</v>
          </cell>
          <cell r="F175">
            <v>23</v>
          </cell>
          <cell r="G175">
            <v>700</v>
          </cell>
          <cell r="H175">
            <v>700.22</v>
          </cell>
          <cell r="K175">
            <v>0</v>
          </cell>
          <cell r="O175">
            <v>74</v>
          </cell>
          <cell r="T175" t="str">
            <v>000000000008411</v>
          </cell>
        </row>
        <row r="176">
          <cell r="C176" t="str">
            <v>PK-59827 L=700用</v>
          </cell>
          <cell r="D176">
            <v>45971</v>
          </cell>
          <cell r="E176" t="str">
            <v>25K04</v>
          </cell>
          <cell r="F176">
            <v>21</v>
          </cell>
          <cell r="G176">
            <v>699.9</v>
          </cell>
          <cell r="H176">
            <v>700.2</v>
          </cell>
          <cell r="K176">
            <v>0</v>
          </cell>
          <cell r="L176" t="str">
            <v>切断</v>
          </cell>
          <cell r="M176" t="str">
            <v>C/M</v>
          </cell>
          <cell r="O176">
            <v>1</v>
          </cell>
          <cell r="T176" t="str">
            <v>000000000008411</v>
          </cell>
        </row>
        <row r="177">
          <cell r="C177">
            <v>30</v>
          </cell>
          <cell r="G177" t="str">
            <v/>
          </cell>
          <cell r="K177">
            <v>0</v>
          </cell>
          <cell r="L177" t="str">
            <v>検査</v>
          </cell>
          <cell r="M177" t="str">
            <v>T/U</v>
          </cell>
          <cell r="P177">
            <v>29</v>
          </cell>
          <cell r="T177" t="str">
            <v>000000000008411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1</v>
          </cell>
          <cell r="O178">
            <v>1</v>
          </cell>
          <cell r="P178">
            <v>74</v>
          </cell>
          <cell r="T178" t="str">
            <v>000000000008411</v>
          </cell>
        </row>
        <row r="179">
          <cell r="C179" t="str">
            <v>採光ルーバーパネルB　L=1996</v>
          </cell>
          <cell r="D179">
            <v>45953</v>
          </cell>
          <cell r="E179" t="str">
            <v>25J14-03</v>
          </cell>
          <cell r="I179" t="str">
            <v>25J14-03</v>
          </cell>
          <cell r="J179">
            <v>4</v>
          </cell>
          <cell r="K179">
            <v>4</v>
          </cell>
          <cell r="L179">
            <v>45973</v>
          </cell>
          <cell r="M179">
            <v>6</v>
          </cell>
          <cell r="O179">
            <v>45973</v>
          </cell>
          <cell r="P179">
            <v>7</v>
          </cell>
          <cell r="T179" t="str">
            <v>000000000008853</v>
          </cell>
        </row>
        <row r="180">
          <cell r="D180">
            <v>45972</v>
          </cell>
          <cell r="E180" t="str">
            <v>25K08-01</v>
          </cell>
          <cell r="F180">
            <v>20</v>
          </cell>
          <cell r="G180">
            <v>1996</v>
          </cell>
          <cell r="H180">
            <v>1996.4</v>
          </cell>
          <cell r="I180" t="str">
            <v>25K08-01</v>
          </cell>
          <cell r="J180">
            <v>292</v>
          </cell>
          <cell r="K180">
            <v>292</v>
          </cell>
          <cell r="O180">
            <v>252</v>
          </cell>
          <cell r="P180">
            <v>37</v>
          </cell>
          <cell r="T180" t="str">
            <v>000000000008853</v>
          </cell>
        </row>
        <row r="181">
          <cell r="C181">
            <v>252</v>
          </cell>
          <cell r="D181">
            <v>45972</v>
          </cell>
          <cell r="E181" t="str">
            <v>25K08-01</v>
          </cell>
          <cell r="F181">
            <v>20</v>
          </cell>
          <cell r="G181">
            <v>1996</v>
          </cell>
          <cell r="H181">
            <v>1996.7</v>
          </cell>
          <cell r="K181">
            <v>0</v>
          </cell>
          <cell r="O181">
            <v>296</v>
          </cell>
          <cell r="T181" t="str">
            <v>000000000008853</v>
          </cell>
        </row>
        <row r="182">
          <cell r="G182" t="str">
            <v/>
          </cell>
          <cell r="K182">
            <v>0</v>
          </cell>
          <cell r="O182">
            <v>44</v>
          </cell>
          <cell r="T182" t="str">
            <v>000000000008853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44</v>
          </cell>
          <cell r="T183" t="str">
            <v>000000000008853</v>
          </cell>
        </row>
        <row r="184">
          <cell r="C184" t="str">
            <v>上-1</v>
          </cell>
          <cell r="G184" t="str">
            <v/>
          </cell>
          <cell r="K184">
            <v>0</v>
          </cell>
          <cell r="L184" t="str">
            <v>切断</v>
          </cell>
          <cell r="M184" t="str">
            <v>M</v>
          </cell>
          <cell r="O184">
            <v>0</v>
          </cell>
          <cell r="T184" t="str">
            <v>000000000008853</v>
          </cell>
        </row>
        <row r="185">
          <cell r="C185">
            <v>6</v>
          </cell>
          <cell r="G185" t="str">
            <v/>
          </cell>
          <cell r="K185">
            <v>0</v>
          </cell>
          <cell r="L185" t="str">
            <v>検査</v>
          </cell>
          <cell r="M185" t="str">
            <v>T</v>
          </cell>
          <cell r="T185" t="str">
            <v>000000000008853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>
            <v>0</v>
          </cell>
          <cell r="P186">
            <v>44</v>
          </cell>
          <cell r="T186" t="str">
            <v>000000000008853</v>
          </cell>
        </row>
        <row r="187">
          <cell r="C187" t="str">
            <v>採光ルーバーパネルB　L=1996</v>
          </cell>
          <cell r="D187">
            <v>45972</v>
          </cell>
          <cell r="E187" t="str">
            <v>25K08-01</v>
          </cell>
          <cell r="I187" t="str">
            <v>25K08-01</v>
          </cell>
          <cell r="J187">
            <v>8</v>
          </cell>
          <cell r="K187">
            <v>8</v>
          </cell>
          <cell r="L187">
            <v>45974</v>
          </cell>
          <cell r="M187">
            <v>6</v>
          </cell>
          <cell r="O187">
            <v>45974</v>
          </cell>
          <cell r="P187">
            <v>6</v>
          </cell>
          <cell r="T187" t="str">
            <v>000000000008854</v>
          </cell>
        </row>
        <row r="188">
          <cell r="D188">
            <v>45973</v>
          </cell>
          <cell r="E188" t="str">
            <v>25K08-02</v>
          </cell>
          <cell r="F188">
            <v>20</v>
          </cell>
          <cell r="G188">
            <v>1996</v>
          </cell>
          <cell r="H188">
            <v>1996.7</v>
          </cell>
          <cell r="I188" t="str">
            <v>25K08-02</v>
          </cell>
          <cell r="K188">
            <v>0</v>
          </cell>
          <cell r="O188">
            <v>-35</v>
          </cell>
          <cell r="P188">
            <v>36</v>
          </cell>
          <cell r="T188" t="str">
            <v>000000000008854</v>
          </cell>
        </row>
        <row r="189">
          <cell r="C189">
            <v>252</v>
          </cell>
          <cell r="D189">
            <v>45973</v>
          </cell>
          <cell r="E189" t="str">
            <v>25K08-02</v>
          </cell>
          <cell r="F189">
            <v>18</v>
          </cell>
          <cell r="G189">
            <v>1995.74</v>
          </cell>
          <cell r="H189">
            <v>1996.6</v>
          </cell>
          <cell r="K189">
            <v>0</v>
          </cell>
          <cell r="O189">
            <v>8</v>
          </cell>
          <cell r="P189">
            <v>1</v>
          </cell>
          <cell r="T189" t="str">
            <v>000000000008854</v>
          </cell>
        </row>
        <row r="190">
          <cell r="G190" t="str">
            <v/>
          </cell>
          <cell r="K190">
            <v>0</v>
          </cell>
          <cell r="O190">
            <v>43</v>
          </cell>
          <cell r="T190" t="str">
            <v>000000000008854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43</v>
          </cell>
          <cell r="T191" t="str">
            <v>000000000008854</v>
          </cell>
        </row>
        <row r="192">
          <cell r="C192" t="str">
            <v>上-1</v>
          </cell>
          <cell r="G192" t="str">
            <v/>
          </cell>
          <cell r="K192">
            <v>0</v>
          </cell>
          <cell r="L192" t="str">
            <v>切断</v>
          </cell>
          <cell r="M192" t="str">
            <v>M</v>
          </cell>
          <cell r="O192">
            <v>0</v>
          </cell>
          <cell r="T192" t="str">
            <v>000000000008854</v>
          </cell>
        </row>
        <row r="193">
          <cell r="C193">
            <v>6</v>
          </cell>
          <cell r="G193" t="str">
            <v/>
          </cell>
          <cell r="K193">
            <v>0</v>
          </cell>
          <cell r="L193" t="str">
            <v>検査</v>
          </cell>
          <cell r="M193" t="str">
            <v>T</v>
          </cell>
          <cell r="T193" t="str">
            <v>000000000008854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>
            <v>0</v>
          </cell>
          <cell r="P194">
            <v>43</v>
          </cell>
          <cell r="T194" t="str">
            <v>000000000008854</v>
          </cell>
        </row>
        <row r="195">
          <cell r="C195" t="str">
            <v>灯具カバーPC IN 2050　L=1183.5</v>
          </cell>
          <cell r="D195">
            <v>45954</v>
          </cell>
          <cell r="E195" t="str">
            <v>25J02-01</v>
          </cell>
          <cell r="I195" t="str">
            <v>25J02-01</v>
          </cell>
          <cell r="J195">
            <v>9</v>
          </cell>
          <cell r="K195">
            <v>9</v>
          </cell>
          <cell r="L195">
            <v>45972</v>
          </cell>
          <cell r="M195">
            <v>11</v>
          </cell>
          <cell r="O195">
            <v>45972</v>
          </cell>
          <cell r="P195">
            <v>16</v>
          </cell>
          <cell r="T195" t="str">
            <v>000000000008706</v>
          </cell>
        </row>
        <row r="196">
          <cell r="D196">
            <v>45971</v>
          </cell>
          <cell r="E196" t="str">
            <v>25J24-01</v>
          </cell>
          <cell r="G196" t="str">
            <v/>
          </cell>
          <cell r="I196" t="str">
            <v>25J24-01</v>
          </cell>
          <cell r="J196">
            <v>196</v>
          </cell>
          <cell r="K196">
            <v>196</v>
          </cell>
          <cell r="O196">
            <v>176</v>
          </cell>
          <cell r="P196">
            <v>12</v>
          </cell>
          <cell r="T196" t="str">
            <v>000000000008706</v>
          </cell>
        </row>
        <row r="197">
          <cell r="C197">
            <v>176</v>
          </cell>
          <cell r="G197" t="str">
            <v/>
          </cell>
          <cell r="K197">
            <v>0</v>
          </cell>
          <cell r="O197">
            <v>205</v>
          </cell>
          <cell r="T197" t="str">
            <v>000000000008706</v>
          </cell>
        </row>
        <row r="198">
          <cell r="G198" t="str">
            <v/>
          </cell>
          <cell r="K198">
            <v>0</v>
          </cell>
          <cell r="O198">
            <v>29</v>
          </cell>
          <cell r="T198" t="str">
            <v>000000000008706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29</v>
          </cell>
          <cell r="T199" t="str">
            <v>000000000008706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切断</v>
          </cell>
          <cell r="M200" t="str">
            <v>-</v>
          </cell>
          <cell r="O200">
            <v>0</v>
          </cell>
          <cell r="T200" t="str">
            <v>000000000008706</v>
          </cell>
        </row>
        <row r="201">
          <cell r="C201">
            <v>11</v>
          </cell>
          <cell r="G201" t="str">
            <v/>
          </cell>
          <cell r="K201">
            <v>0</v>
          </cell>
          <cell r="L201" t="str">
            <v>検査</v>
          </cell>
          <cell r="M201" t="str">
            <v>C</v>
          </cell>
          <cell r="P201">
            <v>1</v>
          </cell>
          <cell r="T201" t="str">
            <v>000000000008706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>
            <v>0</v>
          </cell>
          <cell r="P202">
            <v>29</v>
          </cell>
          <cell r="T202" t="str">
            <v>000000000008706</v>
          </cell>
        </row>
        <row r="203">
          <cell r="C203" t="str">
            <v>灯具カバーPC IN 2070　L=1966</v>
          </cell>
          <cell r="D203">
            <v>45965</v>
          </cell>
          <cell r="E203" t="str">
            <v>25J02-2</v>
          </cell>
          <cell r="I203" t="str">
            <v>25J02-2</v>
          </cell>
          <cell r="J203">
            <v>10</v>
          </cell>
          <cell r="K203">
            <v>10</v>
          </cell>
          <cell r="L203">
            <v>45975</v>
          </cell>
          <cell r="M203">
            <v>9</v>
          </cell>
          <cell r="O203">
            <v>45978</v>
          </cell>
          <cell r="P203">
            <v>17</v>
          </cell>
          <cell r="T203" t="str">
            <v>000000000008712</v>
          </cell>
        </row>
        <row r="204">
          <cell r="D204">
            <v>45975</v>
          </cell>
          <cell r="E204" t="str">
            <v>25J25-01</v>
          </cell>
          <cell r="G204" t="str">
            <v/>
          </cell>
          <cell r="I204" t="str">
            <v>25J25-01</v>
          </cell>
          <cell r="J204">
            <v>195</v>
          </cell>
          <cell r="K204">
            <v>195</v>
          </cell>
          <cell r="L204">
            <v>45978</v>
          </cell>
          <cell r="M204">
            <v>2</v>
          </cell>
          <cell r="O204">
            <v>176</v>
          </cell>
          <cell r="P204">
            <v>12</v>
          </cell>
          <cell r="T204" t="str">
            <v>000000000008712</v>
          </cell>
        </row>
        <row r="205">
          <cell r="C205">
            <v>176</v>
          </cell>
          <cell r="D205">
            <v>45978</v>
          </cell>
          <cell r="E205" t="str">
            <v>25J25-01</v>
          </cell>
          <cell r="G205" t="str">
            <v/>
          </cell>
          <cell r="K205">
            <v>0</v>
          </cell>
          <cell r="O205">
            <v>205</v>
          </cell>
          <cell r="T205" t="str">
            <v>000000000008712</v>
          </cell>
        </row>
        <row r="206">
          <cell r="G206" t="str">
            <v/>
          </cell>
          <cell r="K206">
            <v>0</v>
          </cell>
          <cell r="O206">
            <v>29</v>
          </cell>
          <cell r="T206" t="str">
            <v>000000000008712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29</v>
          </cell>
          <cell r="T207" t="str">
            <v>000000000008712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切断</v>
          </cell>
          <cell r="M208" t="str">
            <v>-</v>
          </cell>
          <cell r="O208">
            <v>0</v>
          </cell>
          <cell r="T208" t="str">
            <v>000000000008712</v>
          </cell>
        </row>
        <row r="209">
          <cell r="C209">
            <v>11</v>
          </cell>
          <cell r="G209" t="str">
            <v/>
          </cell>
          <cell r="K209">
            <v>0</v>
          </cell>
          <cell r="L209" t="str">
            <v>検査</v>
          </cell>
          <cell r="M209" t="str">
            <v>T</v>
          </cell>
          <cell r="T209" t="str">
            <v>000000000008712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>
            <v>0</v>
          </cell>
          <cell r="P210">
            <v>29</v>
          </cell>
          <cell r="T210" t="str">
            <v>000000000008712</v>
          </cell>
        </row>
        <row r="211">
          <cell r="C211" t="str">
            <v>灯具カバーPC IN 2090　L=840</v>
          </cell>
          <cell r="D211">
            <v>45950</v>
          </cell>
          <cell r="E211" t="str">
            <v>25J02-01</v>
          </cell>
          <cell r="I211" t="str">
            <v>25J02-01</v>
          </cell>
          <cell r="J211">
            <v>3</v>
          </cell>
          <cell r="K211">
            <v>3</v>
          </cell>
          <cell r="L211">
            <v>45974</v>
          </cell>
          <cell r="M211">
            <v>9</v>
          </cell>
          <cell r="O211">
            <v>45975</v>
          </cell>
          <cell r="P211">
            <v>16</v>
          </cell>
          <cell r="T211" t="str">
            <v>000000000008702</v>
          </cell>
        </row>
        <row r="212">
          <cell r="D212">
            <v>45974</v>
          </cell>
          <cell r="E212" t="str">
            <v>25J25-01</v>
          </cell>
          <cell r="G212" t="str">
            <v/>
          </cell>
          <cell r="I212" t="str">
            <v>25J25-01</v>
          </cell>
          <cell r="J212">
            <v>196</v>
          </cell>
          <cell r="K212">
            <v>196</v>
          </cell>
          <cell r="L212">
            <v>45975</v>
          </cell>
          <cell r="M212">
            <v>2</v>
          </cell>
          <cell r="O212">
            <v>176</v>
          </cell>
          <cell r="P212">
            <v>7</v>
          </cell>
          <cell r="T212" t="str">
            <v>000000000008702</v>
          </cell>
        </row>
        <row r="213">
          <cell r="C213">
            <v>176</v>
          </cell>
          <cell r="D213">
            <v>45975</v>
          </cell>
          <cell r="E213" t="str">
            <v>25J25-01</v>
          </cell>
          <cell r="G213" t="str">
            <v/>
          </cell>
          <cell r="K213">
            <v>0</v>
          </cell>
          <cell r="O213">
            <v>199</v>
          </cell>
          <cell r="T213" t="str">
            <v>000000000008702</v>
          </cell>
        </row>
        <row r="214">
          <cell r="G214" t="str">
            <v/>
          </cell>
          <cell r="K214">
            <v>0</v>
          </cell>
          <cell r="O214">
            <v>23</v>
          </cell>
          <cell r="T214" t="str">
            <v>000000000008702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23</v>
          </cell>
          <cell r="T215" t="str">
            <v>000000000008702</v>
          </cell>
        </row>
        <row r="216">
          <cell r="C216" t="str">
            <v>灯具-2　L＝1996</v>
          </cell>
          <cell r="G216" t="str">
            <v/>
          </cell>
          <cell r="K216">
            <v>0</v>
          </cell>
          <cell r="L216" t="str">
            <v>切断</v>
          </cell>
          <cell r="M216" t="str">
            <v>-</v>
          </cell>
          <cell r="O216">
            <v>0</v>
          </cell>
          <cell r="T216" t="str">
            <v>000000000008702</v>
          </cell>
        </row>
        <row r="217">
          <cell r="C217">
            <v>5.5</v>
          </cell>
          <cell r="G217" t="str">
            <v/>
          </cell>
          <cell r="K217">
            <v>0</v>
          </cell>
          <cell r="L217" t="str">
            <v>検査</v>
          </cell>
          <cell r="M217" t="str">
            <v>T/M</v>
          </cell>
          <cell r="T217" t="str">
            <v>000000000008702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>
            <v>0</v>
          </cell>
          <cell r="P218">
            <v>23</v>
          </cell>
          <cell r="T218" t="str">
            <v>000000000008702</v>
          </cell>
        </row>
        <row r="219">
          <cell r="C219" t="str">
            <v>灯具カバーPC  　7530    L=565</v>
          </cell>
          <cell r="I219">
            <v>0</v>
          </cell>
          <cell r="K219">
            <v>0</v>
          </cell>
          <cell r="L219">
            <v>45974</v>
          </cell>
          <cell r="M219">
            <v>10</v>
          </cell>
          <cell r="O219">
            <v>45974</v>
          </cell>
          <cell r="T219" t="str">
            <v>000000000008700</v>
          </cell>
        </row>
        <row r="220">
          <cell r="D220">
            <v>45972</v>
          </cell>
          <cell r="E220" t="str">
            <v>25J24-01</v>
          </cell>
          <cell r="F220">
            <v>20</v>
          </cell>
          <cell r="G220">
            <v>565</v>
          </cell>
          <cell r="H220">
            <v>565.02</v>
          </cell>
          <cell r="I220" t="str">
            <v>25J24-01</v>
          </cell>
          <cell r="J220">
            <v>20</v>
          </cell>
          <cell r="K220">
            <v>10</v>
          </cell>
          <cell r="O220">
            <v>20</v>
          </cell>
          <cell r="T220" t="str">
            <v>000000000008700</v>
          </cell>
        </row>
        <row r="221">
          <cell r="C221">
            <v>20</v>
          </cell>
          <cell r="D221">
            <v>45972</v>
          </cell>
          <cell r="E221" t="str">
            <v>25J24-01</v>
          </cell>
          <cell r="F221">
            <v>20</v>
          </cell>
          <cell r="G221">
            <v>565</v>
          </cell>
          <cell r="H221">
            <v>565.20000000000005</v>
          </cell>
          <cell r="K221">
            <v>0</v>
          </cell>
          <cell r="O221">
            <v>10</v>
          </cell>
          <cell r="T221" t="str">
            <v>000000000008700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000000000008700</v>
          </cell>
        </row>
        <row r="223">
          <cell r="C223">
            <v>2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000000000008700</v>
          </cell>
        </row>
        <row r="224">
          <cell r="C224" t="str">
            <v>H型ジョイナー端材</v>
          </cell>
          <cell r="G224" t="str">
            <v/>
          </cell>
          <cell r="K224">
            <v>0</v>
          </cell>
          <cell r="L224" t="str">
            <v>切断</v>
          </cell>
          <cell r="M224" t="str">
            <v>M</v>
          </cell>
          <cell r="O224">
            <v>0</v>
          </cell>
          <cell r="T224" t="str">
            <v>000000000008700</v>
          </cell>
        </row>
        <row r="225">
          <cell r="C225">
            <v>10</v>
          </cell>
          <cell r="G225" t="str">
            <v/>
          </cell>
          <cell r="K225">
            <v>0</v>
          </cell>
          <cell r="L225" t="str">
            <v>検査</v>
          </cell>
          <cell r="M225" t="str">
            <v>T</v>
          </cell>
          <cell r="T225" t="str">
            <v>000000000008700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>
            <v>0</v>
          </cell>
          <cell r="P226">
            <v>0</v>
          </cell>
          <cell r="T226" t="str">
            <v>000000000008700</v>
          </cell>
        </row>
        <row r="227">
          <cell r="C227" t="str">
            <v>灯具カバーPC  　2200    L=221.8</v>
          </cell>
          <cell r="I227">
            <v>0</v>
          </cell>
          <cell r="K227">
            <v>0</v>
          </cell>
          <cell r="L227">
            <v>45974</v>
          </cell>
          <cell r="M227">
            <v>10</v>
          </cell>
          <cell r="O227">
            <v>45974</v>
          </cell>
          <cell r="T227" t="str">
            <v>000000000008699</v>
          </cell>
        </row>
        <row r="228">
          <cell r="D228">
            <v>45972</v>
          </cell>
          <cell r="E228" t="str">
            <v>25J24-01</v>
          </cell>
          <cell r="F228">
            <v>20</v>
          </cell>
          <cell r="G228">
            <v>221.8</v>
          </cell>
          <cell r="H228">
            <v>220.43</v>
          </cell>
          <cell r="I228" t="str">
            <v>25J24-01</v>
          </cell>
          <cell r="J228">
            <v>20</v>
          </cell>
          <cell r="K228">
            <v>10</v>
          </cell>
          <cell r="O228">
            <v>20</v>
          </cell>
          <cell r="T228" t="str">
            <v>000000000008699</v>
          </cell>
        </row>
        <row r="229">
          <cell r="C229">
            <v>20</v>
          </cell>
          <cell r="D229">
            <v>45972</v>
          </cell>
          <cell r="E229" t="str">
            <v>25J24-01</v>
          </cell>
          <cell r="F229">
            <v>20</v>
          </cell>
          <cell r="G229">
            <v>221.8</v>
          </cell>
          <cell r="H229">
            <v>221.14</v>
          </cell>
          <cell r="K229">
            <v>0</v>
          </cell>
          <cell r="O229">
            <v>10</v>
          </cell>
          <cell r="T229" t="str">
            <v>000000000008699</v>
          </cell>
        </row>
        <row r="230">
          <cell r="D230">
            <v>45973</v>
          </cell>
          <cell r="E230" t="str">
            <v>25J24-01</v>
          </cell>
          <cell r="F230">
            <v>20</v>
          </cell>
          <cell r="G230">
            <v>221.8</v>
          </cell>
          <cell r="H230">
            <v>221.14</v>
          </cell>
          <cell r="K230">
            <v>0</v>
          </cell>
          <cell r="O230">
            <v>0</v>
          </cell>
          <cell r="T230" t="str">
            <v>000000000008699</v>
          </cell>
        </row>
        <row r="231">
          <cell r="C231">
            <v>2</v>
          </cell>
          <cell r="D231">
            <v>45973</v>
          </cell>
          <cell r="E231" t="str">
            <v>25J24-01</v>
          </cell>
          <cell r="F231">
            <v>20</v>
          </cell>
          <cell r="G231">
            <v>221.8</v>
          </cell>
          <cell r="H231">
            <v>221.15</v>
          </cell>
          <cell r="K231">
            <v>0</v>
          </cell>
          <cell r="O231">
            <v>0</v>
          </cell>
          <cell r="T231" t="str">
            <v>000000000008699</v>
          </cell>
        </row>
        <row r="232">
          <cell r="C232" t="str">
            <v>H型ジョイナー端材</v>
          </cell>
          <cell r="G232" t="str">
            <v/>
          </cell>
          <cell r="K232">
            <v>0</v>
          </cell>
          <cell r="L232" t="str">
            <v>切断</v>
          </cell>
          <cell r="M232" t="str">
            <v>M</v>
          </cell>
          <cell r="O232">
            <v>0</v>
          </cell>
          <cell r="T232" t="str">
            <v>000000000008699</v>
          </cell>
        </row>
        <row r="233">
          <cell r="C233">
            <v>10</v>
          </cell>
          <cell r="G233" t="str">
            <v/>
          </cell>
          <cell r="K233">
            <v>0</v>
          </cell>
          <cell r="L233" t="str">
            <v>検査</v>
          </cell>
          <cell r="M233" t="str">
            <v>T</v>
          </cell>
          <cell r="T233" t="str">
            <v>000000000008699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>
            <v>0</v>
          </cell>
          <cell r="P234">
            <v>0</v>
          </cell>
          <cell r="T234" t="str">
            <v>000000000008699</v>
          </cell>
        </row>
        <row r="235">
          <cell r="C235" t="str">
            <v>8FL281304 6110　L=1478</v>
          </cell>
          <cell r="D235">
            <v>45967</v>
          </cell>
          <cell r="E235" t="str">
            <v>25J19-05</v>
          </cell>
          <cell r="I235" t="str">
            <v>25J19-05</v>
          </cell>
          <cell r="J235">
            <v>8</v>
          </cell>
          <cell r="K235">
            <v>8</v>
          </cell>
          <cell r="L235">
            <v>45978</v>
          </cell>
          <cell r="M235">
            <v>2</v>
          </cell>
          <cell r="O235">
            <v>45978</v>
          </cell>
          <cell r="P235">
            <v>1</v>
          </cell>
          <cell r="T235" t="str">
            <v>000000000008803</v>
          </cell>
        </row>
        <row r="236">
          <cell r="D236">
            <v>45975</v>
          </cell>
          <cell r="E236" t="str">
            <v>25J21-07</v>
          </cell>
          <cell r="F236">
            <v>22</v>
          </cell>
          <cell r="G236">
            <v>1478.19</v>
          </cell>
          <cell r="H236">
            <v>1478.05</v>
          </cell>
          <cell r="I236" t="str">
            <v>25J21-07</v>
          </cell>
          <cell r="J236">
            <v>194</v>
          </cell>
          <cell r="K236">
            <v>194</v>
          </cell>
          <cell r="O236">
            <v>200</v>
          </cell>
          <cell r="P236">
            <v>1</v>
          </cell>
          <cell r="T236" t="str">
            <v>000000000008803</v>
          </cell>
        </row>
        <row r="237">
          <cell r="C237">
            <v>200</v>
          </cell>
          <cell r="D237">
            <v>45975</v>
          </cell>
          <cell r="E237" t="str">
            <v>25J21-07</v>
          </cell>
          <cell r="F237">
            <v>20</v>
          </cell>
          <cell r="G237">
            <v>1478</v>
          </cell>
          <cell r="H237">
            <v>1478.07</v>
          </cell>
          <cell r="K237">
            <v>0</v>
          </cell>
          <cell r="O237">
            <v>202</v>
          </cell>
          <cell r="T237" t="str">
            <v>000000000008803</v>
          </cell>
        </row>
        <row r="238">
          <cell r="G238" t="str">
            <v/>
          </cell>
          <cell r="K238">
            <v>0</v>
          </cell>
          <cell r="O238">
            <v>2</v>
          </cell>
          <cell r="T238" t="str">
            <v>000000000008803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2</v>
          </cell>
          <cell r="T239" t="str">
            <v>000000000008803</v>
          </cell>
        </row>
        <row r="240">
          <cell r="C240" t="str">
            <v>LED-A1478</v>
          </cell>
          <cell r="G240" t="str">
            <v/>
          </cell>
          <cell r="K240">
            <v>0</v>
          </cell>
          <cell r="L240" t="str">
            <v>切断</v>
          </cell>
          <cell r="M240" t="str">
            <v>M</v>
          </cell>
          <cell r="O240">
            <v>0</v>
          </cell>
          <cell r="T240" t="str">
            <v>000000000008803</v>
          </cell>
        </row>
        <row r="241">
          <cell r="C241">
            <v>2</v>
          </cell>
          <cell r="G241" t="str">
            <v/>
          </cell>
          <cell r="K241">
            <v>0</v>
          </cell>
          <cell r="L241" t="str">
            <v>検査</v>
          </cell>
          <cell r="M241" t="str">
            <v>T</v>
          </cell>
          <cell r="T241" t="str">
            <v>000000000008803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>
            <v>0</v>
          </cell>
          <cell r="P242">
            <v>2</v>
          </cell>
          <cell r="T242" t="str">
            <v>000000000008803</v>
          </cell>
        </row>
        <row r="243">
          <cell r="C243" t="str">
            <v>8FL281304 5010　L=888</v>
          </cell>
          <cell r="D243">
            <v>45971</v>
          </cell>
          <cell r="E243" t="str">
            <v>25J20-06</v>
          </cell>
          <cell r="I243" t="str">
            <v>25J20-06</v>
          </cell>
          <cell r="J243">
            <v>10</v>
          </cell>
          <cell r="K243">
            <v>5</v>
          </cell>
          <cell r="L243">
            <v>45978</v>
          </cell>
          <cell r="M243">
            <v>1</v>
          </cell>
          <cell r="O243">
            <v>45978</v>
          </cell>
          <cell r="T243" t="str">
            <v>000000000008802</v>
          </cell>
        </row>
        <row r="244">
          <cell r="D244">
            <v>45975</v>
          </cell>
          <cell r="E244" t="str">
            <v>25J21-07</v>
          </cell>
          <cell r="F244">
            <v>20</v>
          </cell>
          <cell r="G244">
            <v>888</v>
          </cell>
          <cell r="H244">
            <v>888.27</v>
          </cell>
          <cell r="I244" t="str">
            <v>25J21-07</v>
          </cell>
          <cell r="J244">
            <v>90</v>
          </cell>
          <cell r="K244">
            <v>45</v>
          </cell>
          <cell r="O244">
            <v>100</v>
          </cell>
          <cell r="T244" t="str">
            <v>000000000008802</v>
          </cell>
        </row>
        <row r="245">
          <cell r="C245">
            <v>100</v>
          </cell>
          <cell r="D245">
            <v>45975</v>
          </cell>
          <cell r="E245" t="str">
            <v>25J21-07</v>
          </cell>
          <cell r="F245">
            <v>20</v>
          </cell>
          <cell r="G245">
            <v>888</v>
          </cell>
          <cell r="H245">
            <v>888.29</v>
          </cell>
          <cell r="K245">
            <v>0</v>
          </cell>
          <cell r="O245">
            <v>50</v>
          </cell>
          <cell r="T245" t="str">
            <v>000000000008802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000000000008802</v>
          </cell>
        </row>
        <row r="247">
          <cell r="C247">
            <v>2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000000000008802</v>
          </cell>
        </row>
        <row r="248">
          <cell r="C248" t="str">
            <v>LED-A888</v>
          </cell>
          <cell r="G248" t="str">
            <v/>
          </cell>
          <cell r="K248">
            <v>0</v>
          </cell>
          <cell r="L248" t="str">
            <v>切断</v>
          </cell>
          <cell r="M248" t="str">
            <v>M</v>
          </cell>
          <cell r="O248">
            <v>0</v>
          </cell>
          <cell r="T248" t="str">
            <v>000000000008802</v>
          </cell>
        </row>
        <row r="249">
          <cell r="C249">
            <v>1</v>
          </cell>
          <cell r="G249" t="str">
            <v/>
          </cell>
          <cell r="K249">
            <v>0</v>
          </cell>
          <cell r="L249" t="str">
            <v>検査</v>
          </cell>
          <cell r="M249" t="str">
            <v>T</v>
          </cell>
          <cell r="T249" t="str">
            <v>000000000008802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>
            <v>0</v>
          </cell>
          <cell r="P250">
            <v>0</v>
          </cell>
          <cell r="T250" t="str">
            <v>000000000008802</v>
          </cell>
        </row>
        <row r="251">
          <cell r="C251" t="str">
            <v>8FL281304 8310　L=748</v>
          </cell>
          <cell r="D251">
            <v>45967</v>
          </cell>
          <cell r="E251" t="str">
            <v>25J20-06</v>
          </cell>
          <cell r="I251" t="str">
            <v>25J20-06</v>
          </cell>
          <cell r="J251">
            <v>5</v>
          </cell>
          <cell r="K251">
            <v>2</v>
          </cell>
          <cell r="L251">
            <v>45978</v>
          </cell>
          <cell r="M251">
            <v>2</v>
          </cell>
          <cell r="O251">
            <v>45978</v>
          </cell>
          <cell r="P251">
            <v>2</v>
          </cell>
          <cell r="T251" t="str">
            <v>000000000008801</v>
          </cell>
        </row>
        <row r="252">
          <cell r="D252">
            <v>45975</v>
          </cell>
          <cell r="E252" t="str">
            <v>25J21-07</v>
          </cell>
          <cell r="F252">
            <v>20</v>
          </cell>
          <cell r="G252">
            <v>748</v>
          </cell>
          <cell r="H252">
            <v>747.93</v>
          </cell>
          <cell r="I252" t="str">
            <v>25J21-07</v>
          </cell>
          <cell r="J252">
            <v>184</v>
          </cell>
          <cell r="K252">
            <v>92</v>
          </cell>
          <cell r="O252">
            <v>200</v>
          </cell>
          <cell r="T252" t="str">
            <v>000000000008801</v>
          </cell>
        </row>
        <row r="253">
          <cell r="C253">
            <v>200</v>
          </cell>
          <cell r="D253">
            <v>45975</v>
          </cell>
          <cell r="E253" t="str">
            <v>25J22-08</v>
          </cell>
          <cell r="F253">
            <v>18</v>
          </cell>
          <cell r="G253">
            <v>747.9</v>
          </cell>
          <cell r="H253">
            <v>748.13</v>
          </cell>
          <cell r="I253" t="str">
            <v>25J22-08</v>
          </cell>
          <cell r="J253">
            <v>12</v>
          </cell>
          <cell r="K253">
            <v>6</v>
          </cell>
          <cell r="O253">
            <v>101</v>
          </cell>
          <cell r="T253" t="str">
            <v>000000000008801</v>
          </cell>
        </row>
        <row r="254">
          <cell r="G254" t="str">
            <v/>
          </cell>
          <cell r="K254">
            <v>0</v>
          </cell>
          <cell r="O254">
            <v>1</v>
          </cell>
          <cell r="T254" t="str">
            <v>000000000008801</v>
          </cell>
        </row>
        <row r="255">
          <cell r="C255">
            <v>2</v>
          </cell>
          <cell r="G255" t="str">
            <v/>
          </cell>
          <cell r="K255">
            <v>0</v>
          </cell>
          <cell r="O255">
            <v>2</v>
          </cell>
          <cell r="T255" t="str">
            <v>000000000008801</v>
          </cell>
        </row>
        <row r="256">
          <cell r="C256" t="str">
            <v>LED-A888</v>
          </cell>
          <cell r="G256" t="str">
            <v/>
          </cell>
          <cell r="K256">
            <v>0</v>
          </cell>
          <cell r="L256" t="str">
            <v>切断</v>
          </cell>
          <cell r="M256" t="str">
            <v>M</v>
          </cell>
          <cell r="O256">
            <v>1</v>
          </cell>
          <cell r="T256" t="str">
            <v>000000000008801</v>
          </cell>
        </row>
        <row r="257">
          <cell r="C257">
            <v>2</v>
          </cell>
          <cell r="G257" t="str">
            <v/>
          </cell>
          <cell r="K257">
            <v>0</v>
          </cell>
          <cell r="L257" t="str">
            <v>検査</v>
          </cell>
          <cell r="M257" t="str">
            <v>T</v>
          </cell>
          <cell r="T257" t="str">
            <v>000000000008801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1</v>
          </cell>
          <cell r="O258">
            <v>1</v>
          </cell>
          <cell r="P258">
            <v>2</v>
          </cell>
          <cell r="T258" t="str">
            <v>000000000008801</v>
          </cell>
        </row>
        <row r="259">
          <cell r="C259" t="str">
            <v>灯具カバーPC IN 2060　L=1258.5</v>
          </cell>
          <cell r="I259">
            <v>0</v>
          </cell>
          <cell r="K259">
            <v>0</v>
          </cell>
          <cell r="O259">
            <v>0</v>
          </cell>
          <cell r="T259" t="str">
            <v>000000000008708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000000000008708</v>
          </cell>
        </row>
        <row r="261">
          <cell r="C261">
            <v>80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000000000008708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000000000008708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000000000008708</v>
          </cell>
        </row>
        <row r="264">
          <cell r="C264" t="str">
            <v>灯具-1　L=1370</v>
          </cell>
          <cell r="G264" t="str">
            <v/>
          </cell>
          <cell r="K264">
            <v>0</v>
          </cell>
          <cell r="L264" t="str">
            <v>切断</v>
          </cell>
          <cell r="O264">
            <v>0</v>
          </cell>
          <cell r="T264" t="str">
            <v>000000000008708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検査</v>
          </cell>
          <cell r="T265" t="str">
            <v>000000000008708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>
            <v>0</v>
          </cell>
          <cell r="P266">
            <v>0</v>
          </cell>
          <cell r="T266" t="str">
            <v>000000000008708</v>
          </cell>
        </row>
        <row r="267">
          <cell r="C267" t="str">
            <v>灯具カバーPC IN 2050　L=1183.5</v>
          </cell>
          <cell r="I267">
            <v>0</v>
          </cell>
          <cell r="K267">
            <v>0</v>
          </cell>
          <cell r="O267">
            <v>0</v>
          </cell>
          <cell r="T267" t="str">
            <v>000000000008707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000000000008707</v>
          </cell>
        </row>
        <row r="269">
          <cell r="C269">
            <v>192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000000000008707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000000000008707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000000000008707</v>
          </cell>
        </row>
        <row r="272">
          <cell r="C272" t="str">
            <v>灯具-1　L=1370</v>
          </cell>
          <cell r="G272" t="str">
            <v/>
          </cell>
          <cell r="K272">
            <v>0</v>
          </cell>
          <cell r="L272" t="str">
            <v>切断</v>
          </cell>
          <cell r="O272">
            <v>0</v>
          </cell>
          <cell r="T272" t="str">
            <v>000000000008707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検査</v>
          </cell>
          <cell r="T273" t="str">
            <v>000000000008707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>
            <v>0</v>
          </cell>
          <cell r="P274">
            <v>0</v>
          </cell>
          <cell r="T274" t="str">
            <v>000000000008707</v>
          </cell>
        </row>
        <row r="275">
          <cell r="C275" t="str">
            <v>灯具カバーPC IN 2110　L=1815</v>
          </cell>
          <cell r="I275">
            <v>0</v>
          </cell>
          <cell r="K275">
            <v>0</v>
          </cell>
          <cell r="O275">
            <v>0</v>
          </cell>
          <cell r="T275" t="str">
            <v>000000000008711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000000000008711</v>
          </cell>
        </row>
        <row r="277">
          <cell r="C277">
            <v>192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000000000008711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000000000008711</v>
          </cell>
        </row>
        <row r="279">
          <cell r="C279">
            <v>1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000000000008711</v>
          </cell>
        </row>
        <row r="280">
          <cell r="C280" t="str">
            <v>灯具-2　L＝1996</v>
          </cell>
          <cell r="G280" t="str">
            <v/>
          </cell>
          <cell r="K280">
            <v>0</v>
          </cell>
          <cell r="L280" t="str">
            <v>切断</v>
          </cell>
          <cell r="O280">
            <v>0</v>
          </cell>
          <cell r="T280" t="str">
            <v>000000000008711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検査</v>
          </cell>
          <cell r="T281" t="str">
            <v>000000000008711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O282">
            <v>0</v>
          </cell>
          <cell r="P282">
            <v>0</v>
          </cell>
          <cell r="T282" t="str">
            <v>000000000008711</v>
          </cell>
        </row>
        <row r="283">
          <cell r="C283" t="str">
            <v>採光ルーバーパネルB　L=1996</v>
          </cell>
          <cell r="I283">
            <v>0</v>
          </cell>
          <cell r="K283">
            <v>0</v>
          </cell>
          <cell r="O283">
            <v>0</v>
          </cell>
          <cell r="T283" t="str">
            <v>000000000008855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000000000008855</v>
          </cell>
        </row>
        <row r="285">
          <cell r="C285">
            <v>588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000000000008855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000000000008855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000000000008855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切断</v>
          </cell>
          <cell r="O288">
            <v>0</v>
          </cell>
          <cell r="T288" t="str">
            <v>000000000008855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検査</v>
          </cell>
          <cell r="T289" t="str">
            <v>000000000008855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>
            <v>0</v>
          </cell>
          <cell r="P290">
            <v>0</v>
          </cell>
          <cell r="T290" t="str">
            <v>000000000008855</v>
          </cell>
        </row>
        <row r="291">
          <cell r="C291" t="str">
            <v>採光ルーバーパネルA　L=1996</v>
          </cell>
          <cell r="I291">
            <v>0</v>
          </cell>
          <cell r="K291">
            <v>0</v>
          </cell>
          <cell r="O291">
            <v>0</v>
          </cell>
          <cell r="T291" t="str">
            <v>000000000009310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000000000009310</v>
          </cell>
        </row>
        <row r="293">
          <cell r="C293">
            <v>280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000000000009310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000000000009310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000000000009310</v>
          </cell>
        </row>
        <row r="296">
          <cell r="C296" t="str">
            <v>上-1</v>
          </cell>
          <cell r="G296" t="str">
            <v/>
          </cell>
          <cell r="K296">
            <v>0</v>
          </cell>
          <cell r="L296" t="str">
            <v>切断</v>
          </cell>
          <cell r="O296">
            <v>0</v>
          </cell>
          <cell r="T296" t="str">
            <v>000000000009310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検査</v>
          </cell>
          <cell r="T297" t="str">
            <v>000000000009310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>
            <v>0</v>
          </cell>
          <cell r="P298">
            <v>0</v>
          </cell>
          <cell r="T298" t="str">
            <v>000000000009310</v>
          </cell>
        </row>
        <row r="299">
          <cell r="C299" t="str">
            <v>8FL281304 5010　L=888</v>
          </cell>
          <cell r="I299">
            <v>0</v>
          </cell>
          <cell r="K299">
            <v>0</v>
          </cell>
          <cell r="O299">
            <v>0</v>
          </cell>
          <cell r="T299" t="str">
            <v>000000000009233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000000000009233</v>
          </cell>
        </row>
        <row r="301">
          <cell r="C301">
            <v>1000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000000000009233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000000000009233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000000000009233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切断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検査</v>
          </cell>
          <cell r="T305" t="str">
            <v>000000000009233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O306">
            <v>0</v>
          </cell>
          <cell r="P306">
            <v>0</v>
          </cell>
          <cell r="T306" t="str">
            <v>000000000009233</v>
          </cell>
        </row>
        <row r="307">
          <cell r="C307" t="str">
            <v>8FL281304 5010　L=888</v>
          </cell>
          <cell r="I307">
            <v>0</v>
          </cell>
          <cell r="K307">
            <v>0</v>
          </cell>
          <cell r="O307">
            <v>0</v>
          </cell>
          <cell r="T307" t="str">
            <v>000000000009236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000000000009236</v>
          </cell>
        </row>
        <row r="309">
          <cell r="C309">
            <v>600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000000000009236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000000000009236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000000000009236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切断</v>
          </cell>
          <cell r="O312">
            <v>0</v>
          </cell>
          <cell r="T312" t="str">
            <v>000000000009236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検査</v>
          </cell>
          <cell r="T313" t="str">
            <v>000000000009236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>
            <v>0</v>
          </cell>
          <cell r="P314">
            <v>0</v>
          </cell>
          <cell r="T314" t="str">
            <v>000000000009236</v>
          </cell>
        </row>
        <row r="315">
          <cell r="C315" t="str">
            <v>8FL281304 5010　L=888</v>
          </cell>
          <cell r="I315">
            <v>0</v>
          </cell>
          <cell r="K315">
            <v>0</v>
          </cell>
          <cell r="O315">
            <v>0</v>
          </cell>
          <cell r="T315" t="str">
            <v>000000000009235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000000000009235</v>
          </cell>
        </row>
        <row r="317">
          <cell r="C317">
            <v>100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000000000009235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000000000009235</v>
          </cell>
        </row>
        <row r="319">
          <cell r="C319">
            <v>2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000000000009235</v>
          </cell>
        </row>
        <row r="320">
          <cell r="C320" t="str">
            <v>LED-A888</v>
          </cell>
          <cell r="G320" t="str">
            <v/>
          </cell>
          <cell r="K320">
            <v>0</v>
          </cell>
          <cell r="L320" t="str">
            <v>切断</v>
          </cell>
          <cell r="O320">
            <v>0</v>
          </cell>
          <cell r="T320" t="str">
            <v>000000000009235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検査</v>
          </cell>
          <cell r="T321" t="str">
            <v>000000000009235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O322">
            <v>0</v>
          </cell>
          <cell r="P322">
            <v>0</v>
          </cell>
          <cell r="T322" t="str">
            <v>000000000009235</v>
          </cell>
        </row>
        <row r="323">
          <cell r="C323" t="str">
            <v>8FL281304 8310　L=748</v>
          </cell>
          <cell r="I323">
            <v>0</v>
          </cell>
          <cell r="K323">
            <v>0</v>
          </cell>
          <cell r="O323">
            <v>0</v>
          </cell>
          <cell r="T323" t="str">
            <v>000000000009232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000000000009232</v>
          </cell>
        </row>
        <row r="325">
          <cell r="C325">
            <v>200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000000000009232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000000000009232</v>
          </cell>
        </row>
        <row r="327">
          <cell r="C327">
            <v>2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000000000009232</v>
          </cell>
        </row>
        <row r="328">
          <cell r="C328" t="str">
            <v>LED-A888</v>
          </cell>
          <cell r="G328" t="str">
            <v/>
          </cell>
          <cell r="K328">
            <v>0</v>
          </cell>
          <cell r="L328" t="str">
            <v>切断</v>
          </cell>
          <cell r="O328">
            <v>0</v>
          </cell>
          <cell r="T328" t="str">
            <v>000000000009232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検査</v>
          </cell>
          <cell r="T329" t="str">
            <v>000000000009232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O330">
            <v>0</v>
          </cell>
          <cell r="P330">
            <v>0</v>
          </cell>
          <cell r="T330" t="str">
            <v>000000000009232</v>
          </cell>
        </row>
        <row r="331">
          <cell r="C331" t="str">
            <v>採光ルーバーパネルB　L=1996</v>
          </cell>
          <cell r="I331">
            <v>0</v>
          </cell>
          <cell r="K331">
            <v>0</v>
          </cell>
          <cell r="O331">
            <v>0</v>
          </cell>
          <cell r="T331" t="str">
            <v>000000000009311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000000000009311</v>
          </cell>
        </row>
        <row r="333">
          <cell r="C333">
            <v>588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000000000009311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000000000009311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000000000009311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検査</v>
          </cell>
          <cell r="T337" t="str">
            <v>000000000009311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C339" t="str">
            <v>8FL281304 5010　L=888</v>
          </cell>
          <cell r="I339">
            <v>0</v>
          </cell>
          <cell r="K339">
            <v>0</v>
          </cell>
          <cell r="O339">
            <v>0</v>
          </cell>
          <cell r="T339" t="str">
            <v>000000000009234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000000000009234</v>
          </cell>
        </row>
        <row r="341">
          <cell r="C341">
            <v>2000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000000000009234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000000000009234</v>
          </cell>
        </row>
        <row r="343">
          <cell r="C343">
            <v>2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000000000009234</v>
          </cell>
        </row>
        <row r="344">
          <cell r="C344" t="str">
            <v>LED-A888</v>
          </cell>
          <cell r="G344" t="str">
            <v/>
          </cell>
          <cell r="K344">
            <v>0</v>
          </cell>
          <cell r="L344" t="str">
            <v>切断</v>
          </cell>
          <cell r="O344">
            <v>0</v>
          </cell>
          <cell r="T344" t="str">
            <v>000000000009234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検査</v>
          </cell>
          <cell r="T345" t="str">
            <v>000000000009234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O346">
            <v>0</v>
          </cell>
          <cell r="P346">
            <v>0</v>
          </cell>
          <cell r="T346" t="str">
            <v>000000000009234</v>
          </cell>
        </row>
        <row r="347">
          <cell r="C347" t="str">
            <v>8FL281304 6110　L=1478</v>
          </cell>
          <cell r="I347">
            <v>0</v>
          </cell>
          <cell r="K347">
            <v>0</v>
          </cell>
          <cell r="O347">
            <v>0</v>
          </cell>
          <cell r="T347" t="str">
            <v>000000000009237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000000000009237</v>
          </cell>
        </row>
        <row r="349">
          <cell r="C349">
            <v>300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000000000009237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000000000009237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000000000009237</v>
          </cell>
        </row>
        <row r="352">
          <cell r="C352" t="str">
            <v>LED-A1478</v>
          </cell>
          <cell r="G352" t="str">
            <v/>
          </cell>
          <cell r="K352">
            <v>0</v>
          </cell>
          <cell r="L352" t="str">
            <v>切断</v>
          </cell>
          <cell r="O352">
            <v>0</v>
          </cell>
          <cell r="T352" t="str">
            <v>000000000009237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検査</v>
          </cell>
          <cell r="T353" t="str">
            <v>000000000009237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O354">
            <v>0</v>
          </cell>
          <cell r="P354">
            <v>0</v>
          </cell>
          <cell r="T354" t="str">
            <v>000000000009237</v>
          </cell>
        </row>
        <row r="355">
          <cell r="C355" t="str">
            <v>8FL281304 4910　L=592</v>
          </cell>
          <cell r="I355">
            <v>0</v>
          </cell>
          <cell r="K355">
            <v>0</v>
          </cell>
          <cell r="O355">
            <v>0</v>
          </cell>
          <cell r="T355" t="str">
            <v>000000000009231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000000000009231</v>
          </cell>
        </row>
        <row r="357">
          <cell r="C357">
            <v>300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000000000009231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000000000009231</v>
          </cell>
        </row>
        <row r="359">
          <cell r="C359">
            <v>3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000000000009231</v>
          </cell>
        </row>
        <row r="360">
          <cell r="C360" t="str">
            <v>LED-A592</v>
          </cell>
          <cell r="G360" t="str">
            <v/>
          </cell>
          <cell r="K360">
            <v>0</v>
          </cell>
          <cell r="L360" t="str">
            <v>切断</v>
          </cell>
          <cell r="O360">
            <v>0</v>
          </cell>
          <cell r="T360" t="str">
            <v>000000000009231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検査</v>
          </cell>
          <cell r="T361" t="str">
            <v>000000000009231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O362">
            <v>0</v>
          </cell>
          <cell r="P362">
            <v>0</v>
          </cell>
          <cell r="T362" t="str">
            <v>000000000009231</v>
          </cell>
        </row>
        <row r="363">
          <cell r="C363" t="str">
            <v>8FL281304 4810　L=297</v>
          </cell>
          <cell r="I363">
            <v>0</v>
          </cell>
          <cell r="K363">
            <v>0</v>
          </cell>
          <cell r="O363">
            <v>0</v>
          </cell>
          <cell r="T363" t="str">
            <v>000000000009230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000000000009230</v>
          </cell>
        </row>
        <row r="365">
          <cell r="C365">
            <v>300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000000000009230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000000000009230</v>
          </cell>
        </row>
        <row r="367">
          <cell r="C367">
            <v>6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000000000009230</v>
          </cell>
        </row>
        <row r="368">
          <cell r="C368" t="str">
            <v>LED-A300</v>
          </cell>
          <cell r="G368" t="str">
            <v/>
          </cell>
          <cell r="K368">
            <v>0</v>
          </cell>
          <cell r="L368" t="str">
            <v>切断</v>
          </cell>
          <cell r="O368">
            <v>0</v>
          </cell>
          <cell r="T368" t="str">
            <v>000000000009230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検査</v>
          </cell>
          <cell r="T369" t="str">
            <v>000000000009230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O370">
            <v>0</v>
          </cell>
          <cell r="P370">
            <v>0</v>
          </cell>
          <cell r="T370" t="str">
            <v>000000000009230</v>
          </cell>
        </row>
        <row r="371">
          <cell r="C371" t="str">
            <v>ランプシェード　SL-600</v>
          </cell>
          <cell r="T371" t="str">
            <v>000000000008890</v>
          </cell>
        </row>
        <row r="372">
          <cell r="T372" t="str">
            <v>000000000008890</v>
          </cell>
        </row>
        <row r="373">
          <cell r="C373">
            <v>1200</v>
          </cell>
          <cell r="T373" t="str">
            <v>000000000008890</v>
          </cell>
        </row>
        <row r="374">
          <cell r="T374" t="str">
            <v>000000000008890</v>
          </cell>
        </row>
        <row r="375">
          <cell r="C375">
            <v>2</v>
          </cell>
          <cell r="T375" t="str">
            <v>000000000008890</v>
          </cell>
        </row>
        <row r="376">
          <cell r="T376" t="str">
            <v>000000000008890</v>
          </cell>
        </row>
        <row r="377">
          <cell r="T377" t="str">
            <v>000000000008890</v>
          </cell>
        </row>
        <row r="378">
          <cell r="T378" t="str">
            <v>000000000008890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tabSelected="1" topLeftCell="A138" workbookViewId="0">
      <selection activeCell="A152" sqref="A152:XFD17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6" t="s">
        <v>0</v>
      </c>
      <c r="C1" s="84"/>
      <c r="D1" s="84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4"/>
      <c r="C2" s="84"/>
      <c r="D2" s="84"/>
      <c r="E2" s="12"/>
      <c r="F2" s="12"/>
      <c r="G2" s="12"/>
      <c r="H2" s="12"/>
      <c r="I2" s="12"/>
      <c r="J2" s="12"/>
    </row>
    <row r="3" spans="1:10" ht="14.25" customHeight="1">
      <c r="A3" s="88" t="s">
        <v>1</v>
      </c>
      <c r="B3" s="88" t="s">
        <v>2</v>
      </c>
      <c r="C3" s="88" t="s">
        <v>3</v>
      </c>
      <c r="D3" s="135">
        <v>748</v>
      </c>
      <c r="E3" s="88" t="s">
        <v>4</v>
      </c>
      <c r="F3" s="144" t="s">
        <v>5</v>
      </c>
      <c r="G3" s="84"/>
      <c r="H3" s="117"/>
      <c r="I3" s="13" t="s">
        <v>6</v>
      </c>
      <c r="J3" s="13" t="s">
        <v>7</v>
      </c>
    </row>
    <row r="4" spans="1:10" ht="14.25" customHeight="1">
      <c r="A4" s="84"/>
      <c r="B4" s="84"/>
      <c r="C4" s="84"/>
      <c r="D4" s="84"/>
      <c r="E4" s="84"/>
      <c r="F4" s="84"/>
      <c r="G4" s="84"/>
      <c r="H4" s="117"/>
      <c r="I4" s="124"/>
      <c r="J4" s="124"/>
    </row>
    <row r="5" spans="1:10" ht="17.45" customHeight="1">
      <c r="A5" s="83" t="s">
        <v>8</v>
      </c>
      <c r="B5" s="83" t="s">
        <v>9</v>
      </c>
      <c r="E5" s="83" t="s">
        <v>10</v>
      </c>
      <c r="F5" s="116" t="s">
        <v>11</v>
      </c>
      <c r="G5" s="84"/>
      <c r="H5" s="117"/>
      <c r="I5" s="125"/>
      <c r="J5" s="125"/>
    </row>
    <row r="6" spans="1:10" ht="17.45" customHeight="1">
      <c r="A6" s="84"/>
      <c r="B6" s="84"/>
      <c r="E6" s="84"/>
      <c r="F6" s="84"/>
      <c r="G6" s="84"/>
      <c r="H6" s="117"/>
      <c r="I6" s="14"/>
      <c r="J6" s="14"/>
    </row>
    <row r="7" spans="1:10" ht="17.45" customHeight="1">
      <c r="A7" s="83" t="s">
        <v>12</v>
      </c>
      <c r="B7" s="83" t="s">
        <v>13</v>
      </c>
      <c r="E7" s="2" t="s">
        <v>14</v>
      </c>
      <c r="F7" s="136" t="s">
        <v>15</v>
      </c>
      <c r="G7" s="84"/>
      <c r="H7" s="21"/>
    </row>
    <row r="8" spans="1:10" ht="17.45" customHeight="1">
      <c r="A8" s="84"/>
      <c r="B8" s="84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45981</v>
      </c>
      <c r="E9" s="2" t="s">
        <v>19</v>
      </c>
      <c r="F9" s="85">
        <v>100</v>
      </c>
      <c r="G9" s="84"/>
      <c r="H9" s="21"/>
    </row>
    <row r="10" spans="1:10" ht="17.45" customHeight="1">
      <c r="A10" s="2" t="s">
        <v>20</v>
      </c>
      <c r="B10" s="4">
        <v>45981</v>
      </c>
      <c r="E10" s="2" t="s">
        <v>21</v>
      </c>
      <c r="F10" s="21">
        <v>2</v>
      </c>
      <c r="G10" s="120" t="s">
        <v>22</v>
      </c>
      <c r="H10" s="89">
        <v>200</v>
      </c>
      <c r="I10" s="90"/>
      <c r="J10" s="91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92"/>
      <c r="H11" s="92"/>
      <c r="I11" s="93"/>
      <c r="J11" s="94"/>
    </row>
    <row r="12" spans="1:10" ht="13.5" customHeight="1">
      <c r="A12" s="115" t="s">
        <v>25</v>
      </c>
      <c r="B12" s="84"/>
      <c r="C12" s="84"/>
      <c r="D12" s="20"/>
      <c r="F12" s="3"/>
      <c r="G12" s="126" t="s">
        <v>26</v>
      </c>
      <c r="H12" s="147" t="s">
        <v>27</v>
      </c>
      <c r="I12" s="122" t="s">
        <v>28</v>
      </c>
      <c r="J12" s="117"/>
    </row>
    <row r="13" spans="1:10" ht="13.5" customHeight="1">
      <c r="A13" s="84"/>
      <c r="B13" s="84"/>
      <c r="C13" s="84"/>
      <c r="D13" s="20"/>
      <c r="F13" s="3"/>
      <c r="G13" s="127"/>
      <c r="H13" s="127"/>
      <c r="I13" s="93"/>
      <c r="J13" s="94"/>
    </row>
    <row r="14" spans="1:10" ht="13.5" customHeight="1">
      <c r="A14" s="1" t="s">
        <v>29</v>
      </c>
    </row>
    <row r="15" spans="1:10" ht="63" customHeight="1" thickBot="1">
      <c r="A15" s="148"/>
      <c r="B15" s="149"/>
      <c r="C15" s="149"/>
      <c r="D15" s="149"/>
      <c r="E15" s="149"/>
      <c r="F15" s="149"/>
      <c r="G15" s="149"/>
      <c r="H15" s="149"/>
      <c r="I15" s="149"/>
      <c r="J15" s="149"/>
    </row>
    <row r="16" spans="1:10" ht="18.75">
      <c r="A16" s="23" t="s">
        <v>30</v>
      </c>
      <c r="B16" s="16" t="s">
        <v>31</v>
      </c>
      <c r="C16" s="123" t="s">
        <v>32</v>
      </c>
      <c r="D16" s="119"/>
      <c r="E16" s="16" t="s">
        <v>33</v>
      </c>
      <c r="F16" s="123" t="s">
        <v>34</v>
      </c>
      <c r="G16" s="119"/>
      <c r="H16" s="119"/>
      <c r="I16" s="118" t="s">
        <v>35</v>
      </c>
      <c r="J16" s="11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86" t="s">
        <v>37</v>
      </c>
      <c r="D18" s="87"/>
      <c r="E18" s="24" t="s">
        <v>38</v>
      </c>
      <c r="F18" s="86" t="s">
        <v>39</v>
      </c>
      <c r="G18" s="87"/>
      <c r="H18" s="87"/>
      <c r="I18" s="121"/>
      <c r="J18" s="87"/>
    </row>
    <row r="19" spans="1:10" s="7" customFormat="1" ht="16.5" customHeight="1">
      <c r="A19" s="22">
        <v>1</v>
      </c>
      <c r="B19" s="25" t="s">
        <v>36</v>
      </c>
      <c r="C19" s="86" t="s">
        <v>37</v>
      </c>
      <c r="D19" s="87"/>
      <c r="E19" s="24" t="s">
        <v>40</v>
      </c>
      <c r="F19" s="86" t="s">
        <v>41</v>
      </c>
      <c r="G19" s="87"/>
      <c r="H19" s="87"/>
      <c r="I19" s="121"/>
      <c r="J19" s="87"/>
    </row>
    <row r="20" spans="1:10" s="7" customFormat="1" ht="16.5" customHeight="1">
      <c r="A20" s="22"/>
      <c r="B20" s="25"/>
      <c r="C20" s="86"/>
      <c r="D20" s="87"/>
      <c r="E20" s="24"/>
      <c r="F20" s="86"/>
      <c r="G20" s="87"/>
      <c r="H20" s="87"/>
      <c r="I20" s="121"/>
      <c r="J20" s="87"/>
    </row>
    <row r="21" spans="1:10" s="7" customFormat="1" ht="16.5" customHeight="1">
      <c r="A21" s="22"/>
      <c r="B21" s="25"/>
      <c r="C21" s="86"/>
      <c r="D21" s="87"/>
      <c r="E21" s="24"/>
      <c r="F21" s="86"/>
      <c r="G21" s="87"/>
      <c r="H21" s="87"/>
      <c r="I21" s="121"/>
      <c r="J21" s="87"/>
    </row>
    <row r="22" spans="1:10" s="7" customFormat="1" ht="16.5" customHeight="1">
      <c r="A22" s="22"/>
      <c r="B22" s="25"/>
      <c r="C22" s="86"/>
      <c r="D22" s="87"/>
      <c r="E22" s="24"/>
      <c r="F22" s="86"/>
      <c r="G22" s="87"/>
      <c r="H22" s="87"/>
      <c r="I22" s="121"/>
      <c r="J22" s="87"/>
    </row>
    <row r="23" spans="1:10" s="7" customFormat="1" ht="16.5" customHeight="1">
      <c r="A23" s="22"/>
      <c r="B23" s="25"/>
      <c r="C23" s="86"/>
      <c r="D23" s="87"/>
      <c r="E23" s="24"/>
      <c r="F23" s="86"/>
      <c r="G23" s="87"/>
      <c r="H23" s="87"/>
      <c r="I23" s="121"/>
      <c r="J23" s="8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11" t="s">
        <v>42</v>
      </c>
      <c r="B25" s="112"/>
      <c r="C25" s="111" t="s">
        <v>43</v>
      </c>
      <c r="D25" s="112"/>
      <c r="E25" s="112"/>
      <c r="F25" s="17" t="s">
        <v>44</v>
      </c>
      <c r="G25" s="111" t="s">
        <v>45</v>
      </c>
      <c r="H25" s="112"/>
      <c r="I25" s="111" t="s">
        <v>46</v>
      </c>
      <c r="J25" s="112"/>
    </row>
    <row r="26" spans="1:10" ht="14.25" customHeight="1">
      <c r="A26" s="8"/>
      <c r="B26" s="18"/>
      <c r="C26" s="145" t="s">
        <v>47</v>
      </c>
      <c r="D26" s="93"/>
      <c r="E26" s="18"/>
      <c r="F26" s="145" t="s">
        <v>29</v>
      </c>
      <c r="G26" s="93"/>
      <c r="H26" s="93"/>
      <c r="I26" s="93"/>
      <c r="J26" s="93"/>
    </row>
    <row r="27" spans="1:10">
      <c r="A27" s="9"/>
      <c r="C27" s="7"/>
      <c r="D27" s="7"/>
      <c r="E27" s="7"/>
    </row>
    <row r="28" spans="1:10" s="5" customFormat="1" ht="14.25" customHeight="1">
      <c r="A28" s="86" t="s">
        <v>48</v>
      </c>
      <c r="B28" s="113"/>
      <c r="C28" s="86" t="s">
        <v>49</v>
      </c>
      <c r="D28" s="113"/>
      <c r="E28" s="113"/>
      <c r="F28" s="26" t="s">
        <v>27</v>
      </c>
      <c r="G28" s="110">
        <v>100</v>
      </c>
      <c r="H28" s="113"/>
      <c r="I28" s="110">
        <v>1</v>
      </c>
      <c r="J28" s="113"/>
    </row>
    <row r="29" spans="1:10" s="7" customFormat="1" ht="24.95" customHeight="1">
      <c r="A29" s="114" t="s">
        <v>50</v>
      </c>
      <c r="B29" s="87"/>
      <c r="C29" s="86"/>
      <c r="D29" s="87"/>
      <c r="E29" s="87"/>
      <c r="F29" s="86"/>
      <c r="G29" s="87"/>
      <c r="H29" s="87"/>
      <c r="I29" s="87"/>
      <c r="J29" s="87"/>
    </row>
    <row r="30" spans="1:10" s="5" customFormat="1" ht="14.25" customHeight="1">
      <c r="A30" s="86" t="s">
        <v>51</v>
      </c>
      <c r="B30" s="113"/>
      <c r="C30" s="86" t="s">
        <v>52</v>
      </c>
      <c r="D30" s="113"/>
      <c r="E30" s="113"/>
      <c r="F30" s="26" t="s">
        <v>36</v>
      </c>
      <c r="G30" s="110">
        <v>2</v>
      </c>
      <c r="H30" s="113"/>
      <c r="I30" s="110">
        <v>0.02</v>
      </c>
      <c r="J30" s="113"/>
    </row>
    <row r="31" spans="1:10" s="7" customFormat="1" ht="24.95" customHeight="1">
      <c r="A31" s="114" t="s">
        <v>53</v>
      </c>
      <c r="B31" s="87"/>
      <c r="C31" s="86" t="s">
        <v>54</v>
      </c>
      <c r="D31" s="87"/>
      <c r="E31" s="87"/>
      <c r="F31" s="86"/>
      <c r="G31" s="87"/>
      <c r="H31" s="87"/>
      <c r="I31" s="87"/>
      <c r="J31" s="87"/>
    </row>
    <row r="32" spans="1:10" s="5" customFormat="1" ht="14.25" customHeight="1">
      <c r="A32" s="86" t="s">
        <v>55</v>
      </c>
      <c r="B32" s="113"/>
      <c r="C32" s="86" t="s">
        <v>56</v>
      </c>
      <c r="D32" s="113"/>
      <c r="E32" s="113"/>
      <c r="F32" s="26"/>
      <c r="G32" s="110">
        <v>0.2</v>
      </c>
      <c r="H32" s="113"/>
      <c r="I32" s="110">
        <v>2E-3</v>
      </c>
      <c r="J32" s="113"/>
    </row>
    <row r="33" spans="1:14" s="7" customFormat="1" ht="24.95" customHeight="1">
      <c r="A33" s="114" t="s">
        <v>57</v>
      </c>
      <c r="B33" s="87"/>
      <c r="C33" s="86" t="s">
        <v>58</v>
      </c>
      <c r="D33" s="87"/>
      <c r="E33" s="87"/>
      <c r="F33" s="86"/>
      <c r="G33" s="87"/>
      <c r="H33" s="87"/>
      <c r="I33" s="87"/>
      <c r="J33" s="87"/>
    </row>
    <row r="34" spans="1:14" s="5" customFormat="1" ht="14.25" customHeight="1">
      <c r="A34" s="86" t="s">
        <v>59</v>
      </c>
      <c r="B34" s="113"/>
      <c r="C34" s="86" t="s">
        <v>60</v>
      </c>
      <c r="D34" s="113"/>
      <c r="E34" s="113"/>
      <c r="F34" s="26"/>
      <c r="G34" s="110">
        <v>0.2</v>
      </c>
      <c r="H34" s="113"/>
      <c r="I34" s="110">
        <v>2E-3</v>
      </c>
      <c r="J34" s="113"/>
    </row>
    <row r="35" spans="1:14" s="7" customFormat="1" ht="24.95" customHeight="1">
      <c r="A35" s="114" t="s">
        <v>61</v>
      </c>
      <c r="B35" s="87"/>
      <c r="C35" s="86" t="s">
        <v>62</v>
      </c>
      <c r="D35" s="87"/>
      <c r="E35" s="87"/>
      <c r="F35" s="86"/>
      <c r="G35" s="87"/>
      <c r="H35" s="87"/>
      <c r="I35" s="87"/>
      <c r="J35" s="87"/>
    </row>
    <row r="36" spans="1:14" s="5" customFormat="1" ht="14.25" customHeight="1">
      <c r="A36" s="86"/>
      <c r="B36" s="113"/>
      <c r="C36" s="86"/>
      <c r="D36" s="113"/>
      <c r="E36" s="113"/>
      <c r="F36" s="26"/>
      <c r="G36" s="110"/>
      <c r="H36" s="113"/>
      <c r="I36" s="110"/>
      <c r="J36" s="113"/>
    </row>
    <row r="37" spans="1:14" s="7" customFormat="1" ht="24.95" customHeight="1" thickBot="1">
      <c r="A37" s="114"/>
      <c r="B37" s="87"/>
      <c r="C37" s="86"/>
      <c r="D37" s="87"/>
      <c r="E37" s="87"/>
      <c r="F37" s="86"/>
      <c r="G37" s="87"/>
      <c r="H37" s="87"/>
      <c r="I37" s="87"/>
      <c r="J37" s="87"/>
    </row>
    <row r="38" spans="1:14" s="5" customFormat="1" ht="18" customHeight="1">
      <c r="A38" s="95" t="s">
        <v>83</v>
      </c>
      <c r="B38" s="96"/>
      <c r="C38" s="96"/>
      <c r="D38" s="96"/>
      <c r="E38" s="97" t="s">
        <v>84</v>
      </c>
      <c r="F38" s="98"/>
      <c r="G38" s="27" t="s">
        <v>85</v>
      </c>
      <c r="H38" s="99" t="s">
        <v>86</v>
      </c>
      <c r="I38" s="100"/>
      <c r="J38" s="28" t="s">
        <v>87</v>
      </c>
    </row>
    <row r="39" spans="1:14" s="7" customFormat="1" ht="18" customHeight="1">
      <c r="A39" s="101" t="str">
        <f>_xlfn.XLOOKUP(B3,[1]VFDB2!A:A,[1]VFDB2!B:B)</f>
        <v>8FL281304 8310　L=748</v>
      </c>
      <c r="B39" s="102"/>
      <c r="C39" s="102"/>
      <c r="D39" s="102"/>
      <c r="E39" s="105" t="str" cm="1">
        <f t="array" ref="E39">IFERROR(IF(ISBLANK(INDEX(_xlfn._xlws.FILTER([1]加工記録２!$C$3:$C$999615, [1]加工記録２!$T$3:$T$999615=B5), 6)), "", INDEX(_xlfn._xlws.FILTER([1]加工記録２!$C$3:$C$999615, [1]加工記録２!$T$3:$T$999615=B5), 6)),"")</f>
        <v>LED-A888</v>
      </c>
      <c r="F39" s="106"/>
      <c r="G39" s="107" cm="1">
        <f t="array" ref="G39">IFERROR(IF(ISBLANK(INDEX(_xlfn._xlws.FILTER([1]加工記録２!$C$3:$C$999615, [1]加工記録２!$T$3:$T$999615=B5), 7)), " ", INDEX(_xlfn._xlws.FILTER([1]加工記録２!$C$3:$C$999615, [1]加工記録２!$T$3:$T$999615=B5), 7))," ")</f>
        <v>2</v>
      </c>
      <c r="H39" s="29" t="s">
        <v>88</v>
      </c>
      <c r="I39" s="47" cm="1">
        <f t="array" ref="I39:J39">IFERROR(IF(ISBLANK(INDEX(_xlfn._xlws.FILTER([1]加工記録２!$O$3:$P$999678, [1]加工記録２!$T$3:$T$999678=B5), 1)), "", INDEX(_xlfn._xlws.FILTER([1]加工記録２!$O$3:$P$999678, [1]加工記録２!$T$3:$T$999678=B5), 1)),"")</f>
        <v>45978</v>
      </c>
      <c r="J39" s="48">
        <v>2</v>
      </c>
    </row>
    <row r="40" spans="1:14" s="5" customFormat="1" ht="18" customHeight="1">
      <c r="A40" s="103"/>
      <c r="B40" s="104"/>
      <c r="C40" s="104"/>
      <c r="D40" s="104"/>
      <c r="E40" s="105"/>
      <c r="F40" s="106"/>
      <c r="G40" s="107"/>
      <c r="H40" s="29" t="s">
        <v>89</v>
      </c>
      <c r="I40" s="49" cm="1">
        <f t="array" ref="I40:J40">IFERROR(IF(ISBLANK(INDEX(_xlfn._xlws.FILTER([1]加工記録２!$O$3:$P$999678, [1]加工記録２!$T$3:$T$999678=B5), 2)), "", INDEX(_xlfn._xlws.FILTER([1]加工記録２!$O$3:$P$999678, [1]加工記録２!$T$3:$T$999678=B5), 2)),"")</f>
        <v>200</v>
      </c>
      <c r="J40" s="50" t="str">
        <v/>
      </c>
      <c r="K40" s="30"/>
    </row>
    <row r="41" spans="1:14" s="7" customFormat="1" ht="18" customHeight="1">
      <c r="A41" s="108" t="s">
        <v>90</v>
      </c>
      <c r="B41" s="133" t="str">
        <f>_xlfn.XLOOKUP(B3,[1]VFDB2!A:A,[1]VFDB2!J:J)</f>
        <v>〇</v>
      </c>
      <c r="C41" s="128" t="s">
        <v>91</v>
      </c>
      <c r="D41" s="130">
        <f>_xlfn.XLOOKUP(B3,[1]VFDB2!A:A,[1]VFDB2!P:P)</f>
        <v>2</v>
      </c>
      <c r="E41" s="105" t="str">
        <f>_xlfn.XLOOKUP(B3,[1]VFDB2!A:A,[1]VFDB2!V:V)</f>
        <v>1箱目の梱包数 目視確認　以降、重量測定</v>
      </c>
      <c r="F41" s="106"/>
      <c r="G41" s="132"/>
      <c r="H41" s="31" t="s">
        <v>92</v>
      </c>
      <c r="I41" s="49" cm="1">
        <f t="array" ref="I41:J41">IFERROR(IF(ISBLANK(INDEX(_xlfn._xlws.FILTER([1]加工記録２!$O$3:$P$999678, [1]加工記録２!$T$3:$T$999678=B5), 3)), "", INDEX(_xlfn._xlws.FILTER([1]加工記録２!$O$3:$P$999678, [1]加工記録２!$T$3:$T$999678=B5), 3)),"")</f>
        <v>101</v>
      </c>
      <c r="J41" s="51" t="str">
        <v/>
      </c>
      <c r="K41" s="32"/>
    </row>
    <row r="42" spans="1:14" s="5" customFormat="1" ht="18" customHeight="1">
      <c r="A42" s="109"/>
      <c r="B42" s="134"/>
      <c r="C42" s="129"/>
      <c r="D42" s="131"/>
      <c r="E42" s="105"/>
      <c r="F42" s="106"/>
      <c r="G42" s="132"/>
      <c r="H42" s="31" t="s">
        <v>93</v>
      </c>
      <c r="I42" s="49" cm="1">
        <f t="array" ref="I42:J42">IFERROR(IF(ISBLANK(INDEX(_xlfn._xlws.FILTER([1]加工記録２!$O$3:$P$999678, [1]加工記録２!$T$3:$T$999678=B5), 4)), "", INDEX(_xlfn._xlws.FILTER([1]加工記録２!$O$3:$P$999678, [1]加工記録２!$T$3:$T$999678=B5), 4)),"")</f>
        <v>1</v>
      </c>
      <c r="J42" s="52" t="str">
        <v/>
      </c>
      <c r="K42" s="30"/>
    </row>
    <row r="43" spans="1:14" s="7" customFormat="1" ht="18" customHeight="1">
      <c r="A43" s="137" t="s">
        <v>94</v>
      </c>
      <c r="B43" s="139">
        <f>D3</f>
        <v>748</v>
      </c>
      <c r="C43" s="150" t="s">
        <v>95</v>
      </c>
      <c r="D43" s="152" t="str">
        <f>_xlfn.XLOOKUP(B3,[1]VFDB2!A:A,[1]VFDB2!L:L)</f>
        <v>+0.5</v>
      </c>
      <c r="E43" s="105" t="str">
        <f>_xlfn.XLOOKUP(B3,[1]VFDB2!A:A,[1]VFDB2!W:W)</f>
        <v>L=888用　クラフト紙</v>
      </c>
      <c r="F43" s="106"/>
      <c r="G43" s="132"/>
      <c r="H43" s="31" t="s">
        <v>96</v>
      </c>
      <c r="I43" s="49" cm="1">
        <f t="array" ref="I43:J43">IFERROR(IF(ISBLANK(INDEX(_xlfn._xlws.FILTER([1]加工記録２!$O$3:$P$999678, [1]加工記録２!$T$3:$T$999678=B5), 5)), "", INDEX(_xlfn._xlws.FILTER([1]加工記録２!$O$3:$P$999678, [1]加工記録２!$T$3:$T$999678=B5), 5)),"")</f>
        <v>2</v>
      </c>
      <c r="J43" s="53" t="str">
        <v/>
      </c>
      <c r="K43" s="32"/>
    </row>
    <row r="44" spans="1:14" s="5" customFormat="1" ht="18" customHeight="1">
      <c r="A44" s="138"/>
      <c r="B44" s="140"/>
      <c r="C44" s="151"/>
      <c r="D44" s="153"/>
      <c r="E44" s="105"/>
      <c r="F44" s="106"/>
      <c r="G44" s="132"/>
      <c r="H44" s="31" t="s">
        <v>97</v>
      </c>
      <c r="I44" s="49" cm="1">
        <f t="array" ref="I44:J44">IFERROR(IF(ISBLANK(INDEX(_xlfn._xlws.FILTER([1]加工記録２!$O$3:$P$999678, [1]加工記録２!$T$3:$T$999678=B5), 6)), "", INDEX(_xlfn._xlws.FILTER([1]加工記録２!$O$3:$P$999678, [1]加工記録２!$T$3:$T$999678=B5), 6)),"")</f>
        <v>1</v>
      </c>
      <c r="J44" s="54" t="str">
        <v/>
      </c>
      <c r="K44" s="30"/>
    </row>
    <row r="45" spans="1:14" s="7" customFormat="1" ht="18" customHeight="1">
      <c r="A45" s="108" t="s">
        <v>98</v>
      </c>
      <c r="B45" s="142" t="str">
        <f>_xlfn.XLOOKUP(B3,[1]VFDB2!A:A,[1]VFDB2!AC:AC)</f>
        <v>換算表確認</v>
      </c>
      <c r="C45" s="154" t="s">
        <v>99</v>
      </c>
      <c r="D45" s="152" t="str">
        <f>_xlfn.XLOOKUP(B3,[1]VFDB2!A:A,[1]VFDB2!K:K)</f>
        <v>－0.5</v>
      </c>
      <c r="E45" s="105" t="str">
        <f>_xlfn.XLOOKUP(B3,[1]VFDB2!A:A,[1]VFDB2!R:R)</f>
        <v>ラベル１枚　長手無　鉢巻１回</v>
      </c>
      <c r="F45" s="106"/>
      <c r="G45" s="132"/>
      <c r="H45" s="31" t="s">
        <v>100</v>
      </c>
      <c r="I45" s="49" t="str" cm="1">
        <f t="array" ref="I45">IFERROR(IF(ISBLANK(INDEX(_xlfn._xlws.FILTER([1]加工記録２!$M$3:$M$999678, [1]加工記録２!$T$3:$T$999678=B5), 6)), "", INDEX(_xlfn._xlws.FILTER([1]加工記録２!$M$3:$M$999678, [1]加工記録２!$T$3:$T$999678=B5), 6)),"")</f>
        <v>M</v>
      </c>
      <c r="J45" s="55" t="str" cm="1">
        <f t="array" ref="J45">IFERROR(IF(ISBLANK(INDEX(_xlfn._xlws.FILTER([1]加工記録２!$P$3:$P$999678, [1]加工記録２!$T$3:$T$999678=B5), 7)), "", INDEX(_xlfn._xlws.FILTER([1]加工記録２!$P$3:$P$999678, [1]加工記録２!$T$3:$T$999678=B5), 7)),"")</f>
        <v/>
      </c>
      <c r="K45" s="32"/>
    </row>
    <row r="46" spans="1:14" s="5" customFormat="1" ht="18" customHeight="1" thickBot="1">
      <c r="A46" s="141"/>
      <c r="B46" s="143"/>
      <c r="C46" s="155"/>
      <c r="D46" s="156"/>
      <c r="E46" s="157"/>
      <c r="F46" s="158"/>
      <c r="G46" s="159"/>
      <c r="H46" s="33" t="s">
        <v>101</v>
      </c>
      <c r="I46" s="49" t="str" cm="1">
        <f t="array" ref="I46">IFERROR(IF(ISBLANK(INDEX(_xlfn._xlws.FILTER([1]加工記録２!$M$3:$M$999678, [1]加工記録２!$T$3:$T$999678=B5), 7)), "", INDEX(_xlfn._xlws.FILTER([1]加工記録２!$M$3:$M$999678, [1]加工記録２!$T$3:$T$999678=B5), 7)),"")</f>
        <v>T</v>
      </c>
      <c r="J46" s="56">
        <f>SUM(J39:J45)</f>
        <v>2</v>
      </c>
    </row>
    <row r="47" spans="1:14" s="44" customFormat="1" ht="18.95" customHeight="1">
      <c r="A47" s="34" t="s">
        <v>102</v>
      </c>
      <c r="B47" s="35" t="s">
        <v>103</v>
      </c>
      <c r="C47" s="36" t="s">
        <v>104</v>
      </c>
      <c r="D47" s="36" t="s">
        <v>105</v>
      </c>
      <c r="E47" s="37" t="s">
        <v>106</v>
      </c>
      <c r="F47" s="38" t="s">
        <v>107</v>
      </c>
      <c r="G47" s="39" t="s">
        <v>108</v>
      </c>
      <c r="H47" s="40" t="s">
        <v>109</v>
      </c>
      <c r="I47" s="41" t="s">
        <v>110</v>
      </c>
      <c r="J47" s="42" t="s">
        <v>111</v>
      </c>
      <c r="K47" s="43"/>
      <c r="L47" s="43"/>
      <c r="M47" s="43"/>
      <c r="N47" s="43"/>
    </row>
    <row r="48" spans="1:14" s="46" customFormat="1" ht="18.95" customHeight="1">
      <c r="A48" s="57" cm="1">
        <f t="array" ref="A48:J48">IFERROR(IF(ISBLANK(INDEX(_xlfn._xlws.FILTER([1]加工記録２!$D$3:$M$999678, [1]加工記録２!$T$3:$T$999678=B5), 1)), "", INDEX(_xlfn._xlws.FILTER([1]加工記録２!$D$3:$M$999678, [1]加工記録２!$T$3:$T$999678=B5), 1)),"")</f>
        <v>45967</v>
      </c>
      <c r="B48" s="58" t="str">
        <v>25J20-06</v>
      </c>
      <c r="C48" s="59" t="str">
        <v/>
      </c>
      <c r="D48" s="59" t="str">
        <v/>
      </c>
      <c r="E48" s="60" t="str">
        <v/>
      </c>
      <c r="F48" s="61" t="str">
        <v>25J20-06</v>
      </c>
      <c r="G48" s="62">
        <v>5</v>
      </c>
      <c r="H48" s="63">
        <v>2</v>
      </c>
      <c r="I48" s="64">
        <v>45978</v>
      </c>
      <c r="J48" s="65">
        <v>2</v>
      </c>
      <c r="K48" s="45"/>
      <c r="L48" s="45"/>
      <c r="M48" s="45"/>
      <c r="N48" s="45"/>
    </row>
    <row r="49" spans="1:14" s="46" customFormat="1" ht="18.95" customHeight="1">
      <c r="A49" s="57" cm="1">
        <f t="array" ref="A49:J49">IFERROR(IF(ISBLANK(INDEX(_xlfn._xlws.FILTER([1]加工記録２!$D$3:$M$999678, [1]加工記録２!$T$3:$T$999678=B5), 2)), "", INDEX(_xlfn._xlws.FILTER([1]加工記録２!$D$3:$M$999678, [1]加工記録２!$T$3:$T$999678=B5), 2)),"")</f>
        <v>45975</v>
      </c>
      <c r="B49" s="66" t="str">
        <v>25J21-07</v>
      </c>
      <c r="C49" s="66">
        <v>20</v>
      </c>
      <c r="D49" s="67">
        <v>748</v>
      </c>
      <c r="E49" s="68">
        <v>747.93</v>
      </c>
      <c r="F49" s="69" t="str">
        <v>25J21-07</v>
      </c>
      <c r="G49" s="70">
        <v>184</v>
      </c>
      <c r="H49" s="71">
        <v>92</v>
      </c>
      <c r="I49" s="64" t="str">
        <v/>
      </c>
      <c r="J49" s="65" t="str">
        <v/>
      </c>
      <c r="K49" s="45"/>
      <c r="L49" s="45"/>
      <c r="M49" s="45"/>
      <c r="N49" s="45"/>
    </row>
    <row r="50" spans="1:14" s="46" customFormat="1" ht="18.95" customHeight="1">
      <c r="A50" s="57" cm="1">
        <f t="array" ref="A50:J50">IFERROR(IF(ISBLANK(INDEX(_xlfn._xlws.FILTER([1]加工記録２!$D$3:$M$999678, [1]加工記録２!$T$3:$T$999678=B5), 3)), "", INDEX(_xlfn._xlws.FILTER([1]加工記録２!$D$3:$M$999678, [1]加工記録２!$T$3:$T$999678=B5), 3)),"")</f>
        <v>45975</v>
      </c>
      <c r="B50" s="66" t="str">
        <v>25J22-08</v>
      </c>
      <c r="C50" s="66">
        <v>18</v>
      </c>
      <c r="D50" s="67">
        <v>747.9</v>
      </c>
      <c r="E50" s="68">
        <v>748.13</v>
      </c>
      <c r="F50" s="69" t="str">
        <v>25J22-08</v>
      </c>
      <c r="G50" s="70">
        <v>12</v>
      </c>
      <c r="H50" s="71">
        <v>6</v>
      </c>
      <c r="I50" s="64" t="str">
        <v/>
      </c>
      <c r="J50" s="65" t="str">
        <v/>
      </c>
      <c r="K50" s="45"/>
      <c r="L50" s="45"/>
      <c r="M50" s="45"/>
      <c r="N50" s="45"/>
    </row>
    <row r="51" spans="1:14" s="46" customFormat="1" ht="18.95" customHeight="1">
      <c r="A51" s="57" t="str" cm="1">
        <f t="array" ref="A51:J51">IFERROR(IF(ISBLANK(INDEX(_xlfn._xlws.FILTER([1]加工記録２!$D$3:$M$999678, [1]加工記録２!$T$3:$T$999678=B5), 4)), "", INDEX(_xlfn._xlws.FILTER([1]加工記録２!$D$3:$M$999678, [1]加工記録２!$T$3:$T$999678=B5),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>
        <v>0</v>
      </c>
      <c r="I51" s="64" t="str">
        <v/>
      </c>
      <c r="J51" s="65" t="str">
        <v/>
      </c>
      <c r="K51" s="45"/>
      <c r="L51" s="45"/>
      <c r="M51" s="45"/>
      <c r="N51" s="45"/>
    </row>
    <row r="52" spans="1:14" s="46" customFormat="1" ht="18.95" customHeight="1">
      <c r="A52" s="57" t="str" cm="1">
        <f t="array" ref="A52:J52">IFERROR(IF(ISBLANK(INDEX(_xlfn._xlws.FILTER([1]加工記録２!$D$3:$M$999678, [1]加工記録２!$T$3:$T$999678=B5), 5)), "", INDEX(_xlfn._xlws.FILTER([1]加工記録２!$D$3:$M$999678, [1]加工記録２!$T$3:$T$999678=B5),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45"/>
      <c r="L52" s="45"/>
      <c r="M52" s="45"/>
      <c r="N52" s="45"/>
    </row>
    <row r="53" spans="1:14" s="46" customFormat="1" ht="18.95" customHeight="1">
      <c r="A53" s="57" t="str" cm="1">
        <f t="array" ref="A53:H53">IFERROR(IF(ISBLANK(INDEX(_xlfn._xlws.FILTER([1]加工記録２!$D$3:$K$999678, [1]加工記録２!$T$3:$T$999678=B5), 6)), "", INDEX(_xlfn._xlws.FILTER([1]加工記録２!$D$3:$K$999678, [1]加工記録２!$T$3:$T$999678=B5),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>
        <v>0</v>
      </c>
      <c r="I53" s="72"/>
      <c r="J53" s="73"/>
      <c r="K53" s="45"/>
      <c r="L53" s="45"/>
      <c r="M53" s="45"/>
      <c r="N53" s="45"/>
    </row>
    <row r="54" spans="1:14" s="46" customFormat="1" ht="18.95" customHeight="1">
      <c r="A54" s="57" t="str" cm="1">
        <f t="array" ref="A54:H54">IFERROR(IF(ISBLANK(INDEX(_xlfn._xlws.FILTER([1]加工記録２!$D$3:$K$999678, [1]加工記録２!$T$3:$T$999678=B5), 7)), "", INDEX(_xlfn._xlws.FILTER([1]加工記録２!$D$3:$K$999678, [1]加工記録２!$T$3:$T$999678=B5),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45"/>
      <c r="L54" s="45"/>
      <c r="M54" s="45"/>
      <c r="N54" s="45"/>
    </row>
    <row r="55" spans="1:14" s="46" customFormat="1" ht="18.95" customHeight="1" thickBot="1">
      <c r="A55" s="74" t="str" cm="1">
        <f t="array" ref="A55:H55">IFERROR(IF(ISBLANK(INDEX(_xlfn._xlws.FILTER([1]加工記録２!$D$3:$K$999678, [1]加工記録２!$T$3:$T$999678=B5), 8)), "", INDEX(_xlfn._xlws.FILTER([1]加工記録２!$D$3:$K$999678, [1]加工記録２!$T$3:$T$999678=B5),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/>
      <c r="J55" s="82"/>
      <c r="K55" s="45"/>
      <c r="L55" s="45"/>
      <c r="M55" s="45"/>
      <c r="N55" s="4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6" t="s">
        <v>0</v>
      </c>
      <c r="C58" s="84"/>
      <c r="D58" s="84"/>
      <c r="E58" s="11"/>
      <c r="F58" s="11"/>
      <c r="G58" s="11"/>
      <c r="H58" s="11"/>
      <c r="I58" s="11"/>
      <c r="J58" s="11"/>
    </row>
    <row r="59" spans="1:14" ht="14.25" customHeight="1">
      <c r="A59" s="12"/>
      <c r="B59" s="84"/>
      <c r="C59" s="84"/>
      <c r="D59" s="84"/>
      <c r="E59" s="12"/>
      <c r="F59" s="12"/>
      <c r="G59" s="12"/>
      <c r="H59" s="12"/>
      <c r="I59" s="12"/>
      <c r="J59" s="12"/>
    </row>
    <row r="60" spans="1:14" ht="14.25" customHeight="1">
      <c r="A60" s="88" t="s">
        <v>1</v>
      </c>
      <c r="B60" s="88" t="s">
        <v>63</v>
      </c>
      <c r="C60" s="88" t="s">
        <v>3</v>
      </c>
      <c r="D60" s="135">
        <v>888</v>
      </c>
      <c r="E60" s="88" t="s">
        <v>4</v>
      </c>
      <c r="F60" s="144" t="s">
        <v>64</v>
      </c>
      <c r="G60" s="84"/>
      <c r="H60" s="117"/>
      <c r="I60" s="13" t="s">
        <v>6</v>
      </c>
      <c r="J60" s="13" t="s">
        <v>7</v>
      </c>
    </row>
    <row r="61" spans="1:14" ht="14.25" customHeight="1">
      <c r="A61" s="84"/>
      <c r="B61" s="84"/>
      <c r="C61" s="84"/>
      <c r="D61" s="84"/>
      <c r="E61" s="84"/>
      <c r="F61" s="84"/>
      <c r="G61" s="84"/>
      <c r="H61" s="117"/>
      <c r="I61" s="124"/>
      <c r="J61" s="124"/>
    </row>
    <row r="62" spans="1:14" ht="17.45" customHeight="1">
      <c r="A62" s="83" t="s">
        <v>8</v>
      </c>
      <c r="B62" s="83" t="s">
        <v>65</v>
      </c>
      <c r="E62" s="83" t="s">
        <v>10</v>
      </c>
      <c r="F62" s="116" t="s">
        <v>66</v>
      </c>
      <c r="G62" s="84"/>
      <c r="H62" s="117"/>
      <c r="I62" s="125"/>
      <c r="J62" s="125"/>
    </row>
    <row r="63" spans="1:14" ht="17.45" customHeight="1">
      <c r="A63" s="84"/>
      <c r="B63" s="84"/>
      <c r="E63" s="84"/>
      <c r="F63" s="84"/>
      <c r="G63" s="84"/>
      <c r="H63" s="117"/>
      <c r="I63" s="14"/>
      <c r="J63" s="14"/>
    </row>
    <row r="64" spans="1:14" ht="17.45" customHeight="1">
      <c r="A64" s="83" t="s">
        <v>12</v>
      </c>
      <c r="B64" s="83" t="s">
        <v>67</v>
      </c>
      <c r="E64" s="2" t="s">
        <v>14</v>
      </c>
      <c r="F64" s="136" t="s">
        <v>15</v>
      </c>
      <c r="G64" s="84"/>
      <c r="H64" s="21"/>
    </row>
    <row r="65" spans="1:10" ht="17.45" customHeight="1">
      <c r="A65" s="84"/>
      <c r="B65" s="84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45981</v>
      </c>
      <c r="E66" s="2" t="s">
        <v>19</v>
      </c>
      <c r="F66" s="85">
        <v>100</v>
      </c>
      <c r="G66" s="84"/>
      <c r="H66" s="21"/>
    </row>
    <row r="67" spans="1:10" ht="17.45" customHeight="1">
      <c r="A67" s="2" t="s">
        <v>20</v>
      </c>
      <c r="B67" s="4">
        <v>45981</v>
      </c>
      <c r="E67" s="2" t="s">
        <v>21</v>
      </c>
      <c r="F67" s="21">
        <v>1</v>
      </c>
      <c r="G67" s="120" t="s">
        <v>22</v>
      </c>
      <c r="H67" s="89">
        <v>100</v>
      </c>
      <c r="I67" s="90"/>
      <c r="J67" s="91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92"/>
      <c r="H68" s="92"/>
      <c r="I68" s="93"/>
      <c r="J68" s="94"/>
    </row>
    <row r="69" spans="1:10" ht="13.5" customHeight="1">
      <c r="A69" s="115" t="s">
        <v>68</v>
      </c>
      <c r="B69" s="84"/>
      <c r="C69" s="84"/>
      <c r="D69" s="20"/>
      <c r="F69" s="3"/>
      <c r="G69" s="126" t="s">
        <v>26</v>
      </c>
      <c r="H69" s="147" t="s">
        <v>27</v>
      </c>
      <c r="I69" s="122" t="s">
        <v>28</v>
      </c>
      <c r="J69" s="117"/>
    </row>
    <row r="70" spans="1:10" ht="13.5" customHeight="1">
      <c r="A70" s="84"/>
      <c r="B70" s="84"/>
      <c r="C70" s="84"/>
      <c r="D70" s="20"/>
      <c r="F70" s="3"/>
      <c r="G70" s="127"/>
      <c r="H70" s="127"/>
      <c r="I70" s="93"/>
      <c r="J70" s="94"/>
    </row>
    <row r="71" spans="1:10" ht="13.5" customHeight="1">
      <c r="A71" s="1" t="s">
        <v>29</v>
      </c>
    </row>
    <row r="72" spans="1:10" ht="63" customHeight="1">
      <c r="A72" s="148"/>
      <c r="B72" s="149"/>
      <c r="C72" s="149"/>
      <c r="D72" s="149"/>
      <c r="E72" s="149"/>
      <c r="F72" s="149"/>
      <c r="G72" s="149"/>
      <c r="H72" s="149"/>
      <c r="I72" s="149"/>
      <c r="J72" s="149"/>
    </row>
    <row r="73" spans="1:10" ht="18.75">
      <c r="A73" s="23" t="s">
        <v>30</v>
      </c>
      <c r="B73" s="16" t="s">
        <v>31</v>
      </c>
      <c r="C73" s="123" t="s">
        <v>32</v>
      </c>
      <c r="D73" s="119"/>
      <c r="E73" s="16" t="s">
        <v>33</v>
      </c>
      <c r="F73" s="123" t="s">
        <v>34</v>
      </c>
      <c r="G73" s="119"/>
      <c r="H73" s="119"/>
      <c r="I73" s="118" t="s">
        <v>35</v>
      </c>
      <c r="J73" s="119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86" t="s">
        <v>37</v>
      </c>
      <c r="D75" s="84"/>
      <c r="E75" s="24" t="s">
        <v>38</v>
      </c>
      <c r="F75" s="86" t="s">
        <v>39</v>
      </c>
      <c r="G75" s="84"/>
      <c r="H75" s="84"/>
      <c r="I75" s="121"/>
      <c r="J75" s="84"/>
    </row>
    <row r="76" spans="1:10" ht="16.5" customHeight="1">
      <c r="A76" s="22">
        <v>1</v>
      </c>
      <c r="B76" s="25" t="s">
        <v>36</v>
      </c>
      <c r="C76" s="86" t="s">
        <v>37</v>
      </c>
      <c r="D76" s="84"/>
      <c r="E76" s="24" t="s">
        <v>40</v>
      </c>
      <c r="F76" s="86" t="s">
        <v>41</v>
      </c>
      <c r="G76" s="84"/>
      <c r="H76" s="84"/>
      <c r="I76" s="121"/>
      <c r="J76" s="84"/>
    </row>
    <row r="77" spans="1:10" ht="16.5" customHeight="1">
      <c r="A77" s="22"/>
      <c r="B77" s="25"/>
      <c r="C77" s="86"/>
      <c r="D77" s="84"/>
      <c r="E77" s="24"/>
      <c r="F77" s="86"/>
      <c r="G77" s="84"/>
      <c r="H77" s="84"/>
      <c r="I77" s="121"/>
      <c r="J77" s="84"/>
    </row>
    <row r="78" spans="1:10" ht="16.5" customHeight="1">
      <c r="A78" s="22"/>
      <c r="B78" s="25"/>
      <c r="C78" s="86"/>
      <c r="D78" s="84"/>
      <c r="E78" s="24"/>
      <c r="F78" s="86"/>
      <c r="G78" s="84"/>
      <c r="H78" s="84"/>
      <c r="I78" s="121"/>
      <c r="J78" s="84"/>
    </row>
    <row r="79" spans="1:10" ht="16.5" customHeight="1">
      <c r="A79" s="22"/>
      <c r="B79" s="25"/>
      <c r="C79" s="86"/>
      <c r="D79" s="84"/>
      <c r="E79" s="24"/>
      <c r="F79" s="86"/>
      <c r="G79" s="84"/>
      <c r="H79" s="84"/>
      <c r="I79" s="121"/>
      <c r="J79" s="84"/>
    </row>
    <row r="80" spans="1:10" ht="16.5" customHeight="1">
      <c r="A80" s="22"/>
      <c r="B80" s="25"/>
      <c r="C80" s="86"/>
      <c r="D80" s="84"/>
      <c r="E80" s="24"/>
      <c r="F80" s="86"/>
      <c r="G80" s="84"/>
      <c r="H80" s="84"/>
      <c r="I80" s="121"/>
      <c r="J80" s="84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11" t="s">
        <v>42</v>
      </c>
      <c r="B82" s="112"/>
      <c r="C82" s="111" t="s">
        <v>43</v>
      </c>
      <c r="D82" s="112"/>
      <c r="E82" s="112"/>
      <c r="F82" s="17" t="s">
        <v>44</v>
      </c>
      <c r="G82" s="111" t="s">
        <v>45</v>
      </c>
      <c r="H82" s="112"/>
      <c r="I82" s="111" t="s">
        <v>46</v>
      </c>
      <c r="J82" s="112"/>
    </row>
    <row r="83" spans="1:10" ht="14.25" customHeight="1">
      <c r="A83" s="8"/>
      <c r="B83" s="18"/>
      <c r="C83" s="145" t="s">
        <v>47</v>
      </c>
      <c r="D83" s="93"/>
      <c r="E83" s="18"/>
      <c r="F83" s="145" t="s">
        <v>29</v>
      </c>
      <c r="G83" s="93"/>
      <c r="H83" s="93"/>
      <c r="I83" s="93"/>
      <c r="J83" s="93"/>
    </row>
    <row r="84" spans="1:10">
      <c r="A84" s="9"/>
      <c r="C84" s="7"/>
      <c r="D84" s="7"/>
      <c r="E84" s="7"/>
    </row>
    <row r="85" spans="1:10" ht="14.25" customHeight="1">
      <c r="A85" s="86" t="s">
        <v>48</v>
      </c>
      <c r="B85" s="84"/>
      <c r="C85" s="86" t="s">
        <v>49</v>
      </c>
      <c r="D85" s="84"/>
      <c r="E85" s="84"/>
      <c r="F85" s="26" t="s">
        <v>27</v>
      </c>
      <c r="G85" s="110">
        <v>50</v>
      </c>
      <c r="H85" s="84"/>
      <c r="I85" s="110">
        <v>0.5</v>
      </c>
      <c r="J85" s="84"/>
    </row>
    <row r="86" spans="1:10" ht="24.95" customHeight="1">
      <c r="A86" s="114" t="s">
        <v>50</v>
      </c>
      <c r="B86" s="84"/>
      <c r="C86" s="86"/>
      <c r="D86" s="84"/>
      <c r="E86" s="84"/>
      <c r="F86" s="86"/>
      <c r="G86" s="84"/>
      <c r="H86" s="84"/>
      <c r="I86" s="84"/>
      <c r="J86" s="84"/>
    </row>
    <row r="87" spans="1:10" ht="14.25" customHeight="1">
      <c r="A87" s="86" t="s">
        <v>51</v>
      </c>
      <c r="B87" s="84"/>
      <c r="C87" s="86" t="s">
        <v>52</v>
      </c>
      <c r="D87" s="84"/>
      <c r="E87" s="84"/>
      <c r="F87" s="26" t="s">
        <v>36</v>
      </c>
      <c r="G87" s="110">
        <v>1</v>
      </c>
      <c r="H87" s="84"/>
      <c r="I87" s="110">
        <v>0.01</v>
      </c>
      <c r="J87" s="84"/>
    </row>
    <row r="88" spans="1:10" ht="24.95" customHeight="1">
      <c r="A88" s="114" t="s">
        <v>53</v>
      </c>
      <c r="B88" s="84"/>
      <c r="C88" s="86" t="s">
        <v>54</v>
      </c>
      <c r="D88" s="84"/>
      <c r="E88" s="84"/>
      <c r="F88" s="86"/>
      <c r="G88" s="84"/>
      <c r="H88" s="84"/>
      <c r="I88" s="84"/>
      <c r="J88" s="84"/>
    </row>
    <row r="89" spans="1:10" ht="14.25" customHeight="1">
      <c r="A89" s="86" t="s">
        <v>69</v>
      </c>
      <c r="B89" s="84"/>
      <c r="C89" s="86" t="s">
        <v>56</v>
      </c>
      <c r="D89" s="84"/>
      <c r="E89" s="84"/>
      <c r="F89" s="26"/>
      <c r="G89" s="110">
        <v>11</v>
      </c>
      <c r="H89" s="84"/>
      <c r="I89" s="110">
        <v>0.11</v>
      </c>
      <c r="J89" s="84"/>
    </row>
    <row r="90" spans="1:10" ht="24.95" customHeight="1">
      <c r="A90" s="114" t="s">
        <v>70</v>
      </c>
      <c r="B90" s="84"/>
      <c r="C90" s="86" t="s">
        <v>71</v>
      </c>
      <c r="D90" s="84"/>
      <c r="E90" s="84"/>
      <c r="F90" s="86"/>
      <c r="G90" s="84"/>
      <c r="H90" s="84"/>
      <c r="I90" s="84"/>
      <c r="J90" s="84"/>
    </row>
    <row r="91" spans="1:10" ht="14.25" customHeight="1">
      <c r="A91" s="86" t="s">
        <v>59</v>
      </c>
      <c r="B91" s="84"/>
      <c r="C91" s="86" t="s">
        <v>60</v>
      </c>
      <c r="D91" s="84"/>
      <c r="E91" s="84"/>
      <c r="F91" s="26"/>
      <c r="G91" s="110">
        <v>0.1</v>
      </c>
      <c r="H91" s="84"/>
      <c r="I91" s="110">
        <v>1E-3</v>
      </c>
      <c r="J91" s="84"/>
    </row>
    <row r="92" spans="1:10" ht="24.95" customHeight="1">
      <c r="A92" s="114" t="s">
        <v>61</v>
      </c>
      <c r="B92" s="84"/>
      <c r="C92" s="86" t="s">
        <v>62</v>
      </c>
      <c r="D92" s="84"/>
      <c r="E92" s="84"/>
      <c r="F92" s="86"/>
      <c r="G92" s="84"/>
      <c r="H92" s="84"/>
      <c r="I92" s="84"/>
      <c r="J92" s="84"/>
    </row>
    <row r="93" spans="1:10" ht="14.25" customHeight="1">
      <c r="A93" s="86"/>
      <c r="B93" s="84"/>
      <c r="C93" s="86"/>
      <c r="D93" s="84"/>
      <c r="E93" s="84"/>
      <c r="F93" s="26"/>
      <c r="G93" s="110"/>
      <c r="H93" s="84"/>
      <c r="I93" s="110"/>
      <c r="J93" s="84"/>
    </row>
    <row r="94" spans="1:10" ht="24.95" customHeight="1" thickBot="1">
      <c r="A94" s="114"/>
      <c r="B94" s="84"/>
      <c r="C94" s="86"/>
      <c r="D94" s="84"/>
      <c r="E94" s="84"/>
      <c r="F94" s="86"/>
      <c r="G94" s="84"/>
      <c r="H94" s="84"/>
      <c r="I94" s="84"/>
      <c r="J94" s="84"/>
    </row>
    <row r="95" spans="1:10" s="5" customFormat="1" ht="18" customHeight="1">
      <c r="A95" s="95" t="s">
        <v>83</v>
      </c>
      <c r="B95" s="96"/>
      <c r="C95" s="96"/>
      <c r="D95" s="96"/>
      <c r="E95" s="97" t="s">
        <v>84</v>
      </c>
      <c r="F95" s="98"/>
      <c r="G95" s="27" t="s">
        <v>85</v>
      </c>
      <c r="H95" s="99" t="s">
        <v>86</v>
      </c>
      <c r="I95" s="100"/>
      <c r="J95" s="28" t="s">
        <v>87</v>
      </c>
    </row>
    <row r="96" spans="1:10" s="7" customFormat="1" ht="18" customHeight="1">
      <c r="A96" s="101" t="str">
        <f>_xlfn.XLOOKUP(B60,[1]VFDB2!A:A,[1]VFDB2!B:B)</f>
        <v>8FL281304 5010　L=888</v>
      </c>
      <c r="B96" s="102"/>
      <c r="C96" s="102"/>
      <c r="D96" s="102"/>
      <c r="E96" s="105" t="str" cm="1">
        <f t="array" ref="E96">IFERROR(IF(ISBLANK(INDEX(_xlfn._xlws.FILTER([1]加工記録２!$C$3:$C$999615, [1]加工記録２!$T$3:$T$999615=B62), 6)), "", INDEX(_xlfn._xlws.FILTER([1]加工記録２!$C$3:$C$999615, [1]加工記録２!$T$3:$T$999615=B62), 6)),"")</f>
        <v>LED-A888</v>
      </c>
      <c r="F96" s="106"/>
      <c r="G96" s="107" cm="1">
        <f t="array" ref="G96">IFERROR(IF(ISBLANK(INDEX(_xlfn._xlws.FILTER([1]加工記録２!$C$3:$C$999615, [1]加工記録２!$T$3:$T$999615=B62), 7)), " ", INDEX(_xlfn._xlws.FILTER([1]加工記録２!$C$3:$C$999615, [1]加工記録２!$T$3:$T$999615=B62), 7))," ")</f>
        <v>1</v>
      </c>
      <c r="H96" s="29" t="s">
        <v>88</v>
      </c>
      <c r="I96" s="47" cm="1">
        <f t="array" ref="I96:J96">IFERROR(IF(ISBLANK(INDEX(_xlfn._xlws.FILTER([1]加工記録２!$O$3:$P$999678, [1]加工記録２!$T$3:$T$999678=B62), 1)), "", INDEX(_xlfn._xlws.FILTER([1]加工記録２!$O$3:$P$999678, [1]加工記録２!$T$3:$T$999678=B62), 1)),"")</f>
        <v>45978</v>
      </c>
      <c r="J96" s="48" t="str">
        <v/>
      </c>
    </row>
    <row r="97" spans="1:14" s="5" customFormat="1" ht="18" customHeight="1">
      <c r="A97" s="103"/>
      <c r="B97" s="104"/>
      <c r="C97" s="104"/>
      <c r="D97" s="104"/>
      <c r="E97" s="105"/>
      <c r="F97" s="106"/>
      <c r="G97" s="107"/>
      <c r="H97" s="29" t="s">
        <v>89</v>
      </c>
      <c r="I97" s="49" cm="1">
        <f t="array" ref="I97:J97">IFERROR(IF(ISBLANK(INDEX(_xlfn._xlws.FILTER([1]加工記録２!$O$3:$P$999678, [1]加工記録２!$T$3:$T$999678=B62), 2)), "", INDEX(_xlfn._xlws.FILTER([1]加工記録２!$O$3:$P$999678, [1]加工記録２!$T$3:$T$999678=B62), 2)),"")</f>
        <v>100</v>
      </c>
      <c r="J97" s="50" t="str">
        <v/>
      </c>
      <c r="K97" s="30"/>
    </row>
    <row r="98" spans="1:14" s="7" customFormat="1" ht="18" customHeight="1">
      <c r="A98" s="108" t="s">
        <v>90</v>
      </c>
      <c r="B98" s="133" t="str">
        <f>_xlfn.XLOOKUP(B60,[1]VFDB2!A:A,[1]VFDB2!J:J)</f>
        <v>〇</v>
      </c>
      <c r="C98" s="128" t="s">
        <v>91</v>
      </c>
      <c r="D98" s="130">
        <f>_xlfn.XLOOKUP(B60,[1]VFDB2!A:A,[1]VFDB2!P:P)</f>
        <v>2</v>
      </c>
      <c r="E98" s="105" t="str">
        <f>_xlfn.XLOOKUP(B60,[1]VFDB2!A:A,[1]VFDB2!V:V)</f>
        <v>1箱目の梱包数 目視確認　以降、重量測定</v>
      </c>
      <c r="F98" s="106"/>
      <c r="G98" s="132"/>
      <c r="H98" s="31" t="s">
        <v>92</v>
      </c>
      <c r="I98" s="49" cm="1">
        <f t="array" ref="I98:J98">IFERROR(IF(ISBLANK(INDEX(_xlfn._xlws.FILTER([1]加工記録２!$O$3:$P$999678, [1]加工記録２!$T$3:$T$999678=B62), 3)), "", INDEX(_xlfn._xlws.FILTER([1]加工記録２!$O$3:$P$999678, [1]加工記録２!$T$3:$T$999678=B62), 3)),"")</f>
        <v>50</v>
      </c>
      <c r="J98" s="51" t="str">
        <v/>
      </c>
      <c r="K98" s="32"/>
    </row>
    <row r="99" spans="1:14" s="5" customFormat="1" ht="18" customHeight="1">
      <c r="A99" s="109"/>
      <c r="B99" s="134"/>
      <c r="C99" s="129"/>
      <c r="D99" s="131"/>
      <c r="E99" s="105"/>
      <c r="F99" s="106"/>
      <c r="G99" s="132"/>
      <c r="H99" s="31" t="s">
        <v>93</v>
      </c>
      <c r="I99" s="49" cm="1">
        <f t="array" ref="I99:J99">IFERROR(IF(ISBLANK(INDEX(_xlfn._xlws.FILTER([1]加工記録２!$O$3:$P$999678, [1]加工記録２!$T$3:$T$999678=B62), 4)), "", INDEX(_xlfn._xlws.FILTER([1]加工記録２!$O$3:$P$999678, [1]加工記録２!$T$3:$T$999678=B62), 4)),"")</f>
        <v>0</v>
      </c>
      <c r="J99" s="52" t="str">
        <v/>
      </c>
      <c r="K99" s="30"/>
    </row>
    <row r="100" spans="1:14" s="7" customFormat="1" ht="18" customHeight="1">
      <c r="A100" s="137" t="s">
        <v>94</v>
      </c>
      <c r="B100" s="139">
        <f>D60</f>
        <v>888</v>
      </c>
      <c r="C100" s="150" t="s">
        <v>95</v>
      </c>
      <c r="D100" s="152" t="str">
        <f>_xlfn.XLOOKUP(B60,[1]VFDB2!A:A,[1]VFDB2!L:L)</f>
        <v>+0.5</v>
      </c>
      <c r="E100" s="105" t="str">
        <f>_xlfn.XLOOKUP(B60,[1]VFDB2!A:A,[1]VFDB2!W:W)</f>
        <v>L=888用　クラフト紙</v>
      </c>
      <c r="F100" s="106"/>
      <c r="G100" s="132"/>
      <c r="H100" s="31" t="s">
        <v>96</v>
      </c>
      <c r="I100" s="49" cm="1">
        <f t="array" ref="I100:J100">IFERROR(IF(ISBLANK(INDEX(_xlfn._xlws.FILTER([1]加工記録２!$O$3:$P$999678, [1]加工記録２!$T$3:$T$999678=B62), 5)), "", INDEX(_xlfn._xlws.FILTER([1]加工記録２!$O$3:$P$999678, [1]加工記録２!$T$3:$T$999678=B62), 5)),"")</f>
        <v>0</v>
      </c>
      <c r="J100" s="53" t="str">
        <v/>
      </c>
      <c r="K100" s="32"/>
    </row>
    <row r="101" spans="1:14" s="5" customFormat="1" ht="18" customHeight="1">
      <c r="A101" s="138"/>
      <c r="B101" s="140"/>
      <c r="C101" s="151"/>
      <c r="D101" s="153"/>
      <c r="E101" s="105"/>
      <c r="F101" s="106"/>
      <c r="G101" s="132"/>
      <c r="H101" s="31" t="s">
        <v>97</v>
      </c>
      <c r="I101" s="49" cm="1">
        <f t="array" ref="I101:J101">IFERROR(IF(ISBLANK(INDEX(_xlfn._xlws.FILTER([1]加工記録２!$O$3:$P$999678, [1]加工記録２!$T$3:$T$999678=B62), 6)), "", INDEX(_xlfn._xlws.FILTER([1]加工記録２!$O$3:$P$999678, [1]加工記録２!$T$3:$T$999678=B62), 6)),"")</f>
        <v>0</v>
      </c>
      <c r="J101" s="54" t="str">
        <v/>
      </c>
      <c r="K101" s="30"/>
    </row>
    <row r="102" spans="1:14" s="7" customFormat="1" ht="18" customHeight="1">
      <c r="A102" s="108" t="s">
        <v>98</v>
      </c>
      <c r="B102" s="142" t="str">
        <f>_xlfn.XLOOKUP(B60,[1]VFDB2!A:A,[1]VFDB2!AC:AC)</f>
        <v>換算表確認</v>
      </c>
      <c r="C102" s="154" t="s">
        <v>99</v>
      </c>
      <c r="D102" s="152" t="str">
        <f>_xlfn.XLOOKUP(B60,[1]VFDB2!A:A,[1]VFDB2!K:K)</f>
        <v>－0.5</v>
      </c>
      <c r="E102" s="105" t="str">
        <f>_xlfn.XLOOKUP(B60,[1]VFDB2!A:A,[1]VFDB2!R:R)</f>
        <v>ラベル１枚　長手無　鉢巻１回</v>
      </c>
      <c r="F102" s="106"/>
      <c r="G102" s="132"/>
      <c r="H102" s="31" t="s">
        <v>100</v>
      </c>
      <c r="I102" s="49" t="str" cm="1">
        <f t="array" ref="I102">IFERROR(IF(ISBLANK(INDEX(_xlfn._xlws.FILTER([1]加工記録２!$M$3:$M$999678, [1]加工記録２!$T$3:$T$999678=B62), 6)), "", INDEX(_xlfn._xlws.FILTER([1]加工記録２!$M$3:$M$999678, [1]加工記録２!$T$3:$T$999678=B62), 6)),"")</f>
        <v>M</v>
      </c>
      <c r="J102" s="55" t="str" cm="1">
        <f t="array" ref="J102">IFERROR(IF(ISBLANK(INDEX(_xlfn._xlws.FILTER([1]加工記録２!$P$3:$P$999678, [1]加工記録２!$T$3:$T$999678=B62), 7)), "", INDEX(_xlfn._xlws.FILTER([1]加工記録２!$P$3:$P$999678, [1]加工記録２!$T$3:$T$999678=B62), 7)),"")</f>
        <v/>
      </c>
      <c r="K102" s="32"/>
    </row>
    <row r="103" spans="1:14" s="5" customFormat="1" ht="18" customHeight="1" thickBot="1">
      <c r="A103" s="141"/>
      <c r="B103" s="143"/>
      <c r="C103" s="155"/>
      <c r="D103" s="156"/>
      <c r="E103" s="157"/>
      <c r="F103" s="158"/>
      <c r="G103" s="159"/>
      <c r="H103" s="33" t="s">
        <v>101</v>
      </c>
      <c r="I103" s="49" t="str" cm="1">
        <f t="array" ref="I103">IFERROR(IF(ISBLANK(INDEX(_xlfn._xlws.FILTER([1]加工記録２!$M$3:$M$999678, [1]加工記録２!$T$3:$T$999678=B62), 7)), "", INDEX(_xlfn._xlws.FILTER([1]加工記録２!$M$3:$M$999678, [1]加工記録２!$T$3:$T$999678=B62), 7)),"")</f>
        <v>T</v>
      </c>
      <c r="J103" s="56">
        <f>SUM(J96:J102)</f>
        <v>0</v>
      </c>
    </row>
    <row r="104" spans="1:14" s="44" customFormat="1" ht="18.95" customHeight="1">
      <c r="A104" s="34" t="s">
        <v>102</v>
      </c>
      <c r="B104" s="35" t="s">
        <v>103</v>
      </c>
      <c r="C104" s="36" t="s">
        <v>104</v>
      </c>
      <c r="D104" s="36" t="s">
        <v>105</v>
      </c>
      <c r="E104" s="37" t="s">
        <v>106</v>
      </c>
      <c r="F104" s="38" t="s">
        <v>107</v>
      </c>
      <c r="G104" s="39" t="s">
        <v>108</v>
      </c>
      <c r="H104" s="40" t="s">
        <v>109</v>
      </c>
      <c r="I104" s="41" t="s">
        <v>110</v>
      </c>
      <c r="J104" s="42" t="s">
        <v>111</v>
      </c>
      <c r="K104" s="43"/>
      <c r="L104" s="43"/>
      <c r="M104" s="43"/>
      <c r="N104" s="43"/>
    </row>
    <row r="105" spans="1:14" s="46" customFormat="1" ht="18.95" customHeight="1">
      <c r="A105" s="57" cm="1">
        <f t="array" ref="A105:J105">IFERROR(IF(ISBLANK(INDEX(_xlfn._xlws.FILTER([1]加工記録２!$D$3:$M$999678, [1]加工記録２!$T$3:$T$999678=B62), 1)), "", INDEX(_xlfn._xlws.FILTER([1]加工記録２!$D$3:$M$999678, [1]加工記録２!$T$3:$T$999678=B62), 1)),"")</f>
        <v>45971</v>
      </c>
      <c r="B105" s="58" t="str">
        <v>25J20-06</v>
      </c>
      <c r="C105" s="59" t="str">
        <v/>
      </c>
      <c r="D105" s="59" t="str">
        <v/>
      </c>
      <c r="E105" s="60" t="str">
        <v/>
      </c>
      <c r="F105" s="61" t="str">
        <v>25J20-06</v>
      </c>
      <c r="G105" s="62">
        <v>10</v>
      </c>
      <c r="H105" s="63">
        <v>5</v>
      </c>
      <c r="I105" s="64">
        <v>45978</v>
      </c>
      <c r="J105" s="65">
        <v>1</v>
      </c>
      <c r="K105" s="45"/>
      <c r="L105" s="45"/>
      <c r="M105" s="45"/>
      <c r="N105" s="45"/>
    </row>
    <row r="106" spans="1:14" s="46" customFormat="1" ht="18.95" customHeight="1">
      <c r="A106" s="57" cm="1">
        <f t="array" ref="A106:J106">IFERROR(IF(ISBLANK(INDEX(_xlfn._xlws.FILTER([1]加工記録２!$D$3:$M$999678, [1]加工記録２!$T$3:$T$999678=B62), 2)), "", INDEX(_xlfn._xlws.FILTER([1]加工記録２!$D$3:$M$999678, [1]加工記録２!$T$3:$T$999678=B62), 2)),"")</f>
        <v>45975</v>
      </c>
      <c r="B106" s="66" t="str">
        <v>25J21-07</v>
      </c>
      <c r="C106" s="66">
        <v>20</v>
      </c>
      <c r="D106" s="67">
        <v>888</v>
      </c>
      <c r="E106" s="68">
        <v>888.27</v>
      </c>
      <c r="F106" s="69" t="str">
        <v>25J21-07</v>
      </c>
      <c r="G106" s="70">
        <v>90</v>
      </c>
      <c r="H106" s="71">
        <v>45</v>
      </c>
      <c r="I106" s="64" t="str">
        <v/>
      </c>
      <c r="J106" s="65" t="str">
        <v/>
      </c>
      <c r="K106" s="45"/>
      <c r="L106" s="45"/>
      <c r="M106" s="45"/>
      <c r="N106" s="45"/>
    </row>
    <row r="107" spans="1:14" s="46" customFormat="1" ht="18.95" customHeight="1">
      <c r="A107" s="57" cm="1">
        <f t="array" ref="A107:J107">IFERROR(IF(ISBLANK(INDEX(_xlfn._xlws.FILTER([1]加工記録２!$D$3:$M$999678, [1]加工記録２!$T$3:$T$999678=B62), 3)), "", INDEX(_xlfn._xlws.FILTER([1]加工記録２!$D$3:$M$999678, [1]加工記録２!$T$3:$T$999678=B62), 3)),"")</f>
        <v>45975</v>
      </c>
      <c r="B107" s="66" t="str">
        <v>25J21-07</v>
      </c>
      <c r="C107" s="66">
        <v>20</v>
      </c>
      <c r="D107" s="67">
        <v>888</v>
      </c>
      <c r="E107" s="68">
        <v>888.29</v>
      </c>
      <c r="F107" s="69" t="str">
        <v/>
      </c>
      <c r="G107" s="70" t="str">
        <v/>
      </c>
      <c r="H107" s="71">
        <v>0</v>
      </c>
      <c r="I107" s="64" t="str">
        <v/>
      </c>
      <c r="J107" s="65" t="str">
        <v/>
      </c>
      <c r="K107" s="45"/>
      <c r="L107" s="45"/>
      <c r="M107" s="45"/>
      <c r="N107" s="45"/>
    </row>
    <row r="108" spans="1:14" s="46" customFormat="1" ht="18.95" customHeight="1">
      <c r="A108" s="57" t="str" cm="1">
        <f t="array" ref="A108:J108">IFERROR(IF(ISBLANK(INDEX(_xlfn._xlws.FILTER([1]加工記録２!$D$3:$M$999678, [1]加工記録２!$T$3:$T$999678=B62), 4)), "", INDEX(_xlfn._xlws.FILTER([1]加工記録２!$D$3:$M$999678, [1]加工記録２!$T$3:$T$999678=B62), 4)),"")</f>
        <v/>
      </c>
      <c r="B108" s="66" t="str">
        <v/>
      </c>
      <c r="C108" s="66" t="str">
        <v/>
      </c>
      <c r="D108" s="67" t="str">
        <v/>
      </c>
      <c r="E108" s="68" t="str">
        <v/>
      </c>
      <c r="F108" s="69" t="str">
        <v/>
      </c>
      <c r="G108" s="70" t="str">
        <v/>
      </c>
      <c r="H108" s="71">
        <v>0</v>
      </c>
      <c r="I108" s="64" t="str">
        <v/>
      </c>
      <c r="J108" s="65" t="str">
        <v/>
      </c>
      <c r="K108" s="45"/>
      <c r="L108" s="45"/>
      <c r="M108" s="45"/>
      <c r="N108" s="45"/>
    </row>
    <row r="109" spans="1:14" s="46" customFormat="1" ht="18.95" customHeight="1">
      <c r="A109" s="57" t="str" cm="1">
        <f t="array" ref="A109:J109">IFERROR(IF(ISBLANK(INDEX(_xlfn._xlws.FILTER([1]加工記録２!$D$3:$M$999678, [1]加工記録２!$T$3:$T$999678=B62), 5)), "", INDEX(_xlfn._xlws.FILTER([1]加工記録２!$D$3:$M$999678, [1]加工記録２!$T$3:$T$999678=B62), 5)),"")</f>
        <v/>
      </c>
      <c r="B109" s="66" t="str">
        <v/>
      </c>
      <c r="C109" s="66" t="str">
        <v/>
      </c>
      <c r="D109" s="67" t="str">
        <v/>
      </c>
      <c r="E109" s="68" t="str">
        <v/>
      </c>
      <c r="F109" s="69" t="str">
        <v/>
      </c>
      <c r="G109" s="70" t="str">
        <v/>
      </c>
      <c r="H109" s="71">
        <v>0</v>
      </c>
      <c r="I109" s="72" t="str">
        <v/>
      </c>
      <c r="J109" s="73" t="str">
        <v/>
      </c>
      <c r="K109" s="45"/>
      <c r="L109" s="45"/>
      <c r="M109" s="45"/>
      <c r="N109" s="45"/>
    </row>
    <row r="110" spans="1:14" s="46" customFormat="1" ht="18.95" customHeight="1">
      <c r="A110" s="57" t="str" cm="1">
        <f t="array" ref="A110:H110">IFERROR(IF(ISBLANK(INDEX(_xlfn._xlws.FILTER([1]加工記録２!$D$3:$K$999678, [1]加工記録２!$T$3:$T$999678=B62), 6)), "", INDEX(_xlfn._xlws.FILTER([1]加工記録２!$D$3:$K$999678, [1]加工記録２!$T$3:$T$999678=B62), 6)),"")</f>
        <v/>
      </c>
      <c r="B110" s="66" t="str">
        <v/>
      </c>
      <c r="C110" s="66" t="str">
        <v/>
      </c>
      <c r="D110" s="67" t="str">
        <v/>
      </c>
      <c r="E110" s="68" t="str">
        <v/>
      </c>
      <c r="F110" s="69" t="str">
        <v/>
      </c>
      <c r="G110" s="70" t="str">
        <v/>
      </c>
      <c r="H110" s="71">
        <v>0</v>
      </c>
      <c r="I110" s="72"/>
      <c r="J110" s="73"/>
      <c r="K110" s="45"/>
      <c r="L110" s="45"/>
      <c r="M110" s="45"/>
      <c r="N110" s="45"/>
    </row>
    <row r="111" spans="1:14" s="46" customFormat="1" ht="18.95" customHeight="1">
      <c r="A111" s="57" t="str" cm="1">
        <f t="array" ref="A111:H111">IFERROR(IF(ISBLANK(INDEX(_xlfn._xlws.FILTER([1]加工記録２!$D$3:$K$999678, [1]加工記録２!$T$3:$T$999678=B62), 7)), "", INDEX(_xlfn._xlws.FILTER([1]加工記録２!$D$3:$K$999678, [1]加工記録２!$T$3:$T$999678=B62), 7)),"")</f>
        <v/>
      </c>
      <c r="B111" s="66" t="str">
        <v/>
      </c>
      <c r="C111" s="66" t="str">
        <v/>
      </c>
      <c r="D111" s="67" t="str">
        <v/>
      </c>
      <c r="E111" s="68" t="str">
        <v/>
      </c>
      <c r="F111" s="69" t="str">
        <v/>
      </c>
      <c r="G111" s="70" t="str">
        <v/>
      </c>
      <c r="H111" s="71">
        <v>0</v>
      </c>
      <c r="I111" s="72"/>
      <c r="J111" s="73"/>
      <c r="K111" s="45"/>
      <c r="L111" s="45"/>
      <c r="M111" s="45"/>
      <c r="N111" s="45"/>
    </row>
    <row r="112" spans="1:14" s="46" customFormat="1" ht="18.95" customHeight="1" thickBot="1">
      <c r="A112" s="74" t="str" cm="1">
        <f t="array" ref="A112:H112">IFERROR(IF(ISBLANK(INDEX(_xlfn._xlws.FILTER([1]加工記録２!$D$3:$K$999678, [1]加工記録２!$T$3:$T$999678=B62), 8)), "", INDEX(_xlfn._xlws.FILTER([1]加工記録２!$D$3:$K$999678, [1]加工記録２!$T$3:$T$999678=B62), 8)),"")</f>
        <v/>
      </c>
      <c r="B112" s="75" t="str">
        <v/>
      </c>
      <c r="C112" s="75" t="str">
        <v/>
      </c>
      <c r="D112" s="76" t="str">
        <v/>
      </c>
      <c r="E112" s="77" t="str">
        <v/>
      </c>
      <c r="F112" s="78" t="str">
        <v/>
      </c>
      <c r="G112" s="79" t="str">
        <v/>
      </c>
      <c r="H112" s="80">
        <v>0</v>
      </c>
      <c r="I112" s="81"/>
      <c r="J112" s="82"/>
      <c r="K112" s="45"/>
      <c r="L112" s="45"/>
      <c r="M112" s="45"/>
      <c r="N112" s="4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46" t="s">
        <v>0</v>
      </c>
      <c r="C115" s="84"/>
      <c r="D115" s="84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84"/>
      <c r="C116" s="84"/>
      <c r="D116" s="84"/>
      <c r="E116" s="12"/>
      <c r="F116" s="12"/>
      <c r="G116" s="12"/>
      <c r="H116" s="12"/>
      <c r="I116" s="12"/>
      <c r="J116" s="12"/>
    </row>
    <row r="117" spans="1:10" ht="14.25" customHeight="1">
      <c r="A117" s="88" t="s">
        <v>1</v>
      </c>
      <c r="B117" s="88" t="s">
        <v>72</v>
      </c>
      <c r="C117" s="88" t="s">
        <v>3</v>
      </c>
      <c r="D117" s="135">
        <v>1478</v>
      </c>
      <c r="E117" s="88" t="s">
        <v>4</v>
      </c>
      <c r="F117" s="144" t="s">
        <v>73</v>
      </c>
      <c r="G117" s="84"/>
      <c r="H117" s="117"/>
      <c r="I117" s="13" t="s">
        <v>6</v>
      </c>
      <c r="J117" s="13" t="s">
        <v>7</v>
      </c>
    </row>
    <row r="118" spans="1:10" ht="14.25" customHeight="1">
      <c r="A118" s="84"/>
      <c r="B118" s="84"/>
      <c r="C118" s="84"/>
      <c r="D118" s="84"/>
      <c r="E118" s="84"/>
      <c r="F118" s="84"/>
      <c r="G118" s="84"/>
      <c r="H118" s="117"/>
      <c r="I118" s="124"/>
      <c r="J118" s="124"/>
    </row>
    <row r="119" spans="1:10" ht="17.45" customHeight="1">
      <c r="A119" s="83" t="s">
        <v>8</v>
      </c>
      <c r="B119" s="83" t="s">
        <v>74</v>
      </c>
      <c r="E119" s="83" t="s">
        <v>10</v>
      </c>
      <c r="F119" s="116" t="s">
        <v>75</v>
      </c>
      <c r="G119" s="84"/>
      <c r="H119" s="117"/>
      <c r="I119" s="125"/>
      <c r="J119" s="125"/>
    </row>
    <row r="120" spans="1:10" ht="17.45" customHeight="1">
      <c r="A120" s="84"/>
      <c r="B120" s="84"/>
      <c r="E120" s="84"/>
      <c r="F120" s="84"/>
      <c r="G120" s="84"/>
      <c r="H120" s="117"/>
      <c r="I120" s="14"/>
      <c r="J120" s="14"/>
    </row>
    <row r="121" spans="1:10" ht="17.45" customHeight="1">
      <c r="A121" s="83" t="s">
        <v>12</v>
      </c>
      <c r="B121" s="83" t="s">
        <v>76</v>
      </c>
      <c r="E121" s="2" t="s">
        <v>14</v>
      </c>
      <c r="F121" s="136" t="s">
        <v>15</v>
      </c>
      <c r="G121" s="84"/>
      <c r="H121" s="21"/>
    </row>
    <row r="122" spans="1:10" ht="17.45" customHeight="1">
      <c r="A122" s="84"/>
      <c r="B122" s="84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45981</v>
      </c>
      <c r="E123" s="2" t="s">
        <v>19</v>
      </c>
      <c r="F123" s="85">
        <v>100</v>
      </c>
      <c r="G123" s="84"/>
      <c r="H123" s="21"/>
    </row>
    <row r="124" spans="1:10" ht="17.45" customHeight="1">
      <c r="A124" s="2" t="s">
        <v>20</v>
      </c>
      <c r="B124" s="4">
        <v>45981</v>
      </c>
      <c r="E124" s="2" t="s">
        <v>21</v>
      </c>
      <c r="F124" s="21">
        <v>2</v>
      </c>
      <c r="G124" s="120" t="s">
        <v>22</v>
      </c>
      <c r="H124" s="89">
        <v>200</v>
      </c>
      <c r="I124" s="90"/>
      <c r="J124" s="91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92"/>
      <c r="H125" s="92"/>
      <c r="I125" s="93"/>
      <c r="J125" s="94"/>
    </row>
    <row r="126" spans="1:10" ht="13.5" customHeight="1">
      <c r="A126" s="115" t="s">
        <v>77</v>
      </c>
      <c r="B126" s="84"/>
      <c r="C126" s="84"/>
      <c r="D126" s="20"/>
      <c r="F126" s="3"/>
      <c r="G126" s="126" t="s">
        <v>26</v>
      </c>
      <c r="H126" s="147" t="s">
        <v>27</v>
      </c>
      <c r="I126" s="122" t="s">
        <v>28</v>
      </c>
      <c r="J126" s="117"/>
    </row>
    <row r="127" spans="1:10" ht="13.5" customHeight="1">
      <c r="A127" s="84"/>
      <c r="B127" s="84"/>
      <c r="C127" s="84"/>
      <c r="D127" s="20"/>
      <c r="F127" s="3"/>
      <c r="G127" s="127"/>
      <c r="H127" s="127"/>
      <c r="I127" s="93"/>
      <c r="J127" s="94"/>
    </row>
    <row r="128" spans="1:10" ht="13.5" customHeight="1">
      <c r="A128" s="1" t="s">
        <v>29</v>
      </c>
    </row>
    <row r="129" spans="1:10" ht="63" customHeight="1">
      <c r="A129" s="148"/>
      <c r="B129" s="149"/>
      <c r="C129" s="149"/>
      <c r="D129" s="149"/>
      <c r="E129" s="149"/>
      <c r="F129" s="149"/>
      <c r="G129" s="149"/>
      <c r="H129" s="149"/>
      <c r="I129" s="149"/>
      <c r="J129" s="149"/>
    </row>
    <row r="130" spans="1:10" ht="18.75">
      <c r="A130" s="23" t="s">
        <v>30</v>
      </c>
      <c r="B130" s="16" t="s">
        <v>31</v>
      </c>
      <c r="C130" s="123" t="s">
        <v>32</v>
      </c>
      <c r="D130" s="119"/>
      <c r="E130" s="16" t="s">
        <v>33</v>
      </c>
      <c r="F130" s="123" t="s">
        <v>34</v>
      </c>
      <c r="G130" s="119"/>
      <c r="H130" s="119"/>
      <c r="I130" s="118" t="s">
        <v>35</v>
      </c>
      <c r="J130" s="119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86" t="s">
        <v>37</v>
      </c>
      <c r="D132" s="84"/>
      <c r="E132" s="24" t="s">
        <v>38</v>
      </c>
      <c r="F132" s="86" t="s">
        <v>39</v>
      </c>
      <c r="G132" s="84"/>
      <c r="H132" s="84"/>
      <c r="I132" s="121"/>
      <c r="J132" s="84"/>
    </row>
    <row r="133" spans="1:10" ht="16.5" customHeight="1">
      <c r="A133" s="22">
        <v>1</v>
      </c>
      <c r="B133" s="25" t="s">
        <v>36</v>
      </c>
      <c r="C133" s="86" t="s">
        <v>37</v>
      </c>
      <c r="D133" s="84"/>
      <c r="E133" s="24" t="s">
        <v>40</v>
      </c>
      <c r="F133" s="86" t="s">
        <v>41</v>
      </c>
      <c r="G133" s="84"/>
      <c r="H133" s="84"/>
      <c r="I133" s="121"/>
      <c r="J133" s="84"/>
    </row>
    <row r="134" spans="1:10" ht="16.5" customHeight="1">
      <c r="A134" s="22"/>
      <c r="B134" s="25"/>
      <c r="C134" s="86"/>
      <c r="D134" s="84"/>
      <c r="E134" s="24"/>
      <c r="F134" s="86"/>
      <c r="G134" s="84"/>
      <c r="H134" s="84"/>
      <c r="I134" s="121"/>
      <c r="J134" s="84"/>
    </row>
    <row r="135" spans="1:10" ht="16.5" customHeight="1">
      <c r="A135" s="22"/>
      <c r="B135" s="25"/>
      <c r="C135" s="86"/>
      <c r="D135" s="84"/>
      <c r="E135" s="24"/>
      <c r="F135" s="86"/>
      <c r="G135" s="84"/>
      <c r="H135" s="84"/>
      <c r="I135" s="121"/>
      <c r="J135" s="84"/>
    </row>
    <row r="136" spans="1:10" ht="16.5" customHeight="1">
      <c r="A136" s="22"/>
      <c r="B136" s="25"/>
      <c r="C136" s="86"/>
      <c r="D136" s="84"/>
      <c r="E136" s="24"/>
      <c r="F136" s="86"/>
      <c r="G136" s="84"/>
      <c r="H136" s="84"/>
      <c r="I136" s="121"/>
      <c r="J136" s="84"/>
    </row>
    <row r="137" spans="1:10" ht="16.5" customHeight="1">
      <c r="A137" s="22"/>
      <c r="B137" s="25"/>
      <c r="C137" s="86"/>
      <c r="D137" s="84"/>
      <c r="E137" s="24"/>
      <c r="F137" s="86"/>
      <c r="G137" s="84"/>
      <c r="H137" s="84"/>
      <c r="I137" s="121"/>
      <c r="J137" s="84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11" t="s">
        <v>42</v>
      </c>
      <c r="B139" s="112"/>
      <c r="C139" s="111" t="s">
        <v>43</v>
      </c>
      <c r="D139" s="112"/>
      <c r="E139" s="112"/>
      <c r="F139" s="17" t="s">
        <v>44</v>
      </c>
      <c r="G139" s="111" t="s">
        <v>45</v>
      </c>
      <c r="H139" s="112"/>
      <c r="I139" s="111" t="s">
        <v>46</v>
      </c>
      <c r="J139" s="112"/>
    </row>
    <row r="140" spans="1:10" ht="14.25" customHeight="1">
      <c r="A140" s="8"/>
      <c r="B140" s="18"/>
      <c r="C140" s="145" t="s">
        <v>47</v>
      </c>
      <c r="D140" s="93"/>
      <c r="E140" s="18"/>
      <c r="F140" s="145" t="s">
        <v>29</v>
      </c>
      <c r="G140" s="93"/>
      <c r="H140" s="93"/>
      <c r="I140" s="93"/>
      <c r="J140" s="93"/>
    </row>
    <row r="141" spans="1:10">
      <c r="A141" s="9"/>
      <c r="C141" s="7"/>
      <c r="D141" s="7"/>
      <c r="E141" s="7"/>
    </row>
    <row r="142" spans="1:10" ht="14.25" customHeight="1">
      <c r="A142" s="86" t="s">
        <v>48</v>
      </c>
      <c r="B142" s="84"/>
      <c r="C142" s="86" t="s">
        <v>49</v>
      </c>
      <c r="D142" s="84"/>
      <c r="E142" s="84"/>
      <c r="F142" s="26" t="s">
        <v>27</v>
      </c>
      <c r="G142" s="110">
        <v>200</v>
      </c>
      <c r="H142" s="84"/>
      <c r="I142" s="110">
        <v>2</v>
      </c>
      <c r="J142" s="84"/>
    </row>
    <row r="143" spans="1:10" ht="24.95" customHeight="1">
      <c r="A143" s="114" t="s">
        <v>50</v>
      </c>
      <c r="B143" s="84"/>
      <c r="C143" s="86"/>
      <c r="D143" s="84"/>
      <c r="E143" s="84"/>
      <c r="F143" s="86"/>
      <c r="G143" s="84"/>
      <c r="H143" s="84"/>
      <c r="I143" s="84"/>
      <c r="J143" s="84"/>
    </row>
    <row r="144" spans="1:10" ht="14.25" customHeight="1">
      <c r="A144" s="86" t="s">
        <v>78</v>
      </c>
      <c r="B144" s="84"/>
      <c r="C144" s="86" t="s">
        <v>79</v>
      </c>
      <c r="D144" s="84"/>
      <c r="E144" s="84"/>
      <c r="F144" s="26" t="s">
        <v>80</v>
      </c>
      <c r="G144" s="110">
        <v>2</v>
      </c>
      <c r="H144" s="84"/>
      <c r="I144" s="110">
        <v>0.02</v>
      </c>
      <c r="J144" s="84"/>
    </row>
    <row r="145" spans="1:11" ht="24.95" customHeight="1">
      <c r="A145" s="114" t="s">
        <v>81</v>
      </c>
      <c r="B145" s="84"/>
      <c r="C145" s="86" t="s">
        <v>82</v>
      </c>
      <c r="D145" s="84"/>
      <c r="E145" s="84"/>
      <c r="F145" s="86"/>
      <c r="G145" s="84"/>
      <c r="H145" s="84"/>
      <c r="I145" s="84"/>
      <c r="J145" s="84"/>
    </row>
    <row r="146" spans="1:11" ht="14.25" customHeight="1">
      <c r="A146" s="86" t="s">
        <v>55</v>
      </c>
      <c r="B146" s="84"/>
      <c r="C146" s="86" t="s">
        <v>56</v>
      </c>
      <c r="D146" s="84"/>
      <c r="E146" s="84"/>
      <c r="F146" s="26"/>
      <c r="G146" s="110">
        <v>0.4</v>
      </c>
      <c r="H146" s="84"/>
      <c r="I146" s="110">
        <v>4.0000000000000001E-3</v>
      </c>
      <c r="J146" s="84"/>
    </row>
    <row r="147" spans="1:11" ht="24.95" customHeight="1">
      <c r="A147" s="114" t="s">
        <v>57</v>
      </c>
      <c r="B147" s="84"/>
      <c r="C147" s="86" t="s">
        <v>58</v>
      </c>
      <c r="D147" s="84"/>
      <c r="E147" s="84"/>
      <c r="F147" s="86"/>
      <c r="G147" s="84"/>
      <c r="H147" s="84"/>
      <c r="I147" s="84"/>
      <c r="J147" s="84"/>
    </row>
    <row r="148" spans="1:11" ht="14.25" customHeight="1">
      <c r="A148" s="86" t="s">
        <v>59</v>
      </c>
      <c r="B148" s="84"/>
      <c r="C148" s="86" t="s">
        <v>60</v>
      </c>
      <c r="D148" s="84"/>
      <c r="E148" s="84"/>
      <c r="F148" s="26"/>
      <c r="G148" s="110">
        <v>0.2</v>
      </c>
      <c r="H148" s="84"/>
      <c r="I148" s="110">
        <v>2E-3</v>
      </c>
      <c r="J148" s="84"/>
    </row>
    <row r="149" spans="1:11" ht="24.95" customHeight="1">
      <c r="A149" s="114" t="s">
        <v>61</v>
      </c>
      <c r="B149" s="84"/>
      <c r="C149" s="86" t="s">
        <v>62</v>
      </c>
      <c r="D149" s="84"/>
      <c r="E149" s="84"/>
      <c r="F149" s="86"/>
      <c r="G149" s="84"/>
      <c r="H149" s="84"/>
      <c r="I149" s="84"/>
      <c r="J149" s="84"/>
    </row>
    <row r="150" spans="1:11" ht="14.25" customHeight="1">
      <c r="A150" s="86"/>
      <c r="B150" s="84"/>
      <c r="C150" s="86"/>
      <c r="D150" s="84"/>
      <c r="E150" s="84"/>
      <c r="F150" s="26"/>
      <c r="G150" s="110"/>
      <c r="H150" s="84"/>
      <c r="I150" s="110"/>
      <c r="J150" s="84"/>
    </row>
    <row r="151" spans="1:11" ht="24.95" customHeight="1" thickBot="1">
      <c r="A151" s="114"/>
      <c r="B151" s="84"/>
      <c r="C151" s="86"/>
      <c r="D151" s="84"/>
      <c r="E151" s="84"/>
      <c r="F151" s="86"/>
      <c r="G151" s="84"/>
      <c r="H151" s="84"/>
      <c r="I151" s="84"/>
      <c r="J151" s="84"/>
    </row>
    <row r="152" spans="1:11" s="5" customFormat="1" ht="18" customHeight="1">
      <c r="A152" s="95" t="s">
        <v>83</v>
      </c>
      <c r="B152" s="96"/>
      <c r="C152" s="96"/>
      <c r="D152" s="96"/>
      <c r="E152" s="97" t="s">
        <v>84</v>
      </c>
      <c r="F152" s="98"/>
      <c r="G152" s="27" t="s">
        <v>85</v>
      </c>
      <c r="H152" s="99" t="s">
        <v>86</v>
      </c>
      <c r="I152" s="100"/>
      <c r="J152" s="28" t="s">
        <v>87</v>
      </c>
    </row>
    <row r="153" spans="1:11" s="7" customFormat="1" ht="18" customHeight="1">
      <c r="A153" s="101" t="str">
        <f>_xlfn.XLOOKUP(B117,[1]VFDB2!A:A,[1]VFDB2!B:B)</f>
        <v>8FL281304 6110　L=1478</v>
      </c>
      <c r="B153" s="102"/>
      <c r="C153" s="102"/>
      <c r="D153" s="102"/>
      <c r="E153" s="105" t="str" cm="1">
        <f t="array" ref="E153">IFERROR(IF(ISBLANK(INDEX(_xlfn._xlws.FILTER([1]加工記録２!$C$3:$C$999615, [1]加工記録２!$T$3:$T$999615=B119), 6)), "", INDEX(_xlfn._xlws.FILTER([1]加工記録２!$C$3:$C$999615, [1]加工記録２!$T$3:$T$999615=B119), 6)),"")</f>
        <v>LED-A1478</v>
      </c>
      <c r="F153" s="106"/>
      <c r="G153" s="107" cm="1">
        <f t="array" ref="G153">IFERROR(IF(ISBLANK(INDEX(_xlfn._xlws.FILTER([1]加工記録２!$C$3:$C$999615, [1]加工記録２!$T$3:$T$999615=B119), 7)), " ", INDEX(_xlfn._xlws.FILTER([1]加工記録２!$C$3:$C$999615, [1]加工記録２!$T$3:$T$999615=B119), 7))," ")</f>
        <v>2</v>
      </c>
      <c r="H153" s="29" t="s">
        <v>88</v>
      </c>
      <c r="I153" s="47" cm="1">
        <f t="array" ref="I153:J153">IFERROR(IF(ISBLANK(INDEX(_xlfn._xlws.FILTER([1]加工記録２!$O$3:$P$999678, [1]加工記録２!$T$3:$T$999678=B119), 1)), "", INDEX(_xlfn._xlws.FILTER([1]加工記録２!$O$3:$P$999678, [1]加工記録２!$T$3:$T$999678=B119), 1)),"")</f>
        <v>45978</v>
      </c>
      <c r="J153" s="48">
        <v>1</v>
      </c>
    </row>
    <row r="154" spans="1:11" s="5" customFormat="1" ht="18" customHeight="1">
      <c r="A154" s="103"/>
      <c r="B154" s="104"/>
      <c r="C154" s="104"/>
      <c r="D154" s="104"/>
      <c r="E154" s="105"/>
      <c r="F154" s="106"/>
      <c r="G154" s="107"/>
      <c r="H154" s="29" t="s">
        <v>89</v>
      </c>
      <c r="I154" s="49" cm="1">
        <f t="array" ref="I154:J154">IFERROR(IF(ISBLANK(INDEX(_xlfn._xlws.FILTER([1]加工記録２!$O$3:$P$999678, [1]加工記録２!$T$3:$T$999678=B119), 2)), "", INDEX(_xlfn._xlws.FILTER([1]加工記録２!$O$3:$P$999678, [1]加工記録２!$T$3:$T$999678=B119), 2)),"")</f>
        <v>200</v>
      </c>
      <c r="J154" s="50">
        <v>1</v>
      </c>
      <c r="K154" s="30"/>
    </row>
    <row r="155" spans="1:11" s="7" customFormat="1" ht="18" customHeight="1">
      <c r="A155" s="108" t="s">
        <v>90</v>
      </c>
      <c r="B155" s="133" t="str">
        <f>_xlfn.XLOOKUP(B117,[1]VFDB2!A:A,[1]VFDB2!J:J)</f>
        <v>〇</v>
      </c>
      <c r="C155" s="128" t="s">
        <v>91</v>
      </c>
      <c r="D155" s="130">
        <f>_xlfn.XLOOKUP(B117,[1]VFDB2!A:A,[1]VFDB2!P:P)</f>
        <v>1</v>
      </c>
      <c r="E155" s="105" t="str">
        <f>_xlfn.XLOOKUP(B117,[1]VFDB2!A:A,[1]VFDB2!V:V)</f>
        <v>1箱目の梱包数 目視確認　以降、重量測定</v>
      </c>
      <c r="F155" s="106"/>
      <c r="G155" s="132"/>
      <c r="H155" s="31" t="s">
        <v>92</v>
      </c>
      <c r="I155" s="49" cm="1">
        <f t="array" ref="I155:J155">IFERROR(IF(ISBLANK(INDEX(_xlfn._xlws.FILTER([1]加工記録２!$O$3:$P$999678, [1]加工記録２!$T$3:$T$999678=B119), 3)), "", INDEX(_xlfn._xlws.FILTER([1]加工記録２!$O$3:$P$999678, [1]加工記録２!$T$3:$T$999678=B119), 3)),"")</f>
        <v>202</v>
      </c>
      <c r="J155" s="51" t="str">
        <v/>
      </c>
      <c r="K155" s="32"/>
    </row>
    <row r="156" spans="1:11" s="5" customFormat="1" ht="18" customHeight="1">
      <c r="A156" s="109"/>
      <c r="B156" s="134"/>
      <c r="C156" s="129"/>
      <c r="D156" s="131"/>
      <c r="E156" s="105"/>
      <c r="F156" s="106"/>
      <c r="G156" s="132"/>
      <c r="H156" s="31" t="s">
        <v>93</v>
      </c>
      <c r="I156" s="49" cm="1">
        <f t="array" ref="I156:J156">IFERROR(IF(ISBLANK(INDEX(_xlfn._xlws.FILTER([1]加工記録２!$O$3:$P$999678, [1]加工記録２!$T$3:$T$999678=B119), 4)), "", INDEX(_xlfn._xlws.FILTER([1]加工記録２!$O$3:$P$999678, [1]加工記録２!$T$3:$T$999678=B119), 4)),"")</f>
        <v>2</v>
      </c>
      <c r="J156" s="52" t="str">
        <v/>
      </c>
      <c r="K156" s="30"/>
    </row>
    <row r="157" spans="1:11" s="7" customFormat="1" ht="18" customHeight="1">
      <c r="A157" s="137" t="s">
        <v>94</v>
      </c>
      <c r="B157" s="139">
        <f>D117</f>
        <v>1478</v>
      </c>
      <c r="C157" s="150" t="s">
        <v>95</v>
      </c>
      <c r="D157" s="152" t="str">
        <f>_xlfn.XLOOKUP(B117,[1]VFDB2!A:A,[1]VFDB2!L:L)</f>
        <v>+0.5</v>
      </c>
      <c r="E157" s="105" t="str">
        <f>_xlfn.XLOOKUP(B117,[1]VFDB2!A:A,[1]VFDB2!W:W)</f>
        <v>クラフト紙：1478型</v>
      </c>
      <c r="F157" s="106"/>
      <c r="G157" s="132"/>
      <c r="H157" s="31" t="s">
        <v>96</v>
      </c>
      <c r="I157" s="49" cm="1">
        <f t="array" ref="I157:J157">IFERROR(IF(ISBLANK(INDEX(_xlfn._xlws.FILTER([1]加工記録２!$O$3:$P$999678, [1]加工記録２!$T$3:$T$999678=B119), 5)), "", INDEX(_xlfn._xlws.FILTER([1]加工記録２!$O$3:$P$999678, [1]加工記録２!$T$3:$T$999678=B119), 5)),"")</f>
        <v>2</v>
      </c>
      <c r="J157" s="53" t="str">
        <v/>
      </c>
      <c r="K157" s="32"/>
    </row>
    <row r="158" spans="1:11" s="5" customFormat="1" ht="18" customHeight="1">
      <c r="A158" s="138"/>
      <c r="B158" s="140"/>
      <c r="C158" s="151"/>
      <c r="D158" s="153"/>
      <c r="E158" s="105"/>
      <c r="F158" s="106"/>
      <c r="G158" s="132"/>
      <c r="H158" s="31" t="s">
        <v>97</v>
      </c>
      <c r="I158" s="49" cm="1">
        <f t="array" ref="I158:J158">IFERROR(IF(ISBLANK(INDEX(_xlfn._xlws.FILTER([1]加工記録２!$O$3:$P$999678, [1]加工記録２!$T$3:$T$999678=B119), 6)), "", INDEX(_xlfn._xlws.FILTER([1]加工記録２!$O$3:$P$999678, [1]加工記録２!$T$3:$T$999678=B119), 6)),"")</f>
        <v>0</v>
      </c>
      <c r="J158" s="54" t="str">
        <v/>
      </c>
      <c r="K158" s="30"/>
    </row>
    <row r="159" spans="1:11" s="7" customFormat="1" ht="18" customHeight="1">
      <c r="A159" s="108" t="s">
        <v>98</v>
      </c>
      <c r="B159" s="142" t="str">
        <f>_xlfn.XLOOKUP(B117,[1]VFDB2!A:A,[1]VFDB2!AC:AC)</f>
        <v>換算表確認</v>
      </c>
      <c r="C159" s="154" t="s">
        <v>99</v>
      </c>
      <c r="D159" s="152" t="str">
        <f>_xlfn.XLOOKUP(B117,[1]VFDB2!A:A,[1]VFDB2!K:K)</f>
        <v>－0.5</v>
      </c>
      <c r="E159" s="105" t="str">
        <f>_xlfn.XLOOKUP(B117,[1]VFDB2!A:A,[1]VFDB2!R:R)</f>
        <v>ラベル１枚　長手無　鉢巻１回</v>
      </c>
      <c r="F159" s="106"/>
      <c r="G159" s="132"/>
      <c r="H159" s="31" t="s">
        <v>100</v>
      </c>
      <c r="I159" s="49" t="str" cm="1">
        <f t="array" ref="I159">IFERROR(IF(ISBLANK(INDEX(_xlfn._xlws.FILTER([1]加工記録２!$M$3:$M$999678, [1]加工記録２!$T$3:$T$999678=B119), 6)), "", INDEX(_xlfn._xlws.FILTER([1]加工記録２!$M$3:$M$999678, [1]加工記録２!$T$3:$T$999678=B119), 6)),"")</f>
        <v>M</v>
      </c>
      <c r="J159" s="55" t="str" cm="1">
        <f t="array" ref="J159">IFERROR(IF(ISBLANK(INDEX(_xlfn._xlws.FILTER([1]加工記録２!$P$3:$P$999678, [1]加工記録２!$T$3:$T$999678=B119), 7)), "", INDEX(_xlfn._xlws.FILTER([1]加工記録２!$P$3:$P$999678, [1]加工記録２!$T$3:$T$999678=B119), 7)),"")</f>
        <v/>
      </c>
      <c r="K159" s="32"/>
    </row>
    <row r="160" spans="1:11" s="5" customFormat="1" ht="18" customHeight="1" thickBot="1">
      <c r="A160" s="141"/>
      <c r="B160" s="143"/>
      <c r="C160" s="155"/>
      <c r="D160" s="156"/>
      <c r="E160" s="157"/>
      <c r="F160" s="158"/>
      <c r="G160" s="159"/>
      <c r="H160" s="33" t="s">
        <v>101</v>
      </c>
      <c r="I160" s="49" t="str" cm="1">
        <f t="array" ref="I160">IFERROR(IF(ISBLANK(INDEX(_xlfn._xlws.FILTER([1]加工記録２!$M$3:$M$999678, [1]加工記録２!$T$3:$T$999678=B119), 7)), "", INDEX(_xlfn._xlws.FILTER([1]加工記録２!$M$3:$M$999678, [1]加工記録２!$T$3:$T$999678=B119), 7)),"")</f>
        <v>T</v>
      </c>
      <c r="J160" s="56">
        <f>SUM(J153:J159)</f>
        <v>2</v>
      </c>
    </row>
    <row r="161" spans="1:14" s="44" customFormat="1" ht="18.95" customHeight="1">
      <c r="A161" s="34" t="s">
        <v>102</v>
      </c>
      <c r="B161" s="35" t="s">
        <v>103</v>
      </c>
      <c r="C161" s="36" t="s">
        <v>104</v>
      </c>
      <c r="D161" s="36" t="s">
        <v>105</v>
      </c>
      <c r="E161" s="37" t="s">
        <v>106</v>
      </c>
      <c r="F161" s="38" t="s">
        <v>107</v>
      </c>
      <c r="G161" s="39" t="s">
        <v>108</v>
      </c>
      <c r="H161" s="40" t="s">
        <v>109</v>
      </c>
      <c r="I161" s="41" t="s">
        <v>110</v>
      </c>
      <c r="J161" s="42" t="s">
        <v>111</v>
      </c>
      <c r="K161" s="43"/>
      <c r="L161" s="43"/>
      <c r="M161" s="43"/>
      <c r="N161" s="43"/>
    </row>
    <row r="162" spans="1:14" s="46" customFormat="1" ht="18.95" customHeight="1">
      <c r="A162" s="57" cm="1">
        <f t="array" ref="A162:J162">IFERROR(IF(ISBLANK(INDEX(_xlfn._xlws.FILTER([1]加工記録２!$D$3:$M$999678, [1]加工記録２!$T$3:$T$999678=B119), 1)), "", INDEX(_xlfn._xlws.FILTER([1]加工記録２!$D$3:$M$999678, [1]加工記録２!$T$3:$T$999678=B119), 1)),"")</f>
        <v>45967</v>
      </c>
      <c r="B162" s="58" t="str">
        <v>25J19-05</v>
      </c>
      <c r="C162" s="59" t="str">
        <v/>
      </c>
      <c r="D162" s="59" t="str">
        <v/>
      </c>
      <c r="E162" s="60" t="str">
        <v/>
      </c>
      <c r="F162" s="61" t="str">
        <v>25J19-05</v>
      </c>
      <c r="G162" s="62">
        <v>8</v>
      </c>
      <c r="H162" s="63">
        <v>8</v>
      </c>
      <c r="I162" s="64">
        <v>45978</v>
      </c>
      <c r="J162" s="65">
        <v>2</v>
      </c>
      <c r="K162" s="45"/>
      <c r="L162" s="45"/>
      <c r="M162" s="45"/>
      <c r="N162" s="45"/>
    </row>
    <row r="163" spans="1:14" s="46" customFormat="1" ht="18.95" customHeight="1">
      <c r="A163" s="57" cm="1">
        <f t="array" ref="A163:J163">IFERROR(IF(ISBLANK(INDEX(_xlfn._xlws.FILTER([1]加工記録２!$D$3:$M$999678, [1]加工記録２!$T$3:$T$999678=B119), 2)), "", INDEX(_xlfn._xlws.FILTER([1]加工記録２!$D$3:$M$999678, [1]加工記録２!$T$3:$T$999678=B119), 2)),"")</f>
        <v>45975</v>
      </c>
      <c r="B163" s="66" t="str">
        <v>25J21-07</v>
      </c>
      <c r="C163" s="66">
        <v>22</v>
      </c>
      <c r="D163" s="67">
        <v>1478.19</v>
      </c>
      <c r="E163" s="68">
        <v>1478.05</v>
      </c>
      <c r="F163" s="69" t="str">
        <v>25J21-07</v>
      </c>
      <c r="G163" s="70">
        <v>194</v>
      </c>
      <c r="H163" s="71">
        <v>194</v>
      </c>
      <c r="I163" s="64" t="str">
        <v/>
      </c>
      <c r="J163" s="65" t="str">
        <v/>
      </c>
      <c r="K163" s="45"/>
      <c r="L163" s="45"/>
      <c r="M163" s="45"/>
      <c r="N163" s="45"/>
    </row>
    <row r="164" spans="1:14" s="46" customFormat="1" ht="18.95" customHeight="1">
      <c r="A164" s="57" cm="1">
        <f t="array" ref="A164:J164">IFERROR(IF(ISBLANK(INDEX(_xlfn._xlws.FILTER([1]加工記録２!$D$3:$M$999678, [1]加工記録２!$T$3:$T$999678=B119), 3)), "", INDEX(_xlfn._xlws.FILTER([1]加工記録２!$D$3:$M$999678, [1]加工記録２!$T$3:$T$999678=B119), 3)),"")</f>
        <v>45975</v>
      </c>
      <c r="B164" s="66" t="str">
        <v>25J21-07</v>
      </c>
      <c r="C164" s="66">
        <v>20</v>
      </c>
      <c r="D164" s="67">
        <v>1478</v>
      </c>
      <c r="E164" s="68">
        <v>1478.07</v>
      </c>
      <c r="F164" s="69" t="str">
        <v/>
      </c>
      <c r="G164" s="70" t="str">
        <v/>
      </c>
      <c r="H164" s="71">
        <v>0</v>
      </c>
      <c r="I164" s="64" t="str">
        <v/>
      </c>
      <c r="J164" s="65" t="str">
        <v/>
      </c>
      <c r="K164" s="45"/>
      <c r="L164" s="45"/>
      <c r="M164" s="45"/>
      <c r="N164" s="45"/>
    </row>
    <row r="165" spans="1:14" s="46" customFormat="1" ht="18.95" customHeight="1">
      <c r="A165" s="57" t="str" cm="1">
        <f t="array" ref="A165:J165">IFERROR(IF(ISBLANK(INDEX(_xlfn._xlws.FILTER([1]加工記録２!$D$3:$M$999678, [1]加工記録２!$T$3:$T$999678=B119), 4)), "", INDEX(_xlfn._xlws.FILTER([1]加工記録２!$D$3:$M$999678, [1]加工記録２!$T$3:$T$999678=B119), 4)),"")</f>
        <v/>
      </c>
      <c r="B165" s="66" t="str">
        <v/>
      </c>
      <c r="C165" s="66" t="str">
        <v/>
      </c>
      <c r="D165" s="67" t="str">
        <v/>
      </c>
      <c r="E165" s="68" t="str">
        <v/>
      </c>
      <c r="F165" s="69" t="str">
        <v/>
      </c>
      <c r="G165" s="70" t="str">
        <v/>
      </c>
      <c r="H165" s="71">
        <v>0</v>
      </c>
      <c r="I165" s="64" t="str">
        <v/>
      </c>
      <c r="J165" s="65" t="str">
        <v/>
      </c>
      <c r="K165" s="45"/>
      <c r="L165" s="45"/>
      <c r="M165" s="45"/>
      <c r="N165" s="45"/>
    </row>
    <row r="166" spans="1:14" s="46" customFormat="1" ht="18.95" customHeight="1">
      <c r="A166" s="57" t="str" cm="1">
        <f t="array" ref="A166:J166">IFERROR(IF(ISBLANK(INDEX(_xlfn._xlws.FILTER([1]加工記録２!$D$3:$M$999678, [1]加工記録２!$T$3:$T$999678=B119), 5)), "", INDEX(_xlfn._xlws.FILTER([1]加工記録２!$D$3:$M$999678, [1]加工記録２!$T$3:$T$999678=B119), 5)),"")</f>
        <v/>
      </c>
      <c r="B166" s="66" t="str">
        <v/>
      </c>
      <c r="C166" s="66" t="str">
        <v/>
      </c>
      <c r="D166" s="67" t="str">
        <v/>
      </c>
      <c r="E166" s="68" t="str">
        <v/>
      </c>
      <c r="F166" s="69" t="str">
        <v/>
      </c>
      <c r="G166" s="70" t="str">
        <v/>
      </c>
      <c r="H166" s="71">
        <v>0</v>
      </c>
      <c r="I166" s="72" t="str">
        <v/>
      </c>
      <c r="J166" s="73" t="str">
        <v/>
      </c>
      <c r="K166" s="45"/>
      <c r="L166" s="45"/>
      <c r="M166" s="45"/>
      <c r="N166" s="45"/>
    </row>
    <row r="167" spans="1:14" s="46" customFormat="1" ht="18.95" customHeight="1">
      <c r="A167" s="57" t="str" cm="1">
        <f t="array" ref="A167:H167">IFERROR(IF(ISBLANK(INDEX(_xlfn._xlws.FILTER([1]加工記録２!$D$3:$K$999678, [1]加工記録２!$T$3:$T$999678=B119), 6)), "", INDEX(_xlfn._xlws.FILTER([1]加工記録２!$D$3:$K$999678, [1]加工記録２!$T$3:$T$999678=B119), 6)),"")</f>
        <v/>
      </c>
      <c r="B167" s="66" t="str">
        <v/>
      </c>
      <c r="C167" s="66" t="str">
        <v/>
      </c>
      <c r="D167" s="67" t="str">
        <v/>
      </c>
      <c r="E167" s="68" t="str">
        <v/>
      </c>
      <c r="F167" s="69" t="str">
        <v/>
      </c>
      <c r="G167" s="70" t="str">
        <v/>
      </c>
      <c r="H167" s="71">
        <v>0</v>
      </c>
      <c r="I167" s="72"/>
      <c r="J167" s="73"/>
      <c r="K167" s="45"/>
      <c r="L167" s="45"/>
      <c r="M167" s="45"/>
      <c r="N167" s="45"/>
    </row>
    <row r="168" spans="1:14" s="46" customFormat="1" ht="18.95" customHeight="1">
      <c r="A168" s="57" t="str" cm="1">
        <f t="array" ref="A168:H168">IFERROR(IF(ISBLANK(INDEX(_xlfn._xlws.FILTER([1]加工記録２!$D$3:$K$999678, [1]加工記録２!$T$3:$T$999678=B119), 7)), "", INDEX(_xlfn._xlws.FILTER([1]加工記録２!$D$3:$K$999678, [1]加工記録２!$T$3:$T$999678=B119), 7)),"")</f>
        <v/>
      </c>
      <c r="B168" s="66" t="str">
        <v/>
      </c>
      <c r="C168" s="66" t="str">
        <v/>
      </c>
      <c r="D168" s="67" t="str">
        <v/>
      </c>
      <c r="E168" s="68" t="str">
        <v/>
      </c>
      <c r="F168" s="69" t="str">
        <v/>
      </c>
      <c r="G168" s="70" t="str">
        <v/>
      </c>
      <c r="H168" s="71">
        <v>0</v>
      </c>
      <c r="I168" s="72"/>
      <c r="J168" s="73"/>
      <c r="K168" s="45"/>
      <c r="L168" s="45"/>
      <c r="M168" s="45"/>
      <c r="N168" s="45"/>
    </row>
    <row r="169" spans="1:14" s="46" customFormat="1" ht="18.95" customHeight="1" thickBot="1">
      <c r="A169" s="74" t="str" cm="1">
        <f t="array" ref="A169:H169">IFERROR(IF(ISBLANK(INDEX(_xlfn._xlws.FILTER([1]加工記録２!$D$3:$K$999678, [1]加工記録２!$T$3:$T$999678=B119), 8)), "", INDEX(_xlfn._xlws.FILTER([1]加工記録２!$D$3:$K$999678, [1]加工記録２!$T$3:$T$999678=B119), 8)),"")</f>
        <v/>
      </c>
      <c r="B169" s="75" t="str">
        <v/>
      </c>
      <c r="C169" s="75" t="str">
        <v/>
      </c>
      <c r="D169" s="76" t="str">
        <v/>
      </c>
      <c r="E169" s="77" t="str">
        <v/>
      </c>
      <c r="F169" s="78" t="str">
        <v/>
      </c>
      <c r="G169" s="79" t="str">
        <v/>
      </c>
      <c r="H169" s="80">
        <v>0</v>
      </c>
      <c r="I169" s="81"/>
      <c r="J169" s="82"/>
      <c r="K169" s="45"/>
      <c r="L169" s="45"/>
      <c r="M169" s="45"/>
      <c r="N169" s="4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</sheetData>
  <mergeCells count="321">
    <mergeCell ref="A157:A158"/>
    <mergeCell ref="B157:B158"/>
    <mergeCell ref="C157:C158"/>
    <mergeCell ref="D157:D158"/>
    <mergeCell ref="E157:G158"/>
    <mergeCell ref="A159:A160"/>
    <mergeCell ref="B159:B160"/>
    <mergeCell ref="C159:C160"/>
    <mergeCell ref="D159:D160"/>
    <mergeCell ref="E159:G160"/>
    <mergeCell ref="A152:D152"/>
    <mergeCell ref="E152:F152"/>
    <mergeCell ref="H152:I152"/>
    <mergeCell ref="A153:D154"/>
    <mergeCell ref="E153:F154"/>
    <mergeCell ref="G153:G154"/>
    <mergeCell ref="A155:A156"/>
    <mergeCell ref="B155:B156"/>
    <mergeCell ref="C155:C156"/>
    <mergeCell ref="D155:D156"/>
    <mergeCell ref="E155:G156"/>
    <mergeCell ref="G39:G40"/>
    <mergeCell ref="A41:A42"/>
    <mergeCell ref="B41:B42"/>
    <mergeCell ref="C41:C42"/>
    <mergeCell ref="G148:H148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F132:H132"/>
    <mergeCell ref="C87:E87"/>
    <mergeCell ref="C89:E89"/>
    <mergeCell ref="C88:E88"/>
    <mergeCell ref="A129:J129"/>
    <mergeCell ref="A142:B142"/>
    <mergeCell ref="A145:B145"/>
    <mergeCell ref="G12:G13"/>
    <mergeCell ref="A28:B28"/>
    <mergeCell ref="I30:J30"/>
    <mergeCell ref="A30:B30"/>
    <mergeCell ref="C94:E94"/>
    <mergeCell ref="C150:E150"/>
    <mergeCell ref="C144:E144"/>
    <mergeCell ref="C80:D80"/>
    <mergeCell ref="G87:H87"/>
    <mergeCell ref="I87:J87"/>
    <mergeCell ref="J118:J119"/>
    <mergeCell ref="C37:E37"/>
    <mergeCell ref="C26:D26"/>
    <mergeCell ref="G82:H82"/>
    <mergeCell ref="C134:D134"/>
    <mergeCell ref="F117:H118"/>
    <mergeCell ref="F29:J29"/>
    <mergeCell ref="I139:J139"/>
    <mergeCell ref="C146:E146"/>
    <mergeCell ref="A148:B148"/>
    <mergeCell ref="A15:J15"/>
    <mergeCell ref="F130:H130"/>
    <mergeCell ref="F66:G66"/>
    <mergeCell ref="E39:F40"/>
    <mergeCell ref="C18:D18"/>
    <mergeCell ref="A34:B34"/>
    <mergeCell ref="A143:B143"/>
    <mergeCell ref="G126:G127"/>
    <mergeCell ref="A36:B36"/>
    <mergeCell ref="B121:B122"/>
    <mergeCell ref="A72:J72"/>
    <mergeCell ref="I69:J70"/>
    <mergeCell ref="F133:H133"/>
    <mergeCell ref="F75:H75"/>
    <mergeCell ref="F135:H135"/>
    <mergeCell ref="C90:E90"/>
    <mergeCell ref="C139:E139"/>
    <mergeCell ref="C140:D140"/>
    <mergeCell ref="C82:E82"/>
    <mergeCell ref="C86:E86"/>
    <mergeCell ref="C100:C101"/>
    <mergeCell ref="D100:D101"/>
    <mergeCell ref="E100:G101"/>
    <mergeCell ref="C102:C103"/>
    <mergeCell ref="D102:D103"/>
    <mergeCell ref="E102:G103"/>
    <mergeCell ref="C77:D77"/>
    <mergeCell ref="C22:D22"/>
    <mergeCell ref="A3:A4"/>
    <mergeCell ref="F86:J86"/>
    <mergeCell ref="G146:H146"/>
    <mergeCell ref="I75:J75"/>
    <mergeCell ref="I146:J146"/>
    <mergeCell ref="A149:B149"/>
    <mergeCell ref="A5:A6"/>
    <mergeCell ref="A86:B86"/>
    <mergeCell ref="A144:B144"/>
    <mergeCell ref="A12:C13"/>
    <mergeCell ref="F19:H19"/>
    <mergeCell ref="H126:H127"/>
    <mergeCell ref="I78:J78"/>
    <mergeCell ref="I136:J136"/>
    <mergeCell ref="B117:B118"/>
    <mergeCell ref="B115:D116"/>
    <mergeCell ref="I25:J25"/>
    <mergeCell ref="F79:H79"/>
    <mergeCell ref="E60:E61"/>
    <mergeCell ref="C36:E36"/>
    <mergeCell ref="I118:I119"/>
    <mergeCell ref="D3:D4"/>
    <mergeCell ref="H12:H13"/>
    <mergeCell ref="I12:J13"/>
    <mergeCell ref="B1:D2"/>
    <mergeCell ref="I20:J20"/>
    <mergeCell ref="G85:H85"/>
    <mergeCell ref="A117:A118"/>
    <mergeCell ref="C143:E143"/>
    <mergeCell ref="A119:A120"/>
    <mergeCell ref="F147:J147"/>
    <mergeCell ref="B3:B4"/>
    <mergeCell ref="I80:J80"/>
    <mergeCell ref="A87:B87"/>
    <mergeCell ref="I144:J144"/>
    <mergeCell ref="H69:H70"/>
    <mergeCell ref="A89:B89"/>
    <mergeCell ref="B58:D59"/>
    <mergeCell ref="F140:J140"/>
    <mergeCell ref="F9:G9"/>
    <mergeCell ref="G36:H36"/>
    <mergeCell ref="I36:J36"/>
    <mergeCell ref="F136:H136"/>
    <mergeCell ref="C76:D76"/>
    <mergeCell ref="F78:H78"/>
    <mergeCell ref="F92:J92"/>
    <mergeCell ref="G91:H91"/>
    <mergeCell ref="F143:J143"/>
    <mergeCell ref="I150:J150"/>
    <mergeCell ref="F26:J26"/>
    <mergeCell ref="F90:J90"/>
    <mergeCell ref="A32:B32"/>
    <mergeCell ref="J61:J62"/>
    <mergeCell ref="I34:J34"/>
    <mergeCell ref="I89:J89"/>
    <mergeCell ref="F137:H137"/>
    <mergeCell ref="G150:H150"/>
    <mergeCell ref="I134:J134"/>
    <mergeCell ref="A37:B37"/>
    <mergeCell ref="C137:D137"/>
    <mergeCell ref="A92:B92"/>
    <mergeCell ref="A94:B94"/>
    <mergeCell ref="C28:E28"/>
    <mergeCell ref="A29:B29"/>
    <mergeCell ref="G30:H30"/>
    <mergeCell ref="C130:D130"/>
    <mergeCell ref="F73:H73"/>
    <mergeCell ref="I132:J132"/>
    <mergeCell ref="C135:D135"/>
    <mergeCell ref="I76:J76"/>
    <mergeCell ref="A90:B90"/>
    <mergeCell ref="C91:E91"/>
    <mergeCell ref="A151:B151"/>
    <mergeCell ref="A150:B150"/>
    <mergeCell ref="A62:A63"/>
    <mergeCell ref="A126:C127"/>
    <mergeCell ref="G144:H144"/>
    <mergeCell ref="I73:J73"/>
    <mergeCell ref="D60:D61"/>
    <mergeCell ref="A64:A65"/>
    <mergeCell ref="C19:D19"/>
    <mergeCell ref="F21:H21"/>
    <mergeCell ref="C25:E25"/>
    <mergeCell ref="C85:E85"/>
    <mergeCell ref="F35:J35"/>
    <mergeCell ref="C60:C61"/>
    <mergeCell ref="C132:D132"/>
    <mergeCell ref="C33:E33"/>
    <mergeCell ref="G25:H25"/>
    <mergeCell ref="C35:E35"/>
    <mergeCell ref="F64:G64"/>
    <mergeCell ref="G142:H142"/>
    <mergeCell ref="I142:J142"/>
    <mergeCell ref="C92:E92"/>
    <mergeCell ref="C30:E30"/>
    <mergeCell ref="I79:J79"/>
    <mergeCell ref="F3:H4"/>
    <mergeCell ref="F5:H6"/>
    <mergeCell ref="G89:H89"/>
    <mergeCell ref="F37:J37"/>
    <mergeCell ref="I21:J21"/>
    <mergeCell ref="C21:D21"/>
    <mergeCell ref="F80:H80"/>
    <mergeCell ref="C29:E29"/>
    <mergeCell ref="H10:J11"/>
    <mergeCell ref="I32:J32"/>
    <mergeCell ref="F83:J83"/>
    <mergeCell ref="I16:J16"/>
    <mergeCell ref="I18:J18"/>
    <mergeCell ref="C3:C4"/>
    <mergeCell ref="E3:E4"/>
    <mergeCell ref="E5:E6"/>
    <mergeCell ref="F7:G7"/>
    <mergeCell ref="I4:I5"/>
    <mergeCell ref="G10:G11"/>
    <mergeCell ref="J4:J5"/>
    <mergeCell ref="C83:D83"/>
    <mergeCell ref="C16:D16"/>
    <mergeCell ref="F31:J31"/>
    <mergeCell ref="C34:E34"/>
    <mergeCell ref="A7:A8"/>
    <mergeCell ref="A88:B88"/>
    <mergeCell ref="A85:B85"/>
    <mergeCell ref="B7:B8"/>
    <mergeCell ref="A100:A101"/>
    <mergeCell ref="B100:B101"/>
    <mergeCell ref="A102:A103"/>
    <mergeCell ref="B102:B103"/>
    <mergeCell ref="F23:H23"/>
    <mergeCell ref="C20:D20"/>
    <mergeCell ref="A31:B31"/>
    <mergeCell ref="C93:E93"/>
    <mergeCell ref="F18:H18"/>
    <mergeCell ref="F60:H61"/>
    <mergeCell ref="C79:D79"/>
    <mergeCell ref="C73:D73"/>
    <mergeCell ref="F22:H22"/>
    <mergeCell ref="F33:J33"/>
    <mergeCell ref="I23:J23"/>
    <mergeCell ref="C23:D23"/>
    <mergeCell ref="A38:D38"/>
    <mergeCell ref="E38:F38"/>
    <mergeCell ref="H38:I38"/>
    <mergeCell ref="A39:D40"/>
    <mergeCell ref="C98:C99"/>
    <mergeCell ref="D98:D99"/>
    <mergeCell ref="E98:G99"/>
    <mergeCell ref="A139:B139"/>
    <mergeCell ref="A146:B146"/>
    <mergeCell ref="B62:B63"/>
    <mergeCell ref="A82:B82"/>
    <mergeCell ref="B98:B99"/>
    <mergeCell ref="B60:B61"/>
    <mergeCell ref="D117:D118"/>
    <mergeCell ref="A121:A122"/>
    <mergeCell ref="F121:G121"/>
    <mergeCell ref="I82:J82"/>
    <mergeCell ref="F94:J94"/>
    <mergeCell ref="G93:H93"/>
    <mergeCell ref="H124:J125"/>
    <mergeCell ref="I137:J137"/>
    <mergeCell ref="I126:J127"/>
    <mergeCell ref="C151:E151"/>
    <mergeCell ref="C32:E32"/>
    <mergeCell ref="F16:H16"/>
    <mergeCell ref="G32:H32"/>
    <mergeCell ref="I77:J77"/>
    <mergeCell ref="E117:E118"/>
    <mergeCell ref="I133:J133"/>
    <mergeCell ref="I22:J22"/>
    <mergeCell ref="I19:J19"/>
    <mergeCell ref="G67:G68"/>
    <mergeCell ref="I61:I62"/>
    <mergeCell ref="G69:G70"/>
    <mergeCell ref="C75:D75"/>
    <mergeCell ref="I91:J91"/>
    <mergeCell ref="F134:H134"/>
    <mergeCell ref="G28:H28"/>
    <mergeCell ref="I28:J28"/>
    <mergeCell ref="C31:E31"/>
    <mergeCell ref="F151:J151"/>
    <mergeCell ref="E62:E63"/>
    <mergeCell ref="C136:D136"/>
    <mergeCell ref="F88:J88"/>
    <mergeCell ref="F76:H76"/>
    <mergeCell ref="C142:E142"/>
    <mergeCell ref="I93:J93"/>
    <mergeCell ref="A69:C70"/>
    <mergeCell ref="E119:E120"/>
    <mergeCell ref="A93:B93"/>
    <mergeCell ref="F62:H63"/>
    <mergeCell ref="C149:E149"/>
    <mergeCell ref="I130:J130"/>
    <mergeCell ref="C133:D133"/>
    <mergeCell ref="F145:J145"/>
    <mergeCell ref="F119:H120"/>
    <mergeCell ref="G124:G125"/>
    <mergeCell ref="G139:H139"/>
    <mergeCell ref="I135:J135"/>
    <mergeCell ref="F77:H77"/>
    <mergeCell ref="C145:E145"/>
    <mergeCell ref="F149:J149"/>
    <mergeCell ref="A91:B91"/>
    <mergeCell ref="I148:J148"/>
    <mergeCell ref="B5:B6"/>
    <mergeCell ref="F123:G123"/>
    <mergeCell ref="C78:D78"/>
    <mergeCell ref="C147:E147"/>
    <mergeCell ref="F20:H20"/>
    <mergeCell ref="A60:A61"/>
    <mergeCell ref="H67:J68"/>
    <mergeCell ref="C148:E148"/>
    <mergeCell ref="A95:D95"/>
    <mergeCell ref="E95:F95"/>
    <mergeCell ref="H95:I95"/>
    <mergeCell ref="A96:D97"/>
    <mergeCell ref="E96:F97"/>
    <mergeCell ref="G96:G97"/>
    <mergeCell ref="A98:A99"/>
    <mergeCell ref="I85:J85"/>
    <mergeCell ref="A25:B25"/>
    <mergeCell ref="C117:C118"/>
    <mergeCell ref="G34:H34"/>
    <mergeCell ref="B119:B120"/>
    <mergeCell ref="A33:B33"/>
    <mergeCell ref="B64:B65"/>
    <mergeCell ref="A35:B35"/>
    <mergeCell ref="A147:B147"/>
  </mergeCells>
  <phoneticPr fontId="2"/>
  <conditionalFormatting sqref="D50:D55">
    <cfRule type="cellIs" dxfId="2" priority="3" operator="equal">
      <formula>$D49</formula>
    </cfRule>
  </conditionalFormatting>
  <conditionalFormatting sqref="D107:D112">
    <cfRule type="cellIs" dxfId="1" priority="2" operator="equal">
      <formula>$D106</formula>
    </cfRule>
  </conditionalFormatting>
  <conditionalFormatting sqref="D164:D169">
    <cfRule type="cellIs" dxfId="0" priority="1" operator="equal">
      <formula>$D163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2" manualBreakCount="2">
    <brk id="57" max="16383" man="1"/>
    <brk id="1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2025-10-27T05:59:59Z</cp:lastPrinted>
  <dcterms:created xsi:type="dcterms:W3CDTF">2024-07-11T02:08:33Z</dcterms:created>
  <dcterms:modified xsi:type="dcterms:W3CDTF">2025-11-17T05:35:43Z</dcterms:modified>
</cp:coreProperties>
</file>