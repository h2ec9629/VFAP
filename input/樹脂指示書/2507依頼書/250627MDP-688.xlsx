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黒部工業－ＰＣ\Desktop\樹脂指示書\"/>
    </mc:Choice>
  </mc:AlternateContent>
  <xr:revisionPtr revIDLastSave="0" documentId="13_ncr:1_{E15B365D-DF4B-4BBE-A1F5-BF75C5EB06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5" i="1" l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I39" i="1" s="1"/>
  <c r="G39" i="1"/>
  <c r="G39" i="1" a="1"/>
  <c r="E39" i="1"/>
  <c r="E39" i="1" a="1"/>
  <c r="A3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<sst xmlns="http://schemas.openxmlformats.org/spreadsheetml/2006/main" count="85" uniqueCount="80">
  <si>
    <t>検査梱包指示書</t>
  </si>
  <si>
    <t>品目番号</t>
  </si>
  <si>
    <t>J1AAEDB01725700</t>
  </si>
  <si>
    <t>Ｌ寸</t>
  </si>
  <si>
    <t>名称</t>
  </si>
  <si>
    <t>MDP-688A L4</t>
  </si>
  <si>
    <t>上長</t>
  </si>
  <si>
    <t>係員</t>
  </si>
  <si>
    <t>製造指図№</t>
  </si>
  <si>
    <t>000000000004826</t>
  </si>
  <si>
    <t>原料名</t>
  </si>
  <si>
    <t>(J1VR763G)</t>
  </si>
  <si>
    <t>発注明細№</t>
  </si>
  <si>
    <t>000000000767812</t>
  </si>
  <si>
    <t>色　名</t>
  </si>
  <si>
    <t>ﾜｻﾞｲｼｮｸ(E-3)</t>
  </si>
  <si>
    <t>製品Grp</t>
  </si>
  <si>
    <t>J1AA</t>
  </si>
  <si>
    <t>開始日</t>
  </si>
  <si>
    <t>入り数</t>
  </si>
  <si>
    <t>終了日</t>
  </si>
  <si>
    <t>梱包数</t>
  </si>
  <si>
    <t>指示数量</t>
  </si>
  <si>
    <t>金　型</t>
  </si>
  <si>
    <t>3226</t>
  </si>
  <si>
    <t>*J1AAEDB01725700*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</si>
  <si>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</si>
  <si>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</si>
  <si>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</si>
  <si>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</si>
  <si>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</si>
  <si>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</si>
  <si>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</si>
  <si>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</si>
  <si>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</si>
  <si>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</si>
  <si>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</si>
  <si>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</si>
  <si>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</si>
  <si>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</si>
  <si>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</si>
  <si>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</si>
  <si>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</si>
  <si>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</si>
  <si>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</si>
  <si>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</si>
  <si>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</si>
  <si>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</si>
  <si>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J1AAEDA01726200</t>
  </si>
  <si>
    <t>@MDP-688</t>
  </si>
  <si>
    <t>*J1AAEDA01726200*</t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</si>
  <si>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</si>
  <si>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</si>
  <si>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</si>
  <si>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</si>
  <si>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</si>
  <si>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</si>
  <si>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</si>
  <si>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</si>
  <si>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</si>
  <si>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</si>
  <si>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</si>
  <si>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</si>
  <si>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</si>
  <si>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</si>
  <si>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</si>
  <si>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</si>
  <si>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</si>
  <si>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</si>
  <si>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</si>
  <si>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</si>
  <si>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基材Lot</t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</si>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</sst>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0"/>
    <numFmt numFmtId="192" formatCode="yy\,mm\,dd"/>
    <numFmt numFmtId="193" formatCode="#&quot;箱&quot;"/>
  </numFmts>
  <fonts count="3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2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54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3" xfId="0" applyNumberFormat="1" applyFont="1" applyBorder="1" applyAlignment="1">
      <alignment horizontal="left" vertical="center"/>
    </xf>
    <xf numFmtId="181" fontId="20" fillId="0" borderId="2" xfId="1" applyNumberFormat="1" applyFont="1" applyBorder="1" applyAlignment="1">
      <alignment horizontal="center" vertical="center" shrinkToFit="1"/>
    </xf>
    <xf numFmtId="182" fontId="19" fillId="0" borderId="24" xfId="0" applyNumberFormat="1" applyFont="1" applyBorder="1" applyAlignment="1">
      <alignment horizontal="left" vertical="center" shrinkToFit="1"/>
    </xf>
    <xf numFmtId="0" fontId="20" fillId="0" borderId="2" xfId="1" applyFont="1" applyBorder="1" applyAlignment="1">
      <alignment horizontal="center" vertical="center" shrinkToFit="1"/>
    </xf>
    <xf numFmtId="183" fontId="19" fillId="0" borderId="22" xfId="0" applyNumberFormat="1" applyFont="1" applyBorder="1" applyAlignment="1">
      <alignment horizontal="left" vertical="center" shrinkToFit="1"/>
    </xf>
    <xf numFmtId="49" fontId="21" fillId="0" borderId="0" xfId="1" applyNumberFormat="1" applyFont="1" applyAlignment="1">
      <alignment horizontal="left" vertical="center" shrinkToFit="1"/>
    </xf>
    <xf numFmtId="0" fontId="19" fillId="0" borderId="23" xfId="0" applyFont="1" applyBorder="1" applyAlignment="1">
      <alignment horizontal="left" vertical="center" wrapText="1"/>
    </xf>
    <xf numFmtId="184" fontId="19" fillId="0" borderId="22" xfId="0" applyNumberFormat="1" applyFont="1" applyBorder="1" applyAlignment="1">
      <alignment horizontal="left" vertical="center" shrinkToFit="1"/>
    </xf>
    <xf numFmtId="49" fontId="23" fillId="0" borderId="0" xfId="1" applyNumberFormat="1" applyFont="1" applyAlignment="1">
      <alignment horizontal="left" vertical="center" shrinkToFit="1"/>
    </xf>
    <xf numFmtId="185" fontId="19" fillId="0" borderId="22" xfId="0" applyNumberFormat="1" applyFont="1" applyBorder="1" applyAlignment="1">
      <alignment horizontal="left" vertical="center" shrinkToFit="1"/>
    </xf>
    <xf numFmtId="187" fontId="19" fillId="0" borderId="22" xfId="0" applyNumberFormat="1" applyFont="1" applyBorder="1" applyAlignment="1">
      <alignment horizontal="left" vertical="center" shrinkToFit="1"/>
    </xf>
    <xf numFmtId="188" fontId="19" fillId="0" borderId="22" xfId="0" applyNumberFormat="1" applyFont="1" applyBorder="1" applyAlignment="1">
      <alignment horizontal="left" vertical="center" shrinkToFit="1"/>
    </xf>
    <xf numFmtId="190" fontId="19" fillId="0" borderId="22" xfId="0" applyNumberFormat="1" applyFont="1" applyBorder="1" applyAlignment="1">
      <alignment horizontal="left" vertical="center" shrinkToFit="1"/>
    </xf>
    <xf numFmtId="0" fontId="19" fillId="0" borderId="35" xfId="0" applyFont="1" applyBorder="1" applyAlignment="1">
      <alignment horizontal="left" vertical="center" wrapText="1"/>
    </xf>
    <xf numFmtId="179" fontId="25" fillId="0" borderId="33" xfId="1" applyNumberFormat="1" applyFont="1" applyBorder="1" applyAlignment="1">
      <alignment horizontal="center" vertical="center" shrinkToFit="1"/>
    </xf>
    <xf numFmtId="191" fontId="19" fillId="0" borderId="34" xfId="0" applyNumberFormat="1" applyFont="1" applyBorder="1" applyAlignment="1">
      <alignment horizontal="center" vertical="center"/>
    </xf>
    <xf numFmtId="0" fontId="26" fillId="6" borderId="17" xfId="0" applyFont="1" applyFill="1" applyBorder="1" applyAlignment="1">
      <alignment horizontal="center" vertical="center"/>
    </xf>
    <xf numFmtId="49" fontId="26" fillId="6" borderId="18" xfId="1" applyNumberFormat="1" applyFont="1" applyFill="1" applyBorder="1" applyAlignment="1">
      <alignment vertical="center" shrinkToFit="1"/>
    </xf>
    <xf numFmtId="49" fontId="26" fillId="6" borderId="18" xfId="1" applyNumberFormat="1" applyFont="1" applyFill="1" applyBorder="1" applyAlignment="1">
      <alignment horizontal="center" vertical="center" shrinkToFit="1"/>
    </xf>
    <xf numFmtId="49" fontId="26" fillId="6" borderId="19" xfId="0" applyNumberFormat="1" applyFont="1" applyFill="1" applyBorder="1" applyAlignment="1">
      <alignment horizontal="center" vertical="center" shrinkToFit="1"/>
    </xf>
    <xf numFmtId="0" fontId="26" fillId="2" borderId="17" xfId="0" applyFont="1" applyFill="1" applyBorder="1">
      <alignment vertical="center"/>
    </xf>
    <xf numFmtId="49" fontId="26" fillId="2" borderId="18" xfId="0" applyNumberFormat="1" applyFont="1" applyFill="1" applyBorder="1" applyAlignment="1">
      <alignment horizontal="center" vertical="center" shrinkToFit="1"/>
    </xf>
    <xf numFmtId="49" fontId="26" fillId="2" borderId="19" xfId="0" applyNumberFormat="1" applyFont="1" applyFill="1" applyBorder="1" applyAlignment="1">
      <alignment horizontal="center" vertical="center" shrinkToFit="1"/>
    </xf>
    <xf numFmtId="0" fontId="27" fillId="3" borderId="36" xfId="0" applyFont="1" applyFill="1" applyBorder="1" applyAlignment="1">
      <alignment horizontal="center" vertical="center"/>
    </xf>
    <xf numFmtId="0" fontId="27" fillId="3" borderId="37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81" fontId="15" fillId="0" borderId="21" xfId="0" applyNumberFormat="1" applyFont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8" xfId="0" applyFont="1" applyFill="1" applyBorder="1" applyAlignment="1">
      <alignment horizontal="center" vertical="center"/>
    </xf>
    <xf numFmtId="189" fontId="15" fillId="4" borderId="39" xfId="0" applyNumberFormat="1" applyFont="1" applyFill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192" fontId="15" fillId="0" borderId="21" xfId="0" applyNumberFormat="1" applyFont="1" applyBorder="1" applyAlignment="1">
      <alignment horizontal="center" vertical="center"/>
    </xf>
    <xf numFmtId="193" fontId="15" fillId="0" borderId="22" xfId="0" applyNumberFormat="1" applyFont="1" applyBorder="1" applyAlignment="1">
      <alignment horizontal="center" vertical="center"/>
    </xf>
    <xf numFmtId="0" fontId="30" fillId="0" borderId="0" xfId="0" applyFont="1">
      <alignment vertical="center"/>
    </xf>
    <xf numFmtId="49" fontId="31" fillId="0" borderId="0" xfId="0" applyNumberFormat="1" applyFont="1" applyAlignment="1">
      <alignment vertical="top" shrinkToFit="1"/>
    </xf>
    <xf numFmtId="189" fontId="15" fillId="0" borderId="22" xfId="0" applyNumberFormat="1" applyFont="1" applyBorder="1" applyAlignment="1">
      <alignment horizontal="center" vertical="center"/>
    </xf>
    <xf numFmtId="192" fontId="15" fillId="0" borderId="26" xfId="0" applyNumberFormat="1" applyFont="1" applyBorder="1" applyAlignment="1">
      <alignment horizontal="center" vertical="center"/>
    </xf>
    <xf numFmtId="193" fontId="15" fillId="0" borderId="40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181" fontId="15" fillId="0" borderId="32" xfId="0" applyNumberFormat="1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189" fontId="15" fillId="0" borderId="34" xfId="0" applyNumberFormat="1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192" fontId="15" fillId="0" borderId="32" xfId="0" applyNumberFormat="1" applyFont="1" applyBorder="1" applyAlignment="1">
      <alignment horizontal="center" vertical="center"/>
    </xf>
    <xf numFmtId="193" fontId="15" fillId="0" borderId="34" xfId="0" applyNumberFormat="1" applyFont="1" applyBorder="1" applyAlignment="1">
      <alignment horizontal="center" vertical="center"/>
    </xf>
    <xf numFmtId="177" fontId="12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12" fillId="0" borderId="10" xfId="1" applyNumberFormat="1" applyFont="1" applyBorder="1" applyAlignment="1">
      <alignment vertical="center" shrinkToFit="1"/>
    </xf>
    <xf numFmtId="0" fontId="0" fillId="0" borderId="10" xfId="0" applyBorder="1" applyAlignment="1"/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0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1" fillId="0" borderId="0" xfId="1" applyNumberFormat="1" applyFont="1" applyAlignment="1">
      <alignment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7" fillId="0" borderId="0" xfId="1" applyNumberFormat="1" applyFont="1" applyAlignment="1">
      <alignment vertical="center" shrinkToFit="1"/>
    </xf>
    <xf numFmtId="49" fontId="11" fillId="0" borderId="12" xfId="1" applyNumberFormat="1" applyFont="1" applyBorder="1" applyAlignment="1">
      <alignment vertical="center" shrinkToFit="1"/>
    </xf>
    <xf numFmtId="0" fontId="0" fillId="0" borderId="4" xfId="0" applyBorder="1" applyAlignment="1"/>
    <xf numFmtId="0" fontId="0" fillId="0" borderId="12" xfId="0" applyBorder="1" applyAlignment="1"/>
    <xf numFmtId="49" fontId="11" fillId="0" borderId="4" xfId="1" applyNumberFormat="1" applyFont="1" applyBorder="1" applyAlignment="1">
      <alignment horizontal="left"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2" fillId="0" borderId="8" xfId="1" applyNumberFormat="1" applyFont="1" applyBorder="1" applyAlignment="1">
      <alignment horizontal="right" vertical="center" shrinkToFit="1"/>
    </xf>
    <xf numFmtId="49" fontId="10" fillId="0" borderId="4" xfId="1" applyNumberFormat="1" applyFont="1" applyBorder="1" applyAlignment="1">
      <alignment horizontal="left" vertical="center" shrinkToFit="1"/>
    </xf>
    <xf numFmtId="49" fontId="11" fillId="0" borderId="0" xfId="1" applyNumberFormat="1" applyFont="1" applyAlignment="1">
      <alignment horizontal="left" vertical="center" shrinkToFit="1"/>
    </xf>
    <xf numFmtId="180" fontId="18" fillId="0" borderId="22" xfId="1" applyNumberFormat="1" applyFont="1" applyBorder="1" applyAlignment="1">
      <alignment horizontal="center" vertical="center" shrinkToFit="1"/>
    </xf>
    <xf numFmtId="49" fontId="9" fillId="0" borderId="0" xfId="1" applyNumberFormat="1" applyFont="1" applyAlignment="1">
      <alignment vertical="center" shrinkToFit="1"/>
    </xf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1" fillId="0" borderId="11" xfId="1" applyNumberFormat="1" applyFont="1" applyBorder="1" applyAlignment="1">
      <alignment horizontal="center" vertical="center" shrinkToFit="1"/>
    </xf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5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49" fontId="11" fillId="0" borderId="6" xfId="1" applyNumberFormat="1" applyFont="1" applyBorder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0" fontId="14" fillId="2" borderId="26" xfId="0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30" xfId="0" applyNumberFormat="1" applyFont="1" applyBorder="1" applyAlignment="1">
      <alignment horizontal="center" vertical="center"/>
    </xf>
    <xf numFmtId="49" fontId="24" fillId="2" borderId="27" xfId="1" applyNumberFormat="1" applyFont="1" applyFill="1" applyBorder="1" applyAlignment="1">
      <alignment horizontal="center" vertical="center" shrinkToFit="1"/>
    </xf>
    <xf numFmtId="49" fontId="24" fillId="2" borderId="31" xfId="1" applyNumberFormat="1" applyFont="1" applyFill="1" applyBorder="1" applyAlignment="1">
      <alignment horizontal="center" vertical="center" shrinkToFit="1"/>
    </xf>
    <xf numFmtId="0" fontId="17" fillId="0" borderId="13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179" fontId="17" fillId="5" borderId="22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179" fontId="17" fillId="5" borderId="33" xfId="0" applyNumberFormat="1" applyFont="1" applyFill="1" applyBorder="1" applyAlignment="1">
      <alignment horizontal="left" vertical="center" shrinkToFit="1"/>
    </xf>
    <xf numFmtId="179" fontId="17" fillId="5" borderId="34" xfId="0" applyNumberFormat="1" applyFont="1" applyFill="1" applyBorder="1" applyAlignment="1">
      <alignment horizontal="left" vertical="center" shrinkToFit="1"/>
    </xf>
    <xf numFmtId="0" fontId="14" fillId="2" borderId="28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7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0" fontId="22" fillId="0" borderId="13" xfId="1" applyFont="1" applyBorder="1" applyAlignment="1">
      <alignment horizontal="center" vertical="center" shrinkToFit="1"/>
    </xf>
    <xf numFmtId="0" fontId="22" fillId="0" borderId="10" xfId="1" applyFont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49" fontId="14" fillId="2" borderId="28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4" fillId="2" borderId="27" xfId="0" applyNumberFormat="1" applyFont="1" applyFill="1" applyBorder="1" applyAlignment="1">
      <alignment horizontal="center" vertical="center"/>
    </xf>
    <xf numFmtId="49" fontId="24" fillId="2" borderId="15" xfId="0" applyNumberFormat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180976</xdr:colOff>
      <xdr:row>3</xdr:row>
      <xdr:rowOff>95251</xdr:rowOff>
    </xdr:from>
    <xdr:to>
      <xdr:col>9</xdr:col>
      <xdr:colOff>638176</xdr:colOff>
      <xdr:row>5</xdr:row>
      <xdr:rowOff>152401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5622B07-F896-A8D1-C324-3591117B8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1" y="638176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133351</xdr:colOff>
      <xdr:row>3</xdr:row>
      <xdr:rowOff>66676</xdr:rowOff>
    </xdr:from>
    <xdr:to>
      <xdr:col>8</xdr:col>
      <xdr:colOff>685801</xdr:colOff>
      <xdr:row>6</xdr:row>
      <xdr:rowOff>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741F06B-0FEE-698E-020B-44F3FC092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1" y="609601"/>
          <a:ext cx="552450" cy="552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0658;&#37096;&#24037;&#26989;&#65293;&#65328;&#65315;\Desktop\sgt2507.xlsm" TargetMode="External"/><Relationship Id="rId1" Type="http://schemas.openxmlformats.org/officeDocument/2006/relationships/externalLinkPath" Target="/Users/&#40658;&#37096;&#24037;&#26989;&#65293;&#65328;&#65315;/Desktop/sgt2507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M"/>
      <sheetName val="加工記録表"/>
      <sheetName val="納品明細書"/>
      <sheetName val="請求"/>
      <sheetName val="依頼書保管"/>
      <sheetName val="指図書"/>
      <sheetName val="VFDB2"/>
      <sheetName val="温度換算"/>
      <sheetName val="網戸日程"/>
    </sheetNames>
    <sheetDataSet>
      <sheetData sheetId="0"/>
      <sheetData sheetId="1"/>
      <sheetData sheetId="2">
        <row r="3">
          <cell r="B3" t="str">
            <v>00763937</v>
          </cell>
          <cell r="C3" t="str">
            <v>8FL281304 4810　L=297</v>
          </cell>
          <cell r="D3">
            <v>45818</v>
          </cell>
          <cell r="E3" t="str">
            <v>25E27-09</v>
          </cell>
          <cell r="I3" t="str">
            <v>25E27-09</v>
          </cell>
          <cell r="J3">
            <v>12</v>
          </cell>
          <cell r="K3">
            <v>2</v>
          </cell>
          <cell r="L3">
            <v>45835</v>
          </cell>
          <cell r="M3">
            <v>3</v>
          </cell>
          <cell r="O3">
            <v>45835</v>
          </cell>
          <cell r="T3" t="str">
            <v>000000000004402</v>
          </cell>
        </row>
        <row r="4">
          <cell r="D4">
            <v>45834</v>
          </cell>
          <cell r="E4" t="str">
            <v>25E28-10</v>
          </cell>
          <cell r="F4">
            <v>26</v>
          </cell>
          <cell r="G4">
            <v>297.12</v>
          </cell>
          <cell r="H4">
            <v>297</v>
          </cell>
          <cell r="I4" t="str">
            <v>25E28-10</v>
          </cell>
          <cell r="J4">
            <v>198</v>
          </cell>
          <cell r="K4">
            <v>33</v>
          </cell>
          <cell r="O4">
            <v>300</v>
          </cell>
          <cell r="T4" t="str">
            <v>000000000004402</v>
          </cell>
        </row>
        <row r="5">
          <cell r="B5" t="str">
            <v>+公差</v>
          </cell>
          <cell r="C5">
            <v>300</v>
          </cell>
          <cell r="D5">
            <v>45834</v>
          </cell>
          <cell r="E5" t="str">
            <v>25E28-10</v>
          </cell>
          <cell r="F5">
            <v>26</v>
          </cell>
          <cell r="G5">
            <v>297.12</v>
          </cell>
          <cell r="H5">
            <v>297.33</v>
          </cell>
          <cell r="J5" t="str">
            <v/>
          </cell>
          <cell r="O5">
            <v>35</v>
          </cell>
          <cell r="T5" t="str">
            <v>000000000004402</v>
          </cell>
        </row>
        <row r="6">
          <cell r="G6" t="str">
            <v/>
          </cell>
          <cell r="J6" t="str">
            <v/>
          </cell>
          <cell r="O6">
            <v>1</v>
          </cell>
          <cell r="T6" t="str">
            <v>000000000004402</v>
          </cell>
        </row>
        <row r="7">
          <cell r="B7" t="str">
            <v>+0.5</v>
          </cell>
          <cell r="C7">
            <v>6</v>
          </cell>
          <cell r="G7" t="str">
            <v/>
          </cell>
          <cell r="J7" t="str">
            <v/>
          </cell>
          <cell r="O7">
            <v>1</v>
          </cell>
          <cell r="T7" t="str">
            <v>000000000004402</v>
          </cell>
        </row>
        <row r="8">
          <cell r="B8" t="str">
            <v>使用数</v>
          </cell>
          <cell r="C8" t="str">
            <v>LED-A300</v>
          </cell>
          <cell r="G8" t="str">
            <v/>
          </cell>
          <cell r="J8" t="str">
            <v/>
          </cell>
          <cell r="O8">
            <v>95</v>
          </cell>
          <cell r="T8" t="str">
            <v>000000000004402</v>
          </cell>
        </row>
        <row r="9">
          <cell r="B9">
            <v>3</v>
          </cell>
          <cell r="C9">
            <v>3</v>
          </cell>
          <cell r="G9" t="str">
            <v/>
          </cell>
          <cell r="J9" t="str">
            <v/>
          </cell>
          <cell r="O9" t="str">
            <v>水野</v>
          </cell>
          <cell r="P9">
            <v>1</v>
          </cell>
          <cell r="T9" t="str">
            <v>000000000004402</v>
          </cell>
        </row>
        <row r="10">
          <cell r="G10" t="str">
            <v/>
          </cell>
          <cell r="J10" t="str">
            <v/>
          </cell>
          <cell r="O10" t="str">
            <v>高森</v>
          </cell>
          <cell r="P10">
            <v>1</v>
          </cell>
          <cell r="T10" t="str">
            <v>000000000004402</v>
          </cell>
        </row>
        <row r="11">
          <cell r="B11" t="str">
            <v>00763936</v>
          </cell>
          <cell r="C11" t="str">
            <v>8FL281304 4810　L=297</v>
          </cell>
          <cell r="I11" t="str">
            <v>25E28-10</v>
          </cell>
          <cell r="J11">
            <v>306</v>
          </cell>
          <cell r="K11">
            <v>51</v>
          </cell>
          <cell r="L11">
            <v>45835</v>
          </cell>
          <cell r="M11">
            <v>3</v>
          </cell>
          <cell r="O11">
            <v>45835</v>
          </cell>
          <cell r="P11">
            <v>4</v>
          </cell>
          <cell r="T11" t="str">
            <v>000000000004401</v>
          </cell>
        </row>
        <row r="12">
          <cell r="D12">
            <v>45834</v>
          </cell>
          <cell r="E12" t="str">
            <v>25E28-10</v>
          </cell>
          <cell r="F12">
            <v>26</v>
          </cell>
          <cell r="G12">
            <v>297.12</v>
          </cell>
          <cell r="H12">
            <v>297.32</v>
          </cell>
          <cell r="J12" t="str">
            <v/>
          </cell>
          <cell r="O12">
            <v>300</v>
          </cell>
          <cell r="T12" t="str">
            <v>000000000004401</v>
          </cell>
        </row>
        <row r="13">
          <cell r="B13" t="str">
            <v>+公差</v>
          </cell>
          <cell r="C13">
            <v>300</v>
          </cell>
          <cell r="D13">
            <v>45834</v>
          </cell>
          <cell r="E13" t="str">
            <v>25E28-10</v>
          </cell>
          <cell r="F13">
            <v>26</v>
          </cell>
          <cell r="G13">
            <v>297.12</v>
          </cell>
          <cell r="H13">
            <v>297.27999999999997</v>
          </cell>
          <cell r="J13" t="str">
            <v/>
          </cell>
          <cell r="O13">
            <v>51</v>
          </cell>
          <cell r="P13">
            <v>1</v>
          </cell>
          <cell r="T13" t="str">
            <v>000000000004401</v>
          </cell>
        </row>
        <row r="14">
          <cell r="D14">
            <v>45835</v>
          </cell>
          <cell r="E14" t="str">
            <v>25E28-10</v>
          </cell>
          <cell r="F14">
            <v>24</v>
          </cell>
          <cell r="G14">
            <v>297.08</v>
          </cell>
          <cell r="H14">
            <v>297.24</v>
          </cell>
          <cell r="J14" t="str">
            <v/>
          </cell>
          <cell r="O14">
            <v>1</v>
          </cell>
          <cell r="T14" t="str">
            <v>000000000004401</v>
          </cell>
        </row>
        <row r="15">
          <cell r="B15" t="str">
            <v>+0.5</v>
          </cell>
          <cell r="C15">
            <v>6</v>
          </cell>
          <cell r="D15">
            <v>45835</v>
          </cell>
          <cell r="E15" t="str">
            <v>25E28-10</v>
          </cell>
          <cell r="F15">
            <v>24</v>
          </cell>
          <cell r="G15">
            <v>297.08</v>
          </cell>
          <cell r="H15">
            <v>297.5</v>
          </cell>
          <cell r="J15" t="str">
            <v/>
          </cell>
          <cell r="O15">
            <v>5</v>
          </cell>
          <cell r="T15" t="str">
            <v>000000000004401</v>
          </cell>
        </row>
        <row r="16">
          <cell r="B16" t="str">
            <v>使用数</v>
          </cell>
          <cell r="C16" t="str">
            <v>LED-A300</v>
          </cell>
          <cell r="G16" t="str">
            <v/>
          </cell>
          <cell r="J16" t="str">
            <v/>
          </cell>
          <cell r="T16" t="str">
            <v>000000000004401</v>
          </cell>
        </row>
        <row r="17">
          <cell r="B17">
            <v>3</v>
          </cell>
          <cell r="C17">
            <v>3</v>
          </cell>
          <cell r="G17" t="str">
            <v/>
          </cell>
          <cell r="J17" t="str">
            <v/>
          </cell>
          <cell r="O17" t="str">
            <v>水野</v>
          </cell>
          <cell r="T17" t="str">
            <v>000000000004401</v>
          </cell>
        </row>
        <row r="18">
          <cell r="G18" t="str">
            <v/>
          </cell>
          <cell r="J18" t="str">
            <v/>
          </cell>
          <cell r="O18" t="str">
            <v>高森</v>
          </cell>
          <cell r="P18">
            <v>5</v>
          </cell>
          <cell r="T18" t="str">
            <v>000000000004401</v>
          </cell>
        </row>
        <row r="19">
          <cell r="B19" t="str">
            <v>00763941</v>
          </cell>
          <cell r="C19" t="str">
            <v>8FL281304 6110　L=1478</v>
          </cell>
          <cell r="D19">
            <v>45814</v>
          </cell>
          <cell r="E19" t="str">
            <v>25E27-09</v>
          </cell>
          <cell r="I19" t="str">
            <v>25E27-09</v>
          </cell>
          <cell r="J19">
            <v>6</v>
          </cell>
          <cell r="K19">
            <v>6</v>
          </cell>
          <cell r="L19">
            <v>45835</v>
          </cell>
          <cell r="M19">
            <v>2</v>
          </cell>
          <cell r="O19">
            <v>45835</v>
          </cell>
          <cell r="P19">
            <v>1</v>
          </cell>
          <cell r="T19" t="str">
            <v>000000000004406</v>
          </cell>
        </row>
        <row r="20">
          <cell r="D20">
            <v>45835</v>
          </cell>
          <cell r="E20" t="str">
            <v>25E28-10</v>
          </cell>
          <cell r="F20">
            <v>24</v>
          </cell>
          <cell r="G20">
            <v>1478.38</v>
          </cell>
          <cell r="H20">
            <v>1478.33</v>
          </cell>
          <cell r="I20" t="str">
            <v>25E28-10</v>
          </cell>
          <cell r="J20">
            <v>147</v>
          </cell>
          <cell r="K20">
            <v>147</v>
          </cell>
          <cell r="O20">
            <v>200</v>
          </cell>
          <cell r="T20" t="str">
            <v>000000000004406</v>
          </cell>
        </row>
        <row r="21">
          <cell r="B21" t="str">
            <v>+公差</v>
          </cell>
          <cell r="C21">
            <v>200</v>
          </cell>
          <cell r="D21">
            <v>45835</v>
          </cell>
          <cell r="E21" t="str">
            <v>25E29-11</v>
          </cell>
          <cell r="F21">
            <v>26</v>
          </cell>
          <cell r="G21">
            <v>1478.58</v>
          </cell>
          <cell r="H21">
            <v>1478.63</v>
          </cell>
          <cell r="I21" t="str">
            <v>25E29-11</v>
          </cell>
          <cell r="J21">
            <v>48</v>
          </cell>
          <cell r="K21">
            <v>48</v>
          </cell>
          <cell r="O21">
            <v>201</v>
          </cell>
          <cell r="T21" t="str">
            <v>000000000004406</v>
          </cell>
        </row>
        <row r="22">
          <cell r="G22" t="str">
            <v/>
          </cell>
          <cell r="J22" t="str">
            <v/>
          </cell>
          <cell r="O22">
            <v>1</v>
          </cell>
          <cell r="T22" t="str">
            <v>000000000004406</v>
          </cell>
        </row>
        <row r="23">
          <cell r="B23" t="str">
            <v>+0.5</v>
          </cell>
          <cell r="C23">
            <v>1</v>
          </cell>
          <cell r="G23" t="str">
            <v/>
          </cell>
          <cell r="J23" t="str">
            <v/>
          </cell>
          <cell r="O23">
            <v>1</v>
          </cell>
          <cell r="T23" t="str">
            <v>000000000004406</v>
          </cell>
        </row>
        <row r="24">
          <cell r="B24" t="str">
            <v>使用数</v>
          </cell>
          <cell r="C24" t="str">
            <v>LED-A1478</v>
          </cell>
          <cell r="G24" t="str">
            <v/>
          </cell>
          <cell r="J24" t="str">
            <v/>
          </cell>
          <cell r="T24" t="str">
            <v>000000000004406</v>
          </cell>
        </row>
        <row r="25">
          <cell r="B25">
            <v>2</v>
          </cell>
          <cell r="C25">
            <v>2</v>
          </cell>
          <cell r="G25" t="str">
            <v/>
          </cell>
          <cell r="J25" t="str">
            <v/>
          </cell>
          <cell r="O25" t="str">
            <v>水野</v>
          </cell>
          <cell r="T25" t="str">
            <v>000000000004406</v>
          </cell>
        </row>
        <row r="26">
          <cell r="G26" t="str">
            <v/>
          </cell>
          <cell r="J26" t="str">
            <v/>
          </cell>
          <cell r="O26" t="str">
            <v>高森</v>
          </cell>
          <cell r="P26">
            <v>1</v>
          </cell>
          <cell r="T26" t="str">
            <v>000000000004406</v>
          </cell>
        </row>
        <row r="27">
          <cell r="B27" t="str">
            <v>00763940</v>
          </cell>
          <cell r="C27" t="str">
            <v>8FL281304 6110　L=1478</v>
          </cell>
          <cell r="I27" t="str">
            <v>25E29-11</v>
          </cell>
          <cell r="J27">
            <v>604</v>
          </cell>
          <cell r="K27">
            <v>604</v>
          </cell>
          <cell r="L27">
            <v>45835</v>
          </cell>
          <cell r="M27">
            <v>3</v>
          </cell>
          <cell r="O27">
            <v>45838</v>
          </cell>
          <cell r="P27">
            <v>3</v>
          </cell>
          <cell r="T27" t="str">
            <v>000000000004405</v>
          </cell>
        </row>
        <row r="28">
          <cell r="D28">
            <v>45835</v>
          </cell>
          <cell r="E28" t="str">
            <v>25E29-11</v>
          </cell>
          <cell r="F28">
            <v>26</v>
          </cell>
          <cell r="G28">
            <v>1478.58</v>
          </cell>
          <cell r="H28">
            <v>1478.61</v>
          </cell>
          <cell r="J28" t="str">
            <v/>
          </cell>
          <cell r="L28">
            <v>45838</v>
          </cell>
          <cell r="M28">
            <v>3</v>
          </cell>
          <cell r="O28">
            <v>600</v>
          </cell>
          <cell r="T28" t="str">
            <v>000000000004405</v>
          </cell>
        </row>
        <row r="29">
          <cell r="B29" t="str">
            <v>+公差</v>
          </cell>
          <cell r="C29">
            <v>600</v>
          </cell>
          <cell r="D29">
            <v>45835</v>
          </cell>
          <cell r="E29" t="str">
            <v>25E29-11</v>
          </cell>
          <cell r="F29">
            <v>28</v>
          </cell>
          <cell r="G29">
            <v>1478.77</v>
          </cell>
          <cell r="H29">
            <v>1478.56</v>
          </cell>
          <cell r="J29" t="str">
            <v/>
          </cell>
          <cell r="O29">
            <v>604</v>
          </cell>
          <cell r="P29">
            <v>1</v>
          </cell>
          <cell r="T29" t="str">
            <v>000000000004405</v>
          </cell>
        </row>
        <row r="30">
          <cell r="G30" t="str">
            <v/>
          </cell>
          <cell r="J30" t="str">
            <v/>
          </cell>
          <cell r="O30">
            <v>4</v>
          </cell>
          <cell r="T30" t="str">
            <v>000000000004405</v>
          </cell>
        </row>
        <row r="31">
          <cell r="B31" t="str">
            <v>+0.5</v>
          </cell>
          <cell r="C31">
            <v>1</v>
          </cell>
          <cell r="G31" t="str">
            <v/>
          </cell>
          <cell r="J31" t="str">
            <v/>
          </cell>
          <cell r="O31">
            <v>4</v>
          </cell>
          <cell r="T31" t="str">
            <v>000000000004405</v>
          </cell>
        </row>
        <row r="32">
          <cell r="B32" t="str">
            <v>使用数</v>
          </cell>
          <cell r="C32" t="str">
            <v>LED-A1478</v>
          </cell>
          <cell r="G32" t="str">
            <v/>
          </cell>
          <cell r="J32" t="str">
            <v/>
          </cell>
          <cell r="T32" t="str">
            <v>000000000004405</v>
          </cell>
        </row>
        <row r="33">
          <cell r="B33">
            <v>6</v>
          </cell>
          <cell r="C33">
            <v>6</v>
          </cell>
          <cell r="G33" t="str">
            <v/>
          </cell>
          <cell r="J33" t="str">
            <v/>
          </cell>
          <cell r="O33" t="str">
            <v>富田・水野</v>
          </cell>
          <cell r="T33" t="str">
            <v>000000000004405</v>
          </cell>
        </row>
        <row r="34">
          <cell r="G34" t="str">
            <v/>
          </cell>
          <cell r="J34" t="str">
            <v/>
          </cell>
          <cell r="O34" t="str">
            <v>高森・上野</v>
          </cell>
          <cell r="P34">
            <v>4</v>
          </cell>
          <cell r="T34" t="str">
            <v>000000000004405</v>
          </cell>
        </row>
        <row r="35">
          <cell r="B35" t="str">
            <v>00763939</v>
          </cell>
          <cell r="C35" t="str">
            <v>8FL281304 5010　L=888</v>
          </cell>
          <cell r="D35">
            <v>45821</v>
          </cell>
          <cell r="E35" t="str">
            <v>25E28-10</v>
          </cell>
          <cell r="I35" t="str">
            <v>25E28-10</v>
          </cell>
          <cell r="J35">
            <v>2</v>
          </cell>
          <cell r="K35">
            <v>1</v>
          </cell>
          <cell r="L35">
            <v>45838</v>
          </cell>
          <cell r="M35">
            <v>6</v>
          </cell>
          <cell r="O35">
            <v>45838</v>
          </cell>
          <cell r="P35">
            <v>1</v>
          </cell>
          <cell r="T35" t="str">
            <v>000000000004404</v>
          </cell>
        </row>
        <row r="36">
          <cell r="D36">
            <v>45835</v>
          </cell>
          <cell r="E36" t="str">
            <v>25E29-11</v>
          </cell>
          <cell r="F36">
            <v>28</v>
          </cell>
          <cell r="G36">
            <v>888.46</v>
          </cell>
          <cell r="H36">
            <v>888.37</v>
          </cell>
          <cell r="I36" t="str">
            <v>25E29-11</v>
          </cell>
          <cell r="J36">
            <v>288</v>
          </cell>
          <cell r="K36">
            <v>144</v>
          </cell>
          <cell r="O36">
            <v>600</v>
          </cell>
          <cell r="T36" t="str">
            <v>000000000004404</v>
          </cell>
        </row>
        <row r="37">
          <cell r="B37" t="str">
            <v>+公差</v>
          </cell>
          <cell r="C37">
            <v>600</v>
          </cell>
          <cell r="D37">
            <v>45835</v>
          </cell>
          <cell r="E37" t="str">
            <v>25E30-12</v>
          </cell>
          <cell r="F37">
            <v>28</v>
          </cell>
          <cell r="G37">
            <v>888.46</v>
          </cell>
          <cell r="H37">
            <v>888.73</v>
          </cell>
          <cell r="I37" t="str">
            <v>25E30-12</v>
          </cell>
          <cell r="J37">
            <v>314</v>
          </cell>
          <cell r="K37">
            <v>157</v>
          </cell>
          <cell r="O37">
            <v>302</v>
          </cell>
          <cell r="P37">
            <v>1</v>
          </cell>
          <cell r="T37" t="str">
            <v>000000000004404</v>
          </cell>
        </row>
        <row r="38">
          <cell r="D38">
            <v>45838</v>
          </cell>
          <cell r="E38" t="str">
            <v>25E30-12</v>
          </cell>
          <cell r="F38">
            <v>28</v>
          </cell>
          <cell r="G38">
            <v>888.46</v>
          </cell>
          <cell r="H38">
            <v>888.42</v>
          </cell>
          <cell r="J38" t="str">
            <v/>
          </cell>
          <cell r="O38">
            <v>2</v>
          </cell>
          <cell r="T38" t="str">
            <v>000000000004404</v>
          </cell>
        </row>
        <row r="39">
          <cell r="B39" t="str">
            <v>+0.5</v>
          </cell>
          <cell r="C39">
            <v>2</v>
          </cell>
          <cell r="D39">
            <v>45838</v>
          </cell>
          <cell r="E39" t="str">
            <v>25E30-12</v>
          </cell>
          <cell r="F39">
            <v>32</v>
          </cell>
          <cell r="G39">
            <v>888.69</v>
          </cell>
          <cell r="H39">
            <v>888.62</v>
          </cell>
          <cell r="J39" t="str">
            <v/>
          </cell>
          <cell r="O39">
            <v>3</v>
          </cell>
          <cell r="T39" t="str">
            <v>000000000004404</v>
          </cell>
        </row>
        <row r="40">
          <cell r="B40" t="str">
            <v>使用数</v>
          </cell>
          <cell r="C40" t="str">
            <v>LED-A888</v>
          </cell>
          <cell r="G40" t="str">
            <v/>
          </cell>
          <cell r="J40" t="str">
            <v/>
          </cell>
          <cell r="T40" t="str">
            <v>000000000004404</v>
          </cell>
        </row>
        <row r="41">
          <cell r="B41">
            <v>6</v>
          </cell>
          <cell r="C41">
            <v>6</v>
          </cell>
          <cell r="G41" t="str">
            <v/>
          </cell>
          <cell r="J41" t="str">
            <v/>
          </cell>
          <cell r="O41" t="str">
            <v>水野</v>
          </cell>
          <cell r="P41">
            <v>1</v>
          </cell>
          <cell r="T41" t="str">
            <v>000000000004404</v>
          </cell>
        </row>
        <row r="42">
          <cell r="G42" t="str">
            <v/>
          </cell>
          <cell r="J42" t="str">
            <v/>
          </cell>
          <cell r="O42" t="str">
            <v>高森</v>
          </cell>
          <cell r="P42">
            <v>3</v>
          </cell>
          <cell r="T42" t="str">
            <v>000000000004404</v>
          </cell>
        </row>
        <row r="43">
          <cell r="B43" t="str">
            <v>00763938</v>
          </cell>
          <cell r="C43" t="str">
            <v>8FL281304 5010　L=888</v>
          </cell>
          <cell r="I43" t="str">
            <v>25E30-12</v>
          </cell>
          <cell r="J43">
            <v>706</v>
          </cell>
          <cell r="K43">
            <v>353</v>
          </cell>
          <cell r="L43">
            <v>45839</v>
          </cell>
          <cell r="M43">
            <v>7</v>
          </cell>
          <cell r="O43">
            <v>45839</v>
          </cell>
          <cell r="P43">
            <v>3</v>
          </cell>
          <cell r="T43" t="str">
            <v>000000000004403</v>
          </cell>
        </row>
        <row r="44">
          <cell r="D44">
            <v>45838</v>
          </cell>
          <cell r="E44" t="str">
            <v>25E30-12</v>
          </cell>
          <cell r="F44">
            <v>32</v>
          </cell>
          <cell r="G44">
            <v>888.69</v>
          </cell>
          <cell r="H44">
            <v>888.6</v>
          </cell>
          <cell r="J44" t="str">
            <v/>
          </cell>
          <cell r="O44">
            <v>700</v>
          </cell>
          <cell r="T44" t="str">
            <v>000000000004403</v>
          </cell>
        </row>
        <row r="45">
          <cell r="B45" t="str">
            <v>+公差</v>
          </cell>
          <cell r="C45">
            <v>700</v>
          </cell>
          <cell r="D45">
            <v>45839</v>
          </cell>
          <cell r="E45" t="str">
            <v>25E30-12</v>
          </cell>
          <cell r="F45">
            <v>26</v>
          </cell>
          <cell r="G45">
            <v>888.35</v>
          </cell>
          <cell r="H45">
            <v>888.65</v>
          </cell>
          <cell r="J45" t="str">
            <v/>
          </cell>
          <cell r="O45">
            <v>353</v>
          </cell>
          <cell r="P45">
            <v>2</v>
          </cell>
          <cell r="T45" t="str">
            <v>000000000004403</v>
          </cell>
        </row>
        <row r="46">
          <cell r="D46">
            <v>45839</v>
          </cell>
          <cell r="E46" t="str">
            <v>25E30-12</v>
          </cell>
          <cell r="F46">
            <v>26</v>
          </cell>
          <cell r="G46">
            <v>888.35</v>
          </cell>
          <cell r="H46">
            <v>888.64</v>
          </cell>
          <cell r="J46" t="str">
            <v/>
          </cell>
          <cell r="O46">
            <v>3</v>
          </cell>
          <cell r="T46" t="str">
            <v>000000000004403</v>
          </cell>
        </row>
        <row r="47">
          <cell r="B47" t="str">
            <v>+0.5</v>
          </cell>
          <cell r="C47">
            <v>2</v>
          </cell>
          <cell r="G47" t="str">
            <v/>
          </cell>
          <cell r="J47" t="str">
            <v/>
          </cell>
          <cell r="O47">
            <v>5</v>
          </cell>
          <cell r="T47" t="str">
            <v>000000000004403</v>
          </cell>
        </row>
        <row r="48">
          <cell r="B48" t="str">
            <v>使用数</v>
          </cell>
          <cell r="C48" t="str">
            <v>LED-A888</v>
          </cell>
          <cell r="G48" t="str">
            <v/>
          </cell>
          <cell r="J48" t="str">
            <v/>
          </cell>
          <cell r="T48" t="str">
            <v>000000000004403</v>
          </cell>
        </row>
        <row r="49">
          <cell r="B49">
            <v>7</v>
          </cell>
          <cell r="C49">
            <v>7</v>
          </cell>
          <cell r="G49" t="str">
            <v/>
          </cell>
          <cell r="J49" t="str">
            <v/>
          </cell>
          <cell r="O49" t="str">
            <v>水野</v>
          </cell>
          <cell r="T49" t="str">
            <v>000000000004403</v>
          </cell>
        </row>
        <row r="50">
          <cell r="G50" t="str">
            <v/>
          </cell>
          <cell r="J50" t="str">
            <v/>
          </cell>
          <cell r="O50" t="str">
            <v>高森</v>
          </cell>
          <cell r="P50">
            <v>5</v>
          </cell>
          <cell r="T50" t="str">
            <v>000000000004403</v>
          </cell>
        </row>
        <row r="51">
          <cell r="B51" t="str">
            <v>00767812</v>
          </cell>
          <cell r="C51" t="str">
            <v>MDP-688A L4　L=2570</v>
          </cell>
          <cell r="I51" t="str">
            <v>25C31B</v>
          </cell>
          <cell r="J51">
            <v>150</v>
          </cell>
          <cell r="K51">
            <v>150</v>
          </cell>
          <cell r="L51">
            <v>45839</v>
          </cell>
          <cell r="M51">
            <v>3</v>
          </cell>
          <cell r="O51">
            <v>45839</v>
          </cell>
          <cell r="T51" t="str">
            <v>000000000004826</v>
          </cell>
        </row>
        <row r="52">
          <cell r="D52">
            <v>45839</v>
          </cell>
          <cell r="E52" t="str">
            <v>25C31B</v>
          </cell>
          <cell r="G52">
            <v>2570</v>
          </cell>
          <cell r="H52">
            <v>2571.1999999999998</v>
          </cell>
          <cell r="J52" t="str">
            <v/>
          </cell>
          <cell r="O52">
            <v>150</v>
          </cell>
          <cell r="T52" t="str">
            <v>000000000004826</v>
          </cell>
        </row>
        <row r="53">
          <cell r="B53" t="str">
            <v>+公差</v>
          </cell>
          <cell r="C53">
            <v>150</v>
          </cell>
          <cell r="D53">
            <v>45839</v>
          </cell>
          <cell r="E53" t="str">
            <v>25C31B</v>
          </cell>
          <cell r="G53">
            <v>2570</v>
          </cell>
          <cell r="H53">
            <v>2571.1999999999998</v>
          </cell>
          <cell r="J53" t="str">
            <v/>
          </cell>
          <cell r="O53">
            <v>150</v>
          </cell>
          <cell r="T53" t="str">
            <v>000000000004826</v>
          </cell>
        </row>
        <row r="54">
          <cell r="G54">
            <v>2570</v>
          </cell>
          <cell r="J54" t="str">
            <v/>
          </cell>
          <cell r="O54">
            <v>0</v>
          </cell>
          <cell r="T54" t="str">
            <v>000000000004826</v>
          </cell>
        </row>
        <row r="55">
          <cell r="B55" t="str">
            <v>+1.5</v>
          </cell>
          <cell r="C55">
            <v>1</v>
          </cell>
          <cell r="G55">
            <v>2570</v>
          </cell>
          <cell r="J55" t="str">
            <v/>
          </cell>
          <cell r="O55">
            <v>0</v>
          </cell>
          <cell r="T55" t="str">
            <v>000000000004826</v>
          </cell>
        </row>
        <row r="56">
          <cell r="B56" t="str">
            <v>使用数</v>
          </cell>
          <cell r="C56" t="str">
            <v>基材梱包箱</v>
          </cell>
          <cell r="G56">
            <v>2570</v>
          </cell>
          <cell r="J56" t="str">
            <v/>
          </cell>
          <cell r="T56" t="str">
            <v>000000000004826</v>
          </cell>
        </row>
        <row r="57">
          <cell r="B57">
            <v>3</v>
          </cell>
          <cell r="C57">
            <v>3</v>
          </cell>
          <cell r="G57">
            <v>2570</v>
          </cell>
          <cell r="J57" t="str">
            <v/>
          </cell>
          <cell r="O57" t="str">
            <v>水野</v>
          </cell>
          <cell r="T57" t="str">
            <v>000000000004826</v>
          </cell>
        </row>
        <row r="58">
          <cell r="G58">
            <v>2570</v>
          </cell>
          <cell r="J58" t="str">
            <v/>
          </cell>
          <cell r="O58" t="str">
            <v>富田</v>
          </cell>
          <cell r="P58">
            <v>0</v>
          </cell>
          <cell r="T58" t="str">
            <v>000000000004826</v>
          </cell>
        </row>
        <row r="59">
          <cell r="B59" t="str">
            <v>00768498</v>
          </cell>
          <cell r="C59" t="str">
            <v>灯具カバーPC IN 2140　L=547</v>
          </cell>
          <cell r="I59" t="str">
            <v/>
          </cell>
          <cell r="J59" t="str">
            <v/>
          </cell>
          <cell r="O59">
            <v>0</v>
          </cell>
          <cell r="T59" t="str">
            <v>000000000004913</v>
          </cell>
        </row>
        <row r="60">
          <cell r="G60" t="str">
            <v/>
          </cell>
          <cell r="J60" t="str">
            <v/>
          </cell>
          <cell r="O60">
            <v>192</v>
          </cell>
          <cell r="T60" t="str">
            <v>000000000004913</v>
          </cell>
        </row>
        <row r="61">
          <cell r="B61" t="str">
            <v>+公差</v>
          </cell>
          <cell r="C61">
            <v>192</v>
          </cell>
          <cell r="G61" t="str">
            <v/>
          </cell>
          <cell r="J61" t="str">
            <v/>
          </cell>
          <cell r="O61">
            <v>192</v>
          </cell>
          <cell r="T61" t="str">
            <v>000000000004913</v>
          </cell>
        </row>
        <row r="62">
          <cell r="G62" t="str">
            <v/>
          </cell>
          <cell r="J62" t="str">
            <v/>
          </cell>
          <cell r="O62">
            <v>0</v>
          </cell>
          <cell r="T62" t="str">
            <v>000000000004913</v>
          </cell>
        </row>
        <row r="63">
          <cell r="B63" t="str">
            <v>+2</v>
          </cell>
          <cell r="C63">
            <v>1</v>
          </cell>
          <cell r="G63" t="str">
            <v/>
          </cell>
          <cell r="J63" t="str">
            <v/>
          </cell>
          <cell r="O63">
            <v>0</v>
          </cell>
          <cell r="T63" t="str">
            <v>000000000004913</v>
          </cell>
        </row>
        <row r="64">
          <cell r="B64" t="str">
            <v>使用数</v>
          </cell>
          <cell r="C64" t="str">
            <v>灯具-1　L=1370</v>
          </cell>
          <cell r="G64" t="str">
            <v/>
          </cell>
          <cell r="J64" t="str">
            <v/>
          </cell>
          <cell r="T64" t="str">
            <v>000000000004913</v>
          </cell>
        </row>
        <row r="65">
          <cell r="B65">
            <v>0</v>
          </cell>
          <cell r="C65">
            <v>0</v>
          </cell>
          <cell r="G65" t="str">
            <v/>
          </cell>
          <cell r="J65" t="str">
            <v/>
          </cell>
          <cell r="T65" t="str">
            <v>000000000004913</v>
          </cell>
        </row>
        <row r="66">
          <cell r="G66" t="str">
            <v/>
          </cell>
          <cell r="J66" t="str">
            <v/>
          </cell>
          <cell r="P66">
            <v>0</v>
          </cell>
          <cell r="T66" t="str">
            <v>000000000004913</v>
          </cell>
        </row>
        <row r="67">
          <cell r="B67" t="str">
            <v>00768501</v>
          </cell>
          <cell r="C67" t="str">
            <v>灯具カバーPC IN 2050　L=1183.5</v>
          </cell>
          <cell r="I67" t="str">
            <v/>
          </cell>
          <cell r="J67" t="str">
            <v/>
          </cell>
          <cell r="O67">
            <v>0</v>
          </cell>
          <cell r="T67" t="str">
            <v>000000000004916</v>
          </cell>
        </row>
        <row r="68">
          <cell r="G68" t="str">
            <v/>
          </cell>
          <cell r="J68" t="str">
            <v/>
          </cell>
          <cell r="O68">
            <v>176</v>
          </cell>
          <cell r="T68" t="str">
            <v>000000000004916</v>
          </cell>
        </row>
        <row r="69">
          <cell r="B69" t="str">
            <v>+公差</v>
          </cell>
          <cell r="C69">
            <v>176</v>
          </cell>
          <cell r="G69" t="str">
            <v/>
          </cell>
          <cell r="J69" t="str">
            <v/>
          </cell>
          <cell r="O69">
            <v>176</v>
          </cell>
          <cell r="T69" t="str">
            <v>000000000004916</v>
          </cell>
        </row>
        <row r="70">
          <cell r="G70" t="str">
            <v/>
          </cell>
          <cell r="J70" t="str">
            <v/>
          </cell>
          <cell r="O70">
            <v>0</v>
          </cell>
          <cell r="T70" t="str">
            <v>000000000004916</v>
          </cell>
        </row>
        <row r="71">
          <cell r="B71" t="str">
            <v>+2</v>
          </cell>
          <cell r="C71">
            <v>1</v>
          </cell>
          <cell r="G71" t="str">
            <v/>
          </cell>
          <cell r="J71" t="str">
            <v/>
          </cell>
          <cell r="O71">
            <v>0</v>
          </cell>
          <cell r="T71" t="str">
            <v>000000000004916</v>
          </cell>
        </row>
        <row r="72">
          <cell r="B72" t="str">
            <v>使用数</v>
          </cell>
          <cell r="C72" t="str">
            <v>灯具-1　L=1370</v>
          </cell>
          <cell r="G72" t="str">
            <v/>
          </cell>
          <cell r="J72" t="str">
            <v/>
          </cell>
          <cell r="T72" t="str">
            <v>000000000004916</v>
          </cell>
        </row>
        <row r="73">
          <cell r="B73">
            <v>0</v>
          </cell>
          <cell r="C73">
            <v>0</v>
          </cell>
          <cell r="G73" t="str">
            <v/>
          </cell>
          <cell r="J73" t="str">
            <v/>
          </cell>
          <cell r="T73" t="str">
            <v>000000000004916</v>
          </cell>
        </row>
        <row r="74">
          <cell r="G74" t="str">
            <v/>
          </cell>
          <cell r="J74" t="str">
            <v/>
          </cell>
          <cell r="P74">
            <v>0</v>
          </cell>
          <cell r="T74" t="str">
            <v>000000000004916</v>
          </cell>
        </row>
        <row r="75">
          <cell r="B75" t="str">
            <v>00768500</v>
          </cell>
          <cell r="C75" t="str">
            <v>灯具カバーPC IN 2130　L=908</v>
          </cell>
          <cell r="I75" t="str">
            <v/>
          </cell>
          <cell r="J75" t="str">
            <v/>
          </cell>
          <cell r="O75">
            <v>0</v>
          </cell>
          <cell r="T75" t="str">
            <v>000000000004915</v>
          </cell>
        </row>
        <row r="76">
          <cell r="G76" t="str">
            <v/>
          </cell>
          <cell r="J76" t="str">
            <v/>
          </cell>
          <cell r="O76">
            <v>400</v>
          </cell>
          <cell r="T76" t="str">
            <v>000000000004915</v>
          </cell>
        </row>
        <row r="77">
          <cell r="B77" t="str">
            <v>+公差</v>
          </cell>
          <cell r="C77">
            <v>400</v>
          </cell>
          <cell r="G77" t="str">
            <v/>
          </cell>
          <cell r="J77" t="str">
            <v/>
          </cell>
          <cell r="O77">
            <v>400</v>
          </cell>
          <cell r="T77" t="str">
            <v>000000000004915</v>
          </cell>
        </row>
        <row r="78">
          <cell r="G78" t="str">
            <v/>
          </cell>
          <cell r="J78" t="str">
            <v/>
          </cell>
          <cell r="O78">
            <v>0</v>
          </cell>
          <cell r="T78" t="str">
            <v>000000000004915</v>
          </cell>
        </row>
        <row r="79">
          <cell r="B79" t="str">
            <v>+2</v>
          </cell>
          <cell r="C79">
            <v>1</v>
          </cell>
          <cell r="G79" t="str">
            <v/>
          </cell>
          <cell r="J79" t="str">
            <v/>
          </cell>
          <cell r="O79">
            <v>0</v>
          </cell>
          <cell r="T79" t="str">
            <v>000000000004915</v>
          </cell>
        </row>
        <row r="80">
          <cell r="B80" t="str">
            <v>使用数</v>
          </cell>
          <cell r="C80" t="str">
            <v>灯具-1　L=1370</v>
          </cell>
          <cell r="G80" t="str">
            <v/>
          </cell>
          <cell r="J80" t="str">
            <v/>
          </cell>
          <cell r="T80" t="str">
            <v>000000000004915</v>
          </cell>
        </row>
        <row r="81">
          <cell r="B81">
            <v>0</v>
          </cell>
          <cell r="C81">
            <v>0</v>
          </cell>
          <cell r="G81" t="str">
            <v/>
          </cell>
          <cell r="J81" t="str">
            <v/>
          </cell>
          <cell r="T81" t="str">
            <v>000000000004915</v>
          </cell>
        </row>
        <row r="82">
          <cell r="G82" t="str">
            <v/>
          </cell>
          <cell r="J82" t="str">
            <v/>
          </cell>
          <cell r="P82">
            <v>0</v>
          </cell>
          <cell r="T82" t="str">
            <v>000000000004915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品目コード</v>
          </cell>
          <cell r="B1" t="str">
            <v>品名</v>
          </cell>
        </row>
        <row r="2">
          <cell r="A2" t="str">
            <v>J1JAZZB05412100</v>
          </cell>
          <cell r="B2" t="str">
            <v>黒板灯ﾌﾟﾘｽﾞﾑｶﾊﾞｰ　L=1210</v>
          </cell>
        </row>
        <row r="3">
          <cell r="A3" t="str">
            <v>J1JAZZB07012100</v>
          </cell>
          <cell r="B3" t="str">
            <v>ｺﾝﾌｫｰﾄ用ﾌﾟﾘｽﾞﾑｶﾊﾞｰL1210</v>
          </cell>
        </row>
        <row r="4">
          <cell r="A4" t="str">
            <v>J1JAZZB10802970</v>
          </cell>
          <cell r="B4" t="str">
            <v>8FL281304 4810　L=297</v>
          </cell>
        </row>
        <row r="5">
          <cell r="A5" t="str">
            <v>J1JAZZB10804440</v>
          </cell>
          <cell r="B5" t="str">
            <v>8FL281304 8110　L=444</v>
          </cell>
        </row>
        <row r="6">
          <cell r="A6" t="str">
            <v>J1JAZZB10805920</v>
          </cell>
          <cell r="B6" t="str">
            <v>8FL281304 4910　L=592</v>
          </cell>
        </row>
        <row r="7">
          <cell r="A7" t="str">
            <v>J1JAZZB10807480</v>
          </cell>
          <cell r="B7" t="str">
            <v>8FL281304 8310　L=748</v>
          </cell>
        </row>
        <row r="8">
          <cell r="A8" t="str">
            <v>J1JAZZB10808880</v>
          </cell>
          <cell r="B8" t="str">
            <v>8FL281304 5010　L=888</v>
          </cell>
        </row>
        <row r="9">
          <cell r="A9" t="str">
            <v>J1JAZZB10811830</v>
          </cell>
          <cell r="B9" t="str">
            <v>8FL281304 5110　L=1183</v>
          </cell>
        </row>
        <row r="10">
          <cell r="A10" t="str">
            <v>J1JAZZB10813290</v>
          </cell>
          <cell r="B10" t="str">
            <v>8FL281304 8010　L=1329</v>
          </cell>
        </row>
        <row r="11">
          <cell r="A11" t="str">
            <v>J1JAZZB10814780</v>
          </cell>
          <cell r="B11" t="str">
            <v>8FL281304 6110　L=1478</v>
          </cell>
        </row>
        <row r="12">
          <cell r="A12" t="str">
            <v>J1JAZZB11805920</v>
          </cell>
          <cell r="B12" t="str">
            <v>8FL281304 4920　L=592　クリア</v>
          </cell>
        </row>
        <row r="13">
          <cell r="A13" t="str">
            <v>J1JAZZB11808880</v>
          </cell>
          <cell r="B13" t="str">
            <v>8FL281304 5020　L=888　クリア</v>
          </cell>
        </row>
        <row r="14">
          <cell r="A14" t="str">
            <v>J1JAZZB11811830</v>
          </cell>
          <cell r="B14" t="str">
            <v>8FL281304 5120　L=1183　クリア</v>
          </cell>
        </row>
        <row r="15">
          <cell r="A15" t="str">
            <v>J1JAZZB11814780</v>
          </cell>
          <cell r="B15" t="str">
            <v>8FL281304 6120　L=1478　クリア</v>
          </cell>
        </row>
        <row r="16">
          <cell r="A16" t="str">
            <v>J1JAZZB05605540</v>
          </cell>
          <cell r="B16" t="str">
            <v>ランプシェード　SL-600</v>
          </cell>
        </row>
        <row r="17">
          <cell r="A17" t="str">
            <v>J1JAZZB11411920</v>
          </cell>
          <cell r="B17" t="str">
            <v>NNN33000W</v>
          </cell>
        </row>
        <row r="18">
          <cell r="A18" t="str">
            <v>J1JAZZB11311920</v>
          </cell>
          <cell r="B18" t="str">
            <v>NNN35000W</v>
          </cell>
        </row>
        <row r="19">
          <cell r="A19" t="str">
            <v>J1JAZZB12514780</v>
          </cell>
          <cell r="B19" t="str">
            <v>NNN36500-3</v>
          </cell>
        </row>
        <row r="20">
          <cell r="A20" t="str">
            <v>J1JAZZB12511870</v>
          </cell>
          <cell r="B20" t="str">
            <v>NNN36500-3-2</v>
          </cell>
        </row>
        <row r="21">
          <cell r="A21" t="str">
            <v>J1JAZZB12508870</v>
          </cell>
          <cell r="B21" t="str">
            <v>NNN36500-3-3</v>
          </cell>
        </row>
        <row r="22">
          <cell r="A22" t="str">
            <v>J1JAZZB12505960</v>
          </cell>
          <cell r="B22" t="str">
            <v>NNN36500-3-4</v>
          </cell>
        </row>
        <row r="23">
          <cell r="A23" t="str">
            <v>J1ZAFJB00219660</v>
          </cell>
          <cell r="B23" t="str">
            <v>灯具カバーPC IN 2070　L=1966</v>
          </cell>
        </row>
        <row r="24">
          <cell r="A24" t="str">
            <v>J1ZAFJB00219230</v>
          </cell>
          <cell r="B24" t="str">
            <v>灯具カバーPC IN 2100　L=1923</v>
          </cell>
        </row>
        <row r="25">
          <cell r="A25" t="str">
            <v>J1ZAFJB00218150</v>
          </cell>
          <cell r="B25" t="str">
            <v>灯具カバーPC IN 2110　L=1815</v>
          </cell>
        </row>
        <row r="26">
          <cell r="A26" t="str">
            <v>J1ZAFJB00215400</v>
          </cell>
          <cell r="B26" t="str">
            <v>灯具カバーPC IN 2080　L=1540</v>
          </cell>
        </row>
        <row r="27">
          <cell r="A27" t="str">
            <v>J1ZAFJB00212585</v>
          </cell>
          <cell r="B27" t="str">
            <v>灯具カバーPC IN 2060　L=1258.5</v>
          </cell>
        </row>
        <row r="28">
          <cell r="A28" t="str">
            <v>J1ZAFJB00211835</v>
          </cell>
          <cell r="B28" t="str">
            <v>灯具カバーPC IN 2050　L=1183.5</v>
          </cell>
        </row>
        <row r="29">
          <cell r="A29" t="str">
            <v>J1ZAFJB00209080</v>
          </cell>
          <cell r="B29" t="str">
            <v>灯具カバーPC IN 2130　L=908</v>
          </cell>
        </row>
        <row r="30">
          <cell r="A30" t="str">
            <v>J1ZAFJB00208400</v>
          </cell>
          <cell r="B30" t="str">
            <v>灯具カバーPC IN 2090　L=840</v>
          </cell>
        </row>
        <row r="31">
          <cell r="A31" t="str">
            <v>J1ZAFJB00205470</v>
          </cell>
          <cell r="B31" t="str">
            <v>灯具カバーPC IN 2140　L=547</v>
          </cell>
        </row>
        <row r="32">
          <cell r="A32" t="str">
            <v>J1ZAFJB00212640</v>
          </cell>
          <cell r="B32" t="str">
            <v>灯具カバーPC IN 2490　L=1264</v>
          </cell>
        </row>
        <row r="33">
          <cell r="A33" t="str">
            <v>J1ZAFJB00212380</v>
          </cell>
          <cell r="B33" t="str">
            <v>灯具カバーPC IN 2500　L=1238</v>
          </cell>
        </row>
        <row r="34">
          <cell r="A34" t="str">
            <v>J1ZAFJB00212910</v>
          </cell>
          <cell r="B34" t="str">
            <v>灯具カバーPC IN 2460　L=1291</v>
          </cell>
        </row>
        <row r="35">
          <cell r="A35" t="str">
            <v>J1ZAFJB00216480</v>
          </cell>
          <cell r="B35" t="str">
            <v>灯具カバーPC IN 2470　L=1648</v>
          </cell>
        </row>
        <row r="36">
          <cell r="A36" t="str">
            <v>J1ZAFJB00209540</v>
          </cell>
          <cell r="B36" t="str">
            <v>灯具カバーPC IN 2480　L=954</v>
          </cell>
        </row>
        <row r="37">
          <cell r="A37" t="str">
            <v>J1ZAFJB00113340</v>
          </cell>
          <cell r="B37" t="str">
            <v>灯具カバーPC  　7520    L=1334</v>
          </cell>
        </row>
        <row r="38">
          <cell r="A38" t="str">
            <v>J1ZAFJB00113095</v>
          </cell>
          <cell r="B38" t="str">
            <v>灯具カバーPC  　2180    L=1309.5</v>
          </cell>
        </row>
        <row r="39">
          <cell r="A39" t="str">
            <v>J1ZAFJB00112790</v>
          </cell>
          <cell r="B39" t="str">
            <v>灯具カバーPC  　2170    L=1279</v>
          </cell>
        </row>
        <row r="40">
          <cell r="A40" t="str">
            <v>J1ZAFJB00112400</v>
          </cell>
          <cell r="B40" t="str">
            <v>灯具カバーPC  　2190    L=1240</v>
          </cell>
        </row>
        <row r="41">
          <cell r="A41" t="str">
            <v>J1ZAFJB00106133</v>
          </cell>
          <cell r="B41" t="str">
            <v>灯具カバーPC  　2160    L=613.3</v>
          </cell>
        </row>
        <row r="42">
          <cell r="A42" t="str">
            <v>J1ZAFJB00105650</v>
          </cell>
          <cell r="B42" t="str">
            <v>灯具カバーPC  　7530    L=565</v>
          </cell>
        </row>
        <row r="43">
          <cell r="A43" t="str">
            <v>J1ZAFJB00102218</v>
          </cell>
          <cell r="B43" t="str">
            <v>灯具カバーPC  　2200    L=221.8</v>
          </cell>
        </row>
        <row r="44">
          <cell r="A44" t="str">
            <v>zz002</v>
          </cell>
          <cell r="B44" t="str">
            <v>灯具カバーPC  　特注　 L=669</v>
          </cell>
        </row>
        <row r="45">
          <cell r="A45" t="str">
            <v>zz001</v>
          </cell>
          <cell r="B45" t="str">
            <v>灯具カバーPC  　特注　 L=503</v>
          </cell>
        </row>
        <row r="46">
          <cell r="A46" t="str">
            <v>J1JAPAB00319960</v>
          </cell>
          <cell r="B46" t="str">
            <v>採光ルーバーパネルA　L=1996</v>
          </cell>
        </row>
        <row r="47">
          <cell r="A47" t="str">
            <v>J1JAPAB00419960</v>
          </cell>
          <cell r="B47" t="str">
            <v>採光ルーバーパネルB　L=1996</v>
          </cell>
        </row>
        <row r="48">
          <cell r="A48" t="str">
            <v>J1AKZYB00205000</v>
          </cell>
          <cell r="B48" t="str">
            <v>PK-59827 L=500</v>
          </cell>
        </row>
        <row r="49">
          <cell r="A49" t="str">
            <v>J1AKZYB00207000</v>
          </cell>
          <cell r="B49" t="str">
            <v>PK-59827 L=700</v>
          </cell>
        </row>
        <row r="50">
          <cell r="A50" t="str">
            <v>J1EAZZB03102750</v>
          </cell>
          <cell r="B50" t="str">
            <v>ハーネスガイド部材　L=275</v>
          </cell>
        </row>
        <row r="51">
          <cell r="A51" t="str">
            <v>J1AAEDB00825740</v>
          </cell>
          <cell r="B51" t="str">
            <v>MDP-689B L4　L=2574</v>
          </cell>
        </row>
        <row r="52">
          <cell r="A52" t="str">
            <v>J1AAEDB02825740</v>
          </cell>
          <cell r="B52" t="str">
            <v>MDPQ-689B L4 　L=2574　　</v>
          </cell>
        </row>
        <row r="53">
          <cell r="A53" t="str">
            <v>J1AAEDB00816080</v>
          </cell>
          <cell r="B53" t="str">
            <v>MDP-689B L1　L=1608</v>
          </cell>
        </row>
        <row r="54">
          <cell r="A54" t="str">
            <v>J1AAEDB00816620</v>
          </cell>
          <cell r="B54" t="str">
            <v>MDP-689B L2　L=1662</v>
          </cell>
        </row>
        <row r="55">
          <cell r="A55" t="str">
            <v>J1AAEDB02816080</v>
          </cell>
          <cell r="B55" t="str">
            <v>MDPQ-689B L1　L=1608</v>
          </cell>
        </row>
        <row r="56">
          <cell r="A56" t="str">
            <v>J1AAEDB02816620</v>
          </cell>
          <cell r="B56" t="str">
            <v>MDPQ-689B L2　L=1662</v>
          </cell>
        </row>
        <row r="57">
          <cell r="A57" t="str">
            <v>J1AAEDB01716040</v>
          </cell>
          <cell r="B57" t="str">
            <v>MDP-688A L1　L=1604</v>
          </cell>
        </row>
        <row r="58">
          <cell r="A58" t="str">
            <v>J1AAEDB01716580</v>
          </cell>
          <cell r="B58" t="str">
            <v>MDP-688A L2　L=1658</v>
          </cell>
        </row>
        <row r="59">
          <cell r="A59" t="str">
            <v>J1AAEDB02516040</v>
          </cell>
          <cell r="B59" t="str">
            <v>MDPQ-688A L1　L=1604</v>
          </cell>
        </row>
        <row r="60">
          <cell r="A60" t="str">
            <v>J1AAEDB02516580</v>
          </cell>
          <cell r="B60" t="str">
            <v>MDPQ-688A L2　L=1658</v>
          </cell>
        </row>
        <row r="61">
          <cell r="A61" t="str">
            <v>J1AAEZB00705860</v>
          </cell>
          <cell r="B61" t="str">
            <v>SRG-60D　L=586</v>
          </cell>
        </row>
        <row r="62">
          <cell r="A62" t="str">
            <v>J1AAEZB00708860</v>
          </cell>
          <cell r="B62" t="str">
            <v>SRG-90D　L=860</v>
          </cell>
        </row>
        <row r="63">
          <cell r="A63" t="str">
            <v>J1AAEZB00805860</v>
          </cell>
          <cell r="B63" t="str">
            <v>SRG-60U　L=586</v>
          </cell>
        </row>
        <row r="64">
          <cell r="A64" t="str">
            <v>J1AAEZB00808860</v>
          </cell>
          <cell r="B64" t="str">
            <v>SRG-90U　L=860</v>
          </cell>
        </row>
        <row r="65">
          <cell r="A65" t="str">
            <v>J1DAEZB00203000</v>
          </cell>
          <cell r="B65" t="str">
            <v>ﾃﾝｹﾝｺｳ(上)　L=300</v>
          </cell>
        </row>
        <row r="66">
          <cell r="A66" t="str">
            <v>J1DAEZB00204980</v>
          </cell>
          <cell r="B66" t="str">
            <v>ﾃﾝｹﾝｺｳ(上)　L=498</v>
          </cell>
        </row>
        <row r="67">
          <cell r="A67" t="str">
            <v>J1DAEZB00211680</v>
          </cell>
          <cell r="B67" t="str">
            <v>ﾃﾝｹﾝｺｳ(上)　L=1168</v>
          </cell>
        </row>
        <row r="68">
          <cell r="A68" t="str">
            <v>J1EAFZB02008740</v>
          </cell>
          <cell r="B68" t="str">
            <v>ﾏｴｶﾊﾞｰ(17F09810A)　L=874</v>
          </cell>
        </row>
        <row r="69">
          <cell r="A69" t="str">
            <v>J1EAFZB02011840</v>
          </cell>
          <cell r="B69" t="str">
            <v>ﾏｴｶﾊﾞｰ(17F09810B)　L=1184</v>
          </cell>
        </row>
        <row r="70">
          <cell r="A70" t="str">
            <v>J1EAFZB02014940</v>
          </cell>
          <cell r="B70" t="str">
            <v>ﾏｴｶﾊﾞｰ(17F09810C)　L=1494</v>
          </cell>
        </row>
        <row r="71">
          <cell r="A71" t="str">
            <v>J1AAEDB01725700</v>
          </cell>
          <cell r="B71" t="str">
            <v>MDP-688A L4　L=2570</v>
          </cell>
        </row>
        <row r="72">
          <cell r="A72" t="str">
            <v>J1AAEDB02525700</v>
          </cell>
          <cell r="B72" t="str">
            <v>MDPQ-688A L4　L=2570</v>
          </cell>
        </row>
        <row r="73">
          <cell r="A73" t="str">
            <v>J1DAFZB00105500</v>
          </cell>
          <cell r="B73" t="str">
            <v>照明ｶﾊﾞｰS15　L=550</v>
          </cell>
        </row>
        <row r="74">
          <cell r="A74" t="str">
            <v>J1DAFZB00105604</v>
          </cell>
          <cell r="B74" t="str">
            <v>照明ｶﾊﾞｰS　L=560.4</v>
          </cell>
        </row>
        <row r="75">
          <cell r="A75" t="str">
            <v>J1DAFZB00108200</v>
          </cell>
          <cell r="B75" t="str">
            <v>照明ｶﾊﾞｰL15　L=820</v>
          </cell>
        </row>
        <row r="76">
          <cell r="A76" t="str">
            <v>J1DAFZB00108304</v>
          </cell>
          <cell r="B76" t="str">
            <v>照明ｶﾊﾞｰL　L=830.4</v>
          </cell>
        </row>
        <row r="77">
          <cell r="A77" t="str">
            <v>J1ECZZB00104200</v>
          </cell>
          <cell r="B77" t="str">
            <v>L型ｱﾝｸﾞﾙ　WT-28B　L=420</v>
          </cell>
        </row>
        <row r="78">
          <cell r="A78" t="str">
            <v>J1ECZZB00105200</v>
          </cell>
          <cell r="B78" t="str">
            <v>L型ｱﾝｸﾞﾙ　P-VH-42D　L=520</v>
          </cell>
        </row>
        <row r="79">
          <cell r="A79" t="str">
            <v>J1ECZZB00105300</v>
          </cell>
          <cell r="B79" t="str">
            <v>L型ｱﾝｸﾞﾙ　P-VH-C　L=530</v>
          </cell>
        </row>
        <row r="80">
          <cell r="A80" t="str">
            <v>J1ECZZB00105900</v>
          </cell>
          <cell r="B80" t="str">
            <v>L型ｱﾝｸﾞﾙ　WT-42B　L=590</v>
          </cell>
        </row>
        <row r="81">
          <cell r="A81" t="str">
            <v>J1ECZZB00106000</v>
          </cell>
          <cell r="B81" t="str">
            <v>L型ｱﾝｸﾞﾙ　P-VH-E　L=600</v>
          </cell>
        </row>
        <row r="82">
          <cell r="A82" t="str">
            <v>J1ECZZB00106900</v>
          </cell>
          <cell r="B82" t="str">
            <v>L型ｱﾝｸﾞﾙ　P-VH-56D　L=690</v>
          </cell>
        </row>
        <row r="83">
          <cell r="A83" t="str">
            <v>J1ECZZB00107600</v>
          </cell>
          <cell r="B83" t="str">
            <v>L型ｱﾝｸﾞﾙ　WT-56B　L=760</v>
          </cell>
        </row>
        <row r="84">
          <cell r="A84" t="str">
            <v>J1ECZZB00110180</v>
          </cell>
          <cell r="B84" t="str">
            <v>L型ｱﾝｸﾞﾙ　P-VH-A　L=1018</v>
          </cell>
        </row>
        <row r="85">
          <cell r="A85" t="str">
            <v>J1AAFAB01107305</v>
          </cell>
          <cell r="B85" t="str">
            <v>GA-770 BK(BD)　L=730.5</v>
          </cell>
        </row>
        <row r="86">
          <cell r="A86" t="str">
            <v>J1AAFAB01107455</v>
          </cell>
          <cell r="B86" t="str">
            <v>GA-770 BK(BD)　L=745.5</v>
          </cell>
        </row>
        <row r="87">
          <cell r="A87" t="str">
            <v>J1AAFAB01207305</v>
          </cell>
          <cell r="B87" t="str">
            <v>GA-770 BR　L=730.5</v>
          </cell>
        </row>
        <row r="88">
          <cell r="A88" t="str">
            <v>J1AAFAB01207455</v>
          </cell>
          <cell r="B88" t="str">
            <v>GA-770 BR　L=745.5</v>
          </cell>
        </row>
        <row r="89">
          <cell r="A89" t="str">
            <v>J1AAFAB02204090</v>
          </cell>
          <cell r="B89" t="str">
            <v>WD3104A KC L=409</v>
          </cell>
        </row>
        <row r="90">
          <cell r="A90" t="str">
            <v>J1AAFAB02205005</v>
          </cell>
          <cell r="B90" t="str">
            <v>WD3104A KC　L=500.5</v>
          </cell>
        </row>
        <row r="91">
          <cell r="A91" t="str">
            <v>J1AAFAB02304090</v>
          </cell>
          <cell r="B91" t="str">
            <v>WD3104A BK　L=409</v>
          </cell>
        </row>
        <row r="92">
          <cell r="A92" t="str">
            <v>J1AAFAB02305005</v>
          </cell>
          <cell r="B92" t="str">
            <v>WD3104A BR(BK)　L=500.5</v>
          </cell>
        </row>
        <row r="93">
          <cell r="A93" t="str">
            <v>J1AAFAB02309000</v>
          </cell>
          <cell r="B93" t="str">
            <v>WD3104A BR(BK)　L=900</v>
          </cell>
        </row>
        <row r="94">
          <cell r="A94" t="str">
            <v>J1AAFAB02306890</v>
          </cell>
          <cell r="B94" t="str">
            <v>WD3104A BR(BK)　L=689</v>
          </cell>
        </row>
        <row r="95">
          <cell r="A95" t="str">
            <v>J1ZFAAB00203360</v>
          </cell>
          <cell r="B95" t="str">
            <v>GA9344/PYTB554K　L=336</v>
          </cell>
        </row>
        <row r="96">
          <cell r="A96" t="str">
            <v>J1ZFAAB00203860</v>
          </cell>
          <cell r="B96" t="str">
            <v>GA9344/PYTB554K　L=386</v>
          </cell>
        </row>
        <row r="97">
          <cell r="A97" t="str">
            <v>J1HFHBB01407100</v>
          </cell>
          <cell r="B97" t="str">
            <v>ｼﾞｮｲﾝﾄﾁｭ-ﾌﾞ5号　L=710</v>
          </cell>
        </row>
        <row r="98">
          <cell r="A98" t="str">
            <v>J1HFHBB01603400</v>
          </cell>
          <cell r="B98" t="str">
            <v>ｼﾞｮｲﾝﾄﾁｭ-ﾌﾞ2号　L=340</v>
          </cell>
        </row>
        <row r="99">
          <cell r="A99" t="str">
            <v>J1HFHBB01704200</v>
          </cell>
          <cell r="B99" t="str">
            <v>ｼﾞｮｲﾝﾄﾁｭ-ﾌﾞ3号　L=420</v>
          </cell>
        </row>
        <row r="100">
          <cell r="A100" t="str">
            <v>J1HFHBB01802500</v>
          </cell>
          <cell r="B100" t="str">
            <v>ｼﾞｮｲﾝﾄﾁｭ-ﾌﾞ1号　L=250</v>
          </cell>
        </row>
        <row r="101">
          <cell r="A101" t="str">
            <v>J1AKACB01901980</v>
          </cell>
          <cell r="B101" t="str">
            <v>991HDP　198</v>
          </cell>
        </row>
        <row r="102">
          <cell r="A102" t="str">
            <v>J1AKACB02002640</v>
          </cell>
          <cell r="B102" t="str">
            <v>991GPK　264</v>
          </cell>
        </row>
        <row r="103">
          <cell r="A103" t="str">
            <v>J1AKACB02002680</v>
          </cell>
          <cell r="B103" t="str">
            <v>991GPK　268</v>
          </cell>
        </row>
        <row r="104">
          <cell r="A104" t="str">
            <v>J1AKACB02004140</v>
          </cell>
          <cell r="B104" t="str">
            <v>991GPK　414</v>
          </cell>
        </row>
        <row r="105">
          <cell r="A105" t="str">
            <v>J1AKACB02004180</v>
          </cell>
          <cell r="B105" t="str">
            <v>991GPK　418</v>
          </cell>
        </row>
        <row r="106">
          <cell r="A106" t="str">
            <v>J1AKACB02005650</v>
          </cell>
          <cell r="B106" t="str">
            <v>991GPK　565</v>
          </cell>
        </row>
        <row r="107">
          <cell r="A107" t="str">
            <v>J1AKACB02005680</v>
          </cell>
          <cell r="B107" t="str">
            <v>991GPK　568</v>
          </cell>
        </row>
        <row r="108">
          <cell r="A108" t="str">
            <v>J1AKACB02007150</v>
          </cell>
          <cell r="B108" t="str">
            <v>991GPK　715</v>
          </cell>
        </row>
        <row r="109">
          <cell r="A109" t="str">
            <v>J1AKACB02007180</v>
          </cell>
          <cell r="B109" t="str">
            <v>991GPK　718</v>
          </cell>
        </row>
        <row r="110">
          <cell r="A110" t="str">
            <v>J1AKACB02008650</v>
          </cell>
          <cell r="B110" t="str">
            <v>991GPK　865</v>
          </cell>
        </row>
        <row r="111">
          <cell r="A111" t="str">
            <v>J1AKACB02008680</v>
          </cell>
          <cell r="B111" t="str">
            <v>991GPK　868</v>
          </cell>
        </row>
        <row r="112">
          <cell r="A112" t="str">
            <v>J1AKACB02010150</v>
          </cell>
          <cell r="B112" t="str">
            <v>991GPK　1015</v>
          </cell>
        </row>
        <row r="113">
          <cell r="A113" t="str">
            <v>J1AKACB02010180</v>
          </cell>
          <cell r="B113" t="str">
            <v>991GPK　1018</v>
          </cell>
        </row>
        <row r="114">
          <cell r="A114" t="str">
            <v>J1AKACB03502640</v>
          </cell>
          <cell r="B114" t="str">
            <v>752GPSB　265</v>
          </cell>
        </row>
        <row r="115">
          <cell r="A115" t="str">
            <v>J1AKACB03504140</v>
          </cell>
          <cell r="B115" t="str">
            <v>752GPSB　415</v>
          </cell>
        </row>
        <row r="116">
          <cell r="A116" t="str">
            <v>J1AKACB03505640</v>
          </cell>
          <cell r="B116" t="str">
            <v>752GPSB　565</v>
          </cell>
        </row>
        <row r="117">
          <cell r="A117" t="str">
            <v>J1AKACB03506640</v>
          </cell>
          <cell r="B117" t="str">
            <v>752GPSB　665</v>
          </cell>
        </row>
        <row r="118">
          <cell r="A118" t="str">
            <v>J1AKACB03507140</v>
          </cell>
          <cell r="B118" t="str">
            <v>752GPSB　715</v>
          </cell>
        </row>
        <row r="119">
          <cell r="A119" t="str">
            <v>J1AKACB03508640</v>
          </cell>
          <cell r="B119" t="str">
            <v>752GPSB　865</v>
          </cell>
        </row>
        <row r="120">
          <cell r="A120" t="str">
            <v>J1EKACB10604140</v>
          </cell>
          <cell r="B120" t="str">
            <v>003GPDG　414</v>
          </cell>
        </row>
        <row r="121">
          <cell r="A121" t="str">
            <v>J1EKACB20305190</v>
          </cell>
          <cell r="B121" t="str">
            <v>002EGAW　519</v>
          </cell>
        </row>
        <row r="122">
          <cell r="A122" t="str">
            <v>J1EKACB20306310</v>
          </cell>
          <cell r="B122" t="str">
            <v>002EGAW　631</v>
          </cell>
        </row>
        <row r="123">
          <cell r="A123" t="str">
            <v>J1EKACB01302040</v>
          </cell>
          <cell r="B123" t="str">
            <v>002EGDG　204</v>
          </cell>
        </row>
        <row r="124">
          <cell r="A124" t="str">
            <v>J1EKACB20802690</v>
          </cell>
          <cell r="B124" t="str">
            <v>051GPW　269(ｽﾀ)　</v>
          </cell>
        </row>
        <row r="125">
          <cell r="A125" t="str">
            <v>J1EKACB20804190</v>
          </cell>
          <cell r="B125" t="str">
            <v>051GPW　419(ｽﾀ)</v>
          </cell>
        </row>
        <row r="126">
          <cell r="A126" t="str">
            <v>J1EKACB20805670</v>
          </cell>
          <cell r="B126" t="str">
            <v>051GPW　567(ｽﾀ)</v>
          </cell>
        </row>
        <row r="127">
          <cell r="A127" t="str">
            <v>J1EKACB20805690</v>
          </cell>
          <cell r="B127" t="str">
            <v>051GPW　569</v>
          </cell>
        </row>
        <row r="128">
          <cell r="A128" t="str">
            <v>J1EKACB20807150</v>
          </cell>
          <cell r="B128" t="str">
            <v>051GPW　715</v>
          </cell>
        </row>
        <row r="129">
          <cell r="A129" t="str">
            <v>J1EKACB20807190</v>
          </cell>
          <cell r="B129" t="str">
            <v>051GPW　719</v>
          </cell>
        </row>
        <row r="130">
          <cell r="A130" t="str">
            <v>J1EKACB20808680</v>
          </cell>
          <cell r="B130" t="str">
            <v>051GPW　868</v>
          </cell>
        </row>
        <row r="131">
          <cell r="A131" t="str">
            <v>J1EKACB20810140</v>
          </cell>
          <cell r="B131" t="str">
            <v>051GPW　1014</v>
          </cell>
        </row>
        <row r="132">
          <cell r="A132" t="str">
            <v>J1EKACB20810180</v>
          </cell>
          <cell r="B132" t="str">
            <v>051GPW　1018</v>
          </cell>
        </row>
        <row r="133">
          <cell r="A133" t="str">
            <v>J1EKACB20811640</v>
          </cell>
          <cell r="B133" t="str">
            <v>051GPW　1164</v>
          </cell>
        </row>
        <row r="134">
          <cell r="A134" t="str">
            <v>J1EKACB22204150</v>
          </cell>
          <cell r="B134" t="str">
            <v>001EGAW　415</v>
          </cell>
        </row>
        <row r="135">
          <cell r="A135" t="str">
            <v>J1EKACB22205080</v>
          </cell>
          <cell r="B135" t="str">
            <v>001EGAW　508</v>
          </cell>
        </row>
        <row r="136">
          <cell r="A136" t="str">
            <v>J1EKACB22205650</v>
          </cell>
          <cell r="B136" t="str">
            <v>001EGAW　565</v>
          </cell>
        </row>
        <row r="137">
          <cell r="A137" t="str">
            <v>J1EKACB22206330</v>
          </cell>
          <cell r="B137" t="str">
            <v>001EGAW　633</v>
          </cell>
        </row>
        <row r="138">
          <cell r="A138" t="str">
            <v>J1EKACB22206520</v>
          </cell>
          <cell r="B138" t="str">
            <v>001EGAW　652</v>
          </cell>
        </row>
        <row r="139">
          <cell r="A139" t="str">
            <v>J1EKACB22206650</v>
          </cell>
          <cell r="B139" t="str">
            <v>001EGAW　665</v>
          </cell>
        </row>
        <row r="140">
          <cell r="A140" t="str">
            <v>J1EKACB22207150</v>
          </cell>
          <cell r="B140" t="str">
            <v>001EGAW　715</v>
          </cell>
        </row>
        <row r="141">
          <cell r="A141" t="str">
            <v>J1AAFAB01299999</v>
          </cell>
          <cell r="B141" t="str">
            <v>GA-770 (特注)BR</v>
          </cell>
        </row>
        <row r="142">
          <cell r="A142" t="str">
            <v>J1AAFAB01199999</v>
          </cell>
          <cell r="B142" t="str">
            <v>GA-770 (特注)BK</v>
          </cell>
        </row>
        <row r="143">
          <cell r="A143" t="str">
            <v>J1AAZDB00301000</v>
          </cell>
          <cell r="B143" t="str">
            <v>BMPU-245　L=100</v>
          </cell>
        </row>
        <row r="144">
          <cell r="A144" t="str">
            <v>J1AAZDB00501000</v>
          </cell>
          <cell r="B144" t="str">
            <v>PRPU-418　L=100</v>
          </cell>
        </row>
        <row r="145">
          <cell r="A145" t="str">
            <v>J1AZLDB00122810</v>
          </cell>
          <cell r="B145" t="str">
            <v>QDNT-284A L2　L=2281</v>
          </cell>
        </row>
        <row r="146">
          <cell r="A146" t="str">
            <v>J1AZLDB00123150</v>
          </cell>
          <cell r="B146" t="str">
            <v>QDNT-284A L1　L=2315</v>
          </cell>
        </row>
        <row r="147">
          <cell r="A147" t="str">
            <v>J1AZLDB00123980</v>
          </cell>
          <cell r="B147" t="str">
            <v>QDNT-284A LT　L=2398</v>
          </cell>
        </row>
        <row r="148">
          <cell r="A148" t="str">
            <v>J1AZLDB00127400</v>
          </cell>
          <cell r="B148" t="str">
            <v>QDNT-284A LT2　L=2740</v>
          </cell>
        </row>
        <row r="149">
          <cell r="A149" t="str">
            <v>J1AZLDB00422660</v>
          </cell>
          <cell r="B149" t="str">
            <v>DHCT-147 L1　L=2266</v>
          </cell>
        </row>
        <row r="150">
          <cell r="A150" t="str">
            <v>J1AZLDB00422975</v>
          </cell>
          <cell r="B150" t="str">
            <v>DHCT-147 L3　L=2297.5</v>
          </cell>
        </row>
        <row r="151">
          <cell r="A151" t="str">
            <v>J1AZLDB00522670</v>
          </cell>
          <cell r="B151" t="str">
            <v>DHCT-136　L=2267</v>
          </cell>
        </row>
        <row r="152">
          <cell r="A152" t="str">
            <v>J1AZLDB00522985</v>
          </cell>
          <cell r="B152" t="str">
            <v>DHCT-136 L1　L=2298.5</v>
          </cell>
        </row>
        <row r="153">
          <cell r="A153" t="str">
            <v>J1AZLDB00719940</v>
          </cell>
          <cell r="B153" t="str">
            <v>DHCT-328RL1　L=1994</v>
          </cell>
        </row>
        <row r="154">
          <cell r="A154" t="str">
            <v>J1AZLDB00800790</v>
          </cell>
          <cell r="B154" t="str">
            <v>DHCT-329L1　L=79</v>
          </cell>
        </row>
        <row r="155">
          <cell r="A155" t="str">
            <v>J1AZLDB00901030</v>
          </cell>
          <cell r="B155" t="str">
            <v>DHCT-329L2　L=103</v>
          </cell>
        </row>
        <row r="156">
          <cell r="A156" t="str">
            <v>J1AZLDB01719950</v>
          </cell>
          <cell r="B156" t="str">
            <v>DHCT-397 L1　L=1995</v>
          </cell>
        </row>
        <row r="157">
          <cell r="A157" t="str">
            <v>J1AZLDB01818880</v>
          </cell>
          <cell r="B157" t="str">
            <v>DHCT-397 LL2　L=1888</v>
          </cell>
        </row>
        <row r="158">
          <cell r="A158" t="str">
            <v>J1AZLDB01900860</v>
          </cell>
          <cell r="B158" t="str">
            <v>DHCT-398　L=86</v>
          </cell>
        </row>
        <row r="159">
          <cell r="A159" t="str">
            <v>J1AZLDB02023080</v>
          </cell>
          <cell r="B159" t="str">
            <v>DHCT-409 L1　L=2308</v>
          </cell>
        </row>
        <row r="160">
          <cell r="A160" t="str">
            <v>J1AZLDB02118880</v>
          </cell>
          <cell r="B160" t="str">
            <v>DHCT-397 RL2　L=1888</v>
          </cell>
        </row>
        <row r="161">
          <cell r="A161" t="str">
            <v>J1AZLDB02600990</v>
          </cell>
          <cell r="B161" t="str">
            <v>DHCT-548L3　L=99</v>
          </cell>
        </row>
        <row r="162">
          <cell r="A162" t="str">
            <v>J1AZLDB02601075</v>
          </cell>
          <cell r="B162" t="str">
            <v>DHCT-548L1　L=107.5</v>
          </cell>
        </row>
        <row r="163">
          <cell r="A163" t="str">
            <v>J1AZLDB02601235</v>
          </cell>
          <cell r="B163" t="str">
            <v>DHCT-548L4　L=123.5</v>
          </cell>
        </row>
        <row r="164">
          <cell r="A164" t="str">
            <v>J1AZLDB02601320</v>
          </cell>
          <cell r="B164" t="str">
            <v>DHCT-548L2　L=132</v>
          </cell>
        </row>
        <row r="165">
          <cell r="A165" t="str">
            <v>J1AZLDB02603340</v>
          </cell>
          <cell r="B165" t="str">
            <v>DHCT-547L1　L=334</v>
          </cell>
        </row>
        <row r="166">
          <cell r="A166" t="str">
            <v>J1AZLDB02603460</v>
          </cell>
          <cell r="B166" t="str">
            <v>DHCT-547L2　L=346</v>
          </cell>
        </row>
        <row r="167">
          <cell r="A167" t="str">
            <v>J1AZLDB02702240</v>
          </cell>
          <cell r="B167" t="str">
            <v>DHCT-691 L1　L=224</v>
          </cell>
        </row>
        <row r="168">
          <cell r="A168" t="str">
            <v>J1AZLDB00523605</v>
          </cell>
          <cell r="B168" t="str">
            <v>DHDT-186　L=2360.5</v>
          </cell>
        </row>
        <row r="169">
          <cell r="A169" t="str">
            <v>J1AZLDB03201160</v>
          </cell>
          <cell r="B169" t="str">
            <v>QDQT-509 L1　L=116</v>
          </cell>
        </row>
        <row r="170">
          <cell r="A170" t="str">
            <v>J1AZLDB03202380</v>
          </cell>
          <cell r="B170" t="str">
            <v>QDQT-509 L2　L=238</v>
          </cell>
        </row>
        <row r="171">
          <cell r="A171" t="str">
            <v>J1AZLDB03300780</v>
          </cell>
          <cell r="B171" t="str">
            <v>QDQT-515 L3   L=78  　　</v>
          </cell>
        </row>
        <row r="172">
          <cell r="A172" t="str">
            <v>J1AZLDB03301280</v>
          </cell>
          <cell r="B172" t="str">
            <v>QDQT-515 L2   L=128     　　</v>
          </cell>
        </row>
        <row r="173">
          <cell r="A173" t="str">
            <v>J1AZLDB03305440</v>
          </cell>
          <cell r="B173" t="str">
            <v>QDQT-515 L1　L=544　</v>
          </cell>
        </row>
        <row r="174">
          <cell r="A174" t="str">
            <v>J1EAZDB00102000</v>
          </cell>
          <cell r="B174" t="str">
            <v>QDN-487　L=200</v>
          </cell>
        </row>
        <row r="175">
          <cell r="A175" t="str">
            <v>J4AAMWB01504140</v>
          </cell>
          <cell r="B175" t="str">
            <v>AM-O-0744-KC1　L=414</v>
          </cell>
        </row>
        <row r="176">
          <cell r="A176" t="str">
            <v>J4AAMWB02707690</v>
          </cell>
          <cell r="B176" t="str">
            <v>AM-O-0807-KC1　L=769</v>
          </cell>
        </row>
        <row r="177">
          <cell r="A177" t="str">
            <v>J1AEFZB00205250</v>
          </cell>
          <cell r="B177" t="str">
            <v>脚ﾊﾟｲﾌﾟPVC　L=525</v>
          </cell>
        </row>
        <row r="178">
          <cell r="A178" t="str">
            <v>J1AEFZB00205750</v>
          </cell>
          <cell r="B178" t="str">
            <v>脚ﾊﾟｲﾌﾟPVC　L=575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abSelected="1" topLeftCell="A34" workbookViewId="0">
      <selection activeCell="I65" sqref="I65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04" t="s">
        <v>0</v>
      </c>
      <c r="C1" s="88"/>
      <c r="D1" s="88"/>
      <c r="E1" s="11"/>
      <c r="F1" s="11"/>
      <c r="G1" s="11"/>
      <c r="H1" s="11"/>
      <c r="I1" s="11"/>
      <c r="J1" s="11"/>
    </row>
    <row r="2" spans="1:10" ht="14.25" customHeight="1" thickTop="1">
      <c r="A2" s="12"/>
      <c r="B2" s="88"/>
      <c r="C2" s="88"/>
      <c r="D2" s="88"/>
      <c r="E2" s="12"/>
      <c r="F2" s="12"/>
      <c r="G2" s="12"/>
      <c r="H2" s="12"/>
      <c r="I2" s="12"/>
      <c r="J2" s="12"/>
    </row>
    <row r="3" spans="1:10" ht="14.25" customHeight="1">
      <c r="A3" s="87" t="s">
        <v>1</v>
      </c>
      <c r="B3" s="87" t="s">
        <v>2</v>
      </c>
      <c r="C3" s="87" t="s">
        <v>3</v>
      </c>
      <c r="D3" s="111">
        <v>2570</v>
      </c>
      <c r="E3" s="87" t="s">
        <v>4</v>
      </c>
      <c r="F3" s="101" t="s">
        <v>5</v>
      </c>
      <c r="G3" s="88"/>
      <c r="H3" s="95"/>
      <c r="I3" s="13" t="s">
        <v>6</v>
      </c>
      <c r="J3" s="13" t="s">
        <v>7</v>
      </c>
    </row>
    <row r="4" spans="1:10" ht="14.25" customHeight="1">
      <c r="A4" s="88"/>
      <c r="B4" s="88"/>
      <c r="C4" s="88"/>
      <c r="D4" s="88"/>
      <c r="E4" s="88"/>
      <c r="F4" s="88"/>
      <c r="G4" s="88"/>
      <c r="H4" s="95"/>
      <c r="I4" s="91"/>
      <c r="J4" s="91"/>
    </row>
    <row r="5" spans="1:10" ht="17.45" customHeight="1">
      <c r="A5" s="90" t="s">
        <v>8</v>
      </c>
      <c r="B5" s="90" t="s">
        <v>9</v>
      </c>
      <c r="E5" s="90" t="s">
        <v>10</v>
      </c>
      <c r="F5" s="97" t="s">
        <v>11</v>
      </c>
      <c r="G5" s="88"/>
      <c r="H5" s="95"/>
      <c r="I5" s="92"/>
      <c r="J5" s="92"/>
    </row>
    <row r="6" spans="1:10" ht="17.45" customHeight="1">
      <c r="A6" s="88"/>
      <c r="B6" s="88"/>
      <c r="E6" s="88"/>
      <c r="F6" s="88"/>
      <c r="G6" s="88"/>
      <c r="H6" s="95"/>
      <c r="I6" s="14"/>
      <c r="J6" s="14"/>
    </row>
    <row r="7" spans="1:10" ht="17.45" customHeight="1">
      <c r="A7" s="90" t="s">
        <v>12</v>
      </c>
      <c r="B7" s="90" t="s">
        <v>13</v>
      </c>
      <c r="E7" s="2" t="s">
        <v>14</v>
      </c>
      <c r="F7" s="102" t="s">
        <v>15</v>
      </c>
      <c r="G7" s="88"/>
      <c r="H7" s="21"/>
    </row>
    <row r="8" spans="1:10" ht="17.45" customHeight="1">
      <c r="A8" s="88"/>
      <c r="B8" s="88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45841</v>
      </c>
      <c r="E9" s="2" t="s">
        <v>19</v>
      </c>
      <c r="F9" s="127">
        <v>50</v>
      </c>
      <c r="G9" s="88"/>
      <c r="H9" s="21"/>
    </row>
    <row r="10" spans="1:10" ht="17.45" customHeight="1">
      <c r="A10" s="2" t="s">
        <v>20</v>
      </c>
      <c r="B10" s="4">
        <v>45841</v>
      </c>
      <c r="E10" s="2" t="s">
        <v>21</v>
      </c>
      <c r="F10" s="21">
        <v>3</v>
      </c>
      <c r="G10" s="114" t="s">
        <v>22</v>
      </c>
      <c r="H10" s="107">
        <v>150</v>
      </c>
      <c r="I10" s="108"/>
      <c r="J10" s="109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10"/>
      <c r="H11" s="110"/>
      <c r="I11" s="81"/>
      <c r="J11" s="96"/>
    </row>
    <row r="12" spans="1:10" ht="13.5" customHeight="1">
      <c r="A12" s="93" t="s">
        <v>25</v>
      </c>
      <c r="B12" s="88"/>
      <c r="C12" s="88"/>
      <c r="D12" s="20"/>
      <c r="F12" s="3"/>
      <c r="G12" s="105" t="s">
        <v>26</v>
      </c>
      <c r="H12" s="126" t="s">
        <v>27</v>
      </c>
      <c r="I12" s="94" t="s">
        <v>28</v>
      </c>
      <c r="J12" s="95"/>
    </row>
    <row r="13" spans="1:10" ht="13.5" customHeight="1">
      <c r="A13" s="88"/>
      <c r="B13" s="88"/>
      <c r="C13" s="88"/>
      <c r="D13" s="20"/>
      <c r="F13" s="3"/>
      <c r="G13" s="106"/>
      <c r="H13" s="106"/>
      <c r="I13" s="81"/>
      <c r="J13" s="96"/>
    </row>
    <row r="14" spans="1:10" ht="13.5" customHeight="1">
      <c r="A14" s="1" t="s">
        <v>29</v>
      </c>
    </row>
    <row r="15" spans="1:10" ht="63" customHeight="1" thickBot="1">
      <c r="A15" s="112"/>
      <c r="B15" s="113"/>
      <c r="C15" s="113"/>
      <c r="D15" s="113"/>
      <c r="E15" s="113"/>
      <c r="F15" s="113"/>
      <c r="G15" s="113"/>
      <c r="H15" s="113"/>
      <c r="I15" s="113"/>
      <c r="J15" s="113"/>
    </row>
    <row r="16" spans="1:10" ht="18.75">
      <c r="A16" s="23" t="s">
        <v>30</v>
      </c>
      <c r="B16" s="16" t="s">
        <v>31</v>
      </c>
      <c r="C16" s="98" t="s">
        <v>32</v>
      </c>
      <c r="D16" s="99"/>
      <c r="E16" s="16" t="s">
        <v>33</v>
      </c>
      <c r="F16" s="98" t="s">
        <v>34</v>
      </c>
      <c r="G16" s="99"/>
      <c r="H16" s="99"/>
      <c r="I16" s="100" t="s">
        <v>35</v>
      </c>
      <c r="J16" s="99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84" t="s">
        <v>37</v>
      </c>
      <c r="D18" s="85"/>
      <c r="E18" s="24" t="s">
        <v>38</v>
      </c>
      <c r="F18" s="84" t="s">
        <v>39</v>
      </c>
      <c r="G18" s="85"/>
      <c r="H18" s="85"/>
      <c r="I18" s="89"/>
      <c r="J18" s="85"/>
    </row>
    <row r="19" spans="1:10" s="7" customFormat="1" ht="16.5" customHeight="1">
      <c r="A19" s="22">
        <v>1</v>
      </c>
      <c r="B19" s="25" t="s">
        <v>36</v>
      </c>
      <c r="C19" s="84" t="s">
        <v>37</v>
      </c>
      <c r="D19" s="85"/>
      <c r="E19" s="24" t="s">
        <v>40</v>
      </c>
      <c r="F19" s="84" t="s">
        <v>41</v>
      </c>
      <c r="G19" s="85"/>
      <c r="H19" s="85"/>
      <c r="I19" s="89"/>
      <c r="J19" s="85"/>
    </row>
    <row r="20" spans="1:10" s="7" customFormat="1" ht="16.5" customHeight="1">
      <c r="A20" s="22"/>
      <c r="B20" s="25"/>
      <c r="C20" s="84"/>
      <c r="D20" s="85"/>
      <c r="E20" s="24"/>
      <c r="F20" s="84"/>
      <c r="G20" s="85"/>
      <c r="H20" s="85"/>
      <c r="I20" s="89"/>
      <c r="J20" s="85"/>
    </row>
    <row r="21" spans="1:10" s="7" customFormat="1" ht="16.5" customHeight="1">
      <c r="A21" s="22"/>
      <c r="B21" s="25"/>
      <c r="C21" s="84"/>
      <c r="D21" s="85"/>
      <c r="E21" s="24"/>
      <c r="F21" s="84"/>
      <c r="G21" s="85"/>
      <c r="H21" s="85"/>
      <c r="I21" s="89"/>
      <c r="J21" s="85"/>
    </row>
    <row r="22" spans="1:10" s="7" customFormat="1" ht="16.5" customHeight="1">
      <c r="A22" s="22"/>
      <c r="B22" s="25"/>
      <c r="C22" s="84"/>
      <c r="D22" s="85"/>
      <c r="E22" s="24"/>
      <c r="F22" s="84"/>
      <c r="G22" s="85"/>
      <c r="H22" s="85"/>
      <c r="I22" s="89"/>
      <c r="J22" s="85"/>
    </row>
    <row r="23" spans="1:10" s="7" customFormat="1" ht="16.5" customHeight="1">
      <c r="A23" s="22"/>
      <c r="B23" s="25"/>
      <c r="C23" s="84"/>
      <c r="D23" s="85"/>
      <c r="E23" s="24"/>
      <c r="F23" s="84"/>
      <c r="G23" s="85"/>
      <c r="H23" s="85"/>
      <c r="I23" s="89"/>
      <c r="J23" s="85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82" t="s">
        <v>42</v>
      </c>
      <c r="B25" s="83"/>
      <c r="C25" s="82" t="s">
        <v>43</v>
      </c>
      <c r="D25" s="83"/>
      <c r="E25" s="83"/>
      <c r="F25" s="17" t="s">
        <v>44</v>
      </c>
      <c r="G25" s="82" t="s">
        <v>45</v>
      </c>
      <c r="H25" s="83"/>
      <c r="I25" s="82" t="s">
        <v>46</v>
      </c>
      <c r="J25" s="83"/>
    </row>
    <row r="26" spans="1:10" ht="14.25" customHeight="1">
      <c r="A26" s="8"/>
      <c r="B26" s="18"/>
      <c r="C26" s="80" t="s">
        <v>47</v>
      </c>
      <c r="D26" s="81"/>
      <c r="E26" s="18"/>
      <c r="F26" s="80" t="s">
        <v>29</v>
      </c>
      <c r="G26" s="81"/>
      <c r="H26" s="81"/>
      <c r="I26" s="81"/>
      <c r="J26" s="81"/>
    </row>
    <row r="27" spans="1:10">
      <c r="A27" s="9"/>
      <c r="C27" s="7"/>
      <c r="D27" s="7"/>
      <c r="E27" s="7"/>
    </row>
    <row r="28" spans="1:10" s="5" customFormat="1" ht="14.25" customHeight="1">
      <c r="A28" s="84" t="s">
        <v>48</v>
      </c>
      <c r="B28" s="79"/>
      <c r="C28" s="84" t="s">
        <v>49</v>
      </c>
      <c r="D28" s="79"/>
      <c r="E28" s="79"/>
      <c r="F28" s="26" t="s">
        <v>27</v>
      </c>
      <c r="G28" s="78">
        <v>150</v>
      </c>
      <c r="H28" s="79"/>
      <c r="I28" s="78">
        <v>3</v>
      </c>
      <c r="J28" s="79"/>
    </row>
    <row r="29" spans="1:10" s="7" customFormat="1" ht="24.95" customHeight="1">
      <c r="A29" s="86" t="s">
        <v>50</v>
      </c>
      <c r="B29" s="85"/>
      <c r="C29" s="84" t="s">
        <v>11</v>
      </c>
      <c r="D29" s="85"/>
      <c r="E29" s="85"/>
      <c r="F29" s="84"/>
      <c r="G29" s="85"/>
      <c r="H29" s="85"/>
      <c r="I29" s="85"/>
      <c r="J29" s="85"/>
    </row>
    <row r="30" spans="1:10" s="5" customFormat="1" ht="14.25" customHeight="1">
      <c r="A30" s="84"/>
      <c r="B30" s="79"/>
      <c r="C30" s="84"/>
      <c r="D30" s="79"/>
      <c r="E30" s="79"/>
      <c r="F30" s="26"/>
      <c r="G30" s="78"/>
      <c r="H30" s="79"/>
      <c r="I30" s="78"/>
      <c r="J30" s="79"/>
    </row>
    <row r="31" spans="1:10" s="7" customFormat="1" ht="24.95" customHeight="1">
      <c r="A31" s="86"/>
      <c r="B31" s="85"/>
      <c r="C31" s="84"/>
      <c r="D31" s="85"/>
      <c r="E31" s="85"/>
      <c r="F31" s="84"/>
      <c r="G31" s="85"/>
      <c r="H31" s="85"/>
      <c r="I31" s="85"/>
      <c r="J31" s="85"/>
    </row>
    <row r="32" spans="1:10" s="5" customFormat="1" ht="14.25" customHeight="1">
      <c r="A32" s="84"/>
      <c r="B32" s="79"/>
      <c r="C32" s="84"/>
      <c r="D32" s="79"/>
      <c r="E32" s="79"/>
      <c r="F32" s="26"/>
      <c r="G32" s="78"/>
      <c r="H32" s="79"/>
      <c r="I32" s="78"/>
      <c r="J32" s="79"/>
    </row>
    <row r="33" spans="1:14" s="7" customFormat="1" ht="24.95" customHeight="1">
      <c r="A33" s="86"/>
      <c r="B33" s="85"/>
      <c r="C33" s="84"/>
      <c r="D33" s="85"/>
      <c r="E33" s="85"/>
      <c r="F33" s="84"/>
      <c r="G33" s="85"/>
      <c r="H33" s="85"/>
      <c r="I33" s="85"/>
      <c r="J33" s="85"/>
    </row>
    <row r="34" spans="1:14" s="5" customFormat="1" ht="14.25" customHeight="1">
      <c r="A34" s="84"/>
      <c r="B34" s="79"/>
      <c r="C34" s="84"/>
      <c r="D34" s="79"/>
      <c r="E34" s="79"/>
      <c r="F34" s="26"/>
      <c r="G34" s="78"/>
      <c r="H34" s="79"/>
      <c r="I34" s="78"/>
      <c r="J34" s="79"/>
    </row>
    <row r="35" spans="1:14" s="7" customFormat="1" ht="24.95" customHeight="1">
      <c r="A35" s="86"/>
      <c r="B35" s="85"/>
      <c r="C35" s="84"/>
      <c r="D35" s="85"/>
      <c r="E35" s="85"/>
      <c r="F35" s="84"/>
      <c r="G35" s="85"/>
      <c r="H35" s="85"/>
      <c r="I35" s="85"/>
      <c r="J35" s="85"/>
    </row>
    <row r="36" spans="1:14" s="5" customFormat="1" ht="14.25" customHeight="1">
      <c r="A36" s="84"/>
      <c r="B36" s="79"/>
      <c r="C36" s="84"/>
      <c r="D36" s="79"/>
      <c r="E36" s="79"/>
      <c r="F36" s="26"/>
      <c r="G36" s="78"/>
      <c r="H36" s="79"/>
      <c r="I36" s="78"/>
      <c r="J36" s="79"/>
    </row>
    <row r="37" spans="1:14" s="7" customFormat="1" ht="24.95" customHeight="1" thickBot="1">
      <c r="A37" s="86"/>
      <c r="B37" s="85"/>
      <c r="C37" s="84"/>
      <c r="D37" s="85"/>
      <c r="E37" s="85"/>
      <c r="F37" s="84"/>
      <c r="G37" s="85"/>
      <c r="H37" s="85"/>
      <c r="I37" s="85"/>
      <c r="J37" s="85"/>
    </row>
    <row r="38" spans="1:14" s="5" customFormat="1" ht="18" customHeight="1">
      <c r="A38" s="115" t="s">
        <v>51</v>
      </c>
      <c r="B38" s="116"/>
      <c r="C38" s="116"/>
      <c r="D38" s="116"/>
      <c r="E38" s="117" t="s">
        <v>52</v>
      </c>
      <c r="F38" s="118"/>
      <c r="G38" s="27" t="s">
        <v>53</v>
      </c>
      <c r="H38" s="119" t="s">
        <v>54</v>
      </c>
      <c r="I38" s="119"/>
      <c r="J38" s="28" t="s">
        <v>55</v>
      </c>
    </row>
    <row r="39" spans="1:14" s="7" customFormat="1" ht="18" customHeight="1">
      <c r="A39" s="120" t="str">
        <f>_xlfn.XLOOKUP(B3,[1]VFDB2!A:A,[1]VFDB2!B:B)</f>
        <v>MDP-688A L4　L=2570</v>
      </c>
      <c r="B39" s="121"/>
      <c r="C39" s="121"/>
      <c r="D39" s="121"/>
      <c r="E39" s="124" t="str" cm="1">
        <f t="array" ref="E39">IFERROR(IF(ISBLANK(INDEX(_xlfn._xlws.FILTER([1]加工記録２!$C$3:$C$82, [1]加工記録２!$T$3:$T$82=B5), 6)), "", INDEX(_xlfn._xlws.FILTER([1]加工記録２!$C$3:$C$82, [1]加工記録２!$T$3:$T$82=B5), 6)),"")</f>
        <v>基材梱包箱</v>
      </c>
      <c r="F39" s="125"/>
      <c r="G39" s="103" cm="1">
        <f t="array" ref="G39">IFERROR(IF(ISBLANK(INDEX(_xlfn._xlws.FILTER([1]加工記録２!$B$3:$B$82, [1]加工記録２!$T$3:$T$82=B5), 7)), "", INDEX(_xlfn._xlws.FILTER([1]加工記録２!$B$3:$B$82, [1]加工記録２!$T$3:$T$82=B5), 7)),"")</f>
        <v>3</v>
      </c>
      <c r="H39" s="29" t="s">
        <v>56</v>
      </c>
      <c r="I39" s="30" cm="1">
        <f t="array" ref="I39:J39">IFERROR(IF(ISBLANK(INDEX(_xlfn._xlws.FILTER([1]加工記録２!$O$3:$P$82, [1]加工記録２!$T$3:$T$82=B5), 1)), "", INDEX(_xlfn._xlws.FILTER([1]加工記録２!$O$3:$P$82, [1]加工記録２!$T$3:$T$82=B5), 1)),"")</f>
        <v>45839</v>
      </c>
      <c r="J39" s="31" t="str">
        <v/>
      </c>
    </row>
    <row r="40" spans="1:14" s="5" customFormat="1" ht="18" customHeight="1">
      <c r="A40" s="122"/>
      <c r="B40" s="123"/>
      <c r="C40" s="123"/>
      <c r="D40" s="123"/>
      <c r="E40" s="124"/>
      <c r="F40" s="125"/>
      <c r="G40" s="103"/>
      <c r="H40" s="29" t="s">
        <v>57</v>
      </c>
      <c r="I40" s="32" cm="1">
        <f t="array" ref="I40:J40">IFERROR(IF(ISBLANK(INDEX(_xlfn._xlws.FILTER([1]加工記録２!$O$3:$P$82, [1]加工記録２!$T$3:$T$82=B5), 2)), "", INDEX(_xlfn._xlws.FILTER([1]加工記録２!$O$3:$P$82, [1]加工記録２!$T$3:$T$82=B5), 2)),"")</f>
        <v>150</v>
      </c>
      <c r="J40" s="33" t="str">
        <v/>
      </c>
      <c r="K40" s="34"/>
    </row>
    <row r="41" spans="1:14" s="7" customFormat="1" ht="18" customHeight="1">
      <c r="A41" s="128" t="s">
        <v>58</v>
      </c>
      <c r="B41" s="141" t="str">
        <f>_xlfn.XLOOKUP(B3,[1]!テーブル5[品目コード],[1]!テーブル5[温度換算],,)</f>
        <v>-</v>
      </c>
      <c r="C41" s="143" t="s">
        <v>59</v>
      </c>
      <c r="D41" s="145">
        <f>_xlfn.XLOOKUP(B3,[1]!テーブル5[品目コード],[1]!テーブル5[取数],,)</f>
        <v>1</v>
      </c>
      <c r="E41" s="124" t="str">
        <f>_xlfn.XLOOKUP(B3,[1]!テーブル5[品目コード],[1]!テーブル5[備考１],,)</f>
        <v>寸法Wチェック</v>
      </c>
      <c r="F41" s="125"/>
      <c r="G41" s="136"/>
      <c r="H41" s="35" t="s">
        <v>60</v>
      </c>
      <c r="I41" s="32" cm="1">
        <f t="array" ref="I41:J41">IFERROR(IF(ISBLANK(INDEX(_xlfn._xlws.FILTER([1]加工記録２!$O$3:$P$82, [1]加工記録２!$T$3:$T$82=B5), 3)), "", INDEX(_xlfn._xlws.FILTER([1]加工記録２!$O$3:$P$82, [1]加工記録２!$T$3:$T$82=B5), 3)),"")</f>
        <v>150</v>
      </c>
      <c r="J41" s="36" t="str">
        <v/>
      </c>
      <c r="K41" s="37"/>
    </row>
    <row r="42" spans="1:14" s="5" customFormat="1" ht="18" customHeight="1">
      <c r="A42" s="140"/>
      <c r="B42" s="142"/>
      <c r="C42" s="144"/>
      <c r="D42" s="146"/>
      <c r="E42" s="124"/>
      <c r="F42" s="125"/>
      <c r="G42" s="136"/>
      <c r="H42" s="35" t="s">
        <v>61</v>
      </c>
      <c r="I42" s="32" cm="1">
        <f t="array" ref="I42:J42">IFERROR(IF(ISBLANK(INDEX(_xlfn._xlws.FILTER([1]加工記録２!$O$3:$P$82, [1]加工記録２!$T$3:$T$82=B5), 4)), "", INDEX(_xlfn._xlws.FILTER([1]加工記録２!$O$3:$P$82, [1]加工記録２!$T$3:$T$82=B5), 4)),"")</f>
        <v>0</v>
      </c>
      <c r="J42" s="38" t="str">
        <v/>
      </c>
      <c r="K42" s="34"/>
    </row>
    <row r="43" spans="1:14" s="7" customFormat="1" ht="18" customHeight="1">
      <c r="A43" s="147" t="s">
        <v>62</v>
      </c>
      <c r="B43" s="149">
        <f>D3</f>
        <v>2570</v>
      </c>
      <c r="C43" s="151" t="s">
        <v>63</v>
      </c>
      <c r="D43" s="134" t="str">
        <f>_xlfn.XLOOKUP(B3,[1]!テーブル5[品目コード],[1]!テーブル5[上限公差],,)</f>
        <v>+1.5</v>
      </c>
      <c r="E43" s="124" t="str">
        <f>_xlfn.XLOOKUP(B3,[1]!テーブル5[品目コード],[1]!テーブル5[備考２],,)</f>
        <v>専用スケール使用</v>
      </c>
      <c r="F43" s="125"/>
      <c r="G43" s="136"/>
      <c r="H43" s="35" t="s">
        <v>64</v>
      </c>
      <c r="I43" s="32" cm="1">
        <f t="array" ref="I43:J43">IFERROR(IF(ISBLANK(INDEX(_xlfn._xlws.FILTER([1]加工記録２!$O$3:$P$82, [1]加工記録２!$T$3:$T$82=B5), 5)), "", INDEX(_xlfn._xlws.FILTER([1]加工記録２!$O$3:$P$82, [1]加工記録２!$T$3:$T$82=B5), 5)),"")</f>
        <v>0</v>
      </c>
      <c r="J43" s="39" t="str">
        <v/>
      </c>
      <c r="K43" s="37"/>
    </row>
    <row r="44" spans="1:14" s="5" customFormat="1" ht="18" customHeight="1">
      <c r="A44" s="148"/>
      <c r="B44" s="150"/>
      <c r="C44" s="152"/>
      <c r="D44" s="153"/>
      <c r="E44" s="124"/>
      <c r="F44" s="125"/>
      <c r="G44" s="136"/>
      <c r="H44" s="35" t="s">
        <v>65</v>
      </c>
      <c r="I44" s="32" t="str" cm="1">
        <f t="array" ref="I44:J44">IFERROR(IF(ISBLANK(INDEX(_xlfn._xlws.FILTER([1]加工記録２!$O$3:$P$82, [1]加工記録２!$T$3:$T$82=B5), 6)), "", INDEX(_xlfn._xlws.FILTER([1]加工記録２!$O$3:$P$82, [1]加工記録２!$T$3:$T$82=B5), 6)),"")</f>
        <v/>
      </c>
      <c r="J44" s="40" t="str">
        <v/>
      </c>
      <c r="K44" s="34"/>
    </row>
    <row r="45" spans="1:14" s="7" customFormat="1" ht="18" customHeight="1">
      <c r="A45" s="128" t="s">
        <v>66</v>
      </c>
      <c r="B45" s="130">
        <f>_xlfn.XLOOKUP(B3,[1]!テーブル5[品目コード],[1]!テーブル5[切断寸法],,)</f>
        <v>2571</v>
      </c>
      <c r="C45" s="132" t="s">
        <v>67</v>
      </c>
      <c r="D45" s="134">
        <f>_xlfn.XLOOKUP(B3,[1]!テーブル5[品目コード],[1]!テーブル5[下限公差],,)</f>
        <v>-0.5</v>
      </c>
      <c r="E45" s="124" t="str">
        <f>_xlfn.XLOOKUP(B3,[1]!テーブル5[品目コード],[1]!テーブル5[梱包方法],,)</f>
        <v>ラベル２枚　長手有　鉢巻２</v>
      </c>
      <c r="F45" s="125"/>
      <c r="G45" s="136"/>
      <c r="H45" s="35" t="s">
        <v>68</v>
      </c>
      <c r="I45" s="32" t="str" cm="1">
        <f t="array" ref="I45:J45">IFERROR(IF(ISBLANK(INDEX(_xlfn._xlws.FILTER([1]加工記録２!$O$3:$P$82, [1]加工記録２!$T$3:$T$82=B5), 7)), "", INDEX(_xlfn._xlws.FILTER([1]加工記録２!$O$3:$P$82, [1]加工記録２!$T$3:$T$82=B5), 7)),"")</f>
        <v>水野</v>
      </c>
      <c r="J45" s="41" t="str">
        <v/>
      </c>
      <c r="K45" s="37"/>
    </row>
    <row r="46" spans="1:14" s="5" customFormat="1" ht="18" customHeight="1" thickBot="1">
      <c r="A46" s="129"/>
      <c r="B46" s="131"/>
      <c r="C46" s="133"/>
      <c r="D46" s="135"/>
      <c r="E46" s="137"/>
      <c r="F46" s="138"/>
      <c r="G46" s="139"/>
      <c r="H46" s="42" t="s">
        <v>69</v>
      </c>
      <c r="I46" s="43" t="str" cm="1">
        <f t="array" ref="I46:J46">IFERROR(IF(ISBLANK(INDEX(_xlfn._xlws.FILTER([1]加工記録２!$O$3:$P$82, [1]加工記録２!$T$3:$T$82=B5), 8)), "", INDEX(_xlfn._xlws.FILTER([1]加工記録２!$O$3:$P$82, [1]加工記録２!$T$3:$T$82=B5), 8)),"")</f>
        <v>富田</v>
      </c>
      <c r="J46" s="44">
        <v>0</v>
      </c>
    </row>
    <row r="47" spans="1:14" s="55" customFormat="1" ht="18.95" customHeight="1">
      <c r="A47" s="45" t="s">
        <v>70</v>
      </c>
      <c r="B47" s="46" t="s">
        <v>71</v>
      </c>
      <c r="C47" s="47" t="s">
        <v>72</v>
      </c>
      <c r="D47" s="47" t="s">
        <v>73</v>
      </c>
      <c r="E47" s="48" t="s">
        <v>74</v>
      </c>
      <c r="F47" s="49" t="s">
        <v>75</v>
      </c>
      <c r="G47" s="50" t="s">
        <v>76</v>
      </c>
      <c r="H47" s="51" t="s">
        <v>77</v>
      </c>
      <c r="I47" s="52" t="s">
        <v>78</v>
      </c>
      <c r="J47" s="53" t="s">
        <v>79</v>
      </c>
      <c r="K47" s="54"/>
      <c r="L47" s="54"/>
      <c r="M47" s="54"/>
      <c r="N47" s="54"/>
    </row>
    <row r="48" spans="1:14" s="66" customFormat="1" ht="18.95" customHeight="1">
      <c r="A48" s="56" t="str" cm="1">
        <f t="array" ref="A48:J48">IFERROR(IF(ISBLANK(INDEX(_xlfn._xlws.FILTER([1]加工記録２!$D$3:$M$82, [1]加工記録２!$T$3:$T$82=B5), 1)), "", INDEX(_xlfn._xlws.FILTER([1]加工記録２!$D$3:$M$82, [1]加工記録２!$T$3:$T$82=B5), 1)),"")</f>
        <v/>
      </c>
      <c r="B48" s="57" t="str">
        <v/>
      </c>
      <c r="C48" s="58" t="str">
        <v/>
      </c>
      <c r="D48" s="58" t="str">
        <v/>
      </c>
      <c r="E48" s="59" t="str">
        <v/>
      </c>
      <c r="F48" s="60" t="str">
        <v>25C31B</v>
      </c>
      <c r="G48" s="61">
        <v>150</v>
      </c>
      <c r="H48" s="62">
        <v>150</v>
      </c>
      <c r="I48" s="63">
        <v>45839</v>
      </c>
      <c r="J48" s="64">
        <v>3</v>
      </c>
      <c r="K48" s="65"/>
      <c r="L48" s="65"/>
      <c r="M48" s="65"/>
      <c r="N48" s="65"/>
    </row>
    <row r="49" spans="1:14" s="66" customFormat="1" ht="18.95" customHeight="1">
      <c r="A49" s="56" cm="1">
        <f t="array" ref="A49:J49">IFERROR(IF(ISBLANK(INDEX(_xlfn._xlws.FILTER([1]加工記録２!$D$3:$M$82, [1]加工記録２!$T$3:$T$82=B5), 2)), "", INDEX(_xlfn._xlws.FILTER([1]加工記録２!$D$3:$M$82, [1]加工記録２!$T$3:$T$82=B5), 2)),"")</f>
        <v>45839</v>
      </c>
      <c r="B49" s="61" t="str">
        <v>25C31B</v>
      </c>
      <c r="C49" s="61" t="str">
        <v/>
      </c>
      <c r="D49" s="61">
        <v>2570</v>
      </c>
      <c r="E49" s="67">
        <v>2571.1999999999998</v>
      </c>
      <c r="F49" s="60" t="str">
        <v/>
      </c>
      <c r="G49" s="61" t="str">
        <v/>
      </c>
      <c r="H49" s="62" t="str">
        <v/>
      </c>
      <c r="I49" s="63" t="str">
        <v/>
      </c>
      <c r="J49" s="64" t="str">
        <v/>
      </c>
      <c r="K49" s="65"/>
      <c r="L49" s="65"/>
      <c r="M49" s="65"/>
      <c r="N49" s="65"/>
    </row>
    <row r="50" spans="1:14" s="66" customFormat="1" ht="18.95" customHeight="1">
      <c r="A50" s="56" cm="1">
        <f t="array" ref="A50:J50">IFERROR(IF(ISBLANK(INDEX(_xlfn._xlws.FILTER([1]加工記録２!$D$3:$M$82, [1]加工記録２!$T$3:$T$82=B5), 3)), "", INDEX(_xlfn._xlws.FILTER([1]加工記録２!$D$3:$M$82, [1]加工記録２!$T$3:$T$82=B5), 3)),"")</f>
        <v>45839</v>
      </c>
      <c r="B50" s="61" t="str">
        <v>25C31B</v>
      </c>
      <c r="C50" s="61" t="str">
        <v/>
      </c>
      <c r="D50" s="61">
        <v>2570</v>
      </c>
      <c r="E50" s="67">
        <v>2571.1999999999998</v>
      </c>
      <c r="F50" s="60" t="str">
        <v/>
      </c>
      <c r="G50" s="61" t="str">
        <v/>
      </c>
      <c r="H50" s="62" t="str">
        <v/>
      </c>
      <c r="I50" s="63" t="str">
        <v/>
      </c>
      <c r="J50" s="64" t="str">
        <v/>
      </c>
      <c r="K50" s="65"/>
      <c r="L50" s="65"/>
      <c r="M50" s="65"/>
      <c r="N50" s="65"/>
    </row>
    <row r="51" spans="1:14" s="66" customFormat="1" ht="18.95" customHeight="1">
      <c r="A51" s="56" t="str" cm="1">
        <f t="array" ref="A51:J51">IFERROR(IF(ISBLANK(INDEX(_xlfn._xlws.FILTER([1]加工記録２!$D$3:$M$82, [1]加工記録２!$T$3:$T$82=B5), 4)), "", INDEX(_xlfn._xlws.FILTER([1]加工記録２!$D$3:$M$82, [1]加工記録２!$T$3:$T$82=B5), 4)),"")</f>
        <v/>
      </c>
      <c r="B51" s="61" t="str">
        <v/>
      </c>
      <c r="C51" s="61" t="str">
        <v/>
      </c>
      <c r="D51" s="61">
        <v>2570</v>
      </c>
      <c r="E51" s="67" t="str">
        <v/>
      </c>
      <c r="F51" s="60" t="str">
        <v/>
      </c>
      <c r="G51" s="61" t="str">
        <v/>
      </c>
      <c r="H51" s="62" t="str">
        <v/>
      </c>
      <c r="I51" s="63" t="str">
        <v/>
      </c>
      <c r="J51" s="64" t="str">
        <v/>
      </c>
      <c r="K51" s="65"/>
      <c r="L51" s="65"/>
      <c r="M51" s="65"/>
      <c r="N51" s="65"/>
    </row>
    <row r="52" spans="1:14" s="66" customFormat="1" ht="18.95" customHeight="1">
      <c r="A52" s="56" t="str" cm="1">
        <f t="array" ref="A52:J52">IFERROR(IF(ISBLANK(INDEX(_xlfn._xlws.FILTER([1]加工記録２!$D$3:$M$82, [1]加工記録２!$T$3:$T$82=B5), 5)), "", INDEX(_xlfn._xlws.FILTER([1]加工記録２!$D$3:$M$82, [1]加工記録２!$T$3:$T$82=B5), 5)),"")</f>
        <v/>
      </c>
      <c r="B52" s="61" t="str">
        <v/>
      </c>
      <c r="C52" s="61" t="str">
        <v/>
      </c>
      <c r="D52" s="61">
        <v>2570</v>
      </c>
      <c r="E52" s="67" t="str">
        <v/>
      </c>
      <c r="F52" s="60" t="str">
        <v/>
      </c>
      <c r="G52" s="61" t="str">
        <v/>
      </c>
      <c r="H52" s="62" t="str">
        <v/>
      </c>
      <c r="I52" s="68" t="str">
        <v/>
      </c>
      <c r="J52" s="69" t="str">
        <v/>
      </c>
      <c r="K52" s="65"/>
      <c r="L52" s="65"/>
      <c r="M52" s="65"/>
      <c r="N52" s="65"/>
    </row>
    <row r="53" spans="1:14" s="66" customFormat="1" ht="18.95" customHeight="1">
      <c r="A53" s="56" t="str" cm="1">
        <f t="array" ref="A53:J53">IFERROR(IF(ISBLANK(INDEX(_xlfn._xlws.FILTER([1]加工記録２!$D$3:$M$82, [1]加工記録２!$T$3:$T$82=B5), 6)), "", INDEX(_xlfn._xlws.FILTER([1]加工記録２!$D$3:$M$82, [1]加工記録２!$T$3:$T$82=B5), 6)),"")</f>
        <v/>
      </c>
      <c r="B53" s="61" t="str">
        <v/>
      </c>
      <c r="C53" s="61" t="str">
        <v/>
      </c>
      <c r="D53" s="61">
        <v>2570</v>
      </c>
      <c r="E53" s="67" t="str">
        <v/>
      </c>
      <c r="F53" s="60" t="str">
        <v/>
      </c>
      <c r="G53" s="61" t="str">
        <v/>
      </c>
      <c r="H53" s="70" t="str">
        <v/>
      </c>
      <c r="I53" s="68" t="str">
        <v/>
      </c>
      <c r="J53" s="69" t="str">
        <v/>
      </c>
      <c r="K53" s="65"/>
      <c r="L53" s="65"/>
      <c r="M53" s="65"/>
      <c r="N53" s="65"/>
    </row>
    <row r="54" spans="1:14" s="66" customFormat="1" ht="18.95" customHeight="1">
      <c r="A54" s="56" t="str" cm="1">
        <f t="array" ref="A54:J54">IFERROR(IF(ISBLANK(INDEX(_xlfn._xlws.FILTER([1]加工記録２!$D$3:$M$82, [1]加工記録２!$T$3:$T$82=B5), 7)), "", INDEX(_xlfn._xlws.FILTER([1]加工記録２!$D$3:$M$82, [1]加工記録２!$T$3:$T$82=B5), 7)),"")</f>
        <v/>
      </c>
      <c r="B54" s="61" t="str">
        <v/>
      </c>
      <c r="C54" s="61" t="str">
        <v/>
      </c>
      <c r="D54" s="61">
        <v>2570</v>
      </c>
      <c r="E54" s="67" t="str">
        <v/>
      </c>
      <c r="F54" s="60" t="str">
        <v/>
      </c>
      <c r="G54" s="61" t="str">
        <v/>
      </c>
      <c r="H54" s="70" t="str">
        <v/>
      </c>
      <c r="I54" s="68" t="str">
        <v/>
      </c>
      <c r="J54" s="69" t="str">
        <v/>
      </c>
      <c r="K54" s="65"/>
      <c r="L54" s="65"/>
      <c r="M54" s="65"/>
      <c r="N54" s="65"/>
    </row>
    <row r="55" spans="1:14" s="66" customFormat="1" ht="18.95" customHeight="1" thickBot="1">
      <c r="A55" s="71" t="str" cm="1">
        <f t="array" ref="A55:J55">IFERROR(IF(ISBLANK(INDEX(_xlfn._xlws.FILTER([1]加工記録２!$D$3:$M$82, [1]加工記録２!$T$3:$T$82=B5), 8)), "", INDEX(_xlfn._xlws.FILTER([1]加工記録２!$D$3:$M$82, [1]加工記録２!$T$3:$T$82=B5), 8)),"")</f>
        <v/>
      </c>
      <c r="B55" s="72" t="str">
        <v/>
      </c>
      <c r="C55" s="72" t="str">
        <v/>
      </c>
      <c r="D55" s="72">
        <v>2570</v>
      </c>
      <c r="E55" s="73" t="str">
        <v/>
      </c>
      <c r="F55" s="74" t="str">
        <v/>
      </c>
      <c r="G55" s="72" t="str">
        <v/>
      </c>
      <c r="H55" s="75" t="str">
        <v/>
      </c>
      <c r="I55" s="76" t="str">
        <v/>
      </c>
      <c r="J55" s="77" t="str">
        <v/>
      </c>
      <c r="K55" s="65"/>
      <c r="L55" s="65"/>
      <c r="M55" s="65"/>
      <c r="N55" s="65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107">
    <mergeCell ref="A45:A46"/>
    <mergeCell ref="B45:B46"/>
    <mergeCell ref="C45:C46"/>
    <mergeCell ref="D45:D46"/>
    <mergeCell ref="E45:G46"/>
    <mergeCell ref="A41:A42"/>
    <mergeCell ref="B41:B42"/>
    <mergeCell ref="C41:C42"/>
    <mergeCell ref="D41:D42"/>
    <mergeCell ref="E41:G42"/>
    <mergeCell ref="A43:A44"/>
    <mergeCell ref="B43:B44"/>
    <mergeCell ref="C43:C44"/>
    <mergeCell ref="D43:D44"/>
    <mergeCell ref="E43:G44"/>
    <mergeCell ref="E38:F38"/>
    <mergeCell ref="H38:I38"/>
    <mergeCell ref="A39:D40"/>
    <mergeCell ref="E39:F40"/>
    <mergeCell ref="H12:H13"/>
    <mergeCell ref="F9:G9"/>
    <mergeCell ref="C33:E33"/>
    <mergeCell ref="B7:B8"/>
    <mergeCell ref="C18:D18"/>
    <mergeCell ref="C35:E35"/>
    <mergeCell ref="A34:B34"/>
    <mergeCell ref="G34:H34"/>
    <mergeCell ref="A33:B33"/>
    <mergeCell ref="A36:B36"/>
    <mergeCell ref="C36:E36"/>
    <mergeCell ref="C37:E37"/>
    <mergeCell ref="A32:B32"/>
    <mergeCell ref="F37:J37"/>
    <mergeCell ref="F20:H20"/>
    <mergeCell ref="I34:J34"/>
    <mergeCell ref="C31:E31"/>
    <mergeCell ref="G39:G40"/>
    <mergeCell ref="B1:D2"/>
    <mergeCell ref="I20:J20"/>
    <mergeCell ref="G12:G13"/>
    <mergeCell ref="C19:D19"/>
    <mergeCell ref="A28:B28"/>
    <mergeCell ref="F21:H21"/>
    <mergeCell ref="C25:E25"/>
    <mergeCell ref="I30:J30"/>
    <mergeCell ref="A30:B30"/>
    <mergeCell ref="B3:B4"/>
    <mergeCell ref="H10:J11"/>
    <mergeCell ref="I32:J32"/>
    <mergeCell ref="A37:B37"/>
    <mergeCell ref="D3:D4"/>
    <mergeCell ref="A15:J15"/>
    <mergeCell ref="F35:J35"/>
    <mergeCell ref="C32:E32"/>
    <mergeCell ref="I19:J19"/>
    <mergeCell ref="A7:A8"/>
    <mergeCell ref="G10:G11"/>
    <mergeCell ref="F22:H22"/>
    <mergeCell ref="A38:D38"/>
    <mergeCell ref="C16:D16"/>
    <mergeCell ref="I16:J16"/>
    <mergeCell ref="I25:J25"/>
    <mergeCell ref="J4:J5"/>
    <mergeCell ref="F33:J33"/>
    <mergeCell ref="F3:H4"/>
    <mergeCell ref="I18:J18"/>
    <mergeCell ref="F7:G7"/>
    <mergeCell ref="F23:H23"/>
    <mergeCell ref="C20:D20"/>
    <mergeCell ref="C22:D22"/>
    <mergeCell ref="F26:J26"/>
    <mergeCell ref="I21:J21"/>
    <mergeCell ref="C28:E28"/>
    <mergeCell ref="C21:D21"/>
    <mergeCell ref="I23:J23"/>
    <mergeCell ref="C30:E30"/>
    <mergeCell ref="C23:D23"/>
    <mergeCell ref="F16:H16"/>
    <mergeCell ref="G32:H32"/>
    <mergeCell ref="C3:C4"/>
    <mergeCell ref="G25:H25"/>
    <mergeCell ref="E3:E4"/>
    <mergeCell ref="F18:H18"/>
    <mergeCell ref="G36:H36"/>
    <mergeCell ref="I36:J36"/>
    <mergeCell ref="C26:D26"/>
    <mergeCell ref="A25:B25"/>
    <mergeCell ref="F31:J31"/>
    <mergeCell ref="C34:E34"/>
    <mergeCell ref="A35:B35"/>
    <mergeCell ref="A3:A4"/>
    <mergeCell ref="G28:H28"/>
    <mergeCell ref="I22:J22"/>
    <mergeCell ref="I28:J28"/>
    <mergeCell ref="A5:A6"/>
    <mergeCell ref="G30:H30"/>
    <mergeCell ref="I4:I5"/>
    <mergeCell ref="A12:C13"/>
    <mergeCell ref="B5:B6"/>
    <mergeCell ref="F19:H19"/>
    <mergeCell ref="A29:B29"/>
    <mergeCell ref="C29:E29"/>
    <mergeCell ref="A31:B31"/>
    <mergeCell ref="E5:E6"/>
    <mergeCell ref="F29:J29"/>
    <mergeCell ref="I12:J13"/>
    <mergeCell ref="F5:H6"/>
  </mergeCells>
  <phoneticPr fontId="2"/>
  <conditionalFormatting sqref="D50:D55">
    <cfRule type="cellIs" dxfId="0" priority="1" operator="equal">
      <formula>$D49</formula>
    </cfRule>
  </conditionalFormatting>
  <pageMargins left="0" right="0" top="0" bottom="0" header="0.51181102362204722" footer="0.51181102362204722"/>
  <pageSetup paperSize="9" scale="75" orientation="portrait"/>
  <headerFooter>
    <oddFooter>&amp;R&amp;P/&amp;N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2024-07-22T04:35:10Z</cp:lastPrinted>
  <dcterms:created xsi:type="dcterms:W3CDTF">2024-07-11T02:08:33Z</dcterms:created>
  <dcterms:modified xsi:type="dcterms:W3CDTF">2025-07-01T22:49:55Z</dcterms:modified>
</cp:coreProperties>
</file>