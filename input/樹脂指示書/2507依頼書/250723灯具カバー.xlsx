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E016DFEE-69C2-4D01-8AFF-7CB77334A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4" i="1" l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E102" i="1"/>
  <c r="D102" i="1"/>
  <c r="B102" i="1"/>
  <c r="E100" i="1"/>
  <c r="D100" i="1"/>
  <c r="B100" i="1"/>
  <c r="E98" i="1"/>
  <c r="D98" i="1"/>
  <c r="B98" i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06" i="1" l="1" a="1"/>
  <c r="A106" i="1" s="1"/>
  <c r="A105" i="1" a="1"/>
  <c r="A105" i="1" s="1"/>
  <c r="A109" i="1" a="1"/>
  <c r="A109" i="1" s="1"/>
  <c r="A110" i="1" a="1"/>
  <c r="A110" i="1" s="1"/>
  <c r="A112" i="1" a="1"/>
  <c r="A112" i="1" s="1"/>
  <c r="G210" i="1" l="1" a="1"/>
  <c r="G210" i="1" s="1"/>
  <c r="E210" i="1" a="1"/>
  <c r="E210" i="1" s="1"/>
  <c r="I103" i="1" a="1"/>
  <c r="I103" i="1" s="1"/>
  <c r="I96" i="1" a="1"/>
  <c r="I96" i="1" s="1"/>
  <c r="I102" i="1" a="1"/>
  <c r="I102" i="1" s="1"/>
  <c r="I101" i="1" a="1"/>
  <c r="I101" i="1" s="1"/>
  <c r="I97" i="1" a="1"/>
  <c r="I97" i="1" s="1"/>
  <c r="I100" i="1" a="1"/>
  <c r="I100" i="1" s="1"/>
  <c r="I99" i="1" a="1"/>
  <c r="I99" i="1" s="1"/>
  <c r="I98" i="1" a="1"/>
  <c r="I98" i="1" s="1"/>
  <c r="A107" i="1" a="1"/>
  <c r="A107" i="1" s="1"/>
  <c r="A108" i="1" a="1"/>
  <c r="A108" i="1" s="1"/>
  <c r="A111" i="1" a="1"/>
  <c r="A1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<sst xmlns="http://schemas.openxmlformats.org/spreadsheetml/2006/main" count="744" uniqueCount="147">
  <si>
    <t>検査梱包指示書</t>
  </si>
  <si>
    <t>品目番号</t>
  </si>
  <si>
    <t>J1ZAFJB00205470</t>
  </si>
  <si>
    <t>Ｌ寸</t>
  </si>
  <si>
    <t>名称</t>
  </si>
  <si>
    <t>463301-2140灯具ｶﾊﾞｰPC IN</t>
  </si>
  <si>
    <t>上長</t>
  </si>
  <si>
    <t>係員</t>
  </si>
  <si>
    <t>製造指図№</t>
  </si>
  <si>
    <t>000000000005612</t>
  </si>
  <si>
    <t>原料名</t>
  </si>
  <si>
    <t>J6VZ041</t>
  </si>
  <si>
    <t>発注明細№</t>
  </si>
  <si>
    <t>000000000775380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</si>
  <si>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</si>
  <si>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</si>
  <si>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</si>
  <si>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</si>
  <si>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</si>
  <si>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</si>
  <si>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</si>
  <si>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</si>
  <si>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</si>
  <si>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</si>
  <si>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</si>
  <si>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*J1ZAFJB00205470*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</si>
  <si>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</si>
  <si>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</si>
  <si>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</si>
  <si>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</si>
  <si>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</si>
  <si>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</si>
  <si>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</si>
  <si>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</si>
  <si>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</si>
  <si>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</si>
  <si>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</si>
  <si>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</si>
  <si>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</si>
  <si>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</si>
  <si>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</si>
  <si>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</si>
  <si>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</si>
  <si>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</si>
  <si>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</si>
  <si>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</si>
  <si>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</si>
  <si>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</si>
  <si>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</si>
  <si>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</si>
  <si>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</si>
  <si>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</si>
  <si>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</si>
  <si>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</si>
  <si>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</si>
  <si>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</si>
  <si>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</si>
  <si>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</si>
  <si>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</si>
  <si>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</si>
  <si>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</si>
  <si>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000000000005613</t>
  </si>
  <si>
    <t>000000000775381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</si>
  <si>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</si>
  <si>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</si>
  <si>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</si>
  <si>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</si>
  <si>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</si>
  <si>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</si>
  <si>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</si>
  <si>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</si>
  <si>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</si>
  <si>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000000000005614</t>
  </si>
  <si>
    <t>000000000775382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</si>
  <si>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</si>
  <si>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</si>
  <si>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</si>
  <si>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</si>
  <si>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</si>
  <si>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</si>
  <si>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000000000005615</t>
  </si>
  <si>
    <t>000000000775383</t>
  </si>
  <si>
    <t>*J1ZAFJB00211835*</t>
  </si>
  <si>
    <t>J1ZAFJA00211835</t>
  </si>
  <si>
    <t>@463301-2050灯具ｶﾊﾞｰPCIN</t>
  </si>
  <si>
    <t>*J1ZAFJA00211835*</t>
  </si>
  <si>
    <t>J1ZAFJB00212585</t>
  </si>
  <si>
    <t>463301-2060灯具ｶﾊﾞｰPC IN</t>
  </si>
  <si>
    <t>000000000005616</t>
  </si>
  <si>
    <t>000000000775384</t>
  </si>
  <si>
    <t>*J1ZAFJB00212585*</t>
  </si>
  <si>
    <t>J1ZAFJA00212585</t>
  </si>
  <si>
    <t>@463301-2060灯具ｶﾊﾞｰPCIN</t>
  </si>
  <si>
    <t>*J1ZAFJA00212585*</t>
  </si>
  <si>
    <t>J1ZAFJB00218150</t>
  </si>
  <si>
    <t>463301-2110灯具ｶﾊﾞｰPC IN</t>
  </si>
  <si>
    <t>000000000005617</t>
  </si>
  <si>
    <t>000000000775385</t>
  </si>
  <si>
    <t>*J1ZAFJB00218150*</t>
  </si>
  <si>
    <t>J1ZAFJA00218150</t>
  </si>
  <si>
    <t>@463301-2110灯具ｶﾊﾞｰPCIN</t>
  </si>
  <si>
    <t>*J1ZAFJA00218150*</t>
  </si>
  <si>
    <t>J1ZAFJB00219230</t>
  </si>
  <si>
    <t>463301-2100灯具ｶﾊﾞｰPC IN</t>
  </si>
  <si>
    <t>000000000005618</t>
  </si>
  <si>
    <t>000000000775386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</si>
  <si>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</si>
  <si>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</si>
  <si>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</si>
  <si>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</si>
  <si>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</si>
  <si>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</si>
  <si>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000000000005619</t>
  </si>
  <si>
    <t>000000000775387</t>
  </si>
  <si>
    <t>*J1ZAFJB00219660*</t>
  </si>
  <si>
    <t>J1ZAFJA00219660</t>
  </si>
  <si>
    <t>@463301-2070灯具ｶﾊﾞｰPCIN</t>
  </si>
  <si>
    <t>*J1ZAFJA00219660*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</si>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</sst>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3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79" fontId="25" fillId="0" borderId="32" xfId="1" applyNumberFormat="1" applyFont="1" applyBorder="1" applyAlignment="1">
      <alignment horizontal="center" vertical="center" shrinkToFit="1"/>
    </xf>
    <xf numFmtId="191" fontId="19" fillId="5" borderId="33" xfId="0" applyNumberFormat="1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2" fontId="15" fillId="0" borderId="25" xfId="0" applyNumberFormat="1" applyFont="1" applyBorder="1" applyAlignment="1">
      <alignment horizontal="center" vertical="center"/>
    </xf>
    <xf numFmtId="193" fontId="15" fillId="0" borderId="38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5" xfId="0" applyNumberFormat="1" applyFont="1" applyBorder="1" applyAlignment="1">
      <alignment horizontal="center" vertical="center"/>
    </xf>
    <xf numFmtId="193" fontId="14" fillId="0" borderId="38" xfId="0" applyNumberFormat="1" applyFont="1" applyBorder="1" applyAlignment="1">
      <alignment horizontal="center" vertical="center"/>
    </xf>
    <xf numFmtId="192" fontId="14" fillId="5" borderId="25" xfId="0" applyNumberFormat="1" applyFont="1" applyFill="1" applyBorder="1" applyAlignment="1">
      <alignment horizontal="center" vertical="center"/>
    </xf>
    <xf numFmtId="193" fontId="14" fillId="5" borderId="38" xfId="0" applyNumberFormat="1" applyFont="1" applyFill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2" fontId="14" fillId="5" borderId="31" xfId="0" applyNumberFormat="1" applyFont="1" applyFill="1" applyBorder="1" applyAlignment="1">
      <alignment horizontal="center" vertical="center"/>
    </xf>
    <xf numFmtId="193" fontId="14" fillId="5" borderId="33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2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3</xdr:row>
      <xdr:rowOff>95250</xdr:rowOff>
    </xdr:from>
    <xdr:to>
      <xdr:col>9</xdr:col>
      <xdr:colOff>619125</xdr:colOff>
      <xdr:row>5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B42744B-0BDA-9ED6-07BE-D42DB58B1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381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60</xdr:row>
      <xdr:rowOff>123825</xdr:rowOff>
    </xdr:from>
    <xdr:to>
      <xdr:col>9</xdr:col>
      <xdr:colOff>638175</xdr:colOff>
      <xdr:row>62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81D6A0-B384-4E75-B219-3A6CA8FBC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138969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117</xdr:row>
      <xdr:rowOff>95250</xdr:rowOff>
    </xdr:from>
    <xdr:to>
      <xdr:col>9</xdr:col>
      <xdr:colOff>600075</xdr:colOff>
      <xdr:row>119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FB62D1-D76E-4BEB-A4CF-7900A3579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270986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174</xdr:row>
      <xdr:rowOff>114300</xdr:rowOff>
    </xdr:from>
    <xdr:to>
      <xdr:col>9</xdr:col>
      <xdr:colOff>628650</xdr:colOff>
      <xdr:row>176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31177D-3F2E-49A4-ACCE-A52A8563B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403479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231</xdr:row>
      <xdr:rowOff>47625</xdr:rowOff>
    </xdr:from>
    <xdr:to>
      <xdr:col>9</xdr:col>
      <xdr:colOff>609600</xdr:colOff>
      <xdr:row>233</xdr:row>
      <xdr:rowOff>95250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DBD712-B8CF-41BB-B585-58AAE3E3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535114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288</xdr:row>
      <xdr:rowOff>104775</xdr:rowOff>
    </xdr:from>
    <xdr:to>
      <xdr:col>9</xdr:col>
      <xdr:colOff>600075</xdr:colOff>
      <xdr:row>290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A63D83-02D3-454F-9825-4F2FBB2B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667988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345</xdr:row>
      <xdr:rowOff>123825</xdr:rowOff>
    </xdr:from>
    <xdr:to>
      <xdr:col>9</xdr:col>
      <xdr:colOff>666750</xdr:colOff>
      <xdr:row>347</xdr:row>
      <xdr:rowOff>171450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39B5B86-6111-42DF-BACE-FFF07A88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800481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402</xdr:row>
      <xdr:rowOff>57150</xdr:rowOff>
    </xdr:from>
    <xdr:to>
      <xdr:col>9</xdr:col>
      <xdr:colOff>600075</xdr:colOff>
      <xdr:row>404</xdr:row>
      <xdr:rowOff>104775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D48F299-8650-4EDB-87BC-CF082EDE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932116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402</xdr:row>
      <xdr:rowOff>76200</xdr:rowOff>
    </xdr:from>
    <xdr:to>
      <xdr:col>8</xdr:col>
      <xdr:colOff>600075</xdr:colOff>
      <xdr:row>404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D9990D4-B2B6-8A9F-D0FF-C2792257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932307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345</xdr:row>
      <xdr:rowOff>66675</xdr:rowOff>
    </xdr:from>
    <xdr:to>
      <xdr:col>8</xdr:col>
      <xdr:colOff>619125</xdr:colOff>
      <xdr:row>347</xdr:row>
      <xdr:rowOff>133350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E9F2335-018C-4434-BF03-0FFE000DC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799909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288</xdr:row>
      <xdr:rowOff>66675</xdr:rowOff>
    </xdr:from>
    <xdr:to>
      <xdr:col>8</xdr:col>
      <xdr:colOff>609600</xdr:colOff>
      <xdr:row>290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63B2C69-6A34-42A1-B6C9-5137DBE79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67607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231</xdr:row>
      <xdr:rowOff>85725</xdr:rowOff>
    </xdr:from>
    <xdr:to>
      <xdr:col>8</xdr:col>
      <xdr:colOff>628650</xdr:colOff>
      <xdr:row>233</xdr:row>
      <xdr:rowOff>152400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7FAB3EC-47CA-4AA7-8C7F-D60ED0B22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535495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174</xdr:row>
      <xdr:rowOff>66675</xdr:rowOff>
    </xdr:from>
    <xdr:to>
      <xdr:col>8</xdr:col>
      <xdr:colOff>600075</xdr:colOff>
      <xdr:row>176</xdr:row>
      <xdr:rowOff>133350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7AA4945-85EF-438E-A97F-B716DC7C8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403002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117</xdr:row>
      <xdr:rowOff>85725</xdr:rowOff>
    </xdr:from>
    <xdr:to>
      <xdr:col>8</xdr:col>
      <xdr:colOff>676275</xdr:colOff>
      <xdr:row>119</xdr:row>
      <xdr:rowOff>152400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EEEC6A8-0FD8-4693-9697-E95DC9D6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270891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104775</xdr:rowOff>
    </xdr:from>
    <xdr:to>
      <xdr:col>8</xdr:col>
      <xdr:colOff>628650</xdr:colOff>
      <xdr:row>62</xdr:row>
      <xdr:rowOff>171450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A741CC6-7AD3-4813-B4F2-E62806BC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779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</xdr:row>
      <xdr:rowOff>104775</xdr:rowOff>
    </xdr:from>
    <xdr:to>
      <xdr:col>8</xdr:col>
      <xdr:colOff>647700</xdr:colOff>
      <xdr:row>5</xdr:row>
      <xdr:rowOff>171450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F7DBA1E-60AC-4CB4-B964-2A086F7CA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47700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8.xlsm" TargetMode="External"/><Relationship Id="rId1" Type="http://schemas.openxmlformats.org/officeDocument/2006/relationships/externalLinkPath" Target="/Users/&#40658;&#37096;&#24037;&#26989;&#65293;&#65328;&#65315;/Desktop/sgt25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Sheet1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J3">
            <v>0</v>
          </cell>
          <cell r="K3">
            <v>0</v>
          </cell>
          <cell r="L3">
            <v>45868</v>
          </cell>
          <cell r="M3">
            <v>2</v>
          </cell>
          <cell r="O3">
            <v>45869</v>
          </cell>
          <cell r="T3" t="str">
            <v>000000000005330-2-3</v>
          </cell>
        </row>
        <row r="4">
          <cell r="D4">
            <v>45868</v>
          </cell>
          <cell r="E4" t="str">
            <v>25G18-03</v>
          </cell>
          <cell r="F4">
            <v>30</v>
          </cell>
          <cell r="G4">
            <v>1997.3</v>
          </cell>
          <cell r="H4">
            <v>1998.2</v>
          </cell>
          <cell r="I4" t="str">
            <v>25G18-03</v>
          </cell>
          <cell r="J4">
            <v>233</v>
          </cell>
          <cell r="K4">
            <v>233</v>
          </cell>
          <cell r="L4">
            <v>45869</v>
          </cell>
          <cell r="M4">
            <v>3</v>
          </cell>
          <cell r="O4">
            <v>210</v>
          </cell>
          <cell r="P4">
            <v>11</v>
          </cell>
          <cell r="T4" t="str">
            <v>000000000005330-2-3</v>
          </cell>
        </row>
        <row r="5">
          <cell r="C5">
            <v>210</v>
          </cell>
          <cell r="D5">
            <v>45868</v>
          </cell>
          <cell r="E5" t="str">
            <v>25G18-03</v>
          </cell>
          <cell r="F5">
            <v>30</v>
          </cell>
          <cell r="G5">
            <v>1997.3</v>
          </cell>
          <cell r="H5">
            <v>1998.6</v>
          </cell>
          <cell r="K5">
            <v>0</v>
          </cell>
          <cell r="O5">
            <v>233</v>
          </cell>
          <cell r="P5">
            <v>12</v>
          </cell>
          <cell r="T5" t="str">
            <v>000000000005330-2-3</v>
          </cell>
        </row>
        <row r="6">
          <cell r="G6" t="str">
            <v/>
          </cell>
          <cell r="K6">
            <v>0</v>
          </cell>
          <cell r="O6">
            <v>23</v>
          </cell>
          <cell r="T6" t="str">
            <v>000000000005330-2-3</v>
          </cell>
        </row>
        <row r="7">
          <cell r="C7">
            <v>1</v>
          </cell>
          <cell r="G7" t="str">
            <v/>
          </cell>
          <cell r="K7">
            <v>0</v>
          </cell>
          <cell r="O7">
            <v>23</v>
          </cell>
          <cell r="T7" t="str">
            <v>000000000005330-2-3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000000000005330-2-3</v>
          </cell>
        </row>
        <row r="9">
          <cell r="C9">
            <v>5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富田・水野</v>
          </cell>
          <cell r="T9" t="str">
            <v>000000000005330-2-3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上野・高森</v>
          </cell>
          <cell r="P10">
            <v>23</v>
          </cell>
          <cell r="T10" t="str">
            <v>000000000005330-2-3</v>
          </cell>
        </row>
        <row r="11">
          <cell r="C11" t="str">
            <v>8FL281304 4810　L=297</v>
          </cell>
          <cell r="D11">
            <v>45862</v>
          </cell>
          <cell r="E11" t="str">
            <v>25G10-03</v>
          </cell>
          <cell r="I11" t="str">
            <v>25G10-03</v>
          </cell>
          <cell r="J11">
            <v>12</v>
          </cell>
          <cell r="K11">
            <v>2</v>
          </cell>
          <cell r="L11">
            <v>45867</v>
          </cell>
          <cell r="M11">
            <v>2</v>
          </cell>
          <cell r="O11">
            <v>45868</v>
          </cell>
          <cell r="T11" t="str">
            <v>000000000005779</v>
          </cell>
        </row>
        <row r="12">
          <cell r="D12">
            <v>45867</v>
          </cell>
          <cell r="E12" t="str">
            <v>25G24-06</v>
          </cell>
          <cell r="F12">
            <v>32</v>
          </cell>
          <cell r="G12">
            <v>297.23</v>
          </cell>
          <cell r="H12">
            <v>297.3</v>
          </cell>
          <cell r="I12" t="str">
            <v>25G24-06</v>
          </cell>
          <cell r="J12">
            <v>259</v>
          </cell>
          <cell r="K12">
            <v>44</v>
          </cell>
          <cell r="L12">
            <v>45868</v>
          </cell>
          <cell r="M12">
            <v>1</v>
          </cell>
          <cell r="O12">
            <v>300</v>
          </cell>
          <cell r="T12" t="str">
            <v>000000000005779</v>
          </cell>
        </row>
        <row r="13">
          <cell r="C13">
            <v>300</v>
          </cell>
          <cell r="D13">
            <v>45867</v>
          </cell>
          <cell r="E13" t="str">
            <v>25G24-06</v>
          </cell>
          <cell r="F13">
            <v>30</v>
          </cell>
          <cell r="G13">
            <v>297.19</v>
          </cell>
          <cell r="H13">
            <v>297.60000000000002</v>
          </cell>
          <cell r="K13">
            <v>0</v>
          </cell>
          <cell r="O13">
            <v>45</v>
          </cell>
          <cell r="T13" t="str">
            <v>000000000005779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000000000005779</v>
          </cell>
        </row>
        <row r="15">
          <cell r="C15">
            <v>6</v>
          </cell>
          <cell r="G15" t="str">
            <v/>
          </cell>
          <cell r="K15">
            <v>0</v>
          </cell>
          <cell r="O15">
            <v>0</v>
          </cell>
          <cell r="T15" t="str">
            <v>000000000005779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M16">
            <v>14</v>
          </cell>
          <cell r="O16">
            <v>29</v>
          </cell>
          <cell r="T16" t="str">
            <v>000000000005779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M17">
            <v>27</v>
          </cell>
          <cell r="O17" t="str">
            <v>水野</v>
          </cell>
          <cell r="T17" t="str">
            <v>000000000005779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上野</v>
          </cell>
          <cell r="P18">
            <v>0</v>
          </cell>
          <cell r="T18" t="str">
            <v>000000000005779</v>
          </cell>
        </row>
        <row r="19">
          <cell r="C19" t="str">
            <v>8FL281304 6110　L=1478</v>
          </cell>
          <cell r="I19">
            <v>0</v>
          </cell>
          <cell r="J19">
            <v>0</v>
          </cell>
          <cell r="K19">
            <v>0</v>
          </cell>
          <cell r="L19">
            <v>45867</v>
          </cell>
          <cell r="M19">
            <v>4</v>
          </cell>
          <cell r="O19">
            <v>45867</v>
          </cell>
          <cell r="T19" t="str">
            <v>000000000005784</v>
          </cell>
        </row>
        <row r="20">
          <cell r="D20">
            <v>45867</v>
          </cell>
          <cell r="E20" t="str">
            <v>25G24-06</v>
          </cell>
          <cell r="F20">
            <v>30</v>
          </cell>
          <cell r="G20">
            <v>1478.96</v>
          </cell>
          <cell r="H20">
            <v>1478.72</v>
          </cell>
          <cell r="I20" t="str">
            <v>25G24-06</v>
          </cell>
          <cell r="J20">
            <v>400</v>
          </cell>
          <cell r="K20">
            <v>400</v>
          </cell>
          <cell r="O20">
            <v>400</v>
          </cell>
          <cell r="T20" t="str">
            <v>000000000005784</v>
          </cell>
        </row>
        <row r="21">
          <cell r="C21">
            <v>400</v>
          </cell>
          <cell r="D21">
            <v>45867</v>
          </cell>
          <cell r="E21" t="str">
            <v>25G24-06</v>
          </cell>
          <cell r="F21">
            <v>32</v>
          </cell>
          <cell r="G21">
            <v>1479.15</v>
          </cell>
          <cell r="H21">
            <v>1478.88</v>
          </cell>
          <cell r="K21">
            <v>0</v>
          </cell>
          <cell r="O21">
            <v>400</v>
          </cell>
          <cell r="T21" t="str">
            <v>000000000005784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000000000005784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000000000005784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000000000005784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000000000005784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</v>
          </cell>
          <cell r="P26">
            <v>0</v>
          </cell>
          <cell r="T26" t="str">
            <v>000000000005784</v>
          </cell>
        </row>
        <row r="27">
          <cell r="C27" t="str">
            <v>8FL281304 8310　L=748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8</v>
          </cell>
          <cell r="K27">
            <v>4</v>
          </cell>
          <cell r="L27">
            <v>45869</v>
          </cell>
          <cell r="M27">
            <v>2</v>
          </cell>
          <cell r="O27">
            <v>45869</v>
          </cell>
          <cell r="T27" t="str">
            <v>000000000005781</v>
          </cell>
        </row>
        <row r="28">
          <cell r="D28">
            <v>45869</v>
          </cell>
          <cell r="E28" t="str">
            <v>25G25-07</v>
          </cell>
          <cell r="F28">
            <v>30</v>
          </cell>
          <cell r="G28">
            <v>748.49</v>
          </cell>
          <cell r="H28">
            <v>748.29</v>
          </cell>
          <cell r="I28" t="str">
            <v>25G25-07</v>
          </cell>
          <cell r="J28">
            <v>192</v>
          </cell>
          <cell r="K28">
            <v>96</v>
          </cell>
          <cell r="O28">
            <v>200</v>
          </cell>
          <cell r="T28" t="str">
            <v>000000000005781</v>
          </cell>
        </row>
        <row r="29">
          <cell r="C29">
            <v>200</v>
          </cell>
          <cell r="D29">
            <v>45869</v>
          </cell>
          <cell r="E29" t="str">
            <v>25G25-07</v>
          </cell>
          <cell r="F29">
            <v>30</v>
          </cell>
          <cell r="G29">
            <v>748.49</v>
          </cell>
          <cell r="H29">
            <v>748.54</v>
          </cell>
          <cell r="K29">
            <v>0</v>
          </cell>
          <cell r="O29">
            <v>100</v>
          </cell>
          <cell r="T29" t="str">
            <v>000000000005781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000000000005781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000000000005781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0</v>
          </cell>
          <cell r="T32" t="str">
            <v>000000000005781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000000000005781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上野</v>
          </cell>
          <cell r="P34">
            <v>0</v>
          </cell>
          <cell r="T34" t="str">
            <v>000000000005781</v>
          </cell>
        </row>
        <row r="35">
          <cell r="C35" t="str">
            <v>8FL281304 5010　L=888</v>
          </cell>
          <cell r="D35">
            <v>45866</v>
          </cell>
          <cell r="E35" t="str">
            <v>25G12-05</v>
          </cell>
          <cell r="I35" t="str">
            <v>25G12-05</v>
          </cell>
          <cell r="J35">
            <v>34</v>
          </cell>
          <cell r="K35">
            <v>17</v>
          </cell>
          <cell r="L35">
            <v>45869</v>
          </cell>
          <cell r="M35">
            <v>6</v>
          </cell>
          <cell r="O35">
            <v>45869</v>
          </cell>
          <cell r="P35">
            <v>1</v>
          </cell>
          <cell r="T35" t="str">
            <v>000000000005783</v>
          </cell>
        </row>
        <row r="36">
          <cell r="D36">
            <v>45869</v>
          </cell>
          <cell r="E36" t="str">
            <v>25G24-06</v>
          </cell>
          <cell r="F36">
            <v>28</v>
          </cell>
          <cell r="G36">
            <v>888.46</v>
          </cell>
          <cell r="H36">
            <v>888.43</v>
          </cell>
          <cell r="I36" t="str">
            <v>25G24-06</v>
          </cell>
          <cell r="J36">
            <v>176</v>
          </cell>
          <cell r="K36">
            <v>88</v>
          </cell>
          <cell r="O36">
            <v>600</v>
          </cell>
          <cell r="T36" t="str">
            <v>000000000005783</v>
          </cell>
        </row>
        <row r="37">
          <cell r="C37">
            <v>600</v>
          </cell>
          <cell r="D37">
            <v>45869</v>
          </cell>
          <cell r="E37" t="str">
            <v>25G25-07</v>
          </cell>
          <cell r="F37">
            <v>30</v>
          </cell>
          <cell r="G37">
            <v>888.58</v>
          </cell>
          <cell r="H37">
            <v>888.63</v>
          </cell>
          <cell r="I37" t="str">
            <v>25G25-07</v>
          </cell>
          <cell r="J37">
            <v>390</v>
          </cell>
          <cell r="K37">
            <v>195</v>
          </cell>
          <cell r="O37">
            <v>300</v>
          </cell>
          <cell r="T37" t="str">
            <v>000000000005783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000000000005783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1</v>
          </cell>
          <cell r="T39" t="str">
            <v>000000000005783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35</v>
          </cell>
          <cell r="O40">
            <v>1</v>
          </cell>
          <cell r="T40" t="str">
            <v>000000000005783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000000000005783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富田・上野</v>
          </cell>
          <cell r="P42">
            <v>1</v>
          </cell>
          <cell r="T42" t="str">
            <v>000000000005783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45869</v>
          </cell>
          <cell r="M43">
            <v>2</v>
          </cell>
          <cell r="O43">
            <v>45873</v>
          </cell>
          <cell r="P43">
            <v>8</v>
          </cell>
          <cell r="T43" t="str">
            <v>000000000005782</v>
          </cell>
        </row>
        <row r="44">
          <cell r="D44">
            <v>45869</v>
          </cell>
          <cell r="E44" t="str">
            <v>25G25-07</v>
          </cell>
          <cell r="F44">
            <v>30</v>
          </cell>
          <cell r="G44">
            <v>888.58</v>
          </cell>
          <cell r="H44">
            <v>888.43</v>
          </cell>
          <cell r="I44" t="str">
            <v>25G25-07</v>
          </cell>
          <cell r="J44">
            <v>1018</v>
          </cell>
          <cell r="K44">
            <v>509</v>
          </cell>
          <cell r="L44">
            <v>45870</v>
          </cell>
          <cell r="M44">
            <v>15</v>
          </cell>
          <cell r="O44">
            <v>2000</v>
          </cell>
          <cell r="T44" t="str">
            <v>000000000005782</v>
          </cell>
        </row>
        <row r="45">
          <cell r="C45">
            <v>2000</v>
          </cell>
          <cell r="D45">
            <v>45869</v>
          </cell>
          <cell r="E45" t="str">
            <v>25G25-07</v>
          </cell>
          <cell r="F45">
            <v>30</v>
          </cell>
          <cell r="G45">
            <v>888.58</v>
          </cell>
          <cell r="H45">
            <v>888.67</v>
          </cell>
          <cell r="I45" t="str">
            <v>25G26-08</v>
          </cell>
          <cell r="J45">
            <v>991</v>
          </cell>
          <cell r="K45">
            <v>496</v>
          </cell>
          <cell r="L45">
            <v>45873</v>
          </cell>
          <cell r="M45">
            <v>3</v>
          </cell>
          <cell r="O45">
            <v>1005</v>
          </cell>
          <cell r="T45" t="str">
            <v>000000000005782</v>
          </cell>
        </row>
        <row r="46">
          <cell r="D46">
            <v>45869</v>
          </cell>
          <cell r="E46" t="str">
            <v>25G26-08</v>
          </cell>
          <cell r="F46">
            <v>30</v>
          </cell>
          <cell r="G46">
            <v>888.58</v>
          </cell>
          <cell r="H46">
            <v>888.63</v>
          </cell>
          <cell r="K46">
            <v>0</v>
          </cell>
          <cell r="O46">
            <v>5</v>
          </cell>
          <cell r="T46" t="str">
            <v>000000000005782</v>
          </cell>
        </row>
        <row r="47">
          <cell r="C47">
            <v>2</v>
          </cell>
          <cell r="D47">
            <v>45870</v>
          </cell>
          <cell r="E47" t="str">
            <v>25G26-08</v>
          </cell>
          <cell r="F47">
            <v>28</v>
          </cell>
          <cell r="G47">
            <v>888.46</v>
          </cell>
          <cell r="H47">
            <v>888.47</v>
          </cell>
          <cell r="K47">
            <v>0</v>
          </cell>
          <cell r="O47">
            <v>9</v>
          </cell>
          <cell r="T47" t="str">
            <v>000000000005782</v>
          </cell>
        </row>
        <row r="48">
          <cell r="C48" t="str">
            <v>LED-A888</v>
          </cell>
          <cell r="D48">
            <v>45870</v>
          </cell>
          <cell r="E48" t="str">
            <v>25G26-08</v>
          </cell>
          <cell r="F48">
            <v>30</v>
          </cell>
          <cell r="G48">
            <v>888.58</v>
          </cell>
          <cell r="H48">
            <v>888.59</v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000000000005782</v>
          </cell>
        </row>
        <row r="49">
          <cell r="C49">
            <v>20</v>
          </cell>
          <cell r="D49">
            <v>45870</v>
          </cell>
          <cell r="E49" t="str">
            <v>25G26-08</v>
          </cell>
          <cell r="F49">
            <v>32</v>
          </cell>
          <cell r="G49">
            <v>888.69</v>
          </cell>
          <cell r="H49">
            <v>888.62</v>
          </cell>
          <cell r="K49">
            <v>0</v>
          </cell>
          <cell r="L49" t="str">
            <v>持出端材</v>
          </cell>
          <cell r="O49" t="str">
            <v>富田・水野</v>
          </cell>
          <cell r="P49">
            <v>1</v>
          </cell>
          <cell r="T49" t="str">
            <v>000000000005782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高森・上野</v>
          </cell>
          <cell r="P50">
            <v>9</v>
          </cell>
          <cell r="T50" t="str">
            <v>000000000005782</v>
          </cell>
        </row>
        <row r="51">
          <cell r="C51" t="str">
            <v>灯具カバーPC IN 2100　L=1923</v>
          </cell>
          <cell r="D51">
            <v>45827</v>
          </cell>
          <cell r="E51" t="str">
            <v>25F12-01</v>
          </cell>
          <cell r="I51" t="str">
            <v>25F12-01</v>
          </cell>
          <cell r="J51">
            <v>1</v>
          </cell>
          <cell r="K51">
            <v>1</v>
          </cell>
          <cell r="L51">
            <v>45873</v>
          </cell>
          <cell r="M51">
            <v>9</v>
          </cell>
          <cell r="O51">
            <v>45874</v>
          </cell>
          <cell r="P51">
            <v>22</v>
          </cell>
          <cell r="T51" t="str">
            <v>000000000005618</v>
          </cell>
        </row>
        <row r="52">
          <cell r="D52">
            <v>45873</v>
          </cell>
          <cell r="E52" t="str">
            <v>25G29-01</v>
          </cell>
          <cell r="G52" t="str">
            <v/>
          </cell>
          <cell r="I52" t="str">
            <v>25G29-01</v>
          </cell>
          <cell r="J52">
            <v>199</v>
          </cell>
          <cell r="K52">
            <v>199</v>
          </cell>
          <cell r="L52">
            <v>45874</v>
          </cell>
          <cell r="M52">
            <v>1</v>
          </cell>
          <cell r="O52">
            <v>160</v>
          </cell>
          <cell r="P52">
            <v>17</v>
          </cell>
          <cell r="T52" t="str">
            <v>000000000005618</v>
          </cell>
        </row>
        <row r="53">
          <cell r="C53">
            <v>160</v>
          </cell>
          <cell r="D53">
            <v>45874</v>
          </cell>
          <cell r="E53" t="str">
            <v>25G29-01</v>
          </cell>
          <cell r="G53" t="str">
            <v/>
          </cell>
          <cell r="K53">
            <v>0</v>
          </cell>
          <cell r="O53">
            <v>200</v>
          </cell>
          <cell r="P53">
            <v>1</v>
          </cell>
          <cell r="T53" t="str">
            <v>000000000005618</v>
          </cell>
        </row>
        <row r="54">
          <cell r="G54" t="str">
            <v/>
          </cell>
          <cell r="K54">
            <v>0</v>
          </cell>
          <cell r="O54">
            <v>40</v>
          </cell>
          <cell r="T54" t="str">
            <v>000000000005618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40</v>
          </cell>
          <cell r="T55" t="str">
            <v>000000000005618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旧品加工</v>
          </cell>
          <cell r="M56">
            <v>1</v>
          </cell>
          <cell r="O56">
            <v>0</v>
          </cell>
          <cell r="T56" t="str">
            <v>000000000005618</v>
          </cell>
        </row>
        <row r="57">
          <cell r="C57">
            <v>10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-</v>
          </cell>
          <cell r="T57" t="str">
            <v>000000000005618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高森・水野</v>
          </cell>
          <cell r="P58">
            <v>40</v>
          </cell>
          <cell r="T58" t="str">
            <v>000000000005618</v>
          </cell>
        </row>
        <row r="59">
          <cell r="C59" t="str">
            <v>灯具カバーPC IN 2110　L=1815</v>
          </cell>
          <cell r="D59">
            <v>45852</v>
          </cell>
          <cell r="E59" t="str">
            <v>25G04-01</v>
          </cell>
          <cell r="I59" t="str">
            <v>25G04-01</v>
          </cell>
          <cell r="J59">
            <v>4</v>
          </cell>
          <cell r="K59">
            <v>4</v>
          </cell>
          <cell r="L59">
            <v>45874</v>
          </cell>
          <cell r="M59">
            <v>9</v>
          </cell>
          <cell r="O59">
            <v>45875</v>
          </cell>
          <cell r="P59">
            <v>44</v>
          </cell>
          <cell r="T59" t="str">
            <v>000000000005617</v>
          </cell>
        </row>
        <row r="60">
          <cell r="D60">
            <v>45874</v>
          </cell>
          <cell r="E60" t="str">
            <v>25G31-03</v>
          </cell>
          <cell r="G60" t="str">
            <v/>
          </cell>
          <cell r="I60" t="str">
            <v>25G31-03</v>
          </cell>
          <cell r="J60">
            <v>140</v>
          </cell>
          <cell r="K60">
            <v>140</v>
          </cell>
          <cell r="L60">
            <v>45875</v>
          </cell>
          <cell r="M60">
            <v>12</v>
          </cell>
          <cell r="O60">
            <v>336</v>
          </cell>
          <cell r="P60">
            <v>22</v>
          </cell>
          <cell r="T60" t="str">
            <v>000000000005617</v>
          </cell>
        </row>
        <row r="61">
          <cell r="C61">
            <v>336</v>
          </cell>
          <cell r="D61">
            <v>45874</v>
          </cell>
          <cell r="E61" t="str">
            <v>25G31-02</v>
          </cell>
          <cell r="G61" t="str">
            <v/>
          </cell>
          <cell r="I61" t="str">
            <v>25G31-02</v>
          </cell>
          <cell r="J61">
            <v>60</v>
          </cell>
          <cell r="K61">
            <v>60</v>
          </cell>
          <cell r="O61">
            <v>402</v>
          </cell>
          <cell r="T61" t="str">
            <v>000000000005617</v>
          </cell>
        </row>
        <row r="62">
          <cell r="D62">
            <v>45875</v>
          </cell>
          <cell r="E62" t="str">
            <v>25G31-01</v>
          </cell>
          <cell r="G62" t="str">
            <v/>
          </cell>
          <cell r="I62" t="str">
            <v>25G31-01</v>
          </cell>
          <cell r="J62">
            <v>198</v>
          </cell>
          <cell r="K62">
            <v>198</v>
          </cell>
          <cell r="O62">
            <v>66</v>
          </cell>
          <cell r="T62" t="str">
            <v>000000000005617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66</v>
          </cell>
          <cell r="T63" t="str">
            <v>000000000005617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000000000005617</v>
          </cell>
        </row>
        <row r="65">
          <cell r="C65">
            <v>21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-</v>
          </cell>
          <cell r="T65" t="str">
            <v>000000000005617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高森・水野</v>
          </cell>
          <cell r="P66">
            <v>66</v>
          </cell>
          <cell r="T66" t="str">
            <v>000000000005617</v>
          </cell>
        </row>
        <row r="67">
          <cell r="C67" t="str">
            <v>灯具カバーPC IN 2050　L=1183.5</v>
          </cell>
          <cell r="I67">
            <v>0</v>
          </cell>
          <cell r="J67">
            <v>0</v>
          </cell>
          <cell r="K67">
            <v>0</v>
          </cell>
          <cell r="L67">
            <v>45876</v>
          </cell>
          <cell r="M67">
            <v>13</v>
          </cell>
          <cell r="O67">
            <v>45877</v>
          </cell>
          <cell r="P67">
            <v>35</v>
          </cell>
          <cell r="T67" t="str">
            <v>000000000005615</v>
          </cell>
        </row>
        <row r="68">
          <cell r="D68">
            <v>45876</v>
          </cell>
          <cell r="E68" t="str">
            <v>25G29-01</v>
          </cell>
          <cell r="G68" t="str">
            <v/>
          </cell>
          <cell r="I68" t="str">
            <v>25G29-01</v>
          </cell>
          <cell r="J68">
            <v>200</v>
          </cell>
          <cell r="K68">
            <v>200</v>
          </cell>
          <cell r="L68">
            <v>45877</v>
          </cell>
          <cell r="M68">
            <v>6</v>
          </cell>
          <cell r="O68">
            <v>304</v>
          </cell>
          <cell r="P68">
            <v>43</v>
          </cell>
          <cell r="T68" t="str">
            <v>000000000005615</v>
          </cell>
        </row>
        <row r="69">
          <cell r="C69">
            <v>304</v>
          </cell>
          <cell r="D69">
            <v>45876</v>
          </cell>
          <cell r="E69" t="str">
            <v>25G30-02</v>
          </cell>
          <cell r="G69" t="str">
            <v/>
          </cell>
          <cell r="I69" t="str">
            <v>25G30-02</v>
          </cell>
          <cell r="J69">
            <v>200</v>
          </cell>
          <cell r="K69">
            <v>200</v>
          </cell>
          <cell r="O69">
            <v>400</v>
          </cell>
          <cell r="P69">
            <v>5</v>
          </cell>
          <cell r="T69" t="str">
            <v>000000000005615</v>
          </cell>
        </row>
        <row r="70">
          <cell r="G70" t="str">
            <v/>
          </cell>
          <cell r="K70">
            <v>0</v>
          </cell>
          <cell r="O70">
            <v>96</v>
          </cell>
          <cell r="T70" t="str">
            <v>000000000005615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96</v>
          </cell>
          <cell r="T71" t="str">
            <v>000000000005615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P72">
            <v>13</v>
          </cell>
          <cell r="T72" t="str">
            <v>000000000005615</v>
          </cell>
        </row>
        <row r="73">
          <cell r="C73">
            <v>19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000000000005615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水野・高森</v>
          </cell>
          <cell r="P74">
            <v>96</v>
          </cell>
          <cell r="T74" t="str">
            <v>000000000005615</v>
          </cell>
        </row>
        <row r="75">
          <cell r="C75" t="str">
            <v>灯具カバーPC IN 2140　L=547</v>
          </cell>
          <cell r="D75">
            <v>45845</v>
          </cell>
          <cell r="E75" t="str">
            <v>25G01-01</v>
          </cell>
          <cell r="I75" t="str">
            <v>25G01-01</v>
          </cell>
          <cell r="J75">
            <v>11</v>
          </cell>
          <cell r="K75">
            <v>11</v>
          </cell>
          <cell r="L75">
            <v>45877</v>
          </cell>
          <cell r="M75">
            <v>7</v>
          </cell>
          <cell r="O75">
            <v>45881</v>
          </cell>
          <cell r="P75">
            <v>15</v>
          </cell>
          <cell r="T75" t="str">
            <v>000000000005612</v>
          </cell>
        </row>
        <row r="76">
          <cell r="D76">
            <v>45877</v>
          </cell>
          <cell r="E76" t="str">
            <v>25G30-01</v>
          </cell>
          <cell r="G76" t="str">
            <v/>
          </cell>
          <cell r="I76" t="str">
            <v>25G30-01</v>
          </cell>
          <cell r="J76">
            <v>196</v>
          </cell>
          <cell r="K76">
            <v>196</v>
          </cell>
          <cell r="L76">
            <v>45881</v>
          </cell>
          <cell r="M76">
            <v>4</v>
          </cell>
          <cell r="O76">
            <v>176</v>
          </cell>
          <cell r="P76">
            <v>11</v>
          </cell>
          <cell r="T76" t="str">
            <v>000000000005612</v>
          </cell>
        </row>
        <row r="77">
          <cell r="C77">
            <v>176</v>
          </cell>
          <cell r="D77">
            <v>45881</v>
          </cell>
          <cell r="E77" t="str">
            <v>25G30-01</v>
          </cell>
          <cell r="G77" t="str">
            <v/>
          </cell>
          <cell r="K77">
            <v>0</v>
          </cell>
          <cell r="O77">
            <v>207</v>
          </cell>
          <cell r="T77" t="str">
            <v>000000000005612</v>
          </cell>
        </row>
        <row r="78">
          <cell r="G78" t="str">
            <v/>
          </cell>
          <cell r="K78">
            <v>0</v>
          </cell>
          <cell r="O78">
            <v>31</v>
          </cell>
          <cell r="T78" t="str">
            <v>000000000005612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31</v>
          </cell>
          <cell r="T79" t="str">
            <v>000000000005612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旧品加工</v>
          </cell>
          <cell r="M80">
            <v>11</v>
          </cell>
          <cell r="O80">
            <v>0</v>
          </cell>
          <cell r="P80">
            <v>5</v>
          </cell>
          <cell r="T80" t="str">
            <v>000000000005612</v>
          </cell>
        </row>
        <row r="81">
          <cell r="C81">
            <v>5.5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000000000005612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水野・高森</v>
          </cell>
          <cell r="P82">
            <v>31</v>
          </cell>
          <cell r="T82" t="str">
            <v>000000000005612</v>
          </cell>
        </row>
        <row r="83">
          <cell r="C83" t="str">
            <v>灯具カバーPC IN 2090　L=840</v>
          </cell>
          <cell r="D83">
            <v>45845</v>
          </cell>
          <cell r="E83" t="str">
            <v>25G02-01</v>
          </cell>
          <cell r="I83" t="str">
            <v>25G02-01</v>
          </cell>
          <cell r="J83">
            <v>9</v>
          </cell>
          <cell r="K83">
            <v>9</v>
          </cell>
          <cell r="L83">
            <v>45881</v>
          </cell>
          <cell r="M83">
            <v>11</v>
          </cell>
          <cell r="O83">
            <v>45881</v>
          </cell>
          <cell r="P83">
            <v>19</v>
          </cell>
          <cell r="T83" t="str">
            <v>000000000005613</v>
          </cell>
        </row>
        <row r="84">
          <cell r="D84">
            <v>45881</v>
          </cell>
          <cell r="E84" t="str">
            <v>25G30-01</v>
          </cell>
          <cell r="G84" t="str">
            <v/>
          </cell>
          <cell r="I84" t="str">
            <v>25G30-01</v>
          </cell>
          <cell r="J84">
            <v>193</v>
          </cell>
          <cell r="K84">
            <v>193</v>
          </cell>
          <cell r="O84">
            <v>176</v>
          </cell>
          <cell r="P84">
            <v>6</v>
          </cell>
          <cell r="T84" t="str">
            <v>000000000005613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202</v>
          </cell>
          <cell r="P85">
            <v>1</v>
          </cell>
          <cell r="T85" t="str">
            <v>000000000005613</v>
          </cell>
        </row>
        <row r="86">
          <cell r="G86" t="str">
            <v/>
          </cell>
          <cell r="K86">
            <v>0</v>
          </cell>
          <cell r="O86">
            <v>26</v>
          </cell>
          <cell r="T86" t="str">
            <v>000000000005613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26</v>
          </cell>
          <cell r="T87" t="str">
            <v>000000000005613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M88">
            <v>9</v>
          </cell>
          <cell r="O88">
            <v>0</v>
          </cell>
          <cell r="T88" t="str">
            <v>000000000005613</v>
          </cell>
        </row>
        <row r="89">
          <cell r="C89">
            <v>5.5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000000000005613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水野・高森</v>
          </cell>
          <cell r="P90">
            <v>26</v>
          </cell>
          <cell r="T90" t="str">
            <v>000000000005613</v>
          </cell>
        </row>
        <row r="91">
          <cell r="C91" t="str">
            <v>灯具カバーPC IN 2070　L=1966</v>
          </cell>
          <cell r="D91">
            <v>45856</v>
          </cell>
          <cell r="E91" t="str">
            <v>25G04-01</v>
          </cell>
          <cell r="I91" t="str">
            <v>25G04-01</v>
          </cell>
          <cell r="J91">
            <v>14</v>
          </cell>
          <cell r="K91">
            <v>14</v>
          </cell>
          <cell r="L91">
            <v>45887</v>
          </cell>
          <cell r="M91">
            <v>11</v>
          </cell>
          <cell r="O91">
            <v>45887</v>
          </cell>
          <cell r="P91">
            <v>16</v>
          </cell>
          <cell r="T91" t="str">
            <v>000000000005619</v>
          </cell>
        </row>
        <row r="92">
          <cell r="D92">
            <v>45887</v>
          </cell>
          <cell r="E92" t="str">
            <v>25H01-01</v>
          </cell>
          <cell r="G92" t="str">
            <v/>
          </cell>
          <cell r="I92" t="str">
            <v>25H01-01</v>
          </cell>
          <cell r="J92">
            <v>184</v>
          </cell>
          <cell r="K92">
            <v>184</v>
          </cell>
          <cell r="O92">
            <v>176</v>
          </cell>
          <cell r="P92">
            <v>6</v>
          </cell>
          <cell r="T92" t="str">
            <v>000000000005619</v>
          </cell>
        </row>
        <row r="93">
          <cell r="C93">
            <v>176</v>
          </cell>
          <cell r="G93" t="str">
            <v/>
          </cell>
          <cell r="K93">
            <v>0</v>
          </cell>
          <cell r="O93">
            <v>198</v>
          </cell>
          <cell r="T93" t="str">
            <v>000000000005619</v>
          </cell>
        </row>
        <row r="94">
          <cell r="G94" t="str">
            <v/>
          </cell>
          <cell r="K94">
            <v>0</v>
          </cell>
          <cell r="O94">
            <v>22</v>
          </cell>
          <cell r="T94" t="str">
            <v>000000000005619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22</v>
          </cell>
          <cell r="T95" t="str">
            <v>000000000005619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14</v>
          </cell>
          <cell r="O96">
            <v>0</v>
          </cell>
          <cell r="T96" t="str">
            <v>000000000005619</v>
          </cell>
        </row>
        <row r="97">
          <cell r="C97">
            <v>11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000000000005619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高森・水野</v>
          </cell>
          <cell r="P98">
            <v>22</v>
          </cell>
          <cell r="T98" t="str">
            <v>000000000005619</v>
          </cell>
        </row>
        <row r="99">
          <cell r="C99" t="str">
            <v>灯具カバーPC IN 2060　L=1258.5</v>
          </cell>
          <cell r="D99">
            <v>45847</v>
          </cell>
          <cell r="E99" t="str">
            <v>25G03-01</v>
          </cell>
          <cell r="I99" t="str">
            <v>25G03-01</v>
          </cell>
          <cell r="J99">
            <v>11</v>
          </cell>
          <cell r="K99">
            <v>11</v>
          </cell>
          <cell r="L99">
            <v>45887</v>
          </cell>
          <cell r="M99">
            <v>1</v>
          </cell>
          <cell r="O99">
            <v>45888</v>
          </cell>
          <cell r="P99">
            <v>9</v>
          </cell>
          <cell r="T99" t="str">
            <v>000000000005616</v>
          </cell>
        </row>
        <row r="100">
          <cell r="D100">
            <v>45887</v>
          </cell>
          <cell r="E100" t="str">
            <v>25G31-01</v>
          </cell>
          <cell r="G100" t="str">
            <v/>
          </cell>
          <cell r="I100" t="str">
            <v>25G31-01</v>
          </cell>
          <cell r="J100">
            <v>198</v>
          </cell>
          <cell r="K100">
            <v>198</v>
          </cell>
          <cell r="L100">
            <v>45888</v>
          </cell>
          <cell r="M100">
            <v>11</v>
          </cell>
          <cell r="O100">
            <v>192</v>
          </cell>
          <cell r="P100">
            <v>6</v>
          </cell>
          <cell r="T100" t="str">
            <v>000000000005616</v>
          </cell>
        </row>
        <row r="101">
          <cell r="C101">
            <v>192</v>
          </cell>
          <cell r="D101">
            <v>45888</v>
          </cell>
          <cell r="E101" t="str">
            <v>25G31-01</v>
          </cell>
          <cell r="G101" t="str">
            <v/>
          </cell>
          <cell r="K101">
            <v>0</v>
          </cell>
          <cell r="O101">
            <v>209</v>
          </cell>
          <cell r="P101">
            <v>2</v>
          </cell>
          <cell r="T101" t="str">
            <v>000000000005616</v>
          </cell>
        </row>
        <row r="102">
          <cell r="G102" t="str">
            <v/>
          </cell>
          <cell r="K102">
            <v>0</v>
          </cell>
          <cell r="O102">
            <v>17</v>
          </cell>
          <cell r="T102" t="str">
            <v>000000000005616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17</v>
          </cell>
          <cell r="T103" t="str">
            <v>000000000005616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11</v>
          </cell>
          <cell r="O104">
            <v>0</v>
          </cell>
          <cell r="T104" t="str">
            <v>000000000005616</v>
          </cell>
        </row>
        <row r="105">
          <cell r="C105">
            <v>12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000000000005616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高森・水野</v>
          </cell>
          <cell r="P106">
            <v>17</v>
          </cell>
          <cell r="T106" t="str">
            <v>000000000005616</v>
          </cell>
        </row>
        <row r="107">
          <cell r="C107" t="str">
            <v>灯具カバーPC IN 2130　L=908</v>
          </cell>
          <cell r="D107">
            <v>45848</v>
          </cell>
          <cell r="E107" t="str">
            <v>25G02-01</v>
          </cell>
          <cell r="I107" t="str">
            <v>25G02-01</v>
          </cell>
          <cell r="J107">
            <v>1</v>
          </cell>
          <cell r="K107">
            <v>1</v>
          </cell>
          <cell r="L107">
            <v>45888</v>
          </cell>
          <cell r="M107">
            <v>4</v>
          </cell>
          <cell r="O107">
            <v>45889</v>
          </cell>
          <cell r="P107">
            <v>15</v>
          </cell>
          <cell r="T107" t="str">
            <v>000000000005614</v>
          </cell>
        </row>
        <row r="108">
          <cell r="D108">
            <v>45888</v>
          </cell>
          <cell r="E108" t="str">
            <v>25G30-01</v>
          </cell>
          <cell r="G108" t="str">
            <v/>
          </cell>
          <cell r="I108" t="str">
            <v>25G30-01</v>
          </cell>
          <cell r="J108">
            <v>199</v>
          </cell>
          <cell r="K108">
            <v>199</v>
          </cell>
          <cell r="L108">
            <v>45889</v>
          </cell>
          <cell r="M108">
            <v>7</v>
          </cell>
          <cell r="O108">
            <v>176</v>
          </cell>
          <cell r="P108">
            <v>9</v>
          </cell>
          <cell r="T108" t="str">
            <v>000000000005614</v>
          </cell>
        </row>
        <row r="109">
          <cell r="C109">
            <v>176</v>
          </cell>
          <cell r="D109">
            <v>45889</v>
          </cell>
          <cell r="E109" t="str">
            <v>25G30-01</v>
          </cell>
          <cell r="G109" t="str">
            <v/>
          </cell>
          <cell r="K109">
            <v>0</v>
          </cell>
          <cell r="O109">
            <v>200</v>
          </cell>
          <cell r="T109" t="str">
            <v>000000000005614</v>
          </cell>
        </row>
        <row r="110">
          <cell r="G110" t="str">
            <v/>
          </cell>
          <cell r="K110">
            <v>0</v>
          </cell>
          <cell r="O110">
            <v>24</v>
          </cell>
          <cell r="T110" t="str">
            <v>000000000005614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24</v>
          </cell>
          <cell r="T111" t="str">
            <v>000000000005614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</v>
          </cell>
          <cell r="O112">
            <v>0</v>
          </cell>
          <cell r="T112" t="str">
            <v>000000000005614</v>
          </cell>
        </row>
        <row r="113">
          <cell r="C113">
            <v>11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000000000005614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高森・水野</v>
          </cell>
          <cell r="P114">
            <v>24</v>
          </cell>
          <cell r="T114" t="str">
            <v>000000000005614</v>
          </cell>
        </row>
        <row r="115">
          <cell r="C115" t="str">
            <v>PK-59827 L=700</v>
          </cell>
          <cell r="I115">
            <v>0</v>
          </cell>
          <cell r="J115">
            <v>0</v>
          </cell>
          <cell r="K115">
            <v>0</v>
          </cell>
          <cell r="O115">
            <v>0</v>
          </cell>
          <cell r="T115" t="str">
            <v>000000000005991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000000000005991</v>
          </cell>
        </row>
        <row r="117">
          <cell r="C117">
            <v>1100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000000000005991</v>
          </cell>
        </row>
        <row r="118">
          <cell r="G118" t="str">
            <v/>
          </cell>
          <cell r="K118">
            <v>0</v>
          </cell>
          <cell r="T118" t="str">
            <v>000000000005991</v>
          </cell>
        </row>
        <row r="119">
          <cell r="C119">
            <v>2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000000000005991</v>
          </cell>
        </row>
        <row r="120">
          <cell r="C120" t="str">
            <v>PK-59827 L=700用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000000000005991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持出端材</v>
          </cell>
          <cell r="T121" t="str">
            <v>000000000005991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P122">
            <v>0</v>
          </cell>
          <cell r="T122" t="str">
            <v>000000000005991</v>
          </cell>
        </row>
        <row r="123">
          <cell r="C123" t="str">
            <v>PK-59827 L=500</v>
          </cell>
          <cell r="I123">
            <v>0</v>
          </cell>
          <cell r="J123">
            <v>0</v>
          </cell>
          <cell r="K123">
            <v>0</v>
          </cell>
          <cell r="O123">
            <v>0</v>
          </cell>
          <cell r="T123" t="str">
            <v>000000000005990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000000000005990</v>
          </cell>
        </row>
        <row r="125">
          <cell r="C125">
            <v>510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000000000005990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000000000005990</v>
          </cell>
        </row>
        <row r="127">
          <cell r="C127">
            <v>3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000000000005990</v>
          </cell>
        </row>
        <row r="128">
          <cell r="C128" t="str">
            <v>PK-59827 L=500用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000000000005990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持出端材</v>
          </cell>
          <cell r="T129" t="str">
            <v>000000000005990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P130">
            <v>0</v>
          </cell>
          <cell r="T130" t="str">
            <v>000000000005990</v>
          </cell>
        </row>
        <row r="131">
          <cell r="C131" t="str">
            <v>8FL281304 6110　L=1478</v>
          </cell>
          <cell r="I131">
            <v>0</v>
          </cell>
          <cell r="J131">
            <v>0</v>
          </cell>
          <cell r="K131">
            <v>0</v>
          </cell>
          <cell r="O131">
            <v>0</v>
          </cell>
          <cell r="T131" t="str">
            <v>000000000006087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000000000006087</v>
          </cell>
        </row>
        <row r="133">
          <cell r="C133">
            <v>1000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000000000006087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000000000006087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000000000006087</v>
          </cell>
        </row>
        <row r="136">
          <cell r="C136" t="str">
            <v>LED-A1478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000000000006087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持出端材</v>
          </cell>
          <cell r="T137" t="str">
            <v>000000000006087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P138">
            <v>0</v>
          </cell>
          <cell r="T138" t="str">
            <v>000000000006087</v>
          </cell>
        </row>
        <row r="139">
          <cell r="C139" t="str">
            <v>8FL281304 4810　L=297</v>
          </cell>
          <cell r="I139">
            <v>0</v>
          </cell>
          <cell r="J139">
            <v>0</v>
          </cell>
          <cell r="K139">
            <v>0</v>
          </cell>
          <cell r="O139">
            <v>0</v>
          </cell>
          <cell r="T139" t="str">
            <v>000000000006082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000000000006082</v>
          </cell>
        </row>
        <row r="141">
          <cell r="C141">
            <v>300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000000000006082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000000000006082</v>
          </cell>
        </row>
        <row r="143">
          <cell r="C143">
            <v>6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000000000006082</v>
          </cell>
        </row>
        <row r="144">
          <cell r="C144" t="str">
            <v>LED-A300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000000000006082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持出端材</v>
          </cell>
          <cell r="T145" t="str">
            <v>000000000006082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P146">
            <v>0</v>
          </cell>
          <cell r="T146" t="str">
            <v>000000000006082</v>
          </cell>
        </row>
        <row r="147">
          <cell r="C147" t="str">
            <v>8FL281304 5010　L=888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000000000006085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000000000006085</v>
          </cell>
        </row>
        <row r="149">
          <cell r="C149">
            <v>1400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000000000006085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000000000006085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000000000006085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000000000006085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000000000006085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000000000006085</v>
          </cell>
        </row>
        <row r="155">
          <cell r="C155" t="str">
            <v>8FL281304 8310　L=748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000000000006084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000000000006084</v>
          </cell>
        </row>
        <row r="157">
          <cell r="C157">
            <v>400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000000000006084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000000000006084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000000000006084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000000000006084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000000000006084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000000000006084</v>
          </cell>
        </row>
        <row r="163">
          <cell r="C163" t="str">
            <v>8FL281304 4910　L=592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000000000006083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000000000006083</v>
          </cell>
        </row>
        <row r="165">
          <cell r="C165">
            <v>300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000000000006083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000000000006083</v>
          </cell>
        </row>
        <row r="167">
          <cell r="C167">
            <v>3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000000000006083</v>
          </cell>
        </row>
        <row r="168">
          <cell r="C168" t="str">
            <v>LED-A592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000000000006083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000000000006083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000000000006083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000000000006086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000000000006086</v>
          </cell>
        </row>
        <row r="173">
          <cell r="C173">
            <v>2000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000000000006086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000000000006086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000000000006086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000000000006086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000000000006086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000000000006086</v>
          </cell>
        </row>
        <row r="179">
          <cell r="C179" t="str">
            <v>8FL281304 4810　L=297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000000000006082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000000000006082</v>
          </cell>
        </row>
        <row r="181">
          <cell r="C181">
            <v>300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000000000006082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000000000006082</v>
          </cell>
        </row>
        <row r="183">
          <cell r="C183">
            <v>6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000000000006082</v>
          </cell>
        </row>
        <row r="184">
          <cell r="C184" t="str">
            <v>LED-A300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000000000006082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000000000006082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000000000006082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6"/>
  <sheetViews>
    <sheetView tabSelected="1" topLeftCell="A379" workbookViewId="0">
      <selection activeCell="A437" sqref="A437:XFD45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26" t="s">
        <v>0</v>
      </c>
      <c r="C1" s="90"/>
      <c r="D1" s="90"/>
      <c r="E1" s="12"/>
      <c r="F1" s="12"/>
      <c r="G1" s="12"/>
      <c r="H1" s="12"/>
      <c r="I1" s="12"/>
      <c r="J1" s="12"/>
    </row>
    <row r="2" spans="1:10" ht="14.25" customHeight="1" thickTop="1">
      <c r="A2" s="13"/>
      <c r="B2" s="90"/>
      <c r="C2" s="90"/>
      <c r="D2" s="90"/>
      <c r="E2" s="13"/>
      <c r="F2" s="13"/>
      <c r="G2" s="13"/>
      <c r="H2" s="13"/>
      <c r="I2" s="13"/>
      <c r="J2" s="13"/>
    </row>
    <row r="3" spans="1:10" ht="14.25" customHeight="1">
      <c r="A3" s="106" t="s">
        <v>1</v>
      </c>
      <c r="B3" s="106" t="s">
        <v>2</v>
      </c>
      <c r="C3" s="106" t="s">
        <v>3</v>
      </c>
      <c r="D3" s="125">
        <v>547</v>
      </c>
      <c r="E3" s="106" t="s">
        <v>4</v>
      </c>
      <c r="F3" s="100" t="s">
        <v>5</v>
      </c>
      <c r="G3" s="90"/>
      <c r="H3" s="94"/>
      <c r="I3" s="14" t="s">
        <v>6</v>
      </c>
      <c r="J3" s="14" t="s">
        <v>7</v>
      </c>
    </row>
    <row r="4" spans="1:10" ht="14.25" customHeight="1">
      <c r="A4" s="90"/>
      <c r="B4" s="90"/>
      <c r="C4" s="90"/>
      <c r="D4" s="90"/>
      <c r="E4" s="90"/>
      <c r="F4" s="90"/>
      <c r="G4" s="90"/>
      <c r="H4" s="94"/>
      <c r="I4" s="101"/>
      <c r="J4" s="101"/>
    </row>
    <row r="5" spans="1:10" ht="17.45" customHeight="1">
      <c r="A5" s="105" t="s">
        <v>8</v>
      </c>
      <c r="B5" s="105" t="s">
        <v>9</v>
      </c>
      <c r="E5" s="105" t="s">
        <v>10</v>
      </c>
      <c r="F5" s="98" t="s">
        <v>11</v>
      </c>
      <c r="G5" s="90"/>
      <c r="H5" s="94"/>
      <c r="I5" s="102"/>
      <c r="J5" s="102"/>
    </row>
    <row r="6" spans="1:10" ht="17.45" customHeight="1">
      <c r="A6" s="90"/>
      <c r="B6" s="90"/>
      <c r="E6" s="90"/>
      <c r="F6" s="90"/>
      <c r="G6" s="90"/>
      <c r="H6" s="94"/>
      <c r="I6" s="15"/>
      <c r="J6" s="15"/>
    </row>
    <row r="7" spans="1:10" ht="17.45" customHeight="1">
      <c r="A7" s="105" t="s">
        <v>12</v>
      </c>
      <c r="B7" s="105" t="s">
        <v>13</v>
      </c>
      <c r="E7" s="2" t="s">
        <v>14</v>
      </c>
      <c r="F7" s="121" t="s">
        <v>15</v>
      </c>
      <c r="G7" s="90"/>
      <c r="H7" s="22"/>
    </row>
    <row r="8" spans="1:10" ht="17.45" customHeight="1">
      <c r="A8" s="90"/>
      <c r="B8" s="90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45890</v>
      </c>
      <c r="E9" s="2" t="s">
        <v>19</v>
      </c>
      <c r="F9" s="92">
        <v>16</v>
      </c>
      <c r="G9" s="90"/>
      <c r="H9" s="22"/>
    </row>
    <row r="10" spans="1:10" ht="17.45" customHeight="1">
      <c r="A10" s="2" t="s">
        <v>20</v>
      </c>
      <c r="B10" s="4">
        <v>45890</v>
      </c>
      <c r="E10" s="2" t="s">
        <v>21</v>
      </c>
      <c r="F10" s="22">
        <v>12</v>
      </c>
      <c r="G10" s="109" t="s">
        <v>22</v>
      </c>
      <c r="H10" s="113">
        <v>192</v>
      </c>
      <c r="I10" s="114"/>
      <c r="J10" s="115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10"/>
      <c r="H11" s="110"/>
      <c r="I11" s="95"/>
      <c r="J11" s="96"/>
    </row>
    <row r="12" spans="1:10" ht="13.5" customHeight="1">
      <c r="A12" s="124" t="s">
        <v>25</v>
      </c>
      <c r="B12" s="90"/>
      <c r="C12" s="90"/>
      <c r="D12" s="21"/>
      <c r="F12" s="3"/>
      <c r="G12" s="120" t="s">
        <v>26</v>
      </c>
      <c r="H12" s="116" t="s">
        <v>27</v>
      </c>
      <c r="I12" s="93" t="s">
        <v>28</v>
      </c>
      <c r="J12" s="94"/>
    </row>
    <row r="13" spans="1:10" ht="13.5" customHeight="1">
      <c r="A13" s="90"/>
      <c r="B13" s="90"/>
      <c r="C13" s="90"/>
      <c r="D13" s="21"/>
      <c r="F13" s="3"/>
      <c r="G13" s="117"/>
      <c r="H13" s="117"/>
      <c r="I13" s="95"/>
      <c r="J13" s="9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4" t="s">
        <v>30</v>
      </c>
      <c r="B16" s="17" t="s">
        <v>31</v>
      </c>
      <c r="C16" s="107" t="s">
        <v>32</v>
      </c>
      <c r="D16" s="108"/>
      <c r="E16" s="17" t="s">
        <v>33</v>
      </c>
      <c r="F16" s="107" t="s">
        <v>34</v>
      </c>
      <c r="G16" s="108"/>
      <c r="H16" s="108"/>
      <c r="I16" s="119" t="s">
        <v>35</v>
      </c>
      <c r="J16" s="10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89" t="s">
        <v>37</v>
      </c>
      <c r="D18" s="111"/>
      <c r="E18" s="25" t="s">
        <v>38</v>
      </c>
      <c r="F18" s="89" t="s">
        <v>39</v>
      </c>
      <c r="G18" s="111"/>
      <c r="H18" s="111"/>
      <c r="I18" s="99"/>
      <c r="J18" s="111"/>
    </row>
    <row r="19" spans="1:10" s="7" customFormat="1" ht="16.5" customHeight="1">
      <c r="A19" s="23">
        <v>1</v>
      </c>
      <c r="B19" s="26" t="s">
        <v>36</v>
      </c>
      <c r="C19" s="89" t="s">
        <v>37</v>
      </c>
      <c r="D19" s="111"/>
      <c r="E19" s="25" t="s">
        <v>40</v>
      </c>
      <c r="F19" s="89" t="s">
        <v>41</v>
      </c>
      <c r="G19" s="111"/>
      <c r="H19" s="111"/>
      <c r="I19" s="99"/>
      <c r="J19" s="111"/>
    </row>
    <row r="20" spans="1:10" s="7" customFormat="1" ht="16.5" customHeight="1">
      <c r="A20" s="23"/>
      <c r="B20" s="26"/>
      <c r="C20" s="89"/>
      <c r="D20" s="111"/>
      <c r="E20" s="25"/>
      <c r="F20" s="89"/>
      <c r="G20" s="111"/>
      <c r="H20" s="111"/>
      <c r="I20" s="99"/>
      <c r="J20" s="111"/>
    </row>
    <row r="21" spans="1:10" s="7" customFormat="1" ht="16.5" customHeight="1">
      <c r="A21" s="23"/>
      <c r="B21" s="26"/>
      <c r="C21" s="89"/>
      <c r="D21" s="111"/>
      <c r="E21" s="25"/>
      <c r="F21" s="89"/>
      <c r="G21" s="111"/>
      <c r="H21" s="111"/>
      <c r="I21" s="99"/>
      <c r="J21" s="111"/>
    </row>
    <row r="22" spans="1:10" s="7" customFormat="1" ht="16.5" customHeight="1">
      <c r="A22" s="23"/>
      <c r="B22" s="26"/>
      <c r="C22" s="89"/>
      <c r="D22" s="111"/>
      <c r="E22" s="25"/>
      <c r="F22" s="89"/>
      <c r="G22" s="111"/>
      <c r="H22" s="111"/>
      <c r="I22" s="99"/>
      <c r="J22" s="111"/>
    </row>
    <row r="23" spans="1:10" s="7" customFormat="1" ht="16.5" customHeight="1">
      <c r="A23" s="23"/>
      <c r="B23" s="26"/>
      <c r="C23" s="89"/>
      <c r="D23" s="111"/>
      <c r="E23" s="25"/>
      <c r="F23" s="89"/>
      <c r="G23" s="111"/>
      <c r="H23" s="111"/>
      <c r="I23" s="99"/>
      <c r="J23" s="111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03" t="s">
        <v>42</v>
      </c>
      <c r="B25" s="104"/>
      <c r="C25" s="103" t="s">
        <v>43</v>
      </c>
      <c r="D25" s="104"/>
      <c r="E25" s="104"/>
      <c r="F25" s="18" t="s">
        <v>44</v>
      </c>
      <c r="G25" s="103" t="s">
        <v>45</v>
      </c>
      <c r="H25" s="104"/>
      <c r="I25" s="103" t="s">
        <v>46</v>
      </c>
      <c r="J25" s="104"/>
    </row>
    <row r="26" spans="1:10" ht="14.25" customHeight="1">
      <c r="A26" s="8"/>
      <c r="B26" s="19"/>
      <c r="C26" s="118" t="s">
        <v>47</v>
      </c>
      <c r="D26" s="95"/>
      <c r="E26" s="19"/>
      <c r="F26" s="118" t="s">
        <v>29</v>
      </c>
      <c r="G26" s="95"/>
      <c r="H26" s="95"/>
      <c r="I26" s="95"/>
      <c r="J26" s="95"/>
    </row>
    <row r="27" spans="1:10">
      <c r="A27" s="9"/>
      <c r="C27" s="7"/>
      <c r="D27" s="7"/>
      <c r="E27" s="7"/>
    </row>
    <row r="28" spans="1:10" s="5" customFormat="1" ht="14.25" customHeight="1">
      <c r="A28" s="89" t="s">
        <v>48</v>
      </c>
      <c r="B28" s="112"/>
      <c r="C28" s="89" t="s">
        <v>49</v>
      </c>
      <c r="D28" s="112"/>
      <c r="E28" s="112"/>
      <c r="F28" s="27" t="s">
        <v>50</v>
      </c>
      <c r="G28" s="97">
        <v>192</v>
      </c>
      <c r="H28" s="112"/>
      <c r="I28" s="97">
        <v>12</v>
      </c>
      <c r="J28" s="112"/>
    </row>
    <row r="29" spans="1:10" s="7" customFormat="1" ht="24.95" customHeight="1">
      <c r="A29" s="91" t="s">
        <v>51</v>
      </c>
      <c r="B29" s="111"/>
      <c r="C29" s="89" t="s">
        <v>11</v>
      </c>
      <c r="D29" s="111"/>
      <c r="E29" s="111"/>
      <c r="F29" s="89"/>
      <c r="G29" s="111"/>
      <c r="H29" s="111"/>
      <c r="I29" s="111"/>
      <c r="J29" s="111"/>
    </row>
    <row r="30" spans="1:10" s="5" customFormat="1" ht="14.25" customHeight="1">
      <c r="A30" s="89" t="s">
        <v>52</v>
      </c>
      <c r="B30" s="112"/>
      <c r="C30" s="89" t="s">
        <v>53</v>
      </c>
      <c r="D30" s="112"/>
      <c r="E30" s="112"/>
      <c r="F30" s="27" t="s">
        <v>27</v>
      </c>
      <c r="G30" s="97">
        <v>12.096</v>
      </c>
      <c r="H30" s="112"/>
      <c r="I30" s="97">
        <v>0.75600000000000001</v>
      </c>
      <c r="J30" s="112"/>
    </row>
    <row r="31" spans="1:10" s="7" customFormat="1" ht="24.95" customHeight="1">
      <c r="A31" s="91" t="s">
        <v>54</v>
      </c>
      <c r="B31" s="111"/>
      <c r="C31" s="89"/>
      <c r="D31" s="111"/>
      <c r="E31" s="111"/>
      <c r="F31" s="89"/>
      <c r="G31" s="111"/>
      <c r="H31" s="111"/>
      <c r="I31" s="111"/>
      <c r="J31" s="111"/>
    </row>
    <row r="32" spans="1:10" s="5" customFormat="1" ht="14.25" customHeight="1">
      <c r="A32" s="89" t="s">
        <v>55</v>
      </c>
      <c r="B32" s="112"/>
      <c r="C32" s="89" t="s">
        <v>56</v>
      </c>
      <c r="D32" s="112"/>
      <c r="E32" s="112"/>
      <c r="F32" s="27"/>
      <c r="G32" s="97">
        <v>0.38400000000000001</v>
      </c>
      <c r="H32" s="112"/>
      <c r="I32" s="97">
        <v>2.4E-2</v>
      </c>
      <c r="J32" s="112"/>
    </row>
    <row r="33" spans="1:14" s="7" customFormat="1" ht="24.95" customHeight="1">
      <c r="A33" s="91" t="s">
        <v>57</v>
      </c>
      <c r="B33" s="111"/>
      <c r="C33" s="89" t="s">
        <v>58</v>
      </c>
      <c r="D33" s="111"/>
      <c r="E33" s="111"/>
      <c r="F33" s="89"/>
      <c r="G33" s="111"/>
      <c r="H33" s="111"/>
      <c r="I33" s="111"/>
      <c r="J33" s="111"/>
    </row>
    <row r="34" spans="1:14" s="5" customFormat="1" ht="14.25" customHeight="1">
      <c r="A34" s="89"/>
      <c r="B34" s="112"/>
      <c r="C34" s="89"/>
      <c r="D34" s="112"/>
      <c r="E34" s="112"/>
      <c r="F34" s="27"/>
      <c r="G34" s="97"/>
      <c r="H34" s="112"/>
      <c r="I34" s="97"/>
      <c r="J34" s="112"/>
    </row>
    <row r="35" spans="1:14" s="7" customFormat="1" ht="24.95" customHeight="1">
      <c r="A35" s="91"/>
      <c r="B35" s="111"/>
      <c r="C35" s="89"/>
      <c r="D35" s="111"/>
      <c r="E35" s="111"/>
      <c r="F35" s="89"/>
      <c r="G35" s="111"/>
      <c r="H35" s="111"/>
      <c r="I35" s="111"/>
      <c r="J35" s="111"/>
    </row>
    <row r="36" spans="1:14" s="5" customFormat="1" ht="14.25" customHeight="1">
      <c r="A36" s="89"/>
      <c r="B36" s="112"/>
      <c r="C36" s="89"/>
      <c r="D36" s="112"/>
      <c r="E36" s="112"/>
      <c r="F36" s="27"/>
      <c r="G36" s="97"/>
      <c r="H36" s="112"/>
      <c r="I36" s="97"/>
      <c r="J36" s="112"/>
    </row>
    <row r="37" spans="1:14" s="7" customFormat="1" ht="24.95" customHeight="1" thickBot="1">
      <c r="A37" s="91"/>
      <c r="B37" s="111"/>
      <c r="C37" s="89"/>
      <c r="D37" s="111"/>
      <c r="E37" s="111"/>
      <c r="F37" s="89"/>
      <c r="G37" s="111"/>
      <c r="H37" s="111"/>
      <c r="I37" s="111"/>
      <c r="J37" s="111"/>
    </row>
    <row r="38" spans="1:14" s="5" customFormat="1" ht="18" customHeight="1">
      <c r="A38" s="144" t="s">
        <v>118</v>
      </c>
      <c r="B38" s="145"/>
      <c r="C38" s="145"/>
      <c r="D38" s="145"/>
      <c r="E38" s="146" t="s">
        <v>119</v>
      </c>
      <c r="F38" s="147"/>
      <c r="G38" s="28" t="s">
        <v>120</v>
      </c>
      <c r="H38" s="148" t="s">
        <v>121</v>
      </c>
      <c r="I38" s="149"/>
      <c r="J38" s="29" t="s">
        <v>122</v>
      </c>
    </row>
    <row r="39" spans="1:14" s="7" customFormat="1" ht="18" customHeight="1">
      <c r="A39" s="150" t="str">
        <f>_xlfn.XLOOKUP(B3,[1]VFDB2!A:A,[1]VFDB2!A:A)</f>
        <v>J1ZAFJB00205470</v>
      </c>
      <c r="B39" s="151"/>
      <c r="C39" s="151"/>
      <c r="D39" s="151"/>
      <c r="E39" s="135" t="str" cm="1">
        <f t="array" ref="E39">IFERROR(IF(ISBLANK(INDEX(_xlfn._xlws.FILTER([1]加工記録２!$C$3:$C$590, [1]加工記録２!$T$3:$T$590=B5), 6)), "", INDEX(_xlfn._xlws.FILTER([1]加工記録２!$C$3:$C$590, [1]加工記録２!$T$3:$T$590=B5), 6)),"")</f>
        <v>灯具-1　L=1370</v>
      </c>
      <c r="F39" s="136"/>
      <c r="G39" s="154" cm="1">
        <f t="array" ref="G39">IFERROR(IF(ISBLANK(INDEX(_xlfn._xlws.FILTER([1]加工記録２!$C$3:$C$590, [1]加工記録２!$T$3:$T$590=B5), 7)), " ", INDEX(_xlfn._xlws.FILTER([1]加工記録２!$C$3:$C$590, [1]加工記録２!$T$3:$T$590=B5), 7))," ")</f>
        <v>5.5</v>
      </c>
      <c r="H39" s="30" t="s">
        <v>123</v>
      </c>
      <c r="I39" s="31" cm="1">
        <f t="array" ref="I39:J39">IFERROR(IF(ISBLANK(INDEX(_xlfn._xlws.FILTER([1]加工記録２!$O$3:$P$590, [1]加工記録２!$T$3:$T$590=B5), 1)), "", INDEX(_xlfn._xlws.FILTER([1]加工記録２!$O$3:$P$590, [1]加工記録２!$T$3:$T$590=B5), 1)),"")</f>
        <v>45881</v>
      </c>
      <c r="J39" s="32">
        <v>15</v>
      </c>
    </row>
    <row r="40" spans="1:14" s="5" customFormat="1" ht="18" customHeight="1">
      <c r="A40" s="152"/>
      <c r="B40" s="153"/>
      <c r="C40" s="153"/>
      <c r="D40" s="153"/>
      <c r="E40" s="135"/>
      <c r="F40" s="136"/>
      <c r="G40" s="154"/>
      <c r="H40" s="30" t="s">
        <v>124</v>
      </c>
      <c r="I40" s="33" cm="1">
        <f t="array" ref="I40:J40">IFERROR(IF(ISBLANK(INDEX(_xlfn._xlws.FILTER([1]加工記録２!$O$3:$P$590, [1]加工記録２!$T$3:$T$590=B5), 2)), "", INDEX(_xlfn._xlws.FILTER([1]加工記録２!$O$3:$P$590, [1]加工記録２!$T$3:$T$590=B5), 2)),"")</f>
        <v>176</v>
      </c>
      <c r="J40" s="34">
        <v>11</v>
      </c>
      <c r="K40" s="35"/>
    </row>
    <row r="41" spans="1:14" s="7" customFormat="1" ht="18" customHeight="1">
      <c r="A41" s="155" t="s">
        <v>125</v>
      </c>
      <c r="B41" s="129" t="str">
        <f>_xlfn.XLOOKUP(B3,[1]VFDB2!A:A,[1]VFDB2!J:J)</f>
        <v>-</v>
      </c>
      <c r="C41" s="131" t="s">
        <v>126</v>
      </c>
      <c r="D41" s="133">
        <f>_xlfn.XLOOKUP(B3,[1]VFDB2!A:A,[1]VFDB2!P:P)</f>
        <v>1</v>
      </c>
      <c r="E41" s="135" t="str">
        <f>_xlfn.XLOOKUP(B3,[1]VFDB2!A:A,[1]VFDB2!V:V)</f>
        <v>梱包箱:1370(592×2)</v>
      </c>
      <c r="F41" s="136"/>
      <c r="G41" s="137"/>
      <c r="H41" s="36" t="s">
        <v>127</v>
      </c>
      <c r="I41" s="33" cm="1">
        <f t="array" ref="I41:J41">IFERROR(IF(ISBLANK(INDEX(_xlfn._xlws.FILTER([1]加工記録２!$O$3:$P$590, [1]加工記録２!$T$3:$T$590=B5), 3)), "", INDEX(_xlfn._xlws.FILTER([1]加工記録２!$O$3:$P$590, [1]加工記録２!$T$3:$T$590=B5), 3)),"")</f>
        <v>207</v>
      </c>
      <c r="J41" s="37" t="str">
        <v/>
      </c>
      <c r="K41" s="38"/>
    </row>
    <row r="42" spans="1:14" s="5" customFormat="1" ht="18" customHeight="1">
      <c r="A42" s="156"/>
      <c r="B42" s="130"/>
      <c r="C42" s="132"/>
      <c r="D42" s="134"/>
      <c r="E42" s="135"/>
      <c r="F42" s="136"/>
      <c r="G42" s="137"/>
      <c r="H42" s="36" t="s">
        <v>128</v>
      </c>
      <c r="I42" s="33" cm="1">
        <f t="array" ref="I42:J42">IFERROR(IF(ISBLANK(INDEX(_xlfn._xlws.FILTER([1]加工記録２!$O$3:$P$590, [1]加工記録２!$T$3:$T$590=B5), 4)), "", INDEX(_xlfn._xlws.FILTER([1]加工記録２!$O$3:$P$590, [1]加工記録２!$T$3:$T$590=B5), 4)),"")</f>
        <v>31</v>
      </c>
      <c r="J42" s="39" t="str">
        <v/>
      </c>
      <c r="K42" s="35"/>
    </row>
    <row r="43" spans="1:14" s="7" customFormat="1" ht="18" customHeight="1">
      <c r="A43" s="127" t="s">
        <v>129</v>
      </c>
      <c r="B43" s="138">
        <f>D3</f>
        <v>547</v>
      </c>
      <c r="C43" s="140" t="s">
        <v>130</v>
      </c>
      <c r="D43" s="142" t="str">
        <f>_xlfn.XLOOKUP(B3,[1]VFDB2!A:A,[1]VFDB2!L:L)</f>
        <v>+2</v>
      </c>
      <c r="E43" s="135" t="str">
        <f>_xlfn.XLOOKUP(B3,[1]VFDB2!A:A,[1]VFDB2!W:W)</f>
        <v>クラフト紙：1370型　1/2</v>
      </c>
      <c r="F43" s="136"/>
      <c r="G43" s="137"/>
      <c r="H43" s="36" t="s">
        <v>131</v>
      </c>
      <c r="I43" s="33" cm="1">
        <f t="array" ref="I43:J43">IFERROR(IF(ISBLANK(INDEX(_xlfn._xlws.FILTER([1]加工記録２!$O$3:$P$590, [1]加工記録２!$T$3:$T$590=B5), 5)), "", INDEX(_xlfn._xlws.FILTER([1]加工記録２!$O$3:$P$590, [1]加工記録２!$T$3:$T$590=B5), 5)),"")</f>
        <v>31</v>
      </c>
      <c r="J43" s="40" t="str">
        <v/>
      </c>
      <c r="K43" s="38"/>
    </row>
    <row r="44" spans="1:14" s="5" customFormat="1" ht="18" customHeight="1">
      <c r="A44" s="128"/>
      <c r="B44" s="139"/>
      <c r="C44" s="141"/>
      <c r="D44" s="143"/>
      <c r="E44" s="135"/>
      <c r="F44" s="136"/>
      <c r="G44" s="137"/>
      <c r="H44" s="36" t="s">
        <v>132</v>
      </c>
      <c r="I44" s="33" cm="1">
        <f t="array" ref="I44:J44">IFERROR(IF(ISBLANK(INDEX(_xlfn._xlws.FILTER([1]加工記録２!$O$3:$P$590, [1]加工記録２!$T$3:$T$590=B5), 6)), "", INDEX(_xlfn._xlws.FILTER([1]加工記録２!$O$3:$P$590, [1]加工記録２!$T$3:$T$590=B5), 6)),"")</f>
        <v>0</v>
      </c>
      <c r="J44" s="41">
        <v>5</v>
      </c>
      <c r="K44" s="35"/>
    </row>
    <row r="45" spans="1:14" s="7" customFormat="1" ht="18" customHeight="1">
      <c r="A45" s="155" t="s">
        <v>133</v>
      </c>
      <c r="B45" s="158" t="str">
        <f>_xlfn.XLOOKUP(B3,[1]VFDB2!A:A,[1]VFDB2!AC:AC)</f>
        <v>換算表確認</v>
      </c>
      <c r="C45" s="160" t="s">
        <v>134</v>
      </c>
      <c r="D45" s="142">
        <f>_xlfn.XLOOKUP(B3,[1]VFDB2!A:A,[1]VFDB2!K:K)</f>
        <v>-2</v>
      </c>
      <c r="E45" s="135" t="str">
        <f>_xlfn.XLOOKUP(B3,[1]VFDB2!A:A,[1]VFDB2!R:R)</f>
        <v>ラベル２枚　長手有　鉢巻無</v>
      </c>
      <c r="F45" s="136"/>
      <c r="G45" s="137"/>
      <c r="H45" s="36" t="s">
        <v>135</v>
      </c>
      <c r="I45" s="33" t="str" cm="1">
        <f t="array" ref="I45:J45">IFERROR(IF(ISBLANK(INDEX(_xlfn._xlws.FILTER([1]加工記録２!$O$3:$P$590, [1]加工記録２!$T$3:$T$590=B5), 7)), "", INDEX(_xlfn._xlws.FILTER([1]加工記録２!$O$3:$P$590, [1]加工記録２!$T$3:$T$590=B5), 7)),"")</f>
        <v>-</v>
      </c>
      <c r="J45" s="42" t="str">
        <v/>
      </c>
      <c r="K45" s="38"/>
    </row>
    <row r="46" spans="1:14" s="5" customFormat="1" ht="18" customHeight="1" thickBot="1">
      <c r="A46" s="157"/>
      <c r="B46" s="159"/>
      <c r="C46" s="161"/>
      <c r="D46" s="162"/>
      <c r="E46" s="163"/>
      <c r="F46" s="164"/>
      <c r="G46" s="165"/>
      <c r="H46" s="43" t="s">
        <v>136</v>
      </c>
      <c r="I46" s="44" t="str" cm="1">
        <f t="array" ref="I46:J46">IFERROR(IF(ISBLANK(INDEX(_xlfn._xlws.FILTER([1]加工記録２!$O$3:$P$590, [1]加工記録２!$T$3:$T$590=B5), 8)), "", INDEX(_xlfn._xlws.FILTER([1]加工記録２!$O$3:$P$590, [1]加工記録２!$T$3:$T$590=B5), 8)),"")</f>
        <v>水野・高森</v>
      </c>
      <c r="J46" s="45">
        <v>31</v>
      </c>
    </row>
    <row r="47" spans="1:14" s="56" customFormat="1" ht="18.95" customHeight="1">
      <c r="A47" s="46" t="s">
        <v>137</v>
      </c>
      <c r="B47" s="47" t="s">
        <v>138</v>
      </c>
      <c r="C47" s="48" t="s">
        <v>139</v>
      </c>
      <c r="D47" s="48" t="s">
        <v>140</v>
      </c>
      <c r="E47" s="49" t="s">
        <v>141</v>
      </c>
      <c r="F47" s="50" t="s">
        <v>142</v>
      </c>
      <c r="G47" s="51" t="s">
        <v>143</v>
      </c>
      <c r="H47" s="52" t="s">
        <v>144</v>
      </c>
      <c r="I47" s="53" t="s">
        <v>145</v>
      </c>
      <c r="J47" s="54" t="s">
        <v>146</v>
      </c>
      <c r="K47" s="55"/>
      <c r="L47" s="55"/>
      <c r="M47" s="55"/>
      <c r="N47" s="55"/>
    </row>
    <row r="48" spans="1:14" s="67" customFormat="1" ht="18.95" customHeight="1">
      <c r="A48" s="57" cm="1">
        <f t="array" ref="A48:J48">IFERROR(IF(ISBLANK(INDEX(_xlfn._xlws.FILTER([1]加工記録２!$D$3:$M$590, [1]加工記録２!$T$3:$T$590=B5), 1)), "", INDEX(_xlfn._xlws.FILTER([1]加工記録２!$D$3:$M$590, [1]加工記録２!$T$3:$T$590=B5), 1)),"")</f>
        <v>45845</v>
      </c>
      <c r="B48" s="58" t="str">
        <v>25G01-01</v>
      </c>
      <c r="C48" s="59" t="str">
        <v/>
      </c>
      <c r="D48" s="59" t="str">
        <v/>
      </c>
      <c r="E48" s="60" t="str">
        <v/>
      </c>
      <c r="F48" s="61" t="str">
        <v>25G01-01</v>
      </c>
      <c r="G48" s="62">
        <v>11</v>
      </c>
      <c r="H48" s="63">
        <v>11</v>
      </c>
      <c r="I48" s="64">
        <v>45877</v>
      </c>
      <c r="J48" s="65">
        <v>7</v>
      </c>
      <c r="K48" s="66"/>
      <c r="L48" s="66"/>
      <c r="M48" s="66"/>
      <c r="N48" s="66"/>
    </row>
    <row r="49" spans="1:14" s="67" customFormat="1" ht="18.95" customHeight="1">
      <c r="A49" s="68" cm="1">
        <f t="array" ref="A49:J49">IFERROR(IF(ISBLANK(INDEX(_xlfn._xlws.FILTER([1]加工記録２!$D$3:$M$590, [1]加工記録２!$T$3:$T$590=B5), 2)), "", INDEX(_xlfn._xlws.FILTER([1]加工記録２!$D$3:$M$590, [1]加工記録２!$T$3:$T$590=B5), 2)),"")</f>
        <v>45877</v>
      </c>
      <c r="B49" s="69" t="str">
        <v>25G30-01</v>
      </c>
      <c r="C49" s="69" t="str">
        <v/>
      </c>
      <c r="D49" s="69" t="str">
        <v/>
      </c>
      <c r="E49" s="70" t="str">
        <v/>
      </c>
      <c r="F49" s="71" t="str">
        <v>25G30-01</v>
      </c>
      <c r="G49" s="72">
        <v>196</v>
      </c>
      <c r="H49" s="73">
        <v>196</v>
      </c>
      <c r="I49" s="64">
        <v>45881</v>
      </c>
      <c r="J49" s="65">
        <v>4</v>
      </c>
      <c r="K49" s="66"/>
      <c r="L49" s="66"/>
      <c r="M49" s="66"/>
      <c r="N49" s="66"/>
    </row>
    <row r="50" spans="1:14" s="67" customFormat="1" ht="18.95" customHeight="1">
      <c r="A50" s="68" cm="1">
        <f t="array" ref="A50:J50">IFERROR(IF(ISBLANK(INDEX(_xlfn._xlws.FILTER([1]加工記録２!$D$3:$M$590, [1]加工記録２!$T$3:$T$590=B5), 3)), "", INDEX(_xlfn._xlws.FILTER([1]加工記録２!$D$3:$M$590, [1]加工記録２!$T$3:$T$590=B5), 3)),"")</f>
        <v>45881</v>
      </c>
      <c r="B50" s="69" t="str">
        <v>25G30-01</v>
      </c>
      <c r="C50" s="69" t="str">
        <v/>
      </c>
      <c r="D50" s="69" t="str">
        <v/>
      </c>
      <c r="E50" s="70" t="str">
        <v/>
      </c>
      <c r="F50" s="71" t="str">
        <v/>
      </c>
      <c r="G50" s="72" t="str">
        <v/>
      </c>
      <c r="H50" s="73">
        <v>0</v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68" t="str" cm="1">
        <f t="array" ref="A51:J51">IFERROR(IF(ISBLANK(INDEX(_xlfn._xlws.FILTER([1]加工記録２!$D$3:$M$590, [1]加工記録２!$T$3:$T$590=B5), 4)), "", INDEX(_xlfn._xlws.FILTER([1]加工記録２!$D$3:$M$590, [1]加工記録２!$T$3:$T$590=B5), 4)),"")</f>
        <v/>
      </c>
      <c r="B51" s="69" t="str">
        <v/>
      </c>
      <c r="C51" s="69" t="str">
        <v/>
      </c>
      <c r="D51" s="69" t="str">
        <v/>
      </c>
      <c r="E51" s="70" t="str">
        <v/>
      </c>
      <c r="F51" s="71" t="str">
        <v/>
      </c>
      <c r="G51" s="72" t="str">
        <v/>
      </c>
      <c r="H51" s="73">
        <v>0</v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68" t="str" cm="1">
        <f t="array" ref="A52:J52">IFERROR(IF(ISBLANK(INDEX(_xlfn._xlws.FILTER([1]加工記録２!$D$3:$M$590, [1]加工記録２!$T$3:$T$590=B5), 5)), "", INDEX(_xlfn._xlws.FILTER([1]加工記録２!$D$3:$M$590, [1]加工記録２!$T$3:$T$590=B5), 5)),"")</f>
        <v/>
      </c>
      <c r="B52" s="69" t="str">
        <v/>
      </c>
      <c r="C52" s="69" t="str">
        <v/>
      </c>
      <c r="D52" s="69" t="str">
        <v/>
      </c>
      <c r="E52" s="70" t="str">
        <v/>
      </c>
      <c r="F52" s="71" t="str">
        <v/>
      </c>
      <c r="G52" s="72" t="str">
        <v/>
      </c>
      <c r="H52" s="73">
        <v>0</v>
      </c>
      <c r="I52" s="74" t="str">
        <v/>
      </c>
      <c r="J52" s="75" t="str">
        <v/>
      </c>
      <c r="K52" s="66"/>
      <c r="L52" s="66"/>
      <c r="M52" s="66"/>
      <c r="N52" s="66"/>
    </row>
    <row r="53" spans="1:14" s="67" customFormat="1" ht="18.95" customHeight="1">
      <c r="A53" s="68" t="str" cm="1">
        <f t="array" ref="A53:J53">IFERROR(IF(ISBLANK(INDEX(_xlfn._xlws.FILTER([1]加工記録２!$D$3:$M$590, [1]加工記録２!$T$3:$T$590=B5), 6)), "", INDEX(_xlfn._xlws.FILTER([1]加工記録２!$D$3:$M$590, [1]加工記録２!$T$3:$T$590=B5), 6)),"")</f>
        <v/>
      </c>
      <c r="B53" s="69" t="str">
        <v/>
      </c>
      <c r="C53" s="69" t="str">
        <v/>
      </c>
      <c r="D53" s="69" t="str">
        <v/>
      </c>
      <c r="E53" s="70" t="str">
        <v/>
      </c>
      <c r="F53" s="71" t="str">
        <v/>
      </c>
      <c r="G53" s="72" t="str">
        <v/>
      </c>
      <c r="H53" s="76">
        <v>0</v>
      </c>
      <c r="I53" s="77" t="str">
        <v>旧品加工</v>
      </c>
      <c r="J53" s="78">
        <v>11</v>
      </c>
      <c r="K53" s="66"/>
      <c r="L53" s="66"/>
      <c r="M53" s="66"/>
      <c r="N53" s="66"/>
    </row>
    <row r="54" spans="1:14" s="67" customFormat="1" ht="18.95" customHeight="1">
      <c r="A54" s="68" t="str" cm="1">
        <f t="array" ref="A54:J54">IFERROR(IF(ISBLANK(INDEX(_xlfn._xlws.FILTER([1]加工記録２!$D$3:$M$590, [1]加工記録２!$T$3:$T$590=B5), 7)), "", INDEX(_xlfn._xlws.FILTER([1]加工記録２!$D$3:$M$590, [1]加工記録２!$T$3:$T$590=B5), 7)),"")</f>
        <v/>
      </c>
      <c r="B54" s="69" t="str">
        <v/>
      </c>
      <c r="C54" s="69" t="str">
        <v/>
      </c>
      <c r="D54" s="69" t="str">
        <v/>
      </c>
      <c r="E54" s="70" t="str">
        <v/>
      </c>
      <c r="F54" s="71" t="str">
        <v/>
      </c>
      <c r="G54" s="72" t="str">
        <v/>
      </c>
      <c r="H54" s="76">
        <v>0</v>
      </c>
      <c r="I54" s="79" t="str">
        <v>持出端材</v>
      </c>
      <c r="J54" s="80" t="str">
        <v/>
      </c>
      <c r="K54" s="66"/>
      <c r="L54" s="66"/>
      <c r="M54" s="66"/>
      <c r="N54" s="66"/>
    </row>
    <row r="55" spans="1:14" s="67" customFormat="1" ht="18.95" customHeight="1" thickBot="1">
      <c r="A55" s="81" t="str" cm="1">
        <f t="array" ref="A55:J55">IFERROR(IF(ISBLANK(INDEX(_xlfn._xlws.FILTER([1]加工記録２!$D$3:$M$590, [1]加工記録２!$T$3:$T$590=B5), 8)), "", INDEX(_xlfn._xlws.FILTER([1]加工記録２!$D$3:$M$590, [1]加工記録２!$T$3:$T$590=B5), 8)),"")</f>
        <v/>
      </c>
      <c r="B55" s="82" t="str">
        <v/>
      </c>
      <c r="C55" s="82" t="str">
        <v/>
      </c>
      <c r="D55" s="82" t="str">
        <v/>
      </c>
      <c r="E55" s="83" t="str">
        <v/>
      </c>
      <c r="F55" s="84" t="str">
        <v/>
      </c>
      <c r="G55" s="85" t="str">
        <v/>
      </c>
      <c r="H55" s="86">
        <v>0</v>
      </c>
      <c r="I55" s="87" t="str">
        <v>α端材</v>
      </c>
      <c r="J55" s="88">
        <v>0</v>
      </c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26" t="s">
        <v>0</v>
      </c>
      <c r="C58" s="90"/>
      <c r="D58" s="90"/>
      <c r="E58" s="12"/>
      <c r="F58" s="12"/>
      <c r="G58" s="12"/>
      <c r="H58" s="12"/>
      <c r="I58" s="12"/>
      <c r="J58" s="12"/>
    </row>
    <row r="59" spans="1:14" ht="14.25" customHeight="1">
      <c r="A59" s="13"/>
      <c r="B59" s="90"/>
      <c r="C59" s="90"/>
      <c r="D59" s="90"/>
      <c r="E59" s="13"/>
      <c r="F59" s="13"/>
      <c r="G59" s="13"/>
      <c r="H59" s="13"/>
      <c r="I59" s="13"/>
      <c r="J59" s="13"/>
    </row>
    <row r="60" spans="1:14" ht="14.25" customHeight="1">
      <c r="A60" s="106" t="s">
        <v>1</v>
      </c>
      <c r="B60" s="106" t="s">
        <v>59</v>
      </c>
      <c r="C60" s="106" t="s">
        <v>3</v>
      </c>
      <c r="D60" s="125">
        <v>840</v>
      </c>
      <c r="E60" s="106" t="s">
        <v>4</v>
      </c>
      <c r="F60" s="100" t="s">
        <v>60</v>
      </c>
      <c r="G60" s="90"/>
      <c r="H60" s="94"/>
      <c r="I60" s="14" t="s">
        <v>6</v>
      </c>
      <c r="J60" s="14" t="s">
        <v>7</v>
      </c>
    </row>
    <row r="61" spans="1:14" ht="14.25" customHeight="1">
      <c r="A61" s="90"/>
      <c r="B61" s="90"/>
      <c r="C61" s="90"/>
      <c r="D61" s="90"/>
      <c r="E61" s="90"/>
      <c r="F61" s="90"/>
      <c r="G61" s="90"/>
      <c r="H61" s="94"/>
      <c r="I61" s="101"/>
      <c r="J61" s="101"/>
    </row>
    <row r="62" spans="1:14" ht="17.45" customHeight="1">
      <c r="A62" s="105" t="s">
        <v>8</v>
      </c>
      <c r="B62" s="105" t="s">
        <v>61</v>
      </c>
      <c r="E62" s="105" t="s">
        <v>10</v>
      </c>
      <c r="F62" s="98" t="s">
        <v>11</v>
      </c>
      <c r="G62" s="90"/>
      <c r="H62" s="94"/>
      <c r="I62" s="102"/>
      <c r="J62" s="102"/>
    </row>
    <row r="63" spans="1:14" ht="17.45" customHeight="1">
      <c r="A63" s="90"/>
      <c r="B63" s="90"/>
      <c r="E63" s="90"/>
      <c r="F63" s="90"/>
      <c r="G63" s="90"/>
      <c r="H63" s="94"/>
      <c r="I63" s="15"/>
      <c r="J63" s="15"/>
    </row>
    <row r="64" spans="1:14" ht="17.45" customHeight="1">
      <c r="A64" s="105" t="s">
        <v>12</v>
      </c>
      <c r="B64" s="105" t="s">
        <v>62</v>
      </c>
      <c r="E64" s="2" t="s">
        <v>14</v>
      </c>
      <c r="F64" s="121" t="s">
        <v>15</v>
      </c>
      <c r="G64" s="90"/>
      <c r="H64" s="22"/>
    </row>
    <row r="65" spans="1:10" ht="17.45" customHeight="1">
      <c r="A65" s="90"/>
      <c r="B65" s="90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45891</v>
      </c>
      <c r="E66" s="2" t="s">
        <v>19</v>
      </c>
      <c r="F66" s="92">
        <v>16</v>
      </c>
      <c r="G66" s="90"/>
      <c r="H66" s="22"/>
    </row>
    <row r="67" spans="1:10" ht="17.45" customHeight="1">
      <c r="A67" s="2" t="s">
        <v>20</v>
      </c>
      <c r="B67" s="4">
        <v>45891</v>
      </c>
      <c r="E67" s="2" t="s">
        <v>21</v>
      </c>
      <c r="F67" s="22">
        <v>12</v>
      </c>
      <c r="G67" s="109" t="s">
        <v>22</v>
      </c>
      <c r="H67" s="113">
        <v>192</v>
      </c>
      <c r="I67" s="114"/>
      <c r="J67" s="115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10"/>
      <c r="H68" s="110"/>
      <c r="I68" s="95"/>
      <c r="J68" s="96"/>
    </row>
    <row r="69" spans="1:10" ht="13.5" customHeight="1">
      <c r="A69" s="124" t="s">
        <v>63</v>
      </c>
      <c r="B69" s="90"/>
      <c r="C69" s="90"/>
      <c r="D69" s="21"/>
      <c r="F69" s="3"/>
      <c r="G69" s="120" t="s">
        <v>26</v>
      </c>
      <c r="H69" s="116" t="s">
        <v>27</v>
      </c>
      <c r="I69" s="93" t="s">
        <v>28</v>
      </c>
      <c r="J69" s="94"/>
    </row>
    <row r="70" spans="1:10" ht="13.5" customHeight="1">
      <c r="A70" s="90"/>
      <c r="B70" s="90"/>
      <c r="C70" s="90"/>
      <c r="D70" s="21"/>
      <c r="F70" s="3"/>
      <c r="G70" s="117"/>
      <c r="H70" s="117"/>
      <c r="I70" s="95"/>
      <c r="J70" s="96"/>
    </row>
    <row r="71" spans="1:10" ht="13.5" customHeight="1">
      <c r="A71" s="1" t="s">
        <v>29</v>
      </c>
    </row>
    <row r="72" spans="1:10" ht="63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</row>
    <row r="73" spans="1:10" ht="18.75">
      <c r="A73" s="24" t="s">
        <v>30</v>
      </c>
      <c r="B73" s="17" t="s">
        <v>31</v>
      </c>
      <c r="C73" s="107" t="s">
        <v>32</v>
      </c>
      <c r="D73" s="108"/>
      <c r="E73" s="17" t="s">
        <v>33</v>
      </c>
      <c r="F73" s="107" t="s">
        <v>34</v>
      </c>
      <c r="G73" s="108"/>
      <c r="H73" s="108"/>
      <c r="I73" s="119" t="s">
        <v>35</v>
      </c>
      <c r="J73" s="10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89" t="s">
        <v>37</v>
      </c>
      <c r="D75" s="90"/>
      <c r="E75" s="25" t="s">
        <v>38</v>
      </c>
      <c r="F75" s="89" t="s">
        <v>39</v>
      </c>
      <c r="G75" s="90"/>
      <c r="H75" s="90"/>
      <c r="I75" s="99"/>
      <c r="J75" s="90"/>
    </row>
    <row r="76" spans="1:10" ht="16.5" customHeight="1">
      <c r="A76" s="23">
        <v>1</v>
      </c>
      <c r="B76" s="26" t="s">
        <v>36</v>
      </c>
      <c r="C76" s="89" t="s">
        <v>37</v>
      </c>
      <c r="D76" s="90"/>
      <c r="E76" s="25" t="s">
        <v>40</v>
      </c>
      <c r="F76" s="89" t="s">
        <v>41</v>
      </c>
      <c r="G76" s="90"/>
      <c r="H76" s="90"/>
      <c r="I76" s="99"/>
      <c r="J76" s="90"/>
    </row>
    <row r="77" spans="1:10" ht="16.5" customHeight="1">
      <c r="A77" s="23"/>
      <c r="B77" s="26"/>
      <c r="C77" s="89"/>
      <c r="D77" s="90"/>
      <c r="E77" s="25"/>
      <c r="F77" s="89"/>
      <c r="G77" s="90"/>
      <c r="H77" s="90"/>
      <c r="I77" s="99"/>
      <c r="J77" s="90"/>
    </row>
    <row r="78" spans="1:10" ht="16.5" customHeight="1">
      <c r="A78" s="23"/>
      <c r="B78" s="26"/>
      <c r="C78" s="89"/>
      <c r="D78" s="90"/>
      <c r="E78" s="25"/>
      <c r="F78" s="89"/>
      <c r="G78" s="90"/>
      <c r="H78" s="90"/>
      <c r="I78" s="99"/>
      <c r="J78" s="90"/>
    </row>
    <row r="79" spans="1:10" ht="16.5" customHeight="1">
      <c r="A79" s="23"/>
      <c r="B79" s="26"/>
      <c r="C79" s="89"/>
      <c r="D79" s="90"/>
      <c r="E79" s="25"/>
      <c r="F79" s="89"/>
      <c r="G79" s="90"/>
      <c r="H79" s="90"/>
      <c r="I79" s="99"/>
      <c r="J79" s="90"/>
    </row>
    <row r="80" spans="1:10" ht="16.5" customHeight="1">
      <c r="A80" s="23"/>
      <c r="B80" s="26"/>
      <c r="C80" s="89"/>
      <c r="D80" s="90"/>
      <c r="E80" s="25"/>
      <c r="F80" s="89"/>
      <c r="G80" s="90"/>
      <c r="H80" s="90"/>
      <c r="I80" s="99"/>
      <c r="J80" s="90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03" t="s">
        <v>42</v>
      </c>
      <c r="B82" s="104"/>
      <c r="C82" s="103" t="s">
        <v>43</v>
      </c>
      <c r="D82" s="104"/>
      <c r="E82" s="104"/>
      <c r="F82" s="18" t="s">
        <v>44</v>
      </c>
      <c r="G82" s="103" t="s">
        <v>45</v>
      </c>
      <c r="H82" s="104"/>
      <c r="I82" s="103" t="s">
        <v>46</v>
      </c>
      <c r="J82" s="104"/>
    </row>
    <row r="83" spans="1:10" ht="14.25" customHeight="1">
      <c r="A83" s="8"/>
      <c r="B83" s="19"/>
      <c r="C83" s="118" t="s">
        <v>47</v>
      </c>
      <c r="D83" s="95"/>
      <c r="E83" s="19"/>
      <c r="F83" s="118" t="s">
        <v>29</v>
      </c>
      <c r="G83" s="95"/>
      <c r="H83" s="95"/>
      <c r="I83" s="95"/>
      <c r="J83" s="95"/>
    </row>
    <row r="84" spans="1:10">
      <c r="A84" s="9"/>
      <c r="C84" s="7"/>
      <c r="D84" s="7"/>
      <c r="E84" s="7"/>
    </row>
    <row r="85" spans="1:10" ht="14.25" customHeight="1">
      <c r="A85" s="89" t="s">
        <v>64</v>
      </c>
      <c r="B85" s="90"/>
      <c r="C85" s="89" t="s">
        <v>65</v>
      </c>
      <c r="D85" s="90"/>
      <c r="E85" s="90"/>
      <c r="F85" s="27" t="s">
        <v>50</v>
      </c>
      <c r="G85" s="97">
        <v>192</v>
      </c>
      <c r="H85" s="90"/>
      <c r="I85" s="97">
        <v>12</v>
      </c>
      <c r="J85" s="90"/>
    </row>
    <row r="86" spans="1:10" ht="24.95" customHeight="1">
      <c r="A86" s="91" t="s">
        <v>66</v>
      </c>
      <c r="B86" s="90"/>
      <c r="C86" s="89" t="s">
        <v>11</v>
      </c>
      <c r="D86" s="90"/>
      <c r="E86" s="90"/>
      <c r="F86" s="89"/>
      <c r="G86" s="90"/>
      <c r="H86" s="90"/>
      <c r="I86" s="90"/>
      <c r="J86" s="90"/>
    </row>
    <row r="87" spans="1:10" ht="14.25" customHeight="1">
      <c r="A87" s="89" t="s">
        <v>67</v>
      </c>
      <c r="B87" s="90"/>
      <c r="C87" s="89" t="s">
        <v>68</v>
      </c>
      <c r="D87" s="90"/>
      <c r="E87" s="90"/>
      <c r="F87" s="27" t="s">
        <v>27</v>
      </c>
      <c r="G87" s="97">
        <v>5.952</v>
      </c>
      <c r="H87" s="90"/>
      <c r="I87" s="97">
        <v>0.372</v>
      </c>
      <c r="J87" s="90"/>
    </row>
    <row r="88" spans="1:10" ht="24.95" customHeight="1">
      <c r="A88" s="91" t="s">
        <v>69</v>
      </c>
      <c r="B88" s="90"/>
      <c r="C88" s="89"/>
      <c r="D88" s="90"/>
      <c r="E88" s="90"/>
      <c r="F88" s="89"/>
      <c r="G88" s="90"/>
      <c r="H88" s="90"/>
      <c r="I88" s="90"/>
      <c r="J88" s="90"/>
    </row>
    <row r="89" spans="1:10" ht="14.25" customHeight="1">
      <c r="A89" s="89" t="s">
        <v>55</v>
      </c>
      <c r="B89" s="90"/>
      <c r="C89" s="89" t="s">
        <v>56</v>
      </c>
      <c r="D89" s="90"/>
      <c r="E89" s="90"/>
      <c r="F89" s="27"/>
      <c r="G89" s="97">
        <v>0.57599999999999996</v>
      </c>
      <c r="H89" s="90"/>
      <c r="I89" s="97">
        <v>3.5999999999999997E-2</v>
      </c>
      <c r="J89" s="90"/>
    </row>
    <row r="90" spans="1:10" ht="24.95" customHeight="1">
      <c r="A90" s="91" t="s">
        <v>57</v>
      </c>
      <c r="B90" s="90"/>
      <c r="C90" s="89" t="s">
        <v>58</v>
      </c>
      <c r="D90" s="90"/>
      <c r="E90" s="90"/>
      <c r="F90" s="89"/>
      <c r="G90" s="90"/>
      <c r="H90" s="90"/>
      <c r="I90" s="90"/>
      <c r="J90" s="90"/>
    </row>
    <row r="91" spans="1:10" ht="14.25" customHeight="1">
      <c r="A91" s="89"/>
      <c r="B91" s="90"/>
      <c r="C91" s="89"/>
      <c r="D91" s="90"/>
      <c r="E91" s="90"/>
      <c r="F91" s="27"/>
      <c r="G91" s="97"/>
      <c r="H91" s="90"/>
      <c r="I91" s="97"/>
      <c r="J91" s="90"/>
    </row>
    <row r="92" spans="1:10" ht="24.95" customHeight="1">
      <c r="A92" s="91"/>
      <c r="B92" s="90"/>
      <c r="C92" s="89"/>
      <c r="D92" s="90"/>
      <c r="E92" s="90"/>
      <c r="F92" s="89"/>
      <c r="G92" s="90"/>
      <c r="H92" s="90"/>
      <c r="I92" s="90"/>
      <c r="J92" s="90"/>
    </row>
    <row r="93" spans="1:10" ht="14.25" customHeight="1">
      <c r="A93" s="89"/>
      <c r="B93" s="90"/>
      <c r="C93" s="89"/>
      <c r="D93" s="90"/>
      <c r="E93" s="90"/>
      <c r="F93" s="27"/>
      <c r="G93" s="97"/>
      <c r="H93" s="90"/>
      <c r="I93" s="97"/>
      <c r="J93" s="90"/>
    </row>
    <row r="94" spans="1:10" ht="24.95" customHeight="1" thickBot="1">
      <c r="A94" s="91"/>
      <c r="B94" s="90"/>
      <c r="C94" s="89"/>
      <c r="D94" s="90"/>
      <c r="E94" s="90"/>
      <c r="F94" s="89"/>
      <c r="G94" s="90"/>
      <c r="H94" s="90"/>
      <c r="I94" s="90"/>
      <c r="J94" s="90"/>
    </row>
    <row r="95" spans="1:10" s="5" customFormat="1" ht="18" customHeight="1">
      <c r="A95" s="144" t="s">
        <v>118</v>
      </c>
      <c r="B95" s="145"/>
      <c r="C95" s="145"/>
      <c r="D95" s="145"/>
      <c r="E95" s="146" t="s">
        <v>119</v>
      </c>
      <c r="F95" s="147"/>
      <c r="G95" s="28" t="s">
        <v>120</v>
      </c>
      <c r="H95" s="148" t="s">
        <v>121</v>
      </c>
      <c r="I95" s="149"/>
      <c r="J95" s="29" t="s">
        <v>122</v>
      </c>
    </row>
    <row r="96" spans="1:10" s="7" customFormat="1" ht="18" customHeight="1">
      <c r="A96" s="150" t="str">
        <f>_xlfn.XLOOKUP(B60,[1]VFDB2!A:A,[1]VFDB2!A:A)</f>
        <v>J1ZAFJB00208400</v>
      </c>
      <c r="B96" s="151"/>
      <c r="C96" s="151"/>
      <c r="D96" s="151"/>
      <c r="E96" s="135" t="str" cm="1">
        <f t="array" ref="E96">IFERROR(IF(ISBLANK(INDEX(_xlfn._xlws.FILTER([1]加工記録２!$C$3:$C$590, [1]加工記録２!$T$3:$T$590=B62), 6)), "", INDEX(_xlfn._xlws.FILTER([1]加工記録２!$C$3:$C$590, [1]加工記録２!$T$3:$T$590=B62), 6)),"")</f>
        <v>灯具-2　L＝1996</v>
      </c>
      <c r="F96" s="136"/>
      <c r="G96" s="154" cm="1">
        <f t="array" ref="G96">IFERROR(IF(ISBLANK(INDEX(_xlfn._xlws.FILTER([1]加工記録２!$C$3:$C$590, [1]加工記録２!$T$3:$T$590=B62), 7)), " ", INDEX(_xlfn._xlws.FILTER([1]加工記録２!$C$3:$C$590, [1]加工記録２!$T$3:$T$590=B62), 7))," ")</f>
        <v>5.5</v>
      </c>
      <c r="H96" s="30" t="s">
        <v>123</v>
      </c>
      <c r="I96" s="31" cm="1">
        <f t="array" ref="I96:J96">IFERROR(IF(ISBLANK(INDEX(_xlfn._xlws.FILTER([1]加工記録２!$O$3:$P$590, [1]加工記録２!$T$3:$T$590=B62), 1)), "", INDEX(_xlfn._xlws.FILTER([1]加工記録２!$O$3:$P$590, [1]加工記録２!$T$3:$T$590=B62), 1)),"")</f>
        <v>45881</v>
      </c>
      <c r="J96" s="32">
        <v>19</v>
      </c>
    </row>
    <row r="97" spans="1:14" s="5" customFormat="1" ht="18" customHeight="1">
      <c r="A97" s="152"/>
      <c r="B97" s="153"/>
      <c r="C97" s="153"/>
      <c r="D97" s="153"/>
      <c r="E97" s="135"/>
      <c r="F97" s="136"/>
      <c r="G97" s="154"/>
      <c r="H97" s="30" t="s">
        <v>124</v>
      </c>
      <c r="I97" s="33" cm="1">
        <f t="array" ref="I97:J97">IFERROR(IF(ISBLANK(INDEX(_xlfn._xlws.FILTER([1]加工記録２!$O$3:$P$590, [1]加工記録２!$T$3:$T$590=B62), 2)), "", INDEX(_xlfn._xlws.FILTER([1]加工記録２!$O$3:$P$590, [1]加工記録２!$T$3:$T$590=B62), 2)),"")</f>
        <v>176</v>
      </c>
      <c r="J97" s="34">
        <v>6</v>
      </c>
      <c r="K97" s="35"/>
    </row>
    <row r="98" spans="1:14" s="7" customFormat="1" ht="18" customHeight="1">
      <c r="A98" s="155" t="s">
        <v>125</v>
      </c>
      <c r="B98" s="129" t="str">
        <f>_xlfn.XLOOKUP(B60,[1]VFDB2!A:A,[1]VFDB2!J:J)</f>
        <v>-</v>
      </c>
      <c r="C98" s="131" t="s">
        <v>126</v>
      </c>
      <c r="D98" s="133">
        <f>_xlfn.XLOOKUP(B60,[1]VFDB2!A:A,[1]VFDB2!P:P)</f>
        <v>1</v>
      </c>
      <c r="E98" s="135" t="str">
        <f>_xlfn.XLOOKUP(B60,[1]VFDB2!A:A,[1]VFDB2!V:V)</f>
        <v>梱包:1996(840×2)</v>
      </c>
      <c r="F98" s="136"/>
      <c r="G98" s="137"/>
      <c r="H98" s="36" t="s">
        <v>127</v>
      </c>
      <c r="I98" s="33" cm="1">
        <f t="array" ref="I98:J98">IFERROR(IF(ISBLANK(INDEX(_xlfn._xlws.FILTER([1]加工記録２!$O$3:$P$590, [1]加工記録２!$T$3:$T$590=B62), 3)), "", INDEX(_xlfn._xlws.FILTER([1]加工記録２!$O$3:$P$590, [1]加工記録２!$T$3:$T$590=B62), 3)),"")</f>
        <v>202</v>
      </c>
      <c r="J98" s="37">
        <v>1</v>
      </c>
      <c r="K98" s="38"/>
    </row>
    <row r="99" spans="1:14" s="5" customFormat="1" ht="18" customHeight="1">
      <c r="A99" s="156"/>
      <c r="B99" s="130"/>
      <c r="C99" s="132"/>
      <c r="D99" s="134"/>
      <c r="E99" s="135"/>
      <c r="F99" s="136"/>
      <c r="G99" s="137"/>
      <c r="H99" s="36" t="s">
        <v>128</v>
      </c>
      <c r="I99" s="33" cm="1">
        <f t="array" ref="I99:J99">IFERROR(IF(ISBLANK(INDEX(_xlfn._xlws.FILTER([1]加工記録２!$O$3:$P$590, [1]加工記録２!$T$3:$T$590=B62), 4)), "", INDEX(_xlfn._xlws.FILTER([1]加工記録２!$O$3:$P$590, [1]加工記録２!$T$3:$T$590=B62), 4)),"")</f>
        <v>26</v>
      </c>
      <c r="J99" s="39" t="str">
        <v/>
      </c>
      <c r="K99" s="35"/>
    </row>
    <row r="100" spans="1:14" s="7" customFormat="1" ht="18" customHeight="1">
      <c r="A100" s="127" t="s">
        <v>129</v>
      </c>
      <c r="B100" s="138">
        <f>D60</f>
        <v>840</v>
      </c>
      <c r="C100" s="140" t="s">
        <v>130</v>
      </c>
      <c r="D100" s="142" t="str">
        <f>_xlfn.XLOOKUP(B60,[1]VFDB2!A:A,[1]VFDB2!L:L)</f>
        <v>+2</v>
      </c>
      <c r="E100" s="135" t="str">
        <f>_xlfn.XLOOKUP(B60,[1]VFDB2!A:A,[1]VFDB2!W:W)</f>
        <v>クラフト紙：1996型　1/2</v>
      </c>
      <c r="F100" s="136"/>
      <c r="G100" s="137"/>
      <c r="H100" s="36" t="s">
        <v>131</v>
      </c>
      <c r="I100" s="33" cm="1">
        <f t="array" ref="I100:J100">IFERROR(IF(ISBLANK(INDEX(_xlfn._xlws.FILTER([1]加工記録２!$O$3:$P$590, [1]加工記録２!$T$3:$T$590=B62), 5)), "", INDEX(_xlfn._xlws.FILTER([1]加工記録２!$O$3:$P$590, [1]加工記録２!$T$3:$T$590=B62), 5)),"")</f>
        <v>26</v>
      </c>
      <c r="J100" s="40" t="str">
        <v/>
      </c>
      <c r="K100" s="38"/>
    </row>
    <row r="101" spans="1:14" s="5" customFormat="1" ht="18" customHeight="1">
      <c r="A101" s="128"/>
      <c r="B101" s="139"/>
      <c r="C101" s="141"/>
      <c r="D101" s="143"/>
      <c r="E101" s="135"/>
      <c r="F101" s="136"/>
      <c r="G101" s="137"/>
      <c r="H101" s="36" t="s">
        <v>132</v>
      </c>
      <c r="I101" s="33" cm="1">
        <f t="array" ref="I101:J101">IFERROR(IF(ISBLANK(INDEX(_xlfn._xlws.FILTER([1]加工記録２!$O$3:$P$590, [1]加工記録２!$T$3:$T$590=B62), 6)), "", INDEX(_xlfn._xlws.FILTER([1]加工記録２!$O$3:$P$590, [1]加工記録２!$T$3:$T$590=B62), 6)),"")</f>
        <v>0</v>
      </c>
      <c r="J101" s="41" t="str">
        <v/>
      </c>
      <c r="K101" s="35"/>
    </row>
    <row r="102" spans="1:14" s="7" customFormat="1" ht="18" customHeight="1">
      <c r="A102" s="155" t="s">
        <v>133</v>
      </c>
      <c r="B102" s="158" t="str">
        <f>_xlfn.XLOOKUP(B60,[1]VFDB2!A:A,[1]VFDB2!AC:AC)</f>
        <v>換算表確認</v>
      </c>
      <c r="C102" s="160" t="s">
        <v>134</v>
      </c>
      <c r="D102" s="142">
        <f>_xlfn.XLOOKUP(B60,[1]VFDB2!A:A,[1]VFDB2!K:K)</f>
        <v>-2</v>
      </c>
      <c r="E102" s="135" t="str">
        <f>_xlfn.XLOOKUP(B60,[1]VFDB2!A:A,[1]VFDB2!R:R)</f>
        <v>ラベル２枚　長手有　鉢巻無</v>
      </c>
      <c r="F102" s="136"/>
      <c r="G102" s="137"/>
      <c r="H102" s="36" t="s">
        <v>135</v>
      </c>
      <c r="I102" s="33" t="str" cm="1">
        <f t="array" ref="I102:J102">IFERROR(IF(ISBLANK(INDEX(_xlfn._xlws.FILTER([1]加工記録２!$O$3:$P$590, [1]加工記録２!$T$3:$T$590=B62), 7)), "", INDEX(_xlfn._xlws.FILTER([1]加工記録２!$O$3:$P$590, [1]加工記録２!$T$3:$T$590=B62), 7)),"")</f>
        <v>-</v>
      </c>
      <c r="J102" s="42" t="str">
        <v/>
      </c>
      <c r="K102" s="38"/>
    </row>
    <row r="103" spans="1:14" s="5" customFormat="1" ht="18" customHeight="1" thickBot="1">
      <c r="A103" s="157"/>
      <c r="B103" s="159"/>
      <c r="C103" s="161"/>
      <c r="D103" s="162"/>
      <c r="E103" s="163"/>
      <c r="F103" s="164"/>
      <c r="G103" s="165"/>
      <c r="H103" s="43" t="s">
        <v>136</v>
      </c>
      <c r="I103" s="44" t="str" cm="1">
        <f t="array" ref="I103:J103">IFERROR(IF(ISBLANK(INDEX(_xlfn._xlws.FILTER([1]加工記録２!$O$3:$P$590, [1]加工記録２!$T$3:$T$590=B62), 8)), "", INDEX(_xlfn._xlws.FILTER([1]加工記録２!$O$3:$P$590, [1]加工記録２!$T$3:$T$590=B62), 8)),"")</f>
        <v>水野・高森</v>
      </c>
      <c r="J103" s="45">
        <v>26</v>
      </c>
    </row>
    <row r="104" spans="1:14" s="56" customFormat="1" ht="18.95" customHeight="1">
      <c r="A104" s="46" t="s">
        <v>137</v>
      </c>
      <c r="B104" s="47" t="s">
        <v>138</v>
      </c>
      <c r="C104" s="48" t="s">
        <v>139</v>
      </c>
      <c r="D104" s="48" t="s">
        <v>140</v>
      </c>
      <c r="E104" s="49" t="s">
        <v>141</v>
      </c>
      <c r="F104" s="50" t="s">
        <v>142</v>
      </c>
      <c r="G104" s="51" t="s">
        <v>143</v>
      </c>
      <c r="H104" s="52" t="s">
        <v>144</v>
      </c>
      <c r="I104" s="53" t="s">
        <v>145</v>
      </c>
      <c r="J104" s="54" t="s">
        <v>146</v>
      </c>
      <c r="K104" s="55"/>
      <c r="L104" s="55"/>
      <c r="M104" s="55"/>
      <c r="N104" s="55"/>
    </row>
    <row r="105" spans="1:14" s="67" customFormat="1" ht="18.95" customHeight="1">
      <c r="A105" s="57" cm="1">
        <f t="array" ref="A105:J105">IFERROR(IF(ISBLANK(INDEX(_xlfn._xlws.FILTER([1]加工記録２!$D$3:$M$590, [1]加工記録２!$T$3:$T$590=B62), 1)), "", INDEX(_xlfn._xlws.FILTER([1]加工記録２!$D$3:$M$590, [1]加工記録２!$T$3:$T$590=B62), 1)),"")</f>
        <v>45845</v>
      </c>
      <c r="B105" s="58" t="str">
        <v>25G02-01</v>
      </c>
      <c r="C105" s="59" t="str">
        <v/>
      </c>
      <c r="D105" s="59" t="str">
        <v/>
      </c>
      <c r="E105" s="60" t="str">
        <v/>
      </c>
      <c r="F105" s="61" t="str">
        <v>25G02-01</v>
      </c>
      <c r="G105" s="62">
        <v>9</v>
      </c>
      <c r="H105" s="63">
        <v>9</v>
      </c>
      <c r="I105" s="64">
        <v>45881</v>
      </c>
      <c r="J105" s="65">
        <v>11</v>
      </c>
      <c r="K105" s="66"/>
      <c r="L105" s="66"/>
      <c r="M105" s="66"/>
      <c r="N105" s="66"/>
    </row>
    <row r="106" spans="1:14" s="67" customFormat="1" ht="18.95" customHeight="1">
      <c r="A106" s="68" cm="1">
        <f t="array" ref="A106:J106">IFERROR(IF(ISBLANK(INDEX(_xlfn._xlws.FILTER([1]加工記録２!$D$3:$M$590, [1]加工記録２!$T$3:$T$590=B62), 2)), "", INDEX(_xlfn._xlws.FILTER([1]加工記録２!$D$3:$M$590, [1]加工記録２!$T$3:$T$590=B62), 2)),"")</f>
        <v>45881</v>
      </c>
      <c r="B106" s="69" t="str">
        <v>25G30-01</v>
      </c>
      <c r="C106" s="69" t="str">
        <v/>
      </c>
      <c r="D106" s="69" t="str">
        <v/>
      </c>
      <c r="E106" s="70" t="str">
        <v/>
      </c>
      <c r="F106" s="71" t="str">
        <v>25G30-01</v>
      </c>
      <c r="G106" s="72">
        <v>193</v>
      </c>
      <c r="H106" s="73">
        <v>193</v>
      </c>
      <c r="I106" s="64" t="str">
        <v/>
      </c>
      <c r="J106" s="65" t="str">
        <v/>
      </c>
      <c r="K106" s="66"/>
      <c r="L106" s="66"/>
      <c r="M106" s="66"/>
      <c r="N106" s="66"/>
    </row>
    <row r="107" spans="1:14" s="67" customFormat="1" ht="18.95" customHeight="1">
      <c r="A107" s="68" t="str" cm="1">
        <f t="array" ref="A107:J107">IFERROR(IF(ISBLANK(INDEX(_xlfn._xlws.FILTER([1]加工記録２!$D$3:$M$590, [1]加工記録２!$T$3:$T$590=B62), 3)), "", INDEX(_xlfn._xlws.FILTER([1]加工記録２!$D$3:$M$590, [1]加工記録２!$T$3:$T$590=B62), 3)),"")</f>
        <v/>
      </c>
      <c r="B107" s="69" t="str">
        <v/>
      </c>
      <c r="C107" s="69" t="str">
        <v/>
      </c>
      <c r="D107" s="69" t="str">
        <v/>
      </c>
      <c r="E107" s="70" t="str">
        <v/>
      </c>
      <c r="F107" s="71" t="str">
        <v/>
      </c>
      <c r="G107" s="72" t="str">
        <v/>
      </c>
      <c r="H107" s="73">
        <v>0</v>
      </c>
      <c r="I107" s="64" t="str">
        <v/>
      </c>
      <c r="J107" s="65" t="str">
        <v/>
      </c>
      <c r="K107" s="66"/>
      <c r="L107" s="66"/>
      <c r="M107" s="66"/>
      <c r="N107" s="66"/>
    </row>
    <row r="108" spans="1:14" s="67" customFormat="1" ht="18.95" customHeight="1">
      <c r="A108" s="68" t="str" cm="1">
        <f t="array" ref="A108:J108">IFERROR(IF(ISBLANK(INDEX(_xlfn._xlws.FILTER([1]加工記録２!$D$3:$M$590, [1]加工記録２!$T$3:$T$590=B62), 4)), "", INDEX(_xlfn._xlws.FILTER([1]加工記録２!$D$3:$M$590, [1]加工記録２!$T$3:$T$590=B62), 4)),"")</f>
        <v/>
      </c>
      <c r="B108" s="69" t="str">
        <v/>
      </c>
      <c r="C108" s="69" t="str">
        <v/>
      </c>
      <c r="D108" s="69" t="str">
        <v/>
      </c>
      <c r="E108" s="70" t="str">
        <v/>
      </c>
      <c r="F108" s="71" t="str">
        <v/>
      </c>
      <c r="G108" s="72" t="str">
        <v/>
      </c>
      <c r="H108" s="73">
        <v>0</v>
      </c>
      <c r="I108" s="64" t="str">
        <v/>
      </c>
      <c r="J108" s="65" t="str">
        <v/>
      </c>
      <c r="K108" s="66"/>
      <c r="L108" s="66"/>
      <c r="M108" s="66"/>
      <c r="N108" s="66"/>
    </row>
    <row r="109" spans="1:14" s="67" customFormat="1" ht="18.95" customHeight="1">
      <c r="A109" s="68" t="str" cm="1">
        <f t="array" ref="A109:J109">IFERROR(IF(ISBLANK(INDEX(_xlfn._xlws.FILTER([1]加工記録２!$D$3:$M$590, [1]加工記録２!$T$3:$T$590=B62), 5)), "", INDEX(_xlfn._xlws.FILTER([1]加工記録２!$D$3:$M$590, [1]加工記録２!$T$3:$T$590=B62), 5)),"")</f>
        <v/>
      </c>
      <c r="B109" s="69" t="str">
        <v/>
      </c>
      <c r="C109" s="69" t="str">
        <v/>
      </c>
      <c r="D109" s="69" t="str">
        <v/>
      </c>
      <c r="E109" s="70" t="str">
        <v/>
      </c>
      <c r="F109" s="71" t="str">
        <v/>
      </c>
      <c r="G109" s="72" t="str">
        <v/>
      </c>
      <c r="H109" s="73">
        <v>0</v>
      </c>
      <c r="I109" s="74" t="str">
        <v/>
      </c>
      <c r="J109" s="75" t="str">
        <v/>
      </c>
      <c r="K109" s="66"/>
      <c r="L109" s="66"/>
      <c r="M109" s="66"/>
      <c r="N109" s="66"/>
    </row>
    <row r="110" spans="1:14" s="67" customFormat="1" ht="18.95" customHeight="1">
      <c r="A110" s="68" t="str" cm="1">
        <f t="array" ref="A110:J110">IFERROR(IF(ISBLANK(INDEX(_xlfn._xlws.FILTER([1]加工記録２!$D$3:$M$590, [1]加工記録２!$T$3:$T$590=B62), 6)), "", INDEX(_xlfn._xlws.FILTER([1]加工記録２!$D$3:$M$590, [1]加工記録２!$T$3:$T$590=B62), 6)),"")</f>
        <v/>
      </c>
      <c r="B110" s="69" t="str">
        <v/>
      </c>
      <c r="C110" s="69" t="str">
        <v/>
      </c>
      <c r="D110" s="69" t="str">
        <v/>
      </c>
      <c r="E110" s="70" t="str">
        <v/>
      </c>
      <c r="F110" s="71" t="str">
        <v/>
      </c>
      <c r="G110" s="72" t="str">
        <v/>
      </c>
      <c r="H110" s="76">
        <v>0</v>
      </c>
      <c r="I110" s="77" t="str">
        <v>旧品加工</v>
      </c>
      <c r="J110" s="78">
        <v>9</v>
      </c>
      <c r="K110" s="66"/>
      <c r="L110" s="66"/>
      <c r="M110" s="66"/>
      <c r="N110" s="66"/>
    </row>
    <row r="111" spans="1:14" s="67" customFormat="1" ht="18.95" customHeight="1">
      <c r="A111" s="68" t="str" cm="1">
        <f t="array" ref="A111:J111">IFERROR(IF(ISBLANK(INDEX(_xlfn._xlws.FILTER([1]加工記録２!$D$3:$M$590, [1]加工記録２!$T$3:$T$590=B62), 7)), "", INDEX(_xlfn._xlws.FILTER([1]加工記録２!$D$3:$M$590, [1]加工記録２!$T$3:$T$590=B62), 7)),"")</f>
        <v/>
      </c>
      <c r="B111" s="69" t="str">
        <v/>
      </c>
      <c r="C111" s="69" t="str">
        <v/>
      </c>
      <c r="D111" s="69" t="str">
        <v/>
      </c>
      <c r="E111" s="70" t="str">
        <v/>
      </c>
      <c r="F111" s="71" t="str">
        <v/>
      </c>
      <c r="G111" s="72" t="str">
        <v/>
      </c>
      <c r="H111" s="76">
        <v>0</v>
      </c>
      <c r="I111" s="79" t="str">
        <v>持出端材</v>
      </c>
      <c r="J111" s="80" t="str">
        <v/>
      </c>
      <c r="K111" s="66"/>
      <c r="L111" s="66"/>
      <c r="M111" s="66"/>
      <c r="N111" s="66"/>
    </row>
    <row r="112" spans="1:14" s="67" customFormat="1" ht="18.95" customHeight="1" thickBot="1">
      <c r="A112" s="81" t="str" cm="1">
        <f t="array" ref="A112:J112">IFERROR(IF(ISBLANK(INDEX(_xlfn._xlws.FILTER([1]加工記録２!$D$3:$M$590, [1]加工記録２!$T$3:$T$590=B62), 8)), "", INDEX(_xlfn._xlws.FILTER([1]加工記録２!$D$3:$M$590, [1]加工記録２!$T$3:$T$590=B62), 8)),"")</f>
        <v/>
      </c>
      <c r="B112" s="82" t="str">
        <v/>
      </c>
      <c r="C112" s="82" t="str">
        <v/>
      </c>
      <c r="D112" s="82" t="str">
        <v/>
      </c>
      <c r="E112" s="83" t="str">
        <v/>
      </c>
      <c r="F112" s="84" t="str">
        <v/>
      </c>
      <c r="G112" s="85" t="str">
        <v/>
      </c>
      <c r="H112" s="86">
        <v>0</v>
      </c>
      <c r="I112" s="87" t="str">
        <v>α端材</v>
      </c>
      <c r="J112" s="88">
        <v>0</v>
      </c>
      <c r="K112" s="66"/>
      <c r="L112" s="66"/>
      <c r="M112" s="66"/>
      <c r="N112" s="6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26" t="s">
        <v>0</v>
      </c>
      <c r="C115" s="90"/>
      <c r="D115" s="90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90"/>
      <c r="C116" s="90"/>
      <c r="D116" s="90"/>
      <c r="E116" s="13"/>
      <c r="F116" s="13"/>
      <c r="G116" s="13"/>
      <c r="H116" s="13"/>
      <c r="I116" s="13"/>
      <c r="J116" s="13"/>
    </row>
    <row r="117" spans="1:10" ht="14.25" customHeight="1">
      <c r="A117" s="106" t="s">
        <v>1</v>
      </c>
      <c r="B117" s="106" t="s">
        <v>70</v>
      </c>
      <c r="C117" s="106" t="s">
        <v>3</v>
      </c>
      <c r="D117" s="125">
        <v>908</v>
      </c>
      <c r="E117" s="106" t="s">
        <v>4</v>
      </c>
      <c r="F117" s="100" t="s">
        <v>71</v>
      </c>
      <c r="G117" s="90"/>
      <c r="H117" s="94"/>
      <c r="I117" s="14" t="s">
        <v>6</v>
      </c>
      <c r="J117" s="14" t="s">
        <v>7</v>
      </c>
    </row>
    <row r="118" spans="1:10" ht="14.25" customHeight="1">
      <c r="A118" s="90"/>
      <c r="B118" s="90"/>
      <c r="C118" s="90"/>
      <c r="D118" s="90"/>
      <c r="E118" s="90"/>
      <c r="F118" s="90"/>
      <c r="G118" s="90"/>
      <c r="H118" s="94"/>
      <c r="I118" s="101"/>
      <c r="J118" s="101"/>
    </row>
    <row r="119" spans="1:10" ht="17.45" customHeight="1">
      <c r="A119" s="105" t="s">
        <v>8</v>
      </c>
      <c r="B119" s="105" t="s">
        <v>72</v>
      </c>
      <c r="E119" s="105" t="s">
        <v>10</v>
      </c>
      <c r="F119" s="98" t="s">
        <v>11</v>
      </c>
      <c r="G119" s="90"/>
      <c r="H119" s="94"/>
      <c r="I119" s="102"/>
      <c r="J119" s="102"/>
    </row>
    <row r="120" spans="1:10" ht="17.45" customHeight="1">
      <c r="A120" s="90"/>
      <c r="B120" s="90"/>
      <c r="E120" s="90"/>
      <c r="F120" s="90"/>
      <c r="G120" s="90"/>
      <c r="H120" s="94"/>
      <c r="I120" s="15"/>
      <c r="J120" s="15"/>
    </row>
    <row r="121" spans="1:10" ht="17.45" customHeight="1">
      <c r="A121" s="105" t="s">
        <v>12</v>
      </c>
      <c r="B121" s="105" t="s">
        <v>73</v>
      </c>
      <c r="E121" s="2" t="s">
        <v>14</v>
      </c>
      <c r="F121" s="121" t="s">
        <v>15</v>
      </c>
      <c r="G121" s="90"/>
      <c r="H121" s="22"/>
    </row>
    <row r="122" spans="1:10" ht="17.45" customHeight="1">
      <c r="A122" s="90"/>
      <c r="B122" s="90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45891</v>
      </c>
      <c r="E123" s="2" t="s">
        <v>19</v>
      </c>
      <c r="F123" s="92">
        <v>16</v>
      </c>
      <c r="G123" s="90"/>
      <c r="H123" s="22"/>
    </row>
    <row r="124" spans="1:10" ht="17.45" customHeight="1">
      <c r="A124" s="2" t="s">
        <v>20</v>
      </c>
      <c r="B124" s="4">
        <v>45891</v>
      </c>
      <c r="E124" s="2" t="s">
        <v>21</v>
      </c>
      <c r="F124" s="22">
        <v>12</v>
      </c>
      <c r="G124" s="109" t="s">
        <v>22</v>
      </c>
      <c r="H124" s="113">
        <v>192</v>
      </c>
      <c r="I124" s="114"/>
      <c r="J124" s="115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10"/>
      <c r="H125" s="110"/>
      <c r="I125" s="95"/>
      <c r="J125" s="96"/>
    </row>
    <row r="126" spans="1:10" ht="13.5" customHeight="1">
      <c r="A126" s="124" t="s">
        <v>74</v>
      </c>
      <c r="B126" s="90"/>
      <c r="C126" s="90"/>
      <c r="D126" s="21"/>
      <c r="F126" s="3"/>
      <c r="G126" s="120" t="s">
        <v>26</v>
      </c>
      <c r="H126" s="116" t="s">
        <v>27</v>
      </c>
      <c r="I126" s="93" t="s">
        <v>28</v>
      </c>
      <c r="J126" s="94"/>
    </row>
    <row r="127" spans="1:10" ht="13.5" customHeight="1">
      <c r="A127" s="90"/>
      <c r="B127" s="90"/>
      <c r="C127" s="90"/>
      <c r="D127" s="21"/>
      <c r="F127" s="3"/>
      <c r="G127" s="117"/>
      <c r="H127" s="117"/>
      <c r="I127" s="95"/>
      <c r="J127" s="96"/>
    </row>
    <row r="128" spans="1:10" ht="13.5" customHeight="1">
      <c r="A128" s="1" t="s">
        <v>29</v>
      </c>
    </row>
    <row r="129" spans="1:10" ht="63" customHeight="1">
      <c r="A129" s="122"/>
      <c r="B129" s="123"/>
      <c r="C129" s="123"/>
      <c r="D129" s="123"/>
      <c r="E129" s="123"/>
      <c r="F129" s="123"/>
      <c r="G129" s="123"/>
      <c r="H129" s="123"/>
      <c r="I129" s="123"/>
      <c r="J129" s="123"/>
    </row>
    <row r="130" spans="1:10" ht="18.75">
      <c r="A130" s="24" t="s">
        <v>30</v>
      </c>
      <c r="B130" s="17" t="s">
        <v>31</v>
      </c>
      <c r="C130" s="107" t="s">
        <v>32</v>
      </c>
      <c r="D130" s="108"/>
      <c r="E130" s="17" t="s">
        <v>33</v>
      </c>
      <c r="F130" s="107" t="s">
        <v>34</v>
      </c>
      <c r="G130" s="108"/>
      <c r="H130" s="108"/>
      <c r="I130" s="119" t="s">
        <v>35</v>
      </c>
      <c r="J130" s="10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89" t="s">
        <v>37</v>
      </c>
      <c r="D132" s="90"/>
      <c r="E132" s="25" t="s">
        <v>38</v>
      </c>
      <c r="F132" s="89" t="s">
        <v>39</v>
      </c>
      <c r="G132" s="90"/>
      <c r="H132" s="90"/>
      <c r="I132" s="99"/>
      <c r="J132" s="90"/>
    </row>
    <row r="133" spans="1:10" ht="16.5" customHeight="1">
      <c r="A133" s="23">
        <v>1</v>
      </c>
      <c r="B133" s="26" t="s">
        <v>36</v>
      </c>
      <c r="C133" s="89" t="s">
        <v>37</v>
      </c>
      <c r="D133" s="90"/>
      <c r="E133" s="25" t="s">
        <v>40</v>
      </c>
      <c r="F133" s="89" t="s">
        <v>41</v>
      </c>
      <c r="G133" s="90"/>
      <c r="H133" s="90"/>
      <c r="I133" s="99"/>
      <c r="J133" s="90"/>
    </row>
    <row r="134" spans="1:10" ht="16.5" customHeight="1">
      <c r="A134" s="23"/>
      <c r="B134" s="26"/>
      <c r="C134" s="89"/>
      <c r="D134" s="90"/>
      <c r="E134" s="25"/>
      <c r="F134" s="89"/>
      <c r="G134" s="90"/>
      <c r="H134" s="90"/>
      <c r="I134" s="99"/>
      <c r="J134" s="90"/>
    </row>
    <row r="135" spans="1:10" ht="16.5" customHeight="1">
      <c r="A135" s="23"/>
      <c r="B135" s="26"/>
      <c r="C135" s="89"/>
      <c r="D135" s="90"/>
      <c r="E135" s="25"/>
      <c r="F135" s="89"/>
      <c r="G135" s="90"/>
      <c r="H135" s="90"/>
      <c r="I135" s="99"/>
      <c r="J135" s="90"/>
    </row>
    <row r="136" spans="1:10" ht="16.5" customHeight="1">
      <c r="A136" s="23"/>
      <c r="B136" s="26"/>
      <c r="C136" s="89"/>
      <c r="D136" s="90"/>
      <c r="E136" s="25"/>
      <c r="F136" s="89"/>
      <c r="G136" s="90"/>
      <c r="H136" s="90"/>
      <c r="I136" s="99"/>
      <c r="J136" s="90"/>
    </row>
    <row r="137" spans="1:10" ht="16.5" customHeight="1">
      <c r="A137" s="23"/>
      <c r="B137" s="26"/>
      <c r="C137" s="89"/>
      <c r="D137" s="90"/>
      <c r="E137" s="25"/>
      <c r="F137" s="89"/>
      <c r="G137" s="90"/>
      <c r="H137" s="90"/>
      <c r="I137" s="99"/>
      <c r="J137" s="90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03" t="s">
        <v>42</v>
      </c>
      <c r="B139" s="104"/>
      <c r="C139" s="103" t="s">
        <v>43</v>
      </c>
      <c r="D139" s="104"/>
      <c r="E139" s="104"/>
      <c r="F139" s="18" t="s">
        <v>44</v>
      </c>
      <c r="G139" s="103" t="s">
        <v>45</v>
      </c>
      <c r="H139" s="104"/>
      <c r="I139" s="103" t="s">
        <v>46</v>
      </c>
      <c r="J139" s="104"/>
    </row>
    <row r="140" spans="1:10" ht="14.25" customHeight="1">
      <c r="A140" s="8"/>
      <c r="B140" s="19"/>
      <c r="C140" s="118" t="s">
        <v>47</v>
      </c>
      <c r="D140" s="95"/>
      <c r="E140" s="19"/>
      <c r="F140" s="118" t="s">
        <v>29</v>
      </c>
      <c r="G140" s="95"/>
      <c r="H140" s="95"/>
      <c r="I140" s="95"/>
      <c r="J140" s="95"/>
    </row>
    <row r="141" spans="1:10">
      <c r="A141" s="9"/>
      <c r="C141" s="7"/>
      <c r="D141" s="7"/>
      <c r="E141" s="7"/>
    </row>
    <row r="142" spans="1:10" ht="14.25" customHeight="1">
      <c r="A142" s="89" t="s">
        <v>75</v>
      </c>
      <c r="B142" s="90"/>
      <c r="C142" s="89" t="s">
        <v>76</v>
      </c>
      <c r="D142" s="90"/>
      <c r="E142" s="90"/>
      <c r="F142" s="27" t="s">
        <v>50</v>
      </c>
      <c r="G142" s="97">
        <v>192</v>
      </c>
      <c r="H142" s="90"/>
      <c r="I142" s="97">
        <v>12</v>
      </c>
      <c r="J142" s="90"/>
    </row>
    <row r="143" spans="1:10" ht="24.95" customHeight="1">
      <c r="A143" s="91" t="s">
        <v>77</v>
      </c>
      <c r="B143" s="90"/>
      <c r="C143" s="89" t="s">
        <v>11</v>
      </c>
      <c r="D143" s="90"/>
      <c r="E143" s="90"/>
      <c r="F143" s="89"/>
      <c r="G143" s="90"/>
      <c r="H143" s="90"/>
      <c r="I143" s="90"/>
      <c r="J143" s="90"/>
    </row>
    <row r="144" spans="1:10" ht="14.25" customHeight="1">
      <c r="A144" s="89" t="s">
        <v>52</v>
      </c>
      <c r="B144" s="90"/>
      <c r="C144" s="89" t="s">
        <v>53</v>
      </c>
      <c r="D144" s="90"/>
      <c r="E144" s="90"/>
      <c r="F144" s="27" t="s">
        <v>27</v>
      </c>
      <c r="G144" s="97">
        <v>12.096</v>
      </c>
      <c r="H144" s="90"/>
      <c r="I144" s="97">
        <v>0.75600000000000001</v>
      </c>
      <c r="J144" s="90"/>
    </row>
    <row r="145" spans="1:11" ht="24.95" customHeight="1">
      <c r="A145" s="91" t="s">
        <v>54</v>
      </c>
      <c r="B145" s="90"/>
      <c r="C145" s="89"/>
      <c r="D145" s="90"/>
      <c r="E145" s="90"/>
      <c r="F145" s="89"/>
      <c r="G145" s="90"/>
      <c r="H145" s="90"/>
      <c r="I145" s="90"/>
      <c r="J145" s="90"/>
    </row>
    <row r="146" spans="1:11" ht="14.25" customHeight="1">
      <c r="A146" s="89" t="s">
        <v>55</v>
      </c>
      <c r="B146" s="90"/>
      <c r="C146" s="89" t="s">
        <v>56</v>
      </c>
      <c r="D146" s="90"/>
      <c r="E146" s="90"/>
      <c r="F146" s="27"/>
      <c r="G146" s="97">
        <v>0.57599999999999996</v>
      </c>
      <c r="H146" s="90"/>
      <c r="I146" s="97">
        <v>3.5999999999999997E-2</v>
      </c>
      <c r="J146" s="90"/>
    </row>
    <row r="147" spans="1:11" ht="24.95" customHeight="1">
      <c r="A147" s="91" t="s">
        <v>57</v>
      </c>
      <c r="B147" s="90"/>
      <c r="C147" s="89" t="s">
        <v>58</v>
      </c>
      <c r="D147" s="90"/>
      <c r="E147" s="90"/>
      <c r="F147" s="89"/>
      <c r="G147" s="90"/>
      <c r="H147" s="90"/>
      <c r="I147" s="90"/>
      <c r="J147" s="90"/>
    </row>
    <row r="148" spans="1:11" ht="14.25" customHeight="1">
      <c r="A148" s="89"/>
      <c r="B148" s="90"/>
      <c r="C148" s="89"/>
      <c r="D148" s="90"/>
      <c r="E148" s="90"/>
      <c r="F148" s="27"/>
      <c r="G148" s="97"/>
      <c r="H148" s="90"/>
      <c r="I148" s="97"/>
      <c r="J148" s="90"/>
    </row>
    <row r="149" spans="1:11" ht="24.95" customHeight="1">
      <c r="A149" s="91"/>
      <c r="B149" s="90"/>
      <c r="C149" s="89"/>
      <c r="D149" s="90"/>
      <c r="E149" s="90"/>
      <c r="F149" s="89"/>
      <c r="G149" s="90"/>
      <c r="H149" s="90"/>
      <c r="I149" s="90"/>
      <c r="J149" s="90"/>
    </row>
    <row r="150" spans="1:11" ht="14.25" customHeight="1">
      <c r="A150" s="89"/>
      <c r="B150" s="90"/>
      <c r="C150" s="89"/>
      <c r="D150" s="90"/>
      <c r="E150" s="90"/>
      <c r="F150" s="27"/>
      <c r="G150" s="97"/>
      <c r="H150" s="90"/>
      <c r="I150" s="97"/>
      <c r="J150" s="90"/>
    </row>
    <row r="151" spans="1:11" ht="24.95" customHeight="1" thickBot="1">
      <c r="A151" s="91"/>
      <c r="B151" s="90"/>
      <c r="C151" s="89"/>
      <c r="D151" s="90"/>
      <c r="E151" s="90"/>
      <c r="F151" s="89"/>
      <c r="G151" s="90"/>
      <c r="H151" s="90"/>
      <c r="I151" s="90"/>
      <c r="J151" s="90"/>
    </row>
    <row r="152" spans="1:11" s="5" customFormat="1" ht="18" customHeight="1">
      <c r="A152" s="144" t="s">
        <v>118</v>
      </c>
      <c r="B152" s="145"/>
      <c r="C152" s="145"/>
      <c r="D152" s="145"/>
      <c r="E152" s="146" t="s">
        <v>119</v>
      </c>
      <c r="F152" s="147"/>
      <c r="G152" s="28" t="s">
        <v>120</v>
      </c>
      <c r="H152" s="148" t="s">
        <v>121</v>
      </c>
      <c r="I152" s="149"/>
      <c r="J152" s="29" t="s">
        <v>122</v>
      </c>
    </row>
    <row r="153" spans="1:11" s="7" customFormat="1" ht="18" customHeight="1">
      <c r="A153" s="150" t="str">
        <f>_xlfn.XLOOKUP(B117,[1]VFDB2!A:A,[1]VFDB2!A:A)</f>
        <v>J1ZAFJB00209080</v>
      </c>
      <c r="B153" s="151"/>
      <c r="C153" s="151"/>
      <c r="D153" s="151"/>
      <c r="E153" s="135" t="str" cm="1">
        <f t="array" ref="E153">IFERROR(IF(ISBLANK(INDEX(_xlfn._xlws.FILTER([1]加工記録２!$C$3:$C$590, [1]加工記録２!$T$3:$T$590=B119), 6)), "", INDEX(_xlfn._xlws.FILTER([1]加工記録２!$C$3:$C$590, [1]加工記録２!$T$3:$T$590=B119), 6)),"")</f>
        <v>灯具-1　L=1370</v>
      </c>
      <c r="F153" s="136"/>
      <c r="G153" s="154" cm="1">
        <f t="array" ref="G153">IFERROR(IF(ISBLANK(INDEX(_xlfn._xlws.FILTER([1]加工記録２!$C$3:$C$590, [1]加工記録２!$T$3:$T$590=B119), 7)), " ", INDEX(_xlfn._xlws.FILTER([1]加工記録２!$C$3:$C$590, [1]加工記録２!$T$3:$T$590=B119), 7))," ")</f>
        <v>11</v>
      </c>
      <c r="H153" s="30" t="s">
        <v>123</v>
      </c>
      <c r="I153" s="31" cm="1">
        <f t="array" ref="I153:J153">IFERROR(IF(ISBLANK(INDEX(_xlfn._xlws.FILTER([1]加工記録２!$O$3:$P$590, [1]加工記録２!$T$3:$T$590=B119), 1)), "", INDEX(_xlfn._xlws.FILTER([1]加工記録２!$O$3:$P$590, [1]加工記録２!$T$3:$T$590=B119), 1)),"")</f>
        <v>45889</v>
      </c>
      <c r="J153" s="32">
        <v>15</v>
      </c>
    </row>
    <row r="154" spans="1:11" s="5" customFormat="1" ht="18" customHeight="1">
      <c r="A154" s="152"/>
      <c r="B154" s="153"/>
      <c r="C154" s="153"/>
      <c r="D154" s="153"/>
      <c r="E154" s="135"/>
      <c r="F154" s="136"/>
      <c r="G154" s="154"/>
      <c r="H154" s="30" t="s">
        <v>124</v>
      </c>
      <c r="I154" s="33" cm="1">
        <f t="array" ref="I154:J154">IFERROR(IF(ISBLANK(INDEX(_xlfn._xlws.FILTER([1]加工記録２!$O$3:$P$590, [1]加工記録２!$T$3:$T$590=B119), 2)), "", INDEX(_xlfn._xlws.FILTER([1]加工記録２!$O$3:$P$590, [1]加工記録２!$T$3:$T$590=B119), 2)),"")</f>
        <v>176</v>
      </c>
      <c r="J154" s="34">
        <v>9</v>
      </c>
      <c r="K154" s="35"/>
    </row>
    <row r="155" spans="1:11" s="7" customFormat="1" ht="18" customHeight="1">
      <c r="A155" s="155" t="s">
        <v>125</v>
      </c>
      <c r="B155" s="129" t="str">
        <f>_xlfn.XLOOKUP(B117,[1]VFDB2!A:A,[1]VFDB2!J:J)</f>
        <v>-</v>
      </c>
      <c r="C155" s="131" t="s">
        <v>126</v>
      </c>
      <c r="D155" s="133">
        <f>_xlfn.XLOOKUP(B117,[1]VFDB2!A:A,[1]VFDB2!P:P)</f>
        <v>1</v>
      </c>
      <c r="E155" s="135" t="str">
        <f>_xlfn.XLOOKUP(B117,[1]VFDB2!A:A,[1]VFDB2!V:V)</f>
        <v>梱包:1370(切詰)</v>
      </c>
      <c r="F155" s="136"/>
      <c r="G155" s="137"/>
      <c r="H155" s="36" t="s">
        <v>127</v>
      </c>
      <c r="I155" s="33" cm="1">
        <f t="array" ref="I155:J155">IFERROR(IF(ISBLANK(INDEX(_xlfn._xlws.FILTER([1]加工記録２!$O$3:$P$590, [1]加工記録２!$T$3:$T$590=B119), 3)), "", INDEX(_xlfn._xlws.FILTER([1]加工記録２!$O$3:$P$590, [1]加工記録２!$T$3:$T$590=B119), 3)),"")</f>
        <v>200</v>
      </c>
      <c r="J155" s="37" t="str">
        <v/>
      </c>
      <c r="K155" s="38"/>
    </row>
    <row r="156" spans="1:11" s="5" customFormat="1" ht="18" customHeight="1">
      <c r="A156" s="156"/>
      <c r="B156" s="130"/>
      <c r="C156" s="132"/>
      <c r="D156" s="134"/>
      <c r="E156" s="135"/>
      <c r="F156" s="136"/>
      <c r="G156" s="137"/>
      <c r="H156" s="36" t="s">
        <v>128</v>
      </c>
      <c r="I156" s="33" cm="1">
        <f t="array" ref="I156:J156">IFERROR(IF(ISBLANK(INDEX(_xlfn._xlws.FILTER([1]加工記録２!$O$3:$P$590, [1]加工記録２!$T$3:$T$590=B119), 4)), "", INDEX(_xlfn._xlws.FILTER([1]加工記録２!$O$3:$P$590, [1]加工記録２!$T$3:$T$590=B119), 4)),"")</f>
        <v>24</v>
      </c>
      <c r="J156" s="39" t="str">
        <v/>
      </c>
      <c r="K156" s="35"/>
    </row>
    <row r="157" spans="1:11" s="7" customFormat="1" ht="18" customHeight="1">
      <c r="A157" s="127" t="s">
        <v>129</v>
      </c>
      <c r="B157" s="138">
        <f>D117</f>
        <v>908</v>
      </c>
      <c r="C157" s="140" t="s">
        <v>130</v>
      </c>
      <c r="D157" s="142" t="str">
        <f>_xlfn.XLOOKUP(B117,[1]VFDB2!A:A,[1]VFDB2!L:L)</f>
        <v>+2</v>
      </c>
      <c r="E157" s="135" t="str">
        <f>_xlfn.XLOOKUP(B117,[1]VFDB2!A:A,[1]VFDB2!W:W)</f>
        <v>クラフト紙：1996型　1/2</v>
      </c>
      <c r="F157" s="136"/>
      <c r="G157" s="137"/>
      <c r="H157" s="36" t="s">
        <v>131</v>
      </c>
      <c r="I157" s="33" cm="1">
        <f t="array" ref="I157:J157">IFERROR(IF(ISBLANK(INDEX(_xlfn._xlws.FILTER([1]加工記録２!$O$3:$P$590, [1]加工記録２!$T$3:$T$590=B119), 5)), "", INDEX(_xlfn._xlws.FILTER([1]加工記録２!$O$3:$P$590, [1]加工記録２!$T$3:$T$590=B119), 5)),"")</f>
        <v>24</v>
      </c>
      <c r="J157" s="40" t="str">
        <v/>
      </c>
      <c r="K157" s="38"/>
    </row>
    <row r="158" spans="1:11" s="5" customFormat="1" ht="18" customHeight="1">
      <c r="A158" s="128"/>
      <c r="B158" s="139"/>
      <c r="C158" s="141"/>
      <c r="D158" s="143"/>
      <c r="E158" s="135"/>
      <c r="F158" s="136"/>
      <c r="G158" s="137"/>
      <c r="H158" s="36" t="s">
        <v>132</v>
      </c>
      <c r="I158" s="33" cm="1">
        <f t="array" ref="I158:J158">IFERROR(IF(ISBLANK(INDEX(_xlfn._xlws.FILTER([1]加工記録２!$O$3:$P$590, [1]加工記録２!$T$3:$T$590=B119), 6)), "", INDEX(_xlfn._xlws.FILTER([1]加工記録２!$O$3:$P$590, [1]加工記録２!$T$3:$T$590=B119), 6)),"")</f>
        <v>0</v>
      </c>
      <c r="J158" s="41" t="str">
        <v/>
      </c>
      <c r="K158" s="35"/>
    </row>
    <row r="159" spans="1:11" s="7" customFormat="1" ht="18" customHeight="1">
      <c r="A159" s="155" t="s">
        <v>133</v>
      </c>
      <c r="B159" s="158" t="str">
        <f>_xlfn.XLOOKUP(B117,[1]VFDB2!A:A,[1]VFDB2!AC:AC)</f>
        <v>換算表確認</v>
      </c>
      <c r="C159" s="160" t="s">
        <v>134</v>
      </c>
      <c r="D159" s="142">
        <f>_xlfn.XLOOKUP(B117,[1]VFDB2!A:A,[1]VFDB2!K:K)</f>
        <v>-2</v>
      </c>
      <c r="E159" s="135" t="str">
        <f>_xlfn.XLOOKUP(B117,[1]VFDB2!A:A,[1]VFDB2!R:R)</f>
        <v>ラベル２枚　長手有　鉢巻無</v>
      </c>
      <c r="F159" s="136"/>
      <c r="G159" s="137"/>
      <c r="H159" s="36" t="s">
        <v>135</v>
      </c>
      <c r="I159" s="33" t="str" cm="1">
        <f t="array" ref="I159:J159">IFERROR(IF(ISBLANK(INDEX(_xlfn._xlws.FILTER([1]加工記録２!$O$3:$P$590, [1]加工記録２!$T$3:$T$590=B119), 7)), "", INDEX(_xlfn._xlws.FILTER([1]加工記録２!$O$3:$P$590, [1]加工記録２!$T$3:$T$590=B119), 7)),"")</f>
        <v>-</v>
      </c>
      <c r="J159" s="42" t="str">
        <v/>
      </c>
      <c r="K159" s="38"/>
    </row>
    <row r="160" spans="1:11" s="5" customFormat="1" ht="18" customHeight="1" thickBot="1">
      <c r="A160" s="157"/>
      <c r="B160" s="159"/>
      <c r="C160" s="161"/>
      <c r="D160" s="162"/>
      <c r="E160" s="163"/>
      <c r="F160" s="164"/>
      <c r="G160" s="165"/>
      <c r="H160" s="43" t="s">
        <v>136</v>
      </c>
      <c r="I160" s="44" t="str" cm="1">
        <f t="array" ref="I160:J160">IFERROR(IF(ISBLANK(INDEX(_xlfn._xlws.FILTER([1]加工記録２!$O$3:$P$590, [1]加工記録２!$T$3:$T$590=B119), 8)), "", INDEX(_xlfn._xlws.FILTER([1]加工記録２!$O$3:$P$590, [1]加工記録２!$T$3:$T$590=B119), 8)),"")</f>
        <v>高森・水野</v>
      </c>
      <c r="J160" s="45">
        <v>24</v>
      </c>
    </row>
    <row r="161" spans="1:14" s="56" customFormat="1" ht="18.95" customHeight="1">
      <c r="A161" s="46" t="s">
        <v>137</v>
      </c>
      <c r="B161" s="47" t="s">
        <v>138</v>
      </c>
      <c r="C161" s="48" t="s">
        <v>139</v>
      </c>
      <c r="D161" s="48" t="s">
        <v>140</v>
      </c>
      <c r="E161" s="49" t="s">
        <v>141</v>
      </c>
      <c r="F161" s="50" t="s">
        <v>142</v>
      </c>
      <c r="G161" s="51" t="s">
        <v>143</v>
      </c>
      <c r="H161" s="52" t="s">
        <v>144</v>
      </c>
      <c r="I161" s="53" t="s">
        <v>145</v>
      </c>
      <c r="J161" s="54" t="s">
        <v>146</v>
      </c>
      <c r="K161" s="55"/>
      <c r="L161" s="55"/>
      <c r="M161" s="55"/>
      <c r="N161" s="55"/>
    </row>
    <row r="162" spans="1:14" s="67" customFormat="1" ht="18.95" customHeight="1">
      <c r="A162" s="57" cm="1">
        <f t="array" ref="A162:J162">IFERROR(IF(ISBLANK(INDEX(_xlfn._xlws.FILTER([1]加工記録２!$D$3:$M$590, [1]加工記録２!$T$3:$T$590=B119), 1)), "", INDEX(_xlfn._xlws.FILTER([1]加工記録２!$D$3:$M$590, [1]加工記録２!$T$3:$T$590=B119), 1)),"")</f>
        <v>45848</v>
      </c>
      <c r="B162" s="58" t="str">
        <v>25G02-01</v>
      </c>
      <c r="C162" s="59" t="str">
        <v/>
      </c>
      <c r="D162" s="59" t="str">
        <v/>
      </c>
      <c r="E162" s="60" t="str">
        <v/>
      </c>
      <c r="F162" s="61" t="str">
        <v>25G02-01</v>
      </c>
      <c r="G162" s="62">
        <v>1</v>
      </c>
      <c r="H162" s="63">
        <v>1</v>
      </c>
      <c r="I162" s="64">
        <v>45888</v>
      </c>
      <c r="J162" s="65">
        <v>4</v>
      </c>
      <c r="K162" s="66"/>
      <c r="L162" s="66"/>
      <c r="M162" s="66"/>
      <c r="N162" s="66"/>
    </row>
    <row r="163" spans="1:14" s="67" customFormat="1" ht="18.95" customHeight="1">
      <c r="A163" s="68" cm="1">
        <f t="array" ref="A163:J163">IFERROR(IF(ISBLANK(INDEX(_xlfn._xlws.FILTER([1]加工記録２!$D$3:$M$590, [1]加工記録２!$T$3:$T$590=B119), 2)), "", INDEX(_xlfn._xlws.FILTER([1]加工記録２!$D$3:$M$590, [1]加工記録２!$T$3:$T$590=B119), 2)),"")</f>
        <v>45888</v>
      </c>
      <c r="B163" s="69" t="str">
        <v>25G30-01</v>
      </c>
      <c r="C163" s="69" t="str">
        <v/>
      </c>
      <c r="D163" s="69" t="str">
        <v/>
      </c>
      <c r="E163" s="70" t="str">
        <v/>
      </c>
      <c r="F163" s="71" t="str">
        <v>25G30-01</v>
      </c>
      <c r="G163" s="72">
        <v>199</v>
      </c>
      <c r="H163" s="73">
        <v>199</v>
      </c>
      <c r="I163" s="64">
        <v>45889</v>
      </c>
      <c r="J163" s="65">
        <v>7</v>
      </c>
      <c r="K163" s="66"/>
      <c r="L163" s="66"/>
      <c r="M163" s="66"/>
      <c r="N163" s="66"/>
    </row>
    <row r="164" spans="1:14" s="67" customFormat="1" ht="18.95" customHeight="1">
      <c r="A164" s="68" cm="1">
        <f t="array" ref="A164:J164">IFERROR(IF(ISBLANK(INDEX(_xlfn._xlws.FILTER([1]加工記録２!$D$3:$M$590, [1]加工記録２!$T$3:$T$590=B119), 3)), "", INDEX(_xlfn._xlws.FILTER([1]加工記録２!$D$3:$M$590, [1]加工記録２!$T$3:$T$590=B119), 3)),"")</f>
        <v>45889</v>
      </c>
      <c r="B164" s="69" t="str">
        <v>25G30-01</v>
      </c>
      <c r="C164" s="69" t="str">
        <v/>
      </c>
      <c r="D164" s="69" t="str">
        <v/>
      </c>
      <c r="E164" s="70" t="str">
        <v/>
      </c>
      <c r="F164" s="71" t="str">
        <v/>
      </c>
      <c r="G164" s="72" t="str">
        <v/>
      </c>
      <c r="H164" s="73">
        <v>0</v>
      </c>
      <c r="I164" s="64" t="str">
        <v/>
      </c>
      <c r="J164" s="65" t="str">
        <v/>
      </c>
      <c r="K164" s="66"/>
      <c r="L164" s="66"/>
      <c r="M164" s="66"/>
      <c r="N164" s="66"/>
    </row>
    <row r="165" spans="1:14" s="67" customFormat="1" ht="18.95" customHeight="1">
      <c r="A165" s="68" t="str" cm="1">
        <f t="array" ref="A165:J165">IFERROR(IF(ISBLANK(INDEX(_xlfn._xlws.FILTER([1]加工記録２!$D$3:$M$590, [1]加工記録２!$T$3:$T$590=B119), 4)), "", INDEX(_xlfn._xlws.FILTER([1]加工記録２!$D$3:$M$590, [1]加工記録２!$T$3:$T$590=B119), 4)),"")</f>
        <v/>
      </c>
      <c r="B165" s="69" t="str">
        <v/>
      </c>
      <c r="C165" s="69" t="str">
        <v/>
      </c>
      <c r="D165" s="69" t="str">
        <v/>
      </c>
      <c r="E165" s="70" t="str">
        <v/>
      </c>
      <c r="F165" s="71" t="str">
        <v/>
      </c>
      <c r="G165" s="72" t="str">
        <v/>
      </c>
      <c r="H165" s="73">
        <v>0</v>
      </c>
      <c r="I165" s="64" t="str">
        <v/>
      </c>
      <c r="J165" s="65" t="str">
        <v/>
      </c>
      <c r="K165" s="66"/>
      <c r="L165" s="66"/>
      <c r="M165" s="66"/>
      <c r="N165" s="66"/>
    </row>
    <row r="166" spans="1:14" s="67" customFormat="1" ht="18.95" customHeight="1">
      <c r="A166" s="68" t="str" cm="1">
        <f t="array" ref="A166:J166">IFERROR(IF(ISBLANK(INDEX(_xlfn._xlws.FILTER([1]加工記録２!$D$3:$M$590, [1]加工記録２!$T$3:$T$590=B119), 5)), "", INDEX(_xlfn._xlws.FILTER([1]加工記録２!$D$3:$M$590, [1]加工記録２!$T$3:$T$590=B119), 5)),"")</f>
        <v/>
      </c>
      <c r="B166" s="69" t="str">
        <v/>
      </c>
      <c r="C166" s="69" t="str">
        <v/>
      </c>
      <c r="D166" s="69" t="str">
        <v/>
      </c>
      <c r="E166" s="70" t="str">
        <v/>
      </c>
      <c r="F166" s="71" t="str">
        <v/>
      </c>
      <c r="G166" s="72" t="str">
        <v/>
      </c>
      <c r="H166" s="73">
        <v>0</v>
      </c>
      <c r="I166" s="74" t="str">
        <v/>
      </c>
      <c r="J166" s="75" t="str">
        <v/>
      </c>
      <c r="K166" s="66"/>
      <c r="L166" s="66"/>
      <c r="M166" s="66"/>
      <c r="N166" s="66"/>
    </row>
    <row r="167" spans="1:14" s="67" customFormat="1" ht="18.95" customHeight="1">
      <c r="A167" s="68" t="str" cm="1">
        <f t="array" ref="A167:J167">IFERROR(IF(ISBLANK(INDEX(_xlfn._xlws.FILTER([1]加工記録２!$D$3:$M$590, [1]加工記録２!$T$3:$T$590=B119), 6)), "", INDEX(_xlfn._xlws.FILTER([1]加工記録２!$D$3:$M$590, [1]加工記録２!$T$3:$T$590=B119), 6)),"")</f>
        <v/>
      </c>
      <c r="B167" s="69" t="str">
        <v/>
      </c>
      <c r="C167" s="69" t="str">
        <v/>
      </c>
      <c r="D167" s="69" t="str">
        <v/>
      </c>
      <c r="E167" s="70" t="str">
        <v/>
      </c>
      <c r="F167" s="71" t="str">
        <v/>
      </c>
      <c r="G167" s="72" t="str">
        <v/>
      </c>
      <c r="H167" s="76">
        <v>0</v>
      </c>
      <c r="I167" s="77" t="str">
        <v>旧品加工</v>
      </c>
      <c r="J167" s="78">
        <v>1</v>
      </c>
      <c r="K167" s="66"/>
      <c r="L167" s="66"/>
      <c r="M167" s="66"/>
      <c r="N167" s="66"/>
    </row>
    <row r="168" spans="1:14" s="67" customFormat="1" ht="18.95" customHeight="1">
      <c r="A168" s="68" t="str" cm="1">
        <f t="array" ref="A168:J168">IFERROR(IF(ISBLANK(INDEX(_xlfn._xlws.FILTER([1]加工記録２!$D$3:$M$590, [1]加工記録２!$T$3:$T$590=B119), 7)), "", INDEX(_xlfn._xlws.FILTER([1]加工記録２!$D$3:$M$590, [1]加工記録２!$T$3:$T$590=B119), 7)),"")</f>
        <v/>
      </c>
      <c r="B168" s="69" t="str">
        <v/>
      </c>
      <c r="C168" s="69" t="str">
        <v/>
      </c>
      <c r="D168" s="69" t="str">
        <v/>
      </c>
      <c r="E168" s="70" t="str">
        <v/>
      </c>
      <c r="F168" s="71" t="str">
        <v/>
      </c>
      <c r="G168" s="72" t="str">
        <v/>
      </c>
      <c r="H168" s="76">
        <v>0</v>
      </c>
      <c r="I168" s="79" t="str">
        <v>持出端材</v>
      </c>
      <c r="J168" s="80" t="str">
        <v/>
      </c>
      <c r="K168" s="66"/>
      <c r="L168" s="66"/>
      <c r="M168" s="66"/>
      <c r="N168" s="66"/>
    </row>
    <row r="169" spans="1:14" s="67" customFormat="1" ht="18.95" customHeight="1" thickBot="1">
      <c r="A169" s="81" t="str" cm="1">
        <f t="array" ref="A169:J169">IFERROR(IF(ISBLANK(INDEX(_xlfn._xlws.FILTER([1]加工記録２!$D$3:$M$590, [1]加工記録２!$T$3:$T$590=B119), 8)), "", INDEX(_xlfn._xlws.FILTER([1]加工記録２!$D$3:$M$590, [1]加工記録２!$T$3:$T$590=B119), 8)),"")</f>
        <v/>
      </c>
      <c r="B169" s="82" t="str">
        <v/>
      </c>
      <c r="C169" s="82" t="str">
        <v/>
      </c>
      <c r="D169" s="82" t="str">
        <v/>
      </c>
      <c r="E169" s="83" t="str">
        <v/>
      </c>
      <c r="F169" s="84" t="str">
        <v/>
      </c>
      <c r="G169" s="85" t="str">
        <v/>
      </c>
      <c r="H169" s="86">
        <v>0</v>
      </c>
      <c r="I169" s="87" t="str">
        <v>α端材</v>
      </c>
      <c r="J169" s="88">
        <v>0</v>
      </c>
      <c r="K169" s="66"/>
      <c r="L169" s="66"/>
      <c r="M169" s="66"/>
      <c r="N169" s="66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26" t="s">
        <v>0</v>
      </c>
      <c r="C172" s="90"/>
      <c r="D172" s="90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90"/>
      <c r="C173" s="90"/>
      <c r="D173" s="90"/>
      <c r="E173" s="13"/>
      <c r="F173" s="13"/>
      <c r="G173" s="13"/>
      <c r="H173" s="13"/>
      <c r="I173" s="13"/>
      <c r="J173" s="13"/>
    </row>
    <row r="174" spans="1:14" ht="14.25" customHeight="1">
      <c r="A174" s="106" t="s">
        <v>1</v>
      </c>
      <c r="B174" s="106" t="s">
        <v>78</v>
      </c>
      <c r="C174" s="106" t="s">
        <v>3</v>
      </c>
      <c r="D174" s="125">
        <v>1183</v>
      </c>
      <c r="E174" s="106" t="s">
        <v>4</v>
      </c>
      <c r="F174" s="100" t="s">
        <v>79</v>
      </c>
      <c r="G174" s="90"/>
      <c r="H174" s="94"/>
      <c r="I174" s="14" t="s">
        <v>6</v>
      </c>
      <c r="J174" s="14" t="s">
        <v>7</v>
      </c>
    </row>
    <row r="175" spans="1:14" ht="14.25" customHeight="1">
      <c r="A175" s="90"/>
      <c r="B175" s="90"/>
      <c r="C175" s="90"/>
      <c r="D175" s="90"/>
      <c r="E175" s="90"/>
      <c r="F175" s="90"/>
      <c r="G175" s="90"/>
      <c r="H175" s="94"/>
      <c r="I175" s="101"/>
      <c r="J175" s="101"/>
    </row>
    <row r="176" spans="1:14" ht="17.45" customHeight="1">
      <c r="A176" s="105" t="s">
        <v>8</v>
      </c>
      <c r="B176" s="105" t="s">
        <v>80</v>
      </c>
      <c r="E176" s="105" t="s">
        <v>10</v>
      </c>
      <c r="F176" s="98" t="s">
        <v>11</v>
      </c>
      <c r="G176" s="90"/>
      <c r="H176" s="94"/>
      <c r="I176" s="102"/>
      <c r="J176" s="102"/>
    </row>
    <row r="177" spans="1:10" ht="17.45" customHeight="1">
      <c r="A177" s="90"/>
      <c r="B177" s="90"/>
      <c r="E177" s="90"/>
      <c r="F177" s="90"/>
      <c r="G177" s="90"/>
      <c r="H177" s="94"/>
      <c r="I177" s="15"/>
      <c r="J177" s="15"/>
    </row>
    <row r="178" spans="1:10" ht="17.45" customHeight="1">
      <c r="A178" s="105" t="s">
        <v>12</v>
      </c>
      <c r="B178" s="105" t="s">
        <v>81</v>
      </c>
      <c r="E178" s="2" t="s">
        <v>14</v>
      </c>
      <c r="F178" s="121" t="s">
        <v>15</v>
      </c>
      <c r="G178" s="90"/>
      <c r="H178" s="22"/>
    </row>
    <row r="179" spans="1:10" ht="17.45" customHeight="1">
      <c r="A179" s="90"/>
      <c r="B179" s="90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45888</v>
      </c>
      <c r="E180" s="2" t="s">
        <v>19</v>
      </c>
      <c r="F180" s="92">
        <v>16</v>
      </c>
      <c r="G180" s="90"/>
      <c r="H180" s="22"/>
    </row>
    <row r="181" spans="1:10" ht="17.45" customHeight="1">
      <c r="A181" s="2" t="s">
        <v>20</v>
      </c>
      <c r="B181" s="4">
        <v>45888</v>
      </c>
      <c r="E181" s="2" t="s">
        <v>21</v>
      </c>
      <c r="F181" s="22">
        <v>25</v>
      </c>
      <c r="G181" s="109" t="s">
        <v>22</v>
      </c>
      <c r="H181" s="113">
        <v>400</v>
      </c>
      <c r="I181" s="114"/>
      <c r="J181" s="115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10"/>
      <c r="H182" s="110"/>
      <c r="I182" s="95"/>
      <c r="J182" s="96"/>
    </row>
    <row r="183" spans="1:10" ht="13.5" customHeight="1">
      <c r="A183" s="124" t="s">
        <v>82</v>
      </c>
      <c r="B183" s="90"/>
      <c r="C183" s="90"/>
      <c r="D183" s="21"/>
      <c r="F183" s="3"/>
      <c r="G183" s="120" t="s">
        <v>26</v>
      </c>
      <c r="H183" s="116" t="s">
        <v>27</v>
      </c>
      <c r="I183" s="93" t="s">
        <v>28</v>
      </c>
      <c r="J183" s="94"/>
    </row>
    <row r="184" spans="1:10" ht="13.5" customHeight="1">
      <c r="A184" s="90"/>
      <c r="B184" s="90"/>
      <c r="C184" s="90"/>
      <c r="D184" s="21"/>
      <c r="F184" s="3"/>
      <c r="G184" s="117"/>
      <c r="H184" s="117"/>
      <c r="I184" s="95"/>
      <c r="J184" s="96"/>
    </row>
    <row r="185" spans="1:10" ht="13.5" customHeight="1">
      <c r="A185" s="1" t="s">
        <v>29</v>
      </c>
    </row>
    <row r="186" spans="1:10" ht="63" customHeight="1">
      <c r="A186" s="122"/>
      <c r="B186" s="123"/>
      <c r="C186" s="123"/>
      <c r="D186" s="123"/>
      <c r="E186" s="123"/>
      <c r="F186" s="123"/>
      <c r="G186" s="123"/>
      <c r="H186" s="123"/>
      <c r="I186" s="123"/>
      <c r="J186" s="123"/>
    </row>
    <row r="187" spans="1:10" ht="18.75">
      <c r="A187" s="24" t="s">
        <v>30</v>
      </c>
      <c r="B187" s="17" t="s">
        <v>31</v>
      </c>
      <c r="C187" s="107" t="s">
        <v>32</v>
      </c>
      <c r="D187" s="108"/>
      <c r="E187" s="17" t="s">
        <v>33</v>
      </c>
      <c r="F187" s="107" t="s">
        <v>34</v>
      </c>
      <c r="G187" s="108"/>
      <c r="H187" s="108"/>
      <c r="I187" s="119" t="s">
        <v>35</v>
      </c>
      <c r="J187" s="10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89" t="s">
        <v>37</v>
      </c>
      <c r="D189" s="90"/>
      <c r="E189" s="25" t="s">
        <v>38</v>
      </c>
      <c r="F189" s="89" t="s">
        <v>39</v>
      </c>
      <c r="G189" s="90"/>
      <c r="H189" s="90"/>
      <c r="I189" s="99"/>
      <c r="J189" s="90"/>
    </row>
    <row r="190" spans="1:10" ht="16.5" customHeight="1">
      <c r="A190" s="23">
        <v>1</v>
      </c>
      <c r="B190" s="26" t="s">
        <v>36</v>
      </c>
      <c r="C190" s="89" t="s">
        <v>37</v>
      </c>
      <c r="D190" s="90"/>
      <c r="E190" s="25" t="s">
        <v>40</v>
      </c>
      <c r="F190" s="89" t="s">
        <v>41</v>
      </c>
      <c r="G190" s="90"/>
      <c r="H190" s="90"/>
      <c r="I190" s="99"/>
      <c r="J190" s="90"/>
    </row>
    <row r="191" spans="1:10" ht="16.5" customHeight="1">
      <c r="A191" s="23"/>
      <c r="B191" s="26"/>
      <c r="C191" s="89"/>
      <c r="D191" s="90"/>
      <c r="E191" s="25"/>
      <c r="F191" s="89"/>
      <c r="G191" s="90"/>
      <c r="H191" s="90"/>
      <c r="I191" s="99"/>
      <c r="J191" s="90"/>
    </row>
    <row r="192" spans="1:10" ht="16.5" customHeight="1">
      <c r="A192" s="23"/>
      <c r="B192" s="26"/>
      <c r="C192" s="89"/>
      <c r="D192" s="90"/>
      <c r="E192" s="25"/>
      <c r="F192" s="89"/>
      <c r="G192" s="90"/>
      <c r="H192" s="90"/>
      <c r="I192" s="99"/>
      <c r="J192" s="90"/>
    </row>
    <row r="193" spans="1:10" ht="16.5" customHeight="1">
      <c r="A193" s="23"/>
      <c r="B193" s="26"/>
      <c r="C193" s="89"/>
      <c r="D193" s="90"/>
      <c r="E193" s="25"/>
      <c r="F193" s="89"/>
      <c r="G193" s="90"/>
      <c r="H193" s="90"/>
      <c r="I193" s="99"/>
      <c r="J193" s="90"/>
    </row>
    <row r="194" spans="1:10" ht="16.5" customHeight="1">
      <c r="A194" s="23"/>
      <c r="B194" s="26"/>
      <c r="C194" s="89"/>
      <c r="D194" s="90"/>
      <c r="E194" s="25"/>
      <c r="F194" s="89"/>
      <c r="G194" s="90"/>
      <c r="H194" s="90"/>
      <c r="I194" s="99"/>
      <c r="J194" s="90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03" t="s">
        <v>42</v>
      </c>
      <c r="B196" s="104"/>
      <c r="C196" s="103" t="s">
        <v>43</v>
      </c>
      <c r="D196" s="104"/>
      <c r="E196" s="104"/>
      <c r="F196" s="18" t="s">
        <v>44</v>
      </c>
      <c r="G196" s="103" t="s">
        <v>45</v>
      </c>
      <c r="H196" s="104"/>
      <c r="I196" s="103" t="s">
        <v>46</v>
      </c>
      <c r="J196" s="104"/>
    </row>
    <row r="197" spans="1:10" ht="14.25" customHeight="1">
      <c r="A197" s="8"/>
      <c r="B197" s="19"/>
      <c r="C197" s="118" t="s">
        <v>47</v>
      </c>
      <c r="D197" s="95"/>
      <c r="E197" s="19"/>
      <c r="F197" s="118" t="s">
        <v>29</v>
      </c>
      <c r="G197" s="95"/>
      <c r="H197" s="95"/>
      <c r="I197" s="95"/>
      <c r="J197" s="95"/>
    </row>
    <row r="198" spans="1:10">
      <c r="A198" s="9"/>
      <c r="C198" s="7"/>
      <c r="D198" s="7"/>
      <c r="E198" s="7"/>
    </row>
    <row r="199" spans="1:10" ht="14.25" customHeight="1">
      <c r="A199" s="89" t="s">
        <v>83</v>
      </c>
      <c r="B199" s="90"/>
      <c r="C199" s="89" t="s">
        <v>84</v>
      </c>
      <c r="D199" s="90"/>
      <c r="E199" s="90"/>
      <c r="F199" s="27" t="s">
        <v>50</v>
      </c>
      <c r="G199" s="97">
        <v>400</v>
      </c>
      <c r="H199" s="90"/>
      <c r="I199" s="97">
        <v>25</v>
      </c>
      <c r="J199" s="90"/>
    </row>
    <row r="200" spans="1:10" ht="24.95" customHeight="1">
      <c r="A200" s="91" t="s">
        <v>85</v>
      </c>
      <c r="B200" s="90"/>
      <c r="C200" s="89" t="s">
        <v>11</v>
      </c>
      <c r="D200" s="90"/>
      <c r="E200" s="90"/>
      <c r="F200" s="89"/>
      <c r="G200" s="90"/>
      <c r="H200" s="90"/>
      <c r="I200" s="90"/>
      <c r="J200" s="90"/>
    </row>
    <row r="201" spans="1:10" ht="14.25" customHeight="1">
      <c r="A201" s="89" t="s">
        <v>52</v>
      </c>
      <c r="B201" s="90"/>
      <c r="C201" s="89" t="s">
        <v>53</v>
      </c>
      <c r="D201" s="90"/>
      <c r="E201" s="90"/>
      <c r="F201" s="27" t="s">
        <v>27</v>
      </c>
      <c r="G201" s="97">
        <v>25.2</v>
      </c>
      <c r="H201" s="90"/>
      <c r="I201" s="97">
        <v>1.575</v>
      </c>
      <c r="J201" s="90"/>
    </row>
    <row r="202" spans="1:10" ht="24.95" customHeight="1">
      <c r="A202" s="91" t="s">
        <v>54</v>
      </c>
      <c r="B202" s="90"/>
      <c r="C202" s="89"/>
      <c r="D202" s="90"/>
      <c r="E202" s="90"/>
      <c r="F202" s="89"/>
      <c r="G202" s="90"/>
      <c r="H202" s="90"/>
      <c r="I202" s="90"/>
      <c r="J202" s="90"/>
    </row>
    <row r="203" spans="1:10" ht="14.25" customHeight="1">
      <c r="A203" s="89" t="s">
        <v>55</v>
      </c>
      <c r="B203" s="90"/>
      <c r="C203" s="89" t="s">
        <v>56</v>
      </c>
      <c r="D203" s="90"/>
      <c r="E203" s="90"/>
      <c r="F203" s="27"/>
      <c r="G203" s="97">
        <v>1.6</v>
      </c>
      <c r="H203" s="90"/>
      <c r="I203" s="97">
        <v>0.1</v>
      </c>
      <c r="J203" s="90"/>
    </row>
    <row r="204" spans="1:10" ht="24.95" customHeight="1">
      <c r="A204" s="91" t="s">
        <v>57</v>
      </c>
      <c r="B204" s="90"/>
      <c r="C204" s="89" t="s">
        <v>58</v>
      </c>
      <c r="D204" s="90"/>
      <c r="E204" s="90"/>
      <c r="F204" s="89"/>
      <c r="G204" s="90"/>
      <c r="H204" s="90"/>
      <c r="I204" s="90"/>
      <c r="J204" s="90"/>
    </row>
    <row r="205" spans="1:10" ht="14.25" customHeight="1">
      <c r="A205" s="89"/>
      <c r="B205" s="90"/>
      <c r="C205" s="89"/>
      <c r="D205" s="90"/>
      <c r="E205" s="90"/>
      <c r="F205" s="27"/>
      <c r="G205" s="97"/>
      <c r="H205" s="90"/>
      <c r="I205" s="97"/>
      <c r="J205" s="90"/>
    </row>
    <row r="206" spans="1:10" ht="24.95" customHeight="1">
      <c r="A206" s="91"/>
      <c r="B206" s="90"/>
      <c r="C206" s="89"/>
      <c r="D206" s="90"/>
      <c r="E206" s="90"/>
      <c r="F206" s="89"/>
      <c r="G206" s="90"/>
      <c r="H206" s="90"/>
      <c r="I206" s="90"/>
      <c r="J206" s="90"/>
    </row>
    <row r="207" spans="1:10" ht="14.25" customHeight="1">
      <c r="A207" s="89"/>
      <c r="B207" s="90"/>
      <c r="C207" s="89"/>
      <c r="D207" s="90"/>
      <c r="E207" s="90"/>
      <c r="F207" s="27"/>
      <c r="G207" s="97"/>
      <c r="H207" s="90"/>
      <c r="I207" s="97"/>
      <c r="J207" s="90"/>
    </row>
    <row r="208" spans="1:10" ht="24.95" customHeight="1" thickBot="1">
      <c r="A208" s="91"/>
      <c r="B208" s="90"/>
      <c r="C208" s="89"/>
      <c r="D208" s="90"/>
      <c r="E208" s="90"/>
      <c r="F208" s="89"/>
      <c r="G208" s="90"/>
      <c r="H208" s="90"/>
      <c r="I208" s="90"/>
      <c r="J208" s="90"/>
    </row>
    <row r="209" spans="1:14" s="5" customFormat="1" ht="18" customHeight="1">
      <c r="A209" s="144" t="s">
        <v>118</v>
      </c>
      <c r="B209" s="145"/>
      <c r="C209" s="145"/>
      <c r="D209" s="145"/>
      <c r="E209" s="146" t="s">
        <v>119</v>
      </c>
      <c r="F209" s="147"/>
      <c r="G209" s="28" t="s">
        <v>120</v>
      </c>
      <c r="H209" s="148" t="s">
        <v>121</v>
      </c>
      <c r="I209" s="149"/>
      <c r="J209" s="29" t="s">
        <v>122</v>
      </c>
    </row>
    <row r="210" spans="1:14" s="7" customFormat="1" ht="18" customHeight="1">
      <c r="A210" s="150" t="str">
        <f>_xlfn.XLOOKUP(B174,[1]VFDB2!A:A,[1]VFDB2!A:A)</f>
        <v>J1ZAFJB00211835</v>
      </c>
      <c r="B210" s="151"/>
      <c r="C210" s="151"/>
      <c r="D210" s="151"/>
      <c r="E210" s="135" t="str" cm="1">
        <f t="array" ref="E210">IFERROR(IF(ISBLANK(INDEX(_xlfn._xlws.FILTER([1]加工記録２!$C$3:$C$590, [1]加工記録２!$T$3:$T$590=B176), 6)), "", INDEX(_xlfn._xlws.FILTER([1]加工記録２!$C$3:$C$590, [1]加工記録２!$T$3:$T$590=B176), 6)),"")</f>
        <v>灯具-1　L=1370</v>
      </c>
      <c r="F210" s="136"/>
      <c r="G210" s="154" cm="1">
        <f t="array" ref="G210">IFERROR(IF(ISBLANK(INDEX(_xlfn._xlws.FILTER([1]加工記録２!$C$3:$C$590, [1]加工記録２!$T$3:$T$590=B176), 7)), " ", INDEX(_xlfn._xlws.FILTER([1]加工記録２!$C$3:$C$590, [1]加工記録２!$T$3:$T$590=B176), 7))," ")</f>
        <v>19</v>
      </c>
      <c r="H210" s="30" t="s">
        <v>123</v>
      </c>
      <c r="I210" s="31" cm="1">
        <f t="array" ref="I210:J210">IFERROR(IF(ISBLANK(INDEX(_xlfn._xlws.FILTER([1]加工記録２!$O$3:$P$590, [1]加工記録２!$T$3:$T$590=B176), 1)), "", INDEX(_xlfn._xlws.FILTER([1]加工記録２!$O$3:$P$590, [1]加工記録２!$T$3:$T$590=B176), 1)),"")</f>
        <v>45877</v>
      </c>
      <c r="J210" s="32">
        <v>35</v>
      </c>
    </row>
    <row r="211" spans="1:14" s="5" customFormat="1" ht="18" customHeight="1">
      <c r="A211" s="152"/>
      <c r="B211" s="153"/>
      <c r="C211" s="153"/>
      <c r="D211" s="153"/>
      <c r="E211" s="135"/>
      <c r="F211" s="136"/>
      <c r="G211" s="154"/>
      <c r="H211" s="30" t="s">
        <v>124</v>
      </c>
      <c r="I211" s="33" cm="1">
        <f t="array" ref="I211:J211">IFERROR(IF(ISBLANK(INDEX(_xlfn._xlws.FILTER([1]加工記録２!$O$3:$P$590, [1]加工記録２!$T$3:$T$590=B176), 2)), "", INDEX(_xlfn._xlws.FILTER([1]加工記録２!$O$3:$P$590, [1]加工記録２!$T$3:$T$590=B176), 2)),"")</f>
        <v>304</v>
      </c>
      <c r="J211" s="34">
        <v>43</v>
      </c>
      <c r="K211" s="35"/>
    </row>
    <row r="212" spans="1:14" s="7" customFormat="1" ht="18" customHeight="1">
      <c r="A212" s="155" t="s">
        <v>125</v>
      </c>
      <c r="B212" s="129" t="str">
        <f>_xlfn.XLOOKUP(B174,[1]VFDB2!A:A,[1]VFDB2!J:J)</f>
        <v>-</v>
      </c>
      <c r="C212" s="131" t="s">
        <v>126</v>
      </c>
      <c r="D212" s="133">
        <f>_xlfn.XLOOKUP(B174,[1]VFDB2!A:A,[1]VFDB2!P:P)</f>
        <v>1</v>
      </c>
      <c r="E212" s="135" t="str">
        <f>_xlfn.XLOOKUP(B174,[1]VFDB2!A:A,[1]VFDB2!V:V)</f>
        <v>梱包箱:1370　隙間埋め</v>
      </c>
      <c r="F212" s="136"/>
      <c r="G212" s="137"/>
      <c r="H212" s="36" t="s">
        <v>127</v>
      </c>
      <c r="I212" s="33" cm="1">
        <f t="array" ref="I212:J212">IFERROR(IF(ISBLANK(INDEX(_xlfn._xlws.FILTER([1]加工記録２!$O$3:$P$590, [1]加工記録２!$T$3:$T$590=B176), 3)), "", INDEX(_xlfn._xlws.FILTER([1]加工記録２!$O$3:$P$590, [1]加工記録２!$T$3:$T$590=B176), 3)),"")</f>
        <v>400</v>
      </c>
      <c r="J212" s="37">
        <v>5</v>
      </c>
      <c r="K212" s="38"/>
    </row>
    <row r="213" spans="1:14" s="5" customFormat="1" ht="18" customHeight="1">
      <c r="A213" s="156"/>
      <c r="B213" s="130"/>
      <c r="C213" s="132"/>
      <c r="D213" s="134"/>
      <c r="E213" s="135"/>
      <c r="F213" s="136"/>
      <c r="G213" s="137"/>
      <c r="H213" s="36" t="s">
        <v>128</v>
      </c>
      <c r="I213" s="33" cm="1">
        <f t="array" ref="I213:J213">IFERROR(IF(ISBLANK(INDEX(_xlfn._xlws.FILTER([1]加工記録２!$O$3:$P$590, [1]加工記録２!$T$3:$T$590=B176), 4)), "", INDEX(_xlfn._xlws.FILTER([1]加工記録２!$O$3:$P$590, [1]加工記録２!$T$3:$T$590=B176), 4)),"")</f>
        <v>96</v>
      </c>
      <c r="J213" s="39" t="str">
        <v/>
      </c>
      <c r="K213" s="35"/>
    </row>
    <row r="214" spans="1:14" s="7" customFormat="1" ht="18" customHeight="1">
      <c r="A214" s="127" t="s">
        <v>129</v>
      </c>
      <c r="B214" s="138">
        <f>D174</f>
        <v>1183</v>
      </c>
      <c r="C214" s="140" t="s">
        <v>130</v>
      </c>
      <c r="D214" s="142" t="str">
        <f>_xlfn.XLOOKUP(B174,[1]VFDB2!A:A,[1]VFDB2!L:L)</f>
        <v>+2</v>
      </c>
      <c r="E214" s="135" t="str">
        <f>_xlfn.XLOOKUP(B174,[1]VFDB2!A:A,[1]VFDB2!W:W)</f>
        <v>クラフト紙：1370型</v>
      </c>
      <c r="F214" s="136"/>
      <c r="G214" s="137"/>
      <c r="H214" s="36" t="s">
        <v>131</v>
      </c>
      <c r="I214" s="33" cm="1">
        <f t="array" ref="I214:J214">IFERROR(IF(ISBLANK(INDEX(_xlfn._xlws.FILTER([1]加工記録２!$O$3:$P$590, [1]加工記録２!$T$3:$T$590=B176), 5)), "", INDEX(_xlfn._xlws.FILTER([1]加工記録２!$O$3:$P$590, [1]加工記録２!$T$3:$T$590=B176), 5)),"")</f>
        <v>96</v>
      </c>
      <c r="J214" s="40" t="str">
        <v/>
      </c>
      <c r="K214" s="38"/>
    </row>
    <row r="215" spans="1:14" s="5" customFormat="1" ht="18" customHeight="1">
      <c r="A215" s="128"/>
      <c r="B215" s="139"/>
      <c r="C215" s="141"/>
      <c r="D215" s="143"/>
      <c r="E215" s="135"/>
      <c r="F215" s="136"/>
      <c r="G215" s="137"/>
      <c r="H215" s="36" t="s">
        <v>132</v>
      </c>
      <c r="I215" s="33" cm="1">
        <f t="array" ref="I215:J215">IFERROR(IF(ISBLANK(INDEX(_xlfn._xlws.FILTER([1]加工記録２!$O$3:$P$590, [1]加工記録２!$T$3:$T$590=B176), 6)), "", INDEX(_xlfn._xlws.FILTER([1]加工記録２!$O$3:$P$590, [1]加工記録２!$T$3:$T$590=B176), 6)),"")</f>
        <v>0</v>
      </c>
      <c r="J215" s="41">
        <v>13</v>
      </c>
      <c r="K215" s="35"/>
    </row>
    <row r="216" spans="1:14" s="7" customFormat="1" ht="18" customHeight="1">
      <c r="A216" s="155" t="s">
        <v>133</v>
      </c>
      <c r="B216" s="158" t="str">
        <f>_xlfn.XLOOKUP(B174,[1]VFDB2!A:A,[1]VFDB2!AC:AC)</f>
        <v>換算表確認</v>
      </c>
      <c r="C216" s="160" t="s">
        <v>134</v>
      </c>
      <c r="D216" s="142">
        <f>_xlfn.XLOOKUP(B174,[1]VFDB2!A:A,[1]VFDB2!K:K)</f>
        <v>-2</v>
      </c>
      <c r="E216" s="135" t="str">
        <f>_xlfn.XLOOKUP(B174,[1]VFDB2!A:A,[1]VFDB2!R:R)</f>
        <v>ラベル2枚　長手有　鉢巻１</v>
      </c>
      <c r="F216" s="136"/>
      <c r="G216" s="137"/>
      <c r="H216" s="36" t="s">
        <v>135</v>
      </c>
      <c r="I216" s="33" t="str" cm="1">
        <f t="array" ref="I216:J216">IFERROR(IF(ISBLANK(INDEX(_xlfn._xlws.FILTER([1]加工記録２!$O$3:$P$590, [1]加工記録２!$T$3:$T$590=B176), 7)), "", INDEX(_xlfn._xlws.FILTER([1]加工記録２!$O$3:$P$590, [1]加工記録２!$T$3:$T$590=B176), 7)),"")</f>
        <v>-</v>
      </c>
      <c r="J216" s="42" t="str">
        <v/>
      </c>
      <c r="K216" s="38"/>
    </row>
    <row r="217" spans="1:14" s="5" customFormat="1" ht="18" customHeight="1" thickBot="1">
      <c r="A217" s="157"/>
      <c r="B217" s="159"/>
      <c r="C217" s="161"/>
      <c r="D217" s="162"/>
      <c r="E217" s="163"/>
      <c r="F217" s="164"/>
      <c r="G217" s="165"/>
      <c r="H217" s="43" t="s">
        <v>136</v>
      </c>
      <c r="I217" s="44" t="str" cm="1">
        <f t="array" ref="I217:J217">IFERROR(IF(ISBLANK(INDEX(_xlfn._xlws.FILTER([1]加工記録２!$O$3:$P$590, [1]加工記録２!$T$3:$T$590=B176), 8)), "", INDEX(_xlfn._xlws.FILTER([1]加工記録２!$O$3:$P$590, [1]加工記録２!$T$3:$T$590=B176), 8)),"")</f>
        <v>水野・高森</v>
      </c>
      <c r="J217" s="45">
        <v>96</v>
      </c>
    </row>
    <row r="218" spans="1:14" s="56" customFormat="1" ht="18.95" customHeight="1">
      <c r="A218" s="46" t="s">
        <v>137</v>
      </c>
      <c r="B218" s="47" t="s">
        <v>138</v>
      </c>
      <c r="C218" s="48" t="s">
        <v>139</v>
      </c>
      <c r="D218" s="48" t="s">
        <v>140</v>
      </c>
      <c r="E218" s="49" t="s">
        <v>141</v>
      </c>
      <c r="F218" s="50" t="s">
        <v>142</v>
      </c>
      <c r="G218" s="51" t="s">
        <v>143</v>
      </c>
      <c r="H218" s="52" t="s">
        <v>144</v>
      </c>
      <c r="I218" s="53" t="s">
        <v>145</v>
      </c>
      <c r="J218" s="54" t="s">
        <v>146</v>
      </c>
      <c r="K218" s="55"/>
      <c r="L218" s="55"/>
      <c r="M218" s="55"/>
      <c r="N218" s="55"/>
    </row>
    <row r="219" spans="1:14" s="67" customFormat="1" ht="18.95" customHeight="1">
      <c r="A219" s="57" t="str" cm="1">
        <f t="array" ref="A219:J219">IFERROR(IF(ISBLANK(INDEX(_xlfn._xlws.FILTER([1]加工記録２!$D$3:$M$590, [1]加工記録２!$T$3:$T$590=B176), 1)), "", INDEX(_xlfn._xlws.FILTER([1]加工記録２!$D$3:$M$590, [1]加工記録２!$T$3:$T$590=B176), 1)),"")</f>
        <v/>
      </c>
      <c r="B219" s="58" t="str">
        <v/>
      </c>
      <c r="C219" s="59" t="str">
        <v/>
      </c>
      <c r="D219" s="59" t="str">
        <v/>
      </c>
      <c r="E219" s="60" t="str">
        <v/>
      </c>
      <c r="F219" s="61">
        <v>0</v>
      </c>
      <c r="G219" s="62">
        <v>0</v>
      </c>
      <c r="H219" s="63">
        <v>0</v>
      </c>
      <c r="I219" s="64">
        <v>45876</v>
      </c>
      <c r="J219" s="65">
        <v>13</v>
      </c>
      <c r="K219" s="66"/>
      <c r="L219" s="66"/>
      <c r="M219" s="66"/>
      <c r="N219" s="66"/>
    </row>
    <row r="220" spans="1:14" s="67" customFormat="1" ht="18.95" customHeight="1">
      <c r="A220" s="68" cm="1">
        <f t="array" ref="A220:J220">IFERROR(IF(ISBLANK(INDEX(_xlfn._xlws.FILTER([1]加工記録２!$D$3:$M$590, [1]加工記録２!$T$3:$T$590=B176), 2)), "", INDEX(_xlfn._xlws.FILTER([1]加工記録２!$D$3:$M$590, [1]加工記録２!$T$3:$T$590=B176), 2)),"")</f>
        <v>45876</v>
      </c>
      <c r="B220" s="69" t="str">
        <v>25G29-01</v>
      </c>
      <c r="C220" s="69" t="str">
        <v/>
      </c>
      <c r="D220" s="69" t="str">
        <v/>
      </c>
      <c r="E220" s="70" t="str">
        <v/>
      </c>
      <c r="F220" s="71" t="str">
        <v>25G29-01</v>
      </c>
      <c r="G220" s="72">
        <v>200</v>
      </c>
      <c r="H220" s="73">
        <v>200</v>
      </c>
      <c r="I220" s="64">
        <v>45877</v>
      </c>
      <c r="J220" s="65">
        <v>6</v>
      </c>
      <c r="K220" s="66"/>
      <c r="L220" s="66"/>
      <c r="M220" s="66"/>
      <c r="N220" s="66"/>
    </row>
    <row r="221" spans="1:14" s="67" customFormat="1" ht="18.95" customHeight="1">
      <c r="A221" s="68" cm="1">
        <f t="array" ref="A221:J221">IFERROR(IF(ISBLANK(INDEX(_xlfn._xlws.FILTER([1]加工記録２!$D$3:$M$590, [1]加工記録２!$T$3:$T$590=B176), 3)), "", INDEX(_xlfn._xlws.FILTER([1]加工記録２!$D$3:$M$590, [1]加工記録２!$T$3:$T$590=B176), 3)),"")</f>
        <v>45876</v>
      </c>
      <c r="B221" s="69" t="str">
        <v>25G30-02</v>
      </c>
      <c r="C221" s="69" t="str">
        <v/>
      </c>
      <c r="D221" s="69" t="str">
        <v/>
      </c>
      <c r="E221" s="70" t="str">
        <v/>
      </c>
      <c r="F221" s="71" t="str">
        <v>25G30-02</v>
      </c>
      <c r="G221" s="72">
        <v>200</v>
      </c>
      <c r="H221" s="73">
        <v>200</v>
      </c>
      <c r="I221" s="64" t="str">
        <v/>
      </c>
      <c r="J221" s="65" t="str">
        <v/>
      </c>
      <c r="K221" s="66"/>
      <c r="L221" s="66"/>
      <c r="M221" s="66"/>
      <c r="N221" s="66"/>
    </row>
    <row r="222" spans="1:14" s="67" customFormat="1" ht="18.95" customHeight="1">
      <c r="A222" s="68" t="str" cm="1">
        <f t="array" ref="A222:J222">IFERROR(IF(ISBLANK(INDEX(_xlfn._xlws.FILTER([1]加工記録２!$D$3:$M$590, [1]加工記録２!$T$3:$T$590=B176), 4)), "", INDEX(_xlfn._xlws.FILTER([1]加工記録２!$D$3:$M$590, [1]加工記録２!$T$3:$T$590=B176), 4)),"")</f>
        <v/>
      </c>
      <c r="B222" s="69" t="str">
        <v/>
      </c>
      <c r="C222" s="69" t="str">
        <v/>
      </c>
      <c r="D222" s="69" t="str">
        <v/>
      </c>
      <c r="E222" s="70" t="str">
        <v/>
      </c>
      <c r="F222" s="71" t="str">
        <v/>
      </c>
      <c r="G222" s="72" t="str">
        <v/>
      </c>
      <c r="H222" s="73">
        <v>0</v>
      </c>
      <c r="I222" s="64" t="str">
        <v/>
      </c>
      <c r="J222" s="65" t="str">
        <v/>
      </c>
      <c r="K222" s="66"/>
      <c r="L222" s="66"/>
      <c r="M222" s="66"/>
      <c r="N222" s="66"/>
    </row>
    <row r="223" spans="1:14" s="67" customFormat="1" ht="18.95" customHeight="1">
      <c r="A223" s="68" t="str" cm="1">
        <f t="array" ref="A223:J223">IFERROR(IF(ISBLANK(INDEX(_xlfn._xlws.FILTER([1]加工記録２!$D$3:$M$590, [1]加工記録２!$T$3:$T$590=B176), 5)), "", INDEX(_xlfn._xlws.FILTER([1]加工記録２!$D$3:$M$590, [1]加工記録２!$T$3:$T$590=B176), 5)),"")</f>
        <v/>
      </c>
      <c r="B223" s="69" t="str">
        <v/>
      </c>
      <c r="C223" s="69" t="str">
        <v/>
      </c>
      <c r="D223" s="69" t="str">
        <v/>
      </c>
      <c r="E223" s="70" t="str">
        <v/>
      </c>
      <c r="F223" s="71" t="str">
        <v/>
      </c>
      <c r="G223" s="72" t="str">
        <v/>
      </c>
      <c r="H223" s="73">
        <v>0</v>
      </c>
      <c r="I223" s="74" t="str">
        <v/>
      </c>
      <c r="J223" s="75" t="str">
        <v/>
      </c>
      <c r="K223" s="66"/>
      <c r="L223" s="66"/>
      <c r="M223" s="66"/>
      <c r="N223" s="66"/>
    </row>
    <row r="224" spans="1:14" s="67" customFormat="1" ht="18.95" customHeight="1">
      <c r="A224" s="68" t="str" cm="1">
        <f t="array" ref="A224:J224">IFERROR(IF(ISBLANK(INDEX(_xlfn._xlws.FILTER([1]加工記録２!$D$3:$M$590, [1]加工記録２!$T$3:$T$590=B176), 6)), "", INDEX(_xlfn._xlws.FILTER([1]加工記録２!$D$3:$M$590, [1]加工記録２!$T$3:$T$590=B176), 6)),"")</f>
        <v/>
      </c>
      <c r="B224" s="69" t="str">
        <v/>
      </c>
      <c r="C224" s="69" t="str">
        <v/>
      </c>
      <c r="D224" s="69" t="str">
        <v/>
      </c>
      <c r="E224" s="70" t="str">
        <v/>
      </c>
      <c r="F224" s="71" t="str">
        <v/>
      </c>
      <c r="G224" s="72" t="str">
        <v/>
      </c>
      <c r="H224" s="76">
        <v>0</v>
      </c>
      <c r="I224" s="77" t="str">
        <v>旧品加工</v>
      </c>
      <c r="J224" s="78" t="str">
        <v/>
      </c>
      <c r="K224" s="66"/>
      <c r="L224" s="66"/>
      <c r="M224" s="66"/>
      <c r="N224" s="66"/>
    </row>
    <row r="225" spans="1:14" s="67" customFormat="1" ht="18.95" customHeight="1">
      <c r="A225" s="68" t="str" cm="1">
        <f t="array" ref="A225:J225">IFERROR(IF(ISBLANK(INDEX(_xlfn._xlws.FILTER([1]加工記録２!$D$3:$M$590, [1]加工記録２!$T$3:$T$590=B176), 7)), "", INDEX(_xlfn._xlws.FILTER([1]加工記録２!$D$3:$M$590, [1]加工記録２!$T$3:$T$590=B176), 7)),"")</f>
        <v/>
      </c>
      <c r="B225" s="69" t="str">
        <v/>
      </c>
      <c r="C225" s="69" t="str">
        <v/>
      </c>
      <c r="D225" s="69" t="str">
        <v/>
      </c>
      <c r="E225" s="70" t="str">
        <v/>
      </c>
      <c r="F225" s="71" t="str">
        <v/>
      </c>
      <c r="G225" s="72" t="str">
        <v/>
      </c>
      <c r="H225" s="76">
        <v>0</v>
      </c>
      <c r="I225" s="79" t="str">
        <v>持出端材</v>
      </c>
      <c r="J225" s="80" t="str">
        <v/>
      </c>
      <c r="K225" s="66"/>
      <c r="L225" s="66"/>
      <c r="M225" s="66"/>
      <c r="N225" s="66"/>
    </row>
    <row r="226" spans="1:14" s="67" customFormat="1" ht="18.95" customHeight="1" thickBot="1">
      <c r="A226" s="81" t="str" cm="1">
        <f t="array" ref="A226:J226">IFERROR(IF(ISBLANK(INDEX(_xlfn._xlws.FILTER([1]加工記録２!$D$3:$M$590, [1]加工記録２!$T$3:$T$590=B176), 8)), "", INDEX(_xlfn._xlws.FILTER([1]加工記録２!$D$3:$M$590, [1]加工記録２!$T$3:$T$590=B176), 8)),"")</f>
        <v/>
      </c>
      <c r="B226" s="82" t="str">
        <v/>
      </c>
      <c r="C226" s="82" t="str">
        <v/>
      </c>
      <c r="D226" s="82" t="str">
        <v/>
      </c>
      <c r="E226" s="83" t="str">
        <v/>
      </c>
      <c r="F226" s="84" t="str">
        <v/>
      </c>
      <c r="G226" s="85" t="str">
        <v/>
      </c>
      <c r="H226" s="86">
        <v>0</v>
      </c>
      <c r="I226" s="87" t="str">
        <v>α端材</v>
      </c>
      <c r="J226" s="88">
        <v>0</v>
      </c>
      <c r="K226" s="66"/>
      <c r="L226" s="66"/>
      <c r="M226" s="66"/>
      <c r="N226" s="66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26" t="s">
        <v>0</v>
      </c>
      <c r="C229" s="90"/>
      <c r="D229" s="90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90"/>
      <c r="C230" s="90"/>
      <c r="D230" s="90"/>
      <c r="E230" s="13"/>
      <c r="F230" s="13"/>
      <c r="G230" s="13"/>
      <c r="H230" s="13"/>
      <c r="I230" s="13"/>
      <c r="J230" s="13"/>
    </row>
    <row r="231" spans="1:14" ht="14.25" customHeight="1">
      <c r="A231" s="106" t="s">
        <v>1</v>
      </c>
      <c r="B231" s="106" t="s">
        <v>86</v>
      </c>
      <c r="C231" s="106" t="s">
        <v>3</v>
      </c>
      <c r="D231" s="125">
        <v>1258</v>
      </c>
      <c r="E231" s="106" t="s">
        <v>4</v>
      </c>
      <c r="F231" s="100" t="s">
        <v>87</v>
      </c>
      <c r="G231" s="90"/>
      <c r="H231" s="94"/>
      <c r="I231" s="14" t="s">
        <v>6</v>
      </c>
      <c r="J231" s="14" t="s">
        <v>7</v>
      </c>
    </row>
    <row r="232" spans="1:14" ht="14.25" customHeight="1">
      <c r="A232" s="90"/>
      <c r="B232" s="90"/>
      <c r="C232" s="90"/>
      <c r="D232" s="90"/>
      <c r="E232" s="90"/>
      <c r="F232" s="90"/>
      <c r="G232" s="90"/>
      <c r="H232" s="94"/>
      <c r="I232" s="101"/>
      <c r="J232" s="101"/>
    </row>
    <row r="233" spans="1:14" ht="17.45" customHeight="1">
      <c r="A233" s="105" t="s">
        <v>8</v>
      </c>
      <c r="B233" s="105" t="s">
        <v>88</v>
      </c>
      <c r="E233" s="105" t="s">
        <v>10</v>
      </c>
      <c r="F233" s="98" t="s">
        <v>11</v>
      </c>
      <c r="G233" s="90"/>
      <c r="H233" s="94"/>
      <c r="I233" s="102"/>
      <c r="J233" s="102"/>
    </row>
    <row r="234" spans="1:14" ht="17.45" customHeight="1">
      <c r="A234" s="90"/>
      <c r="B234" s="90"/>
      <c r="E234" s="90"/>
      <c r="F234" s="90"/>
      <c r="G234" s="90"/>
      <c r="H234" s="94"/>
      <c r="I234" s="15"/>
      <c r="J234" s="15"/>
    </row>
    <row r="235" spans="1:14" ht="17.45" customHeight="1">
      <c r="A235" s="105" t="s">
        <v>12</v>
      </c>
      <c r="B235" s="105" t="s">
        <v>89</v>
      </c>
      <c r="E235" s="2" t="s">
        <v>14</v>
      </c>
      <c r="F235" s="121" t="s">
        <v>15</v>
      </c>
      <c r="G235" s="90"/>
      <c r="H235" s="22"/>
    </row>
    <row r="236" spans="1:14" ht="17.45" customHeight="1">
      <c r="A236" s="90"/>
      <c r="B236" s="90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45894</v>
      </c>
      <c r="E237" s="2" t="s">
        <v>19</v>
      </c>
      <c r="F237" s="92">
        <v>16</v>
      </c>
      <c r="G237" s="90"/>
      <c r="H237" s="22"/>
    </row>
    <row r="238" spans="1:14" ht="17.45" customHeight="1">
      <c r="A238" s="2" t="s">
        <v>20</v>
      </c>
      <c r="B238" s="4">
        <v>45894</v>
      </c>
      <c r="E238" s="2" t="s">
        <v>21</v>
      </c>
      <c r="F238" s="22">
        <v>12</v>
      </c>
      <c r="G238" s="109" t="s">
        <v>22</v>
      </c>
      <c r="H238" s="113">
        <v>192</v>
      </c>
      <c r="I238" s="114"/>
      <c r="J238" s="115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10"/>
      <c r="H239" s="110"/>
      <c r="I239" s="95"/>
      <c r="J239" s="96"/>
    </row>
    <row r="240" spans="1:14" ht="13.5" customHeight="1">
      <c r="A240" s="124" t="s">
        <v>90</v>
      </c>
      <c r="B240" s="90"/>
      <c r="C240" s="90"/>
      <c r="D240" s="21"/>
      <c r="F240" s="3"/>
      <c r="G240" s="120" t="s">
        <v>26</v>
      </c>
      <c r="H240" s="116" t="s">
        <v>27</v>
      </c>
      <c r="I240" s="93" t="s">
        <v>28</v>
      </c>
      <c r="J240" s="94"/>
    </row>
    <row r="241" spans="1:10" ht="13.5" customHeight="1">
      <c r="A241" s="90"/>
      <c r="B241" s="90"/>
      <c r="C241" s="90"/>
      <c r="D241" s="21"/>
      <c r="F241" s="3"/>
      <c r="G241" s="117"/>
      <c r="H241" s="117"/>
      <c r="I241" s="95"/>
      <c r="J241" s="96"/>
    </row>
    <row r="242" spans="1:10" ht="13.5" customHeight="1">
      <c r="A242" s="1" t="s">
        <v>29</v>
      </c>
    </row>
    <row r="243" spans="1:10" ht="63" customHeight="1">
      <c r="A243" s="122"/>
      <c r="B243" s="123"/>
      <c r="C243" s="123"/>
      <c r="D243" s="123"/>
      <c r="E243" s="123"/>
      <c r="F243" s="123"/>
      <c r="G243" s="123"/>
      <c r="H243" s="123"/>
      <c r="I243" s="123"/>
      <c r="J243" s="123"/>
    </row>
    <row r="244" spans="1:10" ht="18.75">
      <c r="A244" s="24" t="s">
        <v>30</v>
      </c>
      <c r="B244" s="17" t="s">
        <v>31</v>
      </c>
      <c r="C244" s="107" t="s">
        <v>32</v>
      </c>
      <c r="D244" s="108"/>
      <c r="E244" s="17" t="s">
        <v>33</v>
      </c>
      <c r="F244" s="107" t="s">
        <v>34</v>
      </c>
      <c r="G244" s="108"/>
      <c r="H244" s="108"/>
      <c r="I244" s="119" t="s">
        <v>35</v>
      </c>
      <c r="J244" s="10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89" t="s">
        <v>37</v>
      </c>
      <c r="D246" s="90"/>
      <c r="E246" s="25" t="s">
        <v>38</v>
      </c>
      <c r="F246" s="89" t="s">
        <v>39</v>
      </c>
      <c r="G246" s="90"/>
      <c r="H246" s="90"/>
      <c r="I246" s="99"/>
      <c r="J246" s="90"/>
    </row>
    <row r="247" spans="1:10" ht="16.5" customHeight="1">
      <c r="A247" s="23">
        <v>1</v>
      </c>
      <c r="B247" s="26" t="s">
        <v>36</v>
      </c>
      <c r="C247" s="89" t="s">
        <v>37</v>
      </c>
      <c r="D247" s="90"/>
      <c r="E247" s="25" t="s">
        <v>40</v>
      </c>
      <c r="F247" s="89" t="s">
        <v>41</v>
      </c>
      <c r="G247" s="90"/>
      <c r="H247" s="90"/>
      <c r="I247" s="99"/>
      <c r="J247" s="90"/>
    </row>
    <row r="248" spans="1:10" ht="16.5" customHeight="1">
      <c r="A248" s="23"/>
      <c r="B248" s="26"/>
      <c r="C248" s="89"/>
      <c r="D248" s="90"/>
      <c r="E248" s="25"/>
      <c r="F248" s="89"/>
      <c r="G248" s="90"/>
      <c r="H248" s="90"/>
      <c r="I248" s="99"/>
      <c r="J248" s="90"/>
    </row>
    <row r="249" spans="1:10" ht="16.5" customHeight="1">
      <c r="A249" s="23"/>
      <c r="B249" s="26"/>
      <c r="C249" s="89"/>
      <c r="D249" s="90"/>
      <c r="E249" s="25"/>
      <c r="F249" s="89"/>
      <c r="G249" s="90"/>
      <c r="H249" s="90"/>
      <c r="I249" s="99"/>
      <c r="J249" s="90"/>
    </row>
    <row r="250" spans="1:10" ht="16.5" customHeight="1">
      <c r="A250" s="23"/>
      <c r="B250" s="26"/>
      <c r="C250" s="89"/>
      <c r="D250" s="90"/>
      <c r="E250" s="25"/>
      <c r="F250" s="89"/>
      <c r="G250" s="90"/>
      <c r="H250" s="90"/>
      <c r="I250" s="99"/>
      <c r="J250" s="90"/>
    </row>
    <row r="251" spans="1:10" ht="16.5" customHeight="1">
      <c r="A251" s="23"/>
      <c r="B251" s="26"/>
      <c r="C251" s="89"/>
      <c r="D251" s="90"/>
      <c r="E251" s="25"/>
      <c r="F251" s="89"/>
      <c r="G251" s="90"/>
      <c r="H251" s="90"/>
      <c r="I251" s="99"/>
      <c r="J251" s="90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03" t="s">
        <v>42</v>
      </c>
      <c r="B253" s="104"/>
      <c r="C253" s="103" t="s">
        <v>43</v>
      </c>
      <c r="D253" s="104"/>
      <c r="E253" s="104"/>
      <c r="F253" s="18" t="s">
        <v>44</v>
      </c>
      <c r="G253" s="103" t="s">
        <v>45</v>
      </c>
      <c r="H253" s="104"/>
      <c r="I253" s="103" t="s">
        <v>46</v>
      </c>
      <c r="J253" s="104"/>
    </row>
    <row r="254" spans="1:10" ht="14.25" customHeight="1">
      <c r="A254" s="8"/>
      <c r="B254" s="19"/>
      <c r="C254" s="118" t="s">
        <v>47</v>
      </c>
      <c r="D254" s="95"/>
      <c r="E254" s="19"/>
      <c r="F254" s="118" t="s">
        <v>29</v>
      </c>
      <c r="G254" s="95"/>
      <c r="H254" s="95"/>
      <c r="I254" s="95"/>
      <c r="J254" s="95"/>
    </row>
    <row r="255" spans="1:10">
      <c r="A255" s="9"/>
      <c r="C255" s="7"/>
      <c r="D255" s="7"/>
      <c r="E255" s="7"/>
    </row>
    <row r="256" spans="1:10" ht="14.25" customHeight="1">
      <c r="A256" s="89" t="s">
        <v>91</v>
      </c>
      <c r="B256" s="90"/>
      <c r="C256" s="89" t="s">
        <v>92</v>
      </c>
      <c r="D256" s="90"/>
      <c r="E256" s="90"/>
      <c r="F256" s="27" t="s">
        <v>50</v>
      </c>
      <c r="G256" s="97">
        <v>192</v>
      </c>
      <c r="H256" s="90"/>
      <c r="I256" s="97">
        <v>12</v>
      </c>
      <c r="J256" s="90"/>
    </row>
    <row r="257" spans="1:11" ht="24.95" customHeight="1">
      <c r="A257" s="91" t="s">
        <v>93</v>
      </c>
      <c r="B257" s="90"/>
      <c r="C257" s="89" t="s">
        <v>11</v>
      </c>
      <c r="D257" s="90"/>
      <c r="E257" s="90"/>
      <c r="F257" s="89"/>
      <c r="G257" s="90"/>
      <c r="H257" s="90"/>
      <c r="I257" s="90"/>
      <c r="J257" s="90"/>
    </row>
    <row r="258" spans="1:11" ht="14.25" customHeight="1">
      <c r="A258" s="89" t="s">
        <v>52</v>
      </c>
      <c r="B258" s="90"/>
      <c r="C258" s="89" t="s">
        <v>53</v>
      </c>
      <c r="D258" s="90"/>
      <c r="E258" s="90"/>
      <c r="F258" s="27" t="s">
        <v>27</v>
      </c>
      <c r="G258" s="97">
        <v>12.096</v>
      </c>
      <c r="H258" s="90"/>
      <c r="I258" s="97">
        <v>0.75600000000000001</v>
      </c>
      <c r="J258" s="90"/>
    </row>
    <row r="259" spans="1:11" ht="24.95" customHeight="1">
      <c r="A259" s="91" t="s">
        <v>54</v>
      </c>
      <c r="B259" s="90"/>
      <c r="C259" s="89"/>
      <c r="D259" s="90"/>
      <c r="E259" s="90"/>
      <c r="F259" s="89"/>
      <c r="G259" s="90"/>
      <c r="H259" s="90"/>
      <c r="I259" s="90"/>
      <c r="J259" s="90"/>
    </row>
    <row r="260" spans="1:11" ht="14.25" customHeight="1">
      <c r="A260" s="89" t="s">
        <v>55</v>
      </c>
      <c r="B260" s="90"/>
      <c r="C260" s="89" t="s">
        <v>56</v>
      </c>
      <c r="D260" s="90"/>
      <c r="E260" s="90"/>
      <c r="F260" s="27"/>
      <c r="G260" s="97">
        <v>0.76800000000000002</v>
      </c>
      <c r="H260" s="90"/>
      <c r="I260" s="97">
        <v>4.8000000000000001E-2</v>
      </c>
      <c r="J260" s="90"/>
    </row>
    <row r="261" spans="1:11" ht="24.95" customHeight="1">
      <c r="A261" s="91" t="s">
        <v>57</v>
      </c>
      <c r="B261" s="90"/>
      <c r="C261" s="89" t="s">
        <v>58</v>
      </c>
      <c r="D261" s="90"/>
      <c r="E261" s="90"/>
      <c r="F261" s="89"/>
      <c r="G261" s="90"/>
      <c r="H261" s="90"/>
      <c r="I261" s="90"/>
      <c r="J261" s="90"/>
    </row>
    <row r="262" spans="1:11" ht="14.25" customHeight="1">
      <c r="A262" s="89"/>
      <c r="B262" s="90"/>
      <c r="C262" s="89"/>
      <c r="D262" s="90"/>
      <c r="E262" s="90"/>
      <c r="F262" s="27"/>
      <c r="G262" s="97"/>
      <c r="H262" s="90"/>
      <c r="I262" s="97"/>
      <c r="J262" s="90"/>
    </row>
    <row r="263" spans="1:11" ht="24.95" customHeight="1">
      <c r="A263" s="91"/>
      <c r="B263" s="90"/>
      <c r="C263" s="89"/>
      <c r="D263" s="90"/>
      <c r="E263" s="90"/>
      <c r="F263" s="89"/>
      <c r="G263" s="90"/>
      <c r="H263" s="90"/>
      <c r="I263" s="90"/>
      <c r="J263" s="90"/>
    </row>
    <row r="264" spans="1:11" ht="14.25" customHeight="1">
      <c r="A264" s="89"/>
      <c r="B264" s="90"/>
      <c r="C264" s="89"/>
      <c r="D264" s="90"/>
      <c r="E264" s="90"/>
      <c r="F264" s="27"/>
      <c r="G264" s="97"/>
      <c r="H264" s="90"/>
      <c r="I264" s="97"/>
      <c r="J264" s="90"/>
    </row>
    <row r="265" spans="1:11" ht="24.95" customHeight="1" thickBot="1">
      <c r="A265" s="91"/>
      <c r="B265" s="90"/>
      <c r="C265" s="89"/>
      <c r="D265" s="90"/>
      <c r="E265" s="90"/>
      <c r="F265" s="89"/>
      <c r="G265" s="90"/>
      <c r="H265" s="90"/>
      <c r="I265" s="90"/>
      <c r="J265" s="90"/>
    </row>
    <row r="266" spans="1:11" s="5" customFormat="1" ht="18" customHeight="1">
      <c r="A266" s="144" t="s">
        <v>118</v>
      </c>
      <c r="B266" s="145"/>
      <c r="C266" s="145"/>
      <c r="D266" s="145"/>
      <c r="E266" s="146" t="s">
        <v>119</v>
      </c>
      <c r="F266" s="147"/>
      <c r="G266" s="28" t="s">
        <v>120</v>
      </c>
      <c r="H266" s="148" t="s">
        <v>121</v>
      </c>
      <c r="I266" s="149"/>
      <c r="J266" s="29" t="s">
        <v>122</v>
      </c>
    </row>
    <row r="267" spans="1:11" s="7" customFormat="1" ht="18" customHeight="1">
      <c r="A267" s="150" t="str">
        <f>_xlfn.XLOOKUP(B231,[1]VFDB2!A:A,[1]VFDB2!A:A)</f>
        <v>J1ZAFJB00212585</v>
      </c>
      <c r="B267" s="151"/>
      <c r="C267" s="151"/>
      <c r="D267" s="151"/>
      <c r="E267" s="135" t="str" cm="1">
        <f t="array" ref="E267">IFERROR(IF(ISBLANK(INDEX(_xlfn._xlws.FILTER([1]加工記録２!$C$3:$C$590, [1]加工記録２!$T$3:$T$590=B233), 6)), "", INDEX(_xlfn._xlws.FILTER([1]加工記録２!$C$3:$C$590, [1]加工記録２!$T$3:$T$590=B233), 6)),"")</f>
        <v>灯具-1　L=1370</v>
      </c>
      <c r="F267" s="136"/>
      <c r="G267" s="154" cm="1">
        <f t="array" ref="G267">IFERROR(IF(ISBLANK(INDEX(_xlfn._xlws.FILTER([1]加工記録２!$C$3:$C$590, [1]加工記録２!$T$3:$T$590=B233), 7)), " ", INDEX(_xlfn._xlws.FILTER([1]加工記録２!$C$3:$C$590, [1]加工記録２!$T$3:$T$590=B233), 7))," ")</f>
        <v>12</v>
      </c>
      <c r="H267" s="30" t="s">
        <v>123</v>
      </c>
      <c r="I267" s="31" cm="1">
        <f t="array" ref="I267:J267">IFERROR(IF(ISBLANK(INDEX(_xlfn._xlws.FILTER([1]加工記録２!$O$3:$P$590, [1]加工記録２!$T$3:$T$590=B233), 1)), "", INDEX(_xlfn._xlws.FILTER([1]加工記録２!$O$3:$P$590, [1]加工記録２!$T$3:$T$590=B233), 1)),"")</f>
        <v>45888</v>
      </c>
      <c r="J267" s="32">
        <v>9</v>
      </c>
    </row>
    <row r="268" spans="1:11" s="5" customFormat="1" ht="18" customHeight="1">
      <c r="A268" s="152"/>
      <c r="B268" s="153"/>
      <c r="C268" s="153"/>
      <c r="D268" s="153"/>
      <c r="E268" s="135"/>
      <c r="F268" s="136"/>
      <c r="G268" s="154"/>
      <c r="H268" s="30" t="s">
        <v>124</v>
      </c>
      <c r="I268" s="33" cm="1">
        <f t="array" ref="I268:J268">IFERROR(IF(ISBLANK(INDEX(_xlfn._xlws.FILTER([1]加工記録２!$O$3:$P$590, [1]加工記録２!$T$3:$T$590=B233), 2)), "", INDEX(_xlfn._xlws.FILTER([1]加工記録２!$O$3:$P$590, [1]加工記録２!$T$3:$T$590=B233), 2)),"")</f>
        <v>192</v>
      </c>
      <c r="J268" s="34">
        <v>6</v>
      </c>
      <c r="K268" s="35"/>
    </row>
    <row r="269" spans="1:11" s="7" customFormat="1" ht="18" customHeight="1">
      <c r="A269" s="155" t="s">
        <v>125</v>
      </c>
      <c r="B269" s="129" t="str">
        <f>_xlfn.XLOOKUP(B231,[1]VFDB2!A:A,[1]VFDB2!J:J)</f>
        <v>-</v>
      </c>
      <c r="C269" s="131" t="s">
        <v>126</v>
      </c>
      <c r="D269" s="133">
        <f>_xlfn.XLOOKUP(B231,[1]VFDB2!A:A,[1]VFDB2!P:P)</f>
        <v>1</v>
      </c>
      <c r="E269" s="135" t="str">
        <f>_xlfn.XLOOKUP(B231,[1]VFDB2!A:A,[1]VFDB2!V:V)</f>
        <v>梱包箱:1370　隙間埋め</v>
      </c>
      <c r="F269" s="136"/>
      <c r="G269" s="137"/>
      <c r="H269" s="36" t="s">
        <v>127</v>
      </c>
      <c r="I269" s="33" cm="1">
        <f t="array" ref="I269:J269">IFERROR(IF(ISBLANK(INDEX(_xlfn._xlws.FILTER([1]加工記録２!$O$3:$P$590, [1]加工記録２!$T$3:$T$590=B233), 3)), "", INDEX(_xlfn._xlws.FILTER([1]加工記録２!$O$3:$P$590, [1]加工記録２!$T$3:$T$590=B233), 3)),"")</f>
        <v>209</v>
      </c>
      <c r="J269" s="37">
        <v>2</v>
      </c>
      <c r="K269" s="38"/>
    </row>
    <row r="270" spans="1:11" s="5" customFormat="1" ht="18" customHeight="1">
      <c r="A270" s="156"/>
      <c r="B270" s="130"/>
      <c r="C270" s="132"/>
      <c r="D270" s="134"/>
      <c r="E270" s="135"/>
      <c r="F270" s="136"/>
      <c r="G270" s="137"/>
      <c r="H270" s="36" t="s">
        <v>128</v>
      </c>
      <c r="I270" s="33" cm="1">
        <f t="array" ref="I270:J270">IFERROR(IF(ISBLANK(INDEX(_xlfn._xlws.FILTER([1]加工記録２!$O$3:$P$590, [1]加工記録２!$T$3:$T$590=B233), 4)), "", INDEX(_xlfn._xlws.FILTER([1]加工記録２!$O$3:$P$590, [1]加工記録２!$T$3:$T$590=B233), 4)),"")</f>
        <v>17</v>
      </c>
      <c r="J270" s="39" t="str">
        <v/>
      </c>
      <c r="K270" s="35"/>
    </row>
    <row r="271" spans="1:11" s="7" customFormat="1" ht="18" customHeight="1">
      <c r="A271" s="127" t="s">
        <v>129</v>
      </c>
      <c r="B271" s="138">
        <f>D231</f>
        <v>1258</v>
      </c>
      <c r="C271" s="140" t="s">
        <v>130</v>
      </c>
      <c r="D271" s="142" t="str">
        <f>_xlfn.XLOOKUP(B231,[1]VFDB2!A:A,[1]VFDB2!L:L)</f>
        <v>+2</v>
      </c>
      <c r="E271" s="135" t="str">
        <f>_xlfn.XLOOKUP(B231,[1]VFDB2!A:A,[1]VFDB2!W:W)</f>
        <v>クラフト紙：1370型</v>
      </c>
      <c r="F271" s="136"/>
      <c r="G271" s="137"/>
      <c r="H271" s="36" t="s">
        <v>131</v>
      </c>
      <c r="I271" s="33" cm="1">
        <f t="array" ref="I271:J271">IFERROR(IF(ISBLANK(INDEX(_xlfn._xlws.FILTER([1]加工記録２!$O$3:$P$590, [1]加工記録２!$T$3:$T$590=B233), 5)), "", INDEX(_xlfn._xlws.FILTER([1]加工記録２!$O$3:$P$590, [1]加工記録２!$T$3:$T$590=B233), 5)),"")</f>
        <v>17</v>
      </c>
      <c r="J271" s="40" t="str">
        <v/>
      </c>
      <c r="K271" s="38"/>
    </row>
    <row r="272" spans="1:11" s="5" customFormat="1" ht="18" customHeight="1">
      <c r="A272" s="128"/>
      <c r="B272" s="139"/>
      <c r="C272" s="141"/>
      <c r="D272" s="143"/>
      <c r="E272" s="135"/>
      <c r="F272" s="136"/>
      <c r="G272" s="137"/>
      <c r="H272" s="36" t="s">
        <v>132</v>
      </c>
      <c r="I272" s="33" cm="1">
        <f t="array" ref="I272:J272">IFERROR(IF(ISBLANK(INDEX(_xlfn._xlws.FILTER([1]加工記録２!$O$3:$P$590, [1]加工記録２!$T$3:$T$590=B233), 6)), "", INDEX(_xlfn._xlws.FILTER([1]加工記録２!$O$3:$P$590, [1]加工記録２!$T$3:$T$590=B233), 6)),"")</f>
        <v>0</v>
      </c>
      <c r="J272" s="41" t="str">
        <v/>
      </c>
      <c r="K272" s="35"/>
    </row>
    <row r="273" spans="1:14" s="7" customFormat="1" ht="18" customHeight="1">
      <c r="A273" s="155" t="s">
        <v>133</v>
      </c>
      <c r="B273" s="158" t="str">
        <f>_xlfn.XLOOKUP(B231,[1]VFDB2!A:A,[1]VFDB2!AC:AC)</f>
        <v>換算表確認</v>
      </c>
      <c r="C273" s="160" t="s">
        <v>134</v>
      </c>
      <c r="D273" s="142">
        <f>_xlfn.XLOOKUP(B231,[1]VFDB2!A:A,[1]VFDB2!K:K)</f>
        <v>-2</v>
      </c>
      <c r="E273" s="135" t="str">
        <f>_xlfn.XLOOKUP(B231,[1]VFDB2!A:A,[1]VFDB2!R:R)</f>
        <v>ラベル2枚　長手有　鉢巻１</v>
      </c>
      <c r="F273" s="136"/>
      <c r="G273" s="137"/>
      <c r="H273" s="36" t="s">
        <v>135</v>
      </c>
      <c r="I273" s="33" t="str" cm="1">
        <f t="array" ref="I273:J273">IFERROR(IF(ISBLANK(INDEX(_xlfn._xlws.FILTER([1]加工記録２!$O$3:$P$590, [1]加工記録２!$T$3:$T$590=B233), 7)), "", INDEX(_xlfn._xlws.FILTER([1]加工記録２!$O$3:$P$590, [1]加工記録２!$T$3:$T$590=B233), 7)),"")</f>
        <v>-</v>
      </c>
      <c r="J273" s="42" t="str">
        <v/>
      </c>
      <c r="K273" s="38"/>
    </row>
    <row r="274" spans="1:14" s="5" customFormat="1" ht="18" customHeight="1" thickBot="1">
      <c r="A274" s="157"/>
      <c r="B274" s="159"/>
      <c r="C274" s="161"/>
      <c r="D274" s="162"/>
      <c r="E274" s="163"/>
      <c r="F274" s="164"/>
      <c r="G274" s="165"/>
      <c r="H274" s="43" t="s">
        <v>136</v>
      </c>
      <c r="I274" s="44" t="str" cm="1">
        <f t="array" ref="I274:J274">IFERROR(IF(ISBLANK(INDEX(_xlfn._xlws.FILTER([1]加工記録２!$O$3:$P$590, [1]加工記録２!$T$3:$T$590=B233), 8)), "", INDEX(_xlfn._xlws.FILTER([1]加工記録２!$O$3:$P$590, [1]加工記録２!$T$3:$T$590=B233), 8)),"")</f>
        <v>高森・水野</v>
      </c>
      <c r="J274" s="45">
        <v>17</v>
      </c>
    </row>
    <row r="275" spans="1:14" s="56" customFormat="1" ht="18.95" customHeight="1">
      <c r="A275" s="46" t="s">
        <v>137</v>
      </c>
      <c r="B275" s="47" t="s">
        <v>138</v>
      </c>
      <c r="C275" s="48" t="s">
        <v>139</v>
      </c>
      <c r="D275" s="48" t="s">
        <v>140</v>
      </c>
      <c r="E275" s="49" t="s">
        <v>141</v>
      </c>
      <c r="F275" s="50" t="s">
        <v>142</v>
      </c>
      <c r="G275" s="51" t="s">
        <v>143</v>
      </c>
      <c r="H275" s="52" t="s">
        <v>144</v>
      </c>
      <c r="I275" s="53" t="s">
        <v>145</v>
      </c>
      <c r="J275" s="54" t="s">
        <v>146</v>
      </c>
      <c r="K275" s="55"/>
      <c r="L275" s="55"/>
      <c r="M275" s="55"/>
      <c r="N275" s="55"/>
    </row>
    <row r="276" spans="1:14" s="67" customFormat="1" ht="18.95" customHeight="1">
      <c r="A276" s="57" cm="1">
        <f t="array" ref="A276:J276">IFERROR(IF(ISBLANK(INDEX(_xlfn._xlws.FILTER([1]加工記録２!$D$3:$M$590, [1]加工記録２!$T$3:$T$590=B233), 1)), "", INDEX(_xlfn._xlws.FILTER([1]加工記録２!$D$3:$M$590, [1]加工記録２!$T$3:$T$590=B233), 1)),"")</f>
        <v>45847</v>
      </c>
      <c r="B276" s="58" t="str">
        <v>25G03-01</v>
      </c>
      <c r="C276" s="59" t="str">
        <v/>
      </c>
      <c r="D276" s="59" t="str">
        <v/>
      </c>
      <c r="E276" s="60" t="str">
        <v/>
      </c>
      <c r="F276" s="61" t="str">
        <v>25G03-01</v>
      </c>
      <c r="G276" s="62">
        <v>11</v>
      </c>
      <c r="H276" s="63">
        <v>11</v>
      </c>
      <c r="I276" s="64">
        <v>45887</v>
      </c>
      <c r="J276" s="65">
        <v>1</v>
      </c>
      <c r="K276" s="66"/>
      <c r="L276" s="66"/>
      <c r="M276" s="66"/>
      <c r="N276" s="66"/>
    </row>
    <row r="277" spans="1:14" s="67" customFormat="1" ht="18.95" customHeight="1">
      <c r="A277" s="68" cm="1">
        <f t="array" ref="A277:J277">IFERROR(IF(ISBLANK(INDEX(_xlfn._xlws.FILTER([1]加工記録２!$D$3:$M$590, [1]加工記録２!$T$3:$T$590=B233), 2)), "", INDEX(_xlfn._xlws.FILTER([1]加工記録２!$D$3:$M$590, [1]加工記録２!$T$3:$T$590=B233), 2)),"")</f>
        <v>45887</v>
      </c>
      <c r="B277" s="69" t="str">
        <v>25G31-01</v>
      </c>
      <c r="C277" s="69" t="str">
        <v/>
      </c>
      <c r="D277" s="69" t="str">
        <v/>
      </c>
      <c r="E277" s="70" t="str">
        <v/>
      </c>
      <c r="F277" s="71" t="str">
        <v>25G31-01</v>
      </c>
      <c r="G277" s="72">
        <v>198</v>
      </c>
      <c r="H277" s="73">
        <v>198</v>
      </c>
      <c r="I277" s="64">
        <v>45888</v>
      </c>
      <c r="J277" s="65">
        <v>11</v>
      </c>
      <c r="K277" s="66"/>
      <c r="L277" s="66"/>
      <c r="M277" s="66"/>
      <c r="N277" s="66"/>
    </row>
    <row r="278" spans="1:14" s="67" customFormat="1" ht="18.95" customHeight="1">
      <c r="A278" s="68" cm="1">
        <f t="array" ref="A278:J278">IFERROR(IF(ISBLANK(INDEX(_xlfn._xlws.FILTER([1]加工記録２!$D$3:$M$590, [1]加工記録２!$T$3:$T$590=B233), 3)), "", INDEX(_xlfn._xlws.FILTER([1]加工記録２!$D$3:$M$590, [1]加工記録２!$T$3:$T$590=B233), 3)),"")</f>
        <v>45888</v>
      </c>
      <c r="B278" s="69" t="str">
        <v>25G31-01</v>
      </c>
      <c r="C278" s="69" t="str">
        <v/>
      </c>
      <c r="D278" s="69" t="str">
        <v/>
      </c>
      <c r="E278" s="70" t="str">
        <v/>
      </c>
      <c r="F278" s="71" t="str">
        <v/>
      </c>
      <c r="G278" s="72" t="str">
        <v/>
      </c>
      <c r="H278" s="73">
        <v>0</v>
      </c>
      <c r="I278" s="64" t="str">
        <v/>
      </c>
      <c r="J278" s="65" t="str">
        <v/>
      </c>
      <c r="K278" s="66"/>
      <c r="L278" s="66"/>
      <c r="M278" s="66"/>
      <c r="N278" s="66"/>
    </row>
    <row r="279" spans="1:14" s="67" customFormat="1" ht="18.95" customHeight="1">
      <c r="A279" s="68" t="str" cm="1">
        <f t="array" ref="A279:J279">IFERROR(IF(ISBLANK(INDEX(_xlfn._xlws.FILTER([1]加工記録２!$D$3:$M$590, [1]加工記録２!$T$3:$T$590=B233), 4)), "", INDEX(_xlfn._xlws.FILTER([1]加工記録２!$D$3:$M$590, [1]加工記録２!$T$3:$T$590=B233), 4)),"")</f>
        <v/>
      </c>
      <c r="B279" s="69" t="str">
        <v/>
      </c>
      <c r="C279" s="69" t="str">
        <v/>
      </c>
      <c r="D279" s="69" t="str">
        <v/>
      </c>
      <c r="E279" s="70" t="str">
        <v/>
      </c>
      <c r="F279" s="71" t="str">
        <v/>
      </c>
      <c r="G279" s="72" t="str">
        <v/>
      </c>
      <c r="H279" s="73">
        <v>0</v>
      </c>
      <c r="I279" s="64" t="str">
        <v/>
      </c>
      <c r="J279" s="65" t="str">
        <v/>
      </c>
      <c r="K279" s="66"/>
      <c r="L279" s="66"/>
      <c r="M279" s="66"/>
      <c r="N279" s="66"/>
    </row>
    <row r="280" spans="1:14" s="67" customFormat="1" ht="18.95" customHeight="1">
      <c r="A280" s="68" t="str" cm="1">
        <f t="array" ref="A280:J280">IFERROR(IF(ISBLANK(INDEX(_xlfn._xlws.FILTER([1]加工記録２!$D$3:$M$590, [1]加工記録２!$T$3:$T$590=B233), 5)), "", INDEX(_xlfn._xlws.FILTER([1]加工記録２!$D$3:$M$590, [1]加工記録２!$T$3:$T$590=B233), 5)),"")</f>
        <v/>
      </c>
      <c r="B280" s="69" t="str">
        <v/>
      </c>
      <c r="C280" s="69" t="str">
        <v/>
      </c>
      <c r="D280" s="69" t="str">
        <v/>
      </c>
      <c r="E280" s="70" t="str">
        <v/>
      </c>
      <c r="F280" s="71" t="str">
        <v/>
      </c>
      <c r="G280" s="72" t="str">
        <v/>
      </c>
      <c r="H280" s="73">
        <v>0</v>
      </c>
      <c r="I280" s="74" t="str">
        <v/>
      </c>
      <c r="J280" s="75" t="str">
        <v/>
      </c>
      <c r="K280" s="66"/>
      <c r="L280" s="66"/>
      <c r="M280" s="66"/>
      <c r="N280" s="66"/>
    </row>
    <row r="281" spans="1:14" s="67" customFormat="1" ht="18.95" customHeight="1">
      <c r="A281" s="68" t="str" cm="1">
        <f t="array" ref="A281:J281">IFERROR(IF(ISBLANK(INDEX(_xlfn._xlws.FILTER([1]加工記録２!$D$3:$M$590, [1]加工記録２!$T$3:$T$590=B233), 6)), "", INDEX(_xlfn._xlws.FILTER([1]加工記録２!$D$3:$M$590, [1]加工記録２!$T$3:$T$590=B233), 6)),"")</f>
        <v/>
      </c>
      <c r="B281" s="69" t="str">
        <v/>
      </c>
      <c r="C281" s="69" t="str">
        <v/>
      </c>
      <c r="D281" s="69" t="str">
        <v/>
      </c>
      <c r="E281" s="70" t="str">
        <v/>
      </c>
      <c r="F281" s="71" t="str">
        <v/>
      </c>
      <c r="G281" s="72" t="str">
        <v/>
      </c>
      <c r="H281" s="76">
        <v>0</v>
      </c>
      <c r="I281" s="77" t="str">
        <v>旧品加工</v>
      </c>
      <c r="J281" s="78">
        <v>11</v>
      </c>
      <c r="K281" s="66"/>
      <c r="L281" s="66"/>
      <c r="M281" s="66"/>
      <c r="N281" s="66"/>
    </row>
    <row r="282" spans="1:14" s="67" customFormat="1" ht="18.95" customHeight="1">
      <c r="A282" s="68" t="str" cm="1">
        <f t="array" ref="A282:J282">IFERROR(IF(ISBLANK(INDEX(_xlfn._xlws.FILTER([1]加工記録２!$D$3:$M$590, [1]加工記録２!$T$3:$T$590=B233), 7)), "", INDEX(_xlfn._xlws.FILTER([1]加工記録２!$D$3:$M$590, [1]加工記録２!$T$3:$T$590=B233), 7)),"")</f>
        <v/>
      </c>
      <c r="B282" s="69" t="str">
        <v/>
      </c>
      <c r="C282" s="69" t="str">
        <v/>
      </c>
      <c r="D282" s="69" t="str">
        <v/>
      </c>
      <c r="E282" s="70" t="str">
        <v/>
      </c>
      <c r="F282" s="71" t="str">
        <v/>
      </c>
      <c r="G282" s="72" t="str">
        <v/>
      </c>
      <c r="H282" s="76">
        <v>0</v>
      </c>
      <c r="I282" s="79" t="str">
        <v>持出端材</v>
      </c>
      <c r="J282" s="80" t="str">
        <v/>
      </c>
      <c r="K282" s="66"/>
      <c r="L282" s="66"/>
      <c r="M282" s="66"/>
      <c r="N282" s="66"/>
    </row>
    <row r="283" spans="1:14" s="67" customFormat="1" ht="18.95" customHeight="1" thickBot="1">
      <c r="A283" s="81" t="str" cm="1">
        <f t="array" ref="A283:J283">IFERROR(IF(ISBLANK(INDEX(_xlfn._xlws.FILTER([1]加工記録２!$D$3:$M$590, [1]加工記録２!$T$3:$T$590=B233), 8)), "", INDEX(_xlfn._xlws.FILTER([1]加工記録２!$D$3:$M$590, [1]加工記録２!$T$3:$T$590=B233), 8)),"")</f>
        <v/>
      </c>
      <c r="B283" s="82" t="str">
        <v/>
      </c>
      <c r="C283" s="82" t="str">
        <v/>
      </c>
      <c r="D283" s="82" t="str">
        <v/>
      </c>
      <c r="E283" s="83" t="str">
        <v/>
      </c>
      <c r="F283" s="84" t="str">
        <v/>
      </c>
      <c r="G283" s="85" t="str">
        <v/>
      </c>
      <c r="H283" s="86">
        <v>0</v>
      </c>
      <c r="I283" s="87" t="str">
        <v>α端材</v>
      </c>
      <c r="J283" s="88">
        <v>0</v>
      </c>
      <c r="K283" s="66"/>
      <c r="L283" s="66"/>
      <c r="M283" s="66"/>
      <c r="N283" s="66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26" t="s">
        <v>0</v>
      </c>
      <c r="C286" s="90"/>
      <c r="D286" s="90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90"/>
      <c r="C287" s="90"/>
      <c r="D287" s="90"/>
      <c r="E287" s="13"/>
      <c r="F287" s="13"/>
      <c r="G287" s="13"/>
      <c r="H287" s="13"/>
      <c r="I287" s="13"/>
      <c r="J287" s="13"/>
    </row>
    <row r="288" spans="1:14" ht="14.25" customHeight="1">
      <c r="A288" s="106" t="s">
        <v>1</v>
      </c>
      <c r="B288" s="106" t="s">
        <v>94</v>
      </c>
      <c r="C288" s="106" t="s">
        <v>3</v>
      </c>
      <c r="D288" s="125">
        <v>1815</v>
      </c>
      <c r="E288" s="106" t="s">
        <v>4</v>
      </c>
      <c r="F288" s="100" t="s">
        <v>95</v>
      </c>
      <c r="G288" s="90"/>
      <c r="H288" s="94"/>
      <c r="I288" s="14" t="s">
        <v>6</v>
      </c>
      <c r="J288" s="14" t="s">
        <v>7</v>
      </c>
    </row>
    <row r="289" spans="1:10" ht="14.25" customHeight="1">
      <c r="A289" s="90"/>
      <c r="B289" s="90"/>
      <c r="C289" s="90"/>
      <c r="D289" s="90"/>
      <c r="E289" s="90"/>
      <c r="F289" s="90"/>
      <c r="G289" s="90"/>
      <c r="H289" s="94"/>
      <c r="I289" s="101"/>
      <c r="J289" s="101"/>
    </row>
    <row r="290" spans="1:10" ht="17.45" customHeight="1">
      <c r="A290" s="105" t="s">
        <v>8</v>
      </c>
      <c r="B290" s="105" t="s">
        <v>96</v>
      </c>
      <c r="E290" s="105" t="s">
        <v>10</v>
      </c>
      <c r="F290" s="98" t="s">
        <v>11</v>
      </c>
      <c r="G290" s="90"/>
      <c r="H290" s="94"/>
      <c r="I290" s="102"/>
      <c r="J290" s="102"/>
    </row>
    <row r="291" spans="1:10" ht="17.45" customHeight="1">
      <c r="A291" s="90"/>
      <c r="B291" s="90"/>
      <c r="E291" s="90"/>
      <c r="F291" s="90"/>
      <c r="G291" s="90"/>
      <c r="H291" s="94"/>
      <c r="I291" s="15"/>
      <c r="J291" s="15"/>
    </row>
    <row r="292" spans="1:10" ht="17.45" customHeight="1">
      <c r="A292" s="105" t="s">
        <v>12</v>
      </c>
      <c r="B292" s="105" t="s">
        <v>97</v>
      </c>
      <c r="E292" s="2" t="s">
        <v>14</v>
      </c>
      <c r="F292" s="121" t="s">
        <v>15</v>
      </c>
      <c r="G292" s="90"/>
      <c r="H292" s="22"/>
    </row>
    <row r="293" spans="1:10" ht="17.45" customHeight="1">
      <c r="A293" s="90"/>
      <c r="B293" s="90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45888</v>
      </c>
      <c r="E294" s="2" t="s">
        <v>19</v>
      </c>
      <c r="F294" s="92">
        <v>16</v>
      </c>
      <c r="G294" s="90"/>
      <c r="H294" s="22"/>
    </row>
    <row r="295" spans="1:10" ht="17.45" customHeight="1">
      <c r="A295" s="2" t="s">
        <v>20</v>
      </c>
      <c r="B295" s="4">
        <v>45888</v>
      </c>
      <c r="E295" s="2" t="s">
        <v>21</v>
      </c>
      <c r="F295" s="22">
        <v>25</v>
      </c>
      <c r="G295" s="109" t="s">
        <v>22</v>
      </c>
      <c r="H295" s="113">
        <v>400</v>
      </c>
      <c r="I295" s="114"/>
      <c r="J295" s="115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10"/>
      <c r="H296" s="110"/>
      <c r="I296" s="95"/>
      <c r="J296" s="96"/>
    </row>
    <row r="297" spans="1:10" ht="13.5" customHeight="1">
      <c r="A297" s="124" t="s">
        <v>98</v>
      </c>
      <c r="B297" s="90"/>
      <c r="C297" s="90"/>
      <c r="D297" s="21"/>
      <c r="F297" s="3"/>
      <c r="G297" s="120" t="s">
        <v>26</v>
      </c>
      <c r="H297" s="116" t="s">
        <v>27</v>
      </c>
      <c r="I297" s="93" t="s">
        <v>28</v>
      </c>
      <c r="J297" s="94"/>
    </row>
    <row r="298" spans="1:10" ht="13.5" customHeight="1">
      <c r="A298" s="90"/>
      <c r="B298" s="90"/>
      <c r="C298" s="90"/>
      <c r="D298" s="21"/>
      <c r="F298" s="3"/>
      <c r="G298" s="117"/>
      <c r="H298" s="117"/>
      <c r="I298" s="95"/>
      <c r="J298" s="96"/>
    </row>
    <row r="299" spans="1:10" ht="13.5" customHeight="1">
      <c r="A299" s="1" t="s">
        <v>29</v>
      </c>
    </row>
    <row r="300" spans="1:10" ht="63" customHeight="1">
      <c r="A300" s="122"/>
      <c r="B300" s="123"/>
      <c r="C300" s="123"/>
      <c r="D300" s="123"/>
      <c r="E300" s="123"/>
      <c r="F300" s="123"/>
      <c r="G300" s="123"/>
      <c r="H300" s="123"/>
      <c r="I300" s="123"/>
      <c r="J300" s="123"/>
    </row>
    <row r="301" spans="1:10" ht="18.75">
      <c r="A301" s="24" t="s">
        <v>30</v>
      </c>
      <c r="B301" s="17" t="s">
        <v>31</v>
      </c>
      <c r="C301" s="107" t="s">
        <v>32</v>
      </c>
      <c r="D301" s="108"/>
      <c r="E301" s="17" t="s">
        <v>33</v>
      </c>
      <c r="F301" s="107" t="s">
        <v>34</v>
      </c>
      <c r="G301" s="108"/>
      <c r="H301" s="108"/>
      <c r="I301" s="119" t="s">
        <v>35</v>
      </c>
      <c r="J301" s="10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89" t="s">
        <v>37</v>
      </c>
      <c r="D303" s="90"/>
      <c r="E303" s="25" t="s">
        <v>38</v>
      </c>
      <c r="F303" s="89" t="s">
        <v>39</v>
      </c>
      <c r="G303" s="90"/>
      <c r="H303" s="90"/>
      <c r="I303" s="99"/>
      <c r="J303" s="90"/>
    </row>
    <row r="304" spans="1:10" ht="16.5" customHeight="1">
      <c r="A304" s="23">
        <v>1</v>
      </c>
      <c r="B304" s="26" t="s">
        <v>36</v>
      </c>
      <c r="C304" s="89" t="s">
        <v>37</v>
      </c>
      <c r="D304" s="90"/>
      <c r="E304" s="25" t="s">
        <v>40</v>
      </c>
      <c r="F304" s="89" t="s">
        <v>41</v>
      </c>
      <c r="G304" s="90"/>
      <c r="H304" s="90"/>
      <c r="I304" s="99"/>
      <c r="J304" s="90"/>
    </row>
    <row r="305" spans="1:10" ht="16.5" customHeight="1">
      <c r="A305" s="23"/>
      <c r="B305" s="26"/>
      <c r="C305" s="89"/>
      <c r="D305" s="90"/>
      <c r="E305" s="25"/>
      <c r="F305" s="89"/>
      <c r="G305" s="90"/>
      <c r="H305" s="90"/>
      <c r="I305" s="99"/>
      <c r="J305" s="90"/>
    </row>
    <row r="306" spans="1:10" ht="16.5" customHeight="1">
      <c r="A306" s="23"/>
      <c r="B306" s="26"/>
      <c r="C306" s="89"/>
      <c r="D306" s="90"/>
      <c r="E306" s="25"/>
      <c r="F306" s="89"/>
      <c r="G306" s="90"/>
      <c r="H306" s="90"/>
      <c r="I306" s="99"/>
      <c r="J306" s="90"/>
    </row>
    <row r="307" spans="1:10" ht="16.5" customHeight="1">
      <c r="A307" s="23"/>
      <c r="B307" s="26"/>
      <c r="C307" s="89"/>
      <c r="D307" s="90"/>
      <c r="E307" s="25"/>
      <c r="F307" s="89"/>
      <c r="G307" s="90"/>
      <c r="H307" s="90"/>
      <c r="I307" s="99"/>
      <c r="J307" s="90"/>
    </row>
    <row r="308" spans="1:10" ht="16.5" customHeight="1">
      <c r="A308" s="23"/>
      <c r="B308" s="26"/>
      <c r="C308" s="89"/>
      <c r="D308" s="90"/>
      <c r="E308" s="25"/>
      <c r="F308" s="89"/>
      <c r="G308" s="90"/>
      <c r="H308" s="90"/>
      <c r="I308" s="99"/>
      <c r="J308" s="90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03" t="s">
        <v>42</v>
      </c>
      <c r="B310" s="104"/>
      <c r="C310" s="103" t="s">
        <v>43</v>
      </c>
      <c r="D310" s="104"/>
      <c r="E310" s="104"/>
      <c r="F310" s="18" t="s">
        <v>44</v>
      </c>
      <c r="G310" s="103" t="s">
        <v>45</v>
      </c>
      <c r="H310" s="104"/>
      <c r="I310" s="103" t="s">
        <v>46</v>
      </c>
      <c r="J310" s="104"/>
    </row>
    <row r="311" spans="1:10" ht="14.25" customHeight="1">
      <c r="A311" s="8"/>
      <c r="B311" s="19"/>
      <c r="C311" s="118" t="s">
        <v>47</v>
      </c>
      <c r="D311" s="95"/>
      <c r="E311" s="19"/>
      <c r="F311" s="118" t="s">
        <v>29</v>
      </c>
      <c r="G311" s="95"/>
      <c r="H311" s="95"/>
      <c r="I311" s="95"/>
      <c r="J311" s="95"/>
    </row>
    <row r="312" spans="1:10">
      <c r="A312" s="9"/>
      <c r="C312" s="7"/>
      <c r="D312" s="7"/>
      <c r="E312" s="7"/>
    </row>
    <row r="313" spans="1:10" ht="14.25" customHeight="1">
      <c r="A313" s="89" t="s">
        <v>99</v>
      </c>
      <c r="B313" s="90"/>
      <c r="C313" s="89" t="s">
        <v>100</v>
      </c>
      <c r="D313" s="90"/>
      <c r="E313" s="90"/>
      <c r="F313" s="27" t="s">
        <v>50</v>
      </c>
      <c r="G313" s="97">
        <v>400</v>
      </c>
      <c r="H313" s="90"/>
      <c r="I313" s="97">
        <v>25</v>
      </c>
      <c r="J313" s="90"/>
    </row>
    <row r="314" spans="1:10" ht="24.95" customHeight="1">
      <c r="A314" s="91" t="s">
        <v>101</v>
      </c>
      <c r="B314" s="90"/>
      <c r="C314" s="89" t="s">
        <v>11</v>
      </c>
      <c r="D314" s="90"/>
      <c r="E314" s="90"/>
      <c r="F314" s="89"/>
      <c r="G314" s="90"/>
      <c r="H314" s="90"/>
      <c r="I314" s="90"/>
      <c r="J314" s="90"/>
    </row>
    <row r="315" spans="1:10" ht="14.25" customHeight="1">
      <c r="A315" s="89" t="s">
        <v>67</v>
      </c>
      <c r="B315" s="90"/>
      <c r="C315" s="89" t="s">
        <v>68</v>
      </c>
      <c r="D315" s="90"/>
      <c r="E315" s="90"/>
      <c r="F315" s="27" t="s">
        <v>27</v>
      </c>
      <c r="G315" s="97">
        <v>25.2</v>
      </c>
      <c r="H315" s="90"/>
      <c r="I315" s="97">
        <v>1.575</v>
      </c>
      <c r="J315" s="90"/>
    </row>
    <row r="316" spans="1:10" ht="24.95" customHeight="1">
      <c r="A316" s="91" t="s">
        <v>69</v>
      </c>
      <c r="B316" s="90"/>
      <c r="C316" s="89"/>
      <c r="D316" s="90"/>
      <c r="E316" s="90"/>
      <c r="F316" s="89"/>
      <c r="G316" s="90"/>
      <c r="H316" s="90"/>
      <c r="I316" s="90"/>
      <c r="J316" s="90"/>
    </row>
    <row r="317" spans="1:10" ht="14.25" customHeight="1">
      <c r="A317" s="89" t="s">
        <v>55</v>
      </c>
      <c r="B317" s="90"/>
      <c r="C317" s="89" t="s">
        <v>56</v>
      </c>
      <c r="D317" s="90"/>
      <c r="E317" s="90"/>
      <c r="F317" s="27"/>
      <c r="G317" s="97">
        <v>2.4</v>
      </c>
      <c r="H317" s="90"/>
      <c r="I317" s="97">
        <v>0.15</v>
      </c>
      <c r="J317" s="90"/>
    </row>
    <row r="318" spans="1:10" ht="24.95" customHeight="1">
      <c r="A318" s="91" t="s">
        <v>57</v>
      </c>
      <c r="B318" s="90"/>
      <c r="C318" s="89" t="s">
        <v>58</v>
      </c>
      <c r="D318" s="90"/>
      <c r="E318" s="90"/>
      <c r="F318" s="89"/>
      <c r="G318" s="90"/>
      <c r="H318" s="90"/>
      <c r="I318" s="90"/>
      <c r="J318" s="90"/>
    </row>
    <row r="319" spans="1:10" ht="14.25" customHeight="1">
      <c r="A319" s="89"/>
      <c r="B319" s="90"/>
      <c r="C319" s="89"/>
      <c r="D319" s="90"/>
      <c r="E319" s="90"/>
      <c r="F319" s="27"/>
      <c r="G319" s="97"/>
      <c r="H319" s="90"/>
      <c r="I319" s="97"/>
      <c r="J319" s="90"/>
    </row>
    <row r="320" spans="1:10" ht="24.95" customHeight="1">
      <c r="A320" s="91"/>
      <c r="B320" s="90"/>
      <c r="C320" s="89"/>
      <c r="D320" s="90"/>
      <c r="E320" s="90"/>
      <c r="F320" s="89"/>
      <c r="G320" s="90"/>
      <c r="H320" s="90"/>
      <c r="I320" s="90"/>
      <c r="J320" s="90"/>
    </row>
    <row r="321" spans="1:14" ht="14.25" customHeight="1">
      <c r="A321" s="89"/>
      <c r="B321" s="90"/>
      <c r="C321" s="89"/>
      <c r="D321" s="90"/>
      <c r="E321" s="90"/>
      <c r="F321" s="27"/>
      <c r="G321" s="97"/>
      <c r="H321" s="90"/>
      <c r="I321" s="97"/>
      <c r="J321" s="90"/>
    </row>
    <row r="322" spans="1:14" ht="24.95" customHeight="1" thickBot="1">
      <c r="A322" s="91"/>
      <c r="B322" s="90"/>
      <c r="C322" s="89"/>
      <c r="D322" s="90"/>
      <c r="E322" s="90"/>
      <c r="F322" s="89"/>
      <c r="G322" s="90"/>
      <c r="H322" s="90"/>
      <c r="I322" s="90"/>
      <c r="J322" s="90"/>
    </row>
    <row r="323" spans="1:14" s="5" customFormat="1" ht="18" customHeight="1">
      <c r="A323" s="144" t="s">
        <v>118</v>
      </c>
      <c r="B323" s="145"/>
      <c r="C323" s="145"/>
      <c r="D323" s="145"/>
      <c r="E323" s="146" t="s">
        <v>119</v>
      </c>
      <c r="F323" s="147"/>
      <c r="G323" s="28" t="s">
        <v>120</v>
      </c>
      <c r="H323" s="148" t="s">
        <v>121</v>
      </c>
      <c r="I323" s="149"/>
      <c r="J323" s="29" t="s">
        <v>122</v>
      </c>
    </row>
    <row r="324" spans="1:14" s="7" customFormat="1" ht="18" customHeight="1">
      <c r="A324" s="150" t="str">
        <f>_xlfn.XLOOKUP(B288,[1]VFDB2!A:A,[1]VFDB2!A:A)</f>
        <v>J1ZAFJB00218150</v>
      </c>
      <c r="B324" s="151"/>
      <c r="C324" s="151"/>
      <c r="D324" s="151"/>
      <c r="E324" s="135" t="str" cm="1">
        <f t="array" ref="E324">IFERROR(IF(ISBLANK(INDEX(_xlfn._xlws.FILTER([1]加工記録２!$C$3:$C$590, [1]加工記録２!$T$3:$T$590=B290), 6)), "", INDEX(_xlfn._xlws.FILTER([1]加工記録２!$C$3:$C$590, [1]加工記録２!$T$3:$T$590=B290), 6)),"")</f>
        <v>灯具-2　L＝1996</v>
      </c>
      <c r="F324" s="136"/>
      <c r="G324" s="154" cm="1">
        <f t="array" ref="G324">IFERROR(IF(ISBLANK(INDEX(_xlfn._xlws.FILTER([1]加工記録２!$C$3:$C$590, [1]加工記録２!$T$3:$T$590=B290), 7)), " ", INDEX(_xlfn._xlws.FILTER([1]加工記録２!$C$3:$C$590, [1]加工記録２!$T$3:$T$590=B290), 7))," ")</f>
        <v>21</v>
      </c>
      <c r="H324" s="30" t="s">
        <v>123</v>
      </c>
      <c r="I324" s="31" cm="1">
        <f t="array" ref="I324:J324">IFERROR(IF(ISBLANK(INDEX(_xlfn._xlws.FILTER([1]加工記録２!$O$3:$P$590, [1]加工記録２!$T$3:$T$590=B290), 1)), "", INDEX(_xlfn._xlws.FILTER([1]加工記録２!$O$3:$P$590, [1]加工記録２!$T$3:$T$590=B290), 1)),"")</f>
        <v>45875</v>
      </c>
      <c r="J324" s="32">
        <v>44</v>
      </c>
    </row>
    <row r="325" spans="1:14" s="5" customFormat="1" ht="18" customHeight="1">
      <c r="A325" s="152"/>
      <c r="B325" s="153"/>
      <c r="C325" s="153"/>
      <c r="D325" s="153"/>
      <c r="E325" s="135"/>
      <c r="F325" s="136"/>
      <c r="G325" s="154"/>
      <c r="H325" s="30" t="s">
        <v>124</v>
      </c>
      <c r="I325" s="33" cm="1">
        <f t="array" ref="I325:J325">IFERROR(IF(ISBLANK(INDEX(_xlfn._xlws.FILTER([1]加工記録２!$O$3:$P$590, [1]加工記録２!$T$3:$T$590=B290), 2)), "", INDEX(_xlfn._xlws.FILTER([1]加工記録２!$O$3:$P$590, [1]加工記録２!$T$3:$T$590=B290), 2)),"")</f>
        <v>336</v>
      </c>
      <c r="J325" s="34">
        <v>22</v>
      </c>
      <c r="K325" s="35"/>
    </row>
    <row r="326" spans="1:14" s="7" customFormat="1" ht="18" customHeight="1">
      <c r="A326" s="155" t="s">
        <v>125</v>
      </c>
      <c r="B326" s="129" t="str">
        <f>_xlfn.XLOOKUP(B288,[1]VFDB2!A:A,[1]VFDB2!J:J)</f>
        <v>-</v>
      </c>
      <c r="C326" s="131" t="s">
        <v>126</v>
      </c>
      <c r="D326" s="133">
        <f>_xlfn.XLOOKUP(B288,[1]VFDB2!A:A,[1]VFDB2!P:P)</f>
        <v>1</v>
      </c>
      <c r="E326" s="135" t="str">
        <f>_xlfn.XLOOKUP(B288,[1]VFDB2!A:A,[1]VFDB2!V:V)</f>
        <v>梱包:箱1996　隙間埋め</v>
      </c>
      <c r="F326" s="136"/>
      <c r="G326" s="137"/>
      <c r="H326" s="36" t="s">
        <v>127</v>
      </c>
      <c r="I326" s="33" cm="1">
        <f t="array" ref="I326:J326">IFERROR(IF(ISBLANK(INDEX(_xlfn._xlws.FILTER([1]加工記録２!$O$3:$P$590, [1]加工記録２!$T$3:$T$590=B290), 3)), "", INDEX(_xlfn._xlws.FILTER([1]加工記録２!$O$3:$P$590, [1]加工記録２!$T$3:$T$590=B290), 3)),"")</f>
        <v>402</v>
      </c>
      <c r="J326" s="37" t="str">
        <v/>
      </c>
      <c r="K326" s="38"/>
    </row>
    <row r="327" spans="1:14" s="5" customFormat="1" ht="18" customHeight="1">
      <c r="A327" s="156"/>
      <c r="B327" s="130"/>
      <c r="C327" s="132"/>
      <c r="D327" s="134"/>
      <c r="E327" s="135"/>
      <c r="F327" s="136"/>
      <c r="G327" s="137"/>
      <c r="H327" s="36" t="s">
        <v>128</v>
      </c>
      <c r="I327" s="33" cm="1">
        <f t="array" ref="I327:J327">IFERROR(IF(ISBLANK(INDEX(_xlfn._xlws.FILTER([1]加工記録２!$O$3:$P$590, [1]加工記録２!$T$3:$T$590=B290), 4)), "", INDEX(_xlfn._xlws.FILTER([1]加工記録２!$O$3:$P$590, [1]加工記録２!$T$3:$T$590=B290), 4)),"")</f>
        <v>66</v>
      </c>
      <c r="J327" s="39" t="str">
        <v/>
      </c>
      <c r="K327" s="35"/>
    </row>
    <row r="328" spans="1:14" s="7" customFormat="1" ht="18" customHeight="1">
      <c r="A328" s="127" t="s">
        <v>129</v>
      </c>
      <c r="B328" s="138">
        <f>D288</f>
        <v>1815</v>
      </c>
      <c r="C328" s="140" t="s">
        <v>130</v>
      </c>
      <c r="D328" s="142" t="str">
        <f>_xlfn.XLOOKUP(B288,[1]VFDB2!A:A,[1]VFDB2!L:L)</f>
        <v>+2</v>
      </c>
      <c r="E328" s="135" t="str">
        <f>_xlfn.XLOOKUP(B288,[1]VFDB2!A:A,[1]VFDB2!W:W)</f>
        <v>クラフト紙：1996型</v>
      </c>
      <c r="F328" s="136"/>
      <c r="G328" s="137"/>
      <c r="H328" s="36" t="s">
        <v>131</v>
      </c>
      <c r="I328" s="33" cm="1">
        <f t="array" ref="I328:J328">IFERROR(IF(ISBLANK(INDEX(_xlfn._xlws.FILTER([1]加工記録２!$O$3:$P$590, [1]加工記録２!$T$3:$T$590=B290), 5)), "", INDEX(_xlfn._xlws.FILTER([1]加工記録２!$O$3:$P$590, [1]加工記録２!$T$3:$T$590=B290), 5)),"")</f>
        <v>66</v>
      </c>
      <c r="J328" s="40" t="str">
        <v/>
      </c>
      <c r="K328" s="38"/>
    </row>
    <row r="329" spans="1:14" s="5" customFormat="1" ht="18" customHeight="1">
      <c r="A329" s="128"/>
      <c r="B329" s="139"/>
      <c r="C329" s="141"/>
      <c r="D329" s="143"/>
      <c r="E329" s="135"/>
      <c r="F329" s="136"/>
      <c r="G329" s="137"/>
      <c r="H329" s="36" t="s">
        <v>132</v>
      </c>
      <c r="I329" s="33" cm="1">
        <f t="array" ref="I329:J329">IFERROR(IF(ISBLANK(INDEX(_xlfn._xlws.FILTER([1]加工記録２!$O$3:$P$590, [1]加工記録２!$T$3:$T$590=B290), 6)), "", INDEX(_xlfn._xlws.FILTER([1]加工記録２!$O$3:$P$590, [1]加工記録２!$T$3:$T$590=B290), 6)),"")</f>
        <v>0</v>
      </c>
      <c r="J329" s="41" t="str">
        <v/>
      </c>
      <c r="K329" s="35"/>
    </row>
    <row r="330" spans="1:14" s="7" customFormat="1" ht="18" customHeight="1">
      <c r="A330" s="155" t="s">
        <v>133</v>
      </c>
      <c r="B330" s="158" t="str">
        <f>_xlfn.XLOOKUP(B288,[1]VFDB2!A:A,[1]VFDB2!AC:AC)</f>
        <v>換算表確認</v>
      </c>
      <c r="C330" s="160" t="s">
        <v>134</v>
      </c>
      <c r="D330" s="142">
        <f>_xlfn.XLOOKUP(B288,[1]VFDB2!A:A,[1]VFDB2!K:K)</f>
        <v>-2</v>
      </c>
      <c r="E330" s="135" t="str">
        <f>_xlfn.XLOOKUP(B288,[1]VFDB2!A:A,[1]VFDB2!R:R)</f>
        <v>ラベル2枚　長手有　鉢巻１</v>
      </c>
      <c r="F330" s="136"/>
      <c r="G330" s="137"/>
      <c r="H330" s="36" t="s">
        <v>135</v>
      </c>
      <c r="I330" s="33" t="str" cm="1">
        <f t="array" ref="I330:J330">IFERROR(IF(ISBLANK(INDEX(_xlfn._xlws.FILTER([1]加工記録２!$O$3:$P$590, [1]加工記録２!$T$3:$T$590=B290), 7)), "", INDEX(_xlfn._xlws.FILTER([1]加工記録２!$O$3:$P$590, [1]加工記録２!$T$3:$T$590=B290), 7)),"")</f>
        <v>-</v>
      </c>
      <c r="J330" s="42" t="str">
        <v/>
      </c>
      <c r="K330" s="38"/>
    </row>
    <row r="331" spans="1:14" s="5" customFormat="1" ht="18" customHeight="1" thickBot="1">
      <c r="A331" s="157"/>
      <c r="B331" s="159"/>
      <c r="C331" s="161"/>
      <c r="D331" s="162"/>
      <c r="E331" s="163"/>
      <c r="F331" s="164"/>
      <c r="G331" s="165"/>
      <c r="H331" s="43" t="s">
        <v>136</v>
      </c>
      <c r="I331" s="44" t="str" cm="1">
        <f t="array" ref="I331:J331">IFERROR(IF(ISBLANK(INDEX(_xlfn._xlws.FILTER([1]加工記録２!$O$3:$P$590, [1]加工記録２!$T$3:$T$590=B290), 8)), "", INDEX(_xlfn._xlws.FILTER([1]加工記録２!$O$3:$P$590, [1]加工記録２!$T$3:$T$590=B290), 8)),"")</f>
        <v>高森・水野</v>
      </c>
      <c r="J331" s="45">
        <v>66</v>
      </c>
    </row>
    <row r="332" spans="1:14" s="56" customFormat="1" ht="18.95" customHeight="1">
      <c r="A332" s="46" t="s">
        <v>137</v>
      </c>
      <c r="B332" s="47" t="s">
        <v>138</v>
      </c>
      <c r="C332" s="48" t="s">
        <v>139</v>
      </c>
      <c r="D332" s="48" t="s">
        <v>140</v>
      </c>
      <c r="E332" s="49" t="s">
        <v>141</v>
      </c>
      <c r="F332" s="50" t="s">
        <v>142</v>
      </c>
      <c r="G332" s="51" t="s">
        <v>143</v>
      </c>
      <c r="H332" s="52" t="s">
        <v>144</v>
      </c>
      <c r="I332" s="53" t="s">
        <v>145</v>
      </c>
      <c r="J332" s="54" t="s">
        <v>146</v>
      </c>
      <c r="K332" s="55"/>
      <c r="L332" s="55"/>
      <c r="M332" s="55"/>
      <c r="N332" s="55"/>
    </row>
    <row r="333" spans="1:14" s="67" customFormat="1" ht="18.95" customHeight="1">
      <c r="A333" s="57" cm="1">
        <f t="array" ref="A333:J333">IFERROR(IF(ISBLANK(INDEX(_xlfn._xlws.FILTER([1]加工記録２!$D$3:$M$590, [1]加工記録２!$T$3:$T$590=B290), 1)), "", INDEX(_xlfn._xlws.FILTER([1]加工記録２!$D$3:$M$590, [1]加工記録２!$T$3:$T$590=B290), 1)),"")</f>
        <v>45852</v>
      </c>
      <c r="B333" s="58" t="str">
        <v>25G04-01</v>
      </c>
      <c r="C333" s="59" t="str">
        <v/>
      </c>
      <c r="D333" s="59" t="str">
        <v/>
      </c>
      <c r="E333" s="60" t="str">
        <v/>
      </c>
      <c r="F333" s="61" t="str">
        <v>25G04-01</v>
      </c>
      <c r="G333" s="62">
        <v>4</v>
      </c>
      <c r="H333" s="63">
        <v>4</v>
      </c>
      <c r="I333" s="64">
        <v>45874</v>
      </c>
      <c r="J333" s="65">
        <v>9</v>
      </c>
      <c r="K333" s="66"/>
      <c r="L333" s="66"/>
      <c r="M333" s="66"/>
      <c r="N333" s="66"/>
    </row>
    <row r="334" spans="1:14" s="67" customFormat="1" ht="18.95" customHeight="1">
      <c r="A334" s="68" cm="1">
        <f t="array" ref="A334:J334">IFERROR(IF(ISBLANK(INDEX(_xlfn._xlws.FILTER([1]加工記録２!$D$3:$M$590, [1]加工記録２!$T$3:$T$590=B290), 2)), "", INDEX(_xlfn._xlws.FILTER([1]加工記録２!$D$3:$M$590, [1]加工記録２!$T$3:$T$590=B290), 2)),"")</f>
        <v>45874</v>
      </c>
      <c r="B334" s="69" t="str">
        <v>25G31-03</v>
      </c>
      <c r="C334" s="69" t="str">
        <v/>
      </c>
      <c r="D334" s="69" t="str">
        <v/>
      </c>
      <c r="E334" s="70" t="str">
        <v/>
      </c>
      <c r="F334" s="71" t="str">
        <v>25G31-03</v>
      </c>
      <c r="G334" s="72">
        <v>140</v>
      </c>
      <c r="H334" s="73">
        <v>140</v>
      </c>
      <c r="I334" s="64">
        <v>45875</v>
      </c>
      <c r="J334" s="65">
        <v>12</v>
      </c>
      <c r="K334" s="66"/>
      <c r="L334" s="66"/>
      <c r="M334" s="66"/>
      <c r="N334" s="66"/>
    </row>
    <row r="335" spans="1:14" s="67" customFormat="1" ht="18.95" customHeight="1">
      <c r="A335" s="68" cm="1">
        <f t="array" ref="A335:J335">IFERROR(IF(ISBLANK(INDEX(_xlfn._xlws.FILTER([1]加工記録２!$D$3:$M$590, [1]加工記録２!$T$3:$T$590=B290), 3)), "", INDEX(_xlfn._xlws.FILTER([1]加工記録２!$D$3:$M$590, [1]加工記録２!$T$3:$T$590=B290), 3)),"")</f>
        <v>45874</v>
      </c>
      <c r="B335" s="69" t="str">
        <v>25G31-02</v>
      </c>
      <c r="C335" s="69" t="str">
        <v/>
      </c>
      <c r="D335" s="69" t="str">
        <v/>
      </c>
      <c r="E335" s="70" t="str">
        <v/>
      </c>
      <c r="F335" s="71" t="str">
        <v>25G31-02</v>
      </c>
      <c r="G335" s="72">
        <v>60</v>
      </c>
      <c r="H335" s="73">
        <v>60</v>
      </c>
      <c r="I335" s="64" t="str">
        <v/>
      </c>
      <c r="J335" s="65" t="str">
        <v/>
      </c>
      <c r="K335" s="66"/>
      <c r="L335" s="66"/>
      <c r="M335" s="66"/>
      <c r="N335" s="66"/>
    </row>
    <row r="336" spans="1:14" s="67" customFormat="1" ht="18.95" customHeight="1">
      <c r="A336" s="68" cm="1">
        <f t="array" ref="A336:J336">IFERROR(IF(ISBLANK(INDEX(_xlfn._xlws.FILTER([1]加工記録２!$D$3:$M$590, [1]加工記録２!$T$3:$T$590=B290), 4)), "", INDEX(_xlfn._xlws.FILTER([1]加工記録２!$D$3:$M$590, [1]加工記録２!$T$3:$T$590=B290), 4)),"")</f>
        <v>45875</v>
      </c>
      <c r="B336" s="69" t="str">
        <v>25G31-01</v>
      </c>
      <c r="C336" s="69" t="str">
        <v/>
      </c>
      <c r="D336" s="69" t="str">
        <v/>
      </c>
      <c r="E336" s="70" t="str">
        <v/>
      </c>
      <c r="F336" s="71" t="str">
        <v>25G31-01</v>
      </c>
      <c r="G336" s="72">
        <v>198</v>
      </c>
      <c r="H336" s="73">
        <v>198</v>
      </c>
      <c r="I336" s="64" t="str">
        <v/>
      </c>
      <c r="J336" s="65" t="str">
        <v/>
      </c>
      <c r="K336" s="66"/>
      <c r="L336" s="66"/>
      <c r="M336" s="66"/>
      <c r="N336" s="66"/>
    </row>
    <row r="337" spans="1:14" s="67" customFormat="1" ht="18.95" customHeight="1">
      <c r="A337" s="68" t="str" cm="1">
        <f t="array" ref="A337:J337">IFERROR(IF(ISBLANK(INDEX(_xlfn._xlws.FILTER([1]加工記録２!$D$3:$M$590, [1]加工記録２!$T$3:$T$590=B290), 5)), "", INDEX(_xlfn._xlws.FILTER([1]加工記録２!$D$3:$M$590, [1]加工記録２!$T$3:$T$590=B290), 5)),"")</f>
        <v/>
      </c>
      <c r="B337" s="69" t="str">
        <v/>
      </c>
      <c r="C337" s="69" t="str">
        <v/>
      </c>
      <c r="D337" s="69" t="str">
        <v/>
      </c>
      <c r="E337" s="70" t="str">
        <v/>
      </c>
      <c r="F337" s="71" t="str">
        <v/>
      </c>
      <c r="G337" s="72" t="str">
        <v/>
      </c>
      <c r="H337" s="73">
        <v>0</v>
      </c>
      <c r="I337" s="74" t="str">
        <v/>
      </c>
      <c r="J337" s="75" t="str">
        <v/>
      </c>
      <c r="K337" s="66"/>
      <c r="L337" s="66"/>
      <c r="M337" s="66"/>
      <c r="N337" s="66"/>
    </row>
    <row r="338" spans="1:14" s="67" customFormat="1" ht="18.95" customHeight="1">
      <c r="A338" s="68" t="str" cm="1">
        <f t="array" ref="A338:J338">IFERROR(IF(ISBLANK(INDEX(_xlfn._xlws.FILTER([1]加工記録２!$D$3:$M$590, [1]加工記録２!$T$3:$T$590=B290), 6)), "", INDEX(_xlfn._xlws.FILTER([1]加工記録２!$D$3:$M$590, [1]加工記録２!$T$3:$T$590=B290), 6)),"")</f>
        <v/>
      </c>
      <c r="B338" s="69" t="str">
        <v/>
      </c>
      <c r="C338" s="69" t="str">
        <v/>
      </c>
      <c r="D338" s="69" t="str">
        <v/>
      </c>
      <c r="E338" s="70" t="str">
        <v/>
      </c>
      <c r="F338" s="71" t="str">
        <v/>
      </c>
      <c r="G338" s="72" t="str">
        <v/>
      </c>
      <c r="H338" s="76">
        <v>0</v>
      </c>
      <c r="I338" s="77" t="str">
        <v>旧品加工</v>
      </c>
      <c r="J338" s="78">
        <v>4</v>
      </c>
      <c r="K338" s="66"/>
      <c r="L338" s="66"/>
      <c r="M338" s="66"/>
      <c r="N338" s="66"/>
    </row>
    <row r="339" spans="1:14" s="67" customFormat="1" ht="18.95" customHeight="1">
      <c r="A339" s="68" t="str" cm="1">
        <f t="array" ref="A339:J339">IFERROR(IF(ISBLANK(INDEX(_xlfn._xlws.FILTER([1]加工記録２!$D$3:$M$590, [1]加工記録２!$T$3:$T$590=B290), 7)), "", INDEX(_xlfn._xlws.FILTER([1]加工記録２!$D$3:$M$590, [1]加工記録２!$T$3:$T$590=B290), 7)),"")</f>
        <v/>
      </c>
      <c r="B339" s="69" t="str">
        <v/>
      </c>
      <c r="C339" s="69" t="str">
        <v/>
      </c>
      <c r="D339" s="69" t="str">
        <v/>
      </c>
      <c r="E339" s="70" t="str">
        <v/>
      </c>
      <c r="F339" s="71" t="str">
        <v/>
      </c>
      <c r="G339" s="72" t="str">
        <v/>
      </c>
      <c r="H339" s="76">
        <v>0</v>
      </c>
      <c r="I339" s="79" t="str">
        <v>持出端材</v>
      </c>
      <c r="J339" s="80" t="str">
        <v/>
      </c>
      <c r="K339" s="66"/>
      <c r="L339" s="66"/>
      <c r="M339" s="66"/>
      <c r="N339" s="66"/>
    </row>
    <row r="340" spans="1:14" s="67" customFormat="1" ht="18.95" customHeight="1" thickBot="1">
      <c r="A340" s="81" t="str" cm="1">
        <f t="array" ref="A340:J340">IFERROR(IF(ISBLANK(INDEX(_xlfn._xlws.FILTER([1]加工記録２!$D$3:$M$590, [1]加工記録２!$T$3:$T$590=B290), 8)), "", INDEX(_xlfn._xlws.FILTER([1]加工記録２!$D$3:$M$590, [1]加工記録２!$T$3:$T$590=B290), 8)),"")</f>
        <v/>
      </c>
      <c r="B340" s="82" t="str">
        <v/>
      </c>
      <c r="C340" s="82" t="str">
        <v/>
      </c>
      <c r="D340" s="82" t="str">
        <v/>
      </c>
      <c r="E340" s="83" t="str">
        <v/>
      </c>
      <c r="F340" s="84" t="str">
        <v/>
      </c>
      <c r="G340" s="85" t="str">
        <v/>
      </c>
      <c r="H340" s="86">
        <v>0</v>
      </c>
      <c r="I340" s="87" t="str">
        <v>α端材</v>
      </c>
      <c r="J340" s="88">
        <v>0</v>
      </c>
      <c r="K340" s="66"/>
      <c r="L340" s="66"/>
      <c r="M340" s="66"/>
      <c r="N340" s="66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26" t="s">
        <v>0</v>
      </c>
      <c r="C343" s="90"/>
      <c r="D343" s="90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90"/>
      <c r="C344" s="90"/>
      <c r="D344" s="90"/>
      <c r="E344" s="13"/>
      <c r="F344" s="13"/>
      <c r="G344" s="13"/>
      <c r="H344" s="13"/>
      <c r="I344" s="13"/>
      <c r="J344" s="13"/>
    </row>
    <row r="345" spans="1:14" ht="14.25" customHeight="1">
      <c r="A345" s="106" t="s">
        <v>1</v>
      </c>
      <c r="B345" s="106" t="s">
        <v>102</v>
      </c>
      <c r="C345" s="106" t="s">
        <v>3</v>
      </c>
      <c r="D345" s="125">
        <v>1923</v>
      </c>
      <c r="E345" s="106" t="s">
        <v>4</v>
      </c>
      <c r="F345" s="100" t="s">
        <v>103</v>
      </c>
      <c r="G345" s="90"/>
      <c r="H345" s="94"/>
      <c r="I345" s="14" t="s">
        <v>6</v>
      </c>
      <c r="J345" s="14" t="s">
        <v>7</v>
      </c>
    </row>
    <row r="346" spans="1:14" ht="14.25" customHeight="1">
      <c r="A346" s="90"/>
      <c r="B346" s="90"/>
      <c r="C346" s="90"/>
      <c r="D346" s="90"/>
      <c r="E346" s="90"/>
      <c r="F346" s="90"/>
      <c r="G346" s="90"/>
      <c r="H346" s="94"/>
      <c r="I346" s="101"/>
      <c r="J346" s="101"/>
    </row>
    <row r="347" spans="1:14" ht="17.45" customHeight="1">
      <c r="A347" s="105" t="s">
        <v>8</v>
      </c>
      <c r="B347" s="105" t="s">
        <v>104</v>
      </c>
      <c r="E347" s="105" t="s">
        <v>10</v>
      </c>
      <c r="F347" s="98" t="s">
        <v>11</v>
      </c>
      <c r="G347" s="90"/>
      <c r="H347" s="94"/>
      <c r="I347" s="102"/>
      <c r="J347" s="102"/>
    </row>
    <row r="348" spans="1:14" ht="17.45" customHeight="1">
      <c r="A348" s="90"/>
      <c r="B348" s="90"/>
      <c r="E348" s="90"/>
      <c r="F348" s="90"/>
      <c r="G348" s="90"/>
      <c r="H348" s="94"/>
      <c r="I348" s="15"/>
      <c r="J348" s="15"/>
    </row>
    <row r="349" spans="1:14" ht="17.45" customHeight="1">
      <c r="A349" s="105" t="s">
        <v>12</v>
      </c>
      <c r="B349" s="105" t="s">
        <v>105</v>
      </c>
      <c r="E349" s="2" t="s">
        <v>14</v>
      </c>
      <c r="F349" s="121" t="s">
        <v>15</v>
      </c>
      <c r="G349" s="90"/>
      <c r="H349" s="22"/>
    </row>
    <row r="350" spans="1:14" ht="17.45" customHeight="1">
      <c r="A350" s="90"/>
      <c r="B350" s="90"/>
      <c r="E350" s="2" t="s">
        <v>16</v>
      </c>
      <c r="F350" s="22" t="s">
        <v>17</v>
      </c>
      <c r="G350" s="22"/>
      <c r="H350" s="22"/>
    </row>
    <row r="351" spans="1:14" ht="17.45" customHeight="1">
      <c r="A351" s="2" t="s">
        <v>18</v>
      </c>
      <c r="B351" s="4">
        <v>45875</v>
      </c>
      <c r="E351" s="2" t="s">
        <v>19</v>
      </c>
      <c r="F351" s="92">
        <v>16</v>
      </c>
      <c r="G351" s="90"/>
      <c r="H351" s="22"/>
    </row>
    <row r="352" spans="1:14" ht="17.45" customHeight="1">
      <c r="A352" s="2" t="s">
        <v>20</v>
      </c>
      <c r="B352" s="4">
        <v>45875</v>
      </c>
      <c r="E352" s="2" t="s">
        <v>21</v>
      </c>
      <c r="F352" s="22">
        <v>12</v>
      </c>
      <c r="G352" s="109" t="s">
        <v>22</v>
      </c>
      <c r="H352" s="113">
        <v>192</v>
      </c>
      <c r="I352" s="114"/>
      <c r="J352" s="115"/>
    </row>
    <row r="353" spans="1:10" ht="17.45" customHeight="1">
      <c r="A353" s="20"/>
      <c r="B353" s="21"/>
      <c r="C353" s="21"/>
      <c r="D353" s="21"/>
      <c r="E353" s="2" t="s">
        <v>23</v>
      </c>
      <c r="F353" s="22" t="s">
        <v>24</v>
      </c>
      <c r="G353" s="110"/>
      <c r="H353" s="110"/>
      <c r="I353" s="95"/>
      <c r="J353" s="96"/>
    </row>
    <row r="354" spans="1:10" ht="13.5" customHeight="1">
      <c r="A354" s="124" t="s">
        <v>106</v>
      </c>
      <c r="B354" s="90"/>
      <c r="C354" s="90"/>
      <c r="D354" s="21"/>
      <c r="F354" s="3"/>
      <c r="G354" s="120" t="s">
        <v>26</v>
      </c>
      <c r="H354" s="116" t="s">
        <v>27</v>
      </c>
      <c r="I354" s="93" t="s">
        <v>28</v>
      </c>
      <c r="J354" s="94"/>
    </row>
    <row r="355" spans="1:10" ht="13.5" customHeight="1">
      <c r="A355" s="90"/>
      <c r="B355" s="90"/>
      <c r="C355" s="90"/>
      <c r="D355" s="21"/>
      <c r="F355" s="3"/>
      <c r="G355" s="117"/>
      <c r="H355" s="117"/>
      <c r="I355" s="95"/>
      <c r="J355" s="96"/>
    </row>
    <row r="356" spans="1:10" ht="13.5" customHeight="1">
      <c r="A356" s="1" t="s">
        <v>29</v>
      </c>
    </row>
    <row r="357" spans="1:10" ht="63" customHeight="1">
      <c r="A357" s="122"/>
      <c r="B357" s="123"/>
      <c r="C357" s="123"/>
      <c r="D357" s="123"/>
      <c r="E357" s="123"/>
      <c r="F357" s="123"/>
      <c r="G357" s="123"/>
      <c r="H357" s="123"/>
      <c r="I357" s="123"/>
      <c r="J357" s="123"/>
    </row>
    <row r="358" spans="1:10" ht="18.75">
      <c r="A358" s="24" t="s">
        <v>30</v>
      </c>
      <c r="B358" s="17" t="s">
        <v>31</v>
      </c>
      <c r="C358" s="107" t="s">
        <v>32</v>
      </c>
      <c r="D358" s="108"/>
      <c r="E358" s="17" t="s">
        <v>33</v>
      </c>
      <c r="F358" s="107" t="s">
        <v>34</v>
      </c>
      <c r="G358" s="108"/>
      <c r="H358" s="108"/>
      <c r="I358" s="119" t="s">
        <v>35</v>
      </c>
      <c r="J358" s="10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3">
        <v>1</v>
      </c>
      <c r="B360" s="25" t="s">
        <v>36</v>
      </c>
      <c r="C360" s="89" t="s">
        <v>37</v>
      </c>
      <c r="D360" s="90"/>
      <c r="E360" s="25" t="s">
        <v>38</v>
      </c>
      <c r="F360" s="89" t="s">
        <v>39</v>
      </c>
      <c r="G360" s="90"/>
      <c r="H360" s="90"/>
      <c r="I360" s="99"/>
      <c r="J360" s="90"/>
    </row>
    <row r="361" spans="1:10" ht="16.5" customHeight="1">
      <c r="A361" s="23">
        <v>1</v>
      </c>
      <c r="B361" s="26" t="s">
        <v>36</v>
      </c>
      <c r="C361" s="89" t="s">
        <v>37</v>
      </c>
      <c r="D361" s="90"/>
      <c r="E361" s="25" t="s">
        <v>40</v>
      </c>
      <c r="F361" s="89" t="s">
        <v>41</v>
      </c>
      <c r="G361" s="90"/>
      <c r="H361" s="90"/>
      <c r="I361" s="99"/>
      <c r="J361" s="90"/>
    </row>
    <row r="362" spans="1:10" ht="16.5" customHeight="1">
      <c r="A362" s="23"/>
      <c r="B362" s="26"/>
      <c r="C362" s="89"/>
      <c r="D362" s="90"/>
      <c r="E362" s="25"/>
      <c r="F362" s="89"/>
      <c r="G362" s="90"/>
      <c r="H362" s="90"/>
      <c r="I362" s="99"/>
      <c r="J362" s="90"/>
    </row>
    <row r="363" spans="1:10" ht="16.5" customHeight="1">
      <c r="A363" s="23"/>
      <c r="B363" s="26"/>
      <c r="C363" s="89"/>
      <c r="D363" s="90"/>
      <c r="E363" s="25"/>
      <c r="F363" s="89"/>
      <c r="G363" s="90"/>
      <c r="H363" s="90"/>
      <c r="I363" s="99"/>
      <c r="J363" s="90"/>
    </row>
    <row r="364" spans="1:10" ht="16.5" customHeight="1">
      <c r="A364" s="23"/>
      <c r="B364" s="26"/>
      <c r="C364" s="89"/>
      <c r="D364" s="90"/>
      <c r="E364" s="25"/>
      <c r="F364" s="89"/>
      <c r="G364" s="90"/>
      <c r="H364" s="90"/>
      <c r="I364" s="99"/>
      <c r="J364" s="90"/>
    </row>
    <row r="365" spans="1:10" ht="16.5" customHeight="1">
      <c r="A365" s="23"/>
      <c r="B365" s="26"/>
      <c r="C365" s="89"/>
      <c r="D365" s="90"/>
      <c r="E365" s="25"/>
      <c r="F365" s="89"/>
      <c r="G365" s="90"/>
      <c r="H365" s="90"/>
      <c r="I365" s="99"/>
      <c r="J365" s="90"/>
    </row>
    <row r="366" spans="1:10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8.75">
      <c r="A367" s="103" t="s">
        <v>42</v>
      </c>
      <c r="B367" s="104"/>
      <c r="C367" s="103" t="s">
        <v>43</v>
      </c>
      <c r="D367" s="104"/>
      <c r="E367" s="104"/>
      <c r="F367" s="18" t="s">
        <v>44</v>
      </c>
      <c r="G367" s="103" t="s">
        <v>45</v>
      </c>
      <c r="H367" s="104"/>
      <c r="I367" s="103" t="s">
        <v>46</v>
      </c>
      <c r="J367" s="104"/>
    </row>
    <row r="368" spans="1:10" ht="14.25" customHeight="1">
      <c r="A368" s="8"/>
      <c r="B368" s="19"/>
      <c r="C368" s="118" t="s">
        <v>47</v>
      </c>
      <c r="D368" s="95"/>
      <c r="E368" s="19"/>
      <c r="F368" s="118" t="s">
        <v>29</v>
      </c>
      <c r="G368" s="95"/>
      <c r="H368" s="95"/>
      <c r="I368" s="95"/>
      <c r="J368" s="95"/>
    </row>
    <row r="369" spans="1:11">
      <c r="A369" s="9"/>
      <c r="C369" s="7"/>
      <c r="D369" s="7"/>
      <c r="E369" s="7"/>
    </row>
    <row r="370" spans="1:11" ht="14.25" customHeight="1">
      <c r="A370" s="89" t="s">
        <v>107</v>
      </c>
      <c r="B370" s="90"/>
      <c r="C370" s="89" t="s">
        <v>108</v>
      </c>
      <c r="D370" s="90"/>
      <c r="E370" s="90"/>
      <c r="F370" s="27" t="s">
        <v>50</v>
      </c>
      <c r="G370" s="97">
        <v>192</v>
      </c>
      <c r="H370" s="90"/>
      <c r="I370" s="97">
        <v>12</v>
      </c>
      <c r="J370" s="90"/>
    </row>
    <row r="371" spans="1:11" ht="24.95" customHeight="1">
      <c r="A371" s="91" t="s">
        <v>109</v>
      </c>
      <c r="B371" s="90"/>
      <c r="C371" s="89" t="s">
        <v>11</v>
      </c>
      <c r="D371" s="90"/>
      <c r="E371" s="90"/>
      <c r="F371" s="89"/>
      <c r="G371" s="90"/>
      <c r="H371" s="90"/>
      <c r="I371" s="90"/>
      <c r="J371" s="90"/>
    </row>
    <row r="372" spans="1:11" ht="14.25" customHeight="1">
      <c r="A372" s="89" t="s">
        <v>67</v>
      </c>
      <c r="B372" s="90"/>
      <c r="C372" s="89" t="s">
        <v>68</v>
      </c>
      <c r="D372" s="90"/>
      <c r="E372" s="90"/>
      <c r="F372" s="27" t="s">
        <v>27</v>
      </c>
      <c r="G372" s="97">
        <v>12.096</v>
      </c>
      <c r="H372" s="90"/>
      <c r="I372" s="97">
        <v>0.75600000000000001</v>
      </c>
      <c r="J372" s="90"/>
    </row>
    <row r="373" spans="1:11" ht="24.95" customHeight="1">
      <c r="A373" s="91" t="s">
        <v>69</v>
      </c>
      <c r="B373" s="90"/>
      <c r="C373" s="89"/>
      <c r="D373" s="90"/>
      <c r="E373" s="90"/>
      <c r="F373" s="89"/>
      <c r="G373" s="90"/>
      <c r="H373" s="90"/>
      <c r="I373" s="90"/>
      <c r="J373" s="90"/>
    </row>
    <row r="374" spans="1:11" ht="14.25" customHeight="1">
      <c r="A374" s="89" t="s">
        <v>55</v>
      </c>
      <c r="B374" s="90"/>
      <c r="C374" s="89" t="s">
        <v>56</v>
      </c>
      <c r="D374" s="90"/>
      <c r="E374" s="90"/>
      <c r="F374" s="27"/>
      <c r="G374" s="97">
        <v>1.1519999999999999</v>
      </c>
      <c r="H374" s="90"/>
      <c r="I374" s="97">
        <v>7.1999999999999995E-2</v>
      </c>
      <c r="J374" s="90"/>
    </row>
    <row r="375" spans="1:11" ht="24.95" customHeight="1">
      <c r="A375" s="91" t="s">
        <v>57</v>
      </c>
      <c r="B375" s="90"/>
      <c r="C375" s="89" t="s">
        <v>58</v>
      </c>
      <c r="D375" s="90"/>
      <c r="E375" s="90"/>
      <c r="F375" s="89"/>
      <c r="G375" s="90"/>
      <c r="H375" s="90"/>
      <c r="I375" s="90"/>
      <c r="J375" s="90"/>
    </row>
    <row r="376" spans="1:11" ht="14.25" customHeight="1">
      <c r="A376" s="89"/>
      <c r="B376" s="90"/>
      <c r="C376" s="89"/>
      <c r="D376" s="90"/>
      <c r="E376" s="90"/>
      <c r="F376" s="27"/>
      <c r="G376" s="97"/>
      <c r="H376" s="90"/>
      <c r="I376" s="97"/>
      <c r="J376" s="90"/>
    </row>
    <row r="377" spans="1:11" ht="24.95" customHeight="1">
      <c r="A377" s="91"/>
      <c r="B377" s="90"/>
      <c r="C377" s="89"/>
      <c r="D377" s="90"/>
      <c r="E377" s="90"/>
      <c r="F377" s="89"/>
      <c r="G377" s="90"/>
      <c r="H377" s="90"/>
      <c r="I377" s="90"/>
      <c r="J377" s="90"/>
    </row>
    <row r="378" spans="1:11" ht="14.25" customHeight="1">
      <c r="A378" s="89"/>
      <c r="B378" s="90"/>
      <c r="C378" s="89"/>
      <c r="D378" s="90"/>
      <c r="E378" s="90"/>
      <c r="F378" s="27"/>
      <c r="G378" s="97"/>
      <c r="H378" s="90"/>
      <c r="I378" s="97"/>
      <c r="J378" s="90"/>
    </row>
    <row r="379" spans="1:11" ht="24.95" customHeight="1" thickBot="1">
      <c r="A379" s="91"/>
      <c r="B379" s="90"/>
      <c r="C379" s="89"/>
      <c r="D379" s="90"/>
      <c r="E379" s="90"/>
      <c r="F379" s="89"/>
      <c r="G379" s="90"/>
      <c r="H379" s="90"/>
      <c r="I379" s="90"/>
      <c r="J379" s="90"/>
    </row>
    <row r="380" spans="1:11" s="5" customFormat="1" ht="18" customHeight="1">
      <c r="A380" s="144" t="s">
        <v>118</v>
      </c>
      <c r="B380" s="145"/>
      <c r="C380" s="145"/>
      <c r="D380" s="145"/>
      <c r="E380" s="146" t="s">
        <v>119</v>
      </c>
      <c r="F380" s="147"/>
      <c r="G380" s="28" t="s">
        <v>120</v>
      </c>
      <c r="H380" s="148" t="s">
        <v>121</v>
      </c>
      <c r="I380" s="149"/>
      <c r="J380" s="29" t="s">
        <v>122</v>
      </c>
    </row>
    <row r="381" spans="1:11" s="7" customFormat="1" ht="18" customHeight="1">
      <c r="A381" s="150" t="str">
        <f>_xlfn.XLOOKUP(B345,[1]VFDB2!A:A,[1]VFDB2!A:A)</f>
        <v>J1ZAFJB00219230</v>
      </c>
      <c r="B381" s="151"/>
      <c r="C381" s="151"/>
      <c r="D381" s="151"/>
      <c r="E381" s="135" t="str" cm="1">
        <f t="array" ref="E381">IFERROR(IF(ISBLANK(INDEX(_xlfn._xlws.FILTER([1]加工記録２!$C$3:$C$590, [1]加工記録２!$T$3:$T$590=B347), 6)), "", INDEX(_xlfn._xlws.FILTER([1]加工記録２!$C$3:$C$590, [1]加工記録２!$T$3:$T$590=B347), 6)),"")</f>
        <v>灯具-2　L＝1996</v>
      </c>
      <c r="F381" s="136"/>
      <c r="G381" s="154" cm="1">
        <f t="array" ref="G381">IFERROR(IF(ISBLANK(INDEX(_xlfn._xlws.FILTER([1]加工記録２!$C$3:$C$590, [1]加工記録２!$T$3:$T$590=B347), 7)), " ", INDEX(_xlfn._xlws.FILTER([1]加工記録２!$C$3:$C$590, [1]加工記録２!$T$3:$T$590=B347), 7))," ")</f>
        <v>10</v>
      </c>
      <c r="H381" s="30" t="s">
        <v>123</v>
      </c>
      <c r="I381" s="31" cm="1">
        <f t="array" ref="I381:J381">IFERROR(IF(ISBLANK(INDEX(_xlfn._xlws.FILTER([1]加工記録２!$O$3:$P$590, [1]加工記録２!$T$3:$T$590=B347), 1)), "", INDEX(_xlfn._xlws.FILTER([1]加工記録２!$O$3:$P$590, [1]加工記録２!$T$3:$T$590=B347), 1)),"")</f>
        <v>45874</v>
      </c>
      <c r="J381" s="32">
        <v>22</v>
      </c>
    </row>
    <row r="382" spans="1:11" s="5" customFormat="1" ht="18" customHeight="1">
      <c r="A382" s="152"/>
      <c r="B382" s="153"/>
      <c r="C382" s="153"/>
      <c r="D382" s="153"/>
      <c r="E382" s="135"/>
      <c r="F382" s="136"/>
      <c r="G382" s="154"/>
      <c r="H382" s="30" t="s">
        <v>124</v>
      </c>
      <c r="I382" s="33" cm="1">
        <f t="array" ref="I382:J382">IFERROR(IF(ISBLANK(INDEX(_xlfn._xlws.FILTER([1]加工記録２!$O$3:$P$590, [1]加工記録２!$T$3:$T$590=B347), 2)), "", INDEX(_xlfn._xlws.FILTER([1]加工記録２!$O$3:$P$590, [1]加工記録２!$T$3:$T$590=B347), 2)),"")</f>
        <v>160</v>
      </c>
      <c r="J382" s="34">
        <v>17</v>
      </c>
      <c r="K382" s="35"/>
    </row>
    <row r="383" spans="1:11" s="7" customFormat="1" ht="18" customHeight="1">
      <c r="A383" s="155" t="s">
        <v>125</v>
      </c>
      <c r="B383" s="129" t="str">
        <f>_xlfn.XLOOKUP(B345,[1]VFDB2!A:A,[1]VFDB2!J:J)</f>
        <v>-</v>
      </c>
      <c r="C383" s="131" t="s">
        <v>126</v>
      </c>
      <c r="D383" s="133">
        <f>_xlfn.XLOOKUP(B345,[1]VFDB2!A:A,[1]VFDB2!P:P)</f>
        <v>1</v>
      </c>
      <c r="E383" s="135" t="str">
        <f>_xlfn.XLOOKUP(B345,[1]VFDB2!A:A,[1]VFDB2!V:V)</f>
        <v>梱包:箱1996</v>
      </c>
      <c r="F383" s="136"/>
      <c r="G383" s="137"/>
      <c r="H383" s="36" t="s">
        <v>127</v>
      </c>
      <c r="I383" s="33" cm="1">
        <f t="array" ref="I383:J383">IFERROR(IF(ISBLANK(INDEX(_xlfn._xlws.FILTER([1]加工記録２!$O$3:$P$590, [1]加工記録２!$T$3:$T$590=B347), 3)), "", INDEX(_xlfn._xlws.FILTER([1]加工記録２!$O$3:$P$590, [1]加工記録２!$T$3:$T$590=B347), 3)),"")</f>
        <v>200</v>
      </c>
      <c r="J383" s="37">
        <v>1</v>
      </c>
      <c r="K383" s="38"/>
    </row>
    <row r="384" spans="1:11" s="5" customFormat="1" ht="18" customHeight="1">
      <c r="A384" s="156"/>
      <c r="B384" s="130"/>
      <c r="C384" s="132"/>
      <c r="D384" s="134"/>
      <c r="E384" s="135"/>
      <c r="F384" s="136"/>
      <c r="G384" s="137"/>
      <c r="H384" s="36" t="s">
        <v>128</v>
      </c>
      <c r="I384" s="33" cm="1">
        <f t="array" ref="I384:J384">IFERROR(IF(ISBLANK(INDEX(_xlfn._xlws.FILTER([1]加工記録２!$O$3:$P$590, [1]加工記録２!$T$3:$T$590=B347), 4)), "", INDEX(_xlfn._xlws.FILTER([1]加工記録２!$O$3:$P$590, [1]加工記録２!$T$3:$T$590=B347), 4)),"")</f>
        <v>40</v>
      </c>
      <c r="J384" s="39" t="str">
        <v/>
      </c>
      <c r="K384" s="35"/>
    </row>
    <row r="385" spans="1:14" s="7" customFormat="1" ht="18" customHeight="1">
      <c r="A385" s="127" t="s">
        <v>129</v>
      </c>
      <c r="B385" s="138">
        <f>D345</f>
        <v>1923</v>
      </c>
      <c r="C385" s="140" t="s">
        <v>130</v>
      </c>
      <c r="D385" s="142" t="str">
        <f>_xlfn.XLOOKUP(B345,[1]VFDB2!A:A,[1]VFDB2!L:L)</f>
        <v>+2</v>
      </c>
      <c r="E385" s="135" t="str">
        <f>_xlfn.XLOOKUP(B345,[1]VFDB2!A:A,[1]VFDB2!W:W)</f>
        <v>クラフト紙：1996型</v>
      </c>
      <c r="F385" s="136"/>
      <c r="G385" s="137"/>
      <c r="H385" s="36" t="s">
        <v>131</v>
      </c>
      <c r="I385" s="33" cm="1">
        <f t="array" ref="I385:J385">IFERROR(IF(ISBLANK(INDEX(_xlfn._xlws.FILTER([1]加工記録２!$O$3:$P$590, [1]加工記録２!$T$3:$T$590=B347), 5)), "", INDEX(_xlfn._xlws.FILTER([1]加工記録２!$O$3:$P$590, [1]加工記録２!$T$3:$T$590=B347), 5)),"")</f>
        <v>40</v>
      </c>
      <c r="J385" s="40" t="str">
        <v/>
      </c>
      <c r="K385" s="38"/>
    </row>
    <row r="386" spans="1:14" s="5" customFormat="1" ht="18" customHeight="1">
      <c r="A386" s="128"/>
      <c r="B386" s="139"/>
      <c r="C386" s="141"/>
      <c r="D386" s="143"/>
      <c r="E386" s="135"/>
      <c r="F386" s="136"/>
      <c r="G386" s="137"/>
      <c r="H386" s="36" t="s">
        <v>132</v>
      </c>
      <c r="I386" s="33" cm="1">
        <f t="array" ref="I386:J386">IFERROR(IF(ISBLANK(INDEX(_xlfn._xlws.FILTER([1]加工記録２!$O$3:$P$590, [1]加工記録２!$T$3:$T$590=B347), 6)), "", INDEX(_xlfn._xlws.FILTER([1]加工記録２!$O$3:$P$590, [1]加工記録２!$T$3:$T$590=B347), 6)),"")</f>
        <v>0</v>
      </c>
      <c r="J386" s="41" t="str">
        <v/>
      </c>
      <c r="K386" s="35"/>
    </row>
    <row r="387" spans="1:14" s="7" customFormat="1" ht="18" customHeight="1">
      <c r="A387" s="155" t="s">
        <v>133</v>
      </c>
      <c r="B387" s="158" t="str">
        <f>_xlfn.XLOOKUP(B345,[1]VFDB2!A:A,[1]VFDB2!AC:AC)</f>
        <v>換算表確認</v>
      </c>
      <c r="C387" s="160" t="s">
        <v>134</v>
      </c>
      <c r="D387" s="142">
        <f>_xlfn.XLOOKUP(B345,[1]VFDB2!A:A,[1]VFDB2!K:K)</f>
        <v>-2</v>
      </c>
      <c r="E387" s="135" t="str">
        <f>_xlfn.XLOOKUP(B345,[1]VFDB2!A:A,[1]VFDB2!R:R)</f>
        <v>ラベル2枚　長手有　鉢巻１</v>
      </c>
      <c r="F387" s="136"/>
      <c r="G387" s="137"/>
      <c r="H387" s="36" t="s">
        <v>135</v>
      </c>
      <c r="I387" s="33" t="str" cm="1">
        <f t="array" ref="I387:J387">IFERROR(IF(ISBLANK(INDEX(_xlfn._xlws.FILTER([1]加工記録２!$O$3:$P$590, [1]加工記録２!$T$3:$T$590=B347), 7)), "", INDEX(_xlfn._xlws.FILTER([1]加工記録２!$O$3:$P$590, [1]加工記録２!$T$3:$T$590=B347), 7)),"")</f>
        <v>-</v>
      </c>
      <c r="J387" s="42" t="str">
        <v/>
      </c>
      <c r="K387" s="38"/>
    </row>
    <row r="388" spans="1:14" s="5" customFormat="1" ht="18" customHeight="1" thickBot="1">
      <c r="A388" s="157"/>
      <c r="B388" s="159"/>
      <c r="C388" s="161"/>
      <c r="D388" s="162"/>
      <c r="E388" s="163"/>
      <c r="F388" s="164"/>
      <c r="G388" s="165"/>
      <c r="H388" s="43" t="s">
        <v>136</v>
      </c>
      <c r="I388" s="44" t="str" cm="1">
        <f t="array" ref="I388:J388">IFERROR(IF(ISBLANK(INDEX(_xlfn._xlws.FILTER([1]加工記録２!$O$3:$P$590, [1]加工記録２!$T$3:$T$590=B347), 8)), "", INDEX(_xlfn._xlws.FILTER([1]加工記録２!$O$3:$P$590, [1]加工記録２!$T$3:$T$590=B347), 8)),"")</f>
        <v>高森・水野</v>
      </c>
      <c r="J388" s="45">
        <v>40</v>
      </c>
    </row>
    <row r="389" spans="1:14" s="56" customFormat="1" ht="18.95" customHeight="1">
      <c r="A389" s="46" t="s">
        <v>137</v>
      </c>
      <c r="B389" s="47" t="s">
        <v>138</v>
      </c>
      <c r="C389" s="48" t="s">
        <v>139</v>
      </c>
      <c r="D389" s="48" t="s">
        <v>140</v>
      </c>
      <c r="E389" s="49" t="s">
        <v>141</v>
      </c>
      <c r="F389" s="50" t="s">
        <v>142</v>
      </c>
      <c r="G389" s="51" t="s">
        <v>143</v>
      </c>
      <c r="H389" s="52" t="s">
        <v>144</v>
      </c>
      <c r="I389" s="53" t="s">
        <v>145</v>
      </c>
      <c r="J389" s="54" t="s">
        <v>146</v>
      </c>
      <c r="K389" s="55"/>
      <c r="L389" s="55"/>
      <c r="M389" s="55"/>
      <c r="N389" s="55"/>
    </row>
    <row r="390" spans="1:14" s="67" customFormat="1" ht="18.95" customHeight="1">
      <c r="A390" s="57" cm="1">
        <f t="array" ref="A390:J390">IFERROR(IF(ISBLANK(INDEX(_xlfn._xlws.FILTER([1]加工記録２!$D$3:$M$590, [1]加工記録２!$T$3:$T$590=B347), 1)), "", INDEX(_xlfn._xlws.FILTER([1]加工記録２!$D$3:$M$590, [1]加工記録２!$T$3:$T$590=B347), 1)),"")</f>
        <v>45827</v>
      </c>
      <c r="B390" s="58" t="str">
        <v>25F12-01</v>
      </c>
      <c r="C390" s="59" t="str">
        <v/>
      </c>
      <c r="D390" s="59" t="str">
        <v/>
      </c>
      <c r="E390" s="60" t="str">
        <v/>
      </c>
      <c r="F390" s="61" t="str">
        <v>25F12-01</v>
      </c>
      <c r="G390" s="62">
        <v>1</v>
      </c>
      <c r="H390" s="63">
        <v>1</v>
      </c>
      <c r="I390" s="64">
        <v>45873</v>
      </c>
      <c r="J390" s="65">
        <v>9</v>
      </c>
      <c r="K390" s="66"/>
      <c r="L390" s="66"/>
      <c r="M390" s="66"/>
      <c r="N390" s="66"/>
    </row>
    <row r="391" spans="1:14" s="67" customFormat="1" ht="18.95" customHeight="1">
      <c r="A391" s="68" cm="1">
        <f t="array" ref="A391:J391">IFERROR(IF(ISBLANK(INDEX(_xlfn._xlws.FILTER([1]加工記録２!$D$3:$M$590, [1]加工記録２!$T$3:$T$590=B347), 2)), "", INDEX(_xlfn._xlws.FILTER([1]加工記録２!$D$3:$M$590, [1]加工記録２!$T$3:$T$590=B347), 2)),"")</f>
        <v>45873</v>
      </c>
      <c r="B391" s="69" t="str">
        <v>25G29-01</v>
      </c>
      <c r="C391" s="69" t="str">
        <v/>
      </c>
      <c r="D391" s="69" t="str">
        <v/>
      </c>
      <c r="E391" s="70" t="str">
        <v/>
      </c>
      <c r="F391" s="71" t="str">
        <v>25G29-01</v>
      </c>
      <c r="G391" s="72">
        <v>199</v>
      </c>
      <c r="H391" s="73">
        <v>199</v>
      </c>
      <c r="I391" s="64">
        <v>45874</v>
      </c>
      <c r="J391" s="65">
        <v>1</v>
      </c>
      <c r="K391" s="66"/>
      <c r="L391" s="66"/>
      <c r="M391" s="66"/>
      <c r="N391" s="66"/>
    </row>
    <row r="392" spans="1:14" s="67" customFormat="1" ht="18.95" customHeight="1">
      <c r="A392" s="68" cm="1">
        <f t="array" ref="A392:J392">IFERROR(IF(ISBLANK(INDEX(_xlfn._xlws.FILTER([1]加工記録２!$D$3:$M$590, [1]加工記録２!$T$3:$T$590=B347), 3)), "", INDEX(_xlfn._xlws.FILTER([1]加工記録２!$D$3:$M$590, [1]加工記録２!$T$3:$T$590=B347), 3)),"")</f>
        <v>45874</v>
      </c>
      <c r="B392" s="69" t="str">
        <v>25G29-01</v>
      </c>
      <c r="C392" s="69" t="str">
        <v/>
      </c>
      <c r="D392" s="69" t="str">
        <v/>
      </c>
      <c r="E392" s="70" t="str">
        <v/>
      </c>
      <c r="F392" s="71" t="str">
        <v/>
      </c>
      <c r="G392" s="72" t="str">
        <v/>
      </c>
      <c r="H392" s="73">
        <v>0</v>
      </c>
      <c r="I392" s="64" t="str">
        <v/>
      </c>
      <c r="J392" s="65" t="str">
        <v/>
      </c>
      <c r="K392" s="66"/>
      <c r="L392" s="66"/>
      <c r="M392" s="66"/>
      <c r="N392" s="66"/>
    </row>
    <row r="393" spans="1:14" s="67" customFormat="1" ht="18.95" customHeight="1">
      <c r="A393" s="68" t="str" cm="1">
        <f t="array" ref="A393:J393">IFERROR(IF(ISBLANK(INDEX(_xlfn._xlws.FILTER([1]加工記録２!$D$3:$M$590, [1]加工記録２!$T$3:$T$590=B347), 4)), "", INDEX(_xlfn._xlws.FILTER([1]加工記録２!$D$3:$M$590, [1]加工記録２!$T$3:$T$590=B347), 4)),"")</f>
        <v/>
      </c>
      <c r="B393" s="69" t="str">
        <v/>
      </c>
      <c r="C393" s="69" t="str">
        <v/>
      </c>
      <c r="D393" s="69" t="str">
        <v/>
      </c>
      <c r="E393" s="70" t="str">
        <v/>
      </c>
      <c r="F393" s="71" t="str">
        <v/>
      </c>
      <c r="G393" s="72" t="str">
        <v/>
      </c>
      <c r="H393" s="73">
        <v>0</v>
      </c>
      <c r="I393" s="64" t="str">
        <v/>
      </c>
      <c r="J393" s="65" t="str">
        <v/>
      </c>
      <c r="K393" s="66"/>
      <c r="L393" s="66"/>
      <c r="M393" s="66"/>
      <c r="N393" s="66"/>
    </row>
    <row r="394" spans="1:14" s="67" customFormat="1" ht="18.95" customHeight="1">
      <c r="A394" s="68" t="str" cm="1">
        <f t="array" ref="A394:J394">IFERROR(IF(ISBLANK(INDEX(_xlfn._xlws.FILTER([1]加工記録２!$D$3:$M$590, [1]加工記録２!$T$3:$T$590=B347), 5)), "", INDEX(_xlfn._xlws.FILTER([1]加工記録２!$D$3:$M$590, [1]加工記録２!$T$3:$T$590=B347), 5)),"")</f>
        <v/>
      </c>
      <c r="B394" s="69" t="str">
        <v/>
      </c>
      <c r="C394" s="69" t="str">
        <v/>
      </c>
      <c r="D394" s="69" t="str">
        <v/>
      </c>
      <c r="E394" s="70" t="str">
        <v/>
      </c>
      <c r="F394" s="71" t="str">
        <v/>
      </c>
      <c r="G394" s="72" t="str">
        <v/>
      </c>
      <c r="H394" s="73">
        <v>0</v>
      </c>
      <c r="I394" s="74" t="str">
        <v/>
      </c>
      <c r="J394" s="75" t="str">
        <v/>
      </c>
      <c r="K394" s="66"/>
      <c r="L394" s="66"/>
      <c r="M394" s="66"/>
      <c r="N394" s="66"/>
    </row>
    <row r="395" spans="1:14" s="67" customFormat="1" ht="18.95" customHeight="1">
      <c r="A395" s="68" t="str" cm="1">
        <f t="array" ref="A395:J395">IFERROR(IF(ISBLANK(INDEX(_xlfn._xlws.FILTER([1]加工記録２!$D$3:$M$590, [1]加工記録２!$T$3:$T$590=B347), 6)), "", INDEX(_xlfn._xlws.FILTER([1]加工記録２!$D$3:$M$590, [1]加工記録２!$T$3:$T$590=B347), 6)),"")</f>
        <v/>
      </c>
      <c r="B395" s="69" t="str">
        <v/>
      </c>
      <c r="C395" s="69" t="str">
        <v/>
      </c>
      <c r="D395" s="69" t="str">
        <v/>
      </c>
      <c r="E395" s="70" t="str">
        <v/>
      </c>
      <c r="F395" s="71" t="str">
        <v/>
      </c>
      <c r="G395" s="72" t="str">
        <v/>
      </c>
      <c r="H395" s="76">
        <v>0</v>
      </c>
      <c r="I395" s="77" t="str">
        <v>旧品加工</v>
      </c>
      <c r="J395" s="78">
        <v>1</v>
      </c>
      <c r="K395" s="66"/>
      <c r="L395" s="66"/>
      <c r="M395" s="66"/>
      <c r="N395" s="66"/>
    </row>
    <row r="396" spans="1:14" s="67" customFormat="1" ht="18.95" customHeight="1">
      <c r="A396" s="68" t="str" cm="1">
        <f t="array" ref="A396:J396">IFERROR(IF(ISBLANK(INDEX(_xlfn._xlws.FILTER([1]加工記録２!$D$3:$M$590, [1]加工記録２!$T$3:$T$590=B347), 7)), "", INDEX(_xlfn._xlws.FILTER([1]加工記録２!$D$3:$M$590, [1]加工記録２!$T$3:$T$590=B347), 7)),"")</f>
        <v/>
      </c>
      <c r="B396" s="69" t="str">
        <v/>
      </c>
      <c r="C396" s="69" t="str">
        <v/>
      </c>
      <c r="D396" s="69" t="str">
        <v/>
      </c>
      <c r="E396" s="70" t="str">
        <v/>
      </c>
      <c r="F396" s="71" t="str">
        <v/>
      </c>
      <c r="G396" s="72" t="str">
        <v/>
      </c>
      <c r="H396" s="76">
        <v>0</v>
      </c>
      <c r="I396" s="79" t="str">
        <v>持出端材</v>
      </c>
      <c r="J396" s="80" t="str">
        <v/>
      </c>
      <c r="K396" s="66"/>
      <c r="L396" s="66"/>
      <c r="M396" s="66"/>
      <c r="N396" s="66"/>
    </row>
    <row r="397" spans="1:14" s="67" customFormat="1" ht="18.95" customHeight="1" thickBot="1">
      <c r="A397" s="81" t="str" cm="1">
        <f t="array" ref="A397:J397">IFERROR(IF(ISBLANK(INDEX(_xlfn._xlws.FILTER([1]加工記録２!$D$3:$M$590, [1]加工記録２!$T$3:$T$590=B347), 8)), "", INDEX(_xlfn._xlws.FILTER([1]加工記録２!$D$3:$M$590, [1]加工記録２!$T$3:$T$590=B347), 8)),"")</f>
        <v/>
      </c>
      <c r="B397" s="82" t="str">
        <v/>
      </c>
      <c r="C397" s="82" t="str">
        <v/>
      </c>
      <c r="D397" s="82" t="str">
        <v/>
      </c>
      <c r="E397" s="83" t="str">
        <v/>
      </c>
      <c r="F397" s="84" t="str">
        <v/>
      </c>
      <c r="G397" s="85" t="str">
        <v/>
      </c>
      <c r="H397" s="86">
        <v>0</v>
      </c>
      <c r="I397" s="87" t="str">
        <v>α端材</v>
      </c>
      <c r="J397" s="88">
        <v>0</v>
      </c>
      <c r="K397" s="66"/>
      <c r="L397" s="66"/>
      <c r="M397" s="66"/>
      <c r="N397" s="66"/>
    </row>
    <row r="398" spans="1:14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4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2"/>
      <c r="B400" s="126" t="s">
        <v>0</v>
      </c>
      <c r="C400" s="90"/>
      <c r="D400" s="90"/>
      <c r="E400" s="12"/>
      <c r="F400" s="12"/>
      <c r="G400" s="12"/>
      <c r="H400" s="12"/>
      <c r="I400" s="12"/>
      <c r="J400" s="12"/>
    </row>
    <row r="401" spans="1:10" ht="14.25" customHeight="1">
      <c r="A401" s="13"/>
      <c r="B401" s="90"/>
      <c r="C401" s="90"/>
      <c r="D401" s="90"/>
      <c r="E401" s="13"/>
      <c r="F401" s="13"/>
      <c r="G401" s="13"/>
      <c r="H401" s="13"/>
      <c r="I401" s="13"/>
      <c r="J401" s="13"/>
    </row>
    <row r="402" spans="1:10" ht="14.25" customHeight="1">
      <c r="A402" s="106" t="s">
        <v>1</v>
      </c>
      <c r="B402" s="106" t="s">
        <v>110</v>
      </c>
      <c r="C402" s="106" t="s">
        <v>3</v>
      </c>
      <c r="D402" s="125">
        <v>1966</v>
      </c>
      <c r="E402" s="106" t="s">
        <v>4</v>
      </c>
      <c r="F402" s="100" t="s">
        <v>111</v>
      </c>
      <c r="G402" s="90"/>
      <c r="H402" s="94"/>
      <c r="I402" s="14" t="s">
        <v>6</v>
      </c>
      <c r="J402" s="14" t="s">
        <v>7</v>
      </c>
    </row>
    <row r="403" spans="1:10" ht="14.25" customHeight="1">
      <c r="A403" s="90"/>
      <c r="B403" s="90"/>
      <c r="C403" s="90"/>
      <c r="D403" s="90"/>
      <c r="E403" s="90"/>
      <c r="F403" s="90"/>
      <c r="G403" s="90"/>
      <c r="H403" s="94"/>
      <c r="I403" s="101"/>
      <c r="J403" s="101"/>
    </row>
    <row r="404" spans="1:10" ht="17.45" customHeight="1">
      <c r="A404" s="105" t="s">
        <v>8</v>
      </c>
      <c r="B404" s="105" t="s">
        <v>112</v>
      </c>
      <c r="E404" s="105" t="s">
        <v>10</v>
      </c>
      <c r="F404" s="98" t="s">
        <v>11</v>
      </c>
      <c r="G404" s="90"/>
      <c r="H404" s="94"/>
      <c r="I404" s="102"/>
      <c r="J404" s="102"/>
    </row>
    <row r="405" spans="1:10" ht="17.45" customHeight="1">
      <c r="A405" s="90"/>
      <c r="B405" s="90"/>
      <c r="E405" s="90"/>
      <c r="F405" s="90"/>
      <c r="G405" s="90"/>
      <c r="H405" s="94"/>
      <c r="I405" s="15"/>
      <c r="J405" s="15"/>
    </row>
    <row r="406" spans="1:10" ht="17.45" customHeight="1">
      <c r="A406" s="105" t="s">
        <v>12</v>
      </c>
      <c r="B406" s="105" t="s">
        <v>113</v>
      </c>
      <c r="E406" s="2" t="s">
        <v>14</v>
      </c>
      <c r="F406" s="121" t="s">
        <v>15</v>
      </c>
      <c r="G406" s="90"/>
      <c r="H406" s="22"/>
    </row>
    <row r="407" spans="1:10" ht="17.45" customHeight="1">
      <c r="A407" s="90"/>
      <c r="B407" s="90"/>
      <c r="E407" s="2" t="s">
        <v>16</v>
      </c>
      <c r="F407" s="22" t="s">
        <v>17</v>
      </c>
      <c r="G407" s="22"/>
      <c r="H407" s="22"/>
    </row>
    <row r="408" spans="1:10" ht="17.45" customHeight="1">
      <c r="A408" s="2" t="s">
        <v>18</v>
      </c>
      <c r="B408" s="4">
        <v>45890</v>
      </c>
      <c r="E408" s="2" t="s">
        <v>19</v>
      </c>
      <c r="F408" s="92">
        <v>16</v>
      </c>
      <c r="G408" s="90"/>
      <c r="H408" s="22"/>
    </row>
    <row r="409" spans="1:10" ht="17.45" customHeight="1">
      <c r="A409" s="2" t="s">
        <v>20</v>
      </c>
      <c r="B409" s="4">
        <v>45890</v>
      </c>
      <c r="E409" s="2" t="s">
        <v>21</v>
      </c>
      <c r="F409" s="22">
        <v>12</v>
      </c>
      <c r="G409" s="109" t="s">
        <v>22</v>
      </c>
      <c r="H409" s="113">
        <v>192</v>
      </c>
      <c r="I409" s="114"/>
      <c r="J409" s="115"/>
    </row>
    <row r="410" spans="1:10" ht="17.45" customHeight="1">
      <c r="A410" s="20"/>
      <c r="B410" s="21"/>
      <c r="C410" s="21"/>
      <c r="D410" s="21"/>
      <c r="E410" s="2" t="s">
        <v>23</v>
      </c>
      <c r="F410" s="22" t="s">
        <v>24</v>
      </c>
      <c r="G410" s="110"/>
      <c r="H410" s="110"/>
      <c r="I410" s="95"/>
      <c r="J410" s="96"/>
    </row>
    <row r="411" spans="1:10" ht="13.5" customHeight="1">
      <c r="A411" s="124" t="s">
        <v>114</v>
      </c>
      <c r="B411" s="90"/>
      <c r="C411" s="90"/>
      <c r="D411" s="21"/>
      <c r="F411" s="3"/>
      <c r="G411" s="120" t="s">
        <v>26</v>
      </c>
      <c r="H411" s="116" t="s">
        <v>27</v>
      </c>
      <c r="I411" s="93" t="s">
        <v>28</v>
      </c>
      <c r="J411" s="94"/>
    </row>
    <row r="412" spans="1:10" ht="13.5" customHeight="1">
      <c r="A412" s="90"/>
      <c r="B412" s="90"/>
      <c r="C412" s="90"/>
      <c r="D412" s="21"/>
      <c r="F412" s="3"/>
      <c r="G412" s="117"/>
      <c r="H412" s="117"/>
      <c r="I412" s="95"/>
      <c r="J412" s="96"/>
    </row>
    <row r="413" spans="1:10" ht="13.5" customHeight="1">
      <c r="A413" s="1" t="s">
        <v>29</v>
      </c>
    </row>
    <row r="414" spans="1:10" ht="63" customHeight="1">
      <c r="A414" s="122"/>
      <c r="B414" s="123"/>
      <c r="C414" s="123"/>
      <c r="D414" s="123"/>
      <c r="E414" s="123"/>
      <c r="F414" s="123"/>
      <c r="G414" s="123"/>
      <c r="H414" s="123"/>
      <c r="I414" s="123"/>
      <c r="J414" s="123"/>
    </row>
    <row r="415" spans="1:10" ht="18.75">
      <c r="A415" s="24" t="s">
        <v>30</v>
      </c>
      <c r="B415" s="17" t="s">
        <v>31</v>
      </c>
      <c r="C415" s="107" t="s">
        <v>32</v>
      </c>
      <c r="D415" s="108"/>
      <c r="E415" s="17" t="s">
        <v>33</v>
      </c>
      <c r="F415" s="107" t="s">
        <v>34</v>
      </c>
      <c r="G415" s="108"/>
      <c r="H415" s="108"/>
      <c r="I415" s="119" t="s">
        <v>35</v>
      </c>
      <c r="J415" s="10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3">
        <v>1</v>
      </c>
      <c r="B417" s="25" t="s">
        <v>36</v>
      </c>
      <c r="C417" s="89" t="s">
        <v>37</v>
      </c>
      <c r="D417" s="90"/>
      <c r="E417" s="25" t="s">
        <v>38</v>
      </c>
      <c r="F417" s="89" t="s">
        <v>39</v>
      </c>
      <c r="G417" s="90"/>
      <c r="H417" s="90"/>
      <c r="I417" s="99"/>
      <c r="J417" s="90"/>
    </row>
    <row r="418" spans="1:10" ht="16.5" customHeight="1">
      <c r="A418" s="23">
        <v>1</v>
      </c>
      <c r="B418" s="26" t="s">
        <v>36</v>
      </c>
      <c r="C418" s="89" t="s">
        <v>37</v>
      </c>
      <c r="D418" s="90"/>
      <c r="E418" s="25" t="s">
        <v>40</v>
      </c>
      <c r="F418" s="89" t="s">
        <v>41</v>
      </c>
      <c r="G418" s="90"/>
      <c r="H418" s="90"/>
      <c r="I418" s="99"/>
      <c r="J418" s="90"/>
    </row>
    <row r="419" spans="1:10" ht="16.5" customHeight="1">
      <c r="A419" s="23"/>
      <c r="B419" s="26"/>
      <c r="C419" s="89"/>
      <c r="D419" s="90"/>
      <c r="E419" s="25"/>
      <c r="F419" s="89"/>
      <c r="G419" s="90"/>
      <c r="H419" s="90"/>
      <c r="I419" s="99"/>
      <c r="J419" s="90"/>
    </row>
    <row r="420" spans="1:10" ht="16.5" customHeight="1">
      <c r="A420" s="23"/>
      <c r="B420" s="26"/>
      <c r="C420" s="89"/>
      <c r="D420" s="90"/>
      <c r="E420" s="25"/>
      <c r="F420" s="89"/>
      <c r="G420" s="90"/>
      <c r="H420" s="90"/>
      <c r="I420" s="99"/>
      <c r="J420" s="90"/>
    </row>
    <row r="421" spans="1:10" ht="16.5" customHeight="1">
      <c r="A421" s="23"/>
      <c r="B421" s="26"/>
      <c r="C421" s="89"/>
      <c r="D421" s="90"/>
      <c r="E421" s="25"/>
      <c r="F421" s="89"/>
      <c r="G421" s="90"/>
      <c r="H421" s="90"/>
      <c r="I421" s="99"/>
      <c r="J421" s="90"/>
    </row>
    <row r="422" spans="1:10" ht="16.5" customHeight="1">
      <c r="A422" s="23"/>
      <c r="B422" s="26"/>
      <c r="C422" s="89"/>
      <c r="D422" s="90"/>
      <c r="E422" s="25"/>
      <c r="F422" s="89"/>
      <c r="G422" s="90"/>
      <c r="H422" s="90"/>
      <c r="I422" s="99"/>
      <c r="J422" s="90"/>
    </row>
    <row r="423" spans="1:10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8.75">
      <c r="A424" s="103" t="s">
        <v>42</v>
      </c>
      <c r="B424" s="104"/>
      <c r="C424" s="103" t="s">
        <v>43</v>
      </c>
      <c r="D424" s="104"/>
      <c r="E424" s="104"/>
      <c r="F424" s="18" t="s">
        <v>44</v>
      </c>
      <c r="G424" s="103" t="s">
        <v>45</v>
      </c>
      <c r="H424" s="104"/>
      <c r="I424" s="103" t="s">
        <v>46</v>
      </c>
      <c r="J424" s="104"/>
    </row>
    <row r="425" spans="1:10" ht="14.25" customHeight="1">
      <c r="A425" s="8"/>
      <c r="B425" s="19"/>
      <c r="C425" s="118" t="s">
        <v>47</v>
      </c>
      <c r="D425" s="95"/>
      <c r="E425" s="19"/>
      <c r="F425" s="118" t="s">
        <v>29</v>
      </c>
      <c r="G425" s="95"/>
      <c r="H425" s="95"/>
      <c r="I425" s="95"/>
      <c r="J425" s="95"/>
    </row>
    <row r="426" spans="1:10">
      <c r="A426" s="9"/>
      <c r="C426" s="7"/>
      <c r="D426" s="7"/>
      <c r="E426" s="7"/>
    </row>
    <row r="427" spans="1:10" ht="14.25" customHeight="1">
      <c r="A427" s="89" t="s">
        <v>115</v>
      </c>
      <c r="B427" s="90"/>
      <c r="C427" s="89" t="s">
        <v>116</v>
      </c>
      <c r="D427" s="90"/>
      <c r="E427" s="90"/>
      <c r="F427" s="27" t="s">
        <v>50</v>
      </c>
      <c r="G427" s="97">
        <v>192</v>
      </c>
      <c r="H427" s="90"/>
      <c r="I427" s="97">
        <v>12</v>
      </c>
      <c r="J427" s="90"/>
    </row>
    <row r="428" spans="1:10" ht="24.95" customHeight="1">
      <c r="A428" s="91" t="s">
        <v>117</v>
      </c>
      <c r="B428" s="90"/>
      <c r="C428" s="89" t="s">
        <v>11</v>
      </c>
      <c r="D428" s="90"/>
      <c r="E428" s="90"/>
      <c r="F428" s="89"/>
      <c r="G428" s="90"/>
      <c r="H428" s="90"/>
      <c r="I428" s="90"/>
      <c r="J428" s="90"/>
    </row>
    <row r="429" spans="1:10" ht="14.25" customHeight="1">
      <c r="A429" s="89" t="s">
        <v>67</v>
      </c>
      <c r="B429" s="90"/>
      <c r="C429" s="89" t="s">
        <v>68</v>
      </c>
      <c r="D429" s="90"/>
      <c r="E429" s="90"/>
      <c r="F429" s="27" t="s">
        <v>27</v>
      </c>
      <c r="G429" s="97">
        <v>12.096</v>
      </c>
      <c r="H429" s="90"/>
      <c r="I429" s="97">
        <v>0.75600000000000001</v>
      </c>
      <c r="J429" s="90"/>
    </row>
    <row r="430" spans="1:10" ht="24.95" customHeight="1">
      <c r="A430" s="91" t="s">
        <v>69</v>
      </c>
      <c r="B430" s="90"/>
      <c r="C430" s="89"/>
      <c r="D430" s="90"/>
      <c r="E430" s="90"/>
      <c r="F430" s="89"/>
      <c r="G430" s="90"/>
      <c r="H430" s="90"/>
      <c r="I430" s="90"/>
      <c r="J430" s="90"/>
    </row>
    <row r="431" spans="1:10" ht="14.25" customHeight="1">
      <c r="A431" s="89" t="s">
        <v>55</v>
      </c>
      <c r="B431" s="90"/>
      <c r="C431" s="89" t="s">
        <v>56</v>
      </c>
      <c r="D431" s="90"/>
      <c r="E431" s="90"/>
      <c r="F431" s="27"/>
      <c r="G431" s="97">
        <v>1.1519999999999999</v>
      </c>
      <c r="H431" s="90"/>
      <c r="I431" s="97">
        <v>7.1999999999999995E-2</v>
      </c>
      <c r="J431" s="90"/>
    </row>
    <row r="432" spans="1:10" ht="24.95" customHeight="1">
      <c r="A432" s="91" t="s">
        <v>57</v>
      </c>
      <c r="B432" s="90"/>
      <c r="C432" s="89" t="s">
        <v>58</v>
      </c>
      <c r="D432" s="90"/>
      <c r="E432" s="90"/>
      <c r="F432" s="89"/>
      <c r="G432" s="90"/>
      <c r="H432" s="90"/>
      <c r="I432" s="90"/>
      <c r="J432" s="90"/>
    </row>
    <row r="433" spans="1:14" ht="14.25" customHeight="1">
      <c r="A433" s="89"/>
      <c r="B433" s="90"/>
      <c r="C433" s="89"/>
      <c r="D433" s="90"/>
      <c r="E433" s="90"/>
      <c r="F433" s="27"/>
      <c r="G433" s="97"/>
      <c r="H433" s="90"/>
      <c r="I433" s="97"/>
      <c r="J433" s="90"/>
    </row>
    <row r="434" spans="1:14" ht="24.95" customHeight="1">
      <c r="A434" s="91"/>
      <c r="B434" s="90"/>
      <c r="C434" s="89"/>
      <c r="D434" s="90"/>
      <c r="E434" s="90"/>
      <c r="F434" s="89"/>
      <c r="G434" s="90"/>
      <c r="H434" s="90"/>
      <c r="I434" s="90"/>
      <c r="J434" s="90"/>
    </row>
    <row r="435" spans="1:14" ht="14.25" customHeight="1">
      <c r="A435" s="89"/>
      <c r="B435" s="90"/>
      <c r="C435" s="89"/>
      <c r="D435" s="90"/>
      <c r="E435" s="90"/>
      <c r="F435" s="27"/>
      <c r="G435" s="97"/>
      <c r="H435" s="90"/>
      <c r="I435" s="97"/>
      <c r="J435" s="90"/>
    </row>
    <row r="436" spans="1:14" ht="24.95" customHeight="1" thickBot="1">
      <c r="A436" s="91"/>
      <c r="B436" s="90"/>
      <c r="C436" s="89"/>
      <c r="D436" s="90"/>
      <c r="E436" s="90"/>
      <c r="F436" s="89"/>
      <c r="G436" s="90"/>
      <c r="H436" s="90"/>
      <c r="I436" s="90"/>
      <c r="J436" s="90"/>
    </row>
    <row r="437" spans="1:14" s="5" customFormat="1" ht="18" customHeight="1">
      <c r="A437" s="144" t="s">
        <v>118</v>
      </c>
      <c r="B437" s="145"/>
      <c r="C437" s="145"/>
      <c r="D437" s="145"/>
      <c r="E437" s="146" t="s">
        <v>119</v>
      </c>
      <c r="F437" s="147"/>
      <c r="G437" s="28" t="s">
        <v>120</v>
      </c>
      <c r="H437" s="148" t="s">
        <v>121</v>
      </c>
      <c r="I437" s="149"/>
      <c r="J437" s="29" t="s">
        <v>122</v>
      </c>
    </row>
    <row r="438" spans="1:14" s="7" customFormat="1" ht="18" customHeight="1">
      <c r="A438" s="150" t="str">
        <f>_xlfn.XLOOKUP(B402,[1]VFDB2!A:A,[1]VFDB2!A:A)</f>
        <v>J1ZAFJB00219660</v>
      </c>
      <c r="B438" s="151"/>
      <c r="C438" s="151"/>
      <c r="D438" s="151"/>
      <c r="E438" s="135" t="str" cm="1">
        <f t="array" ref="E438">IFERROR(IF(ISBLANK(INDEX(_xlfn._xlws.FILTER([1]加工記録２!$C$3:$C$590, [1]加工記録２!$T$3:$T$590=B404), 6)), "", INDEX(_xlfn._xlws.FILTER([1]加工記録２!$C$3:$C$590, [1]加工記録２!$T$3:$T$590=B404), 6)),"")</f>
        <v>灯具-2　L＝1996</v>
      </c>
      <c r="F438" s="136"/>
      <c r="G438" s="154" cm="1">
        <f t="array" ref="G438">IFERROR(IF(ISBLANK(INDEX(_xlfn._xlws.FILTER([1]加工記録２!$C$3:$C$590, [1]加工記録２!$T$3:$T$590=B404), 7)), " ", INDEX(_xlfn._xlws.FILTER([1]加工記録２!$C$3:$C$590, [1]加工記録２!$T$3:$T$590=B404), 7))," ")</f>
        <v>11</v>
      </c>
      <c r="H438" s="30" t="s">
        <v>123</v>
      </c>
      <c r="I438" s="31" cm="1">
        <f t="array" ref="I438:J438">IFERROR(IF(ISBLANK(INDEX(_xlfn._xlws.FILTER([1]加工記録２!$O$3:$P$590, [1]加工記録２!$T$3:$T$590=B404), 1)), "", INDEX(_xlfn._xlws.FILTER([1]加工記録２!$O$3:$P$590, [1]加工記録２!$T$3:$T$590=B404), 1)),"")</f>
        <v>45887</v>
      </c>
      <c r="J438" s="32">
        <v>16</v>
      </c>
    </row>
    <row r="439" spans="1:14" s="5" customFormat="1" ht="18" customHeight="1">
      <c r="A439" s="152"/>
      <c r="B439" s="153"/>
      <c r="C439" s="153"/>
      <c r="D439" s="153"/>
      <c r="E439" s="135"/>
      <c r="F439" s="136"/>
      <c r="G439" s="154"/>
      <c r="H439" s="30" t="s">
        <v>124</v>
      </c>
      <c r="I439" s="33" cm="1">
        <f t="array" ref="I439:J439">IFERROR(IF(ISBLANK(INDEX(_xlfn._xlws.FILTER([1]加工記録２!$O$3:$P$590, [1]加工記録２!$T$3:$T$590=B404), 2)), "", INDEX(_xlfn._xlws.FILTER([1]加工記録２!$O$3:$P$590, [1]加工記録２!$T$3:$T$590=B404), 2)),"")</f>
        <v>176</v>
      </c>
      <c r="J439" s="34">
        <v>6</v>
      </c>
      <c r="K439" s="35"/>
    </row>
    <row r="440" spans="1:14" s="7" customFormat="1" ht="18" customHeight="1">
      <c r="A440" s="155" t="s">
        <v>125</v>
      </c>
      <c r="B440" s="129" t="str">
        <f>_xlfn.XLOOKUP(B402,[1]VFDB2!A:A,[1]VFDB2!J:J)</f>
        <v>-</v>
      </c>
      <c r="C440" s="131" t="s">
        <v>126</v>
      </c>
      <c r="D440" s="133">
        <f>_xlfn.XLOOKUP(B402,[1]VFDB2!A:A,[1]VFDB2!P:P)</f>
        <v>1</v>
      </c>
      <c r="E440" s="135" t="str">
        <f>_xlfn.XLOOKUP(B402,[1]VFDB2!A:A,[1]VFDB2!V:V)</f>
        <v>梱包箱:1996</v>
      </c>
      <c r="F440" s="136"/>
      <c r="G440" s="137"/>
      <c r="H440" s="36" t="s">
        <v>127</v>
      </c>
      <c r="I440" s="33" cm="1">
        <f t="array" ref="I440:J440">IFERROR(IF(ISBLANK(INDEX(_xlfn._xlws.FILTER([1]加工記録２!$O$3:$P$590, [1]加工記録２!$T$3:$T$590=B404), 3)), "", INDEX(_xlfn._xlws.FILTER([1]加工記録２!$O$3:$P$590, [1]加工記録２!$T$3:$T$590=B404), 3)),"")</f>
        <v>198</v>
      </c>
      <c r="J440" s="37" t="str">
        <v/>
      </c>
      <c r="K440" s="38"/>
    </row>
    <row r="441" spans="1:14" s="5" customFormat="1" ht="18" customHeight="1">
      <c r="A441" s="156"/>
      <c r="B441" s="130"/>
      <c r="C441" s="132"/>
      <c r="D441" s="134"/>
      <c r="E441" s="135"/>
      <c r="F441" s="136"/>
      <c r="G441" s="137"/>
      <c r="H441" s="36" t="s">
        <v>128</v>
      </c>
      <c r="I441" s="33" cm="1">
        <f t="array" ref="I441:J441">IFERROR(IF(ISBLANK(INDEX(_xlfn._xlws.FILTER([1]加工記録２!$O$3:$P$590, [1]加工記録２!$T$3:$T$590=B404), 4)), "", INDEX(_xlfn._xlws.FILTER([1]加工記録２!$O$3:$P$590, [1]加工記録２!$T$3:$T$590=B404), 4)),"")</f>
        <v>22</v>
      </c>
      <c r="J441" s="39" t="str">
        <v/>
      </c>
      <c r="K441" s="35"/>
    </row>
    <row r="442" spans="1:14" s="7" customFormat="1" ht="18" customHeight="1">
      <c r="A442" s="127" t="s">
        <v>129</v>
      </c>
      <c r="B442" s="138">
        <f>D402</f>
        <v>1966</v>
      </c>
      <c r="C442" s="140" t="s">
        <v>130</v>
      </c>
      <c r="D442" s="142" t="str">
        <f>_xlfn.XLOOKUP(B402,[1]VFDB2!A:A,[1]VFDB2!L:L)</f>
        <v>+2</v>
      </c>
      <c r="E442" s="135" t="str">
        <f>_xlfn.XLOOKUP(B402,[1]VFDB2!A:A,[1]VFDB2!W:W)</f>
        <v>クラフト紙：1996型</v>
      </c>
      <c r="F442" s="136"/>
      <c r="G442" s="137"/>
      <c r="H442" s="36" t="s">
        <v>131</v>
      </c>
      <c r="I442" s="33" cm="1">
        <f t="array" ref="I442:J442">IFERROR(IF(ISBLANK(INDEX(_xlfn._xlws.FILTER([1]加工記録２!$O$3:$P$590, [1]加工記録２!$T$3:$T$590=B404), 5)), "", INDEX(_xlfn._xlws.FILTER([1]加工記録２!$O$3:$P$590, [1]加工記録２!$T$3:$T$590=B404), 5)),"")</f>
        <v>22</v>
      </c>
      <c r="J442" s="40" t="str">
        <v/>
      </c>
      <c r="K442" s="38"/>
    </row>
    <row r="443" spans="1:14" s="5" customFormat="1" ht="18" customHeight="1">
      <c r="A443" s="128"/>
      <c r="B443" s="139"/>
      <c r="C443" s="141"/>
      <c r="D443" s="143"/>
      <c r="E443" s="135"/>
      <c r="F443" s="136"/>
      <c r="G443" s="137"/>
      <c r="H443" s="36" t="s">
        <v>132</v>
      </c>
      <c r="I443" s="33" cm="1">
        <f t="array" ref="I443:J443">IFERROR(IF(ISBLANK(INDEX(_xlfn._xlws.FILTER([1]加工記録２!$O$3:$P$590, [1]加工記録２!$T$3:$T$590=B404), 6)), "", INDEX(_xlfn._xlws.FILTER([1]加工記録２!$O$3:$P$590, [1]加工記録２!$T$3:$T$590=B404), 6)),"")</f>
        <v>0</v>
      </c>
      <c r="J443" s="41" t="str">
        <v/>
      </c>
      <c r="K443" s="35"/>
    </row>
    <row r="444" spans="1:14" s="7" customFormat="1" ht="18" customHeight="1">
      <c r="A444" s="155" t="s">
        <v>133</v>
      </c>
      <c r="B444" s="158" t="str">
        <f>_xlfn.XLOOKUP(B402,[1]VFDB2!A:A,[1]VFDB2!AC:AC)</f>
        <v>換算表確認</v>
      </c>
      <c r="C444" s="160" t="s">
        <v>134</v>
      </c>
      <c r="D444" s="142">
        <f>_xlfn.XLOOKUP(B402,[1]VFDB2!A:A,[1]VFDB2!K:K)</f>
        <v>-2</v>
      </c>
      <c r="E444" s="135" t="str">
        <f>_xlfn.XLOOKUP(B402,[1]VFDB2!A:A,[1]VFDB2!R:R)</f>
        <v>ラベル2枚　長手有　鉢巻１</v>
      </c>
      <c r="F444" s="136"/>
      <c r="G444" s="137"/>
      <c r="H444" s="36" t="s">
        <v>135</v>
      </c>
      <c r="I444" s="33" t="str" cm="1">
        <f t="array" ref="I444:J444">IFERROR(IF(ISBLANK(INDEX(_xlfn._xlws.FILTER([1]加工記録２!$O$3:$P$590, [1]加工記録２!$T$3:$T$590=B404), 7)), "", INDEX(_xlfn._xlws.FILTER([1]加工記録２!$O$3:$P$590, [1]加工記録２!$T$3:$T$590=B404), 7)),"")</f>
        <v>-</v>
      </c>
      <c r="J444" s="42" t="str">
        <v/>
      </c>
      <c r="K444" s="38"/>
    </row>
    <row r="445" spans="1:14" s="5" customFormat="1" ht="18" customHeight="1" thickBot="1">
      <c r="A445" s="157"/>
      <c r="B445" s="159"/>
      <c r="C445" s="161"/>
      <c r="D445" s="162"/>
      <c r="E445" s="163"/>
      <c r="F445" s="164"/>
      <c r="G445" s="165"/>
      <c r="H445" s="43" t="s">
        <v>136</v>
      </c>
      <c r="I445" s="44" t="str" cm="1">
        <f t="array" ref="I445:J445">IFERROR(IF(ISBLANK(INDEX(_xlfn._xlws.FILTER([1]加工記録２!$O$3:$P$590, [1]加工記録２!$T$3:$T$590=B404), 8)), "", INDEX(_xlfn._xlws.FILTER([1]加工記録２!$O$3:$P$590, [1]加工記録２!$T$3:$T$590=B404), 8)),"")</f>
        <v>高森・水野</v>
      </c>
      <c r="J445" s="45">
        <v>22</v>
      </c>
    </row>
    <row r="446" spans="1:14" s="56" customFormat="1" ht="18.95" customHeight="1">
      <c r="A446" s="46" t="s">
        <v>137</v>
      </c>
      <c r="B446" s="47" t="s">
        <v>138</v>
      </c>
      <c r="C446" s="48" t="s">
        <v>139</v>
      </c>
      <c r="D446" s="48" t="s">
        <v>140</v>
      </c>
      <c r="E446" s="49" t="s">
        <v>141</v>
      </c>
      <c r="F446" s="50" t="s">
        <v>142</v>
      </c>
      <c r="G446" s="51" t="s">
        <v>143</v>
      </c>
      <c r="H446" s="52" t="s">
        <v>144</v>
      </c>
      <c r="I446" s="53" t="s">
        <v>145</v>
      </c>
      <c r="J446" s="54" t="s">
        <v>146</v>
      </c>
      <c r="K446" s="55"/>
      <c r="L446" s="55"/>
      <c r="M446" s="55"/>
      <c r="N446" s="55"/>
    </row>
    <row r="447" spans="1:14" s="67" customFormat="1" ht="18.95" customHeight="1">
      <c r="A447" s="57" cm="1">
        <f t="array" ref="A447:J447">IFERROR(IF(ISBLANK(INDEX(_xlfn._xlws.FILTER([1]加工記録２!$D$3:$M$590, [1]加工記録２!$T$3:$T$590=B404), 1)), "", INDEX(_xlfn._xlws.FILTER([1]加工記録２!$D$3:$M$590, [1]加工記録２!$T$3:$T$590=B404), 1)),"")</f>
        <v>45856</v>
      </c>
      <c r="B447" s="58" t="str">
        <v>25G04-01</v>
      </c>
      <c r="C447" s="59" t="str">
        <v/>
      </c>
      <c r="D447" s="59" t="str">
        <v/>
      </c>
      <c r="E447" s="60" t="str">
        <v/>
      </c>
      <c r="F447" s="61" t="str">
        <v>25G04-01</v>
      </c>
      <c r="G447" s="62">
        <v>14</v>
      </c>
      <c r="H447" s="63">
        <v>14</v>
      </c>
      <c r="I447" s="64">
        <v>45887</v>
      </c>
      <c r="J447" s="65">
        <v>11</v>
      </c>
      <c r="K447" s="66"/>
      <c r="L447" s="66"/>
      <c r="M447" s="66"/>
      <c r="N447" s="66"/>
    </row>
    <row r="448" spans="1:14" s="67" customFormat="1" ht="18.95" customHeight="1">
      <c r="A448" s="68" cm="1">
        <f t="array" ref="A448:J448">IFERROR(IF(ISBLANK(INDEX(_xlfn._xlws.FILTER([1]加工記録２!$D$3:$M$590, [1]加工記録２!$T$3:$T$590=B404), 2)), "", INDEX(_xlfn._xlws.FILTER([1]加工記録２!$D$3:$M$590, [1]加工記録２!$T$3:$T$590=B404), 2)),"")</f>
        <v>45887</v>
      </c>
      <c r="B448" s="69" t="str">
        <v>25H01-01</v>
      </c>
      <c r="C448" s="69" t="str">
        <v/>
      </c>
      <c r="D448" s="69" t="str">
        <v/>
      </c>
      <c r="E448" s="70" t="str">
        <v/>
      </c>
      <c r="F448" s="71" t="str">
        <v>25H01-01</v>
      </c>
      <c r="G448" s="72">
        <v>184</v>
      </c>
      <c r="H448" s="73">
        <v>184</v>
      </c>
      <c r="I448" s="64" t="str">
        <v/>
      </c>
      <c r="J448" s="65" t="str">
        <v/>
      </c>
      <c r="K448" s="66"/>
      <c r="L448" s="66"/>
      <c r="M448" s="66"/>
      <c r="N448" s="66"/>
    </row>
    <row r="449" spans="1:14" s="67" customFormat="1" ht="18.95" customHeight="1">
      <c r="A449" s="68" t="str" cm="1">
        <f t="array" ref="A449:J449">IFERROR(IF(ISBLANK(INDEX(_xlfn._xlws.FILTER([1]加工記録２!$D$3:$M$590, [1]加工記録２!$T$3:$T$590=B404), 3)), "", INDEX(_xlfn._xlws.FILTER([1]加工記録２!$D$3:$M$590, [1]加工記録２!$T$3:$T$590=B404), 3)),"")</f>
        <v/>
      </c>
      <c r="B449" s="69" t="str">
        <v/>
      </c>
      <c r="C449" s="69" t="str">
        <v/>
      </c>
      <c r="D449" s="69" t="str">
        <v/>
      </c>
      <c r="E449" s="70" t="str">
        <v/>
      </c>
      <c r="F449" s="71" t="str">
        <v/>
      </c>
      <c r="G449" s="72" t="str">
        <v/>
      </c>
      <c r="H449" s="73">
        <v>0</v>
      </c>
      <c r="I449" s="64" t="str">
        <v/>
      </c>
      <c r="J449" s="65" t="str">
        <v/>
      </c>
      <c r="K449" s="66"/>
      <c r="L449" s="66"/>
      <c r="M449" s="66"/>
      <c r="N449" s="66"/>
    </row>
    <row r="450" spans="1:14" s="67" customFormat="1" ht="18.95" customHeight="1">
      <c r="A450" s="68" t="str" cm="1">
        <f t="array" ref="A450:J450">IFERROR(IF(ISBLANK(INDEX(_xlfn._xlws.FILTER([1]加工記録２!$D$3:$M$590, [1]加工記録２!$T$3:$T$590=B404), 4)), "", INDEX(_xlfn._xlws.FILTER([1]加工記録２!$D$3:$M$590, [1]加工記録２!$T$3:$T$590=B404), 4)),"")</f>
        <v/>
      </c>
      <c r="B450" s="69" t="str">
        <v/>
      </c>
      <c r="C450" s="69" t="str">
        <v/>
      </c>
      <c r="D450" s="69" t="str">
        <v/>
      </c>
      <c r="E450" s="70" t="str">
        <v/>
      </c>
      <c r="F450" s="71" t="str">
        <v/>
      </c>
      <c r="G450" s="72" t="str">
        <v/>
      </c>
      <c r="H450" s="73">
        <v>0</v>
      </c>
      <c r="I450" s="64" t="str">
        <v/>
      </c>
      <c r="J450" s="65" t="str">
        <v/>
      </c>
      <c r="K450" s="66"/>
      <c r="L450" s="66"/>
      <c r="M450" s="66"/>
      <c r="N450" s="66"/>
    </row>
    <row r="451" spans="1:14" s="67" customFormat="1" ht="18.95" customHeight="1">
      <c r="A451" s="68" t="str" cm="1">
        <f t="array" ref="A451:J451">IFERROR(IF(ISBLANK(INDEX(_xlfn._xlws.FILTER([1]加工記録２!$D$3:$M$590, [1]加工記録２!$T$3:$T$590=B404), 5)), "", INDEX(_xlfn._xlws.FILTER([1]加工記録２!$D$3:$M$590, [1]加工記録２!$T$3:$T$590=B404), 5)),"")</f>
        <v/>
      </c>
      <c r="B451" s="69" t="str">
        <v/>
      </c>
      <c r="C451" s="69" t="str">
        <v/>
      </c>
      <c r="D451" s="69" t="str">
        <v/>
      </c>
      <c r="E451" s="70" t="str">
        <v/>
      </c>
      <c r="F451" s="71" t="str">
        <v/>
      </c>
      <c r="G451" s="72" t="str">
        <v/>
      </c>
      <c r="H451" s="73">
        <v>0</v>
      </c>
      <c r="I451" s="74" t="str">
        <v/>
      </c>
      <c r="J451" s="75" t="str">
        <v/>
      </c>
      <c r="K451" s="66"/>
      <c r="L451" s="66"/>
      <c r="M451" s="66"/>
      <c r="N451" s="66"/>
    </row>
    <row r="452" spans="1:14" s="67" customFormat="1" ht="18.95" customHeight="1">
      <c r="A452" s="68" t="str" cm="1">
        <f t="array" ref="A452:J452">IFERROR(IF(ISBLANK(INDEX(_xlfn._xlws.FILTER([1]加工記録２!$D$3:$M$590, [1]加工記録２!$T$3:$T$590=B404), 6)), "", INDEX(_xlfn._xlws.FILTER([1]加工記録２!$D$3:$M$590, [1]加工記録２!$T$3:$T$590=B404), 6)),"")</f>
        <v/>
      </c>
      <c r="B452" s="69" t="str">
        <v/>
      </c>
      <c r="C452" s="69" t="str">
        <v/>
      </c>
      <c r="D452" s="69" t="str">
        <v/>
      </c>
      <c r="E452" s="70" t="str">
        <v/>
      </c>
      <c r="F452" s="71" t="str">
        <v/>
      </c>
      <c r="G452" s="72" t="str">
        <v/>
      </c>
      <c r="H452" s="76">
        <v>0</v>
      </c>
      <c r="I452" s="77" t="str">
        <v>旧品加工</v>
      </c>
      <c r="J452" s="78">
        <v>14</v>
      </c>
      <c r="K452" s="66"/>
      <c r="L452" s="66"/>
      <c r="M452" s="66"/>
      <c r="N452" s="66"/>
    </row>
    <row r="453" spans="1:14" s="67" customFormat="1" ht="18.95" customHeight="1">
      <c r="A453" s="68" t="str" cm="1">
        <f t="array" ref="A453:J453">IFERROR(IF(ISBLANK(INDEX(_xlfn._xlws.FILTER([1]加工記録２!$D$3:$M$590, [1]加工記録２!$T$3:$T$590=B404), 7)), "", INDEX(_xlfn._xlws.FILTER([1]加工記録２!$D$3:$M$590, [1]加工記録２!$T$3:$T$590=B404), 7)),"")</f>
        <v/>
      </c>
      <c r="B453" s="69" t="str">
        <v/>
      </c>
      <c r="C453" s="69" t="str">
        <v/>
      </c>
      <c r="D453" s="69" t="str">
        <v/>
      </c>
      <c r="E453" s="70" t="str">
        <v/>
      </c>
      <c r="F453" s="71" t="str">
        <v/>
      </c>
      <c r="G453" s="72" t="str">
        <v/>
      </c>
      <c r="H453" s="76">
        <v>0</v>
      </c>
      <c r="I453" s="79" t="str">
        <v>持出端材</v>
      </c>
      <c r="J453" s="80" t="str">
        <v/>
      </c>
      <c r="K453" s="66"/>
      <c r="L453" s="66"/>
      <c r="M453" s="66"/>
      <c r="N453" s="66"/>
    </row>
    <row r="454" spans="1:14" s="67" customFormat="1" ht="18.95" customHeight="1" thickBot="1">
      <c r="A454" s="81" t="str" cm="1">
        <f t="array" ref="A454:J454">IFERROR(IF(ISBLANK(INDEX(_xlfn._xlws.FILTER([1]加工記録２!$D$3:$M$590, [1]加工記録２!$T$3:$T$590=B404), 8)), "", INDEX(_xlfn._xlws.FILTER([1]加工記録２!$D$3:$M$590, [1]加工記録２!$T$3:$T$590=B404), 8)),"")</f>
        <v/>
      </c>
      <c r="B454" s="82" t="str">
        <v/>
      </c>
      <c r="C454" s="82" t="str">
        <v/>
      </c>
      <c r="D454" s="82" t="str">
        <v/>
      </c>
      <c r="E454" s="83" t="str">
        <v/>
      </c>
      <c r="F454" s="84" t="str">
        <v/>
      </c>
      <c r="G454" s="85" t="str">
        <v/>
      </c>
      <c r="H454" s="86">
        <v>0</v>
      </c>
      <c r="I454" s="87" t="str">
        <v>α端材</v>
      </c>
      <c r="J454" s="88">
        <v>0</v>
      </c>
      <c r="K454" s="66"/>
      <c r="L454" s="66"/>
      <c r="M454" s="66"/>
      <c r="N454" s="66"/>
    </row>
    <row r="455" spans="1:14" ht="13.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4" ht="6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</sheetData>
  <mergeCells count="856">
    <mergeCell ref="A444:A445"/>
    <mergeCell ref="B444:B445"/>
    <mergeCell ref="C444:C445"/>
    <mergeCell ref="D444:D445"/>
    <mergeCell ref="E444:G445"/>
    <mergeCell ref="A387:A388"/>
    <mergeCell ref="B387:B388"/>
    <mergeCell ref="C387:C388"/>
    <mergeCell ref="D387:D388"/>
    <mergeCell ref="E387:G388"/>
    <mergeCell ref="A437:D437"/>
    <mergeCell ref="E437:F437"/>
    <mergeCell ref="A442:A443"/>
    <mergeCell ref="B442:B443"/>
    <mergeCell ref="C442:C443"/>
    <mergeCell ref="D442:D443"/>
    <mergeCell ref="E442:G443"/>
    <mergeCell ref="C428:E428"/>
    <mergeCell ref="F428:J428"/>
    <mergeCell ref="F408:G408"/>
    <mergeCell ref="I419:J419"/>
    <mergeCell ref="E404:E405"/>
    <mergeCell ref="C431:E431"/>
    <mergeCell ref="F419:H419"/>
    <mergeCell ref="H437:I437"/>
    <mergeCell ref="A438:D439"/>
    <mergeCell ref="E438:F439"/>
    <mergeCell ref="G438:G439"/>
    <mergeCell ref="A440:A441"/>
    <mergeCell ref="B440:B441"/>
    <mergeCell ref="C440:C441"/>
    <mergeCell ref="D440:D441"/>
    <mergeCell ref="E440:G441"/>
    <mergeCell ref="A330:A331"/>
    <mergeCell ref="B330:B331"/>
    <mergeCell ref="C330:C331"/>
    <mergeCell ref="D330:D331"/>
    <mergeCell ref="E330:G331"/>
    <mergeCell ref="A380:D380"/>
    <mergeCell ref="E380:F380"/>
    <mergeCell ref="H380:I380"/>
    <mergeCell ref="A381:D382"/>
    <mergeCell ref="E381:F382"/>
    <mergeCell ref="G381:G382"/>
    <mergeCell ref="C345:C346"/>
    <mergeCell ref="G374:H374"/>
    <mergeCell ref="C374:E374"/>
    <mergeCell ref="I363:J363"/>
    <mergeCell ref="D345:D346"/>
    <mergeCell ref="C370:E370"/>
    <mergeCell ref="A376:B376"/>
    <mergeCell ref="A347:A348"/>
    <mergeCell ref="I374:J374"/>
    <mergeCell ref="F377:J377"/>
    <mergeCell ref="A373:B373"/>
    <mergeCell ref="A370:B370"/>
    <mergeCell ref="C375:E375"/>
    <mergeCell ref="A383:A384"/>
    <mergeCell ref="B383:B384"/>
    <mergeCell ref="C383:C384"/>
    <mergeCell ref="D383:D384"/>
    <mergeCell ref="E383:G384"/>
    <mergeCell ref="A385:A386"/>
    <mergeCell ref="B385:B386"/>
    <mergeCell ref="C385:C386"/>
    <mergeCell ref="D385:D386"/>
    <mergeCell ref="E385:G386"/>
    <mergeCell ref="A328:A329"/>
    <mergeCell ref="B328:B329"/>
    <mergeCell ref="C328:C329"/>
    <mergeCell ref="D328:D329"/>
    <mergeCell ref="E328:G329"/>
    <mergeCell ref="A273:A274"/>
    <mergeCell ref="B273:B274"/>
    <mergeCell ref="C273:C274"/>
    <mergeCell ref="D273:D274"/>
    <mergeCell ref="E273:G274"/>
    <mergeCell ref="A323:D323"/>
    <mergeCell ref="E323:F32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H323:I323"/>
    <mergeCell ref="I321:J321"/>
    <mergeCell ref="I262:J262"/>
    <mergeCell ref="A265:B265"/>
    <mergeCell ref="A271:A272"/>
    <mergeCell ref="B271:B272"/>
    <mergeCell ref="C271:C272"/>
    <mergeCell ref="D271:D272"/>
    <mergeCell ref="E271:G272"/>
    <mergeCell ref="I301:J301"/>
    <mergeCell ref="E269:G270"/>
    <mergeCell ref="H266:I266"/>
    <mergeCell ref="C187:D187"/>
    <mergeCell ref="F244:H244"/>
    <mergeCell ref="A205:B205"/>
    <mergeCell ref="H240:H241"/>
    <mergeCell ref="A204:B204"/>
    <mergeCell ref="A216:A217"/>
    <mergeCell ref="B216:B217"/>
    <mergeCell ref="C216:C217"/>
    <mergeCell ref="D216:D217"/>
    <mergeCell ref="E216:G217"/>
    <mergeCell ref="A266:D266"/>
    <mergeCell ref="E266:F266"/>
    <mergeCell ref="A267:D268"/>
    <mergeCell ref="E267:F268"/>
    <mergeCell ref="G267:G268"/>
    <mergeCell ref="C259:E259"/>
    <mergeCell ref="F248:H248"/>
    <mergeCell ref="F257:J257"/>
    <mergeCell ref="C261:E261"/>
    <mergeCell ref="A159:A160"/>
    <mergeCell ref="B159:B160"/>
    <mergeCell ref="C159:C160"/>
    <mergeCell ref="D159:D160"/>
    <mergeCell ref="E159:G160"/>
    <mergeCell ref="A209:D209"/>
    <mergeCell ref="E209:F209"/>
    <mergeCell ref="H209:I209"/>
    <mergeCell ref="A210:D211"/>
    <mergeCell ref="E210:F211"/>
    <mergeCell ref="G210:G211"/>
    <mergeCell ref="G203:H203"/>
    <mergeCell ref="G183:G184"/>
    <mergeCell ref="C205:E205"/>
    <mergeCell ref="I207:J207"/>
    <mergeCell ref="A102:A103"/>
    <mergeCell ref="B102:B103"/>
    <mergeCell ref="C102:C103"/>
    <mergeCell ref="D102:D103"/>
    <mergeCell ref="E102:G103"/>
    <mergeCell ref="A152:D152"/>
    <mergeCell ref="E152:F152"/>
    <mergeCell ref="H152:I152"/>
    <mergeCell ref="A153:D154"/>
    <mergeCell ref="E153:F154"/>
    <mergeCell ref="G153:G154"/>
    <mergeCell ref="G126:G127"/>
    <mergeCell ref="I150:J150"/>
    <mergeCell ref="F136:H136"/>
    <mergeCell ref="I132:J132"/>
    <mergeCell ref="C135:D135"/>
    <mergeCell ref="C372:E372"/>
    <mergeCell ref="F237:G237"/>
    <mergeCell ref="C363:D363"/>
    <mergeCell ref="F251:H251"/>
    <mergeCell ref="F189:H189"/>
    <mergeCell ref="A257:B257"/>
    <mergeCell ref="G297:G298"/>
    <mergeCell ref="C191:D191"/>
    <mergeCell ref="C321:E321"/>
    <mergeCell ref="A345:A346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269:A270"/>
    <mergeCell ref="B269:B270"/>
    <mergeCell ref="C269:C270"/>
    <mergeCell ref="D269:D270"/>
    <mergeCell ref="A45:A46"/>
    <mergeCell ref="B45:B46"/>
    <mergeCell ref="C45:C46"/>
    <mergeCell ref="D45:D46"/>
    <mergeCell ref="F31:J31"/>
    <mergeCell ref="A35:B35"/>
    <mergeCell ref="A206:B206"/>
    <mergeCell ref="I193:J193"/>
    <mergeCell ref="I126:J127"/>
    <mergeCell ref="E45:G46"/>
    <mergeCell ref="A95:D95"/>
    <mergeCell ref="E95:F95"/>
    <mergeCell ref="H95:I95"/>
    <mergeCell ref="A96:D97"/>
    <mergeCell ref="E96:F97"/>
    <mergeCell ref="G96:G97"/>
    <mergeCell ref="A98:A99"/>
    <mergeCell ref="F75:H75"/>
    <mergeCell ref="C88:E88"/>
    <mergeCell ref="C94:E94"/>
    <mergeCell ref="C76:D76"/>
    <mergeCell ref="I77:J77"/>
    <mergeCell ref="E62:E63"/>
    <mergeCell ref="A155:A156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G427:H427"/>
    <mergeCell ref="F121:G121"/>
    <mergeCell ref="F18:H18"/>
    <mergeCell ref="F60:H61"/>
    <mergeCell ref="C79:D79"/>
    <mergeCell ref="A315:B315"/>
    <mergeCell ref="C73:D73"/>
    <mergeCell ref="C379:E379"/>
    <mergeCell ref="F22:H22"/>
    <mergeCell ref="C322:E322"/>
    <mergeCell ref="C89:E89"/>
    <mergeCell ref="C260:E260"/>
    <mergeCell ref="C34:E34"/>
    <mergeCell ref="A100:A101"/>
    <mergeCell ref="B100:B101"/>
    <mergeCell ref="C100:C101"/>
    <mergeCell ref="D100:D101"/>
    <mergeCell ref="E100:G101"/>
    <mergeCell ref="F33:J33"/>
    <mergeCell ref="F66:G66"/>
    <mergeCell ref="C192:D192"/>
    <mergeCell ref="J403:J404"/>
    <mergeCell ref="C18:D18"/>
    <mergeCell ref="C189:D189"/>
    <mergeCell ref="A436:B436"/>
    <mergeCell ref="C139:E139"/>
    <mergeCell ref="C26:D26"/>
    <mergeCell ref="C197:D197"/>
    <mergeCell ref="F420:H420"/>
    <mergeCell ref="F320:J320"/>
    <mergeCell ref="C424:E424"/>
    <mergeCell ref="G82:H82"/>
    <mergeCell ref="C249:D249"/>
    <mergeCell ref="G253:H253"/>
    <mergeCell ref="F434:J434"/>
    <mergeCell ref="C203:E203"/>
    <mergeCell ref="A34:B34"/>
    <mergeCell ref="A143:B143"/>
    <mergeCell ref="I196:J196"/>
    <mergeCell ref="C415:D415"/>
    <mergeCell ref="F132:H132"/>
    <mergeCell ref="B174:B175"/>
    <mergeCell ref="F406:G406"/>
    <mergeCell ref="F249:H249"/>
    <mergeCell ref="G370:H370"/>
    <mergeCell ref="E402:E403"/>
    <mergeCell ref="A428:B428"/>
    <mergeCell ref="I183:J184"/>
    <mergeCell ref="G433:H433"/>
    <mergeCell ref="B172:D173"/>
    <mergeCell ref="I191:J191"/>
    <mergeCell ref="I362:J362"/>
    <mergeCell ref="I433:J433"/>
    <mergeCell ref="F37:J37"/>
    <mergeCell ref="I354:J355"/>
    <mergeCell ref="F351:G351"/>
    <mergeCell ref="C244:D244"/>
    <mergeCell ref="C311:D311"/>
    <mergeCell ref="F263:J263"/>
    <mergeCell ref="G367:H367"/>
    <mergeCell ref="A378:B378"/>
    <mergeCell ref="C365:D365"/>
    <mergeCell ref="F418:H418"/>
    <mergeCell ref="A288:A289"/>
    <mergeCell ref="C288:C289"/>
    <mergeCell ref="A202:B202"/>
    <mergeCell ref="A258:B258"/>
    <mergeCell ref="G424:H424"/>
    <mergeCell ref="F197:J197"/>
    <mergeCell ref="I192:J192"/>
    <mergeCell ref="B121:B122"/>
    <mergeCell ref="A207:B207"/>
    <mergeCell ref="F5:H6"/>
    <mergeCell ref="F200:J200"/>
    <mergeCell ref="C208:E208"/>
    <mergeCell ref="G89:H89"/>
    <mergeCell ref="I418:J418"/>
    <mergeCell ref="C258:E258"/>
    <mergeCell ref="C194:D194"/>
    <mergeCell ref="F417:H417"/>
    <mergeCell ref="G201:H201"/>
    <mergeCell ref="G372:H372"/>
    <mergeCell ref="G12:G13"/>
    <mergeCell ref="A297:C298"/>
    <mergeCell ref="I364:J364"/>
    <mergeCell ref="E347:E348"/>
    <mergeCell ref="A260:B260"/>
    <mergeCell ref="B345:B346"/>
    <mergeCell ref="A15:J15"/>
    <mergeCell ref="A186:J186"/>
    <mergeCell ref="F130:H130"/>
    <mergeCell ref="G148:H148"/>
    <mergeCell ref="A29:B29"/>
    <mergeCell ref="A28:B28"/>
    <mergeCell ref="I30:J30"/>
    <mergeCell ref="A30:B30"/>
    <mergeCell ref="A3:A4"/>
    <mergeCell ref="F86:J86"/>
    <mergeCell ref="G146:H146"/>
    <mergeCell ref="I75:J75"/>
    <mergeCell ref="G317:H317"/>
    <mergeCell ref="I146:J146"/>
    <mergeCell ref="A149:B149"/>
    <mergeCell ref="I317:J317"/>
    <mergeCell ref="A5:A6"/>
    <mergeCell ref="F9:G9"/>
    <mergeCell ref="C134:D134"/>
    <mergeCell ref="C305:D305"/>
    <mergeCell ref="B119:B120"/>
    <mergeCell ref="I307:J307"/>
    <mergeCell ref="A316:B316"/>
    <mergeCell ref="B290:B291"/>
    <mergeCell ref="B58:D59"/>
    <mergeCell ref="A235:A236"/>
    <mergeCell ref="F29:J29"/>
    <mergeCell ref="F79:H79"/>
    <mergeCell ref="E60:E61"/>
    <mergeCell ref="C36:E36"/>
    <mergeCell ref="F92:J92"/>
    <mergeCell ref="G91:H91"/>
    <mergeCell ref="A434:B434"/>
    <mergeCell ref="A86:B86"/>
    <mergeCell ref="G319:H319"/>
    <mergeCell ref="I248:J248"/>
    <mergeCell ref="A151:B151"/>
    <mergeCell ref="A150:B150"/>
    <mergeCell ref="A321:B321"/>
    <mergeCell ref="A144:B144"/>
    <mergeCell ref="A12:C13"/>
    <mergeCell ref="C358:D358"/>
    <mergeCell ref="F246:H246"/>
    <mergeCell ref="I308:J308"/>
    <mergeCell ref="C207:E207"/>
    <mergeCell ref="I118:I119"/>
    <mergeCell ref="I289:I290"/>
    <mergeCell ref="G199:H199"/>
    <mergeCell ref="F379:J379"/>
    <mergeCell ref="I136:J136"/>
    <mergeCell ref="C257:E257"/>
    <mergeCell ref="B115:D116"/>
    <mergeCell ref="B286:D287"/>
    <mergeCell ref="I194:J194"/>
    <mergeCell ref="I365:J365"/>
    <mergeCell ref="I25:J25"/>
    <mergeCell ref="B1:D2"/>
    <mergeCell ref="I20:J20"/>
    <mergeCell ref="G85:H85"/>
    <mergeCell ref="G256:H256"/>
    <mergeCell ref="C425:D425"/>
    <mergeCell ref="C427:E427"/>
    <mergeCell ref="C206:E206"/>
    <mergeCell ref="A117:A118"/>
    <mergeCell ref="C377:E377"/>
    <mergeCell ref="I370:J370"/>
    <mergeCell ref="F365:H365"/>
    <mergeCell ref="H69:H70"/>
    <mergeCell ref="A89:B89"/>
    <mergeCell ref="F3:H4"/>
    <mergeCell ref="F174:H175"/>
    <mergeCell ref="C371:E371"/>
    <mergeCell ref="C143:E143"/>
    <mergeCell ref="A119:A120"/>
    <mergeCell ref="F147:J147"/>
    <mergeCell ref="B3:B4"/>
    <mergeCell ref="I80:J80"/>
    <mergeCell ref="I378:J378"/>
    <mergeCell ref="A87:B87"/>
    <mergeCell ref="I144:J144"/>
    <mergeCell ref="F432:J432"/>
    <mergeCell ref="F140:J140"/>
    <mergeCell ref="A243:J243"/>
    <mergeCell ref="F311:J311"/>
    <mergeCell ref="I244:J244"/>
    <mergeCell ref="F425:J425"/>
    <mergeCell ref="A371:B371"/>
    <mergeCell ref="H238:J239"/>
    <mergeCell ref="A310:B310"/>
    <mergeCell ref="B347:B348"/>
    <mergeCell ref="H409:J410"/>
    <mergeCell ref="C231:C232"/>
    <mergeCell ref="E231:E232"/>
    <mergeCell ref="B235:B236"/>
    <mergeCell ref="G352:G353"/>
    <mergeCell ref="I361:J361"/>
    <mergeCell ref="F316:J316"/>
    <mergeCell ref="F363:H363"/>
    <mergeCell ref="H295:J296"/>
    <mergeCell ref="B288:B289"/>
    <mergeCell ref="A374:B374"/>
    <mergeCell ref="I431:J431"/>
    <mergeCell ref="A431:B431"/>
    <mergeCell ref="I415:J415"/>
    <mergeCell ref="B233:B234"/>
    <mergeCell ref="I310:J310"/>
    <mergeCell ref="C361:D361"/>
    <mergeCell ref="I130:J130"/>
    <mergeCell ref="G310:H310"/>
    <mergeCell ref="I190:J190"/>
    <mergeCell ref="J346:J347"/>
    <mergeCell ref="A199:B199"/>
    <mergeCell ref="B157:B158"/>
    <mergeCell ref="C157:C158"/>
    <mergeCell ref="D157:D158"/>
    <mergeCell ref="E157:G158"/>
    <mergeCell ref="I133:J133"/>
    <mergeCell ref="F135:H135"/>
    <mergeCell ref="C201:E201"/>
    <mergeCell ref="F247:H247"/>
    <mergeCell ref="E345:E346"/>
    <mergeCell ref="I304:J304"/>
    <mergeCell ref="F314:J314"/>
    <mergeCell ref="A262:B262"/>
    <mergeCell ref="B155:B156"/>
    <mergeCell ref="C155:C156"/>
    <mergeCell ref="D155:D156"/>
    <mergeCell ref="E155:G156"/>
    <mergeCell ref="C31:E31"/>
    <mergeCell ref="H124:J125"/>
    <mergeCell ref="A129:J129"/>
    <mergeCell ref="I89:J89"/>
    <mergeCell ref="C145:E145"/>
    <mergeCell ref="D117:D118"/>
    <mergeCell ref="B98:B99"/>
    <mergeCell ref="C98:C99"/>
    <mergeCell ref="D98:D99"/>
    <mergeCell ref="E98:G99"/>
    <mergeCell ref="A32:B32"/>
    <mergeCell ref="F133:H133"/>
    <mergeCell ref="A33:B33"/>
    <mergeCell ref="B64:B65"/>
    <mergeCell ref="C77:D77"/>
    <mergeCell ref="F117:H118"/>
    <mergeCell ref="E117:E118"/>
    <mergeCell ref="E119:E120"/>
    <mergeCell ref="C90:E90"/>
    <mergeCell ref="A38:D38"/>
    <mergeCell ref="E38:F38"/>
    <mergeCell ref="H38:I38"/>
    <mergeCell ref="A39:D40"/>
    <mergeCell ref="E39:F40"/>
    <mergeCell ref="A157:A158"/>
    <mergeCell ref="D60:D61"/>
    <mergeCell ref="D231:D232"/>
    <mergeCell ref="C308:D308"/>
    <mergeCell ref="F345:H346"/>
    <mergeCell ref="F206:J206"/>
    <mergeCell ref="A69:C70"/>
    <mergeCell ref="A36:B36"/>
    <mergeCell ref="A72:J72"/>
    <mergeCell ref="F290:H291"/>
    <mergeCell ref="C204:E204"/>
    <mergeCell ref="I240:J241"/>
    <mergeCell ref="A319:B319"/>
    <mergeCell ref="F191:H191"/>
    <mergeCell ref="A259:B259"/>
    <mergeCell ref="I250:J250"/>
    <mergeCell ref="F192:H192"/>
    <mergeCell ref="G238:G239"/>
    <mergeCell ref="C196:E196"/>
    <mergeCell ref="C83:D83"/>
    <mergeCell ref="C248:D248"/>
    <mergeCell ref="C254:D254"/>
    <mergeCell ref="C256:E256"/>
    <mergeCell ref="C86:E86"/>
    <mergeCell ref="C430:E430"/>
    <mergeCell ref="A233:A234"/>
    <mergeCell ref="B117:B118"/>
    <mergeCell ref="A126:C127"/>
    <mergeCell ref="I247:J247"/>
    <mergeCell ref="G295:G296"/>
    <mergeCell ref="C319:E319"/>
    <mergeCell ref="A406:A407"/>
    <mergeCell ref="I313:J313"/>
    <mergeCell ref="I421:J421"/>
    <mergeCell ref="H411:H412"/>
    <mergeCell ref="G411:G412"/>
    <mergeCell ref="A411:C412"/>
    <mergeCell ref="C304:D304"/>
    <mergeCell ref="A264:B264"/>
    <mergeCell ref="C247:D247"/>
    <mergeCell ref="A404:A405"/>
    <mergeCell ref="A147:B147"/>
    <mergeCell ref="A424:B424"/>
    <mergeCell ref="A300:J300"/>
    <mergeCell ref="I403:I404"/>
    <mergeCell ref="I417:J417"/>
    <mergeCell ref="C420:D420"/>
    <mergeCell ref="F137:H137"/>
    <mergeCell ref="C367:E367"/>
    <mergeCell ref="I23:J23"/>
    <mergeCell ref="C23:D23"/>
    <mergeCell ref="C303:D303"/>
    <mergeCell ref="C317:E317"/>
    <mergeCell ref="J61:J62"/>
    <mergeCell ref="I34:J34"/>
    <mergeCell ref="A253:B253"/>
    <mergeCell ref="I232:I233"/>
    <mergeCell ref="I36:J36"/>
    <mergeCell ref="A263:B263"/>
    <mergeCell ref="A62:A63"/>
    <mergeCell ref="A203:B203"/>
    <mergeCell ref="A261:B261"/>
    <mergeCell ref="F364:H364"/>
    <mergeCell ref="F349:G349"/>
    <mergeCell ref="F347:H348"/>
    <mergeCell ref="G30:H30"/>
    <mergeCell ref="C130:D130"/>
    <mergeCell ref="F233:H234"/>
    <mergeCell ref="C29:E29"/>
    <mergeCell ref="C136:D136"/>
    <mergeCell ref="F88:J88"/>
    <mergeCell ref="F78:H78"/>
    <mergeCell ref="C19:D19"/>
    <mergeCell ref="C190:D190"/>
    <mergeCell ref="F145:J145"/>
    <mergeCell ref="F26:J26"/>
    <mergeCell ref="E176:E177"/>
    <mergeCell ref="I21:J21"/>
    <mergeCell ref="C21:D21"/>
    <mergeCell ref="F180:G180"/>
    <mergeCell ref="F90:J90"/>
    <mergeCell ref="F19:H19"/>
    <mergeCell ref="I69:J70"/>
    <mergeCell ref="C150:E150"/>
    <mergeCell ref="C144:E144"/>
    <mergeCell ref="C80:D80"/>
    <mergeCell ref="G87:H87"/>
    <mergeCell ref="I87:J87"/>
    <mergeCell ref="J118:J119"/>
    <mergeCell ref="C37:E37"/>
    <mergeCell ref="C87:E87"/>
    <mergeCell ref="H126:H127"/>
    <mergeCell ref="I78:J78"/>
    <mergeCell ref="F21:H21"/>
    <mergeCell ref="C25:E25"/>
    <mergeCell ref="C85:E85"/>
    <mergeCell ref="J4:J5"/>
    <mergeCell ref="J175:J176"/>
    <mergeCell ref="C364:D364"/>
    <mergeCell ref="F322:J322"/>
    <mergeCell ref="H10:J11"/>
    <mergeCell ref="D3:D4"/>
    <mergeCell ref="H12:H13"/>
    <mergeCell ref="H354:H355"/>
    <mergeCell ref="C132:D132"/>
    <mergeCell ref="F259:J259"/>
    <mergeCell ref="C313:E313"/>
    <mergeCell ref="C33:E33"/>
    <mergeCell ref="F261:J261"/>
    <mergeCell ref="G25:H25"/>
    <mergeCell ref="C315:E315"/>
    <mergeCell ref="C35:E35"/>
    <mergeCell ref="F254:J254"/>
    <mergeCell ref="F64:G64"/>
    <mergeCell ref="I187:J187"/>
    <mergeCell ref="C16:D16"/>
    <mergeCell ref="F119:H120"/>
    <mergeCell ref="D288:D289"/>
    <mergeCell ref="F235:G235"/>
    <mergeCell ref="C301:D301"/>
    <mergeCell ref="F371:J371"/>
    <mergeCell ref="A142:B142"/>
    <mergeCell ref="B404:B405"/>
    <mergeCell ref="I199:J199"/>
    <mergeCell ref="F415:H415"/>
    <mergeCell ref="F194:H194"/>
    <mergeCell ref="G10:G11"/>
    <mergeCell ref="G181:G182"/>
    <mergeCell ref="C306:D306"/>
    <mergeCell ref="C368:D368"/>
    <mergeCell ref="F308:H308"/>
    <mergeCell ref="G124:G125"/>
    <mergeCell ref="C82:E82"/>
    <mergeCell ref="C253:E253"/>
    <mergeCell ref="G196:H196"/>
    <mergeCell ref="G207:H207"/>
    <mergeCell ref="D174:D175"/>
    <mergeCell ref="C93:E93"/>
    <mergeCell ref="C174:C175"/>
    <mergeCell ref="E174:E175"/>
    <mergeCell ref="G36:H36"/>
    <mergeCell ref="C250:D250"/>
    <mergeCell ref="F143:J143"/>
    <mergeCell ref="C251:D251"/>
    <mergeCell ref="A427:B427"/>
    <mergeCell ref="C133:D133"/>
    <mergeCell ref="B178:B179"/>
    <mergeCell ref="C22:D22"/>
    <mergeCell ref="C193:D193"/>
    <mergeCell ref="C262:E262"/>
    <mergeCell ref="G435:H435"/>
    <mergeCell ref="G240:G241"/>
    <mergeCell ref="C320:E320"/>
    <mergeCell ref="A64:A65"/>
    <mergeCell ref="A349:A350"/>
    <mergeCell ref="A31:B31"/>
    <mergeCell ref="F208:J208"/>
    <mergeCell ref="A357:J357"/>
    <mergeCell ref="I297:J298"/>
    <mergeCell ref="H181:J182"/>
    <mergeCell ref="A429:B429"/>
    <mergeCell ref="I32:J32"/>
    <mergeCell ref="I134:J134"/>
    <mergeCell ref="A37:B37"/>
    <mergeCell ref="C137:D137"/>
    <mergeCell ref="A208:B208"/>
    <mergeCell ref="I305:J305"/>
    <mergeCell ref="A379:B379"/>
    <mergeCell ref="I28:J28"/>
    <mergeCell ref="C149:E149"/>
    <mergeCell ref="I12:J13"/>
    <mergeCell ref="F178:G178"/>
    <mergeCell ref="B343:D344"/>
    <mergeCell ref="I251:J251"/>
    <mergeCell ref="I422:J422"/>
    <mergeCell ref="I189:J189"/>
    <mergeCell ref="I246:J246"/>
    <mergeCell ref="I360:J360"/>
    <mergeCell ref="A94:B94"/>
    <mergeCell ref="F288:H289"/>
    <mergeCell ref="C417:D417"/>
    <mergeCell ref="F23:H23"/>
    <mergeCell ref="C20:D20"/>
    <mergeCell ref="B176:B177"/>
    <mergeCell ref="A256:B256"/>
    <mergeCell ref="A367:B367"/>
    <mergeCell ref="F35:J35"/>
    <mergeCell ref="C422:D422"/>
    <mergeCell ref="A145:B145"/>
    <mergeCell ref="A139:B139"/>
    <mergeCell ref="A92:B92"/>
    <mergeCell ref="H183:H184"/>
    <mergeCell ref="C435:E435"/>
    <mergeCell ref="F358:H358"/>
    <mergeCell ref="G142:H142"/>
    <mergeCell ref="G313:H313"/>
    <mergeCell ref="I142:J142"/>
    <mergeCell ref="G378:H378"/>
    <mergeCell ref="C92:E92"/>
    <mergeCell ref="C263:E263"/>
    <mergeCell ref="C30:E30"/>
    <mergeCell ref="C434:E434"/>
    <mergeCell ref="I79:J79"/>
    <mergeCell ref="G144:H144"/>
    <mergeCell ref="I73:J73"/>
    <mergeCell ref="F362:H362"/>
    <mergeCell ref="C60:C61"/>
    <mergeCell ref="F430:J430"/>
    <mergeCell ref="G429:H429"/>
    <mergeCell ref="I429:J429"/>
    <mergeCell ref="D402:D403"/>
    <mergeCell ref="G431:H431"/>
    <mergeCell ref="I424:J424"/>
    <mergeCell ref="C433:E433"/>
    <mergeCell ref="B229:D230"/>
    <mergeCell ref="B400:D401"/>
    <mergeCell ref="A432:B432"/>
    <mergeCell ref="I137:J137"/>
    <mergeCell ref="C140:D140"/>
    <mergeCell ref="B62:B63"/>
    <mergeCell ref="F80:H80"/>
    <mergeCell ref="A82:B82"/>
    <mergeCell ref="I139:J139"/>
    <mergeCell ref="C146:E146"/>
    <mergeCell ref="A148:B148"/>
    <mergeCell ref="A231:A232"/>
    <mergeCell ref="F73:H73"/>
    <mergeCell ref="B349:B350"/>
    <mergeCell ref="C418:D418"/>
    <mergeCell ref="G205:H205"/>
    <mergeCell ref="G376:H376"/>
    <mergeCell ref="F421:H421"/>
    <mergeCell ref="I205:J205"/>
    <mergeCell ref="A146:B146"/>
    <mergeCell ref="F190:H190"/>
    <mergeCell ref="G262:H262"/>
    <mergeCell ref="C316:E316"/>
    <mergeCell ref="B402:B403"/>
    <mergeCell ref="A292:A293"/>
    <mergeCell ref="F204:J204"/>
    <mergeCell ref="C402:C403"/>
    <mergeCell ref="F292:G292"/>
    <mergeCell ref="C200:E200"/>
    <mergeCell ref="A176:A177"/>
    <mergeCell ref="F176:H177"/>
    <mergeCell ref="A183:C184"/>
    <mergeCell ref="A354:C355"/>
    <mergeCell ref="C376:E376"/>
    <mergeCell ref="C314:E314"/>
    <mergeCell ref="F368:J368"/>
    <mergeCell ref="A375:B375"/>
    <mergeCell ref="F265:J265"/>
    <mergeCell ref="B292:B293"/>
    <mergeCell ref="I303:J303"/>
    <mergeCell ref="A377:B377"/>
    <mergeCell ref="F250:H250"/>
    <mergeCell ref="C202:E202"/>
    <mergeCell ref="C373:E373"/>
    <mergeCell ref="C318:E318"/>
    <mergeCell ref="B231:B232"/>
    <mergeCell ref="G260:H260"/>
    <mergeCell ref="A322:B322"/>
    <mergeCell ref="J232:J233"/>
    <mergeCell ref="C199:E199"/>
    <mergeCell ref="A414:J414"/>
    <mergeCell ref="B406:B407"/>
    <mergeCell ref="A313:B313"/>
    <mergeCell ref="A290:A291"/>
    <mergeCell ref="A200:B200"/>
    <mergeCell ref="G139:H139"/>
    <mergeCell ref="I201:J201"/>
    <mergeCell ref="I372:J372"/>
    <mergeCell ref="I427:J427"/>
    <mergeCell ref="F202:J202"/>
    <mergeCell ref="E290:E291"/>
    <mergeCell ref="I306:J306"/>
    <mergeCell ref="G315:H315"/>
    <mergeCell ref="I315:J315"/>
    <mergeCell ref="I358:J358"/>
    <mergeCell ref="A372:B372"/>
    <mergeCell ref="I376:J376"/>
    <mergeCell ref="C419:D419"/>
    <mergeCell ref="F307:H307"/>
    <mergeCell ref="C421:D421"/>
    <mergeCell ref="I260:J260"/>
    <mergeCell ref="C265:E265"/>
    <mergeCell ref="A240:C241"/>
    <mergeCell ref="G409:G410"/>
    <mergeCell ref="A7:A8"/>
    <mergeCell ref="A178:A179"/>
    <mergeCell ref="F361:H361"/>
    <mergeCell ref="A88:B88"/>
    <mergeCell ref="F375:J375"/>
    <mergeCell ref="F83:J83"/>
    <mergeCell ref="I16:J16"/>
    <mergeCell ref="I76:J76"/>
    <mergeCell ref="A90:B90"/>
    <mergeCell ref="I203:J203"/>
    <mergeCell ref="B60:B61"/>
    <mergeCell ref="G69:G70"/>
    <mergeCell ref="F7:G7"/>
    <mergeCell ref="C32:E32"/>
    <mergeCell ref="A121:A122"/>
    <mergeCell ref="F149:J149"/>
    <mergeCell ref="A91:B91"/>
    <mergeCell ref="I148:J148"/>
    <mergeCell ref="I82:J82"/>
    <mergeCell ref="I253:J253"/>
    <mergeCell ref="C360:D360"/>
    <mergeCell ref="E288:E289"/>
    <mergeCell ref="G354:G355"/>
    <mergeCell ref="I135:J135"/>
    <mergeCell ref="A435:B435"/>
    <mergeCell ref="F422:H422"/>
    <mergeCell ref="F360:H360"/>
    <mergeCell ref="G150:H150"/>
    <mergeCell ref="C91:E91"/>
    <mergeCell ref="I18:J18"/>
    <mergeCell ref="G34:H34"/>
    <mergeCell ref="A85:B85"/>
    <mergeCell ref="C151:E151"/>
    <mergeCell ref="H352:J353"/>
    <mergeCell ref="F193:H193"/>
    <mergeCell ref="F305:H305"/>
    <mergeCell ref="I367:J367"/>
    <mergeCell ref="C432:E432"/>
    <mergeCell ref="A402:A403"/>
    <mergeCell ref="I435:J435"/>
    <mergeCell ref="C429:E429"/>
    <mergeCell ref="G258:H258"/>
    <mergeCell ref="F77:H77"/>
    <mergeCell ref="I258:J258"/>
    <mergeCell ref="A174:A175"/>
    <mergeCell ref="H297:H298"/>
    <mergeCell ref="A317:B317"/>
    <mergeCell ref="C75:D75"/>
    <mergeCell ref="F16:H16"/>
    <mergeCell ref="F187:H187"/>
    <mergeCell ref="E233:E234"/>
    <mergeCell ref="I249:J249"/>
    <mergeCell ref="F304:H304"/>
    <mergeCell ref="G32:H32"/>
    <mergeCell ref="C378:E378"/>
    <mergeCell ref="C147:E147"/>
    <mergeCell ref="A196:B196"/>
    <mergeCell ref="C117:C118"/>
    <mergeCell ref="I19:J19"/>
    <mergeCell ref="F151:J151"/>
    <mergeCell ref="A93:B93"/>
    <mergeCell ref="F306:H306"/>
    <mergeCell ref="C307:D307"/>
    <mergeCell ref="F20:H20"/>
    <mergeCell ref="A201:B201"/>
    <mergeCell ref="J289:J290"/>
    <mergeCell ref="A60:A61"/>
    <mergeCell ref="H67:J68"/>
    <mergeCell ref="C148:E148"/>
    <mergeCell ref="F76:H76"/>
    <mergeCell ref="C28:E28"/>
    <mergeCell ref="G28:H28"/>
    <mergeCell ref="I4:I5"/>
    <mergeCell ref="F318:J318"/>
    <mergeCell ref="C310:E310"/>
    <mergeCell ref="B5:B6"/>
    <mergeCell ref="F373:J373"/>
    <mergeCell ref="C264:E264"/>
    <mergeCell ref="C3:C4"/>
    <mergeCell ref="E3:E4"/>
    <mergeCell ref="B7:B8"/>
    <mergeCell ref="F62:H63"/>
    <mergeCell ref="F231:H232"/>
    <mergeCell ref="F301:H301"/>
    <mergeCell ref="E5:E6"/>
    <mergeCell ref="G67:G68"/>
    <mergeCell ref="I61:I62"/>
    <mergeCell ref="C246:D246"/>
    <mergeCell ref="F303:H303"/>
    <mergeCell ref="I91:J91"/>
    <mergeCell ref="F134:H134"/>
    <mergeCell ref="I85:J85"/>
    <mergeCell ref="A25:B25"/>
    <mergeCell ref="I22:J22"/>
    <mergeCell ref="G264:H264"/>
    <mergeCell ref="I93:J93"/>
    <mergeCell ref="F436:J436"/>
    <mergeCell ref="A318:B318"/>
    <mergeCell ref="F123:G123"/>
    <mergeCell ref="A320:B320"/>
    <mergeCell ref="C78:D78"/>
    <mergeCell ref="A314:B314"/>
    <mergeCell ref="I411:J412"/>
    <mergeCell ref="F94:J94"/>
    <mergeCell ref="G93:H93"/>
    <mergeCell ref="I319:J319"/>
    <mergeCell ref="I256:J256"/>
    <mergeCell ref="A430:B430"/>
    <mergeCell ref="I264:J264"/>
    <mergeCell ref="C436:E436"/>
    <mergeCell ref="C142:E142"/>
    <mergeCell ref="G321:H321"/>
    <mergeCell ref="F404:H405"/>
    <mergeCell ref="I420:J420"/>
    <mergeCell ref="A433:B433"/>
    <mergeCell ref="F294:G294"/>
    <mergeCell ref="C362:D362"/>
    <mergeCell ref="F402:H403"/>
    <mergeCell ref="I175:I176"/>
    <mergeCell ref="I346:I347"/>
  </mergeCells>
  <phoneticPr fontId="2"/>
  <conditionalFormatting sqref="D50:D55">
    <cfRule type="cellIs" dxfId="23" priority="24" operator="equal">
      <formula>$D49</formula>
    </cfRule>
  </conditionalFormatting>
  <conditionalFormatting sqref="D107:D112">
    <cfRule type="cellIs" dxfId="22" priority="21" operator="equal">
      <formula>$D106</formula>
    </cfRule>
  </conditionalFormatting>
  <conditionalFormatting sqref="D164:D169">
    <cfRule type="cellIs" dxfId="21" priority="18" operator="equal">
      <formula>$D163</formula>
    </cfRule>
  </conditionalFormatting>
  <conditionalFormatting sqref="D221:D226">
    <cfRule type="cellIs" dxfId="20" priority="15" operator="equal">
      <formula>$D220</formula>
    </cfRule>
  </conditionalFormatting>
  <conditionalFormatting sqref="D278:D283">
    <cfRule type="cellIs" dxfId="19" priority="12" operator="equal">
      <formula>$D277</formula>
    </cfRule>
  </conditionalFormatting>
  <conditionalFormatting sqref="D335:D340">
    <cfRule type="cellIs" dxfId="18" priority="9" operator="equal">
      <formula>$D334</formula>
    </cfRule>
  </conditionalFormatting>
  <conditionalFormatting sqref="D392:D397">
    <cfRule type="cellIs" dxfId="17" priority="6" operator="equal">
      <formula>$D391</formula>
    </cfRule>
  </conditionalFormatting>
  <conditionalFormatting sqref="D449:D454">
    <cfRule type="cellIs" dxfId="16" priority="3" operator="equal">
      <formula>$D448</formula>
    </cfRule>
  </conditionalFormatting>
  <conditionalFormatting sqref="I39">
    <cfRule type="cellIs" dxfId="15" priority="22" operator="lessThan">
      <formula>45658</formula>
    </cfRule>
  </conditionalFormatting>
  <conditionalFormatting sqref="I96">
    <cfRule type="cellIs" dxfId="14" priority="19" operator="lessThan">
      <formula>45658</formula>
    </cfRule>
  </conditionalFormatting>
  <conditionalFormatting sqref="I153">
    <cfRule type="cellIs" dxfId="13" priority="16" operator="lessThan">
      <formula>45658</formula>
    </cfRule>
  </conditionalFormatting>
  <conditionalFormatting sqref="I210">
    <cfRule type="cellIs" dxfId="12" priority="13" operator="lessThan">
      <formula>45658</formula>
    </cfRule>
  </conditionalFormatting>
  <conditionalFormatting sqref="I267">
    <cfRule type="cellIs" dxfId="11" priority="10" operator="lessThan">
      <formula>45658</formula>
    </cfRule>
  </conditionalFormatting>
  <conditionalFormatting sqref="I324">
    <cfRule type="cellIs" dxfId="10" priority="7" operator="lessThan">
      <formula>45658</formula>
    </cfRule>
  </conditionalFormatting>
  <conditionalFormatting sqref="I381">
    <cfRule type="cellIs" dxfId="9" priority="4" operator="lessThan">
      <formula>45658</formula>
    </cfRule>
  </conditionalFormatting>
  <conditionalFormatting sqref="I438">
    <cfRule type="cellIs" dxfId="8" priority="1" operator="lessThan">
      <formula>45658</formula>
    </cfRule>
  </conditionalFormatting>
  <conditionalFormatting sqref="J46">
    <cfRule type="cellIs" dxfId="7" priority="23" operator="equal">
      <formula>0</formula>
    </cfRule>
  </conditionalFormatting>
  <conditionalFormatting sqref="J103">
    <cfRule type="cellIs" dxfId="6" priority="20" operator="equal">
      <formula>0</formula>
    </cfRule>
  </conditionalFormatting>
  <conditionalFormatting sqref="J160">
    <cfRule type="cellIs" dxfId="5" priority="17" operator="equal">
      <formula>0</formula>
    </cfRule>
  </conditionalFormatting>
  <conditionalFormatting sqref="J217">
    <cfRule type="cellIs" dxfId="4" priority="14" operator="equal">
      <formula>0</formula>
    </cfRule>
  </conditionalFormatting>
  <conditionalFormatting sqref="J274">
    <cfRule type="cellIs" dxfId="3" priority="11" operator="equal">
      <formula>0</formula>
    </cfRule>
  </conditionalFormatting>
  <conditionalFormatting sqref="J331">
    <cfRule type="cellIs" dxfId="2" priority="8" operator="equal">
      <formula>0</formula>
    </cfRule>
  </conditionalFormatting>
  <conditionalFormatting sqref="J388">
    <cfRule type="cellIs" dxfId="1" priority="5" operator="equal">
      <formula>0</formula>
    </cfRule>
  </conditionalFormatting>
  <conditionalFormatting sqref="J445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7" manualBreakCount="7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2025-07-23T00:54:30Z</cp:lastPrinted>
  <dcterms:created xsi:type="dcterms:W3CDTF">2024-07-11T02:08:33Z</dcterms:created>
  <dcterms:modified xsi:type="dcterms:W3CDTF">2025-08-20T02:36:09Z</dcterms:modified>
</cp:coreProperties>
</file>