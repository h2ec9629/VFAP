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749AA35D-9552-4346-9E9B-16DA62FAF2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2" i="1" l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/>
  <c r="I40" i="1" a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<sst xmlns="http://schemas.openxmlformats.org/spreadsheetml/2006/main" count="186" uniqueCount="103">
  <si>
    <t>検査梱包指示書</t>
  </si>
  <si>
    <t>品目番号</t>
  </si>
  <si>
    <t>J1AKZYB00205000</t>
  </si>
  <si>
    <t>Ｌ寸</t>
  </si>
  <si>
    <t>名称</t>
  </si>
  <si>
    <t>PK-59827 L=500</t>
  </si>
  <si>
    <t>上長</t>
  </si>
  <si>
    <t>係員</t>
  </si>
  <si>
    <t>製造指図№</t>
  </si>
  <si>
    <t>000000000005203</t>
  </si>
  <si>
    <t>原料名</t>
  </si>
  <si>
    <t>(J6VX820)(J6VX819)</t>
  </si>
  <si>
    <t>発注明細№</t>
  </si>
  <si>
    <t>000000000771469</t>
  </si>
  <si>
    <t>色　名</t>
  </si>
  <si>
    <t>YW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</si>
  <si>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</si>
  <si>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</si>
  <si>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</si>
  <si>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</si>
  <si>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</si>
  <si>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</si>
  <si>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</si>
  <si>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</si>
  <si>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4383</t>
  </si>
  <si>
    <t>*J1AKZYB00205000*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</si>
  <si>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</si>
  <si>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</si>
  <si>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</si>
  <si>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</si>
  <si>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</si>
  <si>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</si>
  <si>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</si>
  <si>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</si>
  <si>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</si>
  <si>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</si>
  <si>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</si>
  <si>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</si>
  <si>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</si>
  <si>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</si>
  <si>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</si>
  <si>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</si>
  <si>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</si>
  <si>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</si>
  <si>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</si>
  <si>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</si>
  <si>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</si>
  <si>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</si>
  <si>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J1AKZYA00215400</t>
  </si>
  <si>
    <t>@PK-59827 L1540</t>
  </si>
  <si>
    <t>*J1AKZYA00215400*</t>
  </si>
  <si>
    <t>PK-59827 L500用</t>
  </si>
  <si>
    <t>*J6DW0099*</t>
  </si>
  <si>
    <t>J6XX0017</t>
  </si>
  <si>
    <t>(管理外)筋入ｸﾗﾌﾄ紙</t>
  </si>
  <si>
    <t>*J6XX0017*</t>
  </si>
  <si>
    <t>600＊100</t>
  </si>
  <si>
    <t>J1AKZYB00207000</t>
  </si>
  <si>
    <t>PK-59827 L=700</t>
  </si>
  <si>
    <t>000000000005204</t>
  </si>
  <si>
    <t>000000000771470</t>
  </si>
  <si>
    <t>*J1AKZYB00207000*</t>
  </si>
  <si>
    <t>J1AKZYA00214400</t>
  </si>
  <si>
    <t>@PK-59827 L1440</t>
  </si>
  <si>
    <t>*J1AKZYA00214400*</t>
  </si>
  <si>
    <t>J6DW0100</t>
  </si>
  <si>
    <t>PK-59827 L700用</t>
  </si>
  <si>
    <t>*J6DW0100*</t>
  </si>
  <si>
    <t>J6DW0099</t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</si>
  <si>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</si>
  <si>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</si>
  <si>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</si>
  <si>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</si>
  <si>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</si>
  <si>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</si>
  <si>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</si>
  <si>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</si>
  <si>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</si>
  <si>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</si>
  <si>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</si>
  <si>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</si>
  <si>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</si>
  <si>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</si>
  <si>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</si>
  <si>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</si>
  <si>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</si>
  <si>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</si>
  <si>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</si>
  <si>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</si>
  <si>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</si>
  <si>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</si>
  <si>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</si>
  <si>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</si>
  <si>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</si>
  <si>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</si>
  <si>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</si>
  <si>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</si>
  <si>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</si>
  <si>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</si>
  <si>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</si>
  <si>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</si>
  <si>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</si>
  <si>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計測Lot</t>
    <rPh sb="0" eb="2">
      <t>ケイソク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</si>
</sst>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yy\,mm\,dd"/>
    <numFmt numFmtId="192" formatCode="#&quot;箱&quot;"/>
    <numFmt numFmtId="193" formatCode="&quot;合計 &quot;#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79" fontId="25" fillId="0" borderId="31" xfId="1" applyNumberFormat="1" applyFont="1" applyBorder="1" applyAlignment="1">
      <alignment horizontal="center" vertical="center" shrinkToFit="1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1" fontId="15" fillId="0" borderId="21" xfId="0" applyNumberFormat="1" applyFont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1" fontId="15" fillId="0" borderId="24" xfId="0" applyNumberFormat="1" applyFont="1" applyBorder="1" applyAlignment="1">
      <alignment horizontal="center" vertical="center"/>
    </xf>
    <xf numFmtId="192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1" fontId="14" fillId="0" borderId="24" xfId="0" applyNumberFormat="1" applyFont="1" applyBorder="1" applyAlignment="1">
      <alignment horizontal="center" vertical="center"/>
    </xf>
    <xf numFmtId="192" fontId="14" fillId="0" borderId="37" xfId="0" applyNumberFormat="1" applyFont="1" applyBorder="1" applyAlignment="1">
      <alignment horizontal="center" vertical="center"/>
    </xf>
    <xf numFmtId="191" fontId="14" fillId="5" borderId="24" xfId="0" applyNumberFormat="1" applyFont="1" applyFill="1" applyBorder="1" applyAlignment="1">
      <alignment horizontal="center" vertical="center"/>
    </xf>
    <xf numFmtId="192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1" fontId="14" fillId="5" borderId="30" xfId="0" applyNumberFormat="1" applyFont="1" applyFill="1" applyBorder="1" applyAlignment="1">
      <alignment horizontal="center" vertical="center"/>
    </xf>
    <xf numFmtId="192" fontId="14" fillId="5" borderId="32" xfId="0" applyNumberFormat="1" applyFont="1" applyFill="1" applyBorder="1" applyAlignment="1">
      <alignment horizontal="center" vertical="center"/>
    </xf>
    <xf numFmtId="179" fontId="20" fillId="0" borderId="2" xfId="1" applyNumberFormat="1" applyFont="1" applyBorder="1" applyAlignment="1">
      <alignment horizontal="center" vertical="center" shrinkToFit="1"/>
    </xf>
    <xf numFmtId="181" fontId="20" fillId="0" borderId="2" xfId="1" applyNumberFormat="1" applyFont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2" fontId="19" fillId="5" borderId="22" xfId="0" applyNumberFormat="1" applyFont="1" applyFill="1" applyBorder="1" applyAlignment="1">
      <alignment horizontal="left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3" fontId="19" fillId="5" borderId="32" xfId="0" applyNumberFormat="1" applyFont="1" applyFill="1" applyBorder="1" applyAlignment="1">
      <alignment horizontal="center" vertical="center"/>
    </xf>
    <xf numFmtId="181" fontId="15" fillId="4" borderId="21" xfId="0" applyNumberFormat="1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1" fillId="0" borderId="0" xfId="0" applyFont="1">
      <alignment vertical="center"/>
    </xf>
    <xf numFmtId="49" fontId="10" fillId="0" borderId="4" xfId="1" applyNumberFormat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3</xdr:row>
      <xdr:rowOff>66675</xdr:rowOff>
    </xdr:from>
    <xdr:to>
      <xdr:col>9</xdr:col>
      <xdr:colOff>609600</xdr:colOff>
      <xdr:row>5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84DACF-407D-91D4-889D-91B5AF37C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6096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161926</xdr:colOff>
      <xdr:row>60</xdr:row>
      <xdr:rowOff>85726</xdr:rowOff>
    </xdr:from>
    <xdr:to>
      <xdr:col>9</xdr:col>
      <xdr:colOff>638176</xdr:colOff>
      <xdr:row>62</xdr:row>
      <xdr:rowOff>161926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4EA467-BDB3-50E2-A5F7-0B2E31ED5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1" y="13858876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60</xdr:row>
      <xdr:rowOff>104775</xdr:rowOff>
    </xdr:from>
    <xdr:to>
      <xdr:col>8</xdr:col>
      <xdr:colOff>638175</xdr:colOff>
      <xdr:row>62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8C17CFF-5CCF-3DBF-7D7D-FDADA4B4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38779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</xdr:row>
      <xdr:rowOff>95250</xdr:rowOff>
    </xdr:from>
    <xdr:to>
      <xdr:col>8</xdr:col>
      <xdr:colOff>647700</xdr:colOff>
      <xdr:row>5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BA56342-86CC-C0CE-6BF0-FE53BD4A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638175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加工記録表"/>
    </sheetNames>
    <sheetDataSet>
      <sheetData sheetId="0"/>
      <sheetData sheetId="1"/>
      <sheetData sheetId="2">
        <row r="3"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45835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K5">
            <v>0</v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000000000004402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1</v>
          </cell>
          <cell r="T7" t="str">
            <v>000000000004402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M8">
            <v>12</v>
          </cell>
          <cell r="O8">
            <v>95</v>
          </cell>
          <cell r="T8" t="str">
            <v>000000000004402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M9">
            <v>95</v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C11" t="str">
            <v>8FL281304 4810　L=297</v>
          </cell>
          <cell r="I11">
            <v>0</v>
          </cell>
          <cell r="J11">
            <v>0</v>
          </cell>
          <cell r="K11">
            <v>0</v>
          </cell>
          <cell r="L11">
            <v>45835</v>
          </cell>
          <cell r="M11">
            <v>3</v>
          </cell>
          <cell r="O11">
            <v>45835</v>
          </cell>
          <cell r="P11">
            <v>5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I12" t="str">
            <v>25E28-10</v>
          </cell>
          <cell r="J12">
            <v>306</v>
          </cell>
          <cell r="K12">
            <v>51</v>
          </cell>
          <cell r="O12">
            <v>300</v>
          </cell>
          <cell r="T12" t="str">
            <v>000000000004401</v>
          </cell>
        </row>
        <row r="13"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K13">
            <v>0</v>
          </cell>
          <cell r="O13">
            <v>51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K14">
            <v>0</v>
          </cell>
          <cell r="O14">
            <v>1</v>
          </cell>
          <cell r="T14" t="str">
            <v>000000000004401</v>
          </cell>
        </row>
        <row r="15"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K15">
            <v>0</v>
          </cell>
          <cell r="O15">
            <v>5</v>
          </cell>
          <cell r="T15" t="str">
            <v>000000000004401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000000000004401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5</v>
          </cell>
          <cell r="K19">
            <v>5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48</v>
          </cell>
          <cell r="K21">
            <v>48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000000000004406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1</v>
          </cell>
          <cell r="T23" t="str">
            <v>000000000004406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M24">
            <v>5</v>
          </cell>
          <cell r="O24">
            <v>0</v>
          </cell>
          <cell r="T24" t="str">
            <v>000000000004406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C27" t="str">
            <v>8FL281304 6110　L=1478</v>
          </cell>
          <cell r="I27">
            <v>0</v>
          </cell>
          <cell r="J27">
            <v>0</v>
          </cell>
          <cell r="K27">
            <v>0</v>
          </cell>
          <cell r="L27">
            <v>45835</v>
          </cell>
          <cell r="M27">
            <v>3</v>
          </cell>
          <cell r="O27">
            <v>45838</v>
          </cell>
          <cell r="P27">
            <v>4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I28" t="str">
            <v>25E29-11</v>
          </cell>
          <cell r="J28">
            <v>604</v>
          </cell>
          <cell r="K28">
            <v>604</v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K29">
            <v>0</v>
          </cell>
          <cell r="O29">
            <v>604</v>
          </cell>
          <cell r="T29" t="str">
            <v>000000000004405</v>
          </cell>
        </row>
        <row r="30">
          <cell r="G30" t="str">
            <v/>
          </cell>
          <cell r="K30">
            <v>0</v>
          </cell>
          <cell r="O30">
            <v>4</v>
          </cell>
          <cell r="T30" t="str">
            <v>000000000004405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4</v>
          </cell>
          <cell r="T31" t="str">
            <v>000000000004405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旧品加工</v>
          </cell>
          <cell r="O32">
            <v>0</v>
          </cell>
          <cell r="T32" t="str">
            <v>000000000004405</v>
          </cell>
        </row>
        <row r="33">
          <cell r="C33">
            <v>6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000000000004405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高森</v>
          </cell>
          <cell r="P34">
            <v>4</v>
          </cell>
          <cell r="T34" t="str">
            <v>000000000004405</v>
          </cell>
        </row>
        <row r="35"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0</v>
          </cell>
          <cell r="K35">
            <v>0</v>
          </cell>
          <cell r="L35">
            <v>45838</v>
          </cell>
          <cell r="M35">
            <v>6</v>
          </cell>
          <cell r="O35">
            <v>45838</v>
          </cell>
          <cell r="P35">
            <v>3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314</v>
          </cell>
          <cell r="K37">
            <v>157</v>
          </cell>
          <cell r="O37">
            <v>302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K38">
            <v>0</v>
          </cell>
          <cell r="O38">
            <v>2</v>
          </cell>
          <cell r="T38" t="str">
            <v>000000000004404</v>
          </cell>
        </row>
        <row r="39"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K39">
            <v>0</v>
          </cell>
          <cell r="O39">
            <v>3</v>
          </cell>
          <cell r="T39" t="str">
            <v>000000000004404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000000000004404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000000000004404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45839</v>
          </cell>
          <cell r="M43">
            <v>7</v>
          </cell>
          <cell r="O43">
            <v>45839</v>
          </cell>
          <cell r="P43">
            <v>5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I44" t="str">
            <v>25E30-12</v>
          </cell>
          <cell r="J44">
            <v>706</v>
          </cell>
          <cell r="K44">
            <v>353</v>
          </cell>
          <cell r="O44">
            <v>700</v>
          </cell>
          <cell r="T44" t="str">
            <v>000000000004403</v>
          </cell>
        </row>
        <row r="45"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K45">
            <v>0</v>
          </cell>
          <cell r="O45">
            <v>353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K46">
            <v>0</v>
          </cell>
          <cell r="O46">
            <v>3</v>
          </cell>
          <cell r="T46" t="str">
            <v>000000000004403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5</v>
          </cell>
          <cell r="T47" t="str">
            <v>000000000004403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000000000004403</v>
          </cell>
        </row>
        <row r="49">
          <cell r="C49">
            <v>7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C51" t="str">
            <v>MDP-688A L4　L=2570</v>
          </cell>
          <cell r="I51">
            <v>0</v>
          </cell>
          <cell r="J51">
            <v>0</v>
          </cell>
          <cell r="K51">
            <v>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I52" t="str">
            <v>25C31B</v>
          </cell>
          <cell r="J52">
            <v>150</v>
          </cell>
          <cell r="K52">
            <v>150</v>
          </cell>
          <cell r="O52">
            <v>150</v>
          </cell>
          <cell r="T52" t="str">
            <v>000000000004826</v>
          </cell>
        </row>
        <row r="53"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K53">
            <v>0</v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K54">
            <v>0</v>
          </cell>
          <cell r="O54">
            <v>0</v>
          </cell>
          <cell r="T54" t="str">
            <v>000000000004826</v>
          </cell>
        </row>
        <row r="55">
          <cell r="C55">
            <v>1</v>
          </cell>
          <cell r="G55">
            <v>2570</v>
          </cell>
          <cell r="K55">
            <v>0</v>
          </cell>
          <cell r="O55">
            <v>0</v>
          </cell>
          <cell r="T55" t="str">
            <v>000000000004826</v>
          </cell>
        </row>
        <row r="56">
          <cell r="C56" t="str">
            <v>基材梱包箱</v>
          </cell>
          <cell r="G56">
            <v>2570</v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000000000004826</v>
          </cell>
        </row>
        <row r="57">
          <cell r="C57">
            <v>3</v>
          </cell>
          <cell r="G57">
            <v>2570</v>
          </cell>
          <cell r="K57">
            <v>0</v>
          </cell>
          <cell r="L57" t="str">
            <v>持出端材</v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K58">
            <v>0</v>
          </cell>
          <cell r="L58" t="str">
            <v>α端材</v>
          </cell>
          <cell r="M58">
            <v>0</v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C59" t="str">
            <v>8FL281304 5010　L=888</v>
          </cell>
          <cell r="I59">
            <v>0</v>
          </cell>
          <cell r="J59">
            <v>0</v>
          </cell>
          <cell r="K59">
            <v>0</v>
          </cell>
          <cell r="L59">
            <v>45842</v>
          </cell>
          <cell r="M59">
            <v>1</v>
          </cell>
          <cell r="O59">
            <v>45842</v>
          </cell>
          <cell r="P59">
            <v>2</v>
          </cell>
          <cell r="T59" t="str">
            <v>000000000005124</v>
          </cell>
        </row>
        <row r="60">
          <cell r="D60">
            <v>45842</v>
          </cell>
          <cell r="E60" t="str">
            <v>25E30-12</v>
          </cell>
          <cell r="F60">
            <v>30</v>
          </cell>
          <cell r="G60">
            <v>888.58</v>
          </cell>
          <cell r="H60">
            <v>888.4</v>
          </cell>
          <cell r="I60" t="str">
            <v>25E30-12</v>
          </cell>
          <cell r="J60">
            <v>102</v>
          </cell>
          <cell r="K60">
            <v>51</v>
          </cell>
          <cell r="O60">
            <v>100</v>
          </cell>
          <cell r="T60" t="str">
            <v>000000000005124</v>
          </cell>
        </row>
        <row r="61">
          <cell r="C61">
            <v>100</v>
          </cell>
          <cell r="D61">
            <v>45842</v>
          </cell>
          <cell r="E61" t="str">
            <v>25E30-12</v>
          </cell>
          <cell r="F61">
            <v>30</v>
          </cell>
          <cell r="G61">
            <v>888.58</v>
          </cell>
          <cell r="H61">
            <v>888.56</v>
          </cell>
          <cell r="K61">
            <v>0</v>
          </cell>
          <cell r="O61">
            <v>51</v>
          </cell>
          <cell r="T61" t="str">
            <v>000000000005124</v>
          </cell>
        </row>
        <row r="62">
          <cell r="G62" t="str">
            <v/>
          </cell>
          <cell r="K62">
            <v>0</v>
          </cell>
          <cell r="O62">
            <v>1</v>
          </cell>
          <cell r="T62" t="str">
            <v>000000000005124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2</v>
          </cell>
          <cell r="T63" t="str">
            <v>000000000005124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000000000005124</v>
          </cell>
        </row>
        <row r="65">
          <cell r="C65">
            <v>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水野</v>
          </cell>
          <cell r="T65" t="str">
            <v>000000000005124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</v>
          </cell>
          <cell r="P66">
            <v>2</v>
          </cell>
          <cell r="T66" t="str">
            <v>000000000005124</v>
          </cell>
        </row>
        <row r="67">
          <cell r="C67" t="str">
            <v>灯具カバーPC IN 2140　L=547</v>
          </cell>
          <cell r="D67">
            <v>45825</v>
          </cell>
          <cell r="E67" t="str">
            <v>25F10-01</v>
          </cell>
          <cell r="I67" t="str">
            <v>25F10-01</v>
          </cell>
          <cell r="J67">
            <v>1</v>
          </cell>
          <cell r="K67">
            <v>1</v>
          </cell>
          <cell r="L67">
            <v>45845</v>
          </cell>
          <cell r="M67">
            <v>10</v>
          </cell>
          <cell r="O67">
            <v>45845</v>
          </cell>
          <cell r="T67" t="str">
            <v>000000000004913</v>
          </cell>
        </row>
        <row r="68">
          <cell r="D68">
            <v>45845</v>
          </cell>
          <cell r="E68" t="str">
            <v>25G01-01</v>
          </cell>
          <cell r="G68" t="str">
            <v/>
          </cell>
          <cell r="I68" t="str">
            <v>25G01-01</v>
          </cell>
          <cell r="J68">
            <v>193</v>
          </cell>
          <cell r="K68">
            <v>193</v>
          </cell>
          <cell r="O68">
            <v>160</v>
          </cell>
          <cell r="P68">
            <v>9</v>
          </cell>
          <cell r="T68" t="str">
            <v>000000000004913</v>
          </cell>
        </row>
        <row r="69">
          <cell r="C69">
            <v>160</v>
          </cell>
          <cell r="G69" t="str">
            <v/>
          </cell>
          <cell r="K69">
            <v>0</v>
          </cell>
          <cell r="O69">
            <v>194</v>
          </cell>
          <cell r="P69">
            <v>25</v>
          </cell>
          <cell r="T69" t="str">
            <v>000000000004913</v>
          </cell>
        </row>
        <row r="70">
          <cell r="G70" t="str">
            <v/>
          </cell>
          <cell r="K70">
            <v>0</v>
          </cell>
          <cell r="O70">
            <v>34</v>
          </cell>
          <cell r="T70" t="str">
            <v>000000000004913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34</v>
          </cell>
          <cell r="T71" t="str">
            <v>000000000004913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M72">
            <v>1</v>
          </cell>
          <cell r="O72">
            <v>0</v>
          </cell>
          <cell r="T72" t="str">
            <v>000000000004913</v>
          </cell>
        </row>
        <row r="73">
          <cell r="C73">
            <v>5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000000000004913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富田</v>
          </cell>
          <cell r="P74">
            <v>34</v>
          </cell>
          <cell r="T74" t="str">
            <v>000000000004913</v>
          </cell>
        </row>
        <row r="75">
          <cell r="C75" t="str">
            <v>灯具カバーPC IN 2090　L=840</v>
          </cell>
          <cell r="D75">
            <v>45827</v>
          </cell>
          <cell r="E75" t="str">
            <v>25F10-01</v>
          </cell>
          <cell r="I75" t="str">
            <v>25F10-01</v>
          </cell>
          <cell r="J75">
            <v>2</v>
          </cell>
          <cell r="K75">
            <v>2</v>
          </cell>
          <cell r="L75">
            <v>45845</v>
          </cell>
          <cell r="M75">
            <v>8</v>
          </cell>
          <cell r="O75">
            <v>45845</v>
          </cell>
          <cell r="P75">
            <v>8</v>
          </cell>
          <cell r="T75" t="str">
            <v>000000000004914</v>
          </cell>
        </row>
        <row r="76">
          <cell r="D76">
            <v>45845</v>
          </cell>
          <cell r="E76" t="str">
            <v>25F02-01</v>
          </cell>
          <cell r="G76" t="str">
            <v/>
          </cell>
          <cell r="I76" t="str">
            <v>25F02-01</v>
          </cell>
          <cell r="J76">
            <v>191</v>
          </cell>
          <cell r="K76">
            <v>191</v>
          </cell>
          <cell r="O76">
            <v>128</v>
          </cell>
          <cell r="P76">
            <v>57</v>
          </cell>
          <cell r="T76" t="str">
            <v>000000000004914</v>
          </cell>
        </row>
        <row r="77">
          <cell r="C77">
            <v>128</v>
          </cell>
          <cell r="G77" t="str">
            <v/>
          </cell>
          <cell r="K77">
            <v>0</v>
          </cell>
          <cell r="O77">
            <v>193</v>
          </cell>
          <cell r="T77" t="str">
            <v>000000000004914</v>
          </cell>
        </row>
        <row r="78">
          <cell r="G78" t="str">
            <v/>
          </cell>
          <cell r="K78">
            <v>0</v>
          </cell>
          <cell r="O78">
            <v>65</v>
          </cell>
          <cell r="T78" t="str">
            <v>000000000004914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65</v>
          </cell>
          <cell r="T79" t="str">
            <v>000000000004914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M80">
            <v>2</v>
          </cell>
          <cell r="O80">
            <v>0</v>
          </cell>
          <cell r="T80" t="str">
            <v>000000000004914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000000000004914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富田</v>
          </cell>
          <cell r="P82">
            <v>65</v>
          </cell>
          <cell r="T82" t="str">
            <v>000000000004914</v>
          </cell>
        </row>
        <row r="83">
          <cell r="C83" t="str">
            <v>灯具カバーPC IN 2050　L=1183.5</v>
          </cell>
          <cell r="D83">
            <v>45811</v>
          </cell>
          <cell r="E83" t="str">
            <v>25E20-02</v>
          </cell>
          <cell r="I83" t="str">
            <v>25E20-02</v>
          </cell>
          <cell r="J83">
            <v>13</v>
          </cell>
          <cell r="K83">
            <v>13</v>
          </cell>
          <cell r="L83">
            <v>45846</v>
          </cell>
          <cell r="M83">
            <v>11</v>
          </cell>
          <cell r="O83">
            <v>45846</v>
          </cell>
          <cell r="P83">
            <v>6</v>
          </cell>
          <cell r="T83" t="str">
            <v>000000000004916</v>
          </cell>
        </row>
        <row r="84">
          <cell r="D84">
            <v>45846</v>
          </cell>
          <cell r="E84" t="str">
            <v>25G02-01</v>
          </cell>
          <cell r="G84" t="str">
            <v/>
          </cell>
          <cell r="I84" t="str">
            <v>25G02-01</v>
          </cell>
          <cell r="J84">
            <v>200</v>
          </cell>
          <cell r="K84">
            <v>200</v>
          </cell>
          <cell r="O84">
            <v>176</v>
          </cell>
          <cell r="P84">
            <v>31</v>
          </cell>
          <cell r="T84" t="str">
            <v>000000000004916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213</v>
          </cell>
          <cell r="T85" t="str">
            <v>000000000004916</v>
          </cell>
        </row>
        <row r="86">
          <cell r="G86" t="str">
            <v/>
          </cell>
          <cell r="K86">
            <v>0</v>
          </cell>
          <cell r="O86">
            <v>37</v>
          </cell>
          <cell r="T86" t="str">
            <v>000000000004916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37</v>
          </cell>
          <cell r="T87" t="str">
            <v>000000000004916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0</v>
          </cell>
          <cell r="T88" t="str">
            <v>000000000004916</v>
          </cell>
        </row>
        <row r="89">
          <cell r="C89">
            <v>11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000000000004916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高森</v>
          </cell>
          <cell r="P90">
            <v>37</v>
          </cell>
          <cell r="T90" t="str">
            <v>000000000004916</v>
          </cell>
        </row>
        <row r="91">
          <cell r="C91" t="str">
            <v>灯具カバーPC IN 2060　L=1258.5</v>
          </cell>
          <cell r="I91">
            <v>0</v>
          </cell>
          <cell r="J91">
            <v>0</v>
          </cell>
          <cell r="K91">
            <v>0</v>
          </cell>
          <cell r="L91">
            <v>45847</v>
          </cell>
          <cell r="M91">
            <v>4</v>
          </cell>
          <cell r="O91">
            <v>45847</v>
          </cell>
          <cell r="P91">
            <v>4</v>
          </cell>
          <cell r="T91" t="str">
            <v>000000000004918</v>
          </cell>
        </row>
        <row r="92">
          <cell r="D92">
            <v>45847</v>
          </cell>
          <cell r="E92" t="str">
            <v>25G03-01</v>
          </cell>
          <cell r="G92" t="str">
            <v/>
          </cell>
          <cell r="I92" t="str">
            <v>25G03-01</v>
          </cell>
          <cell r="J92">
            <v>89</v>
          </cell>
          <cell r="K92">
            <v>89</v>
          </cell>
          <cell r="O92">
            <v>64</v>
          </cell>
          <cell r="P92">
            <v>21</v>
          </cell>
          <cell r="T92" t="str">
            <v>000000000004918</v>
          </cell>
        </row>
        <row r="93">
          <cell r="C93">
            <v>64</v>
          </cell>
          <cell r="G93" t="str">
            <v/>
          </cell>
          <cell r="K93">
            <v>0</v>
          </cell>
          <cell r="O93">
            <v>89</v>
          </cell>
          <cell r="T93" t="str">
            <v>000000000004918</v>
          </cell>
        </row>
        <row r="94">
          <cell r="G94" t="str">
            <v/>
          </cell>
          <cell r="K94">
            <v>0</v>
          </cell>
          <cell r="O94">
            <v>25</v>
          </cell>
          <cell r="T94" t="str">
            <v>000000000004918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25</v>
          </cell>
          <cell r="T95" t="str">
            <v>000000000004918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000000000004918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000000000004918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</v>
          </cell>
          <cell r="P98">
            <v>25</v>
          </cell>
          <cell r="T98" t="str">
            <v>000000000004918</v>
          </cell>
        </row>
        <row r="99">
          <cell r="C99" t="str">
            <v>灯具カバーPC IN 2500　L=1238</v>
          </cell>
          <cell r="D99">
            <v>45821</v>
          </cell>
          <cell r="E99" t="str">
            <v>24F06-01</v>
          </cell>
          <cell r="I99" t="str">
            <v>24F06-01</v>
          </cell>
          <cell r="J99">
            <v>10</v>
          </cell>
          <cell r="K99">
            <v>10</v>
          </cell>
          <cell r="L99">
            <v>45847</v>
          </cell>
          <cell r="M99">
            <v>5</v>
          </cell>
          <cell r="O99">
            <v>45847</v>
          </cell>
          <cell r="P99">
            <v>2</v>
          </cell>
          <cell r="T99" t="str">
            <v>000000000004917</v>
          </cell>
        </row>
        <row r="100">
          <cell r="D100">
            <v>45847</v>
          </cell>
          <cell r="E100" t="str">
            <v>25G03-01</v>
          </cell>
          <cell r="G100" t="str">
            <v/>
          </cell>
          <cell r="I100" t="str">
            <v>25G03-01</v>
          </cell>
          <cell r="J100">
            <v>92</v>
          </cell>
          <cell r="K100">
            <v>92</v>
          </cell>
          <cell r="O100">
            <v>80</v>
          </cell>
          <cell r="P100">
            <v>19</v>
          </cell>
          <cell r="T100" t="str">
            <v>000000000004917</v>
          </cell>
        </row>
        <row r="101">
          <cell r="C101">
            <v>80</v>
          </cell>
          <cell r="G101" t="str">
            <v/>
          </cell>
          <cell r="K101">
            <v>0</v>
          </cell>
          <cell r="O101">
            <v>102</v>
          </cell>
          <cell r="T101" t="str">
            <v>000000000004917</v>
          </cell>
        </row>
        <row r="102">
          <cell r="G102" t="str">
            <v/>
          </cell>
          <cell r="K102">
            <v>0</v>
          </cell>
          <cell r="O102">
            <v>22</v>
          </cell>
          <cell r="T102" t="str">
            <v>000000000004917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22</v>
          </cell>
          <cell r="T103" t="str">
            <v>000000000004917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0</v>
          </cell>
          <cell r="T104" t="str">
            <v>000000000004917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P105">
            <v>1</v>
          </cell>
          <cell r="T105" t="str">
            <v>000000000004917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</v>
          </cell>
          <cell r="P106">
            <v>22</v>
          </cell>
          <cell r="T106" t="str">
            <v>000000000004917</v>
          </cell>
        </row>
        <row r="107">
          <cell r="C107" t="str">
            <v>灯具カバーPC IN 2130　L=908</v>
          </cell>
          <cell r="D107">
            <v>45826</v>
          </cell>
          <cell r="E107" t="str">
            <v>25F10-01</v>
          </cell>
          <cell r="I107" t="str">
            <v>25F10-01</v>
          </cell>
          <cell r="J107">
            <v>2</v>
          </cell>
          <cell r="K107">
            <v>2</v>
          </cell>
          <cell r="L107">
            <v>45847</v>
          </cell>
          <cell r="M107">
            <v>13</v>
          </cell>
          <cell r="O107">
            <v>45848</v>
          </cell>
          <cell r="P107">
            <v>4</v>
          </cell>
          <cell r="T107" t="str">
            <v>000000000004915</v>
          </cell>
        </row>
        <row r="108">
          <cell r="D108">
            <v>45847</v>
          </cell>
          <cell r="E108" t="str">
            <v>25G03-02</v>
          </cell>
          <cell r="G108" t="str">
            <v/>
          </cell>
          <cell r="I108" t="str">
            <v>25G03-02</v>
          </cell>
          <cell r="J108">
            <v>200</v>
          </cell>
          <cell r="K108">
            <v>200</v>
          </cell>
          <cell r="L108">
            <v>45848</v>
          </cell>
          <cell r="M108">
            <v>6</v>
          </cell>
          <cell r="O108">
            <v>304</v>
          </cell>
          <cell r="P108">
            <v>93</v>
          </cell>
          <cell r="T108" t="str">
            <v>000000000004915</v>
          </cell>
        </row>
        <row r="109">
          <cell r="C109">
            <v>304</v>
          </cell>
          <cell r="D109">
            <v>45848</v>
          </cell>
          <cell r="E109" t="str">
            <v>25G02-01</v>
          </cell>
          <cell r="G109" t="str">
            <v/>
          </cell>
          <cell r="I109" t="str">
            <v>25G02-01</v>
          </cell>
          <cell r="J109">
            <v>199</v>
          </cell>
          <cell r="K109">
            <v>199</v>
          </cell>
          <cell r="O109">
            <v>401</v>
          </cell>
          <cell r="T109" t="str">
            <v>000000000004915</v>
          </cell>
        </row>
        <row r="110">
          <cell r="G110" t="str">
            <v/>
          </cell>
          <cell r="K110">
            <v>0</v>
          </cell>
          <cell r="O110">
            <v>97</v>
          </cell>
          <cell r="T110" t="str">
            <v>000000000004915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97</v>
          </cell>
          <cell r="T111" t="str">
            <v>000000000004915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2</v>
          </cell>
          <cell r="O112">
            <v>0</v>
          </cell>
          <cell r="T112" t="str">
            <v>000000000004915</v>
          </cell>
        </row>
        <row r="113">
          <cell r="C113">
            <v>19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000000000004915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</v>
          </cell>
          <cell r="P114">
            <v>97</v>
          </cell>
          <cell r="T114" t="str">
            <v>000000000004915</v>
          </cell>
        </row>
        <row r="115">
          <cell r="C115" t="str">
            <v>灯具カバーPC IN 2470　L=1648</v>
          </cell>
          <cell r="D115">
            <v>45457</v>
          </cell>
          <cell r="E115" t="str">
            <v>24F07-01</v>
          </cell>
          <cell r="I115" t="str">
            <v>24F07-01</v>
          </cell>
          <cell r="J115">
            <v>9</v>
          </cell>
          <cell r="K115">
            <v>9</v>
          </cell>
          <cell r="L115">
            <v>45848</v>
          </cell>
          <cell r="M115">
            <v>6</v>
          </cell>
          <cell r="O115">
            <v>45848</v>
          </cell>
          <cell r="P115">
            <v>1</v>
          </cell>
          <cell r="T115" t="str">
            <v>000000000004920</v>
          </cell>
        </row>
        <row r="116">
          <cell r="D116">
            <v>45848</v>
          </cell>
          <cell r="E116" t="str">
            <v>25G03-01</v>
          </cell>
          <cell r="G116" t="str">
            <v/>
          </cell>
          <cell r="I116" t="str">
            <v>25G03-01</v>
          </cell>
          <cell r="J116">
            <v>98</v>
          </cell>
          <cell r="K116">
            <v>98</v>
          </cell>
          <cell r="O116">
            <v>96</v>
          </cell>
          <cell r="P116">
            <v>10</v>
          </cell>
          <cell r="T116" t="str">
            <v>000000000004920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107</v>
          </cell>
          <cell r="T117" t="str">
            <v>000000000004920</v>
          </cell>
        </row>
        <row r="118">
          <cell r="G118" t="str">
            <v/>
          </cell>
          <cell r="K118">
            <v>0</v>
          </cell>
          <cell r="O118">
            <v>11</v>
          </cell>
          <cell r="T118" t="str">
            <v>000000000004920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11</v>
          </cell>
          <cell r="T119" t="str">
            <v>000000000004920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9</v>
          </cell>
          <cell r="O120">
            <v>0</v>
          </cell>
          <cell r="T120" t="str">
            <v>000000000004920</v>
          </cell>
        </row>
        <row r="121">
          <cell r="C121">
            <v>6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000000000004920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高森</v>
          </cell>
          <cell r="P122">
            <v>11</v>
          </cell>
          <cell r="T122" t="str">
            <v>000000000004920</v>
          </cell>
        </row>
        <row r="123">
          <cell r="C123" t="str">
            <v>灯具カバーPC IN 2080　L=1540</v>
          </cell>
          <cell r="I123">
            <v>0</v>
          </cell>
          <cell r="J123">
            <v>0</v>
          </cell>
          <cell r="K123">
            <v>0</v>
          </cell>
          <cell r="L123">
            <v>45849</v>
          </cell>
          <cell r="M123">
            <v>3</v>
          </cell>
          <cell r="O123">
            <v>45849</v>
          </cell>
          <cell r="P123">
            <v>3</v>
          </cell>
          <cell r="T123" t="str">
            <v>000000000004919</v>
          </cell>
        </row>
        <row r="124">
          <cell r="D124">
            <v>45849</v>
          </cell>
          <cell r="E124" t="str">
            <v>25G03-01</v>
          </cell>
          <cell r="G124" t="str">
            <v/>
          </cell>
          <cell r="I124" t="str">
            <v>25G03-01</v>
          </cell>
          <cell r="J124">
            <v>64</v>
          </cell>
          <cell r="K124">
            <v>64</v>
          </cell>
          <cell r="O124">
            <v>48</v>
          </cell>
          <cell r="P124">
            <v>13</v>
          </cell>
          <cell r="T124" t="str">
            <v>000000000004919</v>
          </cell>
        </row>
        <row r="125">
          <cell r="C125">
            <v>48</v>
          </cell>
          <cell r="G125" t="str">
            <v/>
          </cell>
          <cell r="K125">
            <v>0</v>
          </cell>
          <cell r="O125">
            <v>64</v>
          </cell>
          <cell r="T125" t="str">
            <v>000000000004919</v>
          </cell>
        </row>
        <row r="126">
          <cell r="G126" t="str">
            <v/>
          </cell>
          <cell r="K126">
            <v>0</v>
          </cell>
          <cell r="O126">
            <v>16</v>
          </cell>
          <cell r="T126" t="str">
            <v>000000000004919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16</v>
          </cell>
          <cell r="T127" t="str">
            <v>000000000004919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000000000004919</v>
          </cell>
        </row>
        <row r="129">
          <cell r="C129">
            <v>3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000000000004919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16</v>
          </cell>
          <cell r="T130" t="str">
            <v>000000000004919</v>
          </cell>
        </row>
        <row r="131">
          <cell r="C131" t="str">
            <v>灯具カバーPC  　2180    L=1309.5</v>
          </cell>
          <cell r="I131">
            <v>0</v>
          </cell>
          <cell r="J131">
            <v>0</v>
          </cell>
          <cell r="K131">
            <v>0</v>
          </cell>
          <cell r="L131">
            <v>45849</v>
          </cell>
          <cell r="M131">
            <v>10</v>
          </cell>
          <cell r="O131">
            <v>45849</v>
          </cell>
          <cell r="T131" t="str">
            <v>000000000004912</v>
          </cell>
        </row>
        <row r="132">
          <cell r="D132">
            <v>45849</v>
          </cell>
          <cell r="E132" t="str">
            <v>25G03-01</v>
          </cell>
          <cell r="F132">
            <v>28</v>
          </cell>
          <cell r="G132">
            <v>1310.2</v>
          </cell>
          <cell r="H132">
            <v>1310.67</v>
          </cell>
          <cell r="I132" t="str">
            <v>25G03-01</v>
          </cell>
          <cell r="J132">
            <v>20</v>
          </cell>
          <cell r="K132">
            <v>20</v>
          </cell>
          <cell r="O132">
            <v>20</v>
          </cell>
          <cell r="T132" t="str">
            <v>000000000004912</v>
          </cell>
        </row>
        <row r="133">
          <cell r="C133">
            <v>20</v>
          </cell>
          <cell r="D133">
            <v>45849</v>
          </cell>
          <cell r="E133" t="str">
            <v>25G03-01</v>
          </cell>
          <cell r="F133">
            <v>28</v>
          </cell>
          <cell r="G133">
            <v>1310.2</v>
          </cell>
          <cell r="H133">
            <v>1310.78</v>
          </cell>
          <cell r="K133">
            <v>0</v>
          </cell>
          <cell r="O133">
            <v>20</v>
          </cell>
          <cell r="T133" t="str">
            <v>000000000004912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000000000004912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000000000004912</v>
          </cell>
        </row>
        <row r="136">
          <cell r="C136" t="str">
            <v>H型ジョイナー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000000000004912</v>
          </cell>
        </row>
        <row r="137">
          <cell r="C137">
            <v>10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水野</v>
          </cell>
          <cell r="T137" t="str">
            <v>000000000004912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</v>
          </cell>
          <cell r="P138">
            <v>0</v>
          </cell>
          <cell r="T138" t="str">
            <v>000000000004912</v>
          </cell>
        </row>
        <row r="139">
          <cell r="C139" t="str">
            <v>灯具カバーPC  　2170    L=1279</v>
          </cell>
          <cell r="I139">
            <v>0</v>
          </cell>
          <cell r="J139">
            <v>0</v>
          </cell>
          <cell r="K139">
            <v>0</v>
          </cell>
          <cell r="L139">
            <v>45849</v>
          </cell>
          <cell r="M139">
            <v>10</v>
          </cell>
          <cell r="O139">
            <v>45849</v>
          </cell>
          <cell r="T139" t="str">
            <v>000000000004911</v>
          </cell>
        </row>
        <row r="140">
          <cell r="D140">
            <v>45849</v>
          </cell>
          <cell r="E140" t="str">
            <v>25G03-01</v>
          </cell>
          <cell r="F140">
            <v>28</v>
          </cell>
          <cell r="G140">
            <v>1279.7</v>
          </cell>
          <cell r="H140">
            <v>1280.1300000000001</v>
          </cell>
          <cell r="I140" t="str">
            <v>25G03-01</v>
          </cell>
          <cell r="J140">
            <v>15</v>
          </cell>
          <cell r="K140">
            <v>15</v>
          </cell>
          <cell r="O140">
            <v>20</v>
          </cell>
          <cell r="P140">
            <v>4</v>
          </cell>
          <cell r="T140" t="str">
            <v>000000000004911</v>
          </cell>
        </row>
        <row r="141">
          <cell r="C141">
            <v>20</v>
          </cell>
          <cell r="D141">
            <v>45849</v>
          </cell>
          <cell r="E141" t="str">
            <v>25G03-01</v>
          </cell>
          <cell r="F141">
            <v>28</v>
          </cell>
          <cell r="G141">
            <v>1279.7</v>
          </cell>
          <cell r="K141">
            <v>0</v>
          </cell>
          <cell r="O141">
            <v>15</v>
          </cell>
          <cell r="T141" t="str">
            <v>000000000004911</v>
          </cell>
        </row>
        <row r="142">
          <cell r="G142" t="str">
            <v/>
          </cell>
          <cell r="K142">
            <v>0</v>
          </cell>
          <cell r="O142">
            <v>4</v>
          </cell>
          <cell r="T142" t="str">
            <v>000000000004911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4</v>
          </cell>
          <cell r="T143" t="str">
            <v>000000000004911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9</v>
          </cell>
          <cell r="T144" t="str">
            <v>000000000004911</v>
          </cell>
        </row>
        <row r="145">
          <cell r="C145">
            <v>10</v>
          </cell>
          <cell r="G145" t="str">
            <v/>
          </cell>
          <cell r="K145">
            <v>0</v>
          </cell>
          <cell r="L145" t="str">
            <v>持出端材</v>
          </cell>
          <cell r="M145">
            <v>9</v>
          </cell>
          <cell r="O145" t="str">
            <v>水野</v>
          </cell>
          <cell r="T145" t="str">
            <v>000000000004911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</v>
          </cell>
          <cell r="P146">
            <v>4</v>
          </cell>
          <cell r="T146" t="str">
            <v>000000000004911</v>
          </cell>
        </row>
        <row r="147">
          <cell r="C147" t="str">
            <v>灯具カバーPC  　2160    L=613.3</v>
          </cell>
          <cell r="I147">
            <v>0</v>
          </cell>
          <cell r="J147">
            <v>0</v>
          </cell>
          <cell r="K147">
            <v>0</v>
          </cell>
          <cell r="L147">
            <v>45846</v>
          </cell>
          <cell r="M147">
            <v>10</v>
          </cell>
          <cell r="O147">
            <v>45846</v>
          </cell>
          <cell r="T147" t="str">
            <v>000000000004910</v>
          </cell>
        </row>
        <row r="148">
          <cell r="D148">
            <v>45846</v>
          </cell>
          <cell r="E148" t="str">
            <v>25G02-01</v>
          </cell>
          <cell r="F148">
            <v>28</v>
          </cell>
          <cell r="G148">
            <v>613.70000000000005</v>
          </cell>
          <cell r="H148">
            <v>613.45000000000005</v>
          </cell>
          <cell r="I148" t="str">
            <v>25G02-01</v>
          </cell>
          <cell r="J148">
            <v>0</v>
          </cell>
          <cell r="K148">
            <v>0</v>
          </cell>
          <cell r="O148">
            <v>20</v>
          </cell>
          <cell r="T148" t="str">
            <v>000000000004910</v>
          </cell>
        </row>
        <row r="149">
          <cell r="C149">
            <v>20</v>
          </cell>
          <cell r="D149">
            <v>45846</v>
          </cell>
          <cell r="E149" t="str">
            <v>25G02-01</v>
          </cell>
          <cell r="F149">
            <v>28</v>
          </cell>
          <cell r="G149">
            <v>613.70000000000005</v>
          </cell>
          <cell r="H149">
            <v>613.29999999999995</v>
          </cell>
          <cell r="K149">
            <v>0</v>
          </cell>
          <cell r="O149">
            <v>0</v>
          </cell>
          <cell r="T149" t="str">
            <v>000000000004910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000000000004910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000000000004910</v>
          </cell>
        </row>
        <row r="152">
          <cell r="C152" t="str">
            <v>H型ジョイナー端材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20</v>
          </cell>
          <cell r="T152" t="str">
            <v>000000000004910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M153">
            <v>20</v>
          </cell>
          <cell r="O153" t="str">
            <v>水野</v>
          </cell>
          <cell r="T153" t="str">
            <v>000000000004910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高森</v>
          </cell>
          <cell r="P154">
            <v>0</v>
          </cell>
          <cell r="T154" t="str">
            <v>000000000004910</v>
          </cell>
        </row>
        <row r="155">
          <cell r="C155" t="str">
            <v>灯具カバーPC IN 2110　L=1815</v>
          </cell>
          <cell r="I155">
            <v>0</v>
          </cell>
          <cell r="J155">
            <v>0</v>
          </cell>
          <cell r="K155">
            <v>0</v>
          </cell>
          <cell r="L155">
            <v>45849</v>
          </cell>
          <cell r="M155">
            <v>7</v>
          </cell>
          <cell r="O155">
            <v>45852</v>
          </cell>
          <cell r="P155">
            <v>10</v>
          </cell>
          <cell r="T155" t="str">
            <v>000000000004921</v>
          </cell>
        </row>
        <row r="156">
          <cell r="D156">
            <v>45852</v>
          </cell>
          <cell r="E156" t="str">
            <v>25G04-01</v>
          </cell>
          <cell r="G156" t="str">
            <v/>
          </cell>
          <cell r="I156" t="str">
            <v>25G04-01</v>
          </cell>
          <cell r="J156">
            <v>196</v>
          </cell>
          <cell r="K156">
            <v>196</v>
          </cell>
          <cell r="L156">
            <v>45852</v>
          </cell>
          <cell r="M156">
            <v>2</v>
          </cell>
          <cell r="O156">
            <v>144</v>
          </cell>
          <cell r="P156">
            <v>42</v>
          </cell>
          <cell r="T156" t="str">
            <v>000000000004921</v>
          </cell>
        </row>
        <row r="157">
          <cell r="C157">
            <v>144</v>
          </cell>
          <cell r="D157">
            <v>45849</v>
          </cell>
          <cell r="E157" t="str">
            <v>25G04-01</v>
          </cell>
          <cell r="G157" t="str">
            <v/>
          </cell>
          <cell r="K157">
            <v>0</v>
          </cell>
          <cell r="O157">
            <v>196</v>
          </cell>
          <cell r="T157" t="str">
            <v>000000000004921</v>
          </cell>
        </row>
        <row r="158">
          <cell r="G158" t="str">
            <v/>
          </cell>
          <cell r="K158">
            <v>0</v>
          </cell>
          <cell r="O158">
            <v>52</v>
          </cell>
          <cell r="T158" t="str">
            <v>000000000004921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52</v>
          </cell>
          <cell r="T159" t="str">
            <v>000000000004921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000000000004921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000000000004921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高森</v>
          </cell>
          <cell r="P162">
            <v>52</v>
          </cell>
          <cell r="T162" t="str">
            <v>000000000004921</v>
          </cell>
        </row>
        <row r="163">
          <cell r="C163" t="str">
            <v>8FL281304 5010　L=888</v>
          </cell>
          <cell r="D163">
            <v>45842</v>
          </cell>
          <cell r="E163" t="str">
            <v>25E30-12</v>
          </cell>
          <cell r="I163" t="str">
            <v>25E30-12</v>
          </cell>
          <cell r="J163">
            <v>478</v>
          </cell>
          <cell r="K163">
            <v>239</v>
          </cell>
          <cell r="L163">
            <v>45842</v>
          </cell>
          <cell r="M163">
            <v>4</v>
          </cell>
          <cell r="O163">
            <v>45853</v>
          </cell>
          <cell r="P163">
            <v>7</v>
          </cell>
          <cell r="T163" t="str">
            <v>000000000005125</v>
          </cell>
        </row>
        <row r="164">
          <cell r="D164">
            <v>45852</v>
          </cell>
          <cell r="E164" t="str">
            <v>25G08-01</v>
          </cell>
          <cell r="F164">
            <v>30</v>
          </cell>
          <cell r="G164">
            <v>888.58</v>
          </cell>
          <cell r="H164">
            <v>888.57</v>
          </cell>
          <cell r="I164" t="str">
            <v>25G08-01</v>
          </cell>
          <cell r="J164">
            <v>1536</v>
          </cell>
          <cell r="K164">
            <v>768</v>
          </cell>
          <cell r="L164">
            <v>45852</v>
          </cell>
          <cell r="M164">
            <v>10</v>
          </cell>
          <cell r="O164">
            <v>2000</v>
          </cell>
          <cell r="T164" t="str">
            <v>000000000005125</v>
          </cell>
        </row>
        <row r="165">
          <cell r="C165">
            <v>2000</v>
          </cell>
          <cell r="D165">
            <v>45852</v>
          </cell>
          <cell r="E165" t="str">
            <v>25G08-01</v>
          </cell>
          <cell r="F165">
            <v>32</v>
          </cell>
          <cell r="G165">
            <v>888.69</v>
          </cell>
          <cell r="H165">
            <v>888.78</v>
          </cell>
          <cell r="K165">
            <v>0</v>
          </cell>
          <cell r="L165">
            <v>45853</v>
          </cell>
          <cell r="M165">
            <v>6</v>
          </cell>
          <cell r="O165">
            <v>1007</v>
          </cell>
          <cell r="T165" t="str">
            <v>000000000005125</v>
          </cell>
        </row>
        <row r="166">
          <cell r="D166">
            <v>45852</v>
          </cell>
          <cell r="E166" t="str">
            <v>25G08-01</v>
          </cell>
          <cell r="F166">
            <v>32</v>
          </cell>
          <cell r="G166">
            <v>888.69</v>
          </cell>
          <cell r="H166">
            <v>888.84</v>
          </cell>
          <cell r="K166">
            <v>0</v>
          </cell>
          <cell r="O166">
            <v>7</v>
          </cell>
          <cell r="T166" t="str">
            <v>000000000005125</v>
          </cell>
        </row>
        <row r="167">
          <cell r="C167">
            <v>2</v>
          </cell>
          <cell r="D167">
            <v>45852</v>
          </cell>
          <cell r="E167" t="str">
            <v>25G08-01</v>
          </cell>
          <cell r="F167">
            <v>30</v>
          </cell>
          <cell r="G167">
            <v>888.58</v>
          </cell>
          <cell r="H167">
            <v>888.82</v>
          </cell>
          <cell r="K167">
            <v>0</v>
          </cell>
          <cell r="O167">
            <v>14</v>
          </cell>
          <cell r="T167" t="str">
            <v>000000000005125</v>
          </cell>
        </row>
        <row r="168">
          <cell r="C168" t="str">
            <v>LED-A888</v>
          </cell>
          <cell r="D168">
            <v>45852</v>
          </cell>
          <cell r="E168" t="str">
            <v>25G08-01</v>
          </cell>
          <cell r="F168">
            <v>30</v>
          </cell>
          <cell r="G168">
            <v>888.58</v>
          </cell>
          <cell r="H168">
            <v>888.7</v>
          </cell>
          <cell r="K168">
            <v>0</v>
          </cell>
          <cell r="L168" t="str">
            <v>旧品加工</v>
          </cell>
          <cell r="M168">
            <v>478</v>
          </cell>
          <cell r="O168">
            <v>0</v>
          </cell>
          <cell r="T168" t="str">
            <v>000000000005125</v>
          </cell>
        </row>
        <row r="169">
          <cell r="C169">
            <v>20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水野・富田</v>
          </cell>
          <cell r="P169">
            <v>7</v>
          </cell>
          <cell r="T169" t="str">
            <v>000000000005125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高森・上野</v>
          </cell>
          <cell r="P170">
            <v>14</v>
          </cell>
          <cell r="T170" t="str">
            <v>000000000005125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45853</v>
          </cell>
          <cell r="M171">
            <v>3</v>
          </cell>
          <cell r="O171">
            <v>45853</v>
          </cell>
          <cell r="P171">
            <v>2</v>
          </cell>
          <cell r="T171" t="str">
            <v>000000000005126</v>
          </cell>
        </row>
        <row r="172">
          <cell r="D172">
            <v>45852</v>
          </cell>
          <cell r="E172" t="str">
            <v>25G08-01</v>
          </cell>
          <cell r="F172">
            <v>30</v>
          </cell>
          <cell r="G172">
            <v>888.58</v>
          </cell>
          <cell r="H172">
            <v>888.72</v>
          </cell>
          <cell r="I172" t="str">
            <v>25G08-01</v>
          </cell>
          <cell r="J172">
            <v>64</v>
          </cell>
          <cell r="K172">
            <v>32</v>
          </cell>
          <cell r="O172">
            <v>300</v>
          </cell>
          <cell r="T172" t="str">
            <v>000000000005126</v>
          </cell>
        </row>
        <row r="173">
          <cell r="C173">
            <v>300</v>
          </cell>
          <cell r="D173">
            <v>45852</v>
          </cell>
          <cell r="E173" t="str">
            <v>25G09-02</v>
          </cell>
          <cell r="F173">
            <v>30</v>
          </cell>
          <cell r="G173">
            <v>888.58</v>
          </cell>
          <cell r="H173">
            <v>888.71</v>
          </cell>
          <cell r="I173" t="str">
            <v>25G09-02</v>
          </cell>
          <cell r="J173">
            <v>238</v>
          </cell>
          <cell r="K173">
            <v>119</v>
          </cell>
          <cell r="O173">
            <v>151</v>
          </cell>
          <cell r="T173" t="str">
            <v>000000000005126</v>
          </cell>
        </row>
        <row r="174">
          <cell r="G174" t="str">
            <v/>
          </cell>
          <cell r="K174">
            <v>0</v>
          </cell>
          <cell r="O174">
            <v>1</v>
          </cell>
          <cell r="T174" t="str">
            <v>000000000005126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2</v>
          </cell>
          <cell r="T175" t="str">
            <v>000000000005126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000000000005126</v>
          </cell>
        </row>
        <row r="177">
          <cell r="C177">
            <v>3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水野</v>
          </cell>
          <cell r="T177" t="str">
            <v>000000000005126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高森</v>
          </cell>
          <cell r="P178">
            <v>2</v>
          </cell>
          <cell r="T178" t="str">
            <v>000000000005126</v>
          </cell>
        </row>
        <row r="179">
          <cell r="C179" t="str">
            <v>PK-59827 L=700</v>
          </cell>
          <cell r="D179">
            <v>45804</v>
          </cell>
          <cell r="E179" t="str">
            <v>25E16</v>
          </cell>
          <cell r="I179" t="str">
            <v>25E16</v>
          </cell>
          <cell r="J179">
            <v>20</v>
          </cell>
          <cell r="K179">
            <v>10</v>
          </cell>
          <cell r="L179">
            <v>45853</v>
          </cell>
          <cell r="M179">
            <v>8</v>
          </cell>
          <cell r="O179">
            <v>45854</v>
          </cell>
          <cell r="P179">
            <v>36</v>
          </cell>
          <cell r="T179" t="str">
            <v>000000000005204</v>
          </cell>
        </row>
        <row r="180">
          <cell r="D180">
            <v>45853</v>
          </cell>
          <cell r="E180" t="str">
            <v>25G04</v>
          </cell>
          <cell r="F180">
            <v>27</v>
          </cell>
          <cell r="G180">
            <v>700.2</v>
          </cell>
          <cell r="H180">
            <v>700.22</v>
          </cell>
          <cell r="I180" t="str">
            <v>25G04</v>
          </cell>
          <cell r="J180">
            <v>560</v>
          </cell>
          <cell r="K180">
            <v>280</v>
          </cell>
          <cell r="L180">
            <v>45854</v>
          </cell>
          <cell r="M180">
            <v>23</v>
          </cell>
          <cell r="O180">
            <v>1054</v>
          </cell>
          <cell r="P180">
            <v>3</v>
          </cell>
          <cell r="T180" t="str">
            <v>000000000005204</v>
          </cell>
        </row>
        <row r="181">
          <cell r="C181">
            <v>1054</v>
          </cell>
          <cell r="D181">
            <v>45853</v>
          </cell>
          <cell r="E181" t="str">
            <v>25G04</v>
          </cell>
          <cell r="F181">
            <v>27</v>
          </cell>
          <cell r="G181">
            <v>700.2</v>
          </cell>
          <cell r="H181">
            <v>700.24</v>
          </cell>
          <cell r="I181" t="str">
            <v>25G08</v>
          </cell>
          <cell r="J181">
            <v>522</v>
          </cell>
          <cell r="K181">
            <v>261</v>
          </cell>
          <cell r="O181">
            <v>551</v>
          </cell>
          <cell r="T181" t="str">
            <v>000000000005204</v>
          </cell>
        </row>
        <row r="182">
          <cell r="D182">
            <v>45853</v>
          </cell>
          <cell r="E182" t="str">
            <v>25G04</v>
          </cell>
          <cell r="F182">
            <v>27</v>
          </cell>
          <cell r="G182">
            <v>700.2</v>
          </cell>
          <cell r="H182">
            <v>700.19</v>
          </cell>
          <cell r="K182">
            <v>0</v>
          </cell>
          <cell r="O182">
            <v>24</v>
          </cell>
          <cell r="T182" t="str">
            <v>000000000005204</v>
          </cell>
        </row>
        <row r="183">
          <cell r="C183">
            <v>2</v>
          </cell>
          <cell r="D183">
            <v>45853</v>
          </cell>
          <cell r="E183" t="str">
            <v>25G08</v>
          </cell>
          <cell r="F183">
            <v>27</v>
          </cell>
          <cell r="G183">
            <v>700.2</v>
          </cell>
          <cell r="H183">
            <v>700.26</v>
          </cell>
          <cell r="K183">
            <v>0</v>
          </cell>
          <cell r="O183">
            <v>47</v>
          </cell>
          <cell r="T183" t="str">
            <v>000000000005204</v>
          </cell>
        </row>
        <row r="184">
          <cell r="C184" t="str">
            <v>PK-59827 L=700用</v>
          </cell>
          <cell r="D184">
            <v>45853</v>
          </cell>
          <cell r="E184" t="str">
            <v>25G08</v>
          </cell>
          <cell r="F184">
            <v>27</v>
          </cell>
          <cell r="G184">
            <v>700.2</v>
          </cell>
          <cell r="H184">
            <v>700.25</v>
          </cell>
          <cell r="K184">
            <v>0</v>
          </cell>
          <cell r="L184" t="str">
            <v>旧品加工</v>
          </cell>
          <cell r="M184">
            <v>20</v>
          </cell>
          <cell r="O184">
            <v>0</v>
          </cell>
          <cell r="T184" t="str">
            <v>000000000005204</v>
          </cell>
        </row>
        <row r="185">
          <cell r="C185">
            <v>31</v>
          </cell>
          <cell r="D185">
            <v>45854</v>
          </cell>
          <cell r="E185" t="str">
            <v>25G08</v>
          </cell>
          <cell r="F185">
            <v>27</v>
          </cell>
          <cell r="G185">
            <v>700.2</v>
          </cell>
          <cell r="H185">
            <v>700.27</v>
          </cell>
          <cell r="K185">
            <v>0</v>
          </cell>
          <cell r="L185" t="str">
            <v>持出端材</v>
          </cell>
          <cell r="O185" t="str">
            <v>富田・水野</v>
          </cell>
          <cell r="P185">
            <v>8</v>
          </cell>
          <cell r="T185" t="str">
            <v>000000000005204</v>
          </cell>
        </row>
        <row r="186">
          <cell r="D186">
            <v>45854</v>
          </cell>
          <cell r="E186" t="str">
            <v>25G08</v>
          </cell>
          <cell r="F186">
            <v>27</v>
          </cell>
          <cell r="G186">
            <v>700.2</v>
          </cell>
          <cell r="H186">
            <v>700.21</v>
          </cell>
          <cell r="K186">
            <v>0</v>
          </cell>
          <cell r="L186" t="str">
            <v>α端材</v>
          </cell>
          <cell r="M186">
            <v>0</v>
          </cell>
          <cell r="O186" t="str">
            <v>高森・上野</v>
          </cell>
          <cell r="P186">
            <v>47</v>
          </cell>
          <cell r="T186" t="str">
            <v>000000000005204</v>
          </cell>
        </row>
        <row r="187">
          <cell r="C187" t="str">
            <v>PK-59827 L=500</v>
          </cell>
          <cell r="D187">
            <v>45832</v>
          </cell>
          <cell r="E187" t="str">
            <v>25F11</v>
          </cell>
          <cell r="I187" t="str">
            <v>25F11</v>
          </cell>
          <cell r="J187">
            <v>33</v>
          </cell>
          <cell r="K187">
            <v>11</v>
          </cell>
          <cell r="L187">
            <v>45855</v>
          </cell>
          <cell r="M187">
            <v>15</v>
          </cell>
          <cell r="O187">
            <v>45855</v>
          </cell>
          <cell r="P187">
            <v>11</v>
          </cell>
          <cell r="T187" t="str">
            <v>000000000005203</v>
          </cell>
        </row>
        <row r="188">
          <cell r="D188">
            <v>45854</v>
          </cell>
          <cell r="E188" t="str">
            <v>25G09</v>
          </cell>
          <cell r="F188">
            <v>27</v>
          </cell>
          <cell r="G188">
            <v>500.14</v>
          </cell>
          <cell r="H188">
            <v>500.21</v>
          </cell>
          <cell r="I188" t="str">
            <v>25G09</v>
          </cell>
          <cell r="J188">
            <v>498</v>
          </cell>
          <cell r="K188">
            <v>166</v>
          </cell>
          <cell r="O188">
            <v>510</v>
          </cell>
          <cell r="P188">
            <v>4</v>
          </cell>
          <cell r="T188" t="str">
            <v>000000000005203</v>
          </cell>
        </row>
        <row r="189">
          <cell r="C189">
            <v>510</v>
          </cell>
          <cell r="D189">
            <v>45854</v>
          </cell>
          <cell r="E189" t="str">
            <v>25G09</v>
          </cell>
          <cell r="F189">
            <v>27</v>
          </cell>
          <cell r="G189">
            <v>500.14</v>
          </cell>
          <cell r="H189">
            <v>500.21</v>
          </cell>
          <cell r="K189">
            <v>0</v>
          </cell>
          <cell r="O189">
            <v>177</v>
          </cell>
          <cell r="T189" t="str">
            <v>000000000005203</v>
          </cell>
        </row>
        <row r="190">
          <cell r="D190">
            <v>45854</v>
          </cell>
          <cell r="E190" t="str">
            <v>25G09</v>
          </cell>
          <cell r="F190">
            <v>27</v>
          </cell>
          <cell r="G190">
            <v>500.14</v>
          </cell>
          <cell r="H190">
            <v>500.2</v>
          </cell>
          <cell r="K190">
            <v>0</v>
          </cell>
          <cell r="O190">
            <v>7</v>
          </cell>
          <cell r="T190" t="str">
            <v>000000000005203</v>
          </cell>
        </row>
        <row r="191">
          <cell r="C191">
            <v>3</v>
          </cell>
          <cell r="D191">
            <v>45854</v>
          </cell>
          <cell r="E191" t="str">
            <v>25G09</v>
          </cell>
          <cell r="F191">
            <v>27</v>
          </cell>
          <cell r="G191">
            <v>500.14</v>
          </cell>
          <cell r="H191">
            <v>500.36</v>
          </cell>
          <cell r="K191">
            <v>0</v>
          </cell>
          <cell r="O191">
            <v>21</v>
          </cell>
          <cell r="T191" t="str">
            <v>000000000005203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33</v>
          </cell>
          <cell r="O192">
            <v>0</v>
          </cell>
          <cell r="T192" t="str">
            <v>000000000005203</v>
          </cell>
        </row>
        <row r="193">
          <cell r="C193">
            <v>15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富田・水野</v>
          </cell>
          <cell r="P193">
            <v>6</v>
          </cell>
          <cell r="T193" t="str">
            <v>000000000005203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高森</v>
          </cell>
          <cell r="P194">
            <v>21</v>
          </cell>
          <cell r="T194" t="str">
            <v>000000000005203</v>
          </cell>
        </row>
        <row r="195">
          <cell r="C195" t="str">
            <v>照明ｶﾊﾞｰS15　L=550</v>
          </cell>
          <cell r="I195">
            <v>0</v>
          </cell>
          <cell r="J195">
            <v>0</v>
          </cell>
          <cell r="K195">
            <v>0</v>
          </cell>
          <cell r="L195">
            <v>45854</v>
          </cell>
          <cell r="M195">
            <v>10</v>
          </cell>
          <cell r="O195">
            <v>45854</v>
          </cell>
          <cell r="T195" t="str">
            <v>000000000005183</v>
          </cell>
        </row>
        <row r="196">
          <cell r="D196">
            <v>45854</v>
          </cell>
          <cell r="E196" t="str">
            <v>25A16B 1</v>
          </cell>
          <cell r="F196">
            <v>28</v>
          </cell>
          <cell r="G196">
            <v>550.29999999999995</v>
          </cell>
          <cell r="H196">
            <v>550.41999999999996</v>
          </cell>
          <cell r="I196" t="str">
            <v>25A16B 1</v>
          </cell>
          <cell r="J196">
            <v>147</v>
          </cell>
          <cell r="K196">
            <v>49</v>
          </cell>
          <cell r="O196">
            <v>500</v>
          </cell>
          <cell r="T196" t="str">
            <v>000000000005183</v>
          </cell>
        </row>
        <row r="197">
          <cell r="C197">
            <v>500</v>
          </cell>
          <cell r="D197">
            <v>45854</v>
          </cell>
          <cell r="E197" t="str">
            <v>25A16B 2</v>
          </cell>
          <cell r="G197" t="str">
            <v/>
          </cell>
          <cell r="I197" t="str">
            <v>25A16B 2</v>
          </cell>
          <cell r="J197">
            <v>150</v>
          </cell>
          <cell r="K197">
            <v>50</v>
          </cell>
          <cell r="O197">
            <v>167</v>
          </cell>
          <cell r="T197" t="str">
            <v>000000000005183</v>
          </cell>
        </row>
        <row r="198">
          <cell r="D198">
            <v>45854</v>
          </cell>
          <cell r="E198" t="str">
            <v>25A16B 3</v>
          </cell>
          <cell r="G198" t="str">
            <v/>
          </cell>
          <cell r="I198" t="str">
            <v>25A16B 3</v>
          </cell>
          <cell r="J198">
            <v>150</v>
          </cell>
          <cell r="K198">
            <v>50</v>
          </cell>
          <cell r="O198">
            <v>0</v>
          </cell>
          <cell r="T198" t="str">
            <v>000000000005183</v>
          </cell>
        </row>
        <row r="199">
          <cell r="C199">
            <v>3</v>
          </cell>
          <cell r="D199">
            <v>45854</v>
          </cell>
          <cell r="E199" t="str">
            <v>25A16B 4</v>
          </cell>
          <cell r="F199">
            <v>28</v>
          </cell>
          <cell r="G199">
            <v>550.29999999999995</v>
          </cell>
          <cell r="H199">
            <v>550.51</v>
          </cell>
          <cell r="I199" t="str">
            <v>25A16B 4</v>
          </cell>
          <cell r="J199">
            <v>54</v>
          </cell>
          <cell r="K199">
            <v>18</v>
          </cell>
          <cell r="O199">
            <v>0</v>
          </cell>
          <cell r="T199" t="str">
            <v>000000000005183</v>
          </cell>
        </row>
        <row r="200">
          <cell r="C200" t="str">
            <v>基材梱包箱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000000000005183</v>
          </cell>
        </row>
        <row r="201">
          <cell r="C201">
            <v>10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富田・水野</v>
          </cell>
          <cell r="T201" t="str">
            <v>000000000005183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-</v>
          </cell>
          <cell r="P202">
            <v>0</v>
          </cell>
          <cell r="T202" t="str">
            <v>000000000005183</v>
          </cell>
        </row>
        <row r="203">
          <cell r="C203" t="str">
            <v>採光ルーバーパネルB　L=1996</v>
          </cell>
          <cell r="D203">
            <v>45667</v>
          </cell>
          <cell r="E203" t="str">
            <v>25A07-03</v>
          </cell>
          <cell r="I203" t="str">
            <v>25A07-03</v>
          </cell>
          <cell r="J203">
            <v>34</v>
          </cell>
          <cell r="K203">
            <v>34</v>
          </cell>
          <cell r="L203">
            <v>45860</v>
          </cell>
          <cell r="M203">
            <v>1</v>
          </cell>
          <cell r="O203">
            <v>45860</v>
          </cell>
          <cell r="T203" t="str">
            <v>000000000005329</v>
          </cell>
        </row>
        <row r="204">
          <cell r="D204">
            <v>45856</v>
          </cell>
          <cell r="E204" t="str">
            <v>25G16-01</v>
          </cell>
          <cell r="F204">
            <v>30</v>
          </cell>
          <cell r="G204">
            <v>1998.3</v>
          </cell>
          <cell r="H204">
            <v>1998.3</v>
          </cell>
          <cell r="I204" t="str">
            <v>25G16-01</v>
          </cell>
          <cell r="J204">
            <v>8</v>
          </cell>
          <cell r="K204">
            <v>8</v>
          </cell>
          <cell r="O204">
            <v>42</v>
          </cell>
          <cell r="T204" t="str">
            <v>000000000005329</v>
          </cell>
        </row>
        <row r="205">
          <cell r="C205">
            <v>42</v>
          </cell>
          <cell r="D205">
            <v>45856</v>
          </cell>
          <cell r="E205" t="str">
            <v>25G16-01</v>
          </cell>
          <cell r="F205">
            <v>30</v>
          </cell>
          <cell r="G205">
            <v>1998.3</v>
          </cell>
          <cell r="H205">
            <v>1998.3</v>
          </cell>
          <cell r="K205">
            <v>0</v>
          </cell>
          <cell r="O205">
            <v>42</v>
          </cell>
          <cell r="T205" t="str">
            <v>000000000005329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000000000005329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000000000005329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M208">
            <v>34</v>
          </cell>
          <cell r="O208">
            <v>0</v>
          </cell>
          <cell r="T208" t="str">
            <v>000000000005329</v>
          </cell>
        </row>
        <row r="209">
          <cell r="C209">
            <v>1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富田・水野</v>
          </cell>
          <cell r="T209" t="str">
            <v>000000000005329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上野</v>
          </cell>
          <cell r="P210">
            <v>0</v>
          </cell>
          <cell r="T210" t="str">
            <v>000000000005329</v>
          </cell>
        </row>
        <row r="211">
          <cell r="C211" t="str">
            <v>採光ルーバーパネルB　L=1996</v>
          </cell>
          <cell r="I211">
            <v>0</v>
          </cell>
          <cell r="J211">
            <v>0</v>
          </cell>
          <cell r="K211">
            <v>0</v>
          </cell>
          <cell r="L211">
            <v>45860</v>
          </cell>
          <cell r="M211">
            <v>2</v>
          </cell>
          <cell r="O211">
            <v>45860</v>
          </cell>
          <cell r="T211" t="str">
            <v>000000000005330-1</v>
          </cell>
        </row>
        <row r="212">
          <cell r="D212">
            <v>45860</v>
          </cell>
          <cell r="E212" t="str">
            <v>25G16-01</v>
          </cell>
          <cell r="F212">
            <v>28</v>
          </cell>
          <cell r="G212">
            <v>1998.04</v>
          </cell>
          <cell r="H212">
            <v>1998.1</v>
          </cell>
          <cell r="I212" t="str">
            <v>25G16-01</v>
          </cell>
          <cell r="J212">
            <v>96</v>
          </cell>
          <cell r="K212">
            <v>96</v>
          </cell>
          <cell r="O212">
            <v>84</v>
          </cell>
          <cell r="P212">
            <v>11</v>
          </cell>
          <cell r="T212" t="str">
            <v>000000000005330-1</v>
          </cell>
        </row>
        <row r="213">
          <cell r="C213">
            <v>84</v>
          </cell>
          <cell r="D213">
            <v>45860</v>
          </cell>
          <cell r="E213" t="str">
            <v>25G16-01</v>
          </cell>
          <cell r="F213">
            <v>28</v>
          </cell>
          <cell r="G213">
            <v>1998.04</v>
          </cell>
          <cell r="H213">
            <v>1998</v>
          </cell>
          <cell r="K213">
            <v>0</v>
          </cell>
          <cell r="O213">
            <v>96</v>
          </cell>
          <cell r="T213" t="str">
            <v>000000000005330-1</v>
          </cell>
        </row>
        <row r="214">
          <cell r="G214" t="str">
            <v/>
          </cell>
          <cell r="K214">
            <v>0</v>
          </cell>
          <cell r="O214">
            <v>12</v>
          </cell>
          <cell r="T214" t="str">
            <v>000000000005330-1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12</v>
          </cell>
          <cell r="T215" t="str">
            <v>000000000005330-1</v>
          </cell>
        </row>
        <row r="216">
          <cell r="C216" t="str">
            <v>上-1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000000000005330-1</v>
          </cell>
        </row>
        <row r="217">
          <cell r="C217">
            <v>2</v>
          </cell>
          <cell r="G217" t="str">
            <v/>
          </cell>
          <cell r="K217">
            <v>0</v>
          </cell>
          <cell r="L217" t="str">
            <v>持出端材</v>
          </cell>
          <cell r="P217">
            <v>1</v>
          </cell>
          <cell r="T217" t="str">
            <v>000000000005330-1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12</v>
          </cell>
          <cell r="T218" t="str">
            <v>000000000005330-1</v>
          </cell>
        </row>
        <row r="219">
          <cell r="C219" t="str">
            <v>灯具カバーPC IN 2070　L=1966</v>
          </cell>
          <cell r="D219">
            <v>45833</v>
          </cell>
          <cell r="E219" t="str">
            <v>25F11-01</v>
          </cell>
          <cell r="I219" t="str">
            <v>25F11-01</v>
          </cell>
          <cell r="J219">
            <v>3</v>
          </cell>
          <cell r="K219">
            <v>3</v>
          </cell>
          <cell r="L219">
            <v>45856</v>
          </cell>
          <cell r="M219">
            <v>4</v>
          </cell>
          <cell r="O219">
            <v>45856</v>
          </cell>
          <cell r="P219">
            <v>20</v>
          </cell>
          <cell r="T219" t="str">
            <v>000000000004922</v>
          </cell>
        </row>
        <row r="220">
          <cell r="D220">
            <v>45856</v>
          </cell>
          <cell r="E220" t="str">
            <v>25G04-01</v>
          </cell>
          <cell r="G220" t="str">
            <v/>
          </cell>
          <cell r="I220" t="str">
            <v>25G04-01</v>
          </cell>
          <cell r="J220">
            <v>86</v>
          </cell>
          <cell r="K220">
            <v>86</v>
          </cell>
          <cell r="O220">
            <v>64</v>
          </cell>
          <cell r="P220">
            <v>5</v>
          </cell>
          <cell r="T220" t="str">
            <v>000000000004922</v>
          </cell>
        </row>
        <row r="221">
          <cell r="C221">
            <v>64</v>
          </cell>
          <cell r="G221" t="str">
            <v/>
          </cell>
          <cell r="K221">
            <v>0</v>
          </cell>
          <cell r="O221">
            <v>89</v>
          </cell>
          <cell r="T221" t="str">
            <v>000000000004922</v>
          </cell>
        </row>
        <row r="222">
          <cell r="G222" t="str">
            <v/>
          </cell>
          <cell r="K222">
            <v>0</v>
          </cell>
          <cell r="O222">
            <v>25</v>
          </cell>
          <cell r="T222" t="str">
            <v>000000000004922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25</v>
          </cell>
          <cell r="T223" t="str">
            <v>000000000004922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3</v>
          </cell>
          <cell r="O224">
            <v>0</v>
          </cell>
          <cell r="T224" t="str">
            <v>000000000004922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000000000004922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高森</v>
          </cell>
          <cell r="P226">
            <v>25</v>
          </cell>
          <cell r="T226" t="str">
            <v>000000000004922</v>
          </cell>
        </row>
        <row r="227">
          <cell r="C227" t="str">
            <v>ハーネスガイド部材　L=275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000000000005316</v>
          </cell>
        </row>
        <row r="228">
          <cell r="G228">
            <v>275</v>
          </cell>
          <cell r="I228" t="str">
            <v/>
          </cell>
          <cell r="K228">
            <v>0</v>
          </cell>
          <cell r="O228">
            <v>0</v>
          </cell>
          <cell r="T228" t="str">
            <v>000000000005316</v>
          </cell>
        </row>
        <row r="229">
          <cell r="C229">
            <v>400</v>
          </cell>
          <cell r="G229">
            <v>275</v>
          </cell>
          <cell r="K229">
            <v>0</v>
          </cell>
          <cell r="O229">
            <v>0</v>
          </cell>
          <cell r="T229" t="str">
            <v>000000000005316</v>
          </cell>
        </row>
        <row r="230">
          <cell r="G230">
            <v>275</v>
          </cell>
          <cell r="K230">
            <v>0</v>
          </cell>
          <cell r="O230">
            <v>0</v>
          </cell>
          <cell r="T230" t="str">
            <v>000000000005316</v>
          </cell>
        </row>
        <row r="231">
          <cell r="C231">
            <v>5</v>
          </cell>
          <cell r="G231">
            <v>275</v>
          </cell>
          <cell r="K231">
            <v>0</v>
          </cell>
          <cell r="O231">
            <v>0</v>
          </cell>
          <cell r="T231" t="str">
            <v>000000000005316</v>
          </cell>
        </row>
        <row r="232">
          <cell r="C232" t="str">
            <v>S-11</v>
          </cell>
          <cell r="G232">
            <v>275</v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000000000005316</v>
          </cell>
        </row>
        <row r="233">
          <cell r="C233">
            <v>0</v>
          </cell>
          <cell r="G233">
            <v>275</v>
          </cell>
          <cell r="K233">
            <v>0</v>
          </cell>
          <cell r="L233" t="str">
            <v>持出端材</v>
          </cell>
          <cell r="T233" t="str">
            <v>000000000005316</v>
          </cell>
        </row>
        <row r="234">
          <cell r="G234">
            <v>275</v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000000000005316</v>
          </cell>
        </row>
        <row r="235">
          <cell r="C235" t="str">
            <v>ハーネスガイド部材　L=275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000000000005317</v>
          </cell>
        </row>
        <row r="236">
          <cell r="G236">
            <v>275</v>
          </cell>
          <cell r="I236" t="str">
            <v/>
          </cell>
          <cell r="K236">
            <v>0</v>
          </cell>
          <cell r="O236">
            <v>0</v>
          </cell>
          <cell r="T236" t="str">
            <v>000000000005317</v>
          </cell>
        </row>
        <row r="237">
          <cell r="C237">
            <v>2000</v>
          </cell>
          <cell r="G237">
            <v>275</v>
          </cell>
          <cell r="K237">
            <v>0</v>
          </cell>
          <cell r="O237">
            <v>0</v>
          </cell>
          <cell r="T237" t="str">
            <v>000000000005317</v>
          </cell>
        </row>
        <row r="238">
          <cell r="G238">
            <v>275</v>
          </cell>
          <cell r="K238">
            <v>0</v>
          </cell>
          <cell r="O238">
            <v>0</v>
          </cell>
          <cell r="T238" t="str">
            <v>000000000005317</v>
          </cell>
        </row>
        <row r="239">
          <cell r="C239">
            <v>5</v>
          </cell>
          <cell r="G239">
            <v>275</v>
          </cell>
          <cell r="K239">
            <v>0</v>
          </cell>
          <cell r="O239">
            <v>0</v>
          </cell>
          <cell r="T239" t="str">
            <v>000000000005317</v>
          </cell>
        </row>
        <row r="240">
          <cell r="C240" t="str">
            <v>S-11</v>
          </cell>
          <cell r="G240">
            <v>275</v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000000000005317</v>
          </cell>
        </row>
        <row r="241">
          <cell r="C241">
            <v>0</v>
          </cell>
          <cell r="G241">
            <v>275</v>
          </cell>
          <cell r="K241">
            <v>0</v>
          </cell>
          <cell r="L241" t="str">
            <v>持出端材</v>
          </cell>
          <cell r="T241" t="str">
            <v>000000000005317</v>
          </cell>
        </row>
        <row r="242">
          <cell r="G242">
            <v>275</v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000000000005317</v>
          </cell>
        </row>
        <row r="243">
          <cell r="C243" t="str">
            <v>8FL281304 5010　L=888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000000000005127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000000000005127</v>
          </cell>
        </row>
        <row r="245">
          <cell r="C245">
            <v>2000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000000000005127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000000000005127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000000000005127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000000000005127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000000000005127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000000000005127</v>
          </cell>
        </row>
        <row r="251">
          <cell r="C251" t="str">
            <v>8FL281304 4910　L=592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000000000005121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000000000005121</v>
          </cell>
        </row>
        <row r="253">
          <cell r="C253">
            <v>300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000000000005121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000000000005121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000000000005121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000000000005121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000000000005121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000000000005121</v>
          </cell>
        </row>
        <row r="259">
          <cell r="C259" t="str">
            <v>8FL281304 4810　L=297</v>
          </cell>
          <cell r="D259">
            <v>45835</v>
          </cell>
          <cell r="E259" t="str">
            <v>25E29-10</v>
          </cell>
          <cell r="I259" t="str">
            <v>25E29-10</v>
          </cell>
          <cell r="J259">
            <v>18</v>
          </cell>
          <cell r="K259">
            <v>3</v>
          </cell>
          <cell r="L259">
            <v>45856</v>
          </cell>
          <cell r="M259">
            <v>1</v>
          </cell>
          <cell r="O259">
            <v>45856</v>
          </cell>
          <cell r="T259" t="str">
            <v>000000000005117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100</v>
          </cell>
          <cell r="T260" t="str">
            <v>000000000005117</v>
          </cell>
        </row>
        <row r="261">
          <cell r="C261">
            <v>100</v>
          </cell>
          <cell r="G261" t="str">
            <v/>
          </cell>
          <cell r="K261">
            <v>0</v>
          </cell>
          <cell r="O261">
            <v>3</v>
          </cell>
          <cell r="T261" t="str">
            <v>000000000005117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000000000005117</v>
          </cell>
        </row>
        <row r="263">
          <cell r="C263">
            <v>6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000000000005117</v>
          </cell>
        </row>
        <row r="264">
          <cell r="C264" t="str">
            <v>LED-A300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22</v>
          </cell>
          <cell r="O264">
            <v>82</v>
          </cell>
          <cell r="T264" t="str">
            <v>000000000005117</v>
          </cell>
        </row>
        <row r="265">
          <cell r="C265">
            <v>1</v>
          </cell>
          <cell r="G265" t="str">
            <v/>
          </cell>
          <cell r="K265">
            <v>0</v>
          </cell>
          <cell r="L265" t="str">
            <v>持出端材</v>
          </cell>
          <cell r="M265">
            <v>78</v>
          </cell>
          <cell r="T265" t="str">
            <v>000000000005117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4</v>
          </cell>
          <cell r="P266">
            <v>0</v>
          </cell>
          <cell r="T266" t="str">
            <v>000000000005117</v>
          </cell>
        </row>
        <row r="267">
          <cell r="C267" t="str">
            <v>8FL281304 4810　L=297</v>
          </cell>
          <cell r="D267">
            <v>45835</v>
          </cell>
          <cell r="E267" t="str">
            <v>25E29-10</v>
          </cell>
          <cell r="I267" t="str">
            <v>25E29-10</v>
          </cell>
          <cell r="J267">
            <v>6</v>
          </cell>
          <cell r="K267">
            <v>1</v>
          </cell>
          <cell r="L267">
            <v>45856</v>
          </cell>
          <cell r="M267">
            <v>3</v>
          </cell>
          <cell r="O267">
            <v>45856</v>
          </cell>
          <cell r="T267" t="str">
            <v>000000000005118</v>
          </cell>
        </row>
        <row r="268">
          <cell r="D268">
            <v>45856</v>
          </cell>
          <cell r="E268" t="str">
            <v>25G09-02</v>
          </cell>
          <cell r="G268" t="str">
            <v/>
          </cell>
          <cell r="I268" t="str">
            <v>25G09-02</v>
          </cell>
          <cell r="J268">
            <v>294</v>
          </cell>
          <cell r="K268">
            <v>49</v>
          </cell>
          <cell r="O268">
            <v>300</v>
          </cell>
          <cell r="T268" t="str">
            <v>000000000005118</v>
          </cell>
        </row>
        <row r="269">
          <cell r="C269">
            <v>300</v>
          </cell>
          <cell r="G269" t="str">
            <v/>
          </cell>
          <cell r="K269">
            <v>0</v>
          </cell>
          <cell r="O269">
            <v>50</v>
          </cell>
          <cell r="T269" t="str">
            <v>000000000005118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000000000005118</v>
          </cell>
        </row>
        <row r="271">
          <cell r="C271">
            <v>6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000000000005118</v>
          </cell>
        </row>
        <row r="272">
          <cell r="C272" t="str">
            <v>LED-A300</v>
          </cell>
          <cell r="G272" t="str">
            <v/>
          </cell>
          <cell r="K272">
            <v>0</v>
          </cell>
          <cell r="L272" t="str">
            <v>旧品加工</v>
          </cell>
          <cell r="M272">
            <v>8</v>
          </cell>
          <cell r="O272">
            <v>2</v>
          </cell>
          <cell r="T272" t="str">
            <v>000000000005118</v>
          </cell>
        </row>
        <row r="273">
          <cell r="C273">
            <v>3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000000000005118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2</v>
          </cell>
          <cell r="P274">
            <v>0</v>
          </cell>
          <cell r="T274" t="str">
            <v>000000000005118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000000000005119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000000000005119</v>
          </cell>
        </row>
        <row r="277">
          <cell r="C277">
            <v>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000000000005119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000000000005119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000000000005119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000000000005119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000000000005119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000000000005119</v>
          </cell>
        </row>
        <row r="283">
          <cell r="C283" t="str">
            <v>8FL281304 6110　L=1478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000000000005129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000000000005129</v>
          </cell>
        </row>
        <row r="285">
          <cell r="C285">
            <v>900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000000000005129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000000000005129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000000000005129</v>
          </cell>
        </row>
        <row r="288">
          <cell r="C288" t="str">
            <v>LED-A1478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000000000005129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000000000005129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000000000005129</v>
          </cell>
        </row>
        <row r="291">
          <cell r="C291" t="str">
            <v>8FL281304 5010　L=888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000000000005128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000000000005128</v>
          </cell>
        </row>
        <row r="293">
          <cell r="C293">
            <v>1900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000000000005128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000000000005128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000000000005128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000000000005128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000000000005128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000000000005128</v>
          </cell>
        </row>
        <row r="299">
          <cell r="C299" t="str">
            <v>8FL281304 8310　L=748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000000000005123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000000000005123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000000000005123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000000000005123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000000000005123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000000000005123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000000000005123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000000000005123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000000000005122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000000000005122</v>
          </cell>
        </row>
        <row r="309">
          <cell r="C309">
            <v>100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000000000005122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000000000005122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000000000005122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000000000005122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000000000005122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000000000005122</v>
          </cell>
        </row>
        <row r="315">
          <cell r="C315" t="str">
            <v>8FL281304 8110　L=444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000000000005120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000000000005120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000000000005120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000000000005120</v>
          </cell>
        </row>
        <row r="319">
          <cell r="C319">
            <v>4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000000000005120</v>
          </cell>
        </row>
        <row r="320">
          <cell r="C320" t="str">
            <v>LED-A444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000000000005120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000000000005120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000000000005120</v>
          </cell>
        </row>
        <row r="323">
          <cell r="C323" t="str">
            <v>採光ルーバーパネルB　L=1996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000000000005330-2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000000000005330-2</v>
          </cell>
        </row>
        <row r="325">
          <cell r="C325">
            <v>756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000000000005330-2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000000000005330-2</v>
          </cell>
        </row>
        <row r="327">
          <cell r="C327">
            <v>1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000000000005330-2</v>
          </cell>
        </row>
        <row r="328">
          <cell r="C328" t="str">
            <v>上-1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000000000005330-2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000000000005330-2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000000000005330-2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topLeftCell="A88" zoomScale="85" zoomScaleNormal="85" workbookViewId="0">
      <selection activeCell="F3" sqref="F3:H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6" t="s">
        <v>0</v>
      </c>
      <c r="C1" s="93"/>
      <c r="D1" s="9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93"/>
      <c r="C2" s="93"/>
      <c r="D2" s="93"/>
      <c r="E2" s="12"/>
      <c r="F2" s="12"/>
      <c r="G2" s="12"/>
      <c r="H2" s="12"/>
      <c r="I2" s="12"/>
      <c r="J2" s="12"/>
    </row>
    <row r="3" spans="1:10" ht="14.25" customHeight="1">
      <c r="A3" s="112" t="s">
        <v>1</v>
      </c>
      <c r="B3" s="112" t="s">
        <v>2</v>
      </c>
      <c r="C3" s="112" t="s">
        <v>3</v>
      </c>
      <c r="D3" s="128">
        <v>500</v>
      </c>
      <c r="E3" s="112" t="s">
        <v>4</v>
      </c>
      <c r="F3" s="140" t="s">
        <v>5</v>
      </c>
      <c r="G3" s="93"/>
      <c r="H3" s="119"/>
      <c r="I3" s="13" t="s">
        <v>6</v>
      </c>
      <c r="J3" s="13" t="s">
        <v>7</v>
      </c>
    </row>
    <row r="4" spans="1:10" ht="14.25" customHeight="1">
      <c r="A4" s="93"/>
      <c r="B4" s="93"/>
      <c r="C4" s="93"/>
      <c r="D4" s="93"/>
      <c r="E4" s="93"/>
      <c r="F4" s="93"/>
      <c r="G4" s="93"/>
      <c r="H4" s="119"/>
      <c r="I4" s="114"/>
      <c r="J4" s="114"/>
    </row>
    <row r="5" spans="1:10" ht="17.45" customHeight="1">
      <c r="A5" s="95" t="s">
        <v>8</v>
      </c>
      <c r="B5" s="95" t="s">
        <v>9</v>
      </c>
      <c r="E5" s="95" t="s">
        <v>10</v>
      </c>
      <c r="F5" s="118" t="s">
        <v>11</v>
      </c>
      <c r="G5" s="93"/>
      <c r="H5" s="119"/>
      <c r="I5" s="115"/>
      <c r="J5" s="115"/>
    </row>
    <row r="6" spans="1:10" ht="17.45" customHeight="1">
      <c r="A6" s="93"/>
      <c r="B6" s="93"/>
      <c r="E6" s="93"/>
      <c r="F6" s="93"/>
      <c r="G6" s="93"/>
      <c r="H6" s="119"/>
      <c r="I6" s="14"/>
      <c r="J6" s="14"/>
    </row>
    <row r="7" spans="1:10" ht="17.45" customHeight="1">
      <c r="A7" s="95" t="s">
        <v>12</v>
      </c>
      <c r="B7" s="95" t="s">
        <v>13</v>
      </c>
      <c r="E7" s="2" t="s">
        <v>14</v>
      </c>
      <c r="F7" s="134" t="s">
        <v>15</v>
      </c>
      <c r="G7" s="93"/>
      <c r="H7" s="21"/>
    </row>
    <row r="8" spans="1:10" ht="17.45" customHeight="1">
      <c r="A8" s="93"/>
      <c r="B8" s="93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45860</v>
      </c>
      <c r="E9" s="2" t="s">
        <v>19</v>
      </c>
      <c r="F9" s="133">
        <v>34</v>
      </c>
      <c r="G9" s="93"/>
      <c r="H9" s="21"/>
    </row>
    <row r="10" spans="1:10" ht="17.45" customHeight="1">
      <c r="A10" s="2" t="s">
        <v>20</v>
      </c>
      <c r="B10" s="4">
        <v>45860</v>
      </c>
      <c r="E10" s="2" t="s">
        <v>21</v>
      </c>
      <c r="F10" s="21">
        <v>14</v>
      </c>
      <c r="G10" s="137" t="s">
        <v>22</v>
      </c>
      <c r="H10" s="121">
        <v>476</v>
      </c>
      <c r="I10" s="122"/>
      <c r="J10" s="123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4"/>
      <c r="H11" s="124"/>
      <c r="I11" s="117"/>
      <c r="J11" s="125"/>
    </row>
    <row r="12" spans="1:10" ht="13.5" customHeight="1">
      <c r="A12" s="113" t="s">
        <v>25</v>
      </c>
      <c r="B12" s="93"/>
      <c r="C12" s="93"/>
      <c r="D12" s="20"/>
      <c r="F12" s="3"/>
      <c r="G12" s="135" t="s">
        <v>26</v>
      </c>
      <c r="H12" s="131" t="s">
        <v>27</v>
      </c>
      <c r="I12" s="138" t="s">
        <v>28</v>
      </c>
      <c r="J12" s="119"/>
    </row>
    <row r="13" spans="1:10" ht="13.5" customHeight="1">
      <c r="A13" s="93"/>
      <c r="B13" s="93"/>
      <c r="C13" s="93"/>
      <c r="D13" s="20"/>
      <c r="F13" s="3"/>
      <c r="G13" s="132"/>
      <c r="H13" s="132"/>
      <c r="I13" s="117"/>
      <c r="J13" s="125"/>
    </row>
    <row r="14" spans="1:10" ht="13.5" customHeight="1">
      <c r="A14" s="1" t="s">
        <v>29</v>
      </c>
    </row>
    <row r="15" spans="1:10" ht="63" customHeight="1" thickBot="1">
      <c r="A15" s="129"/>
      <c r="B15" s="130"/>
      <c r="C15" s="130"/>
      <c r="D15" s="130"/>
      <c r="E15" s="130"/>
      <c r="F15" s="130"/>
      <c r="G15" s="130"/>
      <c r="H15" s="130"/>
      <c r="I15" s="130"/>
      <c r="J15" s="130"/>
    </row>
    <row r="16" spans="1:10" ht="18.75">
      <c r="A16" s="23" t="s">
        <v>30</v>
      </c>
      <c r="B16" s="16" t="s">
        <v>31</v>
      </c>
      <c r="C16" s="88" t="s">
        <v>32</v>
      </c>
      <c r="D16" s="89"/>
      <c r="E16" s="16" t="s">
        <v>33</v>
      </c>
      <c r="F16" s="88" t="s">
        <v>34</v>
      </c>
      <c r="G16" s="89"/>
      <c r="H16" s="89"/>
      <c r="I16" s="120" t="s">
        <v>35</v>
      </c>
      <c r="J16" s="8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4" t="s">
        <v>37</v>
      </c>
      <c r="D18" s="96"/>
      <c r="E18" s="24" t="s">
        <v>38</v>
      </c>
      <c r="F18" s="94" t="s">
        <v>39</v>
      </c>
      <c r="G18" s="96"/>
      <c r="H18" s="96"/>
      <c r="I18" s="98"/>
      <c r="J18" s="96"/>
    </row>
    <row r="19" spans="1:10" s="7" customFormat="1" ht="16.5" customHeight="1">
      <c r="A19" s="22">
        <v>1</v>
      </c>
      <c r="B19" s="25" t="s">
        <v>36</v>
      </c>
      <c r="C19" s="94" t="s">
        <v>37</v>
      </c>
      <c r="D19" s="96"/>
      <c r="E19" s="24" t="s">
        <v>40</v>
      </c>
      <c r="F19" s="94" t="s">
        <v>41</v>
      </c>
      <c r="G19" s="96"/>
      <c r="H19" s="96"/>
      <c r="I19" s="98"/>
      <c r="J19" s="96"/>
    </row>
    <row r="20" spans="1:10" s="7" customFormat="1" ht="16.5" customHeight="1">
      <c r="A20" s="22"/>
      <c r="B20" s="25"/>
      <c r="C20" s="94"/>
      <c r="D20" s="96"/>
      <c r="E20" s="24"/>
      <c r="F20" s="94"/>
      <c r="G20" s="96"/>
      <c r="H20" s="96"/>
      <c r="I20" s="98"/>
      <c r="J20" s="96"/>
    </row>
    <row r="21" spans="1:10" s="7" customFormat="1" ht="16.5" customHeight="1">
      <c r="A21" s="22"/>
      <c r="B21" s="25"/>
      <c r="C21" s="94"/>
      <c r="D21" s="96"/>
      <c r="E21" s="24"/>
      <c r="F21" s="94"/>
      <c r="G21" s="96"/>
      <c r="H21" s="96"/>
      <c r="I21" s="98"/>
      <c r="J21" s="96"/>
    </row>
    <row r="22" spans="1:10" s="7" customFormat="1" ht="16.5" customHeight="1">
      <c r="A22" s="22"/>
      <c r="B22" s="25"/>
      <c r="C22" s="94"/>
      <c r="D22" s="96"/>
      <c r="E22" s="24"/>
      <c r="F22" s="94"/>
      <c r="G22" s="96"/>
      <c r="H22" s="96"/>
      <c r="I22" s="98"/>
      <c r="J22" s="96"/>
    </row>
    <row r="23" spans="1:10" s="7" customFormat="1" ht="16.5" customHeight="1">
      <c r="A23" s="22"/>
      <c r="B23" s="25"/>
      <c r="C23" s="94"/>
      <c r="D23" s="96"/>
      <c r="E23" s="24"/>
      <c r="F23" s="94"/>
      <c r="G23" s="96"/>
      <c r="H23" s="96"/>
      <c r="I23" s="98"/>
      <c r="J23" s="96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0" t="s">
        <v>42</v>
      </c>
      <c r="B25" s="91"/>
      <c r="C25" s="90" t="s">
        <v>43</v>
      </c>
      <c r="D25" s="91"/>
      <c r="E25" s="91"/>
      <c r="F25" s="17" t="s">
        <v>44</v>
      </c>
      <c r="G25" s="90" t="s">
        <v>45</v>
      </c>
      <c r="H25" s="91"/>
      <c r="I25" s="90" t="s">
        <v>46</v>
      </c>
      <c r="J25" s="91"/>
    </row>
    <row r="26" spans="1:10" ht="14.25" customHeight="1">
      <c r="A26" s="8"/>
      <c r="B26" s="18"/>
      <c r="C26" s="116" t="s">
        <v>47</v>
      </c>
      <c r="D26" s="117"/>
      <c r="E26" s="18"/>
      <c r="F26" s="116" t="s">
        <v>29</v>
      </c>
      <c r="G26" s="117"/>
      <c r="H26" s="117"/>
      <c r="I26" s="117"/>
      <c r="J26" s="117"/>
    </row>
    <row r="27" spans="1:10">
      <c r="A27" s="9"/>
      <c r="C27" s="7"/>
      <c r="D27" s="7"/>
      <c r="E27" s="7"/>
    </row>
    <row r="28" spans="1:10" s="5" customFormat="1" ht="14.25" customHeight="1">
      <c r="A28" s="94" t="s">
        <v>48</v>
      </c>
      <c r="B28" s="99"/>
      <c r="C28" s="94" t="s">
        <v>49</v>
      </c>
      <c r="D28" s="99"/>
      <c r="E28" s="99"/>
      <c r="F28" s="26" t="s">
        <v>27</v>
      </c>
      <c r="G28" s="92">
        <v>158.50800000000001</v>
      </c>
      <c r="H28" s="99"/>
      <c r="I28" s="92">
        <v>4.6619999999999999</v>
      </c>
      <c r="J28" s="99"/>
    </row>
    <row r="29" spans="1:10" s="7" customFormat="1" ht="24.95" customHeight="1">
      <c r="A29" s="97" t="s">
        <v>50</v>
      </c>
      <c r="B29" s="96"/>
      <c r="C29" s="94" t="s">
        <v>11</v>
      </c>
      <c r="D29" s="96"/>
      <c r="E29" s="96"/>
      <c r="F29" s="94"/>
      <c r="G29" s="96"/>
      <c r="H29" s="96"/>
      <c r="I29" s="96"/>
      <c r="J29" s="96"/>
    </row>
    <row r="30" spans="1:10" s="5" customFormat="1" ht="14.25" customHeight="1">
      <c r="A30" s="139" t="s">
        <v>68</v>
      </c>
      <c r="B30" s="99"/>
      <c r="C30" s="94" t="s">
        <v>51</v>
      </c>
      <c r="D30" s="99"/>
      <c r="E30" s="99"/>
      <c r="F30" s="26" t="s">
        <v>27</v>
      </c>
      <c r="G30" s="92">
        <v>13.804</v>
      </c>
      <c r="H30" s="99"/>
      <c r="I30" s="92">
        <v>0.40600000000000003</v>
      </c>
      <c r="J30" s="99"/>
    </row>
    <row r="31" spans="1:10" s="7" customFormat="1" ht="24.95" customHeight="1">
      <c r="A31" s="97" t="s">
        <v>52</v>
      </c>
      <c r="B31" s="96"/>
      <c r="C31" s="94"/>
      <c r="D31" s="96"/>
      <c r="E31" s="96"/>
      <c r="F31" s="94"/>
      <c r="G31" s="96"/>
      <c r="H31" s="96"/>
      <c r="I31" s="96"/>
      <c r="J31" s="96"/>
    </row>
    <row r="32" spans="1:10" s="5" customFormat="1" ht="14.25" customHeight="1">
      <c r="A32" s="94" t="s">
        <v>53</v>
      </c>
      <c r="B32" s="99"/>
      <c r="C32" s="94" t="s">
        <v>54</v>
      </c>
      <c r="D32" s="99"/>
      <c r="E32" s="99"/>
      <c r="F32" s="26"/>
      <c r="G32" s="92">
        <v>0.47599999999999998</v>
      </c>
      <c r="H32" s="99"/>
      <c r="I32" s="92">
        <v>1.4E-2</v>
      </c>
      <c r="J32" s="99"/>
    </row>
    <row r="33" spans="1:14" s="7" customFormat="1" ht="24.95" customHeight="1">
      <c r="A33" s="97" t="s">
        <v>55</v>
      </c>
      <c r="B33" s="96"/>
      <c r="C33" s="94" t="s">
        <v>56</v>
      </c>
      <c r="D33" s="96"/>
      <c r="E33" s="96"/>
      <c r="F33" s="94"/>
      <c r="G33" s="96"/>
      <c r="H33" s="96"/>
      <c r="I33" s="96"/>
      <c r="J33" s="96"/>
    </row>
    <row r="34" spans="1:14" s="5" customFormat="1" ht="14.25" customHeight="1">
      <c r="A34" s="94"/>
      <c r="B34" s="99"/>
      <c r="C34" s="94"/>
      <c r="D34" s="99"/>
      <c r="E34" s="99"/>
      <c r="F34" s="26"/>
      <c r="G34" s="92"/>
      <c r="H34" s="99"/>
      <c r="I34" s="92"/>
      <c r="J34" s="99"/>
    </row>
    <row r="35" spans="1:14" s="7" customFormat="1" ht="24.95" customHeight="1">
      <c r="A35" s="97"/>
      <c r="B35" s="96"/>
      <c r="C35" s="94"/>
      <c r="D35" s="96"/>
      <c r="E35" s="96"/>
      <c r="F35" s="94"/>
      <c r="G35" s="96"/>
      <c r="H35" s="96"/>
      <c r="I35" s="96"/>
      <c r="J35" s="96"/>
    </row>
    <row r="36" spans="1:14" s="5" customFormat="1" ht="14.25" customHeight="1">
      <c r="A36" s="94"/>
      <c r="B36" s="99"/>
      <c r="C36" s="94"/>
      <c r="D36" s="99"/>
      <c r="E36" s="99"/>
      <c r="F36" s="26"/>
      <c r="G36" s="92"/>
      <c r="H36" s="99"/>
      <c r="I36" s="92"/>
      <c r="J36" s="99"/>
    </row>
    <row r="37" spans="1:14" s="7" customFormat="1" ht="24.95" customHeight="1" thickBot="1">
      <c r="A37" s="97"/>
      <c r="B37" s="96"/>
      <c r="C37" s="94"/>
      <c r="D37" s="96"/>
      <c r="E37" s="96"/>
      <c r="F37" s="94"/>
      <c r="G37" s="96"/>
      <c r="H37" s="96"/>
      <c r="I37" s="96"/>
      <c r="J37" s="96"/>
    </row>
    <row r="38" spans="1:14" s="5" customFormat="1" ht="18" customHeight="1">
      <c r="A38" s="100" t="s">
        <v>92</v>
      </c>
      <c r="B38" s="101"/>
      <c r="C38" s="101"/>
      <c r="D38" s="101"/>
      <c r="E38" s="102" t="s">
        <v>93</v>
      </c>
      <c r="F38" s="103"/>
      <c r="G38" s="27" t="s">
        <v>94</v>
      </c>
      <c r="H38" s="104" t="s">
        <v>95</v>
      </c>
      <c r="I38" s="105"/>
      <c r="J38" s="28" t="s">
        <v>96</v>
      </c>
    </row>
    <row r="39" spans="1:14" s="7" customFormat="1" ht="18" customHeight="1">
      <c r="A39" s="106" t="str">
        <f>_xlfn.XLOOKUP(B3,[1]VFDB2!A:A,[1]VFDB2!A:A)</f>
        <v>J1AKZYB00205000</v>
      </c>
      <c r="B39" s="107"/>
      <c r="C39" s="107"/>
      <c r="D39" s="107"/>
      <c r="E39" s="110" t="str" cm="1">
        <f t="array" ref="E39">IFERROR(IF(ISBLANK(INDEX(_xlfn._xlws.FILTER([1]加工記録２!$C$3:$C$992, [1]加工記録２!$T$3:$T$992=B5), 6)), "", INDEX(_xlfn._xlws.FILTER([1]加工記録２!$C$3:$C$992, [1]加工記録２!$T$3:$T$992=B5), 6)),"")</f>
        <v>PK-59827 L=500用</v>
      </c>
      <c r="F39" s="111"/>
      <c r="G39" s="141" cm="1">
        <f t="array" ref="G39">IFERROR(IF(ISBLANK(INDEX(_xlfn._xlws.FILTER([1]加工記録２!$C$3:$C$992, [1]加工記録２!$T$3:$T$992=B5), 7)), " ", INDEX(_xlfn._xlws.FILTER([1]加工記録２!$C$3:$C$992, [1]加工記録２!$T$3:$T$992=B5), 7))," ")</f>
        <v>15</v>
      </c>
      <c r="H39" s="76" t="s">
        <v>69</v>
      </c>
      <c r="I39" s="75" cm="1">
        <f t="array" ref="I39:J39">IFERROR(IF(ISBLANK(INDEX(_xlfn._xlws.FILTER([1]加工記録２!$O$3:$P$992, [1]加工記録２!$T$3:$T$992=B5), 1)), "", INDEX(_xlfn._xlws.FILTER([1]加工記録２!$O$3:$P$992, [1]加工記録２!$T$3:$T$992=B5), 1)),"")</f>
        <v>45855</v>
      </c>
      <c r="J39" s="77">
        <v>11</v>
      </c>
    </row>
    <row r="40" spans="1:14" s="5" customFormat="1" ht="18" customHeight="1">
      <c r="A40" s="108"/>
      <c r="B40" s="109"/>
      <c r="C40" s="109"/>
      <c r="D40" s="109"/>
      <c r="E40" s="110"/>
      <c r="F40" s="111"/>
      <c r="G40" s="141"/>
      <c r="H40" s="76" t="s">
        <v>70</v>
      </c>
      <c r="I40" s="74" cm="1">
        <f t="array" ref="I40:J40">IFERROR(IF(ISBLANK(INDEX(_xlfn._xlws.FILTER([1]加工記録２!$O$3:$P$992, [1]加工記録２!$T$3:$T$992=B5), 2)), "", INDEX(_xlfn._xlws.FILTER([1]加工記録２!$O$3:$P$992, [1]加工記録２!$T$3:$T$992=B5), 2)),"")</f>
        <v>510</v>
      </c>
      <c r="J40" s="78">
        <v>4</v>
      </c>
      <c r="K40" s="29"/>
    </row>
    <row r="41" spans="1:14" s="7" customFormat="1" ht="18" customHeight="1">
      <c r="A41" s="142" t="s">
        <v>71</v>
      </c>
      <c r="B41" s="144" t="str">
        <f>_xlfn.XLOOKUP(B3,[1]VFDB2!A:A,[1]VFDB2!J:J)</f>
        <v>〇</v>
      </c>
      <c r="C41" s="126" t="s">
        <v>72</v>
      </c>
      <c r="D41" s="146">
        <f>_xlfn.XLOOKUP(B3,[1]VFDB2!A:A,[1]VFDB2!P:P)</f>
        <v>3</v>
      </c>
      <c r="E41" s="110" t="str">
        <f>_xlfn.XLOOKUP(B3,[1]VFDB2!A:A,[1]VFDB2!V:V)</f>
        <v>11×２束+12✕1束＝34本</v>
      </c>
      <c r="F41" s="111"/>
      <c r="G41" s="148"/>
      <c r="H41" s="79" t="s">
        <v>73</v>
      </c>
      <c r="I41" s="74" cm="1">
        <f t="array" ref="I41:J41">IFERROR(IF(ISBLANK(INDEX(_xlfn._xlws.FILTER([1]加工記録２!$O$3:$P$992, [1]加工記録２!$T$3:$T$992=B5), 3)), "", INDEX(_xlfn._xlws.FILTER([1]加工記録２!$O$3:$P$992, [1]加工記録２!$T$3:$T$992=B5), 3)),"")</f>
        <v>177</v>
      </c>
      <c r="J41" s="80" t="str">
        <v/>
      </c>
      <c r="K41" s="30"/>
    </row>
    <row r="42" spans="1:14" s="5" customFormat="1" ht="18" customHeight="1">
      <c r="A42" s="143"/>
      <c r="B42" s="145"/>
      <c r="C42" s="127"/>
      <c r="D42" s="147"/>
      <c r="E42" s="110"/>
      <c r="F42" s="111"/>
      <c r="G42" s="148"/>
      <c r="H42" s="79" t="s">
        <v>74</v>
      </c>
      <c r="I42" s="74" cm="1">
        <f t="array" ref="I42:J42">IFERROR(IF(ISBLANK(INDEX(_xlfn._xlws.FILTER([1]加工記録２!$O$3:$P$992, [1]加工記録２!$T$3:$T$992=B5), 4)), "", INDEX(_xlfn._xlws.FILTER([1]加工記録２!$O$3:$P$992, [1]加工記録２!$T$3:$T$992=B5), 4)),"")</f>
        <v>7</v>
      </c>
      <c r="J42" s="81" t="str">
        <v/>
      </c>
      <c r="K42" s="29"/>
    </row>
    <row r="43" spans="1:14" s="7" customFormat="1" ht="18" customHeight="1">
      <c r="A43" s="149" t="s">
        <v>75</v>
      </c>
      <c r="B43" s="151">
        <f>D3</f>
        <v>500</v>
      </c>
      <c r="C43" s="155" t="s">
        <v>76</v>
      </c>
      <c r="D43" s="153" t="str">
        <f>_xlfn.XLOOKUP(B3,[1]VFDB2!A:A,[1]VFDB2!L:L)</f>
        <v>+1</v>
      </c>
      <c r="E43" s="110" t="str">
        <f>_xlfn.XLOOKUP(B3,[1]VFDB2!A:A,[1]VFDB2!W:W)</f>
        <v>両端5cm以上ラップ</v>
      </c>
      <c r="F43" s="111"/>
      <c r="G43" s="148"/>
      <c r="H43" s="79" t="s">
        <v>77</v>
      </c>
      <c r="I43" s="74" cm="1">
        <f t="array" ref="I43:J43">IFERROR(IF(ISBLANK(INDEX(_xlfn._xlws.FILTER([1]加工記録２!$O$3:$P$992, [1]加工記録２!$T$3:$T$992=B5), 5)), "", INDEX(_xlfn._xlws.FILTER([1]加工記録２!$O$3:$P$992, [1]加工記録２!$T$3:$T$992=B5), 5)),"")</f>
        <v>21</v>
      </c>
      <c r="J43" s="82" t="str">
        <v/>
      </c>
      <c r="K43" s="30"/>
    </row>
    <row r="44" spans="1:14" s="5" customFormat="1" ht="18" customHeight="1">
      <c r="A44" s="150"/>
      <c r="B44" s="152"/>
      <c r="C44" s="156"/>
      <c r="D44" s="154"/>
      <c r="E44" s="110"/>
      <c r="F44" s="111"/>
      <c r="G44" s="148"/>
      <c r="H44" s="79" t="s">
        <v>78</v>
      </c>
      <c r="I44" s="74" cm="1">
        <f t="array" ref="I44:J44">IFERROR(IF(ISBLANK(INDEX(_xlfn._xlws.FILTER([1]加工記録２!$O$3:$P$992, [1]加工記録２!$T$3:$T$992=B5), 6)), "", INDEX(_xlfn._xlws.FILTER([1]加工記録２!$O$3:$P$992, [1]加工記録２!$T$3:$T$992=B5), 6)),"")</f>
        <v>0</v>
      </c>
      <c r="J44" s="83" t="str">
        <v/>
      </c>
      <c r="K44" s="29"/>
    </row>
    <row r="45" spans="1:14" s="7" customFormat="1" ht="18" customHeight="1">
      <c r="A45" s="142" t="s">
        <v>79</v>
      </c>
      <c r="B45" s="158" t="str">
        <f>_xlfn.XLOOKUP(B3,[1]VFDB2!A:A,[1]VFDB2!AC:AC)</f>
        <v>換算表確認</v>
      </c>
      <c r="C45" s="160" t="s">
        <v>80</v>
      </c>
      <c r="D45" s="153">
        <f>_xlfn.XLOOKUP(B3,[1]VFDB2!A:A,[1]VFDB2!K:K)</f>
        <v>-1</v>
      </c>
      <c r="E45" s="110" t="str">
        <f>_xlfn.XLOOKUP(B3,[1]VFDB2!A:A,[1]VFDB2!R:R)</f>
        <v>ラベル2枚　長手 中央部分のみ貼付</v>
      </c>
      <c r="F45" s="111"/>
      <c r="G45" s="148"/>
      <c r="H45" s="79" t="s">
        <v>81</v>
      </c>
      <c r="I45" s="74" t="str" cm="1">
        <f t="array" ref="I45:J45">IFERROR(IF(ISBLANK(INDEX(_xlfn._xlws.FILTER([1]加工記録２!$O$3:$P$992, [1]加工記録２!$T$3:$T$992=B5), 7)), "", INDEX(_xlfn._xlws.FILTER([1]加工記録２!$O$3:$P$992, [1]加工記録２!$T$3:$T$992=B5), 7)),"")</f>
        <v>富田・水野</v>
      </c>
      <c r="J45" s="84">
        <v>6</v>
      </c>
      <c r="K45" s="30"/>
    </row>
    <row r="46" spans="1:14" s="5" customFormat="1" ht="18" customHeight="1" thickBot="1">
      <c r="A46" s="157"/>
      <c r="B46" s="159"/>
      <c r="C46" s="161"/>
      <c r="D46" s="162"/>
      <c r="E46" s="163"/>
      <c r="F46" s="164"/>
      <c r="G46" s="165"/>
      <c r="H46" s="85" t="s">
        <v>82</v>
      </c>
      <c r="I46" s="31" t="str" cm="1">
        <f t="array" ref="I46:J46">IFERROR(IF(ISBLANK(INDEX(_xlfn._xlws.FILTER([1]加工記録２!$O$3:$P$992, [1]加工記録２!$T$3:$T$992=B5), 8)), "", INDEX(_xlfn._xlws.FILTER([1]加工記録２!$O$3:$P$992, [1]加工記録２!$T$3:$T$992=B5), 8)),"")</f>
        <v>高森</v>
      </c>
      <c r="J46" s="86">
        <v>21</v>
      </c>
    </row>
    <row r="47" spans="1:14" s="42" customFormat="1" ht="18.95" customHeight="1">
      <c r="A47" s="32" t="s">
        <v>83</v>
      </c>
      <c r="B47" s="33" t="s">
        <v>102</v>
      </c>
      <c r="C47" s="34" t="s">
        <v>84</v>
      </c>
      <c r="D47" s="34" t="s">
        <v>85</v>
      </c>
      <c r="E47" s="35" t="s">
        <v>86</v>
      </c>
      <c r="F47" s="36" t="s">
        <v>87</v>
      </c>
      <c r="G47" s="37" t="s">
        <v>88</v>
      </c>
      <c r="H47" s="38" t="s">
        <v>89</v>
      </c>
      <c r="I47" s="39" t="s">
        <v>90</v>
      </c>
      <c r="J47" s="40" t="s">
        <v>91</v>
      </c>
      <c r="K47" s="41"/>
      <c r="L47" s="41"/>
      <c r="M47" s="41"/>
      <c r="N47" s="41"/>
    </row>
    <row r="48" spans="1:14" s="53" customFormat="1" ht="18.95" customHeight="1">
      <c r="A48" s="87" cm="1">
        <f t="array" ref="A48:J48">IFERROR(IF(ISBLANK(INDEX(_xlfn._xlws.FILTER([1]加工記録２!$D$3:$M$992, [1]加工記録２!$T$3:$T$992=B5), 1)), "", INDEX(_xlfn._xlws.FILTER([1]加工記録２!$D$3:$M$992, [1]加工記録２!$T$3:$T$992=B5), 1)),"")</f>
        <v>45832</v>
      </c>
      <c r="B48" s="44" t="str">
        <v>25F11</v>
      </c>
      <c r="C48" s="45" t="str">
        <v/>
      </c>
      <c r="D48" s="45" t="str">
        <v/>
      </c>
      <c r="E48" s="46" t="str">
        <v/>
      </c>
      <c r="F48" s="47" t="str">
        <v>25F11</v>
      </c>
      <c r="G48" s="48">
        <v>33</v>
      </c>
      <c r="H48" s="49">
        <v>11</v>
      </c>
      <c r="I48" s="50">
        <v>45855</v>
      </c>
      <c r="J48" s="51">
        <v>15</v>
      </c>
      <c r="K48" s="52"/>
      <c r="L48" s="52"/>
      <c r="M48" s="52"/>
      <c r="N48" s="52"/>
    </row>
    <row r="49" spans="1:14" s="53" customFormat="1" ht="18.95" customHeight="1">
      <c r="A49" s="43" cm="1">
        <f t="array" ref="A49:J49">IFERROR(IF(ISBLANK(INDEX(_xlfn._xlws.FILTER([1]加工記録２!$D$3:$M$992, [1]加工記録２!$T$3:$T$992=B5), 2)), "", INDEX(_xlfn._xlws.FILTER([1]加工記録２!$D$3:$M$992, [1]加工記録２!$T$3:$T$992=B5), 2)),"")</f>
        <v>45854</v>
      </c>
      <c r="B49" s="54" t="str">
        <v>25G09</v>
      </c>
      <c r="C49" s="54">
        <v>27</v>
      </c>
      <c r="D49" s="54">
        <v>500.14</v>
      </c>
      <c r="E49" s="55">
        <v>500.21</v>
      </c>
      <c r="F49" s="56" t="str">
        <v>25G09</v>
      </c>
      <c r="G49" s="57">
        <v>498</v>
      </c>
      <c r="H49" s="58">
        <v>166</v>
      </c>
      <c r="I49" s="50" t="str">
        <v/>
      </c>
      <c r="J49" s="51" t="str">
        <v/>
      </c>
      <c r="K49" s="52"/>
      <c r="L49" s="52"/>
      <c r="M49" s="52"/>
      <c r="N49" s="52"/>
    </row>
    <row r="50" spans="1:14" s="53" customFormat="1" ht="18.95" customHeight="1">
      <c r="A50" s="43" cm="1">
        <f t="array" ref="A50:J50">IFERROR(IF(ISBLANK(INDEX(_xlfn._xlws.FILTER([1]加工記録２!$D$3:$M$992, [1]加工記録２!$T$3:$T$992=B5), 3)), "", INDEX(_xlfn._xlws.FILTER([1]加工記録２!$D$3:$M$992, [1]加工記録２!$T$3:$T$992=B5), 3)),"")</f>
        <v>45854</v>
      </c>
      <c r="B50" s="54" t="str">
        <v>25G09</v>
      </c>
      <c r="C50" s="54">
        <v>27</v>
      </c>
      <c r="D50" s="54">
        <v>500.14</v>
      </c>
      <c r="E50" s="55">
        <v>500.21</v>
      </c>
      <c r="F50" s="56" t="str">
        <v/>
      </c>
      <c r="G50" s="57" t="str">
        <v/>
      </c>
      <c r="H50" s="58">
        <v>0</v>
      </c>
      <c r="I50" s="50" t="str">
        <v/>
      </c>
      <c r="J50" s="51" t="str">
        <v/>
      </c>
      <c r="K50" s="52"/>
      <c r="L50" s="52"/>
      <c r="M50" s="52"/>
      <c r="N50" s="52"/>
    </row>
    <row r="51" spans="1:14" s="53" customFormat="1" ht="18.95" customHeight="1">
      <c r="A51" s="43" cm="1">
        <f t="array" ref="A51:J51">IFERROR(IF(ISBLANK(INDEX(_xlfn._xlws.FILTER([1]加工記録２!$D$3:$M$992, [1]加工記録２!$T$3:$T$992=B5), 4)), "", INDEX(_xlfn._xlws.FILTER([1]加工記録２!$D$3:$M$992, [1]加工記録２!$T$3:$T$992=B5), 4)),"")</f>
        <v>45854</v>
      </c>
      <c r="B51" s="54" t="str">
        <v>25G09</v>
      </c>
      <c r="C51" s="54">
        <v>27</v>
      </c>
      <c r="D51" s="54">
        <v>500.14</v>
      </c>
      <c r="E51" s="55">
        <v>500.2</v>
      </c>
      <c r="F51" s="56" t="str">
        <v/>
      </c>
      <c r="G51" s="57" t="str">
        <v/>
      </c>
      <c r="H51" s="58">
        <v>0</v>
      </c>
      <c r="I51" s="50" t="str">
        <v/>
      </c>
      <c r="J51" s="51" t="str">
        <v/>
      </c>
      <c r="K51" s="52"/>
      <c r="L51" s="52"/>
      <c r="M51" s="52"/>
      <c r="N51" s="52"/>
    </row>
    <row r="52" spans="1:14" s="53" customFormat="1" ht="18.95" customHeight="1">
      <c r="A52" s="43" cm="1">
        <f t="array" ref="A52:J52">IFERROR(IF(ISBLANK(INDEX(_xlfn._xlws.FILTER([1]加工記録２!$D$3:$M$992, [1]加工記録２!$T$3:$T$992=B5), 5)), "", INDEX(_xlfn._xlws.FILTER([1]加工記録２!$D$3:$M$992, [1]加工記録２!$T$3:$T$992=B5), 5)),"")</f>
        <v>45854</v>
      </c>
      <c r="B52" s="54" t="str">
        <v>25G09</v>
      </c>
      <c r="C52" s="54">
        <v>27</v>
      </c>
      <c r="D52" s="54">
        <v>500.14</v>
      </c>
      <c r="E52" s="55">
        <v>500.36</v>
      </c>
      <c r="F52" s="56" t="str">
        <v/>
      </c>
      <c r="G52" s="57" t="str">
        <v/>
      </c>
      <c r="H52" s="58">
        <v>0</v>
      </c>
      <c r="I52" s="59" t="str">
        <v/>
      </c>
      <c r="J52" s="60" t="str">
        <v/>
      </c>
      <c r="K52" s="52"/>
      <c r="L52" s="52"/>
      <c r="M52" s="52"/>
      <c r="N52" s="52"/>
    </row>
    <row r="53" spans="1:14" s="53" customFormat="1" ht="18.95" customHeight="1">
      <c r="A53" s="43" t="str" cm="1">
        <f t="array" ref="A53:J53">IFERROR(IF(ISBLANK(INDEX(_xlfn._xlws.FILTER([1]加工記録２!$D$3:$M$992, [1]加工記録２!$T$3:$T$992=B5), 6)), "", INDEX(_xlfn._xlws.FILTER([1]加工記録２!$D$3:$M$992, [1]加工記録２!$T$3:$T$992=B5), 6)),"")</f>
        <v/>
      </c>
      <c r="B53" s="54" t="str">
        <v/>
      </c>
      <c r="C53" s="54" t="str">
        <v/>
      </c>
      <c r="D53" s="54" t="str">
        <v/>
      </c>
      <c r="E53" s="55" t="str">
        <v/>
      </c>
      <c r="F53" s="56" t="str">
        <v/>
      </c>
      <c r="G53" s="57" t="str">
        <v/>
      </c>
      <c r="H53" s="61">
        <v>0</v>
      </c>
      <c r="I53" s="62" t="str">
        <v>旧品加工</v>
      </c>
      <c r="J53" s="63">
        <v>33</v>
      </c>
      <c r="K53" s="52"/>
      <c r="L53" s="52"/>
      <c r="M53" s="52"/>
      <c r="N53" s="52"/>
    </row>
    <row r="54" spans="1:14" s="53" customFormat="1" ht="18.95" customHeight="1">
      <c r="A54" s="43" t="str" cm="1">
        <f t="array" ref="A54:J54">IFERROR(IF(ISBLANK(INDEX(_xlfn._xlws.FILTER([1]加工記録２!$D$3:$M$992, [1]加工記録２!$T$3:$T$992=B5), 7)), "", INDEX(_xlfn._xlws.FILTER([1]加工記録２!$D$3:$M$992, [1]加工記録２!$T$3:$T$992=B5), 7)),"")</f>
        <v/>
      </c>
      <c r="B54" s="54" t="str">
        <v/>
      </c>
      <c r="C54" s="54" t="str">
        <v/>
      </c>
      <c r="D54" s="54" t="str">
        <v/>
      </c>
      <c r="E54" s="55" t="str">
        <v/>
      </c>
      <c r="F54" s="56" t="str">
        <v/>
      </c>
      <c r="G54" s="57" t="str">
        <v/>
      </c>
      <c r="H54" s="61">
        <v>0</v>
      </c>
      <c r="I54" s="64" t="str">
        <v>持出端材</v>
      </c>
      <c r="J54" s="65" t="str">
        <v/>
      </c>
      <c r="K54" s="52"/>
      <c r="L54" s="52"/>
      <c r="M54" s="52"/>
      <c r="N54" s="52"/>
    </row>
    <row r="55" spans="1:14" s="53" customFormat="1" ht="18.95" customHeight="1" thickBot="1">
      <c r="A55" s="66" t="str" cm="1">
        <f t="array" ref="A55:J55">IFERROR(IF(ISBLANK(INDEX(_xlfn._xlws.FILTER([1]加工記録２!$D$3:$M$992, [1]加工記録２!$T$3:$T$992=B5), 8)), "", INDEX(_xlfn._xlws.FILTER([1]加工記録２!$D$3:$M$992, [1]加工記録２!$T$3:$T$992=B5), 8)),"")</f>
        <v/>
      </c>
      <c r="B55" s="67" t="str">
        <v/>
      </c>
      <c r="C55" s="67" t="str">
        <v/>
      </c>
      <c r="D55" s="67" t="str">
        <v/>
      </c>
      <c r="E55" s="68" t="str">
        <v/>
      </c>
      <c r="F55" s="69" t="str">
        <v/>
      </c>
      <c r="G55" s="70" t="str">
        <v/>
      </c>
      <c r="H55" s="71">
        <v>0</v>
      </c>
      <c r="I55" s="72" t="str">
        <v>α端材</v>
      </c>
      <c r="J55" s="73">
        <v>0</v>
      </c>
      <c r="K55" s="52"/>
      <c r="L55" s="52"/>
      <c r="M55" s="52"/>
      <c r="N55" s="52"/>
    </row>
    <row r="56" spans="1:14" ht="14.25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 thickBot="1">
      <c r="A58" s="11"/>
      <c r="B58" s="136" t="s">
        <v>0</v>
      </c>
      <c r="C58" s="93"/>
      <c r="D58" s="93"/>
      <c r="E58" s="11"/>
      <c r="F58" s="11"/>
      <c r="G58" s="11"/>
      <c r="H58" s="11"/>
      <c r="I58" s="11"/>
      <c r="J58" s="11"/>
    </row>
    <row r="59" spans="1:14" ht="14.25" customHeight="1">
      <c r="A59" s="12"/>
      <c r="B59" s="93"/>
      <c r="C59" s="93"/>
      <c r="D59" s="93"/>
      <c r="E59" s="12"/>
      <c r="F59" s="12"/>
      <c r="G59" s="12"/>
      <c r="H59" s="12"/>
      <c r="I59" s="12"/>
      <c r="J59" s="12"/>
    </row>
    <row r="60" spans="1:14" ht="14.25" customHeight="1">
      <c r="A60" s="112" t="s">
        <v>1</v>
      </c>
      <c r="B60" s="112" t="s">
        <v>57</v>
      </c>
      <c r="C60" s="112" t="s">
        <v>3</v>
      </c>
      <c r="D60" s="128">
        <v>700</v>
      </c>
      <c r="E60" s="112" t="s">
        <v>4</v>
      </c>
      <c r="F60" s="140" t="s">
        <v>58</v>
      </c>
      <c r="G60" s="93"/>
      <c r="H60" s="119"/>
      <c r="I60" s="13" t="s">
        <v>6</v>
      </c>
      <c r="J60" s="13" t="s">
        <v>7</v>
      </c>
    </row>
    <row r="61" spans="1:14" ht="14.25" customHeight="1">
      <c r="A61" s="93"/>
      <c r="B61" s="93"/>
      <c r="C61" s="93"/>
      <c r="D61" s="93"/>
      <c r="E61" s="93"/>
      <c r="F61" s="93"/>
      <c r="G61" s="93"/>
      <c r="H61" s="119"/>
      <c r="I61" s="114"/>
      <c r="J61" s="114"/>
    </row>
    <row r="62" spans="1:14" ht="17.45" customHeight="1">
      <c r="A62" s="95" t="s">
        <v>8</v>
      </c>
      <c r="B62" s="95" t="s">
        <v>59</v>
      </c>
      <c r="E62" s="95" t="s">
        <v>10</v>
      </c>
      <c r="F62" s="118" t="s">
        <v>11</v>
      </c>
      <c r="G62" s="93"/>
      <c r="H62" s="119"/>
      <c r="I62" s="115"/>
      <c r="J62" s="115"/>
    </row>
    <row r="63" spans="1:14" ht="17.45" customHeight="1">
      <c r="A63" s="93"/>
      <c r="B63" s="93"/>
      <c r="E63" s="93"/>
      <c r="F63" s="93"/>
      <c r="G63" s="93"/>
      <c r="H63" s="119"/>
      <c r="I63" s="14"/>
      <c r="J63" s="14"/>
    </row>
    <row r="64" spans="1:14" ht="17.45" customHeight="1">
      <c r="A64" s="95" t="s">
        <v>12</v>
      </c>
      <c r="B64" s="95" t="s">
        <v>60</v>
      </c>
      <c r="E64" s="2" t="s">
        <v>14</v>
      </c>
      <c r="F64" s="134" t="s">
        <v>15</v>
      </c>
      <c r="G64" s="93"/>
      <c r="H64" s="21"/>
    </row>
    <row r="65" spans="1:10" ht="17.45" customHeight="1">
      <c r="A65" s="93"/>
      <c r="B65" s="93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45860</v>
      </c>
      <c r="E66" s="2" t="s">
        <v>19</v>
      </c>
      <c r="F66" s="133">
        <v>34</v>
      </c>
      <c r="G66" s="93"/>
      <c r="H66" s="21"/>
    </row>
    <row r="67" spans="1:10" ht="17.45" customHeight="1">
      <c r="A67" s="2" t="s">
        <v>20</v>
      </c>
      <c r="B67" s="4">
        <v>45860</v>
      </c>
      <c r="E67" s="2" t="s">
        <v>21</v>
      </c>
      <c r="F67" s="21">
        <v>32</v>
      </c>
      <c r="G67" s="137" t="s">
        <v>22</v>
      </c>
      <c r="H67" s="121">
        <v>1088</v>
      </c>
      <c r="I67" s="122"/>
      <c r="J67" s="123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4"/>
      <c r="H68" s="124"/>
      <c r="I68" s="117"/>
      <c r="J68" s="125"/>
    </row>
    <row r="69" spans="1:10" ht="13.5" customHeight="1">
      <c r="A69" s="113" t="s">
        <v>61</v>
      </c>
      <c r="B69" s="93"/>
      <c r="C69" s="93"/>
      <c r="D69" s="20"/>
      <c r="F69" s="3"/>
      <c r="G69" s="135" t="s">
        <v>26</v>
      </c>
      <c r="H69" s="131" t="s">
        <v>27</v>
      </c>
      <c r="I69" s="138" t="s">
        <v>28</v>
      </c>
      <c r="J69" s="119"/>
    </row>
    <row r="70" spans="1:10" ht="13.5" customHeight="1">
      <c r="A70" s="93"/>
      <c r="B70" s="93"/>
      <c r="C70" s="93"/>
      <c r="D70" s="20"/>
      <c r="F70" s="3"/>
      <c r="G70" s="132"/>
      <c r="H70" s="132"/>
      <c r="I70" s="117"/>
      <c r="J70" s="125"/>
    </row>
    <row r="71" spans="1:10" ht="13.5" customHeight="1">
      <c r="A71" s="1" t="s">
        <v>29</v>
      </c>
    </row>
    <row r="72" spans="1:10" ht="63" customHeight="1">
      <c r="A72" s="129"/>
      <c r="B72" s="130"/>
      <c r="C72" s="130"/>
      <c r="D72" s="130"/>
      <c r="E72" s="130"/>
      <c r="F72" s="130"/>
      <c r="G72" s="130"/>
      <c r="H72" s="130"/>
      <c r="I72" s="130"/>
      <c r="J72" s="130"/>
    </row>
    <row r="73" spans="1:10" ht="18.75">
      <c r="A73" s="23" t="s">
        <v>30</v>
      </c>
      <c r="B73" s="16" t="s">
        <v>31</v>
      </c>
      <c r="C73" s="88" t="s">
        <v>32</v>
      </c>
      <c r="D73" s="89"/>
      <c r="E73" s="16" t="s">
        <v>33</v>
      </c>
      <c r="F73" s="88" t="s">
        <v>34</v>
      </c>
      <c r="G73" s="89"/>
      <c r="H73" s="89"/>
      <c r="I73" s="120" t="s">
        <v>35</v>
      </c>
      <c r="J73" s="8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4" t="s">
        <v>37</v>
      </c>
      <c r="D75" s="93"/>
      <c r="E75" s="24" t="s">
        <v>38</v>
      </c>
      <c r="F75" s="94" t="s">
        <v>39</v>
      </c>
      <c r="G75" s="93"/>
      <c r="H75" s="93"/>
      <c r="I75" s="98"/>
      <c r="J75" s="93"/>
    </row>
    <row r="76" spans="1:10" ht="16.5" customHeight="1">
      <c r="A76" s="22">
        <v>1</v>
      </c>
      <c r="B76" s="25" t="s">
        <v>36</v>
      </c>
      <c r="C76" s="94" t="s">
        <v>37</v>
      </c>
      <c r="D76" s="93"/>
      <c r="E76" s="24" t="s">
        <v>40</v>
      </c>
      <c r="F76" s="94" t="s">
        <v>41</v>
      </c>
      <c r="G76" s="93"/>
      <c r="H76" s="93"/>
      <c r="I76" s="98"/>
      <c r="J76" s="93"/>
    </row>
    <row r="77" spans="1:10" ht="16.5" customHeight="1">
      <c r="A77" s="22"/>
      <c r="B77" s="25"/>
      <c r="C77" s="94"/>
      <c r="D77" s="93"/>
      <c r="E77" s="24"/>
      <c r="F77" s="94"/>
      <c r="G77" s="93"/>
      <c r="H77" s="93"/>
      <c r="I77" s="98"/>
      <c r="J77" s="93"/>
    </row>
    <row r="78" spans="1:10" ht="16.5" customHeight="1">
      <c r="A78" s="22"/>
      <c r="B78" s="25"/>
      <c r="C78" s="94"/>
      <c r="D78" s="93"/>
      <c r="E78" s="24"/>
      <c r="F78" s="94"/>
      <c r="G78" s="93"/>
      <c r="H78" s="93"/>
      <c r="I78" s="98"/>
      <c r="J78" s="93"/>
    </row>
    <row r="79" spans="1:10" ht="16.5" customHeight="1">
      <c r="A79" s="22"/>
      <c r="B79" s="25"/>
      <c r="C79" s="94"/>
      <c r="D79" s="93"/>
      <c r="E79" s="24"/>
      <c r="F79" s="94"/>
      <c r="G79" s="93"/>
      <c r="H79" s="93"/>
      <c r="I79" s="98"/>
      <c r="J79" s="93"/>
    </row>
    <row r="80" spans="1:10" ht="16.5" customHeight="1">
      <c r="A80" s="22"/>
      <c r="B80" s="25"/>
      <c r="C80" s="94"/>
      <c r="D80" s="93"/>
      <c r="E80" s="24"/>
      <c r="F80" s="94"/>
      <c r="G80" s="93"/>
      <c r="H80" s="93"/>
      <c r="I80" s="98"/>
      <c r="J80" s="9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90" t="s">
        <v>42</v>
      </c>
      <c r="B82" s="91"/>
      <c r="C82" s="90" t="s">
        <v>43</v>
      </c>
      <c r="D82" s="91"/>
      <c r="E82" s="91"/>
      <c r="F82" s="17" t="s">
        <v>44</v>
      </c>
      <c r="G82" s="90" t="s">
        <v>45</v>
      </c>
      <c r="H82" s="91"/>
      <c r="I82" s="90" t="s">
        <v>46</v>
      </c>
      <c r="J82" s="91"/>
    </row>
    <row r="83" spans="1:10" ht="14.25" customHeight="1">
      <c r="A83" s="8"/>
      <c r="B83" s="18"/>
      <c r="C83" s="116" t="s">
        <v>47</v>
      </c>
      <c r="D83" s="117"/>
      <c r="E83" s="18"/>
      <c r="F83" s="116" t="s">
        <v>29</v>
      </c>
      <c r="G83" s="117"/>
      <c r="H83" s="117"/>
      <c r="I83" s="117"/>
      <c r="J83" s="117"/>
    </row>
    <row r="84" spans="1:10">
      <c r="A84" s="9"/>
      <c r="C84" s="7"/>
      <c r="D84" s="7"/>
      <c r="E84" s="7"/>
    </row>
    <row r="85" spans="1:10" ht="14.25" customHeight="1">
      <c r="A85" s="94" t="s">
        <v>62</v>
      </c>
      <c r="B85" s="93"/>
      <c r="C85" s="94" t="s">
        <v>63</v>
      </c>
      <c r="D85" s="93"/>
      <c r="E85" s="93"/>
      <c r="F85" s="26" t="s">
        <v>27</v>
      </c>
      <c r="G85" s="92">
        <v>544</v>
      </c>
      <c r="H85" s="93"/>
      <c r="I85" s="92">
        <v>16</v>
      </c>
      <c r="J85" s="93"/>
    </row>
    <row r="86" spans="1:10" ht="24.95" customHeight="1">
      <c r="A86" s="97" t="s">
        <v>64</v>
      </c>
      <c r="B86" s="93"/>
      <c r="C86" s="94" t="s">
        <v>11</v>
      </c>
      <c r="D86" s="93"/>
      <c r="E86" s="93"/>
      <c r="F86" s="94"/>
      <c r="G86" s="93"/>
      <c r="H86" s="93"/>
      <c r="I86" s="93"/>
      <c r="J86" s="93"/>
    </row>
    <row r="87" spans="1:10" ht="14.25" customHeight="1">
      <c r="A87" s="94" t="s">
        <v>65</v>
      </c>
      <c r="B87" s="93"/>
      <c r="C87" s="94" t="s">
        <v>66</v>
      </c>
      <c r="D87" s="93"/>
      <c r="E87" s="93"/>
      <c r="F87" s="26" t="s">
        <v>27</v>
      </c>
      <c r="G87" s="92">
        <v>31.552</v>
      </c>
      <c r="H87" s="93"/>
      <c r="I87" s="92">
        <v>0.92800000000000005</v>
      </c>
      <c r="J87" s="93"/>
    </row>
    <row r="88" spans="1:10" ht="24.95" customHeight="1">
      <c r="A88" s="97" t="s">
        <v>67</v>
      </c>
      <c r="B88" s="93"/>
      <c r="C88" s="94"/>
      <c r="D88" s="93"/>
      <c r="E88" s="93"/>
      <c r="F88" s="94"/>
      <c r="G88" s="93"/>
      <c r="H88" s="93"/>
      <c r="I88" s="93"/>
      <c r="J88" s="93"/>
    </row>
    <row r="89" spans="1:10" ht="14.25" customHeight="1">
      <c r="A89" s="94" t="s">
        <v>53</v>
      </c>
      <c r="B89" s="93"/>
      <c r="C89" s="94" t="s">
        <v>54</v>
      </c>
      <c r="D89" s="93"/>
      <c r="E89" s="93"/>
      <c r="F89" s="26"/>
      <c r="G89" s="92">
        <v>1.0880000000000001</v>
      </c>
      <c r="H89" s="93"/>
      <c r="I89" s="92">
        <v>3.2000000000000001E-2</v>
      </c>
      <c r="J89" s="93"/>
    </row>
    <row r="90" spans="1:10" ht="24.95" customHeight="1">
      <c r="A90" s="97" t="s">
        <v>55</v>
      </c>
      <c r="B90" s="93"/>
      <c r="C90" s="94" t="s">
        <v>56</v>
      </c>
      <c r="D90" s="93"/>
      <c r="E90" s="93"/>
      <c r="F90" s="94"/>
      <c r="G90" s="93"/>
      <c r="H90" s="93"/>
      <c r="I90" s="93"/>
      <c r="J90" s="93"/>
    </row>
    <row r="91" spans="1:10" ht="14.25" customHeight="1">
      <c r="A91" s="94"/>
      <c r="B91" s="93"/>
      <c r="C91" s="94"/>
      <c r="D91" s="93"/>
      <c r="E91" s="93"/>
      <c r="F91" s="26"/>
      <c r="G91" s="92"/>
      <c r="H91" s="93"/>
      <c r="I91" s="92"/>
      <c r="J91" s="93"/>
    </row>
    <row r="92" spans="1:10" ht="24.95" customHeight="1">
      <c r="A92" s="97"/>
      <c r="B92" s="93"/>
      <c r="C92" s="94"/>
      <c r="D92" s="93"/>
      <c r="E92" s="93"/>
      <c r="F92" s="94"/>
      <c r="G92" s="93"/>
      <c r="H92" s="93"/>
      <c r="I92" s="93"/>
      <c r="J92" s="93"/>
    </row>
    <row r="93" spans="1:10" ht="14.25" customHeight="1">
      <c r="A93" s="94"/>
      <c r="B93" s="93"/>
      <c r="C93" s="94"/>
      <c r="D93" s="93"/>
      <c r="E93" s="93"/>
      <c r="F93" s="26"/>
      <c r="G93" s="92"/>
      <c r="H93" s="93"/>
      <c r="I93" s="92"/>
      <c r="J93" s="93"/>
    </row>
    <row r="94" spans="1:10" ht="24.95" customHeight="1" thickBot="1">
      <c r="A94" s="97"/>
      <c r="B94" s="93"/>
      <c r="C94" s="94"/>
      <c r="D94" s="93"/>
      <c r="E94" s="93"/>
      <c r="F94" s="94"/>
      <c r="G94" s="93"/>
      <c r="H94" s="93"/>
      <c r="I94" s="93"/>
      <c r="J94" s="93"/>
    </row>
    <row r="95" spans="1:10" s="5" customFormat="1" ht="18" customHeight="1">
      <c r="A95" s="100" t="s">
        <v>97</v>
      </c>
      <c r="B95" s="101"/>
      <c r="C95" s="101"/>
      <c r="D95" s="101"/>
      <c r="E95" s="102" t="s">
        <v>98</v>
      </c>
      <c r="F95" s="103"/>
      <c r="G95" s="27" t="s">
        <v>99</v>
      </c>
      <c r="H95" s="104" t="s">
        <v>100</v>
      </c>
      <c r="I95" s="105"/>
      <c r="J95" s="28" t="s">
        <v>101</v>
      </c>
    </row>
    <row r="96" spans="1:10" s="7" customFormat="1" ht="18" customHeight="1">
      <c r="A96" s="106" t="str">
        <f>_xlfn.XLOOKUP(B60,[1]VFDB2!A:A,[1]VFDB2!A:A)</f>
        <v>J1AKZYB00207000</v>
      </c>
      <c r="B96" s="107"/>
      <c r="C96" s="107"/>
      <c r="D96" s="107"/>
      <c r="E96" s="110" t="str" cm="1">
        <f t="array" ref="E96">IFERROR(IF(ISBLANK(INDEX(_xlfn._xlws.FILTER([1]加工記録２!$C$3:$C$992, [1]加工記録２!$T$3:$T$992=B62), 6)), "", INDEX(_xlfn._xlws.FILTER([1]加工記録２!$C$3:$C$992, [1]加工記録２!$T$3:$T$992=B62), 6)),"")</f>
        <v>PK-59827 L=700用</v>
      </c>
      <c r="F96" s="111"/>
      <c r="G96" s="141" cm="1">
        <f t="array" ref="G96">IFERROR(IF(ISBLANK(INDEX(_xlfn._xlws.FILTER([1]加工記録２!$C$3:$C$992, [1]加工記録２!$T$3:$T$992=B62), 7)), " ", INDEX(_xlfn._xlws.FILTER([1]加工記録２!$C$3:$C$992, [1]加工記録２!$T$3:$T$992=B62), 7))," ")</f>
        <v>31</v>
      </c>
      <c r="H96" s="76" t="s">
        <v>69</v>
      </c>
      <c r="I96" s="75" cm="1">
        <f t="array" ref="I96:J96">IFERROR(IF(ISBLANK(INDEX(_xlfn._xlws.FILTER([1]加工記録２!$O$3:$P$992, [1]加工記録２!$T$3:$T$992=B62), 1)), "", INDEX(_xlfn._xlws.FILTER([1]加工記録２!$O$3:$P$992, [1]加工記録２!$T$3:$T$992=B62), 1)),"")</f>
        <v>45854</v>
      </c>
      <c r="J96" s="77">
        <v>36</v>
      </c>
    </row>
    <row r="97" spans="1:14" s="5" customFormat="1" ht="18" customHeight="1">
      <c r="A97" s="108"/>
      <c r="B97" s="109"/>
      <c r="C97" s="109"/>
      <c r="D97" s="109"/>
      <c r="E97" s="110"/>
      <c r="F97" s="111"/>
      <c r="G97" s="141"/>
      <c r="H97" s="76" t="s">
        <v>70</v>
      </c>
      <c r="I97" s="74" cm="1">
        <f t="array" ref="I97:J97">IFERROR(IF(ISBLANK(INDEX(_xlfn._xlws.FILTER([1]加工記録２!$O$3:$P$992, [1]加工記録２!$T$3:$T$992=B62), 2)), "", INDEX(_xlfn._xlws.FILTER([1]加工記録２!$O$3:$P$992, [1]加工記録２!$T$3:$T$992=B62), 2)),"")</f>
        <v>1054</v>
      </c>
      <c r="J97" s="78">
        <v>3</v>
      </c>
      <c r="K97" s="29"/>
    </row>
    <row r="98" spans="1:14" s="7" customFormat="1" ht="18" customHeight="1">
      <c r="A98" s="142" t="s">
        <v>71</v>
      </c>
      <c r="B98" s="144" t="str">
        <f>_xlfn.XLOOKUP(B60,[1]VFDB2!A:A,[1]VFDB2!J:J)</f>
        <v>〇</v>
      </c>
      <c r="C98" s="126" t="s">
        <v>72</v>
      </c>
      <c r="D98" s="146">
        <f>_xlfn.XLOOKUP(B60,[1]VFDB2!A:A,[1]VFDB2!P:P)</f>
        <v>2</v>
      </c>
      <c r="E98" s="110" t="str">
        <f>_xlfn.XLOOKUP(B60,[1]VFDB2!A:A,[1]VFDB2!V:V)</f>
        <v>11×２束+12✕1束＝34本</v>
      </c>
      <c r="F98" s="111"/>
      <c r="G98" s="148"/>
      <c r="H98" s="79" t="s">
        <v>73</v>
      </c>
      <c r="I98" s="74" cm="1">
        <f t="array" ref="I98:J98">IFERROR(IF(ISBLANK(INDEX(_xlfn._xlws.FILTER([1]加工記録２!$O$3:$P$992, [1]加工記録２!$T$3:$T$992=B62), 3)), "", INDEX(_xlfn._xlws.FILTER([1]加工記録２!$O$3:$P$992, [1]加工記録２!$T$3:$T$992=B62), 3)),"")</f>
        <v>551</v>
      </c>
      <c r="J98" s="80" t="str">
        <v/>
      </c>
      <c r="K98" s="30"/>
    </row>
    <row r="99" spans="1:14" s="5" customFormat="1" ht="18" customHeight="1">
      <c r="A99" s="143"/>
      <c r="B99" s="145"/>
      <c r="C99" s="127"/>
      <c r="D99" s="147"/>
      <c r="E99" s="110"/>
      <c r="F99" s="111"/>
      <c r="G99" s="148"/>
      <c r="H99" s="79" t="s">
        <v>74</v>
      </c>
      <c r="I99" s="74" cm="1">
        <f t="array" ref="I99:J99">IFERROR(IF(ISBLANK(INDEX(_xlfn._xlws.FILTER([1]加工記録２!$O$3:$P$992, [1]加工記録２!$T$3:$T$992=B62), 4)), "", INDEX(_xlfn._xlws.FILTER([1]加工記録２!$O$3:$P$992, [1]加工記録２!$T$3:$T$992=B62), 4)),"")</f>
        <v>24</v>
      </c>
      <c r="J99" s="81" t="str">
        <v/>
      </c>
      <c r="K99" s="29"/>
    </row>
    <row r="100" spans="1:14" s="7" customFormat="1" ht="18" customHeight="1">
      <c r="A100" s="149" t="s">
        <v>75</v>
      </c>
      <c r="B100" s="151">
        <f>D60</f>
        <v>700</v>
      </c>
      <c r="C100" s="155" t="s">
        <v>76</v>
      </c>
      <c r="D100" s="153" t="str">
        <f>_xlfn.XLOOKUP(B60,[1]VFDB2!A:A,[1]VFDB2!L:L)</f>
        <v>+1</v>
      </c>
      <c r="E100" s="110" t="str">
        <f>_xlfn.XLOOKUP(B60,[1]VFDB2!A:A,[1]VFDB2!W:W)</f>
        <v>両端5cm以上ラップ</v>
      </c>
      <c r="F100" s="111"/>
      <c r="G100" s="148"/>
      <c r="H100" s="79" t="s">
        <v>77</v>
      </c>
      <c r="I100" s="74" cm="1">
        <f t="array" ref="I100:J100">IFERROR(IF(ISBLANK(INDEX(_xlfn._xlws.FILTER([1]加工記録２!$O$3:$P$992, [1]加工記録２!$T$3:$T$992=B62), 5)), "", INDEX(_xlfn._xlws.FILTER([1]加工記録２!$O$3:$P$992, [1]加工記録２!$T$3:$T$992=B62), 5)),"")</f>
        <v>47</v>
      </c>
      <c r="J100" s="82" t="str">
        <v/>
      </c>
      <c r="K100" s="30"/>
    </row>
    <row r="101" spans="1:14" s="5" customFormat="1" ht="18" customHeight="1">
      <c r="A101" s="150"/>
      <c r="B101" s="152"/>
      <c r="C101" s="156"/>
      <c r="D101" s="154"/>
      <c r="E101" s="110"/>
      <c r="F101" s="111"/>
      <c r="G101" s="148"/>
      <c r="H101" s="79" t="s">
        <v>78</v>
      </c>
      <c r="I101" s="74" cm="1">
        <f t="array" ref="I101:J101">IFERROR(IF(ISBLANK(INDEX(_xlfn._xlws.FILTER([1]加工記録２!$O$3:$P$992, [1]加工記録２!$T$3:$T$992=B62), 6)), "", INDEX(_xlfn._xlws.FILTER([1]加工記録２!$O$3:$P$992, [1]加工記録２!$T$3:$T$992=B62), 6)),"")</f>
        <v>0</v>
      </c>
      <c r="J101" s="83" t="str">
        <v/>
      </c>
      <c r="K101" s="29"/>
    </row>
    <row r="102" spans="1:14" s="7" customFormat="1" ht="18" customHeight="1">
      <c r="A102" s="142" t="s">
        <v>79</v>
      </c>
      <c r="B102" s="158" t="str">
        <f>_xlfn.XLOOKUP(B60,[1]VFDB2!A:A,[1]VFDB2!AC:AC)</f>
        <v>換算表確認</v>
      </c>
      <c r="C102" s="160" t="s">
        <v>80</v>
      </c>
      <c r="D102" s="153">
        <f>_xlfn.XLOOKUP(B60,[1]VFDB2!A:A,[1]VFDB2!K:K)</f>
        <v>-1</v>
      </c>
      <c r="E102" s="110" t="str">
        <f>_xlfn.XLOOKUP(B60,[1]VFDB2!A:A,[1]VFDB2!R:R)</f>
        <v>ラベル3枚　長手 中央部分のみ貼付</v>
      </c>
      <c r="F102" s="111"/>
      <c r="G102" s="148"/>
      <c r="H102" s="79" t="s">
        <v>81</v>
      </c>
      <c r="I102" s="74" t="str" cm="1">
        <f t="array" ref="I102:J102">IFERROR(IF(ISBLANK(INDEX(_xlfn._xlws.FILTER([1]加工記録２!$O$3:$P$992, [1]加工記録２!$T$3:$T$992=B62), 7)), "", INDEX(_xlfn._xlws.FILTER([1]加工記録２!$O$3:$P$992, [1]加工記録２!$T$3:$T$992=B62), 7)),"")</f>
        <v>富田・水野</v>
      </c>
      <c r="J102" s="84">
        <v>8</v>
      </c>
      <c r="K102" s="30"/>
    </row>
    <row r="103" spans="1:14" s="5" customFormat="1" ht="18" customHeight="1" thickBot="1">
      <c r="A103" s="157"/>
      <c r="B103" s="159"/>
      <c r="C103" s="161"/>
      <c r="D103" s="162"/>
      <c r="E103" s="163"/>
      <c r="F103" s="164"/>
      <c r="G103" s="165"/>
      <c r="H103" s="85" t="s">
        <v>82</v>
      </c>
      <c r="I103" s="31" t="str" cm="1">
        <f t="array" ref="I103:J103">IFERROR(IF(ISBLANK(INDEX(_xlfn._xlws.FILTER([1]加工記録２!$O$3:$P$992, [1]加工記録２!$T$3:$T$992=B62), 8)), "", INDEX(_xlfn._xlws.FILTER([1]加工記録２!$O$3:$P$992, [1]加工記録２!$T$3:$T$992=B62), 8)),"")</f>
        <v>高森・上野</v>
      </c>
      <c r="J103" s="86">
        <v>47</v>
      </c>
    </row>
    <row r="104" spans="1:14" s="42" customFormat="1" ht="18.95" customHeight="1">
      <c r="A104" s="32" t="s">
        <v>83</v>
      </c>
      <c r="B104" s="33" t="s">
        <v>102</v>
      </c>
      <c r="C104" s="34" t="s">
        <v>84</v>
      </c>
      <c r="D104" s="34" t="s">
        <v>85</v>
      </c>
      <c r="E104" s="35" t="s">
        <v>86</v>
      </c>
      <c r="F104" s="36" t="s">
        <v>87</v>
      </c>
      <c r="G104" s="37" t="s">
        <v>88</v>
      </c>
      <c r="H104" s="38" t="s">
        <v>89</v>
      </c>
      <c r="I104" s="39" t="s">
        <v>90</v>
      </c>
      <c r="J104" s="40" t="s">
        <v>91</v>
      </c>
      <c r="K104" s="41"/>
      <c r="L104" s="41"/>
      <c r="M104" s="41"/>
      <c r="N104" s="41"/>
    </row>
    <row r="105" spans="1:14" s="53" customFormat="1" ht="18.95" customHeight="1">
      <c r="A105" s="87" cm="1">
        <f t="array" ref="A105:J105">IFERROR(IF(ISBLANK(INDEX(_xlfn._xlws.FILTER([1]加工記録２!$D$3:$M$992, [1]加工記録２!$T$3:$T$992=B62), 1)), "", INDEX(_xlfn._xlws.FILTER([1]加工記録２!$D$3:$M$992, [1]加工記録２!$T$3:$T$992=B62), 1)),"")</f>
        <v>45804</v>
      </c>
      <c r="B105" s="44" t="str">
        <v>25E16</v>
      </c>
      <c r="C105" s="45" t="str">
        <v/>
      </c>
      <c r="D105" s="45" t="str">
        <v/>
      </c>
      <c r="E105" s="46" t="str">
        <v/>
      </c>
      <c r="F105" s="47" t="str">
        <v>25E16</v>
      </c>
      <c r="G105" s="48">
        <v>20</v>
      </c>
      <c r="H105" s="49">
        <v>10</v>
      </c>
      <c r="I105" s="50">
        <v>45853</v>
      </c>
      <c r="J105" s="51">
        <v>8</v>
      </c>
      <c r="K105" s="52"/>
      <c r="L105" s="52"/>
      <c r="M105" s="52"/>
      <c r="N105" s="52"/>
    </row>
    <row r="106" spans="1:14" s="53" customFormat="1" ht="18.95" customHeight="1">
      <c r="A106" s="43" cm="1">
        <f t="array" ref="A106:J106">IFERROR(IF(ISBLANK(INDEX(_xlfn._xlws.FILTER([1]加工記録２!$D$3:$M$992, [1]加工記録２!$T$3:$T$992=B62), 2)), "", INDEX(_xlfn._xlws.FILTER([1]加工記録２!$D$3:$M$992, [1]加工記録２!$T$3:$T$992=B62), 2)),"")</f>
        <v>45853</v>
      </c>
      <c r="B106" s="54" t="str">
        <v>25G04</v>
      </c>
      <c r="C106" s="54">
        <v>27</v>
      </c>
      <c r="D106" s="54">
        <v>700.2</v>
      </c>
      <c r="E106" s="55">
        <v>700.22</v>
      </c>
      <c r="F106" s="56" t="str">
        <v>25G04</v>
      </c>
      <c r="G106" s="57">
        <v>560</v>
      </c>
      <c r="H106" s="58">
        <v>280</v>
      </c>
      <c r="I106" s="50">
        <v>45854</v>
      </c>
      <c r="J106" s="51">
        <v>23</v>
      </c>
      <c r="K106" s="52"/>
      <c r="L106" s="52"/>
      <c r="M106" s="52"/>
      <c r="N106" s="52"/>
    </row>
    <row r="107" spans="1:14" s="53" customFormat="1" ht="18.95" customHeight="1">
      <c r="A107" s="43" cm="1">
        <f t="array" ref="A107:J107">IFERROR(IF(ISBLANK(INDEX(_xlfn._xlws.FILTER([1]加工記録２!$D$3:$M$992, [1]加工記録２!$T$3:$T$992=B62), 3)), "", INDEX(_xlfn._xlws.FILTER([1]加工記録２!$D$3:$M$992, [1]加工記録２!$T$3:$T$992=B62), 3)),"")</f>
        <v>45853</v>
      </c>
      <c r="B107" s="54" t="str">
        <v>25G04</v>
      </c>
      <c r="C107" s="54">
        <v>27</v>
      </c>
      <c r="D107" s="54">
        <v>700.2</v>
      </c>
      <c r="E107" s="55">
        <v>700.24</v>
      </c>
      <c r="F107" s="56" t="str">
        <v>25G08</v>
      </c>
      <c r="G107" s="57">
        <v>522</v>
      </c>
      <c r="H107" s="58">
        <v>261</v>
      </c>
      <c r="I107" s="50" t="str">
        <v/>
      </c>
      <c r="J107" s="51" t="str">
        <v/>
      </c>
      <c r="K107" s="52"/>
      <c r="L107" s="52"/>
      <c r="M107" s="52"/>
      <c r="N107" s="52"/>
    </row>
    <row r="108" spans="1:14" s="53" customFormat="1" ht="18.95" customHeight="1">
      <c r="A108" s="43" cm="1">
        <f t="array" ref="A108:J108">IFERROR(IF(ISBLANK(INDEX(_xlfn._xlws.FILTER([1]加工記録２!$D$3:$M$992, [1]加工記録２!$T$3:$T$992=B62), 4)), "", INDEX(_xlfn._xlws.FILTER([1]加工記録２!$D$3:$M$992, [1]加工記録２!$T$3:$T$992=B62), 4)),"")</f>
        <v>45853</v>
      </c>
      <c r="B108" s="54" t="str">
        <v>25G04</v>
      </c>
      <c r="C108" s="54">
        <v>27</v>
      </c>
      <c r="D108" s="54">
        <v>700.2</v>
      </c>
      <c r="E108" s="55">
        <v>700.19</v>
      </c>
      <c r="F108" s="56" t="str">
        <v/>
      </c>
      <c r="G108" s="57" t="str">
        <v/>
      </c>
      <c r="H108" s="58">
        <v>0</v>
      </c>
      <c r="I108" s="50" t="str">
        <v/>
      </c>
      <c r="J108" s="51" t="str">
        <v/>
      </c>
      <c r="K108" s="52"/>
      <c r="L108" s="52"/>
      <c r="M108" s="52"/>
      <c r="N108" s="52"/>
    </row>
    <row r="109" spans="1:14" s="53" customFormat="1" ht="18.95" customHeight="1">
      <c r="A109" s="43" cm="1">
        <f t="array" ref="A109:J109">IFERROR(IF(ISBLANK(INDEX(_xlfn._xlws.FILTER([1]加工記録２!$D$3:$M$992, [1]加工記録２!$T$3:$T$992=B62), 5)), "", INDEX(_xlfn._xlws.FILTER([1]加工記録２!$D$3:$M$992, [1]加工記録２!$T$3:$T$992=B62), 5)),"")</f>
        <v>45853</v>
      </c>
      <c r="B109" s="54" t="str">
        <v>25G08</v>
      </c>
      <c r="C109" s="54">
        <v>27</v>
      </c>
      <c r="D109" s="54">
        <v>700.2</v>
      </c>
      <c r="E109" s="55">
        <v>700.26</v>
      </c>
      <c r="F109" s="56" t="str">
        <v/>
      </c>
      <c r="G109" s="57" t="str">
        <v/>
      </c>
      <c r="H109" s="58">
        <v>0</v>
      </c>
      <c r="I109" s="59" t="str">
        <v/>
      </c>
      <c r="J109" s="60" t="str">
        <v/>
      </c>
      <c r="K109" s="52"/>
      <c r="L109" s="52"/>
      <c r="M109" s="52"/>
      <c r="N109" s="52"/>
    </row>
    <row r="110" spans="1:14" s="53" customFormat="1" ht="18.95" customHeight="1">
      <c r="A110" s="43" cm="1">
        <f t="array" ref="A110:J110">IFERROR(IF(ISBLANK(INDEX(_xlfn._xlws.FILTER([1]加工記録２!$D$3:$M$992, [1]加工記録２!$T$3:$T$992=B62), 6)), "", INDEX(_xlfn._xlws.FILTER([1]加工記録２!$D$3:$M$992, [1]加工記録２!$T$3:$T$992=B62), 6)),"")</f>
        <v>45853</v>
      </c>
      <c r="B110" s="54" t="str">
        <v>25G08</v>
      </c>
      <c r="C110" s="54">
        <v>27</v>
      </c>
      <c r="D110" s="54">
        <v>700.2</v>
      </c>
      <c r="E110" s="55">
        <v>700.25</v>
      </c>
      <c r="F110" s="56" t="str">
        <v/>
      </c>
      <c r="G110" s="57" t="str">
        <v/>
      </c>
      <c r="H110" s="61">
        <v>0</v>
      </c>
      <c r="I110" s="62" t="str">
        <v>旧品加工</v>
      </c>
      <c r="J110" s="63">
        <v>20</v>
      </c>
      <c r="K110" s="52"/>
      <c r="L110" s="52"/>
      <c r="M110" s="52"/>
      <c r="N110" s="52"/>
    </row>
    <row r="111" spans="1:14" s="53" customFormat="1" ht="18.95" customHeight="1">
      <c r="A111" s="43" cm="1">
        <f t="array" ref="A111:J111">IFERROR(IF(ISBLANK(INDEX(_xlfn._xlws.FILTER([1]加工記録２!$D$3:$M$992, [1]加工記録２!$T$3:$T$992=B62), 7)), "", INDEX(_xlfn._xlws.FILTER([1]加工記録２!$D$3:$M$992, [1]加工記録２!$T$3:$T$992=B62), 7)),"")</f>
        <v>45854</v>
      </c>
      <c r="B111" s="54" t="str">
        <v>25G08</v>
      </c>
      <c r="C111" s="54">
        <v>27</v>
      </c>
      <c r="D111" s="54">
        <v>700.2</v>
      </c>
      <c r="E111" s="55">
        <v>700.27</v>
      </c>
      <c r="F111" s="56" t="str">
        <v/>
      </c>
      <c r="G111" s="57" t="str">
        <v/>
      </c>
      <c r="H111" s="61">
        <v>0</v>
      </c>
      <c r="I111" s="64" t="str">
        <v>持出端材</v>
      </c>
      <c r="J111" s="65" t="str">
        <v/>
      </c>
      <c r="K111" s="52"/>
      <c r="L111" s="52"/>
      <c r="M111" s="52"/>
      <c r="N111" s="52"/>
    </row>
    <row r="112" spans="1:14" s="53" customFormat="1" ht="18.95" customHeight="1" thickBot="1">
      <c r="A112" s="66" cm="1">
        <f t="array" ref="A112:J112">IFERROR(IF(ISBLANK(INDEX(_xlfn._xlws.FILTER([1]加工記録２!$D$3:$M$992, [1]加工記録２!$T$3:$T$992=B62), 8)), "", INDEX(_xlfn._xlws.FILTER([1]加工記録２!$D$3:$M$992, [1]加工記録２!$T$3:$T$992=B62), 8)),"")</f>
        <v>45854</v>
      </c>
      <c r="B112" s="67" t="str">
        <v>25G08</v>
      </c>
      <c r="C112" s="67">
        <v>27</v>
      </c>
      <c r="D112" s="67">
        <v>700.2</v>
      </c>
      <c r="E112" s="68">
        <v>700.21</v>
      </c>
      <c r="F112" s="69" t="str">
        <v/>
      </c>
      <c r="G112" s="70" t="str">
        <v/>
      </c>
      <c r="H112" s="71">
        <v>0</v>
      </c>
      <c r="I112" s="72" t="str">
        <v>α端材</v>
      </c>
      <c r="J112" s="73">
        <v>0</v>
      </c>
      <c r="K112" s="52"/>
      <c r="L112" s="52"/>
      <c r="M112" s="52"/>
      <c r="N112" s="52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A102:A103"/>
    <mergeCell ref="B102:B103"/>
    <mergeCell ref="C102:C103"/>
    <mergeCell ref="D102:D103"/>
    <mergeCell ref="E102:G103"/>
    <mergeCell ref="A96:D97"/>
    <mergeCell ref="E96:F97"/>
    <mergeCell ref="G96:G97"/>
    <mergeCell ref="A98:A99"/>
    <mergeCell ref="B98:B99"/>
    <mergeCell ref="C98:C99"/>
    <mergeCell ref="D98:D99"/>
    <mergeCell ref="E98:G99"/>
    <mergeCell ref="A100:A101"/>
    <mergeCell ref="B100:B101"/>
    <mergeCell ref="C100:C101"/>
    <mergeCell ref="D100:D101"/>
    <mergeCell ref="E100:G101"/>
    <mergeCell ref="A45:A46"/>
    <mergeCell ref="B45:B46"/>
    <mergeCell ref="C45:C46"/>
    <mergeCell ref="D45:D46"/>
    <mergeCell ref="E45:G46"/>
    <mergeCell ref="A95:D95"/>
    <mergeCell ref="E95:F95"/>
    <mergeCell ref="F92:J92"/>
    <mergeCell ref="A92:B92"/>
    <mergeCell ref="C94:E94"/>
    <mergeCell ref="A93:B93"/>
    <mergeCell ref="A94:B94"/>
    <mergeCell ref="C93:E93"/>
    <mergeCell ref="I78:J78"/>
    <mergeCell ref="D60:D61"/>
    <mergeCell ref="H95:I95"/>
    <mergeCell ref="G39:G40"/>
    <mergeCell ref="A41:A42"/>
    <mergeCell ref="B41:B42"/>
    <mergeCell ref="C21:D21"/>
    <mergeCell ref="C37:E37"/>
    <mergeCell ref="D41:D42"/>
    <mergeCell ref="E41:G42"/>
    <mergeCell ref="A43:A44"/>
    <mergeCell ref="B43:B44"/>
    <mergeCell ref="D43:D44"/>
    <mergeCell ref="E43:G44"/>
    <mergeCell ref="C43:C44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H69:H70"/>
    <mergeCell ref="B60:B61"/>
    <mergeCell ref="A37:B37"/>
    <mergeCell ref="C36:E36"/>
    <mergeCell ref="I69:J70"/>
    <mergeCell ref="F88:J88"/>
    <mergeCell ref="C75:D75"/>
    <mergeCell ref="C22:D22"/>
    <mergeCell ref="C80:D80"/>
    <mergeCell ref="F26:J26"/>
    <mergeCell ref="J4:J5"/>
    <mergeCell ref="A90:B90"/>
    <mergeCell ref="F33:J33"/>
    <mergeCell ref="C91:E91"/>
    <mergeCell ref="F3:H4"/>
    <mergeCell ref="I18:J18"/>
    <mergeCell ref="G34:H34"/>
    <mergeCell ref="A33:B33"/>
    <mergeCell ref="C76:D76"/>
    <mergeCell ref="A85:B85"/>
    <mergeCell ref="B64:B65"/>
    <mergeCell ref="F31:J31"/>
    <mergeCell ref="A35:B35"/>
    <mergeCell ref="G91:H91"/>
    <mergeCell ref="A89:B89"/>
    <mergeCell ref="C32:E32"/>
    <mergeCell ref="B58:D59"/>
    <mergeCell ref="C60:C61"/>
    <mergeCell ref="I77:J77"/>
    <mergeCell ref="B3:B4"/>
    <mergeCell ref="I80:J80"/>
    <mergeCell ref="A87:B87"/>
    <mergeCell ref="H10:J11"/>
    <mergeCell ref="I32:J32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D3:D4"/>
    <mergeCell ref="A15:J15"/>
    <mergeCell ref="H12:H13"/>
    <mergeCell ref="C87:E87"/>
    <mergeCell ref="F9:G9"/>
    <mergeCell ref="A91:B91"/>
    <mergeCell ref="I82:J82"/>
    <mergeCell ref="C33:E33"/>
    <mergeCell ref="C89:E89"/>
    <mergeCell ref="G25:H25"/>
    <mergeCell ref="I19:J19"/>
    <mergeCell ref="C88:E88"/>
    <mergeCell ref="F62:H63"/>
    <mergeCell ref="C18:D18"/>
    <mergeCell ref="C35:E35"/>
    <mergeCell ref="F64:G64"/>
    <mergeCell ref="E60:E61"/>
    <mergeCell ref="A36:B36"/>
    <mergeCell ref="G69:G70"/>
    <mergeCell ref="A72:J72"/>
    <mergeCell ref="F7:G7"/>
    <mergeCell ref="F23:H23"/>
    <mergeCell ref="C20:D20"/>
    <mergeCell ref="C78:D78"/>
    <mergeCell ref="F5:H6"/>
    <mergeCell ref="F90:J90"/>
    <mergeCell ref="A32:B32"/>
    <mergeCell ref="I23:J23"/>
    <mergeCell ref="G89:H89"/>
    <mergeCell ref="C92:E92"/>
    <mergeCell ref="C30:E30"/>
    <mergeCell ref="C23:D23"/>
    <mergeCell ref="I79:J79"/>
    <mergeCell ref="E62:E63"/>
    <mergeCell ref="F16:H16"/>
    <mergeCell ref="I73:J73"/>
    <mergeCell ref="F37:J37"/>
    <mergeCell ref="J61:J62"/>
    <mergeCell ref="F20:H20"/>
    <mergeCell ref="I34:J34"/>
    <mergeCell ref="B62:B63"/>
    <mergeCell ref="F80:H80"/>
    <mergeCell ref="A82:B82"/>
    <mergeCell ref="A60:A61"/>
    <mergeCell ref="H67:J68"/>
    <mergeCell ref="F75:H75"/>
    <mergeCell ref="G36:H36"/>
    <mergeCell ref="C41:C42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F19:H19"/>
    <mergeCell ref="A29:B29"/>
    <mergeCell ref="C16:D16"/>
    <mergeCell ref="A25:B25"/>
    <mergeCell ref="I85:J85"/>
    <mergeCell ref="F94:J94"/>
    <mergeCell ref="A64:A65"/>
    <mergeCell ref="C29:E29"/>
    <mergeCell ref="A31:B31"/>
    <mergeCell ref="F73:H73"/>
    <mergeCell ref="C86:E86"/>
    <mergeCell ref="F18:H18"/>
    <mergeCell ref="F76:H76"/>
    <mergeCell ref="C31:E31"/>
    <mergeCell ref="I89:J89"/>
    <mergeCell ref="F79:H79"/>
    <mergeCell ref="I21:J21"/>
    <mergeCell ref="G87:H87"/>
    <mergeCell ref="I87:J87"/>
    <mergeCell ref="C28:E28"/>
    <mergeCell ref="G32:H32"/>
    <mergeCell ref="A38:D38"/>
    <mergeCell ref="E38:F38"/>
    <mergeCell ref="H38:I38"/>
    <mergeCell ref="A39:D40"/>
    <mergeCell ref="E39:F40"/>
  </mergeCells>
  <phoneticPr fontId="2"/>
  <conditionalFormatting sqref="D50:D55">
    <cfRule type="cellIs" dxfId="5" priority="6" operator="equal">
      <formula>$D49</formula>
    </cfRule>
  </conditionalFormatting>
  <conditionalFormatting sqref="D107:D112">
    <cfRule type="cellIs" dxfId="4" priority="3" operator="equal">
      <formula>$D106</formula>
    </cfRule>
  </conditionalFormatting>
  <conditionalFormatting sqref="I39">
    <cfRule type="cellIs" dxfId="3" priority="4" operator="lessThan">
      <formula>45658</formula>
    </cfRule>
  </conditionalFormatting>
  <conditionalFormatting sqref="I96">
    <cfRule type="cellIs" dxfId="2" priority="1" operator="lessThan">
      <formula>45658</formula>
    </cfRule>
  </conditionalFormatting>
  <conditionalFormatting sqref="J46">
    <cfRule type="cellIs" dxfId="1" priority="5" operator="equal">
      <formula>0</formula>
    </cfRule>
  </conditionalFormatting>
  <conditionalFormatting sqref="J103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2025-07-15T02:51:58Z</cp:lastPrinted>
  <dcterms:created xsi:type="dcterms:W3CDTF">2024-07-11T02:08:33Z</dcterms:created>
  <dcterms:modified xsi:type="dcterms:W3CDTF">2025-07-22T01:53:59Z</dcterms:modified>
</cp:coreProperties>
</file>