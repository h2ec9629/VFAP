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375ECDDB-28EA-430D-9805-92264264EF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83" i="1" l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I267" i="1" s="1"/>
  <c r="G267" i="1"/>
  <c r="G267" i="1" a="1"/>
  <c r="E267" i="1"/>
  <c r="E267" i="1" a="1"/>
  <c r="A267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I210" i="1" s="1"/>
  <c r="G210" i="1" a="1"/>
  <c r="G210" i="1" s="1"/>
  <c r="E210" i="1" a="1"/>
  <c r="E210" i="1" s="1"/>
  <c r="A210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I153" i="1" s="1"/>
  <c r="G153" i="1" a="1"/>
  <c r="G153" i="1" s="1"/>
  <c r="E153" i="1" a="1"/>
  <c r="E153" i="1" s="1"/>
  <c r="A153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<sst xmlns="http://schemas.openxmlformats.org/spreadsheetml/2006/main" count="465" uniqueCount="94">
  <si>
    <t>検査梱包指示書</t>
  </si>
  <si>
    <t>品目番号</t>
  </si>
  <si>
    <t>J1JAPAB00419960</t>
  </si>
  <si>
    <t>Ｌ寸</t>
  </si>
  <si>
    <t>名称</t>
  </si>
  <si>
    <t>採光ﾙｰﾊﾞｰﾊﾟﾈﾙB</t>
  </si>
  <si>
    <t>上長</t>
  </si>
  <si>
    <t>係員</t>
  </si>
  <si>
    <t>製造指図№</t>
  </si>
  <si>
    <t>000000000005329</t>
  </si>
  <si>
    <t>原料名</t>
  </si>
  <si>
    <t>(J6VZ027)(J6AH0460)</t>
  </si>
  <si>
    <t>発注明細№</t>
  </si>
  <si>
    <t>000000000772794</t>
  </si>
  <si>
    <t>色　名</t>
  </si>
  <si>
    <t>WMC(ｸﾘｱ色)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</si>
  <si>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</si>
  <si>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</si>
  <si>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</si>
  <si>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</si>
  <si>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</si>
  <si>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</si>
  <si>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</si>
  <si>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</si>
  <si>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4345</t>
  </si>
  <si>
    <t>*J1JAPAB00419960*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</si>
  <si>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</si>
  <si>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</si>
  <si>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</si>
  <si>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</si>
  <si>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</si>
  <si>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</si>
  <si>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</si>
  <si>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</si>
  <si>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</si>
  <si>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</si>
  <si>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</si>
  <si>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</si>
  <si>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</si>
  <si>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</si>
  <si>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</si>
  <si>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</si>
  <si>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</si>
  <si>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</si>
  <si>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</si>
  <si>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</si>
  <si>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</si>
  <si>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</si>
  <si>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J1JAPAA00420400</t>
  </si>
  <si>
    <t>@採光ﾙｰﾊﾞｰﾊﾟﾈﾙB</t>
  </si>
  <si>
    <t>V3W04</t>
  </si>
  <si>
    <t>*J1JAPAA00420400*</t>
  </si>
  <si>
    <t>J6DK0011</t>
  </si>
  <si>
    <t>上-1</t>
  </si>
  <si>
    <t>*J6DK0011*</t>
  </si>
  <si>
    <t>J6XX0017</t>
  </si>
  <si>
    <t>(管理外)筋入ｸﾗﾌﾄ紙</t>
  </si>
  <si>
    <t>*J6XX0017*</t>
  </si>
  <si>
    <t>600＊100</t>
  </si>
  <si>
    <t>J6DK0011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</si>
  <si>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</si>
  <si>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</si>
  <si>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</si>
  <si>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</si>
  <si>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</si>
  <si>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</si>
  <si>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</si>
  <si>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</si>
  <si>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</si>
  <si>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</si>
  <si>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</si>
  <si>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</si>
  <si>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</si>
  <si>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</si>
  <si>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</si>
  <si>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</si>
  <si>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</si>
  <si>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</si>
  <si>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</si>
  <si>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</si>
  <si>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</si>
  <si>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</si>
  <si>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</si>
  <si>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</si>
  <si>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</si>
  <si>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</si>
  <si>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</si>
  <si>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</si>
  <si>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000000000772795</t>
    <phoneticPr fontId="2"/>
  </si>
  <si>
    <t>000000000005330-1</t>
    <phoneticPr fontId="2"/>
  </si>
  <si>
    <t>計測Lot</t>
    <rPh sb="0" eb="2">
      <t>ケイソク</t>
    </rPh>
    <phoneticPr fontId="2"/>
  </si>
  <si>
    <t>000000000005330-2-1</t>
    <phoneticPr fontId="2"/>
  </si>
  <si>
    <t>000000000005330-2-3</t>
    <phoneticPr fontId="2"/>
  </si>
  <si>
    <t>000000000005330-2-2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</si>
</sst>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yy\,mm\,dd"/>
    <numFmt numFmtId="192" formatCode="#&quot;箱&quot;"/>
    <numFmt numFmtId="193" formatCode="&quot;合計 &quot;#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71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20" xfId="0" applyFont="1" applyFill="1" applyBorder="1" applyAlignment="1">
      <alignment horizontal="center" vertical="center"/>
    </xf>
    <xf numFmtId="49" fontId="6" fillId="4" borderId="20" xfId="1" applyNumberFormat="1" applyFont="1" applyFill="1" applyBorder="1" applyAlignment="1">
      <alignment horizontal="center" vertical="center" shrinkToFit="1"/>
    </xf>
    <xf numFmtId="49" fontId="21" fillId="0" borderId="0" xfId="1" applyNumberFormat="1" applyFont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79" fontId="25" fillId="0" borderId="32" xfId="1" applyNumberFormat="1" applyFont="1" applyBorder="1" applyAlignment="1">
      <alignment horizontal="center" vertical="center" shrinkToFit="1"/>
    </xf>
    <xf numFmtId="0" fontId="26" fillId="6" borderId="18" xfId="0" applyFont="1" applyFill="1" applyBorder="1" applyAlignment="1">
      <alignment horizontal="center" vertical="center"/>
    </xf>
    <xf numFmtId="49" fontId="26" fillId="6" borderId="19" xfId="1" applyNumberFormat="1" applyFont="1" applyFill="1" applyBorder="1" applyAlignment="1">
      <alignment vertical="center" shrinkToFit="1"/>
    </xf>
    <xf numFmtId="49" fontId="26" fillId="6" borderId="19" xfId="1" applyNumberFormat="1" applyFont="1" applyFill="1" applyBorder="1" applyAlignment="1">
      <alignment horizontal="center" vertical="center" shrinkToFit="1"/>
    </xf>
    <xf numFmtId="49" fontId="26" fillId="6" borderId="20" xfId="0" applyNumberFormat="1" applyFont="1" applyFill="1" applyBorder="1" applyAlignment="1">
      <alignment horizontal="center" vertical="center" shrinkToFit="1"/>
    </xf>
    <xf numFmtId="0" fontId="26" fillId="2" borderId="18" xfId="0" applyFont="1" applyFill="1" applyBorder="1">
      <alignment vertical="center"/>
    </xf>
    <xf numFmtId="49" fontId="26" fillId="2" borderId="19" xfId="0" applyNumberFormat="1" applyFont="1" applyFill="1" applyBorder="1" applyAlignment="1">
      <alignment horizontal="center" vertical="center" shrinkToFit="1"/>
    </xf>
    <xf numFmtId="49" fontId="26" fillId="2" borderId="20" xfId="0" applyNumberFormat="1" applyFont="1" applyFill="1" applyBorder="1" applyAlignment="1">
      <alignment horizontal="center" vertical="center" shrinkToFit="1"/>
    </xf>
    <xf numFmtId="0" fontId="27" fillId="3" borderId="34" xfId="0" applyFont="1" applyFill="1" applyBorder="1" applyAlignment="1">
      <alignment horizontal="center" vertical="center"/>
    </xf>
    <xf numFmtId="0" fontId="27" fillId="3" borderId="35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0" borderId="22" xfId="0" applyNumberFormat="1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6" xfId="0" applyFont="1" applyFill="1" applyBorder="1" applyAlignment="1">
      <alignment horizontal="center" vertical="center"/>
    </xf>
    <xf numFmtId="189" fontId="15" fillId="4" borderId="37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3" xfId="0" applyNumberFormat="1" applyFont="1" applyFill="1" applyBorder="1" applyAlignment="1">
      <alignment horizontal="center" vertical="center"/>
    </xf>
    <xf numFmtId="191" fontId="15" fillId="0" borderId="22" xfId="0" applyNumberFormat="1" applyFont="1" applyBorder="1" applyAlignment="1">
      <alignment horizontal="center" vertical="center"/>
    </xf>
    <xf numFmtId="192" fontId="15" fillId="0" borderId="23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0" fontId="15" fillId="0" borderId="2" xfId="0" applyFont="1" applyBorder="1" applyAlignment="1">
      <alignment horizontal="center" vertical="center"/>
    </xf>
    <xf numFmtId="189" fontId="15" fillId="0" borderId="23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3" xfId="0" applyNumberFormat="1" applyFont="1" applyBorder="1" applyAlignment="1">
      <alignment horizontal="center" vertical="center"/>
    </xf>
    <xf numFmtId="191" fontId="15" fillId="0" borderId="25" xfId="0" applyNumberFormat="1" applyFont="1" applyBorder="1" applyAlignment="1">
      <alignment horizontal="center" vertical="center"/>
    </xf>
    <xf numFmtId="192" fontId="15" fillId="0" borderId="38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1" fontId="14" fillId="0" borderId="25" xfId="0" applyNumberFormat="1" applyFont="1" applyBorder="1" applyAlignment="1">
      <alignment horizontal="center" vertical="center"/>
    </xf>
    <xf numFmtId="192" fontId="14" fillId="0" borderId="38" xfId="0" applyNumberFormat="1" applyFont="1" applyBorder="1" applyAlignment="1">
      <alignment horizontal="center" vertical="center"/>
    </xf>
    <xf numFmtId="191" fontId="14" fillId="5" borderId="25" xfId="0" applyNumberFormat="1" applyFont="1" applyFill="1" applyBorder="1" applyAlignment="1">
      <alignment horizontal="center" vertical="center"/>
    </xf>
    <xf numFmtId="192" fontId="14" fillId="5" borderId="38" xfId="0" applyNumberFormat="1" applyFont="1" applyFill="1" applyBorder="1" applyAlignment="1">
      <alignment horizontal="center" vertical="center"/>
    </xf>
    <xf numFmtId="181" fontId="15" fillId="0" borderId="31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89" fontId="15" fillId="0" borderId="33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2" xfId="0" applyNumberFormat="1" applyFont="1" applyBorder="1" applyAlignment="1">
      <alignment horizontal="center" vertical="center"/>
    </xf>
    <xf numFmtId="179" fontId="15" fillId="0" borderId="39" xfId="0" applyNumberFormat="1" applyFont="1" applyBorder="1" applyAlignment="1">
      <alignment horizontal="center" vertical="center"/>
    </xf>
    <xf numFmtId="191" fontId="14" fillId="5" borderId="31" xfId="0" applyNumberFormat="1" applyFont="1" applyFill="1" applyBorder="1" applyAlignment="1">
      <alignment horizontal="center" vertical="center"/>
    </xf>
    <xf numFmtId="192" fontId="14" fillId="5" borderId="33" xfId="0" applyNumberFormat="1" applyFont="1" applyFill="1" applyBorder="1" applyAlignment="1">
      <alignment horizontal="center" vertical="center"/>
    </xf>
    <xf numFmtId="179" fontId="20" fillId="0" borderId="2" xfId="1" applyNumberFormat="1" applyFont="1" applyBorder="1" applyAlignment="1">
      <alignment horizontal="center" vertical="center" shrinkToFit="1"/>
    </xf>
    <xf numFmtId="181" fontId="20" fillId="0" borderId="2" xfId="1" applyNumberFormat="1" applyFont="1" applyBorder="1" applyAlignment="1">
      <alignment horizontal="center" vertical="center" shrinkToFit="1"/>
    </xf>
    <xf numFmtId="179" fontId="19" fillId="0" borderId="22" xfId="0" applyNumberFormat="1" applyFont="1" applyBorder="1" applyAlignment="1">
      <alignment horizontal="left" vertical="center"/>
    </xf>
    <xf numFmtId="182" fontId="19" fillId="5" borderId="23" xfId="0" applyNumberFormat="1" applyFont="1" applyFill="1" applyBorder="1" applyAlignment="1">
      <alignment horizontal="left" vertical="center" shrinkToFit="1"/>
    </xf>
    <xf numFmtId="183" fontId="19" fillId="5" borderId="23" xfId="0" applyNumberFormat="1" applyFont="1" applyFill="1" applyBorder="1" applyAlignment="1">
      <alignment horizontal="left" vertical="center" shrinkToFit="1"/>
    </xf>
    <xf numFmtId="0" fontId="19" fillId="0" borderId="22" xfId="0" applyFont="1" applyBorder="1" applyAlignment="1">
      <alignment horizontal="left" vertical="center" wrapText="1"/>
    </xf>
    <xf numFmtId="184" fontId="19" fillId="5" borderId="23" xfId="0" applyNumberFormat="1" applyFont="1" applyFill="1" applyBorder="1" applyAlignment="1">
      <alignment horizontal="left" vertical="center" shrinkToFit="1"/>
    </xf>
    <xf numFmtId="185" fontId="19" fillId="5" borderId="23" xfId="0" applyNumberFormat="1" applyFont="1" applyFill="1" applyBorder="1" applyAlignment="1">
      <alignment horizontal="left" vertical="center" shrinkToFit="1"/>
    </xf>
    <xf numFmtId="187" fontId="19" fillId="5" borderId="23" xfId="0" applyNumberFormat="1" applyFont="1" applyFill="1" applyBorder="1" applyAlignment="1">
      <alignment horizontal="left" vertical="center" shrinkToFit="1"/>
    </xf>
    <xf numFmtId="188" fontId="19" fillId="5" borderId="23" xfId="0" applyNumberFormat="1" applyFont="1" applyFill="1" applyBorder="1" applyAlignment="1">
      <alignment horizontal="left" vertical="center" shrinkToFit="1"/>
    </xf>
    <xf numFmtId="190" fontId="19" fillId="5" borderId="23" xfId="0" applyNumberFormat="1" applyFont="1" applyFill="1" applyBorder="1" applyAlignment="1">
      <alignment horizontal="left" vertical="center" shrinkToFit="1"/>
    </xf>
    <xf numFmtId="0" fontId="19" fillId="0" borderId="31" xfId="0" applyFont="1" applyBorder="1" applyAlignment="1">
      <alignment horizontal="left" vertical="center" wrapText="1"/>
    </xf>
    <xf numFmtId="193" fontId="19" fillId="5" borderId="33" xfId="0" applyNumberFormat="1" applyFont="1" applyFill="1" applyBorder="1" applyAlignment="1">
      <alignment horizontal="center" vertical="center"/>
    </xf>
    <xf numFmtId="181" fontId="15" fillId="4" borderId="22" xfId="0" applyNumberFormat="1" applyFont="1" applyFill="1" applyBorder="1" applyAlignment="1">
      <alignment horizontal="center" vertical="center"/>
    </xf>
    <xf numFmtId="189" fontId="19" fillId="0" borderId="23" xfId="0" applyNumberFormat="1" applyFont="1" applyBorder="1" applyAlignment="1">
      <alignment horizontal="center" vertical="center"/>
    </xf>
    <xf numFmtId="0" fontId="32" fillId="0" borderId="0" xfId="0" applyFont="1">
      <alignment vertical="center"/>
    </xf>
    <xf numFmtId="49" fontId="33" fillId="0" borderId="0" xfId="0" applyNumberFormat="1" applyFont="1" applyAlignment="1">
      <alignment vertical="top" shrinkToFit="1"/>
    </xf>
    <xf numFmtId="0" fontId="16" fillId="0" borderId="21" xfId="1" applyFont="1" applyBorder="1" applyAlignment="1">
      <alignment horizontal="left" vertical="center" shrinkToFit="1"/>
    </xf>
    <xf numFmtId="0" fontId="16" fillId="0" borderId="14" xfId="1" applyFont="1" applyBorder="1" applyAlignment="1">
      <alignment horizontal="left" vertical="center" shrinkToFit="1"/>
    </xf>
    <xf numFmtId="0" fontId="16" fillId="0" borderId="24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80" fontId="18" fillId="0" borderId="23" xfId="1" applyNumberFormat="1" applyFont="1" applyBorder="1" applyAlignment="1">
      <alignment horizontal="center" vertical="center" shrinkToFit="1"/>
    </xf>
    <xf numFmtId="0" fontId="14" fillId="2" borderId="25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6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2" fillId="0" borderId="14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179" fontId="17" fillId="5" borderId="23" xfId="0" applyNumberFormat="1" applyFont="1" applyFill="1" applyBorder="1" applyAlignment="1">
      <alignment horizontal="left" vertical="center" shrinkToFit="1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27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6" xfId="0" applyNumberFormat="1" applyFont="1" applyFill="1" applyBorder="1" applyAlignment="1">
      <alignment horizontal="center" vertical="center"/>
    </xf>
    <xf numFmtId="49" fontId="24" fillId="2" borderId="16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7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6" xfId="0" applyBorder="1" applyAlignment="1"/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6" xfId="1" applyNumberFormat="1" applyFont="1" applyBorder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1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0" fontId="14" fillId="2" borderId="28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9" xfId="0" applyNumberFormat="1" applyFont="1" applyBorder="1" applyAlignment="1">
      <alignment horizontal="center" vertical="center"/>
    </xf>
    <xf numFmtId="49" fontId="24" fillId="2" borderId="26" xfId="1" applyNumberFormat="1" applyFont="1" applyFill="1" applyBorder="1" applyAlignment="1">
      <alignment horizontal="center" vertical="center" shrinkToFit="1"/>
    </xf>
    <xf numFmtId="49" fontId="24" fillId="2" borderId="30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179" fontId="17" fillId="5" borderId="33" xfId="0" applyNumberFormat="1" applyFont="1" applyFill="1" applyBorder="1" applyAlignment="1">
      <alignment horizontal="left" vertical="center" shrinkToFit="1"/>
    </xf>
    <xf numFmtId="0" fontId="1" fillId="0" borderId="0" xfId="0" applyFont="1">
      <alignment vertical="center"/>
    </xf>
    <xf numFmtId="49" fontId="12" fillId="0" borderId="10" xfId="1" applyNumberFormat="1" applyFont="1" applyBorder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1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161926</xdr:colOff>
      <xdr:row>3</xdr:row>
      <xdr:rowOff>76201</xdr:rowOff>
    </xdr:from>
    <xdr:to>
      <xdr:col>9</xdr:col>
      <xdr:colOff>600076</xdr:colOff>
      <xdr:row>5</xdr:row>
      <xdr:rowOff>114301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B686051-E1BC-CC2C-EC6B-68CCDA178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1" y="619126"/>
          <a:ext cx="438150" cy="438150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161926</xdr:colOff>
      <xdr:row>60</xdr:row>
      <xdr:rowOff>95251</xdr:rowOff>
    </xdr:from>
    <xdr:to>
      <xdr:col>9</xdr:col>
      <xdr:colOff>619126</xdr:colOff>
      <xdr:row>62</xdr:row>
      <xdr:rowOff>152401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C9AD7A-6445-C38B-C816-12A4BC141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1" y="13868401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60</xdr:row>
      <xdr:rowOff>76200</xdr:rowOff>
    </xdr:from>
    <xdr:to>
      <xdr:col>8</xdr:col>
      <xdr:colOff>638175</xdr:colOff>
      <xdr:row>62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11D12CE-E1D4-7EF7-4A0B-7B45BB137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138493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3</xdr:row>
      <xdr:rowOff>57150</xdr:rowOff>
    </xdr:from>
    <xdr:to>
      <xdr:col>8</xdr:col>
      <xdr:colOff>619125</xdr:colOff>
      <xdr:row>5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638456D-624C-41DD-A39A-4EE890092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600075"/>
          <a:ext cx="485775" cy="485775"/>
        </a:xfrm>
        <a:prstGeom prst="rect">
          <a:avLst/>
        </a:prstGeom>
      </xdr:spPr>
    </xdr:pic>
    <xdr:clientData/>
  </xdr:twoCellAnchor>
  <xdr:oneCellAnchor>
    <xdr:from>
      <xdr:col>9</xdr:col>
      <xdr:colOff>161926</xdr:colOff>
      <xdr:row>117</xdr:row>
      <xdr:rowOff>95251</xdr:rowOff>
    </xdr:from>
    <xdr:ext cx="457200" cy="457200"/>
    <xdr:pic>
      <xdr:nvPicPr>
        <xdr:cNvPr id="8" name="図 7">
          <a:extLst>
            <a:ext uri="{FF2B5EF4-FFF2-40B4-BE49-F238E27FC236}">
              <a16:creationId xmlns:a16="http://schemas.microsoft.com/office/drawing/2014/main" id="{7B0960A6-C62F-446A-8668-9E2696833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1" y="13868401"/>
          <a:ext cx="457200" cy="457200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117</xdr:row>
      <xdr:rowOff>76200</xdr:rowOff>
    </xdr:from>
    <xdr:ext cx="485775" cy="485775"/>
    <xdr:pic>
      <xdr:nvPicPr>
        <xdr:cNvPr id="9" name="図 8">
          <a:extLst>
            <a:ext uri="{FF2B5EF4-FFF2-40B4-BE49-F238E27FC236}">
              <a16:creationId xmlns:a16="http://schemas.microsoft.com/office/drawing/2014/main" id="{1D8C1A69-464C-4BB5-AF1F-9800F0722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13849350"/>
          <a:ext cx="485775" cy="485775"/>
        </a:xfrm>
        <a:prstGeom prst="rect">
          <a:avLst/>
        </a:prstGeom>
      </xdr:spPr>
    </xdr:pic>
    <xdr:clientData/>
  </xdr:oneCellAnchor>
  <xdr:oneCellAnchor>
    <xdr:from>
      <xdr:col>9</xdr:col>
      <xdr:colOff>161926</xdr:colOff>
      <xdr:row>174</xdr:row>
      <xdr:rowOff>95251</xdr:rowOff>
    </xdr:from>
    <xdr:ext cx="457200" cy="457200"/>
    <xdr:pic>
      <xdr:nvPicPr>
        <xdr:cNvPr id="6" name="図 5">
          <a:extLst>
            <a:ext uri="{FF2B5EF4-FFF2-40B4-BE49-F238E27FC236}">
              <a16:creationId xmlns:a16="http://schemas.microsoft.com/office/drawing/2014/main" id="{F00E0770-7374-4630-B226-369FAC0AA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0926" y="26368376"/>
          <a:ext cx="457200" cy="457200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174</xdr:row>
      <xdr:rowOff>76200</xdr:rowOff>
    </xdr:from>
    <xdr:ext cx="485775" cy="485775"/>
    <xdr:pic>
      <xdr:nvPicPr>
        <xdr:cNvPr id="7" name="図 6">
          <a:extLst>
            <a:ext uri="{FF2B5EF4-FFF2-40B4-BE49-F238E27FC236}">
              <a16:creationId xmlns:a16="http://schemas.microsoft.com/office/drawing/2014/main" id="{20138B93-DDC5-47C4-B32F-CB31BD3C0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1775" y="26349325"/>
          <a:ext cx="485775" cy="485775"/>
        </a:xfrm>
        <a:prstGeom prst="rect">
          <a:avLst/>
        </a:prstGeom>
      </xdr:spPr>
    </xdr:pic>
    <xdr:clientData/>
  </xdr:oneCellAnchor>
  <xdr:oneCellAnchor>
    <xdr:from>
      <xdr:col>9</xdr:col>
      <xdr:colOff>161926</xdr:colOff>
      <xdr:row>230</xdr:row>
      <xdr:rowOff>95251</xdr:rowOff>
    </xdr:from>
    <xdr:ext cx="457200" cy="457200"/>
    <xdr:pic>
      <xdr:nvPicPr>
        <xdr:cNvPr id="10" name="図 9">
          <a:extLst>
            <a:ext uri="{FF2B5EF4-FFF2-40B4-BE49-F238E27FC236}">
              <a16:creationId xmlns:a16="http://schemas.microsoft.com/office/drawing/2014/main" id="{0232BD88-6A74-425E-A382-9E5D0FD0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0926" y="39243001"/>
          <a:ext cx="457200" cy="457200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230</xdr:row>
      <xdr:rowOff>76200</xdr:rowOff>
    </xdr:from>
    <xdr:ext cx="485775" cy="485775"/>
    <xdr:pic>
      <xdr:nvPicPr>
        <xdr:cNvPr id="11" name="図 10">
          <a:extLst>
            <a:ext uri="{FF2B5EF4-FFF2-40B4-BE49-F238E27FC236}">
              <a16:creationId xmlns:a16="http://schemas.microsoft.com/office/drawing/2014/main" id="{2CA695A7-639B-46F8-8989-6F3F59DBD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1775" y="39223950"/>
          <a:ext cx="485775" cy="485775"/>
        </a:xfrm>
        <a:prstGeom prst="rect">
          <a:avLst/>
        </a:prstGeom>
      </xdr:spPr>
    </xdr:pic>
    <xdr:clientData/>
  </xdr:oneCellAnchor>
  <xdr:oneCellAnchor>
    <xdr:from>
      <xdr:col>9</xdr:col>
      <xdr:colOff>161926</xdr:colOff>
      <xdr:row>174</xdr:row>
      <xdr:rowOff>95251</xdr:rowOff>
    </xdr:from>
    <xdr:ext cx="457200" cy="457200"/>
    <xdr:pic>
      <xdr:nvPicPr>
        <xdr:cNvPr id="12" name="図 11">
          <a:extLst>
            <a:ext uri="{FF2B5EF4-FFF2-40B4-BE49-F238E27FC236}">
              <a16:creationId xmlns:a16="http://schemas.microsoft.com/office/drawing/2014/main" id="{5E26BC4D-CB38-4CA7-B791-4106D4563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9602" y="39394280"/>
          <a:ext cx="457200" cy="457200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174</xdr:row>
      <xdr:rowOff>76200</xdr:rowOff>
    </xdr:from>
    <xdr:ext cx="485775" cy="485775"/>
    <xdr:pic>
      <xdr:nvPicPr>
        <xdr:cNvPr id="13" name="図 12">
          <a:extLst>
            <a:ext uri="{FF2B5EF4-FFF2-40B4-BE49-F238E27FC236}">
              <a16:creationId xmlns:a16="http://schemas.microsoft.com/office/drawing/2014/main" id="{F6D7CDB1-6FF8-47ED-BFBA-6C607FF8C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3253" y="39375229"/>
          <a:ext cx="485775" cy="485775"/>
        </a:xfrm>
        <a:prstGeom prst="rect">
          <a:avLst/>
        </a:prstGeom>
      </xdr:spPr>
    </xdr:pic>
    <xdr:clientData/>
  </xdr:oneCellAnchor>
  <xdr:oneCellAnchor>
    <xdr:from>
      <xdr:col>9</xdr:col>
      <xdr:colOff>161926</xdr:colOff>
      <xdr:row>117</xdr:row>
      <xdr:rowOff>95251</xdr:rowOff>
    </xdr:from>
    <xdr:ext cx="457200" cy="460561"/>
    <xdr:pic>
      <xdr:nvPicPr>
        <xdr:cNvPr id="14" name="図 13">
          <a:extLst>
            <a:ext uri="{FF2B5EF4-FFF2-40B4-BE49-F238E27FC236}">
              <a16:creationId xmlns:a16="http://schemas.microsoft.com/office/drawing/2014/main" id="{E3524939-453E-4B89-AFB3-F7A001562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9602" y="13553516"/>
          <a:ext cx="457200" cy="460561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117</xdr:row>
      <xdr:rowOff>76200</xdr:rowOff>
    </xdr:from>
    <xdr:ext cx="485775" cy="489136"/>
    <xdr:pic>
      <xdr:nvPicPr>
        <xdr:cNvPr id="15" name="図 14">
          <a:extLst>
            <a:ext uri="{FF2B5EF4-FFF2-40B4-BE49-F238E27FC236}">
              <a16:creationId xmlns:a16="http://schemas.microsoft.com/office/drawing/2014/main" id="{54CBD85F-7DDF-4E74-95D4-313F6C1FA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3253" y="13534465"/>
          <a:ext cx="485775" cy="489136"/>
        </a:xfrm>
        <a:prstGeom prst="rect">
          <a:avLst/>
        </a:prstGeom>
      </xdr:spPr>
    </xdr:pic>
    <xdr:clientData/>
  </xdr:oneCellAnchor>
  <xdr:oneCellAnchor>
    <xdr:from>
      <xdr:col>9</xdr:col>
      <xdr:colOff>161926</xdr:colOff>
      <xdr:row>174</xdr:row>
      <xdr:rowOff>95251</xdr:rowOff>
    </xdr:from>
    <xdr:ext cx="457200" cy="460561"/>
    <xdr:pic>
      <xdr:nvPicPr>
        <xdr:cNvPr id="16" name="図 15">
          <a:extLst>
            <a:ext uri="{FF2B5EF4-FFF2-40B4-BE49-F238E27FC236}">
              <a16:creationId xmlns:a16="http://schemas.microsoft.com/office/drawing/2014/main" id="{5E2D4E5F-7C1F-4793-B484-AA7C8CFA5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9602" y="13553516"/>
          <a:ext cx="457200" cy="460561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174</xdr:row>
      <xdr:rowOff>76200</xdr:rowOff>
    </xdr:from>
    <xdr:ext cx="485775" cy="489136"/>
    <xdr:pic>
      <xdr:nvPicPr>
        <xdr:cNvPr id="17" name="図 16">
          <a:extLst>
            <a:ext uri="{FF2B5EF4-FFF2-40B4-BE49-F238E27FC236}">
              <a16:creationId xmlns:a16="http://schemas.microsoft.com/office/drawing/2014/main" id="{10A99DC4-D322-4E9D-B88D-374704F2C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3253" y="13534465"/>
          <a:ext cx="485775" cy="489136"/>
        </a:xfrm>
        <a:prstGeom prst="rect">
          <a:avLst/>
        </a:prstGeom>
      </xdr:spPr>
    </xdr:pic>
    <xdr:clientData/>
  </xdr:oneCellAnchor>
  <xdr:oneCellAnchor>
    <xdr:from>
      <xdr:col>9</xdr:col>
      <xdr:colOff>161926</xdr:colOff>
      <xdr:row>231</xdr:row>
      <xdr:rowOff>95251</xdr:rowOff>
    </xdr:from>
    <xdr:ext cx="457200" cy="457200"/>
    <xdr:pic>
      <xdr:nvPicPr>
        <xdr:cNvPr id="18" name="図 17">
          <a:extLst>
            <a:ext uri="{FF2B5EF4-FFF2-40B4-BE49-F238E27FC236}">
              <a16:creationId xmlns:a16="http://schemas.microsoft.com/office/drawing/2014/main" id="{E6CC0689-C5ED-4E46-BEC5-C6263A104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9602" y="39394280"/>
          <a:ext cx="457200" cy="457200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231</xdr:row>
      <xdr:rowOff>76200</xdr:rowOff>
    </xdr:from>
    <xdr:ext cx="485775" cy="485775"/>
    <xdr:pic>
      <xdr:nvPicPr>
        <xdr:cNvPr id="19" name="図 18">
          <a:extLst>
            <a:ext uri="{FF2B5EF4-FFF2-40B4-BE49-F238E27FC236}">
              <a16:creationId xmlns:a16="http://schemas.microsoft.com/office/drawing/2014/main" id="{E79C25F1-62D2-4A2A-BE8A-1345E635F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3253" y="39375229"/>
          <a:ext cx="485775" cy="485775"/>
        </a:xfrm>
        <a:prstGeom prst="rect">
          <a:avLst/>
        </a:prstGeom>
      </xdr:spPr>
    </xdr:pic>
    <xdr:clientData/>
  </xdr:oneCellAnchor>
  <xdr:oneCellAnchor>
    <xdr:from>
      <xdr:col>9</xdr:col>
      <xdr:colOff>161926</xdr:colOff>
      <xdr:row>231</xdr:row>
      <xdr:rowOff>95251</xdr:rowOff>
    </xdr:from>
    <xdr:ext cx="457200" cy="457200"/>
    <xdr:pic>
      <xdr:nvPicPr>
        <xdr:cNvPr id="20" name="図 19">
          <a:extLst>
            <a:ext uri="{FF2B5EF4-FFF2-40B4-BE49-F238E27FC236}">
              <a16:creationId xmlns:a16="http://schemas.microsoft.com/office/drawing/2014/main" id="{3C399B9F-DC9D-4C10-86E7-9C0FD4CBF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9602" y="39394280"/>
          <a:ext cx="457200" cy="457200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231</xdr:row>
      <xdr:rowOff>76200</xdr:rowOff>
    </xdr:from>
    <xdr:ext cx="485775" cy="485775"/>
    <xdr:pic>
      <xdr:nvPicPr>
        <xdr:cNvPr id="21" name="図 20">
          <a:extLst>
            <a:ext uri="{FF2B5EF4-FFF2-40B4-BE49-F238E27FC236}">
              <a16:creationId xmlns:a16="http://schemas.microsoft.com/office/drawing/2014/main" id="{4C322170-5617-4827-94C7-3AA6C0E4A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3253" y="39375229"/>
          <a:ext cx="485775" cy="485775"/>
        </a:xfrm>
        <a:prstGeom prst="rect">
          <a:avLst/>
        </a:prstGeom>
      </xdr:spPr>
    </xdr:pic>
    <xdr:clientData/>
  </xdr:oneCellAnchor>
  <xdr:oneCellAnchor>
    <xdr:from>
      <xdr:col>9</xdr:col>
      <xdr:colOff>161926</xdr:colOff>
      <xdr:row>231</xdr:row>
      <xdr:rowOff>95251</xdr:rowOff>
    </xdr:from>
    <xdr:ext cx="457200" cy="460561"/>
    <xdr:pic>
      <xdr:nvPicPr>
        <xdr:cNvPr id="22" name="図 21">
          <a:extLst>
            <a:ext uri="{FF2B5EF4-FFF2-40B4-BE49-F238E27FC236}">
              <a16:creationId xmlns:a16="http://schemas.microsoft.com/office/drawing/2014/main" id="{DCF5789D-BF7A-4053-82BD-5CF69F380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9602" y="39394280"/>
          <a:ext cx="457200" cy="460561"/>
        </a:xfrm>
        <a:prstGeom prst="rect">
          <a:avLst/>
        </a:prstGeom>
      </xdr:spPr>
    </xdr:pic>
    <xdr:clientData/>
  </xdr:oneCellAnchor>
  <xdr:oneCellAnchor>
    <xdr:from>
      <xdr:col>8</xdr:col>
      <xdr:colOff>152400</xdr:colOff>
      <xdr:row>231</xdr:row>
      <xdr:rowOff>76200</xdr:rowOff>
    </xdr:from>
    <xdr:ext cx="485775" cy="489136"/>
    <xdr:pic>
      <xdr:nvPicPr>
        <xdr:cNvPr id="23" name="図 22">
          <a:extLst>
            <a:ext uri="{FF2B5EF4-FFF2-40B4-BE49-F238E27FC236}">
              <a16:creationId xmlns:a16="http://schemas.microsoft.com/office/drawing/2014/main" id="{D8779079-99C8-4B02-B28D-4B7A60CB0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3253" y="39375229"/>
          <a:ext cx="485775" cy="48913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7.xlsm" TargetMode="External"/><Relationship Id="rId1" Type="http://schemas.openxmlformats.org/officeDocument/2006/relationships/externalLinkPath" Target="/Users/&#40658;&#37096;&#24037;&#26989;&#65293;&#65328;&#65315;/Desktop/sgt2507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8.xlsm" TargetMode="External"/><Relationship Id="rId1" Type="http://schemas.openxmlformats.org/officeDocument/2006/relationships/externalLinkPath" Target="/Users/&#40658;&#37096;&#24037;&#26989;&#65293;&#65328;&#65315;/Desktop/sgt25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  <sheetName val="Sheet1"/>
    </sheetNames>
    <sheetDataSet>
      <sheetData sheetId="0"/>
      <sheetData sheetId="1"/>
      <sheetData sheetId="2">
        <row r="3">
          <cell r="C3" t="str">
            <v>8FL281304 4810　L=297</v>
          </cell>
          <cell r="D3">
            <v>45818</v>
          </cell>
          <cell r="E3" t="str">
            <v>25E27-09</v>
          </cell>
          <cell r="I3" t="str">
            <v>25E27-09</v>
          </cell>
          <cell r="J3">
            <v>12</v>
          </cell>
          <cell r="K3">
            <v>2</v>
          </cell>
          <cell r="L3">
            <v>45835</v>
          </cell>
          <cell r="M3">
            <v>3</v>
          </cell>
          <cell r="O3">
            <v>210</v>
          </cell>
          <cell r="T3" t="str">
            <v>000000000004402</v>
          </cell>
        </row>
        <row r="4">
          <cell r="D4">
            <v>45834</v>
          </cell>
          <cell r="E4" t="str">
            <v>25E28-10</v>
          </cell>
          <cell r="F4">
            <v>26</v>
          </cell>
          <cell r="G4">
            <v>297.12</v>
          </cell>
          <cell r="H4">
            <v>297</v>
          </cell>
          <cell r="I4" t="str">
            <v>25E28-10</v>
          </cell>
          <cell r="J4">
            <v>198</v>
          </cell>
          <cell r="K4">
            <v>33</v>
          </cell>
          <cell r="O4">
            <v>300</v>
          </cell>
          <cell r="T4" t="str">
            <v>000000000004402</v>
          </cell>
        </row>
        <row r="5">
          <cell r="C5">
            <v>300</v>
          </cell>
          <cell r="D5">
            <v>45834</v>
          </cell>
          <cell r="E5" t="str">
            <v>25E28-10</v>
          </cell>
          <cell r="F5">
            <v>26</v>
          </cell>
          <cell r="G5">
            <v>297.12</v>
          </cell>
          <cell r="H5">
            <v>297.33</v>
          </cell>
          <cell r="K5">
            <v>0</v>
          </cell>
          <cell r="O5">
            <v>35</v>
          </cell>
          <cell r="T5" t="str">
            <v>000000000004402</v>
          </cell>
        </row>
        <row r="6">
          <cell r="G6" t="str">
            <v/>
          </cell>
          <cell r="K6">
            <v>0</v>
          </cell>
          <cell r="O6">
            <v>1</v>
          </cell>
          <cell r="T6" t="str">
            <v>000000000004402</v>
          </cell>
        </row>
        <row r="7">
          <cell r="C7">
            <v>6</v>
          </cell>
          <cell r="G7" t="str">
            <v/>
          </cell>
          <cell r="K7">
            <v>0</v>
          </cell>
          <cell r="O7">
            <v>1</v>
          </cell>
          <cell r="T7" t="str">
            <v>000000000004402</v>
          </cell>
        </row>
        <row r="8">
          <cell r="C8" t="str">
            <v>LED-A300</v>
          </cell>
          <cell r="G8" t="str">
            <v/>
          </cell>
          <cell r="K8">
            <v>0</v>
          </cell>
          <cell r="L8" t="str">
            <v>旧品加工</v>
          </cell>
          <cell r="M8">
            <v>12</v>
          </cell>
          <cell r="O8">
            <v>91</v>
          </cell>
          <cell r="T8" t="str">
            <v>000000000004402</v>
          </cell>
        </row>
        <row r="9">
          <cell r="C9">
            <v>3</v>
          </cell>
          <cell r="G9" t="str">
            <v/>
          </cell>
          <cell r="K9">
            <v>0</v>
          </cell>
          <cell r="L9" t="str">
            <v>持出端材</v>
          </cell>
          <cell r="M9">
            <v>91</v>
          </cell>
          <cell r="O9" t="str">
            <v>水野</v>
          </cell>
          <cell r="P9">
            <v>1</v>
          </cell>
          <cell r="T9" t="str">
            <v>000000000004402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高森</v>
          </cell>
          <cell r="P10">
            <v>1</v>
          </cell>
          <cell r="T10" t="str">
            <v>000000000004402</v>
          </cell>
        </row>
        <row r="11">
          <cell r="C11" t="str">
            <v>8FL281304 4810　L=297</v>
          </cell>
          <cell r="I11">
            <v>0</v>
          </cell>
          <cell r="J11">
            <v>0</v>
          </cell>
          <cell r="K11">
            <v>0</v>
          </cell>
          <cell r="L11">
            <v>45835</v>
          </cell>
          <cell r="M11">
            <v>3</v>
          </cell>
          <cell r="O11">
            <v>45835</v>
          </cell>
          <cell r="P11">
            <v>5</v>
          </cell>
          <cell r="T11" t="str">
            <v>000000000004401</v>
          </cell>
        </row>
        <row r="12">
          <cell r="D12">
            <v>45834</v>
          </cell>
          <cell r="E12" t="str">
            <v>25E28-10</v>
          </cell>
          <cell r="F12">
            <v>26</v>
          </cell>
          <cell r="G12">
            <v>297.12</v>
          </cell>
          <cell r="H12">
            <v>297.32</v>
          </cell>
          <cell r="I12" t="str">
            <v>25E28-10</v>
          </cell>
          <cell r="J12">
            <v>305</v>
          </cell>
          <cell r="K12">
            <v>51</v>
          </cell>
          <cell r="O12">
            <v>300</v>
          </cell>
          <cell r="T12" t="str">
            <v>000000000004401</v>
          </cell>
        </row>
        <row r="13">
          <cell r="C13">
            <v>300</v>
          </cell>
          <cell r="D13">
            <v>45834</v>
          </cell>
          <cell r="E13" t="str">
            <v>25E28-10</v>
          </cell>
          <cell r="F13">
            <v>26</v>
          </cell>
          <cell r="G13">
            <v>297.12</v>
          </cell>
          <cell r="H13">
            <v>297.27999999999997</v>
          </cell>
          <cell r="K13">
            <v>0</v>
          </cell>
          <cell r="O13">
            <v>51</v>
          </cell>
          <cell r="T13" t="str">
            <v>000000000004401</v>
          </cell>
        </row>
        <row r="14">
          <cell r="D14">
            <v>45835</v>
          </cell>
          <cell r="E14" t="str">
            <v>25E28-10</v>
          </cell>
          <cell r="F14">
            <v>24</v>
          </cell>
          <cell r="G14">
            <v>297.08</v>
          </cell>
          <cell r="H14">
            <v>297.24</v>
          </cell>
          <cell r="K14">
            <v>0</v>
          </cell>
          <cell r="O14">
            <v>1</v>
          </cell>
          <cell r="T14" t="str">
            <v>000000000004401</v>
          </cell>
        </row>
        <row r="15">
          <cell r="C15">
            <v>6</v>
          </cell>
          <cell r="D15">
            <v>45835</v>
          </cell>
          <cell r="E15" t="str">
            <v>25E28-10</v>
          </cell>
          <cell r="F15">
            <v>24</v>
          </cell>
          <cell r="G15">
            <v>297.08</v>
          </cell>
          <cell r="H15">
            <v>297.5</v>
          </cell>
          <cell r="K15">
            <v>0</v>
          </cell>
          <cell r="O15">
            <v>5</v>
          </cell>
          <cell r="T15" t="str">
            <v>000000000004401</v>
          </cell>
        </row>
        <row r="16">
          <cell r="C16" t="str">
            <v>LED-A300</v>
          </cell>
          <cell r="G16" t="str">
            <v/>
          </cell>
          <cell r="K16">
            <v>0</v>
          </cell>
          <cell r="L16" t="str">
            <v>旧品加工</v>
          </cell>
          <cell r="O16">
            <v>0</v>
          </cell>
          <cell r="T16" t="str">
            <v>000000000004401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水野</v>
          </cell>
          <cell r="T17" t="str">
            <v>000000000004401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 t="str">
            <v>高森</v>
          </cell>
          <cell r="P18">
            <v>5</v>
          </cell>
          <cell r="T18" t="str">
            <v>000000000004401</v>
          </cell>
        </row>
        <row r="19">
          <cell r="C19" t="str">
            <v>8FL281304 6110　L=1478</v>
          </cell>
          <cell r="D19">
            <v>45814</v>
          </cell>
          <cell r="E19" t="str">
            <v>25E27-09</v>
          </cell>
          <cell r="I19" t="str">
            <v>25E27-09</v>
          </cell>
          <cell r="J19">
            <v>5</v>
          </cell>
          <cell r="K19">
            <v>5</v>
          </cell>
          <cell r="L19">
            <v>45835</v>
          </cell>
          <cell r="M19">
            <v>2</v>
          </cell>
          <cell r="O19">
            <v>45835</v>
          </cell>
          <cell r="P19">
            <v>1</v>
          </cell>
          <cell r="T19" t="str">
            <v>000000000004406</v>
          </cell>
        </row>
        <row r="20">
          <cell r="D20">
            <v>45835</v>
          </cell>
          <cell r="E20" t="str">
            <v>25E28-10</v>
          </cell>
          <cell r="F20">
            <v>24</v>
          </cell>
          <cell r="G20">
            <v>1478.38</v>
          </cell>
          <cell r="H20">
            <v>1478.33</v>
          </cell>
          <cell r="I20" t="str">
            <v>25E28-10</v>
          </cell>
          <cell r="J20">
            <v>147</v>
          </cell>
          <cell r="K20">
            <v>147</v>
          </cell>
          <cell r="O20">
            <v>200</v>
          </cell>
          <cell r="T20" t="str">
            <v>000000000004406</v>
          </cell>
        </row>
        <row r="21">
          <cell r="C21">
            <v>200</v>
          </cell>
          <cell r="D21">
            <v>45835</v>
          </cell>
          <cell r="E21" t="str">
            <v>25E29-11</v>
          </cell>
          <cell r="F21">
            <v>26</v>
          </cell>
          <cell r="G21">
            <v>1478.58</v>
          </cell>
          <cell r="H21">
            <v>1478.63</v>
          </cell>
          <cell r="I21" t="str">
            <v>25E29-11</v>
          </cell>
          <cell r="J21">
            <v>49</v>
          </cell>
          <cell r="K21">
            <v>49</v>
          </cell>
          <cell r="O21">
            <v>201</v>
          </cell>
          <cell r="T21" t="str">
            <v>000000000004406</v>
          </cell>
        </row>
        <row r="22">
          <cell r="G22" t="str">
            <v/>
          </cell>
          <cell r="K22">
            <v>0</v>
          </cell>
          <cell r="O22">
            <v>1</v>
          </cell>
          <cell r="T22" t="str">
            <v>000000000004406</v>
          </cell>
        </row>
        <row r="23">
          <cell r="C23">
            <v>1</v>
          </cell>
          <cell r="G23" t="str">
            <v/>
          </cell>
          <cell r="K23">
            <v>0</v>
          </cell>
          <cell r="O23">
            <v>1</v>
          </cell>
          <cell r="T23" t="str">
            <v>000000000004406</v>
          </cell>
        </row>
        <row r="24">
          <cell r="C24" t="str">
            <v>LED-A1478</v>
          </cell>
          <cell r="G24" t="str">
            <v/>
          </cell>
          <cell r="K24">
            <v>0</v>
          </cell>
          <cell r="L24" t="str">
            <v>旧品加工</v>
          </cell>
          <cell r="M24">
            <v>5</v>
          </cell>
          <cell r="O24">
            <v>0</v>
          </cell>
          <cell r="T24" t="str">
            <v>000000000004406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000000000004406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高森</v>
          </cell>
          <cell r="P26">
            <v>1</v>
          </cell>
          <cell r="T26" t="str">
            <v>000000000004406</v>
          </cell>
        </row>
        <row r="27">
          <cell r="C27" t="str">
            <v>8FL281304 6110　L=1478</v>
          </cell>
          <cell r="I27">
            <v>0</v>
          </cell>
          <cell r="J27">
            <v>0</v>
          </cell>
          <cell r="K27">
            <v>0</v>
          </cell>
          <cell r="L27">
            <v>45835</v>
          </cell>
          <cell r="M27">
            <v>3</v>
          </cell>
          <cell r="O27">
            <v>45838</v>
          </cell>
          <cell r="P27">
            <v>4</v>
          </cell>
          <cell r="T27" t="str">
            <v>000000000004405</v>
          </cell>
        </row>
        <row r="28">
          <cell r="D28">
            <v>45835</v>
          </cell>
          <cell r="E28" t="str">
            <v>25E29-11</v>
          </cell>
          <cell r="F28">
            <v>26</v>
          </cell>
          <cell r="G28">
            <v>1478.58</v>
          </cell>
          <cell r="H28">
            <v>1478.61</v>
          </cell>
          <cell r="I28" t="str">
            <v>25E29-11</v>
          </cell>
          <cell r="J28">
            <v>604</v>
          </cell>
          <cell r="K28">
            <v>604</v>
          </cell>
          <cell r="L28">
            <v>45838</v>
          </cell>
          <cell r="M28">
            <v>3</v>
          </cell>
          <cell r="O28">
            <v>600</v>
          </cell>
          <cell r="T28" t="str">
            <v>000000000004405</v>
          </cell>
        </row>
        <row r="29">
          <cell r="C29">
            <v>600</v>
          </cell>
          <cell r="D29">
            <v>45835</v>
          </cell>
          <cell r="E29" t="str">
            <v>25E29-11</v>
          </cell>
          <cell r="F29">
            <v>28</v>
          </cell>
          <cell r="G29">
            <v>1478.77</v>
          </cell>
          <cell r="H29">
            <v>1478.56</v>
          </cell>
          <cell r="K29">
            <v>0</v>
          </cell>
          <cell r="O29">
            <v>604</v>
          </cell>
          <cell r="T29" t="str">
            <v>000000000004405</v>
          </cell>
        </row>
        <row r="30">
          <cell r="G30" t="str">
            <v/>
          </cell>
          <cell r="K30">
            <v>0</v>
          </cell>
          <cell r="O30">
            <v>4</v>
          </cell>
          <cell r="T30" t="str">
            <v>000000000004405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4</v>
          </cell>
          <cell r="T31" t="str">
            <v>000000000004405</v>
          </cell>
        </row>
        <row r="32">
          <cell r="C32" t="str">
            <v>LED-A1478</v>
          </cell>
          <cell r="G32" t="str">
            <v/>
          </cell>
          <cell r="K32">
            <v>0</v>
          </cell>
          <cell r="L32" t="str">
            <v>旧品加工</v>
          </cell>
          <cell r="O32">
            <v>0</v>
          </cell>
          <cell r="T32" t="str">
            <v>000000000004405</v>
          </cell>
        </row>
        <row r="33">
          <cell r="C33">
            <v>6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T33" t="str">
            <v>000000000004405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高森</v>
          </cell>
          <cell r="P34">
            <v>4</v>
          </cell>
          <cell r="T34" t="str">
            <v>000000000004405</v>
          </cell>
        </row>
        <row r="35">
          <cell r="C35" t="str">
            <v>8FL281304 5010　L=888</v>
          </cell>
          <cell r="D35">
            <v>45821</v>
          </cell>
          <cell r="E35" t="str">
            <v>25E28-10</v>
          </cell>
          <cell r="I35" t="str">
            <v>25E28-10</v>
          </cell>
          <cell r="J35">
            <v>2</v>
          </cell>
          <cell r="K35">
            <v>1</v>
          </cell>
          <cell r="L35">
            <v>45838</v>
          </cell>
          <cell r="M35">
            <v>6</v>
          </cell>
          <cell r="O35">
            <v>45838</v>
          </cell>
          <cell r="P35">
            <v>3</v>
          </cell>
          <cell r="T35" t="str">
            <v>000000000004404</v>
          </cell>
        </row>
        <row r="36">
          <cell r="D36">
            <v>45835</v>
          </cell>
          <cell r="E36" t="str">
            <v>25E29-11</v>
          </cell>
          <cell r="F36">
            <v>28</v>
          </cell>
          <cell r="G36">
            <v>888.46</v>
          </cell>
          <cell r="H36">
            <v>888.37</v>
          </cell>
          <cell r="I36" t="str">
            <v>25E29-11</v>
          </cell>
          <cell r="J36">
            <v>288</v>
          </cell>
          <cell r="K36">
            <v>144</v>
          </cell>
          <cell r="O36">
            <v>600</v>
          </cell>
          <cell r="T36" t="str">
            <v>000000000004404</v>
          </cell>
        </row>
        <row r="37">
          <cell r="C37">
            <v>600</v>
          </cell>
          <cell r="D37">
            <v>45835</v>
          </cell>
          <cell r="E37" t="str">
            <v>25E30-12</v>
          </cell>
          <cell r="F37">
            <v>28</v>
          </cell>
          <cell r="G37">
            <v>888.46</v>
          </cell>
          <cell r="H37">
            <v>888.73</v>
          </cell>
          <cell r="I37" t="str">
            <v>25E30-12</v>
          </cell>
          <cell r="J37">
            <v>312</v>
          </cell>
          <cell r="K37">
            <v>156</v>
          </cell>
          <cell r="O37">
            <v>301</v>
          </cell>
          <cell r="T37" t="str">
            <v>000000000004404</v>
          </cell>
        </row>
        <row r="38">
          <cell r="D38">
            <v>45838</v>
          </cell>
          <cell r="E38" t="str">
            <v>25E30-12</v>
          </cell>
          <cell r="F38">
            <v>28</v>
          </cell>
          <cell r="G38">
            <v>888.46</v>
          </cell>
          <cell r="H38">
            <v>888.42</v>
          </cell>
          <cell r="K38">
            <v>0</v>
          </cell>
          <cell r="O38">
            <v>2</v>
          </cell>
          <cell r="T38" t="str">
            <v>000000000004404</v>
          </cell>
        </row>
        <row r="39">
          <cell r="C39">
            <v>2</v>
          </cell>
          <cell r="D39">
            <v>45838</v>
          </cell>
          <cell r="E39" t="str">
            <v>25E30-12</v>
          </cell>
          <cell r="F39">
            <v>32</v>
          </cell>
          <cell r="G39">
            <v>888.69</v>
          </cell>
          <cell r="H39">
            <v>888.62</v>
          </cell>
          <cell r="K39">
            <v>0</v>
          </cell>
          <cell r="O39">
            <v>3</v>
          </cell>
          <cell r="T39" t="str">
            <v>000000000004404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M40">
            <v>3</v>
          </cell>
          <cell r="O40">
            <v>1</v>
          </cell>
          <cell r="T40" t="str">
            <v>000000000004404</v>
          </cell>
        </row>
        <row r="41">
          <cell r="C41">
            <v>6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000000000004404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1</v>
          </cell>
          <cell r="O42" t="str">
            <v>高森</v>
          </cell>
          <cell r="P42">
            <v>3</v>
          </cell>
          <cell r="T42" t="str">
            <v>000000000004404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45839</v>
          </cell>
          <cell r="M43">
            <v>7</v>
          </cell>
          <cell r="O43">
            <v>45839</v>
          </cell>
          <cell r="P43">
            <v>5</v>
          </cell>
          <cell r="T43" t="str">
            <v>000000000004403</v>
          </cell>
        </row>
        <row r="44">
          <cell r="D44">
            <v>45838</v>
          </cell>
          <cell r="E44" t="str">
            <v>25E30-12</v>
          </cell>
          <cell r="F44">
            <v>32</v>
          </cell>
          <cell r="G44">
            <v>888.69</v>
          </cell>
          <cell r="H44">
            <v>888.6</v>
          </cell>
          <cell r="I44" t="str">
            <v>25E30-12</v>
          </cell>
          <cell r="J44">
            <v>705</v>
          </cell>
          <cell r="K44">
            <v>353</v>
          </cell>
          <cell r="O44">
            <v>700</v>
          </cell>
          <cell r="T44" t="str">
            <v>000000000004403</v>
          </cell>
        </row>
        <row r="45">
          <cell r="C45">
            <v>700</v>
          </cell>
          <cell r="D45">
            <v>45839</v>
          </cell>
          <cell r="E45" t="str">
            <v>25E30-12</v>
          </cell>
          <cell r="F45">
            <v>26</v>
          </cell>
          <cell r="G45">
            <v>888.35</v>
          </cell>
          <cell r="H45">
            <v>888.65</v>
          </cell>
          <cell r="K45">
            <v>0</v>
          </cell>
          <cell r="O45">
            <v>353</v>
          </cell>
          <cell r="T45" t="str">
            <v>000000000004403</v>
          </cell>
        </row>
        <row r="46">
          <cell r="D46">
            <v>45839</v>
          </cell>
          <cell r="E46" t="str">
            <v>25E30-12</v>
          </cell>
          <cell r="F46">
            <v>26</v>
          </cell>
          <cell r="G46">
            <v>888.35</v>
          </cell>
          <cell r="H46">
            <v>888.64</v>
          </cell>
          <cell r="K46">
            <v>0</v>
          </cell>
          <cell r="O46">
            <v>3</v>
          </cell>
          <cell r="T46" t="str">
            <v>000000000004403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5</v>
          </cell>
          <cell r="T47" t="str">
            <v>000000000004403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000000000004403</v>
          </cell>
        </row>
        <row r="49">
          <cell r="C49">
            <v>7</v>
          </cell>
          <cell r="G49" t="str">
            <v/>
          </cell>
          <cell r="K49">
            <v>0</v>
          </cell>
          <cell r="L49" t="str">
            <v>持出端材</v>
          </cell>
          <cell r="O49" t="str">
            <v>水野</v>
          </cell>
          <cell r="T49" t="str">
            <v>000000000004403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高森</v>
          </cell>
          <cell r="P50">
            <v>5</v>
          </cell>
          <cell r="T50" t="str">
            <v>000000000004403</v>
          </cell>
        </row>
        <row r="51">
          <cell r="C51" t="str">
            <v>MDP-688A L4　L=2570</v>
          </cell>
          <cell r="I51">
            <v>0</v>
          </cell>
          <cell r="J51">
            <v>0</v>
          </cell>
          <cell r="K51">
            <v>0</v>
          </cell>
          <cell r="L51">
            <v>45839</v>
          </cell>
          <cell r="M51">
            <v>3</v>
          </cell>
          <cell r="O51">
            <v>45839</v>
          </cell>
          <cell r="T51" t="str">
            <v>000000000004826</v>
          </cell>
        </row>
        <row r="52">
          <cell r="D52">
            <v>45839</v>
          </cell>
          <cell r="E52" t="str">
            <v>25C31B</v>
          </cell>
          <cell r="G52">
            <v>2570</v>
          </cell>
          <cell r="H52">
            <v>2571.1999999999998</v>
          </cell>
          <cell r="I52" t="str">
            <v>25C31B</v>
          </cell>
          <cell r="J52">
            <v>150</v>
          </cell>
          <cell r="K52">
            <v>150</v>
          </cell>
          <cell r="O52">
            <v>150</v>
          </cell>
          <cell r="T52" t="str">
            <v>000000000004826</v>
          </cell>
        </row>
        <row r="53">
          <cell r="C53">
            <v>150</v>
          </cell>
          <cell r="D53">
            <v>45839</v>
          </cell>
          <cell r="E53" t="str">
            <v>25C31B</v>
          </cell>
          <cell r="G53">
            <v>2570</v>
          </cell>
          <cell r="H53">
            <v>2571.1999999999998</v>
          </cell>
          <cell r="K53">
            <v>0</v>
          </cell>
          <cell r="O53">
            <v>150</v>
          </cell>
          <cell r="T53" t="str">
            <v>000000000004826</v>
          </cell>
        </row>
        <row r="54">
          <cell r="G54">
            <v>2570</v>
          </cell>
          <cell r="K54">
            <v>0</v>
          </cell>
          <cell r="O54">
            <v>0</v>
          </cell>
          <cell r="T54" t="str">
            <v>000000000004826</v>
          </cell>
        </row>
        <row r="55">
          <cell r="C55">
            <v>1</v>
          </cell>
          <cell r="G55">
            <v>2570</v>
          </cell>
          <cell r="K55">
            <v>0</v>
          </cell>
          <cell r="O55">
            <v>0</v>
          </cell>
          <cell r="T55" t="str">
            <v>000000000004826</v>
          </cell>
        </row>
        <row r="56">
          <cell r="C56" t="str">
            <v>基材梱包箱</v>
          </cell>
          <cell r="G56">
            <v>2570</v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000000000004826</v>
          </cell>
        </row>
        <row r="57">
          <cell r="C57">
            <v>3</v>
          </cell>
          <cell r="G57">
            <v>2570</v>
          </cell>
          <cell r="K57">
            <v>0</v>
          </cell>
          <cell r="L57" t="str">
            <v>持出端材</v>
          </cell>
          <cell r="O57" t="str">
            <v>水野</v>
          </cell>
          <cell r="T57" t="str">
            <v>000000000004826</v>
          </cell>
        </row>
        <row r="58">
          <cell r="G58">
            <v>2570</v>
          </cell>
          <cell r="K58">
            <v>0</v>
          </cell>
          <cell r="L58" t="str">
            <v>α端材</v>
          </cell>
          <cell r="M58">
            <v>0</v>
          </cell>
          <cell r="O58" t="str">
            <v>富田</v>
          </cell>
          <cell r="P58">
            <v>0</v>
          </cell>
          <cell r="T58" t="str">
            <v>000000000004826</v>
          </cell>
        </row>
        <row r="59">
          <cell r="C59" t="str">
            <v>8FL281304 5010　L=888</v>
          </cell>
          <cell r="I59">
            <v>0</v>
          </cell>
          <cell r="J59">
            <v>0</v>
          </cell>
          <cell r="K59">
            <v>0</v>
          </cell>
          <cell r="L59">
            <v>45842</v>
          </cell>
          <cell r="M59">
            <v>1</v>
          </cell>
          <cell r="O59">
            <v>45842</v>
          </cell>
          <cell r="P59">
            <v>2</v>
          </cell>
          <cell r="T59" t="str">
            <v>000000000005124</v>
          </cell>
        </row>
        <row r="60">
          <cell r="D60">
            <v>45842</v>
          </cell>
          <cell r="E60" t="str">
            <v>25E30-12</v>
          </cell>
          <cell r="F60">
            <v>30</v>
          </cell>
          <cell r="G60">
            <v>888.58</v>
          </cell>
          <cell r="H60">
            <v>888.4</v>
          </cell>
          <cell r="I60" t="str">
            <v>25E30-12</v>
          </cell>
          <cell r="J60">
            <v>102</v>
          </cell>
          <cell r="K60">
            <v>51</v>
          </cell>
          <cell r="O60">
            <v>100</v>
          </cell>
          <cell r="T60" t="str">
            <v>000000000005124</v>
          </cell>
        </row>
        <row r="61">
          <cell r="C61">
            <v>100</v>
          </cell>
          <cell r="D61">
            <v>45842</v>
          </cell>
          <cell r="E61" t="str">
            <v>25E30-12</v>
          </cell>
          <cell r="F61">
            <v>30</v>
          </cell>
          <cell r="G61">
            <v>888.58</v>
          </cell>
          <cell r="H61">
            <v>888.56</v>
          </cell>
          <cell r="K61">
            <v>0</v>
          </cell>
          <cell r="O61">
            <v>51</v>
          </cell>
          <cell r="T61" t="str">
            <v>000000000005124</v>
          </cell>
        </row>
        <row r="62">
          <cell r="G62" t="str">
            <v/>
          </cell>
          <cell r="K62">
            <v>0</v>
          </cell>
          <cell r="O62">
            <v>1</v>
          </cell>
          <cell r="T62" t="str">
            <v>000000000005124</v>
          </cell>
        </row>
        <row r="63">
          <cell r="C63">
            <v>2</v>
          </cell>
          <cell r="G63" t="str">
            <v/>
          </cell>
          <cell r="K63">
            <v>0</v>
          </cell>
          <cell r="O63">
            <v>2</v>
          </cell>
          <cell r="T63" t="str">
            <v>000000000005124</v>
          </cell>
        </row>
        <row r="64">
          <cell r="C64" t="str">
            <v>LED-A888</v>
          </cell>
          <cell r="G64" t="str">
            <v/>
          </cell>
          <cell r="K64">
            <v>0</v>
          </cell>
          <cell r="L64" t="str">
            <v>旧品加工</v>
          </cell>
          <cell r="O64">
            <v>0</v>
          </cell>
          <cell r="T64" t="str">
            <v>000000000005124</v>
          </cell>
        </row>
        <row r="65">
          <cell r="C65">
            <v>1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水野</v>
          </cell>
          <cell r="T65" t="str">
            <v>000000000005124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高森</v>
          </cell>
          <cell r="P66">
            <v>2</v>
          </cell>
          <cell r="T66" t="str">
            <v>000000000005124</v>
          </cell>
        </row>
        <row r="67">
          <cell r="C67" t="str">
            <v>灯具カバーPC IN 2140　L=547</v>
          </cell>
          <cell r="D67">
            <v>45825</v>
          </cell>
          <cell r="E67" t="str">
            <v>25F10-01</v>
          </cell>
          <cell r="I67" t="str">
            <v>25F10-01</v>
          </cell>
          <cell r="J67">
            <v>1</v>
          </cell>
          <cell r="K67">
            <v>1</v>
          </cell>
          <cell r="L67">
            <v>45845</v>
          </cell>
          <cell r="M67">
            <v>10</v>
          </cell>
          <cell r="O67">
            <v>45845</v>
          </cell>
          <cell r="T67" t="str">
            <v>000000000004913</v>
          </cell>
        </row>
        <row r="68">
          <cell r="D68">
            <v>45845</v>
          </cell>
          <cell r="E68" t="str">
            <v>25G01-01</v>
          </cell>
          <cell r="G68" t="str">
            <v/>
          </cell>
          <cell r="I68" t="str">
            <v>25G01-01</v>
          </cell>
          <cell r="J68">
            <v>193</v>
          </cell>
          <cell r="K68">
            <v>193</v>
          </cell>
          <cell r="O68">
            <v>160</v>
          </cell>
          <cell r="P68">
            <v>9</v>
          </cell>
          <cell r="T68" t="str">
            <v>000000000004913</v>
          </cell>
        </row>
        <row r="69">
          <cell r="C69">
            <v>160</v>
          </cell>
          <cell r="G69" t="str">
            <v/>
          </cell>
          <cell r="K69">
            <v>0</v>
          </cell>
          <cell r="O69">
            <v>194</v>
          </cell>
          <cell r="P69">
            <v>25</v>
          </cell>
          <cell r="T69" t="str">
            <v>000000000004913</v>
          </cell>
        </row>
        <row r="70">
          <cell r="G70" t="str">
            <v/>
          </cell>
          <cell r="K70">
            <v>0</v>
          </cell>
          <cell r="O70">
            <v>34</v>
          </cell>
          <cell r="T70" t="str">
            <v>000000000004913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34</v>
          </cell>
          <cell r="T71" t="str">
            <v>000000000004913</v>
          </cell>
        </row>
        <row r="72">
          <cell r="C72" t="str">
            <v>灯具-1　L=1370</v>
          </cell>
          <cell r="G72" t="str">
            <v/>
          </cell>
          <cell r="K72">
            <v>0</v>
          </cell>
          <cell r="L72" t="str">
            <v>旧品加工</v>
          </cell>
          <cell r="M72">
            <v>1</v>
          </cell>
          <cell r="O72">
            <v>0</v>
          </cell>
          <cell r="T72" t="str">
            <v>000000000004913</v>
          </cell>
        </row>
        <row r="73">
          <cell r="C73">
            <v>5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-</v>
          </cell>
          <cell r="T73" t="str">
            <v>000000000004913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O74" t="str">
            <v>富田</v>
          </cell>
          <cell r="P74">
            <v>34</v>
          </cell>
          <cell r="T74" t="str">
            <v>000000000004913</v>
          </cell>
        </row>
        <row r="75">
          <cell r="C75" t="str">
            <v>灯具カバーPC IN 2090　L=840</v>
          </cell>
          <cell r="D75">
            <v>45827</v>
          </cell>
          <cell r="E75" t="str">
            <v>25F10-01</v>
          </cell>
          <cell r="I75" t="str">
            <v>25F10-01</v>
          </cell>
          <cell r="J75">
            <v>2</v>
          </cell>
          <cell r="K75">
            <v>2</v>
          </cell>
          <cell r="L75">
            <v>45845</v>
          </cell>
          <cell r="M75">
            <v>8</v>
          </cell>
          <cell r="O75">
            <v>45845</v>
          </cell>
          <cell r="P75">
            <v>8</v>
          </cell>
          <cell r="T75" t="str">
            <v>000000000004914</v>
          </cell>
        </row>
        <row r="76">
          <cell r="D76">
            <v>45845</v>
          </cell>
          <cell r="E76" t="str">
            <v>25F02-01</v>
          </cell>
          <cell r="G76" t="str">
            <v/>
          </cell>
          <cell r="I76" t="str">
            <v>25F02-01</v>
          </cell>
          <cell r="J76">
            <v>191</v>
          </cell>
          <cell r="K76">
            <v>191</v>
          </cell>
          <cell r="O76">
            <v>128</v>
          </cell>
          <cell r="P76">
            <v>57</v>
          </cell>
          <cell r="T76" t="str">
            <v>000000000004914</v>
          </cell>
        </row>
        <row r="77">
          <cell r="C77">
            <v>128</v>
          </cell>
          <cell r="G77" t="str">
            <v/>
          </cell>
          <cell r="K77">
            <v>0</v>
          </cell>
          <cell r="O77">
            <v>193</v>
          </cell>
          <cell r="T77" t="str">
            <v>000000000004914</v>
          </cell>
        </row>
        <row r="78">
          <cell r="G78" t="str">
            <v/>
          </cell>
          <cell r="K78">
            <v>0</v>
          </cell>
          <cell r="O78">
            <v>65</v>
          </cell>
          <cell r="T78" t="str">
            <v>000000000004914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65</v>
          </cell>
          <cell r="T79" t="str">
            <v>000000000004914</v>
          </cell>
        </row>
        <row r="80">
          <cell r="C80" t="str">
            <v>灯具-2　L＝1996</v>
          </cell>
          <cell r="G80" t="str">
            <v/>
          </cell>
          <cell r="K80">
            <v>0</v>
          </cell>
          <cell r="L80" t="str">
            <v>旧品加工</v>
          </cell>
          <cell r="M80">
            <v>2</v>
          </cell>
          <cell r="O80">
            <v>0</v>
          </cell>
          <cell r="T80" t="str">
            <v>000000000004914</v>
          </cell>
        </row>
        <row r="81">
          <cell r="C81">
            <v>4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-</v>
          </cell>
          <cell r="T81" t="str">
            <v>000000000004914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富田</v>
          </cell>
          <cell r="P82">
            <v>65</v>
          </cell>
          <cell r="T82" t="str">
            <v>000000000004914</v>
          </cell>
        </row>
        <row r="83">
          <cell r="C83" t="str">
            <v>灯具カバーPC IN 2050　L=1183.5</v>
          </cell>
          <cell r="D83">
            <v>45811</v>
          </cell>
          <cell r="E83" t="str">
            <v>25E20-02</v>
          </cell>
          <cell r="I83" t="str">
            <v>25E20-02</v>
          </cell>
          <cell r="J83">
            <v>13</v>
          </cell>
          <cell r="K83">
            <v>13</v>
          </cell>
          <cell r="L83">
            <v>45846</v>
          </cell>
          <cell r="M83">
            <v>11</v>
          </cell>
          <cell r="O83">
            <v>45846</v>
          </cell>
          <cell r="P83">
            <v>6</v>
          </cell>
          <cell r="T83" t="str">
            <v>000000000004916</v>
          </cell>
        </row>
        <row r="84">
          <cell r="D84">
            <v>45846</v>
          </cell>
          <cell r="E84" t="str">
            <v>25G02-01</v>
          </cell>
          <cell r="G84" t="str">
            <v/>
          </cell>
          <cell r="I84" t="str">
            <v>25G02-01</v>
          </cell>
          <cell r="J84">
            <v>200</v>
          </cell>
          <cell r="K84">
            <v>200</v>
          </cell>
          <cell r="O84">
            <v>176</v>
          </cell>
          <cell r="P84">
            <v>31</v>
          </cell>
          <cell r="T84" t="str">
            <v>000000000004916</v>
          </cell>
        </row>
        <row r="85">
          <cell r="C85">
            <v>176</v>
          </cell>
          <cell r="G85" t="str">
            <v/>
          </cell>
          <cell r="K85">
            <v>0</v>
          </cell>
          <cell r="O85">
            <v>213</v>
          </cell>
          <cell r="T85" t="str">
            <v>000000000004916</v>
          </cell>
        </row>
        <row r="86">
          <cell r="G86" t="str">
            <v/>
          </cell>
          <cell r="K86">
            <v>0</v>
          </cell>
          <cell r="O86">
            <v>37</v>
          </cell>
          <cell r="T86" t="str">
            <v>000000000004916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37</v>
          </cell>
          <cell r="T87" t="str">
            <v>000000000004916</v>
          </cell>
        </row>
        <row r="88">
          <cell r="C88" t="str">
            <v>灯具-1　L=1370</v>
          </cell>
          <cell r="G88" t="str">
            <v/>
          </cell>
          <cell r="K88">
            <v>0</v>
          </cell>
          <cell r="L88" t="str">
            <v>旧品加工</v>
          </cell>
          <cell r="M88">
            <v>13</v>
          </cell>
          <cell r="O88">
            <v>0</v>
          </cell>
          <cell r="T88" t="str">
            <v>000000000004916</v>
          </cell>
        </row>
        <row r="89">
          <cell r="C89">
            <v>11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-</v>
          </cell>
          <cell r="T89" t="str">
            <v>000000000004916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高森</v>
          </cell>
          <cell r="P90">
            <v>37</v>
          </cell>
          <cell r="T90" t="str">
            <v>000000000004916</v>
          </cell>
        </row>
        <row r="91">
          <cell r="C91" t="str">
            <v>灯具カバーPC IN 2060　L=1258.5</v>
          </cell>
          <cell r="I91">
            <v>0</v>
          </cell>
          <cell r="J91">
            <v>0</v>
          </cell>
          <cell r="K91">
            <v>0</v>
          </cell>
          <cell r="L91">
            <v>45847</v>
          </cell>
          <cell r="M91">
            <v>4</v>
          </cell>
          <cell r="O91">
            <v>45847</v>
          </cell>
          <cell r="P91">
            <v>4</v>
          </cell>
          <cell r="T91" t="str">
            <v>000000000004918</v>
          </cell>
        </row>
        <row r="92">
          <cell r="D92">
            <v>45847</v>
          </cell>
          <cell r="E92" t="str">
            <v>25G03-01</v>
          </cell>
          <cell r="G92" t="str">
            <v/>
          </cell>
          <cell r="I92" t="str">
            <v>25G03-01</v>
          </cell>
          <cell r="J92">
            <v>89</v>
          </cell>
          <cell r="K92">
            <v>89</v>
          </cell>
          <cell r="O92">
            <v>64</v>
          </cell>
          <cell r="P92">
            <v>21</v>
          </cell>
          <cell r="T92" t="str">
            <v>000000000004918</v>
          </cell>
        </row>
        <row r="93">
          <cell r="C93">
            <v>64</v>
          </cell>
          <cell r="G93" t="str">
            <v/>
          </cell>
          <cell r="K93">
            <v>0</v>
          </cell>
          <cell r="O93">
            <v>89</v>
          </cell>
          <cell r="T93" t="str">
            <v>000000000004918</v>
          </cell>
        </row>
        <row r="94">
          <cell r="G94" t="str">
            <v/>
          </cell>
          <cell r="K94">
            <v>0</v>
          </cell>
          <cell r="O94">
            <v>25</v>
          </cell>
          <cell r="T94" t="str">
            <v>000000000004918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25</v>
          </cell>
          <cell r="T95" t="str">
            <v>000000000004918</v>
          </cell>
        </row>
        <row r="96">
          <cell r="C96" t="str">
            <v>灯具-1　L=1370</v>
          </cell>
          <cell r="G96" t="str">
            <v/>
          </cell>
          <cell r="K96">
            <v>0</v>
          </cell>
          <cell r="L96" t="str">
            <v>旧品加工</v>
          </cell>
          <cell r="O96">
            <v>0</v>
          </cell>
          <cell r="T96" t="str">
            <v>000000000004918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000000000004918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高森</v>
          </cell>
          <cell r="P98">
            <v>25</v>
          </cell>
          <cell r="T98" t="str">
            <v>000000000004918</v>
          </cell>
        </row>
        <row r="99">
          <cell r="C99" t="str">
            <v>灯具カバーPC IN 2500　L=1238</v>
          </cell>
          <cell r="D99">
            <v>45821</v>
          </cell>
          <cell r="E99" t="str">
            <v>24F06-01</v>
          </cell>
          <cell r="I99" t="str">
            <v>24F06-01</v>
          </cell>
          <cell r="J99">
            <v>10</v>
          </cell>
          <cell r="K99">
            <v>10</v>
          </cell>
          <cell r="L99">
            <v>45847</v>
          </cell>
          <cell r="M99">
            <v>5</v>
          </cell>
          <cell r="O99">
            <v>45847</v>
          </cell>
          <cell r="P99">
            <v>2</v>
          </cell>
          <cell r="T99" t="str">
            <v>000000000004917</v>
          </cell>
        </row>
        <row r="100">
          <cell r="D100">
            <v>45847</v>
          </cell>
          <cell r="E100" t="str">
            <v>25G03-01</v>
          </cell>
          <cell r="G100" t="str">
            <v/>
          </cell>
          <cell r="I100" t="str">
            <v>25G03-01</v>
          </cell>
          <cell r="J100">
            <v>92</v>
          </cell>
          <cell r="K100">
            <v>92</v>
          </cell>
          <cell r="O100">
            <v>80</v>
          </cell>
          <cell r="P100">
            <v>19</v>
          </cell>
          <cell r="T100" t="str">
            <v>000000000004917</v>
          </cell>
        </row>
        <row r="101">
          <cell r="C101">
            <v>80</v>
          </cell>
          <cell r="G101" t="str">
            <v/>
          </cell>
          <cell r="K101">
            <v>0</v>
          </cell>
          <cell r="O101">
            <v>102</v>
          </cell>
          <cell r="T101" t="str">
            <v>000000000004917</v>
          </cell>
        </row>
        <row r="102">
          <cell r="G102" t="str">
            <v/>
          </cell>
          <cell r="K102">
            <v>0</v>
          </cell>
          <cell r="O102">
            <v>22</v>
          </cell>
          <cell r="T102" t="str">
            <v>000000000004917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22</v>
          </cell>
          <cell r="T103" t="str">
            <v>000000000004917</v>
          </cell>
        </row>
        <row r="104">
          <cell r="C104" t="str">
            <v>灯具-1　L=1370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10</v>
          </cell>
          <cell r="O104">
            <v>0</v>
          </cell>
          <cell r="T104" t="str">
            <v>000000000004917</v>
          </cell>
        </row>
        <row r="105">
          <cell r="C105">
            <v>5</v>
          </cell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P105">
            <v>1</v>
          </cell>
          <cell r="T105" t="str">
            <v>000000000004917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高森</v>
          </cell>
          <cell r="P106">
            <v>22</v>
          </cell>
          <cell r="T106" t="str">
            <v>000000000004917</v>
          </cell>
        </row>
        <row r="107">
          <cell r="C107" t="str">
            <v>灯具カバーPC IN 2130　L=908</v>
          </cell>
          <cell r="D107">
            <v>45826</v>
          </cell>
          <cell r="E107" t="str">
            <v>25F10-01</v>
          </cell>
          <cell r="I107" t="str">
            <v>25F10-01</v>
          </cell>
          <cell r="J107">
            <v>2</v>
          </cell>
          <cell r="K107">
            <v>2</v>
          </cell>
          <cell r="L107">
            <v>45847</v>
          </cell>
          <cell r="M107">
            <v>13</v>
          </cell>
          <cell r="O107">
            <v>45848</v>
          </cell>
          <cell r="P107">
            <v>4</v>
          </cell>
          <cell r="T107" t="str">
            <v>000000000004915</v>
          </cell>
        </row>
        <row r="108">
          <cell r="D108">
            <v>45847</v>
          </cell>
          <cell r="E108" t="str">
            <v>25G03-02</v>
          </cell>
          <cell r="G108" t="str">
            <v/>
          </cell>
          <cell r="I108" t="str">
            <v>25G03-02</v>
          </cell>
          <cell r="J108">
            <v>200</v>
          </cell>
          <cell r="K108">
            <v>200</v>
          </cell>
          <cell r="L108">
            <v>45848</v>
          </cell>
          <cell r="M108">
            <v>6</v>
          </cell>
          <cell r="O108">
            <v>304</v>
          </cell>
          <cell r="P108">
            <v>93</v>
          </cell>
          <cell r="T108" t="str">
            <v>000000000004915</v>
          </cell>
        </row>
        <row r="109">
          <cell r="C109">
            <v>304</v>
          </cell>
          <cell r="D109">
            <v>45848</v>
          </cell>
          <cell r="E109" t="str">
            <v>25G02-01</v>
          </cell>
          <cell r="G109" t="str">
            <v/>
          </cell>
          <cell r="I109" t="str">
            <v>25G02-01</v>
          </cell>
          <cell r="J109">
            <v>199</v>
          </cell>
          <cell r="K109">
            <v>199</v>
          </cell>
          <cell r="O109">
            <v>401</v>
          </cell>
          <cell r="T109" t="str">
            <v>000000000004915</v>
          </cell>
        </row>
        <row r="110">
          <cell r="G110" t="str">
            <v/>
          </cell>
          <cell r="K110">
            <v>0</v>
          </cell>
          <cell r="O110">
            <v>97</v>
          </cell>
          <cell r="T110" t="str">
            <v>000000000004915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97</v>
          </cell>
          <cell r="T111" t="str">
            <v>000000000004915</v>
          </cell>
        </row>
        <row r="112">
          <cell r="C112" t="str">
            <v>灯具-1　L=1370</v>
          </cell>
          <cell r="G112" t="str">
            <v/>
          </cell>
          <cell r="K112">
            <v>0</v>
          </cell>
          <cell r="L112" t="str">
            <v>旧品加工</v>
          </cell>
          <cell r="M112">
            <v>2</v>
          </cell>
          <cell r="O112">
            <v>0</v>
          </cell>
          <cell r="T112" t="str">
            <v>000000000004915</v>
          </cell>
        </row>
        <row r="113">
          <cell r="C113">
            <v>19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000000000004915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高森</v>
          </cell>
          <cell r="P114">
            <v>97</v>
          </cell>
          <cell r="T114" t="str">
            <v>000000000004915</v>
          </cell>
        </row>
        <row r="115">
          <cell r="C115" t="str">
            <v>灯具カバーPC IN 2470　L=1648</v>
          </cell>
          <cell r="D115">
            <v>45457</v>
          </cell>
          <cell r="E115" t="str">
            <v>24F07-01</v>
          </cell>
          <cell r="I115" t="str">
            <v>24F07-01</v>
          </cell>
          <cell r="J115">
            <v>9</v>
          </cell>
          <cell r="K115">
            <v>9</v>
          </cell>
          <cell r="L115">
            <v>45848</v>
          </cell>
          <cell r="M115">
            <v>6</v>
          </cell>
          <cell r="O115">
            <v>45848</v>
          </cell>
          <cell r="P115">
            <v>1</v>
          </cell>
          <cell r="T115" t="str">
            <v>000000000004920</v>
          </cell>
        </row>
        <row r="116">
          <cell r="D116">
            <v>45848</v>
          </cell>
          <cell r="E116" t="str">
            <v>25G03-01</v>
          </cell>
          <cell r="G116" t="str">
            <v/>
          </cell>
          <cell r="I116" t="str">
            <v>25G03-01</v>
          </cell>
          <cell r="J116">
            <v>98</v>
          </cell>
          <cell r="K116">
            <v>98</v>
          </cell>
          <cell r="O116">
            <v>96</v>
          </cell>
          <cell r="P116">
            <v>10</v>
          </cell>
          <cell r="T116" t="str">
            <v>000000000004920</v>
          </cell>
        </row>
        <row r="117">
          <cell r="C117">
            <v>96</v>
          </cell>
          <cell r="G117" t="str">
            <v/>
          </cell>
          <cell r="K117">
            <v>0</v>
          </cell>
          <cell r="O117">
            <v>107</v>
          </cell>
          <cell r="T117" t="str">
            <v>000000000004920</v>
          </cell>
        </row>
        <row r="118">
          <cell r="G118" t="str">
            <v/>
          </cell>
          <cell r="K118">
            <v>0</v>
          </cell>
          <cell r="O118">
            <v>11</v>
          </cell>
          <cell r="T118" t="str">
            <v>000000000004920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11</v>
          </cell>
          <cell r="T119" t="str">
            <v>000000000004920</v>
          </cell>
        </row>
        <row r="120">
          <cell r="C120" t="str">
            <v>灯具-1　L=1370</v>
          </cell>
          <cell r="G120" t="str">
            <v/>
          </cell>
          <cell r="K120">
            <v>0</v>
          </cell>
          <cell r="L120" t="str">
            <v>旧品加工</v>
          </cell>
          <cell r="M120">
            <v>9</v>
          </cell>
          <cell r="O120">
            <v>0</v>
          </cell>
          <cell r="T120" t="str">
            <v>000000000004920</v>
          </cell>
        </row>
        <row r="121">
          <cell r="C121">
            <v>6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-</v>
          </cell>
          <cell r="T121" t="str">
            <v>000000000004920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 t="str">
            <v>高森</v>
          </cell>
          <cell r="P122">
            <v>11</v>
          </cell>
          <cell r="T122" t="str">
            <v>000000000004920</v>
          </cell>
        </row>
        <row r="123">
          <cell r="C123" t="str">
            <v>灯具カバーPC IN 2080　L=1540</v>
          </cell>
          <cell r="I123">
            <v>0</v>
          </cell>
          <cell r="J123">
            <v>0</v>
          </cell>
          <cell r="K123">
            <v>0</v>
          </cell>
          <cell r="L123">
            <v>45849</v>
          </cell>
          <cell r="M123">
            <v>3</v>
          </cell>
          <cell r="O123">
            <v>45849</v>
          </cell>
          <cell r="P123">
            <v>3</v>
          </cell>
          <cell r="T123" t="str">
            <v>000000000004919</v>
          </cell>
        </row>
        <row r="124">
          <cell r="D124">
            <v>45849</v>
          </cell>
          <cell r="E124" t="str">
            <v>25G03-01</v>
          </cell>
          <cell r="G124" t="str">
            <v/>
          </cell>
          <cell r="I124" t="str">
            <v>25G03-01</v>
          </cell>
          <cell r="J124">
            <v>64</v>
          </cell>
          <cell r="K124">
            <v>64</v>
          </cell>
          <cell r="O124">
            <v>48</v>
          </cell>
          <cell r="P124">
            <v>13</v>
          </cell>
          <cell r="T124" t="str">
            <v>000000000004919</v>
          </cell>
        </row>
        <row r="125">
          <cell r="C125">
            <v>48</v>
          </cell>
          <cell r="G125" t="str">
            <v/>
          </cell>
          <cell r="K125">
            <v>0</v>
          </cell>
          <cell r="O125">
            <v>64</v>
          </cell>
          <cell r="T125" t="str">
            <v>000000000004919</v>
          </cell>
        </row>
        <row r="126">
          <cell r="G126" t="str">
            <v/>
          </cell>
          <cell r="K126">
            <v>0</v>
          </cell>
          <cell r="O126">
            <v>16</v>
          </cell>
          <cell r="T126" t="str">
            <v>000000000004919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16</v>
          </cell>
          <cell r="T127" t="str">
            <v>000000000004919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000000000004919</v>
          </cell>
        </row>
        <row r="129">
          <cell r="C129">
            <v>3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-</v>
          </cell>
          <cell r="T129" t="str">
            <v>000000000004919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高森</v>
          </cell>
          <cell r="P130">
            <v>16</v>
          </cell>
          <cell r="T130" t="str">
            <v>000000000004919</v>
          </cell>
        </row>
        <row r="131">
          <cell r="C131" t="str">
            <v>灯具カバーPC  　2180    L=1309.5</v>
          </cell>
          <cell r="I131">
            <v>0</v>
          </cell>
          <cell r="J131">
            <v>0</v>
          </cell>
          <cell r="K131">
            <v>0</v>
          </cell>
          <cell r="L131">
            <v>45849</v>
          </cell>
          <cell r="M131">
            <v>10</v>
          </cell>
          <cell r="O131">
            <v>45849</v>
          </cell>
          <cell r="T131" t="str">
            <v>000000000004912</v>
          </cell>
        </row>
        <row r="132">
          <cell r="D132">
            <v>45849</v>
          </cell>
          <cell r="E132" t="str">
            <v>25G03-01</v>
          </cell>
          <cell r="F132">
            <v>28</v>
          </cell>
          <cell r="G132">
            <v>1310.2</v>
          </cell>
          <cell r="H132">
            <v>1310.67</v>
          </cell>
          <cell r="I132" t="str">
            <v>25G03-01</v>
          </cell>
          <cell r="J132">
            <v>20</v>
          </cell>
          <cell r="K132">
            <v>20</v>
          </cell>
          <cell r="O132">
            <v>20</v>
          </cell>
          <cell r="T132" t="str">
            <v>000000000004912</v>
          </cell>
        </row>
        <row r="133">
          <cell r="C133">
            <v>20</v>
          </cell>
          <cell r="D133">
            <v>45849</v>
          </cell>
          <cell r="E133" t="str">
            <v>25G03-01</v>
          </cell>
          <cell r="F133">
            <v>28</v>
          </cell>
          <cell r="G133">
            <v>1310.2</v>
          </cell>
          <cell r="H133">
            <v>1310.78</v>
          </cell>
          <cell r="K133">
            <v>0</v>
          </cell>
          <cell r="O133">
            <v>20</v>
          </cell>
          <cell r="T133" t="str">
            <v>000000000004912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000000000004912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000000000004912</v>
          </cell>
        </row>
        <row r="136">
          <cell r="C136" t="str">
            <v>H型ジョイナー</v>
          </cell>
          <cell r="G136" t="str">
            <v/>
          </cell>
          <cell r="K136">
            <v>0</v>
          </cell>
          <cell r="L136" t="str">
            <v>旧品加工</v>
          </cell>
          <cell r="O136">
            <v>0</v>
          </cell>
          <cell r="T136" t="str">
            <v>000000000004912</v>
          </cell>
        </row>
        <row r="137">
          <cell r="C137">
            <v>10</v>
          </cell>
          <cell r="G137" t="str">
            <v/>
          </cell>
          <cell r="K137">
            <v>0</v>
          </cell>
          <cell r="L137" t="str">
            <v>持出端材</v>
          </cell>
          <cell r="O137" t="str">
            <v>水野</v>
          </cell>
          <cell r="T137" t="str">
            <v>000000000004912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高森</v>
          </cell>
          <cell r="P138">
            <v>0</v>
          </cell>
          <cell r="T138" t="str">
            <v>000000000004912</v>
          </cell>
        </row>
        <row r="139">
          <cell r="C139" t="str">
            <v>灯具カバーPC  　2170    L=1279</v>
          </cell>
          <cell r="I139">
            <v>0</v>
          </cell>
          <cell r="J139">
            <v>0</v>
          </cell>
          <cell r="K139">
            <v>0</v>
          </cell>
          <cell r="L139">
            <v>45849</v>
          </cell>
          <cell r="M139">
            <v>10</v>
          </cell>
          <cell r="O139">
            <v>45849</v>
          </cell>
          <cell r="T139" t="str">
            <v>000000000004911</v>
          </cell>
        </row>
        <row r="140">
          <cell r="D140">
            <v>45849</v>
          </cell>
          <cell r="E140" t="str">
            <v>25G03-01</v>
          </cell>
          <cell r="F140">
            <v>28</v>
          </cell>
          <cell r="G140">
            <v>1279.7</v>
          </cell>
          <cell r="H140">
            <v>1280.1300000000001</v>
          </cell>
          <cell r="I140" t="str">
            <v>25G03-01</v>
          </cell>
          <cell r="J140">
            <v>15</v>
          </cell>
          <cell r="K140">
            <v>15</v>
          </cell>
          <cell r="O140">
            <v>20</v>
          </cell>
          <cell r="P140">
            <v>4</v>
          </cell>
          <cell r="T140" t="str">
            <v>000000000004911</v>
          </cell>
        </row>
        <row r="141">
          <cell r="C141">
            <v>20</v>
          </cell>
          <cell r="D141">
            <v>45849</v>
          </cell>
          <cell r="E141" t="str">
            <v>25G03-01</v>
          </cell>
          <cell r="F141">
            <v>28</v>
          </cell>
          <cell r="G141">
            <v>1279.7</v>
          </cell>
          <cell r="K141">
            <v>0</v>
          </cell>
          <cell r="O141">
            <v>15</v>
          </cell>
          <cell r="T141" t="str">
            <v>000000000004911</v>
          </cell>
        </row>
        <row r="142">
          <cell r="G142" t="str">
            <v/>
          </cell>
          <cell r="K142">
            <v>0</v>
          </cell>
          <cell r="O142">
            <v>4</v>
          </cell>
          <cell r="T142" t="str">
            <v>000000000004911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4</v>
          </cell>
          <cell r="T143" t="str">
            <v>000000000004911</v>
          </cell>
        </row>
        <row r="144">
          <cell r="C144" t="str">
            <v>H型ジョイナー</v>
          </cell>
          <cell r="G144" t="str">
            <v/>
          </cell>
          <cell r="K144">
            <v>0</v>
          </cell>
          <cell r="L144" t="str">
            <v>旧品加工</v>
          </cell>
          <cell r="O144">
            <v>9</v>
          </cell>
          <cell r="T144" t="str">
            <v>000000000004911</v>
          </cell>
        </row>
        <row r="145">
          <cell r="C145">
            <v>10</v>
          </cell>
          <cell r="G145" t="str">
            <v/>
          </cell>
          <cell r="K145">
            <v>0</v>
          </cell>
          <cell r="L145" t="str">
            <v>持出端材</v>
          </cell>
          <cell r="M145">
            <v>9</v>
          </cell>
          <cell r="O145" t="str">
            <v>水野</v>
          </cell>
          <cell r="T145" t="str">
            <v>000000000004911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高森</v>
          </cell>
          <cell r="P146">
            <v>4</v>
          </cell>
          <cell r="T146" t="str">
            <v>000000000004911</v>
          </cell>
        </row>
        <row r="147">
          <cell r="C147" t="str">
            <v>灯具カバーPC  　2160    L=613.3</v>
          </cell>
          <cell r="I147">
            <v>0</v>
          </cell>
          <cell r="J147">
            <v>0</v>
          </cell>
          <cell r="K147">
            <v>0</v>
          </cell>
          <cell r="L147">
            <v>45846</v>
          </cell>
          <cell r="M147">
            <v>10</v>
          </cell>
          <cell r="O147">
            <v>45846</v>
          </cell>
          <cell r="T147" t="str">
            <v>000000000004910</v>
          </cell>
        </row>
        <row r="148">
          <cell r="D148">
            <v>45846</v>
          </cell>
          <cell r="E148" t="str">
            <v>25G02-01</v>
          </cell>
          <cell r="F148">
            <v>28</v>
          </cell>
          <cell r="G148">
            <v>613.70000000000005</v>
          </cell>
          <cell r="H148">
            <v>613.45000000000005</v>
          </cell>
          <cell r="I148" t="str">
            <v>25G02-01</v>
          </cell>
          <cell r="J148">
            <v>0</v>
          </cell>
          <cell r="K148">
            <v>0</v>
          </cell>
          <cell r="O148">
            <v>20</v>
          </cell>
          <cell r="T148" t="str">
            <v>000000000004910</v>
          </cell>
        </row>
        <row r="149">
          <cell r="C149">
            <v>20</v>
          </cell>
          <cell r="D149">
            <v>45846</v>
          </cell>
          <cell r="E149" t="str">
            <v>25G02-01</v>
          </cell>
          <cell r="F149">
            <v>28</v>
          </cell>
          <cell r="G149">
            <v>613.70000000000005</v>
          </cell>
          <cell r="H149">
            <v>613.29999999999995</v>
          </cell>
          <cell r="K149">
            <v>0</v>
          </cell>
          <cell r="O149">
            <v>0</v>
          </cell>
          <cell r="T149" t="str">
            <v>000000000004910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000000000004910</v>
          </cell>
        </row>
        <row r="151">
          <cell r="C151">
            <v>2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000000000004910</v>
          </cell>
        </row>
        <row r="152">
          <cell r="C152" t="str">
            <v>H型ジョイナー端材</v>
          </cell>
          <cell r="G152" t="str">
            <v/>
          </cell>
          <cell r="K152">
            <v>0</v>
          </cell>
          <cell r="L152" t="str">
            <v>旧品加工</v>
          </cell>
          <cell r="O152">
            <v>20</v>
          </cell>
          <cell r="T152" t="str">
            <v>000000000004910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持出端材</v>
          </cell>
          <cell r="M153">
            <v>20</v>
          </cell>
          <cell r="O153" t="str">
            <v>水野</v>
          </cell>
          <cell r="T153" t="str">
            <v>000000000004910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高森</v>
          </cell>
          <cell r="P154">
            <v>0</v>
          </cell>
          <cell r="T154" t="str">
            <v>000000000004910</v>
          </cell>
        </row>
        <row r="155">
          <cell r="C155" t="str">
            <v>灯具カバーPC IN 2110　L=1815</v>
          </cell>
          <cell r="I155">
            <v>0</v>
          </cell>
          <cell r="J155">
            <v>0</v>
          </cell>
          <cell r="K155">
            <v>0</v>
          </cell>
          <cell r="L155">
            <v>45849</v>
          </cell>
          <cell r="M155">
            <v>7</v>
          </cell>
          <cell r="O155">
            <v>45852</v>
          </cell>
          <cell r="P155">
            <v>10</v>
          </cell>
          <cell r="T155" t="str">
            <v>000000000004921</v>
          </cell>
        </row>
        <row r="156">
          <cell r="D156">
            <v>45852</v>
          </cell>
          <cell r="E156" t="str">
            <v>25G04-01</v>
          </cell>
          <cell r="G156" t="str">
            <v/>
          </cell>
          <cell r="I156" t="str">
            <v>25G04-01</v>
          </cell>
          <cell r="J156">
            <v>196</v>
          </cell>
          <cell r="K156">
            <v>196</v>
          </cell>
          <cell r="L156">
            <v>45852</v>
          </cell>
          <cell r="M156">
            <v>2</v>
          </cell>
          <cell r="O156">
            <v>144</v>
          </cell>
          <cell r="P156">
            <v>42</v>
          </cell>
          <cell r="T156" t="str">
            <v>000000000004921</v>
          </cell>
        </row>
        <row r="157">
          <cell r="C157">
            <v>144</v>
          </cell>
          <cell r="D157">
            <v>45849</v>
          </cell>
          <cell r="E157" t="str">
            <v>25G04-01</v>
          </cell>
          <cell r="G157" t="str">
            <v/>
          </cell>
          <cell r="K157">
            <v>0</v>
          </cell>
          <cell r="O157">
            <v>196</v>
          </cell>
          <cell r="T157" t="str">
            <v>000000000004921</v>
          </cell>
        </row>
        <row r="158">
          <cell r="G158" t="str">
            <v/>
          </cell>
          <cell r="K158">
            <v>0</v>
          </cell>
          <cell r="O158">
            <v>52</v>
          </cell>
          <cell r="T158" t="str">
            <v>000000000004921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52</v>
          </cell>
          <cell r="T159" t="str">
            <v>000000000004921</v>
          </cell>
        </row>
        <row r="160">
          <cell r="C160" t="str">
            <v>灯具-2　L＝1996</v>
          </cell>
          <cell r="G160" t="str">
            <v/>
          </cell>
          <cell r="K160">
            <v>0</v>
          </cell>
          <cell r="L160" t="str">
            <v>旧品加工</v>
          </cell>
          <cell r="O160">
            <v>0</v>
          </cell>
          <cell r="T160" t="str">
            <v>000000000004921</v>
          </cell>
        </row>
        <row r="161">
          <cell r="C161">
            <v>9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-</v>
          </cell>
          <cell r="T161" t="str">
            <v>000000000004921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高森</v>
          </cell>
          <cell r="P162">
            <v>52</v>
          </cell>
          <cell r="T162" t="str">
            <v>000000000004921</v>
          </cell>
        </row>
        <row r="163">
          <cell r="C163" t="str">
            <v>8FL281304 5010　L=888</v>
          </cell>
          <cell r="D163">
            <v>45842</v>
          </cell>
          <cell r="E163" t="str">
            <v>25E30-12</v>
          </cell>
          <cell r="I163" t="str">
            <v>25E30-12</v>
          </cell>
          <cell r="J163">
            <v>478</v>
          </cell>
          <cell r="K163">
            <v>239</v>
          </cell>
          <cell r="L163">
            <v>45842</v>
          </cell>
          <cell r="M163">
            <v>4</v>
          </cell>
          <cell r="O163">
            <v>45853</v>
          </cell>
          <cell r="P163">
            <v>7</v>
          </cell>
          <cell r="T163" t="str">
            <v>000000000005125</v>
          </cell>
        </row>
        <row r="164">
          <cell r="D164">
            <v>45852</v>
          </cell>
          <cell r="E164" t="str">
            <v>25G08-01</v>
          </cell>
          <cell r="F164">
            <v>30</v>
          </cell>
          <cell r="G164">
            <v>888.58</v>
          </cell>
          <cell r="H164">
            <v>888.57</v>
          </cell>
          <cell r="I164" t="str">
            <v>25G08-01</v>
          </cell>
          <cell r="J164">
            <v>1536</v>
          </cell>
          <cell r="K164">
            <v>768</v>
          </cell>
          <cell r="L164">
            <v>45852</v>
          </cell>
          <cell r="M164">
            <v>10</v>
          </cell>
          <cell r="O164">
            <v>2000</v>
          </cell>
          <cell r="T164" t="str">
            <v>000000000005125</v>
          </cell>
        </row>
        <row r="165">
          <cell r="C165">
            <v>2000</v>
          </cell>
          <cell r="D165">
            <v>45852</v>
          </cell>
          <cell r="E165" t="str">
            <v>25G08-01</v>
          </cell>
          <cell r="F165">
            <v>32</v>
          </cell>
          <cell r="G165">
            <v>888.69</v>
          </cell>
          <cell r="H165">
            <v>888.78</v>
          </cell>
          <cell r="K165">
            <v>0</v>
          </cell>
          <cell r="L165">
            <v>45853</v>
          </cell>
          <cell r="M165">
            <v>6</v>
          </cell>
          <cell r="O165">
            <v>1007</v>
          </cell>
          <cell r="T165" t="str">
            <v>000000000005125</v>
          </cell>
        </row>
        <row r="166">
          <cell r="D166">
            <v>45852</v>
          </cell>
          <cell r="E166" t="str">
            <v>25G08-01</v>
          </cell>
          <cell r="F166">
            <v>32</v>
          </cell>
          <cell r="G166">
            <v>888.69</v>
          </cell>
          <cell r="H166">
            <v>888.84</v>
          </cell>
          <cell r="K166">
            <v>0</v>
          </cell>
          <cell r="O166">
            <v>7</v>
          </cell>
          <cell r="T166" t="str">
            <v>000000000005125</v>
          </cell>
        </row>
        <row r="167">
          <cell r="C167">
            <v>2</v>
          </cell>
          <cell r="D167">
            <v>45852</v>
          </cell>
          <cell r="E167" t="str">
            <v>25G08-01</v>
          </cell>
          <cell r="F167">
            <v>30</v>
          </cell>
          <cell r="G167">
            <v>888.58</v>
          </cell>
          <cell r="H167">
            <v>888.82</v>
          </cell>
          <cell r="K167">
            <v>0</v>
          </cell>
          <cell r="O167">
            <v>14</v>
          </cell>
          <cell r="T167" t="str">
            <v>000000000005125</v>
          </cell>
        </row>
        <row r="168">
          <cell r="C168" t="str">
            <v>LED-A888</v>
          </cell>
          <cell r="D168">
            <v>45852</v>
          </cell>
          <cell r="E168" t="str">
            <v>25G08-01</v>
          </cell>
          <cell r="F168">
            <v>30</v>
          </cell>
          <cell r="G168">
            <v>888.58</v>
          </cell>
          <cell r="H168">
            <v>888.7</v>
          </cell>
          <cell r="K168">
            <v>0</v>
          </cell>
          <cell r="L168" t="str">
            <v>旧品加工</v>
          </cell>
          <cell r="M168">
            <v>478</v>
          </cell>
          <cell r="O168">
            <v>0</v>
          </cell>
          <cell r="T168" t="str">
            <v>000000000005125</v>
          </cell>
        </row>
        <row r="169">
          <cell r="C169">
            <v>20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水野・富田</v>
          </cell>
          <cell r="P169">
            <v>7</v>
          </cell>
          <cell r="T169" t="str">
            <v>000000000005125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 t="str">
            <v>高森・上野</v>
          </cell>
          <cell r="P170">
            <v>14</v>
          </cell>
          <cell r="T170" t="str">
            <v>000000000005125</v>
          </cell>
        </row>
        <row r="171">
          <cell r="C171" t="str">
            <v>8FL281304 5010　L=888</v>
          </cell>
          <cell r="I171">
            <v>0</v>
          </cell>
          <cell r="J171">
            <v>0</v>
          </cell>
          <cell r="K171">
            <v>0</v>
          </cell>
          <cell r="L171">
            <v>45853</v>
          </cell>
          <cell r="M171">
            <v>3</v>
          </cell>
          <cell r="O171">
            <v>45853</v>
          </cell>
          <cell r="P171">
            <v>2</v>
          </cell>
          <cell r="T171" t="str">
            <v>000000000005126</v>
          </cell>
        </row>
        <row r="172">
          <cell r="D172">
            <v>45852</v>
          </cell>
          <cell r="E172" t="str">
            <v>25G08-01</v>
          </cell>
          <cell r="F172">
            <v>30</v>
          </cell>
          <cell r="G172">
            <v>888.58</v>
          </cell>
          <cell r="H172">
            <v>888.72</v>
          </cell>
          <cell r="I172" t="str">
            <v>25G08-01</v>
          </cell>
          <cell r="J172">
            <v>64</v>
          </cell>
          <cell r="K172">
            <v>32</v>
          </cell>
          <cell r="O172">
            <v>300</v>
          </cell>
          <cell r="T172" t="str">
            <v>000000000005126</v>
          </cell>
        </row>
        <row r="173">
          <cell r="C173">
            <v>300</v>
          </cell>
          <cell r="D173">
            <v>45852</v>
          </cell>
          <cell r="E173" t="str">
            <v>25G09-02</v>
          </cell>
          <cell r="F173">
            <v>30</v>
          </cell>
          <cell r="G173">
            <v>888.58</v>
          </cell>
          <cell r="H173">
            <v>888.71</v>
          </cell>
          <cell r="I173" t="str">
            <v>25G09-02</v>
          </cell>
          <cell r="J173">
            <v>238</v>
          </cell>
          <cell r="K173">
            <v>119</v>
          </cell>
          <cell r="O173">
            <v>151</v>
          </cell>
          <cell r="T173" t="str">
            <v>000000000005126</v>
          </cell>
        </row>
        <row r="174">
          <cell r="G174" t="str">
            <v/>
          </cell>
          <cell r="K174">
            <v>0</v>
          </cell>
          <cell r="O174">
            <v>1</v>
          </cell>
          <cell r="T174" t="str">
            <v>000000000005126</v>
          </cell>
        </row>
        <row r="175">
          <cell r="C175">
            <v>2</v>
          </cell>
          <cell r="G175" t="str">
            <v/>
          </cell>
          <cell r="K175">
            <v>0</v>
          </cell>
          <cell r="O175">
            <v>2</v>
          </cell>
          <cell r="T175" t="str">
            <v>000000000005126</v>
          </cell>
        </row>
        <row r="176">
          <cell r="C176" t="str">
            <v>LED-A888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000000000005126</v>
          </cell>
        </row>
        <row r="177">
          <cell r="C177">
            <v>3</v>
          </cell>
          <cell r="G177" t="str">
            <v/>
          </cell>
          <cell r="K177">
            <v>0</v>
          </cell>
          <cell r="L177" t="str">
            <v>持出端材</v>
          </cell>
          <cell r="O177" t="str">
            <v>水野</v>
          </cell>
          <cell r="T177" t="str">
            <v>000000000005126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高森</v>
          </cell>
          <cell r="P178">
            <v>2</v>
          </cell>
          <cell r="T178" t="str">
            <v>000000000005126</v>
          </cell>
        </row>
        <row r="179">
          <cell r="C179" t="str">
            <v>PK-59827 L=700</v>
          </cell>
          <cell r="D179">
            <v>45804</v>
          </cell>
          <cell r="E179" t="str">
            <v>25E16</v>
          </cell>
          <cell r="I179" t="str">
            <v>25E16</v>
          </cell>
          <cell r="J179">
            <v>20</v>
          </cell>
          <cell r="K179">
            <v>10</v>
          </cell>
          <cell r="L179">
            <v>45853</v>
          </cell>
          <cell r="M179">
            <v>8</v>
          </cell>
          <cell r="O179">
            <v>45854</v>
          </cell>
          <cell r="P179">
            <v>36</v>
          </cell>
          <cell r="T179" t="str">
            <v>000000000005204</v>
          </cell>
        </row>
        <row r="180">
          <cell r="D180">
            <v>45853</v>
          </cell>
          <cell r="E180" t="str">
            <v>25G04</v>
          </cell>
          <cell r="F180">
            <v>27</v>
          </cell>
          <cell r="G180">
            <v>700.2</v>
          </cell>
          <cell r="H180">
            <v>700.22</v>
          </cell>
          <cell r="I180" t="str">
            <v>25G04</v>
          </cell>
          <cell r="J180">
            <v>560</v>
          </cell>
          <cell r="K180">
            <v>280</v>
          </cell>
          <cell r="L180">
            <v>45854</v>
          </cell>
          <cell r="M180">
            <v>23</v>
          </cell>
          <cell r="O180">
            <v>1054</v>
          </cell>
          <cell r="P180">
            <v>3</v>
          </cell>
          <cell r="T180" t="str">
            <v>000000000005204</v>
          </cell>
        </row>
        <row r="181">
          <cell r="C181">
            <v>1054</v>
          </cell>
          <cell r="D181">
            <v>45853</v>
          </cell>
          <cell r="E181" t="str">
            <v>25G04</v>
          </cell>
          <cell r="F181">
            <v>27</v>
          </cell>
          <cell r="G181">
            <v>700.2</v>
          </cell>
          <cell r="H181">
            <v>700.24</v>
          </cell>
          <cell r="I181" t="str">
            <v>25G08</v>
          </cell>
          <cell r="J181">
            <v>521</v>
          </cell>
          <cell r="K181">
            <v>261</v>
          </cell>
          <cell r="O181">
            <v>551</v>
          </cell>
          <cell r="T181" t="str">
            <v>000000000005204</v>
          </cell>
        </row>
        <row r="182">
          <cell r="D182">
            <v>45853</v>
          </cell>
          <cell r="E182" t="str">
            <v>25G04</v>
          </cell>
          <cell r="F182">
            <v>27</v>
          </cell>
          <cell r="G182">
            <v>700.2</v>
          </cell>
          <cell r="H182">
            <v>700.19</v>
          </cell>
          <cell r="K182">
            <v>0</v>
          </cell>
          <cell r="O182">
            <v>24</v>
          </cell>
          <cell r="T182" t="str">
            <v>000000000005204</v>
          </cell>
        </row>
        <row r="183">
          <cell r="C183">
            <v>2</v>
          </cell>
          <cell r="D183">
            <v>45853</v>
          </cell>
          <cell r="E183" t="str">
            <v>25G08</v>
          </cell>
          <cell r="F183">
            <v>27</v>
          </cell>
          <cell r="G183">
            <v>700.2</v>
          </cell>
          <cell r="H183">
            <v>700.26</v>
          </cell>
          <cell r="K183">
            <v>0</v>
          </cell>
          <cell r="O183">
            <v>47</v>
          </cell>
          <cell r="T183" t="str">
            <v>000000000005204</v>
          </cell>
        </row>
        <row r="184">
          <cell r="C184" t="str">
            <v>PK-59827 L=700用</v>
          </cell>
          <cell r="D184">
            <v>45853</v>
          </cell>
          <cell r="E184" t="str">
            <v>25G08</v>
          </cell>
          <cell r="F184">
            <v>27</v>
          </cell>
          <cell r="G184">
            <v>700.2</v>
          </cell>
          <cell r="H184">
            <v>700.25</v>
          </cell>
          <cell r="K184">
            <v>0</v>
          </cell>
          <cell r="L184" t="str">
            <v>旧品加工</v>
          </cell>
          <cell r="M184">
            <v>20</v>
          </cell>
          <cell r="O184">
            <v>0</v>
          </cell>
          <cell r="T184" t="str">
            <v>000000000005204</v>
          </cell>
        </row>
        <row r="185">
          <cell r="C185">
            <v>31</v>
          </cell>
          <cell r="D185">
            <v>45854</v>
          </cell>
          <cell r="E185" t="str">
            <v>25G08</v>
          </cell>
          <cell r="F185">
            <v>27</v>
          </cell>
          <cell r="G185">
            <v>700.2</v>
          </cell>
          <cell r="H185">
            <v>700.27</v>
          </cell>
          <cell r="K185">
            <v>0</v>
          </cell>
          <cell r="L185" t="str">
            <v>持出端材</v>
          </cell>
          <cell r="O185" t="str">
            <v>富田・水野</v>
          </cell>
          <cell r="P185">
            <v>8</v>
          </cell>
          <cell r="T185" t="str">
            <v>000000000005204</v>
          </cell>
        </row>
        <row r="186">
          <cell r="D186">
            <v>45854</v>
          </cell>
          <cell r="E186" t="str">
            <v>25G08</v>
          </cell>
          <cell r="F186">
            <v>27</v>
          </cell>
          <cell r="G186">
            <v>700.2</v>
          </cell>
          <cell r="H186">
            <v>700.21</v>
          </cell>
          <cell r="K186">
            <v>0</v>
          </cell>
          <cell r="L186" t="str">
            <v>α端材</v>
          </cell>
          <cell r="M186">
            <v>0</v>
          </cell>
          <cell r="O186" t="str">
            <v>高森・上野</v>
          </cell>
          <cell r="P186">
            <v>47</v>
          </cell>
          <cell r="T186" t="str">
            <v>000000000005204</v>
          </cell>
        </row>
        <row r="187">
          <cell r="C187" t="str">
            <v>PK-59827 L=500</v>
          </cell>
          <cell r="D187">
            <v>45832</v>
          </cell>
          <cell r="E187" t="str">
            <v>25F11</v>
          </cell>
          <cell r="I187" t="str">
            <v>25F11</v>
          </cell>
          <cell r="J187">
            <v>33</v>
          </cell>
          <cell r="K187">
            <v>11</v>
          </cell>
          <cell r="L187">
            <v>45855</v>
          </cell>
          <cell r="M187">
            <v>15</v>
          </cell>
          <cell r="O187">
            <v>45855</v>
          </cell>
          <cell r="P187">
            <v>11</v>
          </cell>
          <cell r="T187" t="str">
            <v>000000000005203</v>
          </cell>
        </row>
        <row r="188">
          <cell r="D188">
            <v>45854</v>
          </cell>
          <cell r="E188" t="str">
            <v>25G09</v>
          </cell>
          <cell r="F188">
            <v>27</v>
          </cell>
          <cell r="G188">
            <v>500.14</v>
          </cell>
          <cell r="H188">
            <v>500.21</v>
          </cell>
          <cell r="I188" t="str">
            <v>25G09</v>
          </cell>
          <cell r="J188">
            <v>498</v>
          </cell>
          <cell r="K188">
            <v>166</v>
          </cell>
          <cell r="O188">
            <v>510</v>
          </cell>
          <cell r="P188">
            <v>4</v>
          </cell>
          <cell r="T188" t="str">
            <v>000000000005203</v>
          </cell>
        </row>
        <row r="189">
          <cell r="C189">
            <v>510</v>
          </cell>
          <cell r="D189">
            <v>45854</v>
          </cell>
          <cell r="E189" t="str">
            <v>25G09</v>
          </cell>
          <cell r="F189">
            <v>27</v>
          </cell>
          <cell r="G189">
            <v>500.14</v>
          </cell>
          <cell r="H189">
            <v>500.21</v>
          </cell>
          <cell r="K189">
            <v>0</v>
          </cell>
          <cell r="O189">
            <v>177</v>
          </cell>
          <cell r="T189" t="str">
            <v>000000000005203</v>
          </cell>
        </row>
        <row r="190">
          <cell r="D190">
            <v>45854</v>
          </cell>
          <cell r="E190" t="str">
            <v>25G09</v>
          </cell>
          <cell r="F190">
            <v>27</v>
          </cell>
          <cell r="G190">
            <v>500.14</v>
          </cell>
          <cell r="H190">
            <v>500.2</v>
          </cell>
          <cell r="K190">
            <v>0</v>
          </cell>
          <cell r="O190">
            <v>7</v>
          </cell>
          <cell r="T190" t="str">
            <v>000000000005203</v>
          </cell>
        </row>
        <row r="191">
          <cell r="C191">
            <v>3</v>
          </cell>
          <cell r="D191">
            <v>45854</v>
          </cell>
          <cell r="E191" t="str">
            <v>25G09</v>
          </cell>
          <cell r="F191">
            <v>27</v>
          </cell>
          <cell r="G191">
            <v>500.14</v>
          </cell>
          <cell r="H191">
            <v>500.36</v>
          </cell>
          <cell r="K191">
            <v>0</v>
          </cell>
          <cell r="O191">
            <v>21</v>
          </cell>
          <cell r="T191" t="str">
            <v>000000000005203</v>
          </cell>
        </row>
        <row r="192">
          <cell r="C192" t="str">
            <v>PK-59827 L=500用</v>
          </cell>
          <cell r="G192" t="str">
            <v/>
          </cell>
          <cell r="K192">
            <v>0</v>
          </cell>
          <cell r="L192" t="str">
            <v>旧品加工</v>
          </cell>
          <cell r="M192">
            <v>33</v>
          </cell>
          <cell r="O192">
            <v>0</v>
          </cell>
          <cell r="T192" t="str">
            <v>000000000005203</v>
          </cell>
        </row>
        <row r="193">
          <cell r="C193">
            <v>15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富田・水野</v>
          </cell>
          <cell r="P193">
            <v>6</v>
          </cell>
          <cell r="T193" t="str">
            <v>000000000005203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高森</v>
          </cell>
          <cell r="P194">
            <v>21</v>
          </cell>
          <cell r="T194" t="str">
            <v>000000000005203</v>
          </cell>
        </row>
        <row r="195">
          <cell r="C195" t="str">
            <v>照明ｶﾊﾞｰS15　L=550</v>
          </cell>
          <cell r="I195">
            <v>0</v>
          </cell>
          <cell r="J195">
            <v>0</v>
          </cell>
          <cell r="K195">
            <v>0</v>
          </cell>
          <cell r="L195">
            <v>45854</v>
          </cell>
          <cell r="M195">
            <v>10</v>
          </cell>
          <cell r="O195">
            <v>45854</v>
          </cell>
          <cell r="T195" t="str">
            <v>000000000005183</v>
          </cell>
        </row>
        <row r="196">
          <cell r="D196">
            <v>45854</v>
          </cell>
          <cell r="E196" t="str">
            <v>25A16B 1</v>
          </cell>
          <cell r="F196">
            <v>28</v>
          </cell>
          <cell r="G196">
            <v>550.29999999999995</v>
          </cell>
          <cell r="H196">
            <v>550.41999999999996</v>
          </cell>
          <cell r="I196" t="str">
            <v>25A16B 1</v>
          </cell>
          <cell r="J196">
            <v>147</v>
          </cell>
          <cell r="K196">
            <v>49</v>
          </cell>
          <cell r="O196">
            <v>500</v>
          </cell>
          <cell r="T196" t="str">
            <v>000000000005183</v>
          </cell>
        </row>
        <row r="197">
          <cell r="C197">
            <v>500</v>
          </cell>
          <cell r="D197">
            <v>45854</v>
          </cell>
          <cell r="E197" t="str">
            <v>25A16B 2</v>
          </cell>
          <cell r="G197" t="str">
            <v/>
          </cell>
          <cell r="I197" t="str">
            <v>25A16B 2</v>
          </cell>
          <cell r="J197">
            <v>150</v>
          </cell>
          <cell r="K197">
            <v>50</v>
          </cell>
          <cell r="O197">
            <v>167</v>
          </cell>
          <cell r="T197" t="str">
            <v>000000000005183</v>
          </cell>
        </row>
        <row r="198">
          <cell r="D198">
            <v>45854</v>
          </cell>
          <cell r="E198" t="str">
            <v>25A16B 3</v>
          </cell>
          <cell r="G198" t="str">
            <v/>
          </cell>
          <cell r="I198" t="str">
            <v>25A16B 3</v>
          </cell>
          <cell r="J198">
            <v>150</v>
          </cell>
          <cell r="K198">
            <v>50</v>
          </cell>
          <cell r="O198">
            <v>0</v>
          </cell>
          <cell r="T198" t="str">
            <v>000000000005183</v>
          </cell>
        </row>
        <row r="199">
          <cell r="C199">
            <v>3</v>
          </cell>
          <cell r="D199">
            <v>45854</v>
          </cell>
          <cell r="E199" t="str">
            <v>25A16B 4</v>
          </cell>
          <cell r="F199">
            <v>28</v>
          </cell>
          <cell r="G199">
            <v>550.29999999999995</v>
          </cell>
          <cell r="H199">
            <v>550.51</v>
          </cell>
          <cell r="I199" t="str">
            <v>25A16B 4</v>
          </cell>
          <cell r="J199">
            <v>53</v>
          </cell>
          <cell r="K199">
            <v>18</v>
          </cell>
          <cell r="O199">
            <v>0</v>
          </cell>
          <cell r="T199" t="str">
            <v>000000000005183</v>
          </cell>
        </row>
        <row r="200">
          <cell r="C200" t="str">
            <v>基材梱包箱</v>
          </cell>
          <cell r="G200" t="str">
            <v/>
          </cell>
          <cell r="K200">
            <v>0</v>
          </cell>
          <cell r="L200" t="str">
            <v>旧品加工</v>
          </cell>
          <cell r="O200">
            <v>0</v>
          </cell>
          <cell r="T200" t="str">
            <v>000000000005183</v>
          </cell>
        </row>
        <row r="201">
          <cell r="C201">
            <v>10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富田・水野</v>
          </cell>
          <cell r="T201" t="str">
            <v>000000000005183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-</v>
          </cell>
          <cell r="P202">
            <v>0</v>
          </cell>
          <cell r="T202" t="str">
            <v>000000000005183</v>
          </cell>
        </row>
        <row r="203">
          <cell r="C203" t="str">
            <v>採光ルーバーパネルB　L=1996</v>
          </cell>
          <cell r="D203">
            <v>45667</v>
          </cell>
          <cell r="E203" t="str">
            <v>25A07-03</v>
          </cell>
          <cell r="I203" t="str">
            <v>25A07-03</v>
          </cell>
          <cell r="J203">
            <v>34</v>
          </cell>
          <cell r="K203">
            <v>34</v>
          </cell>
          <cell r="L203">
            <v>45860</v>
          </cell>
          <cell r="M203">
            <v>1</v>
          </cell>
          <cell r="O203">
            <v>45860</v>
          </cell>
          <cell r="T203" t="str">
            <v>000000000005329</v>
          </cell>
        </row>
        <row r="204">
          <cell r="D204">
            <v>45856</v>
          </cell>
          <cell r="E204" t="str">
            <v>25G16-01</v>
          </cell>
          <cell r="F204">
            <v>30</v>
          </cell>
          <cell r="G204">
            <v>1998.3</v>
          </cell>
          <cell r="H204">
            <v>1998.3</v>
          </cell>
          <cell r="I204" t="str">
            <v>25G16-01</v>
          </cell>
          <cell r="J204">
            <v>8</v>
          </cell>
          <cell r="K204">
            <v>8</v>
          </cell>
          <cell r="O204">
            <v>42</v>
          </cell>
          <cell r="T204" t="str">
            <v>000000000005329</v>
          </cell>
        </row>
        <row r="205">
          <cell r="C205">
            <v>42</v>
          </cell>
          <cell r="D205">
            <v>45856</v>
          </cell>
          <cell r="E205" t="str">
            <v>25G16-01</v>
          </cell>
          <cell r="F205">
            <v>30</v>
          </cell>
          <cell r="G205">
            <v>1998.3</v>
          </cell>
          <cell r="H205">
            <v>1998.3</v>
          </cell>
          <cell r="K205">
            <v>0</v>
          </cell>
          <cell r="O205">
            <v>42</v>
          </cell>
          <cell r="T205" t="str">
            <v>000000000005329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000000000005329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000000000005329</v>
          </cell>
        </row>
        <row r="208">
          <cell r="C208" t="str">
            <v>上-1</v>
          </cell>
          <cell r="G208" t="str">
            <v/>
          </cell>
          <cell r="K208">
            <v>0</v>
          </cell>
          <cell r="L208" t="str">
            <v>旧品加工</v>
          </cell>
          <cell r="M208">
            <v>34</v>
          </cell>
          <cell r="O208">
            <v>0</v>
          </cell>
          <cell r="T208" t="str">
            <v>000000000005329</v>
          </cell>
        </row>
        <row r="209">
          <cell r="C209">
            <v>1</v>
          </cell>
          <cell r="G209" t="str">
            <v/>
          </cell>
          <cell r="K209">
            <v>0</v>
          </cell>
          <cell r="L209" t="str">
            <v>持出端材</v>
          </cell>
          <cell r="O209" t="str">
            <v>富田・水野</v>
          </cell>
          <cell r="T209" t="str">
            <v>000000000005329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上野</v>
          </cell>
          <cell r="P210">
            <v>0</v>
          </cell>
          <cell r="T210" t="str">
            <v>000000000005329</v>
          </cell>
        </row>
        <row r="211">
          <cell r="C211" t="str">
            <v>採光ルーバーパネルB　L=1996</v>
          </cell>
          <cell r="I211">
            <v>0</v>
          </cell>
          <cell r="J211">
            <v>0</v>
          </cell>
          <cell r="K211">
            <v>0</v>
          </cell>
          <cell r="L211">
            <v>45860</v>
          </cell>
          <cell r="M211">
            <v>2</v>
          </cell>
          <cell r="O211">
            <v>45860</v>
          </cell>
          <cell r="T211" t="str">
            <v>000000000005330-1</v>
          </cell>
        </row>
        <row r="212">
          <cell r="D212">
            <v>45860</v>
          </cell>
          <cell r="E212" t="str">
            <v>25G16-01</v>
          </cell>
          <cell r="F212">
            <v>28</v>
          </cell>
          <cell r="G212">
            <v>1998.04</v>
          </cell>
          <cell r="H212">
            <v>1998.1</v>
          </cell>
          <cell r="I212" t="str">
            <v>25G16-01</v>
          </cell>
          <cell r="J212">
            <v>96</v>
          </cell>
          <cell r="K212">
            <v>96</v>
          </cell>
          <cell r="O212">
            <v>84</v>
          </cell>
          <cell r="P212">
            <v>11</v>
          </cell>
          <cell r="T212" t="str">
            <v>000000000005330-1</v>
          </cell>
        </row>
        <row r="213">
          <cell r="C213">
            <v>84</v>
          </cell>
          <cell r="D213">
            <v>45860</v>
          </cell>
          <cell r="E213" t="str">
            <v>25G16-01</v>
          </cell>
          <cell r="F213">
            <v>28</v>
          </cell>
          <cell r="G213">
            <v>1998.04</v>
          </cell>
          <cell r="H213">
            <v>1998</v>
          </cell>
          <cell r="K213">
            <v>0</v>
          </cell>
          <cell r="O213">
            <v>96</v>
          </cell>
          <cell r="T213" t="str">
            <v>000000000005330-1</v>
          </cell>
        </row>
        <row r="214">
          <cell r="G214" t="str">
            <v/>
          </cell>
          <cell r="K214">
            <v>0</v>
          </cell>
          <cell r="O214">
            <v>12</v>
          </cell>
          <cell r="T214" t="str">
            <v>000000000005330-1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12</v>
          </cell>
          <cell r="T215" t="str">
            <v>000000000005330-1</v>
          </cell>
        </row>
        <row r="216">
          <cell r="C216" t="str">
            <v>上-1</v>
          </cell>
          <cell r="G216" t="str">
            <v/>
          </cell>
          <cell r="K216">
            <v>0</v>
          </cell>
          <cell r="L216" t="str">
            <v>旧品加工</v>
          </cell>
          <cell r="O216">
            <v>0</v>
          </cell>
          <cell r="T216" t="str">
            <v>000000000005330-1</v>
          </cell>
        </row>
        <row r="217">
          <cell r="C217">
            <v>2</v>
          </cell>
          <cell r="G217" t="str">
            <v/>
          </cell>
          <cell r="K217">
            <v>0</v>
          </cell>
          <cell r="L217" t="str">
            <v>持出端材</v>
          </cell>
          <cell r="O217" t="str">
            <v>富田・水野</v>
          </cell>
          <cell r="P217">
            <v>1</v>
          </cell>
          <cell r="T217" t="str">
            <v>000000000005330-1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 t="str">
            <v>上野</v>
          </cell>
          <cell r="P218">
            <v>12</v>
          </cell>
          <cell r="T218" t="str">
            <v>000000000005330-1</v>
          </cell>
        </row>
        <row r="219">
          <cell r="C219" t="str">
            <v>灯具カバーPC IN 2070　L=1966</v>
          </cell>
          <cell r="D219">
            <v>45833</v>
          </cell>
          <cell r="E219" t="str">
            <v>25F11-01</v>
          </cell>
          <cell r="I219" t="str">
            <v>25F11-01</v>
          </cell>
          <cell r="J219">
            <v>3</v>
          </cell>
          <cell r="K219">
            <v>3</v>
          </cell>
          <cell r="L219">
            <v>45856</v>
          </cell>
          <cell r="M219">
            <v>4</v>
          </cell>
          <cell r="O219">
            <v>45856</v>
          </cell>
          <cell r="P219">
            <v>20</v>
          </cell>
          <cell r="T219" t="str">
            <v>000000000004922</v>
          </cell>
        </row>
        <row r="220">
          <cell r="D220">
            <v>45856</v>
          </cell>
          <cell r="E220" t="str">
            <v>25G04-01</v>
          </cell>
          <cell r="G220" t="str">
            <v/>
          </cell>
          <cell r="I220" t="str">
            <v>25G04-01</v>
          </cell>
          <cell r="J220">
            <v>86</v>
          </cell>
          <cell r="K220">
            <v>86</v>
          </cell>
          <cell r="O220">
            <v>64</v>
          </cell>
          <cell r="P220">
            <v>5</v>
          </cell>
          <cell r="T220" t="str">
            <v>000000000004922</v>
          </cell>
        </row>
        <row r="221">
          <cell r="C221">
            <v>64</v>
          </cell>
          <cell r="G221" t="str">
            <v/>
          </cell>
          <cell r="K221">
            <v>0</v>
          </cell>
          <cell r="O221">
            <v>89</v>
          </cell>
          <cell r="T221" t="str">
            <v>000000000004922</v>
          </cell>
        </row>
        <row r="222">
          <cell r="G222" t="str">
            <v/>
          </cell>
          <cell r="K222">
            <v>0</v>
          </cell>
          <cell r="O222">
            <v>25</v>
          </cell>
          <cell r="T222" t="str">
            <v>000000000004922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25</v>
          </cell>
          <cell r="T223" t="str">
            <v>000000000004922</v>
          </cell>
        </row>
        <row r="224">
          <cell r="C224" t="str">
            <v>灯具-2　L＝1996</v>
          </cell>
          <cell r="G224" t="str">
            <v/>
          </cell>
          <cell r="K224">
            <v>0</v>
          </cell>
          <cell r="L224" t="str">
            <v>旧品加工</v>
          </cell>
          <cell r="M224">
            <v>3</v>
          </cell>
          <cell r="O224">
            <v>0</v>
          </cell>
          <cell r="T224" t="str">
            <v>000000000004922</v>
          </cell>
        </row>
        <row r="225">
          <cell r="C225">
            <v>4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-</v>
          </cell>
          <cell r="T225" t="str">
            <v>000000000004922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高森</v>
          </cell>
          <cell r="P226">
            <v>25</v>
          </cell>
          <cell r="T226" t="str">
            <v>000000000004922</v>
          </cell>
        </row>
        <row r="227">
          <cell r="C227" t="str">
            <v>ハーネスガイド部材　L=275</v>
          </cell>
          <cell r="I227">
            <v>0</v>
          </cell>
          <cell r="J227">
            <v>0</v>
          </cell>
          <cell r="K227">
            <v>0</v>
          </cell>
          <cell r="L227">
            <v>45860</v>
          </cell>
          <cell r="M227">
            <v>1</v>
          </cell>
          <cell r="O227">
            <v>45860</v>
          </cell>
          <cell r="T227" t="str">
            <v>000000000005316</v>
          </cell>
        </row>
        <row r="228">
          <cell r="D228">
            <v>45860</v>
          </cell>
          <cell r="E228" t="str">
            <v>25G17B</v>
          </cell>
          <cell r="G228">
            <v>275</v>
          </cell>
          <cell r="H228">
            <v>276.02</v>
          </cell>
          <cell r="I228" t="str">
            <v>25G17B</v>
          </cell>
          <cell r="J228">
            <v>400</v>
          </cell>
          <cell r="K228">
            <v>80</v>
          </cell>
          <cell r="O228">
            <v>400</v>
          </cell>
          <cell r="T228" t="str">
            <v>000000000005316</v>
          </cell>
        </row>
        <row r="229">
          <cell r="C229">
            <v>400</v>
          </cell>
          <cell r="G229">
            <v>275</v>
          </cell>
          <cell r="H229">
            <v>276.01</v>
          </cell>
          <cell r="K229">
            <v>0</v>
          </cell>
          <cell r="O229">
            <v>80</v>
          </cell>
          <cell r="T229" t="str">
            <v>000000000005316</v>
          </cell>
        </row>
        <row r="230">
          <cell r="G230">
            <v>275</v>
          </cell>
          <cell r="K230">
            <v>0</v>
          </cell>
          <cell r="O230">
            <v>0</v>
          </cell>
          <cell r="T230" t="str">
            <v>000000000005316</v>
          </cell>
        </row>
        <row r="231">
          <cell r="C231">
            <v>5</v>
          </cell>
          <cell r="G231">
            <v>275</v>
          </cell>
          <cell r="K231">
            <v>0</v>
          </cell>
          <cell r="O231">
            <v>0</v>
          </cell>
          <cell r="T231" t="str">
            <v>000000000005316</v>
          </cell>
        </row>
        <row r="232">
          <cell r="C232" t="str">
            <v>S-11</v>
          </cell>
          <cell r="G232">
            <v>275</v>
          </cell>
          <cell r="K232">
            <v>0</v>
          </cell>
          <cell r="L232" t="str">
            <v>旧品加工</v>
          </cell>
          <cell r="O232">
            <v>0</v>
          </cell>
          <cell r="T232" t="str">
            <v>000000000005316</v>
          </cell>
        </row>
        <row r="233">
          <cell r="C233">
            <v>1</v>
          </cell>
          <cell r="G233">
            <v>275</v>
          </cell>
          <cell r="K233">
            <v>0</v>
          </cell>
          <cell r="L233" t="str">
            <v>持出端材</v>
          </cell>
          <cell r="O233" t="str">
            <v>富田</v>
          </cell>
          <cell r="T233" t="str">
            <v>000000000005316</v>
          </cell>
        </row>
        <row r="234">
          <cell r="G234">
            <v>275</v>
          </cell>
          <cell r="K234">
            <v>0</v>
          </cell>
          <cell r="L234" t="str">
            <v>α端材</v>
          </cell>
          <cell r="M234">
            <v>0</v>
          </cell>
          <cell r="O234" t="str">
            <v>-</v>
          </cell>
          <cell r="P234">
            <v>0</v>
          </cell>
          <cell r="T234" t="str">
            <v>000000000005316</v>
          </cell>
        </row>
        <row r="235">
          <cell r="C235" t="str">
            <v>ハーネスガイド部材　L=275</v>
          </cell>
          <cell r="I235">
            <v>0</v>
          </cell>
          <cell r="J235">
            <v>0</v>
          </cell>
          <cell r="K235">
            <v>0</v>
          </cell>
          <cell r="L235">
            <v>45860</v>
          </cell>
          <cell r="M235">
            <v>5</v>
          </cell>
          <cell r="O235">
            <v>45860</v>
          </cell>
          <cell r="T235" t="str">
            <v>000000000005317</v>
          </cell>
        </row>
        <row r="236">
          <cell r="D236">
            <v>45860</v>
          </cell>
          <cell r="E236" t="str">
            <v>25G17B</v>
          </cell>
          <cell r="G236">
            <v>275</v>
          </cell>
          <cell r="H236">
            <v>276.01</v>
          </cell>
          <cell r="I236" t="str">
            <v>25G17B</v>
          </cell>
          <cell r="J236">
            <v>1200</v>
          </cell>
          <cell r="K236">
            <v>240</v>
          </cell>
          <cell r="O236">
            <v>2000</v>
          </cell>
          <cell r="T236" t="str">
            <v>000000000005317</v>
          </cell>
        </row>
        <row r="237">
          <cell r="C237">
            <v>2000</v>
          </cell>
          <cell r="D237">
            <v>45860</v>
          </cell>
          <cell r="E237" t="str">
            <v>25G16B</v>
          </cell>
          <cell r="G237">
            <v>275</v>
          </cell>
          <cell r="H237">
            <v>275.93</v>
          </cell>
          <cell r="I237" t="str">
            <v>25G16B</v>
          </cell>
          <cell r="J237">
            <v>800</v>
          </cell>
          <cell r="K237">
            <v>160</v>
          </cell>
          <cell r="O237">
            <v>400</v>
          </cell>
          <cell r="T237" t="str">
            <v>000000000005317</v>
          </cell>
        </row>
        <row r="238">
          <cell r="G238">
            <v>275</v>
          </cell>
          <cell r="K238">
            <v>0</v>
          </cell>
          <cell r="O238">
            <v>0</v>
          </cell>
          <cell r="T238" t="str">
            <v>000000000005317</v>
          </cell>
        </row>
        <row r="239">
          <cell r="C239">
            <v>5</v>
          </cell>
          <cell r="G239">
            <v>275</v>
          </cell>
          <cell r="K239">
            <v>0</v>
          </cell>
          <cell r="O239">
            <v>0</v>
          </cell>
          <cell r="T239" t="str">
            <v>000000000005317</v>
          </cell>
        </row>
        <row r="240">
          <cell r="C240" t="str">
            <v>S-11</v>
          </cell>
          <cell r="G240">
            <v>275</v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000000000005317</v>
          </cell>
        </row>
        <row r="241">
          <cell r="C241">
            <v>5</v>
          </cell>
          <cell r="G241">
            <v>275</v>
          </cell>
          <cell r="K241">
            <v>0</v>
          </cell>
          <cell r="L241" t="str">
            <v>持出端材</v>
          </cell>
          <cell r="O241" t="str">
            <v>富田・水野</v>
          </cell>
          <cell r="T241" t="str">
            <v>000000000005317</v>
          </cell>
        </row>
        <row r="242">
          <cell r="G242">
            <v>275</v>
          </cell>
          <cell r="K242">
            <v>0</v>
          </cell>
          <cell r="L242" t="str">
            <v>α端材</v>
          </cell>
          <cell r="M242">
            <v>0</v>
          </cell>
          <cell r="O242" t="str">
            <v>-</v>
          </cell>
          <cell r="P242">
            <v>0</v>
          </cell>
          <cell r="T242" t="str">
            <v>000000000005317</v>
          </cell>
        </row>
        <row r="243">
          <cell r="C243" t="str">
            <v>8FL281304 6110　L=1478</v>
          </cell>
          <cell r="I243">
            <v>0</v>
          </cell>
          <cell r="J243">
            <v>0</v>
          </cell>
          <cell r="K243">
            <v>0</v>
          </cell>
          <cell r="L243">
            <v>45861</v>
          </cell>
          <cell r="M243">
            <v>9</v>
          </cell>
          <cell r="O243">
            <v>45861</v>
          </cell>
          <cell r="P243">
            <v>5</v>
          </cell>
          <cell r="T243" t="str">
            <v>000000000005129</v>
          </cell>
        </row>
        <row r="244">
          <cell r="D244">
            <v>45860</v>
          </cell>
          <cell r="E244" t="str">
            <v>25G09-02</v>
          </cell>
          <cell r="F244">
            <v>32</v>
          </cell>
          <cell r="G244">
            <v>1479.15</v>
          </cell>
          <cell r="H244">
            <v>1479.34</v>
          </cell>
          <cell r="I244" t="str">
            <v>25G09-02</v>
          </cell>
          <cell r="J244">
            <v>517</v>
          </cell>
          <cell r="K244">
            <v>517</v>
          </cell>
          <cell r="O244">
            <v>900</v>
          </cell>
          <cell r="T244" t="str">
            <v>000000000005129</v>
          </cell>
        </row>
        <row r="245">
          <cell r="C245">
            <v>900</v>
          </cell>
          <cell r="D245">
            <v>45860</v>
          </cell>
          <cell r="E245" t="str">
            <v>25G09-02</v>
          </cell>
          <cell r="F245">
            <v>32</v>
          </cell>
          <cell r="G245">
            <v>1479.15</v>
          </cell>
          <cell r="H245">
            <v>1479.34</v>
          </cell>
          <cell r="I245" t="str">
            <v>25G10-03</v>
          </cell>
          <cell r="J245">
            <v>389</v>
          </cell>
          <cell r="K245">
            <v>389</v>
          </cell>
          <cell r="O245">
            <v>906</v>
          </cell>
          <cell r="P245">
            <v>1</v>
          </cell>
          <cell r="T245" t="str">
            <v>000000000005129</v>
          </cell>
        </row>
        <row r="246">
          <cell r="D246">
            <v>45863</v>
          </cell>
          <cell r="E246" t="str">
            <v>25G09-02</v>
          </cell>
          <cell r="F246">
            <v>28</v>
          </cell>
          <cell r="G246">
            <v>1478.77</v>
          </cell>
          <cell r="H246">
            <v>1478.91</v>
          </cell>
          <cell r="K246">
            <v>0</v>
          </cell>
          <cell r="O246">
            <v>6</v>
          </cell>
          <cell r="T246" t="str">
            <v>000000000005129</v>
          </cell>
        </row>
        <row r="247">
          <cell r="C247">
            <v>1</v>
          </cell>
          <cell r="D247">
            <v>45863</v>
          </cell>
          <cell r="E247" t="str">
            <v>25G10-03</v>
          </cell>
          <cell r="F247">
            <v>30</v>
          </cell>
          <cell r="G247">
            <v>1478.96</v>
          </cell>
          <cell r="H247">
            <v>1479.19</v>
          </cell>
          <cell r="K247">
            <v>0</v>
          </cell>
          <cell r="O247">
            <v>6</v>
          </cell>
          <cell r="T247" t="str">
            <v>000000000005129</v>
          </cell>
        </row>
        <row r="248">
          <cell r="C248" t="str">
            <v>LED-A1478</v>
          </cell>
          <cell r="D248">
            <v>45863</v>
          </cell>
          <cell r="E248" t="str">
            <v>25G10-03</v>
          </cell>
          <cell r="F248">
            <v>32</v>
          </cell>
          <cell r="G248">
            <v>1479.15</v>
          </cell>
          <cell r="H248">
            <v>1479.3</v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000000000005129</v>
          </cell>
        </row>
        <row r="249">
          <cell r="C249">
            <v>9</v>
          </cell>
          <cell r="G249" t="str">
            <v/>
          </cell>
          <cell r="K249">
            <v>0</v>
          </cell>
          <cell r="L249" t="str">
            <v>持出端材</v>
          </cell>
          <cell r="O249" t="str">
            <v>水野</v>
          </cell>
          <cell r="T249" t="str">
            <v>000000000005129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 t="str">
            <v>高森</v>
          </cell>
          <cell r="P250">
            <v>6</v>
          </cell>
          <cell r="T250" t="str">
            <v>000000000005129</v>
          </cell>
        </row>
        <row r="251">
          <cell r="C251" t="str">
            <v>8FL281304 4910　L=592</v>
          </cell>
          <cell r="D251">
            <v>45779</v>
          </cell>
          <cell r="E251" t="str">
            <v>25D08-09</v>
          </cell>
          <cell r="I251" t="str">
            <v>25D08-09</v>
          </cell>
          <cell r="J251">
            <v>12</v>
          </cell>
          <cell r="K251">
            <v>4</v>
          </cell>
          <cell r="L251">
            <v>45856</v>
          </cell>
          <cell r="M251">
            <v>3</v>
          </cell>
          <cell r="O251">
            <v>45856</v>
          </cell>
          <cell r="T251" t="str">
            <v>000000000005121</v>
          </cell>
        </row>
        <row r="252">
          <cell r="D252">
            <v>45856</v>
          </cell>
          <cell r="E252" t="str">
            <v>25G09-02</v>
          </cell>
          <cell r="F252">
            <v>28</v>
          </cell>
          <cell r="G252">
            <v>591.80999999999995</v>
          </cell>
          <cell r="H252">
            <v>591.74</v>
          </cell>
          <cell r="I252" t="str">
            <v>25G09-02</v>
          </cell>
          <cell r="J252">
            <v>288</v>
          </cell>
          <cell r="K252">
            <v>96</v>
          </cell>
          <cell r="O252">
            <v>300</v>
          </cell>
          <cell r="T252" t="str">
            <v>000000000005121</v>
          </cell>
        </row>
        <row r="253">
          <cell r="C253">
            <v>300</v>
          </cell>
          <cell r="D253">
            <v>45856</v>
          </cell>
          <cell r="E253" t="str">
            <v>25G09-02</v>
          </cell>
          <cell r="F253">
            <v>28</v>
          </cell>
          <cell r="G253">
            <v>591.80999999999995</v>
          </cell>
          <cell r="H253">
            <v>591.94000000000005</v>
          </cell>
          <cell r="K253">
            <v>0</v>
          </cell>
          <cell r="O253">
            <v>100</v>
          </cell>
          <cell r="T253" t="str">
            <v>000000000005121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000000000005121</v>
          </cell>
        </row>
        <row r="255">
          <cell r="C255">
            <v>3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000000000005121</v>
          </cell>
        </row>
        <row r="256">
          <cell r="C256" t="str">
            <v>LED-A592</v>
          </cell>
          <cell r="G256" t="str">
            <v/>
          </cell>
          <cell r="K256">
            <v>0</v>
          </cell>
          <cell r="L256" t="str">
            <v>旧品加工</v>
          </cell>
          <cell r="M256">
            <v>12</v>
          </cell>
          <cell r="O256">
            <v>0</v>
          </cell>
          <cell r="T256" t="str">
            <v>000000000005121</v>
          </cell>
        </row>
        <row r="257">
          <cell r="C257">
            <v>3</v>
          </cell>
          <cell r="G257" t="str">
            <v/>
          </cell>
          <cell r="K257">
            <v>0</v>
          </cell>
          <cell r="L257" t="str">
            <v>持出端材</v>
          </cell>
          <cell r="O257" t="str">
            <v>水野</v>
          </cell>
          <cell r="T257" t="str">
            <v>000000000005121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O258" t="str">
            <v>上野</v>
          </cell>
          <cell r="P258">
            <v>0</v>
          </cell>
          <cell r="T258" t="str">
            <v>000000000005121</v>
          </cell>
        </row>
        <row r="259">
          <cell r="C259" t="str">
            <v>8FL281304 4810　L=297</v>
          </cell>
          <cell r="I259">
            <v>0</v>
          </cell>
          <cell r="J259">
            <v>0</v>
          </cell>
          <cell r="K259">
            <v>0</v>
          </cell>
          <cell r="L259">
            <v>45856</v>
          </cell>
          <cell r="M259">
            <v>1</v>
          </cell>
          <cell r="O259">
            <v>45856</v>
          </cell>
          <cell r="T259" t="str">
            <v>000000000005117</v>
          </cell>
        </row>
        <row r="260">
          <cell r="D260">
            <v>45856</v>
          </cell>
          <cell r="E260" t="str">
            <v>25G09-02</v>
          </cell>
          <cell r="G260" t="str">
            <v/>
          </cell>
          <cell r="I260" t="str">
            <v>25G09-02</v>
          </cell>
          <cell r="J260">
            <v>30</v>
          </cell>
          <cell r="K260">
            <v>5</v>
          </cell>
          <cell r="O260">
            <v>100</v>
          </cell>
          <cell r="T260" t="str">
            <v>000000000005117</v>
          </cell>
        </row>
        <row r="261">
          <cell r="C261">
            <v>100</v>
          </cell>
          <cell r="G261" t="str">
            <v/>
          </cell>
          <cell r="K261">
            <v>0</v>
          </cell>
          <cell r="O261">
            <v>5</v>
          </cell>
          <cell r="T261" t="str">
            <v>000000000005117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000000000005117</v>
          </cell>
        </row>
        <row r="263">
          <cell r="C263">
            <v>6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000000000005117</v>
          </cell>
        </row>
        <row r="264">
          <cell r="C264" t="str">
            <v>LED-A300</v>
          </cell>
          <cell r="G264" t="str">
            <v/>
          </cell>
          <cell r="K264">
            <v>0</v>
          </cell>
          <cell r="L264" t="str">
            <v>旧品加工</v>
          </cell>
          <cell r="M264">
            <v>0</v>
          </cell>
          <cell r="O264">
            <v>70</v>
          </cell>
          <cell r="T264" t="str">
            <v>000000000005117</v>
          </cell>
        </row>
        <row r="265">
          <cell r="C265">
            <v>1</v>
          </cell>
          <cell r="G265" t="str">
            <v/>
          </cell>
          <cell r="K265">
            <v>0</v>
          </cell>
          <cell r="L265" t="str">
            <v>持出端材</v>
          </cell>
          <cell r="M265">
            <v>70</v>
          </cell>
          <cell r="O265" t="str">
            <v>水野</v>
          </cell>
          <cell r="T265" t="str">
            <v>000000000005117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O266" t="str">
            <v>上野</v>
          </cell>
          <cell r="P266">
            <v>0</v>
          </cell>
          <cell r="T266" t="str">
            <v>000000000005117</v>
          </cell>
        </row>
        <row r="267">
          <cell r="C267" t="str">
            <v>8FL281304 4810　L=297</v>
          </cell>
          <cell r="D267">
            <v>45856</v>
          </cell>
          <cell r="E267" t="str">
            <v>25G09-02</v>
          </cell>
          <cell r="I267" t="str">
            <v>25G09-02</v>
          </cell>
          <cell r="J267">
            <v>18</v>
          </cell>
          <cell r="K267">
            <v>3</v>
          </cell>
          <cell r="L267">
            <v>45861</v>
          </cell>
          <cell r="M267">
            <v>2</v>
          </cell>
          <cell r="O267">
            <v>45862</v>
          </cell>
          <cell r="P267">
            <v>2</v>
          </cell>
          <cell r="T267" t="str">
            <v>000000000005118</v>
          </cell>
        </row>
        <row r="268">
          <cell r="D268">
            <v>45861</v>
          </cell>
          <cell r="E268" t="str">
            <v>25G10-03</v>
          </cell>
          <cell r="F268">
            <v>30</v>
          </cell>
          <cell r="G268">
            <v>297.19</v>
          </cell>
          <cell r="H268">
            <v>297.20999999999998</v>
          </cell>
          <cell r="I268" t="str">
            <v>25G10-03</v>
          </cell>
          <cell r="J268">
            <v>282</v>
          </cell>
          <cell r="K268">
            <v>47</v>
          </cell>
          <cell r="L268">
            <v>45862</v>
          </cell>
          <cell r="M268">
            <v>1</v>
          </cell>
          <cell r="O268">
            <v>300</v>
          </cell>
          <cell r="T268" t="str">
            <v>000000000005118</v>
          </cell>
        </row>
        <row r="269">
          <cell r="C269">
            <v>300</v>
          </cell>
          <cell r="D269">
            <v>45861</v>
          </cell>
          <cell r="E269" t="str">
            <v>25G10-03</v>
          </cell>
          <cell r="F269">
            <v>30</v>
          </cell>
          <cell r="G269">
            <v>297.19</v>
          </cell>
          <cell r="H269">
            <v>297.29000000000002</v>
          </cell>
          <cell r="K269">
            <v>0</v>
          </cell>
          <cell r="O269">
            <v>50</v>
          </cell>
          <cell r="T269" t="str">
            <v>000000000005118</v>
          </cell>
        </row>
        <row r="270">
          <cell r="G270" t="str">
            <v/>
          </cell>
          <cell r="K270">
            <v>0</v>
          </cell>
          <cell r="O270">
            <v>1</v>
          </cell>
          <cell r="T270" t="str">
            <v>000000000005118</v>
          </cell>
        </row>
        <row r="271">
          <cell r="C271">
            <v>6</v>
          </cell>
          <cell r="G271" t="str">
            <v/>
          </cell>
          <cell r="K271">
            <v>0</v>
          </cell>
          <cell r="O271">
            <v>2</v>
          </cell>
          <cell r="T271" t="str">
            <v>000000000005118</v>
          </cell>
        </row>
        <row r="272">
          <cell r="C272" t="str">
            <v>LED-A300</v>
          </cell>
          <cell r="G272" t="str">
            <v/>
          </cell>
          <cell r="K272">
            <v>0</v>
          </cell>
          <cell r="L272" t="str">
            <v>旧品加工</v>
          </cell>
          <cell r="M272">
            <v>20</v>
          </cell>
          <cell r="O272">
            <v>4</v>
          </cell>
          <cell r="T272" t="str">
            <v>000000000005118</v>
          </cell>
        </row>
        <row r="273">
          <cell r="C273">
            <v>3</v>
          </cell>
          <cell r="G273" t="str">
            <v/>
          </cell>
          <cell r="K273">
            <v>0</v>
          </cell>
          <cell r="L273" t="str">
            <v>持出端材</v>
          </cell>
          <cell r="M273">
            <v>2</v>
          </cell>
          <cell r="O273" t="str">
            <v>水野</v>
          </cell>
          <cell r="T273" t="str">
            <v>000000000005118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2</v>
          </cell>
          <cell r="O274" t="str">
            <v>上野・高森</v>
          </cell>
          <cell r="P274">
            <v>2</v>
          </cell>
          <cell r="T274" t="str">
            <v>000000000005118</v>
          </cell>
        </row>
        <row r="275">
          <cell r="C275" t="str">
            <v>8FL281304 4810　L=297</v>
          </cell>
          <cell r="I275">
            <v>0</v>
          </cell>
          <cell r="J275">
            <v>0</v>
          </cell>
          <cell r="K275">
            <v>0</v>
          </cell>
          <cell r="L275">
            <v>45856</v>
          </cell>
          <cell r="M275">
            <v>3</v>
          </cell>
          <cell r="O275">
            <v>45856</v>
          </cell>
          <cell r="T275" t="str">
            <v>000000000005119</v>
          </cell>
        </row>
        <row r="276">
          <cell r="D276">
            <v>45856</v>
          </cell>
          <cell r="E276" t="str">
            <v>25G09-02</v>
          </cell>
          <cell r="F276">
            <v>28</v>
          </cell>
          <cell r="G276">
            <v>297.14999999999998</v>
          </cell>
          <cell r="H276">
            <v>297.33999999999997</v>
          </cell>
          <cell r="I276" t="str">
            <v>25G09-02</v>
          </cell>
          <cell r="J276">
            <v>300</v>
          </cell>
          <cell r="K276">
            <v>50</v>
          </cell>
          <cell r="O276">
            <v>300</v>
          </cell>
          <cell r="T276" t="str">
            <v>000000000005119</v>
          </cell>
        </row>
        <row r="277">
          <cell r="C277">
            <v>300</v>
          </cell>
          <cell r="D277">
            <v>45856</v>
          </cell>
          <cell r="E277" t="str">
            <v>25G09-02</v>
          </cell>
          <cell r="F277">
            <v>28</v>
          </cell>
          <cell r="G277">
            <v>297.14999999999998</v>
          </cell>
          <cell r="H277">
            <v>297.23</v>
          </cell>
          <cell r="K277">
            <v>0</v>
          </cell>
          <cell r="O277">
            <v>50</v>
          </cell>
          <cell r="T277" t="str">
            <v>000000000005119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000000000005119</v>
          </cell>
        </row>
        <row r="279">
          <cell r="C279">
            <v>6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000000000005119</v>
          </cell>
        </row>
        <row r="280">
          <cell r="C280" t="str">
            <v>LED-A300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000000000005119</v>
          </cell>
        </row>
        <row r="281">
          <cell r="C281">
            <v>3</v>
          </cell>
          <cell r="G281" t="str">
            <v/>
          </cell>
          <cell r="K281">
            <v>0</v>
          </cell>
          <cell r="L281" t="str">
            <v>持出端材</v>
          </cell>
          <cell r="O281" t="str">
            <v>水野</v>
          </cell>
          <cell r="T281" t="str">
            <v>000000000005119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O282" t="str">
            <v>上野</v>
          </cell>
          <cell r="P282">
            <v>0</v>
          </cell>
          <cell r="T282" t="str">
            <v>000000000005119</v>
          </cell>
        </row>
        <row r="283">
          <cell r="C283" t="str">
            <v>8FL281304 5010　L=888</v>
          </cell>
          <cell r="D283">
            <v>45853</v>
          </cell>
          <cell r="E283" t="str">
            <v>25G09-02</v>
          </cell>
          <cell r="I283" t="str">
            <v>25G09-02</v>
          </cell>
          <cell r="J283">
            <v>8</v>
          </cell>
          <cell r="K283">
            <v>4</v>
          </cell>
          <cell r="L283">
            <v>45862</v>
          </cell>
          <cell r="M283">
            <v>12</v>
          </cell>
          <cell r="O283">
            <v>45863</v>
          </cell>
          <cell r="P283">
            <v>6</v>
          </cell>
          <cell r="T283" t="str">
            <v>000000000005127</v>
          </cell>
        </row>
        <row r="284">
          <cell r="D284">
            <v>45861</v>
          </cell>
          <cell r="E284" t="str">
            <v>25G10-03</v>
          </cell>
          <cell r="F284">
            <v>30</v>
          </cell>
          <cell r="G284">
            <v>888.58</v>
          </cell>
          <cell r="H284">
            <v>888.69</v>
          </cell>
          <cell r="I284" t="str">
            <v>25G10-03</v>
          </cell>
          <cell r="J284">
            <v>728</v>
          </cell>
          <cell r="K284">
            <v>364</v>
          </cell>
          <cell r="L284">
            <v>45863</v>
          </cell>
          <cell r="M284">
            <v>8</v>
          </cell>
          <cell r="O284">
            <v>2000</v>
          </cell>
          <cell r="P284">
            <v>3</v>
          </cell>
          <cell r="T284" t="str">
            <v>000000000005127</v>
          </cell>
        </row>
        <row r="285">
          <cell r="C285">
            <v>2000</v>
          </cell>
          <cell r="D285">
            <v>45861</v>
          </cell>
          <cell r="E285" t="str">
            <v>25G10-03</v>
          </cell>
          <cell r="F285">
            <v>30</v>
          </cell>
          <cell r="G285">
            <v>888.58</v>
          </cell>
          <cell r="H285">
            <v>888.77</v>
          </cell>
          <cell r="I285" t="str">
            <v>25G11-04</v>
          </cell>
          <cell r="J285">
            <v>1272</v>
          </cell>
          <cell r="K285">
            <v>636</v>
          </cell>
          <cell r="O285">
            <v>1004</v>
          </cell>
          <cell r="T285" t="str">
            <v>000000000005127</v>
          </cell>
        </row>
        <row r="286">
          <cell r="D286">
            <v>45861</v>
          </cell>
          <cell r="E286" t="str">
            <v>25G11-04</v>
          </cell>
          <cell r="F286">
            <v>30</v>
          </cell>
          <cell r="G286">
            <v>888.58</v>
          </cell>
          <cell r="H286">
            <v>888.85</v>
          </cell>
          <cell r="K286">
            <v>0</v>
          </cell>
          <cell r="O286">
            <v>5</v>
          </cell>
          <cell r="T286" t="str">
            <v>000000000005127</v>
          </cell>
        </row>
        <row r="287">
          <cell r="C287">
            <v>2</v>
          </cell>
          <cell r="D287">
            <v>45862</v>
          </cell>
          <cell r="E287" t="str">
            <v>25G11-04</v>
          </cell>
          <cell r="F287">
            <v>28</v>
          </cell>
          <cell r="G287">
            <v>888.46</v>
          </cell>
          <cell r="H287">
            <v>888.63</v>
          </cell>
          <cell r="K287">
            <v>0</v>
          </cell>
          <cell r="O287">
            <v>9</v>
          </cell>
          <cell r="T287" t="str">
            <v>000000000005127</v>
          </cell>
        </row>
        <row r="288">
          <cell r="C288" t="str">
            <v>LED-A888</v>
          </cell>
          <cell r="D288">
            <v>45862</v>
          </cell>
          <cell r="E288" t="str">
            <v>25G11-04</v>
          </cell>
          <cell r="F288">
            <v>30</v>
          </cell>
          <cell r="G288">
            <v>888.58</v>
          </cell>
          <cell r="H288">
            <v>888.76</v>
          </cell>
          <cell r="K288">
            <v>0</v>
          </cell>
          <cell r="L288" t="str">
            <v>旧品加工</v>
          </cell>
          <cell r="M288">
            <v>9</v>
          </cell>
          <cell r="O288">
            <v>1</v>
          </cell>
          <cell r="T288" t="str">
            <v>000000000005127</v>
          </cell>
        </row>
        <row r="289">
          <cell r="C289">
            <v>20</v>
          </cell>
          <cell r="D289">
            <v>45862</v>
          </cell>
          <cell r="E289" t="str">
            <v>25G11-04</v>
          </cell>
          <cell r="F289">
            <v>32</v>
          </cell>
          <cell r="G289">
            <v>888.69</v>
          </cell>
          <cell r="H289">
            <v>888.7</v>
          </cell>
          <cell r="K289">
            <v>0</v>
          </cell>
          <cell r="L289" t="str">
            <v>持出端材</v>
          </cell>
          <cell r="O289" t="str">
            <v>水野</v>
          </cell>
          <cell r="T289" t="str">
            <v>000000000005127</v>
          </cell>
        </row>
        <row r="290">
          <cell r="D290">
            <v>45862</v>
          </cell>
          <cell r="E290" t="str">
            <v>25G11-04</v>
          </cell>
          <cell r="F290">
            <v>30</v>
          </cell>
          <cell r="G290">
            <v>888.58</v>
          </cell>
          <cell r="H290">
            <v>888.7</v>
          </cell>
          <cell r="K290">
            <v>0</v>
          </cell>
          <cell r="L290" t="str">
            <v>α端材</v>
          </cell>
          <cell r="M290">
            <v>1</v>
          </cell>
          <cell r="O290" t="str">
            <v>高森・上野</v>
          </cell>
          <cell r="P290">
            <v>9</v>
          </cell>
          <cell r="T290" t="str">
            <v>000000000005127</v>
          </cell>
        </row>
        <row r="291">
          <cell r="C291" t="str">
            <v>採光ルーバーパネルB　L=1996</v>
          </cell>
          <cell r="I291">
            <v>0</v>
          </cell>
          <cell r="J291">
            <v>0</v>
          </cell>
          <cell r="K291">
            <v>0</v>
          </cell>
          <cell r="L291">
            <v>45868</v>
          </cell>
          <cell r="M291">
            <v>5</v>
          </cell>
          <cell r="O291">
            <v>45868</v>
          </cell>
          <cell r="P291">
            <v>1</v>
          </cell>
          <cell r="T291" t="str">
            <v>000000000005330-2-1</v>
          </cell>
        </row>
        <row r="292">
          <cell r="D292">
            <v>45867</v>
          </cell>
          <cell r="E292" t="str">
            <v>25G18-01</v>
          </cell>
          <cell r="F292">
            <v>28</v>
          </cell>
          <cell r="G292">
            <v>1998.04</v>
          </cell>
          <cell r="H292">
            <v>1998.3</v>
          </cell>
          <cell r="I292" t="str">
            <v>25G18-01</v>
          </cell>
          <cell r="J292">
            <v>196</v>
          </cell>
          <cell r="K292">
            <v>196</v>
          </cell>
          <cell r="O292">
            <v>210</v>
          </cell>
          <cell r="P292">
            <v>16</v>
          </cell>
          <cell r="T292" t="str">
            <v>000000000005330-2-1</v>
          </cell>
        </row>
        <row r="293">
          <cell r="C293">
            <v>210</v>
          </cell>
          <cell r="D293">
            <v>45867</v>
          </cell>
          <cell r="E293" t="str">
            <v>25G18-01</v>
          </cell>
          <cell r="F293">
            <v>28</v>
          </cell>
          <cell r="G293">
            <v>1998.04</v>
          </cell>
          <cell r="H293">
            <v>1998.3</v>
          </cell>
          <cell r="I293" t="str">
            <v>25G17-02</v>
          </cell>
          <cell r="J293">
            <v>32</v>
          </cell>
          <cell r="K293">
            <v>32</v>
          </cell>
          <cell r="O293">
            <v>228</v>
          </cell>
          <cell r="P293">
            <v>1</v>
          </cell>
          <cell r="T293" t="str">
            <v>000000000005330-2-1</v>
          </cell>
        </row>
        <row r="294">
          <cell r="D294">
            <v>45868</v>
          </cell>
          <cell r="E294" t="str">
            <v>25G18-01</v>
          </cell>
          <cell r="F294">
            <v>28</v>
          </cell>
          <cell r="G294">
            <v>1998.04</v>
          </cell>
          <cell r="H294">
            <v>1998.3</v>
          </cell>
          <cell r="K294">
            <v>0</v>
          </cell>
          <cell r="O294">
            <v>18</v>
          </cell>
          <cell r="T294" t="str">
            <v>000000000005330-2-1</v>
          </cell>
        </row>
        <row r="295">
          <cell r="C295">
            <v>1</v>
          </cell>
          <cell r="D295">
            <v>45868</v>
          </cell>
          <cell r="E295" t="str">
            <v>25G17-02</v>
          </cell>
          <cell r="F295">
            <v>30</v>
          </cell>
          <cell r="G295">
            <v>1998.3</v>
          </cell>
          <cell r="H295">
            <v>1998.2</v>
          </cell>
          <cell r="K295">
            <v>0</v>
          </cell>
          <cell r="O295">
            <v>18</v>
          </cell>
          <cell r="T295" t="str">
            <v>000000000005330-2-1</v>
          </cell>
        </row>
        <row r="296">
          <cell r="C296" t="str">
            <v>上-1</v>
          </cell>
          <cell r="D296">
            <v>45868</v>
          </cell>
          <cell r="E296" t="str">
            <v>25G17-02</v>
          </cell>
          <cell r="F296">
            <v>30</v>
          </cell>
          <cell r="G296">
            <v>1998.3</v>
          </cell>
          <cell r="H296">
            <v>1998.2</v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000000000005330-2-1</v>
          </cell>
        </row>
        <row r="297">
          <cell r="C297">
            <v>5</v>
          </cell>
          <cell r="G297" t="str">
            <v/>
          </cell>
          <cell r="K297">
            <v>0</v>
          </cell>
          <cell r="L297" t="str">
            <v>持出端材</v>
          </cell>
          <cell r="O297" t="str">
            <v>水野・富田</v>
          </cell>
          <cell r="T297" t="str">
            <v>000000000005330-2-1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O298" t="str">
            <v>高森</v>
          </cell>
          <cell r="P298">
            <v>18</v>
          </cell>
          <cell r="T298" t="str">
            <v>000000000005330-2-1</v>
          </cell>
        </row>
        <row r="299">
          <cell r="C299" t="str">
            <v>8FL281304 5010　L=888</v>
          </cell>
          <cell r="I299">
            <v>0</v>
          </cell>
          <cell r="J299">
            <v>0</v>
          </cell>
          <cell r="K299">
            <v>0</v>
          </cell>
          <cell r="L299">
            <v>45863</v>
          </cell>
          <cell r="M299">
            <v>8</v>
          </cell>
          <cell r="O299">
            <v>45866</v>
          </cell>
          <cell r="T299" t="str">
            <v>000000000005128</v>
          </cell>
        </row>
        <row r="300">
          <cell r="D300">
            <v>45862</v>
          </cell>
          <cell r="E300" t="str">
            <v>25G11-04</v>
          </cell>
          <cell r="F300">
            <v>30</v>
          </cell>
          <cell r="G300">
            <v>888.58</v>
          </cell>
          <cell r="H300">
            <v>888.7</v>
          </cell>
          <cell r="I300" t="str">
            <v>25G11-04</v>
          </cell>
          <cell r="J300">
            <v>328</v>
          </cell>
          <cell r="K300">
            <v>164</v>
          </cell>
          <cell r="L300">
            <v>45866</v>
          </cell>
          <cell r="M300">
            <v>11</v>
          </cell>
          <cell r="O300">
            <v>1900</v>
          </cell>
          <cell r="T300" t="str">
            <v>000000000005128</v>
          </cell>
        </row>
        <row r="301">
          <cell r="C301">
            <v>1900</v>
          </cell>
          <cell r="D301">
            <v>45862</v>
          </cell>
          <cell r="E301" t="str">
            <v>25G12-05</v>
          </cell>
          <cell r="F301">
            <v>30</v>
          </cell>
          <cell r="G301">
            <v>888.58</v>
          </cell>
          <cell r="H301">
            <v>888.85</v>
          </cell>
          <cell r="I301" t="str">
            <v>25G12-05</v>
          </cell>
          <cell r="J301">
            <v>1573</v>
          </cell>
          <cell r="K301">
            <v>787</v>
          </cell>
          <cell r="O301">
            <v>1901</v>
          </cell>
          <cell r="P301">
            <v>1</v>
          </cell>
          <cell r="T301" t="str">
            <v>000000000005128</v>
          </cell>
        </row>
        <row r="302">
          <cell r="D302">
            <v>45863</v>
          </cell>
          <cell r="E302" t="str">
            <v>25G12-05</v>
          </cell>
          <cell r="F302">
            <v>30</v>
          </cell>
          <cell r="G302">
            <v>888.58</v>
          </cell>
          <cell r="H302">
            <v>888.6</v>
          </cell>
          <cell r="K302">
            <v>0</v>
          </cell>
          <cell r="O302">
            <v>1</v>
          </cell>
          <cell r="T302" t="str">
            <v>000000000005128</v>
          </cell>
        </row>
        <row r="303">
          <cell r="C303">
            <v>2</v>
          </cell>
          <cell r="D303">
            <v>45863</v>
          </cell>
          <cell r="E303" t="str">
            <v>25G12-05</v>
          </cell>
          <cell r="F303">
            <v>32</v>
          </cell>
          <cell r="G303">
            <v>888.69</v>
          </cell>
          <cell r="H303">
            <v>888.74</v>
          </cell>
          <cell r="K303">
            <v>0</v>
          </cell>
          <cell r="O303">
            <v>1</v>
          </cell>
          <cell r="T303" t="str">
            <v>000000000005128</v>
          </cell>
        </row>
        <row r="304">
          <cell r="C304" t="str">
            <v>LED-A888</v>
          </cell>
          <cell r="D304">
            <v>45863</v>
          </cell>
          <cell r="E304" t="str">
            <v>25G12-05</v>
          </cell>
          <cell r="F304">
            <v>32</v>
          </cell>
          <cell r="G304">
            <v>888.69</v>
          </cell>
          <cell r="H304">
            <v>888.81</v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000000000005128</v>
          </cell>
        </row>
        <row r="305">
          <cell r="C305">
            <v>19</v>
          </cell>
          <cell r="D305">
            <v>45863</v>
          </cell>
          <cell r="E305" t="str">
            <v>25G12-05</v>
          </cell>
          <cell r="F305">
            <v>30</v>
          </cell>
          <cell r="G305">
            <v>888.58</v>
          </cell>
          <cell r="H305">
            <v>888.7</v>
          </cell>
          <cell r="K305">
            <v>0</v>
          </cell>
          <cell r="L305" t="str">
            <v>持出端材</v>
          </cell>
          <cell r="O305" t="str">
            <v>水野</v>
          </cell>
          <cell r="T305" t="str">
            <v>000000000005128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O306" t="str">
            <v>高森・上野</v>
          </cell>
          <cell r="P306">
            <v>1</v>
          </cell>
          <cell r="T306" t="str">
            <v>000000000005128</v>
          </cell>
        </row>
        <row r="307">
          <cell r="C307" t="str">
            <v>8FL281304 8310　L=748</v>
          </cell>
          <cell r="D307">
            <v>45757</v>
          </cell>
          <cell r="E307" t="str">
            <v>25D02-02</v>
          </cell>
          <cell r="I307" t="str">
            <v>25D02-02</v>
          </cell>
          <cell r="J307">
            <v>8</v>
          </cell>
          <cell r="K307">
            <v>4</v>
          </cell>
          <cell r="L307">
            <v>45866</v>
          </cell>
          <cell r="M307">
            <v>1</v>
          </cell>
          <cell r="O307">
            <v>45867</v>
          </cell>
          <cell r="T307" t="str">
            <v>000000000005123</v>
          </cell>
        </row>
        <row r="308">
          <cell r="D308">
            <v>45866</v>
          </cell>
          <cell r="E308" t="str">
            <v>25G24-06</v>
          </cell>
          <cell r="F308">
            <v>30</v>
          </cell>
          <cell r="G308">
            <v>748.49</v>
          </cell>
          <cell r="H308">
            <v>748.29</v>
          </cell>
          <cell r="I308" t="str">
            <v>25G24-06</v>
          </cell>
          <cell r="J308">
            <v>192</v>
          </cell>
          <cell r="K308">
            <v>96</v>
          </cell>
          <cell r="L308">
            <v>45867</v>
          </cell>
          <cell r="M308">
            <v>1</v>
          </cell>
          <cell r="O308">
            <v>200</v>
          </cell>
          <cell r="T308" t="str">
            <v>000000000005123</v>
          </cell>
        </row>
        <row r="309">
          <cell r="C309">
            <v>200</v>
          </cell>
          <cell r="D309">
            <v>45866</v>
          </cell>
          <cell r="E309" t="str">
            <v>25G24-06</v>
          </cell>
          <cell r="F309">
            <v>32</v>
          </cell>
          <cell r="G309">
            <v>748.58</v>
          </cell>
          <cell r="H309">
            <v>748.66</v>
          </cell>
          <cell r="K309">
            <v>0</v>
          </cell>
          <cell r="O309">
            <v>100</v>
          </cell>
          <cell r="T309" t="str">
            <v>000000000005123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000000000005123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000000000005123</v>
          </cell>
        </row>
        <row r="312">
          <cell r="C312" t="str">
            <v>LED-A888</v>
          </cell>
          <cell r="G312" t="str">
            <v/>
          </cell>
          <cell r="K312">
            <v>0</v>
          </cell>
          <cell r="L312" t="str">
            <v>旧品加工</v>
          </cell>
          <cell r="M312">
            <v>8</v>
          </cell>
          <cell r="O312">
            <v>0</v>
          </cell>
          <cell r="T312" t="str">
            <v>000000000005123</v>
          </cell>
        </row>
        <row r="313">
          <cell r="C313">
            <v>2</v>
          </cell>
          <cell r="G313" t="str">
            <v/>
          </cell>
          <cell r="K313">
            <v>0</v>
          </cell>
          <cell r="L313" t="str">
            <v>持出端材</v>
          </cell>
          <cell r="O313" t="str">
            <v>水野</v>
          </cell>
          <cell r="T313" t="str">
            <v>000000000005123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O314" t="str">
            <v>上野・高森</v>
          </cell>
          <cell r="P314">
            <v>0</v>
          </cell>
          <cell r="T314" t="str">
            <v>000000000005123</v>
          </cell>
        </row>
        <row r="315">
          <cell r="C315" t="str">
            <v>8FL281304 4910　L=592</v>
          </cell>
          <cell r="D315">
            <v>45856</v>
          </cell>
          <cell r="E315" t="str">
            <v>25G09-02</v>
          </cell>
          <cell r="I315" t="str">
            <v>25G09-02</v>
          </cell>
          <cell r="J315">
            <v>8</v>
          </cell>
          <cell r="K315">
            <v>4</v>
          </cell>
          <cell r="L315">
            <v>45867</v>
          </cell>
          <cell r="M315">
            <v>1</v>
          </cell>
          <cell r="O315">
            <v>45867</v>
          </cell>
          <cell r="P315">
            <v>1</v>
          </cell>
          <cell r="T315" t="str">
            <v>000000000005122</v>
          </cell>
        </row>
        <row r="316">
          <cell r="D316">
            <v>45866</v>
          </cell>
          <cell r="E316" t="str">
            <v>25G24-06</v>
          </cell>
          <cell r="F316">
            <v>30</v>
          </cell>
          <cell r="G316">
            <v>591.88</v>
          </cell>
          <cell r="H316">
            <v>592.07000000000005</v>
          </cell>
          <cell r="I316" t="str">
            <v>25G24-06</v>
          </cell>
          <cell r="J316">
            <v>89</v>
          </cell>
          <cell r="K316">
            <v>30</v>
          </cell>
          <cell r="O316">
            <v>100</v>
          </cell>
          <cell r="T316" t="str">
            <v>000000000005122</v>
          </cell>
        </row>
        <row r="317">
          <cell r="C317">
            <v>100</v>
          </cell>
          <cell r="D317">
            <v>45866</v>
          </cell>
          <cell r="E317" t="str">
            <v>25G24-06</v>
          </cell>
          <cell r="F317">
            <v>30</v>
          </cell>
          <cell r="G317">
            <v>591.88</v>
          </cell>
          <cell r="H317">
            <v>591.88</v>
          </cell>
          <cell r="K317">
            <v>0</v>
          </cell>
          <cell r="O317">
            <v>47</v>
          </cell>
          <cell r="T317" t="str">
            <v>000000000005122</v>
          </cell>
        </row>
        <row r="318">
          <cell r="G318" t="str">
            <v/>
          </cell>
          <cell r="K318">
            <v>0</v>
          </cell>
          <cell r="O318">
            <v>1</v>
          </cell>
          <cell r="T318" t="str">
            <v>000000000005122</v>
          </cell>
        </row>
        <row r="319">
          <cell r="C319">
            <v>3</v>
          </cell>
          <cell r="G319" t="str">
            <v/>
          </cell>
          <cell r="K319">
            <v>0</v>
          </cell>
          <cell r="O319">
            <v>1</v>
          </cell>
          <cell r="T319" t="str">
            <v>000000000005122</v>
          </cell>
        </row>
        <row r="320">
          <cell r="C320" t="str">
            <v>LED-A592</v>
          </cell>
          <cell r="G320" t="str">
            <v/>
          </cell>
          <cell r="K320">
            <v>0</v>
          </cell>
          <cell r="L320" t="str">
            <v>旧品加工</v>
          </cell>
          <cell r="M320">
            <v>12</v>
          </cell>
          <cell r="O320">
            <v>4</v>
          </cell>
          <cell r="T320" t="str">
            <v>000000000005122</v>
          </cell>
        </row>
        <row r="321">
          <cell r="C321">
            <v>1</v>
          </cell>
          <cell r="G321" t="str">
            <v/>
          </cell>
          <cell r="K321">
            <v>0</v>
          </cell>
          <cell r="L321" t="str">
            <v>持出端材</v>
          </cell>
          <cell r="O321" t="str">
            <v>水野</v>
          </cell>
          <cell r="T321" t="str">
            <v>000000000005122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4</v>
          </cell>
          <cell r="O322" t="str">
            <v>高森</v>
          </cell>
          <cell r="P322">
            <v>1</v>
          </cell>
          <cell r="T322" t="str">
            <v>000000000005122</v>
          </cell>
        </row>
        <row r="323">
          <cell r="C323" t="str">
            <v>8FL281304 4910　L=592</v>
          </cell>
          <cell r="I323">
            <v>0</v>
          </cell>
          <cell r="J323">
            <v>0</v>
          </cell>
          <cell r="K323">
            <v>0</v>
          </cell>
          <cell r="L323">
            <v>45867</v>
          </cell>
          <cell r="M323">
            <v>3</v>
          </cell>
          <cell r="O323">
            <v>45867</v>
          </cell>
          <cell r="T323" t="str">
            <v>000000000005780</v>
          </cell>
        </row>
        <row r="324">
          <cell r="D324">
            <v>45867</v>
          </cell>
          <cell r="E324" t="str">
            <v>25G24-06</v>
          </cell>
          <cell r="F324">
            <v>28</v>
          </cell>
          <cell r="G324">
            <v>591.80999999999995</v>
          </cell>
          <cell r="H324">
            <v>591.84</v>
          </cell>
          <cell r="I324" t="str">
            <v>25G24-06</v>
          </cell>
          <cell r="J324">
            <v>301</v>
          </cell>
          <cell r="K324">
            <v>101</v>
          </cell>
          <cell r="O324">
            <v>300</v>
          </cell>
          <cell r="T324" t="str">
            <v>000000000005780</v>
          </cell>
        </row>
        <row r="325">
          <cell r="C325">
            <v>300</v>
          </cell>
          <cell r="D325">
            <v>45867</v>
          </cell>
          <cell r="E325" t="str">
            <v>25G24-06</v>
          </cell>
          <cell r="F325">
            <v>28</v>
          </cell>
          <cell r="G325">
            <v>591.80999999999995</v>
          </cell>
          <cell r="H325">
            <v>591.9</v>
          </cell>
          <cell r="K325">
            <v>0</v>
          </cell>
          <cell r="O325">
            <v>101</v>
          </cell>
          <cell r="T325" t="str">
            <v>000000000005780</v>
          </cell>
        </row>
        <row r="326">
          <cell r="G326" t="str">
            <v/>
          </cell>
          <cell r="K326">
            <v>0</v>
          </cell>
          <cell r="O326">
            <v>1</v>
          </cell>
          <cell r="P326">
            <v>1</v>
          </cell>
          <cell r="T326" t="str">
            <v>000000000005780</v>
          </cell>
        </row>
        <row r="327">
          <cell r="C327">
            <v>3</v>
          </cell>
          <cell r="G327" t="str">
            <v/>
          </cell>
          <cell r="K327">
            <v>0</v>
          </cell>
          <cell r="O327">
            <v>1</v>
          </cell>
          <cell r="T327" t="str">
            <v>000000000005780</v>
          </cell>
        </row>
        <row r="328">
          <cell r="C328" t="str">
            <v>LED-A592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000000000005780</v>
          </cell>
        </row>
        <row r="329">
          <cell r="C329">
            <v>3</v>
          </cell>
          <cell r="G329" t="str">
            <v/>
          </cell>
          <cell r="K329">
            <v>0</v>
          </cell>
          <cell r="L329" t="str">
            <v>持出端材</v>
          </cell>
          <cell r="O329" t="str">
            <v>水野</v>
          </cell>
          <cell r="T329" t="str">
            <v>000000000005780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O330" t="str">
            <v>高森</v>
          </cell>
          <cell r="P330">
            <v>1</v>
          </cell>
          <cell r="T330" t="str">
            <v>000000000005780</v>
          </cell>
        </row>
        <row r="331">
          <cell r="C331" t="str">
            <v>8FL281304 8110　L=444</v>
          </cell>
          <cell r="I331">
            <v>0</v>
          </cell>
          <cell r="J331">
            <v>0</v>
          </cell>
          <cell r="K331">
            <v>0</v>
          </cell>
          <cell r="L331">
            <v>45867</v>
          </cell>
          <cell r="M331">
            <v>1</v>
          </cell>
          <cell r="O331">
            <v>45867</v>
          </cell>
          <cell r="T331" t="str">
            <v>000000000005120</v>
          </cell>
        </row>
        <row r="332">
          <cell r="D332">
            <v>45867</v>
          </cell>
          <cell r="E332" t="str">
            <v>25G24-06</v>
          </cell>
          <cell r="F332">
            <v>28</v>
          </cell>
          <cell r="G332">
            <v>443.73</v>
          </cell>
          <cell r="H332">
            <v>443.9</v>
          </cell>
          <cell r="I332" t="str">
            <v>25G24-06</v>
          </cell>
          <cell r="J332">
            <v>100</v>
          </cell>
          <cell r="K332">
            <v>25</v>
          </cell>
          <cell r="O332">
            <v>100</v>
          </cell>
          <cell r="T332" t="str">
            <v>000000000005120</v>
          </cell>
        </row>
        <row r="333">
          <cell r="C333">
            <v>100</v>
          </cell>
          <cell r="D333">
            <v>45867</v>
          </cell>
          <cell r="E333" t="str">
            <v>25G24-06</v>
          </cell>
          <cell r="F333">
            <v>30</v>
          </cell>
          <cell r="G333">
            <v>443.79</v>
          </cell>
          <cell r="H333">
            <v>443.91</v>
          </cell>
          <cell r="K333">
            <v>0</v>
          </cell>
          <cell r="O333">
            <v>34</v>
          </cell>
          <cell r="T333" t="str">
            <v>000000000005120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000000000005120</v>
          </cell>
        </row>
        <row r="335">
          <cell r="C335">
            <v>4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000000000005120</v>
          </cell>
        </row>
        <row r="336">
          <cell r="C336" t="str">
            <v>LED-A444</v>
          </cell>
          <cell r="G336" t="str">
            <v/>
          </cell>
          <cell r="K336">
            <v>0</v>
          </cell>
          <cell r="L336" t="str">
            <v>旧品加工</v>
          </cell>
          <cell r="O336">
            <v>0</v>
          </cell>
          <cell r="T336" t="str">
            <v>000000000005120</v>
          </cell>
        </row>
        <row r="337">
          <cell r="C337">
            <v>1</v>
          </cell>
          <cell r="G337" t="str">
            <v/>
          </cell>
          <cell r="K337">
            <v>0</v>
          </cell>
          <cell r="L337" t="str">
            <v>持出端材</v>
          </cell>
          <cell r="O337" t="str">
            <v>水野</v>
          </cell>
          <cell r="T337" t="str">
            <v>000000000005120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O338" t="str">
            <v>高森</v>
          </cell>
          <cell r="P338">
            <v>0</v>
          </cell>
          <cell r="T338" t="str">
            <v>000000000005120</v>
          </cell>
        </row>
        <row r="339">
          <cell r="C339" t="str">
            <v>採光ルーバーパネルB　L=1996</v>
          </cell>
          <cell r="I339">
            <v>0</v>
          </cell>
          <cell r="J339">
            <v>0</v>
          </cell>
          <cell r="K339">
            <v>0</v>
          </cell>
          <cell r="L339">
            <v>45868</v>
          </cell>
          <cell r="M339">
            <v>7</v>
          </cell>
          <cell r="O339">
            <v>45868</v>
          </cell>
          <cell r="P339">
            <v>5</v>
          </cell>
          <cell r="T339" t="str">
            <v>000000000005330-2-2</v>
          </cell>
        </row>
        <row r="340">
          <cell r="D340">
            <v>45868</v>
          </cell>
          <cell r="E340" t="str">
            <v>25G17-02</v>
          </cell>
          <cell r="F340">
            <v>30</v>
          </cell>
          <cell r="G340">
            <v>1998.3</v>
          </cell>
          <cell r="H340">
            <v>1998.3</v>
          </cell>
          <cell r="I340" t="str">
            <v>25G17-02</v>
          </cell>
          <cell r="J340">
            <v>268</v>
          </cell>
          <cell r="K340">
            <v>268</v>
          </cell>
          <cell r="O340">
            <v>294</v>
          </cell>
          <cell r="P340">
            <v>14</v>
          </cell>
          <cell r="T340" t="str">
            <v>000000000005330-2-2</v>
          </cell>
        </row>
        <row r="341">
          <cell r="C341">
            <v>294</v>
          </cell>
          <cell r="D341">
            <v>45868</v>
          </cell>
          <cell r="E341" t="str">
            <v>25G18-03</v>
          </cell>
          <cell r="F341">
            <v>30</v>
          </cell>
          <cell r="G341">
            <v>1998.3</v>
          </cell>
          <cell r="H341">
            <v>1998.22</v>
          </cell>
          <cell r="I341" t="str">
            <v>25G18-03</v>
          </cell>
          <cell r="J341">
            <v>45</v>
          </cell>
          <cell r="K341">
            <v>45</v>
          </cell>
          <cell r="O341">
            <v>313</v>
          </cell>
          <cell r="T341" t="str">
            <v>000000000005330-2-2</v>
          </cell>
        </row>
        <row r="342">
          <cell r="G342" t="str">
            <v/>
          </cell>
          <cell r="K342">
            <v>0</v>
          </cell>
          <cell r="O342">
            <v>19</v>
          </cell>
          <cell r="T342" t="str">
            <v>000000000005330-2-2</v>
          </cell>
        </row>
        <row r="343">
          <cell r="C343">
            <v>1</v>
          </cell>
          <cell r="G343" t="str">
            <v/>
          </cell>
          <cell r="K343">
            <v>0</v>
          </cell>
          <cell r="O343">
            <v>19</v>
          </cell>
          <cell r="T343" t="str">
            <v>000000000005330-2-2</v>
          </cell>
        </row>
        <row r="344">
          <cell r="C344" t="str">
            <v>上-1</v>
          </cell>
          <cell r="G344" t="str">
            <v/>
          </cell>
          <cell r="K344">
            <v>0</v>
          </cell>
          <cell r="L344" t="str">
            <v>旧品加工</v>
          </cell>
          <cell r="O344">
            <v>0</v>
          </cell>
          <cell r="T344" t="str">
            <v>000000000005330-2-2</v>
          </cell>
        </row>
        <row r="345">
          <cell r="C345">
            <v>7</v>
          </cell>
          <cell r="G345" t="str">
            <v/>
          </cell>
          <cell r="K345">
            <v>0</v>
          </cell>
          <cell r="L345" t="str">
            <v>持出端材</v>
          </cell>
          <cell r="O345" t="str">
            <v>水野・富田</v>
          </cell>
          <cell r="T345" t="str">
            <v>000000000005330-2-2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O346" t="str">
            <v>上野・高森</v>
          </cell>
          <cell r="P346">
            <v>19</v>
          </cell>
          <cell r="T346" t="str">
            <v>000000000005330-2-2</v>
          </cell>
        </row>
        <row r="347">
          <cell r="C347" t="str">
            <v>採光ルーバーパネルB　L=1996</v>
          </cell>
          <cell r="I347">
            <v>0</v>
          </cell>
          <cell r="J347">
            <v>0</v>
          </cell>
          <cell r="K347">
            <v>0</v>
          </cell>
          <cell r="O347">
            <v>0</v>
          </cell>
          <cell r="T347" t="str">
            <v>000000000005330-2-3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000000000005330-2-3</v>
          </cell>
        </row>
        <row r="349">
          <cell r="C349">
            <v>210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000000000005330-2-3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000000000005330-2-3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000000000005330-2-3</v>
          </cell>
        </row>
        <row r="352">
          <cell r="C352" t="str">
            <v>上-1</v>
          </cell>
          <cell r="G352" t="str">
            <v/>
          </cell>
          <cell r="K352">
            <v>0</v>
          </cell>
          <cell r="L352" t="str">
            <v>旧品加工</v>
          </cell>
          <cell r="O352">
            <v>0</v>
          </cell>
          <cell r="T352" t="str">
            <v>000000000005330-2-3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持出端材</v>
          </cell>
          <cell r="O353" t="str">
            <v>富田・水野</v>
          </cell>
          <cell r="T353" t="str">
            <v>000000000005330-2-3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O354" t="str">
            <v>上野・高森</v>
          </cell>
          <cell r="P354">
            <v>0</v>
          </cell>
          <cell r="T354" t="str">
            <v>000000000005330-2-3</v>
          </cell>
        </row>
        <row r="355">
          <cell r="C355" t="str">
            <v>8FL281304 4810　L=297</v>
          </cell>
          <cell r="I355">
            <v>0</v>
          </cell>
          <cell r="J355">
            <v>0</v>
          </cell>
          <cell r="K355">
            <v>0</v>
          </cell>
          <cell r="O355">
            <v>0</v>
          </cell>
          <cell r="T355" t="str">
            <v>000000000005779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000000000005779</v>
          </cell>
        </row>
        <row r="357">
          <cell r="C357">
            <v>300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000000000005779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000000000005779</v>
          </cell>
        </row>
        <row r="359">
          <cell r="C359">
            <v>6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000000000005779</v>
          </cell>
        </row>
        <row r="360">
          <cell r="C360" t="str">
            <v>LED-A300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000000000005779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持出端材</v>
          </cell>
          <cell r="T361" t="str">
            <v>000000000005779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P362">
            <v>0</v>
          </cell>
          <cell r="T362" t="str">
            <v>000000000005779</v>
          </cell>
        </row>
        <row r="363">
          <cell r="C363" t="str">
            <v>8FL281304 6110　L=1478</v>
          </cell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000000000005784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000000000005784</v>
          </cell>
        </row>
        <row r="365">
          <cell r="C365">
            <v>400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000000000005784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000000000005784</v>
          </cell>
        </row>
        <row r="367">
          <cell r="C367">
            <v>1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000000000005784</v>
          </cell>
        </row>
        <row r="368">
          <cell r="C368" t="str">
            <v>LED-A1478</v>
          </cell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000000000005784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000000000005784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000000000005784</v>
          </cell>
        </row>
        <row r="371">
          <cell r="C371" t="str">
            <v>8FL281304 8310　L=748</v>
          </cell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000000000005781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000000000005781</v>
          </cell>
        </row>
        <row r="373">
          <cell r="C373">
            <v>200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000000000005781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000000000005781</v>
          </cell>
        </row>
        <row r="375">
          <cell r="C375">
            <v>2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000000000005781</v>
          </cell>
        </row>
        <row r="376">
          <cell r="C376" t="str">
            <v>LED-A888</v>
          </cell>
          <cell r="G376" t="str">
            <v/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000000000005781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持出端材</v>
          </cell>
          <cell r="T377" t="str">
            <v>000000000005781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000000000005781</v>
          </cell>
        </row>
        <row r="379">
          <cell r="C379" t="str">
            <v>8FL281304 5010　L=888</v>
          </cell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000000000005783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000000000005783</v>
          </cell>
        </row>
        <row r="381">
          <cell r="C381">
            <v>600</v>
          </cell>
          <cell r="G381" t="str">
            <v/>
          </cell>
          <cell r="K381">
            <v>0</v>
          </cell>
          <cell r="O381">
            <v>0</v>
          </cell>
          <cell r="T381" t="str">
            <v>000000000005783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000000000005783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000000000005783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000000000005783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000000000005783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000000000005783</v>
          </cell>
        </row>
        <row r="387">
          <cell r="C387" t="str">
            <v>8FL281304 5010　L=888</v>
          </cell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000000000005782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000000000005782</v>
          </cell>
        </row>
        <row r="389">
          <cell r="C389">
            <v>2000</v>
          </cell>
          <cell r="G389" t="str">
            <v/>
          </cell>
          <cell r="K389">
            <v>0</v>
          </cell>
          <cell r="O389">
            <v>0</v>
          </cell>
          <cell r="T389" t="str">
            <v>000000000005782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000000000005782</v>
          </cell>
        </row>
        <row r="391">
          <cell r="C391">
            <v>2</v>
          </cell>
          <cell r="G391" t="str">
            <v/>
          </cell>
          <cell r="K391">
            <v>0</v>
          </cell>
          <cell r="O391">
            <v>0</v>
          </cell>
          <cell r="T391" t="str">
            <v>000000000005782</v>
          </cell>
        </row>
        <row r="392">
          <cell r="C392" t="str">
            <v>LED-A888</v>
          </cell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000000000005782</v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000000000005782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000000000005782</v>
          </cell>
        </row>
        <row r="395">
          <cell r="C395" t="str">
            <v>灯具カバーPC IN 2100　L=1923</v>
          </cell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000000000005618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000000000005618</v>
          </cell>
        </row>
        <row r="397">
          <cell r="C397">
            <v>192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000000000005618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000000000005618</v>
          </cell>
        </row>
        <row r="399">
          <cell r="C399">
            <v>1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000000000005618</v>
          </cell>
        </row>
        <row r="400">
          <cell r="C400" t="str">
            <v>灯具-2　L＝1996</v>
          </cell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000000000005618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000000000005618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000000000005618</v>
          </cell>
        </row>
        <row r="403">
          <cell r="C403" t="str">
            <v>灯具カバーPC IN 2110　L=1815</v>
          </cell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000000000005617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000000000005617</v>
          </cell>
        </row>
        <row r="405">
          <cell r="C405">
            <v>400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000000000005617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000000000005617</v>
          </cell>
        </row>
        <row r="407">
          <cell r="C407">
            <v>1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000000000005617</v>
          </cell>
        </row>
        <row r="408">
          <cell r="C408" t="str">
            <v>灯具-2　L＝1996</v>
          </cell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000000000005617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000000000005617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000000000005617</v>
          </cell>
        </row>
        <row r="411">
          <cell r="C411" t="str">
            <v>灯具カバーPC IN 2050　L=1183.5</v>
          </cell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000000000005615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000000000005615</v>
          </cell>
        </row>
        <row r="413">
          <cell r="C413">
            <v>400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000000000005615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000000000005615</v>
          </cell>
        </row>
        <row r="415">
          <cell r="C415">
            <v>1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000000000005615</v>
          </cell>
        </row>
        <row r="416">
          <cell r="C416" t="str">
            <v>灯具-1　L=1370</v>
          </cell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000000000005615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000000000005615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000000000005615</v>
          </cell>
        </row>
        <row r="419">
          <cell r="C419" t="str">
            <v>灯具カバーPC IN 2140　L=547</v>
          </cell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000000000005612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000000000005612</v>
          </cell>
        </row>
        <row r="421">
          <cell r="C421">
            <v>192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000000000005612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000000000005612</v>
          </cell>
        </row>
        <row r="423">
          <cell r="C423">
            <v>1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000000000005612</v>
          </cell>
        </row>
        <row r="424">
          <cell r="C424" t="str">
            <v>灯具-1　L=1370</v>
          </cell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000000000005612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000000000005612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000000000005612</v>
          </cell>
        </row>
        <row r="427">
          <cell r="C427" t="str">
            <v>灯具カバーPC IN 2070　L=1966</v>
          </cell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000000000005619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000000000005619</v>
          </cell>
        </row>
        <row r="429">
          <cell r="C429">
            <v>192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000000000005619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000000000005619</v>
          </cell>
        </row>
        <row r="431">
          <cell r="C431">
            <v>1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000000000005619</v>
          </cell>
        </row>
        <row r="432">
          <cell r="C432" t="str">
            <v>灯具-2　L＝1996</v>
          </cell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000000000005619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000000000005619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000000000005619</v>
          </cell>
        </row>
        <row r="435">
          <cell r="C435" t="str">
            <v>灯具カバーPC IN 2130　L=908</v>
          </cell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000000000005614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000000000005614</v>
          </cell>
        </row>
        <row r="437">
          <cell r="C437">
            <v>192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000000000005614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000000000005614</v>
          </cell>
        </row>
        <row r="439">
          <cell r="C439">
            <v>1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000000000005614</v>
          </cell>
        </row>
        <row r="440">
          <cell r="C440" t="str">
            <v>灯具-1　L=1370</v>
          </cell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000000000005614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000000000005614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000000000005614</v>
          </cell>
        </row>
        <row r="443">
          <cell r="C443" t="str">
            <v>灯具カバーPC IN 2090　L=840</v>
          </cell>
          <cell r="I443">
            <v>0</v>
          </cell>
          <cell r="J443">
            <v>0</v>
          </cell>
          <cell r="K443">
            <v>0</v>
          </cell>
          <cell r="O443">
            <v>0</v>
          </cell>
          <cell r="T443" t="str">
            <v>000000000005613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000000000005613</v>
          </cell>
        </row>
        <row r="445">
          <cell r="C445">
            <v>192</v>
          </cell>
          <cell r="G445" t="str">
            <v/>
          </cell>
          <cell r="K445">
            <v>0</v>
          </cell>
          <cell r="O445">
            <v>0</v>
          </cell>
          <cell r="T445" t="str">
            <v>000000000005613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000000000005613</v>
          </cell>
        </row>
        <row r="447">
          <cell r="C447">
            <v>1</v>
          </cell>
          <cell r="G447" t="str">
            <v/>
          </cell>
          <cell r="K447">
            <v>0</v>
          </cell>
          <cell r="O447">
            <v>0</v>
          </cell>
          <cell r="T447" t="str">
            <v>000000000005613</v>
          </cell>
        </row>
        <row r="448">
          <cell r="C448" t="str">
            <v>灯具-2　L＝1996</v>
          </cell>
          <cell r="G448" t="str">
            <v/>
          </cell>
          <cell r="K448">
            <v>0</v>
          </cell>
          <cell r="L448" t="str">
            <v>旧品加工</v>
          </cell>
          <cell r="O448">
            <v>0</v>
          </cell>
          <cell r="T448" t="str">
            <v>000000000005613</v>
          </cell>
        </row>
        <row r="449">
          <cell r="C449">
            <v>0</v>
          </cell>
          <cell r="G449" t="str">
            <v/>
          </cell>
          <cell r="K449">
            <v>0</v>
          </cell>
          <cell r="L449" t="str">
            <v>持出端材</v>
          </cell>
          <cell r="T449" t="str">
            <v>000000000005613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M450">
            <v>0</v>
          </cell>
          <cell r="P450">
            <v>0</v>
          </cell>
          <cell r="T450" t="str">
            <v>000000000005613</v>
          </cell>
        </row>
        <row r="451">
          <cell r="C451" t="str">
            <v>灯具カバーPC IN 2060　L=1258.5</v>
          </cell>
          <cell r="I451">
            <v>0</v>
          </cell>
          <cell r="J451">
            <v>0</v>
          </cell>
          <cell r="K451">
            <v>0</v>
          </cell>
          <cell r="O451">
            <v>0</v>
          </cell>
          <cell r="T451" t="str">
            <v>000000000005616</v>
          </cell>
        </row>
        <row r="452">
          <cell r="G452" t="str">
            <v/>
          </cell>
          <cell r="I452" t="str">
            <v/>
          </cell>
          <cell r="K452">
            <v>0</v>
          </cell>
          <cell r="O452">
            <v>0</v>
          </cell>
          <cell r="T452" t="str">
            <v>000000000005616</v>
          </cell>
        </row>
        <row r="453">
          <cell r="C453">
            <v>192</v>
          </cell>
          <cell r="G453" t="str">
            <v/>
          </cell>
          <cell r="K453">
            <v>0</v>
          </cell>
          <cell r="O453">
            <v>0</v>
          </cell>
          <cell r="T453" t="str">
            <v>000000000005616</v>
          </cell>
        </row>
        <row r="454">
          <cell r="G454" t="str">
            <v/>
          </cell>
          <cell r="K454">
            <v>0</v>
          </cell>
          <cell r="O454">
            <v>0</v>
          </cell>
          <cell r="T454" t="str">
            <v>000000000005616</v>
          </cell>
        </row>
        <row r="455">
          <cell r="C455">
            <v>1</v>
          </cell>
          <cell r="G455" t="str">
            <v/>
          </cell>
          <cell r="K455">
            <v>0</v>
          </cell>
          <cell r="O455">
            <v>0</v>
          </cell>
          <cell r="T455" t="str">
            <v>000000000005616</v>
          </cell>
        </row>
        <row r="456">
          <cell r="C456" t="str">
            <v>灯具-1　L=1370</v>
          </cell>
          <cell r="G456" t="str">
            <v/>
          </cell>
          <cell r="K456">
            <v>0</v>
          </cell>
          <cell r="L456" t="str">
            <v>旧品加工</v>
          </cell>
          <cell r="O456">
            <v>0</v>
          </cell>
          <cell r="T456" t="str">
            <v>000000000005616</v>
          </cell>
        </row>
        <row r="457">
          <cell r="C457">
            <v>0</v>
          </cell>
          <cell r="G457" t="str">
            <v/>
          </cell>
          <cell r="K457">
            <v>0</v>
          </cell>
          <cell r="L457" t="str">
            <v>持出端材</v>
          </cell>
          <cell r="T457" t="str">
            <v>000000000005616</v>
          </cell>
        </row>
        <row r="458">
          <cell r="G458" t="str">
            <v/>
          </cell>
          <cell r="K458">
            <v>0</v>
          </cell>
          <cell r="L458" t="str">
            <v>α端材</v>
          </cell>
          <cell r="M458">
            <v>0</v>
          </cell>
          <cell r="P458">
            <v>0</v>
          </cell>
          <cell r="T458" t="str">
            <v>000000000005616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ラベル3枚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  <sheetName val="Sheet1"/>
    </sheetNames>
    <sheetDataSet>
      <sheetData sheetId="0"/>
      <sheetData sheetId="1"/>
      <sheetData sheetId="2">
        <row r="3">
          <cell r="C3" t="str">
            <v>採光ルーバーパネルB　L=1996</v>
          </cell>
          <cell r="I3">
            <v>0</v>
          </cell>
          <cell r="J3">
            <v>0</v>
          </cell>
          <cell r="K3">
            <v>0</v>
          </cell>
          <cell r="L3">
            <v>45868</v>
          </cell>
          <cell r="M3">
            <v>2</v>
          </cell>
          <cell r="O3">
            <v>45869</v>
          </cell>
          <cell r="T3" t="str">
            <v>000000000005330-2-3</v>
          </cell>
        </row>
        <row r="4">
          <cell r="D4">
            <v>45868</v>
          </cell>
          <cell r="E4" t="str">
            <v>25G18-03</v>
          </cell>
          <cell r="F4">
            <v>30</v>
          </cell>
          <cell r="G4">
            <v>1998.3</v>
          </cell>
          <cell r="H4">
            <v>1998.2</v>
          </cell>
          <cell r="I4" t="str">
            <v>25G18-03</v>
          </cell>
          <cell r="J4">
            <v>233</v>
          </cell>
          <cell r="K4">
            <v>233</v>
          </cell>
          <cell r="L4">
            <v>45869</v>
          </cell>
          <cell r="M4">
            <v>3</v>
          </cell>
          <cell r="O4">
            <v>210</v>
          </cell>
          <cell r="P4">
            <v>11</v>
          </cell>
          <cell r="T4" t="str">
            <v>000000000005330-2-3</v>
          </cell>
        </row>
        <row r="5">
          <cell r="C5">
            <v>210</v>
          </cell>
          <cell r="D5">
            <v>45868</v>
          </cell>
          <cell r="E5" t="str">
            <v>25G18-03</v>
          </cell>
          <cell r="F5">
            <v>30</v>
          </cell>
          <cell r="G5">
            <v>1998.3</v>
          </cell>
          <cell r="H5">
            <v>1998.6</v>
          </cell>
          <cell r="K5">
            <v>0</v>
          </cell>
          <cell r="O5">
            <v>233</v>
          </cell>
          <cell r="P5">
            <v>12</v>
          </cell>
          <cell r="T5" t="str">
            <v>000000000005330-2-3</v>
          </cell>
        </row>
        <row r="6">
          <cell r="G6" t="str">
            <v/>
          </cell>
          <cell r="K6">
            <v>0</v>
          </cell>
          <cell r="O6">
            <v>23</v>
          </cell>
          <cell r="T6" t="str">
            <v>000000000005330-2-3</v>
          </cell>
        </row>
        <row r="7">
          <cell r="C7">
            <v>1</v>
          </cell>
          <cell r="G7" t="str">
            <v/>
          </cell>
          <cell r="K7">
            <v>0</v>
          </cell>
          <cell r="O7">
            <v>23</v>
          </cell>
          <cell r="T7" t="str">
            <v>000000000005330-2-3</v>
          </cell>
        </row>
        <row r="8">
          <cell r="C8" t="str">
            <v>上-1</v>
          </cell>
          <cell r="G8" t="str">
            <v/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000000000005330-2-3</v>
          </cell>
        </row>
        <row r="9">
          <cell r="C9">
            <v>5</v>
          </cell>
          <cell r="G9" t="str">
            <v/>
          </cell>
          <cell r="K9">
            <v>0</v>
          </cell>
          <cell r="L9" t="str">
            <v>持出端材</v>
          </cell>
          <cell r="O9" t="str">
            <v>富田・水野</v>
          </cell>
          <cell r="T9" t="str">
            <v>000000000005330-2-3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上野・高森</v>
          </cell>
          <cell r="P10">
            <v>23</v>
          </cell>
          <cell r="T10" t="str">
            <v>000000000005330-2-3</v>
          </cell>
        </row>
        <row r="11">
          <cell r="C11" t="str">
            <v>8FL281304 4810　L=297</v>
          </cell>
          <cell r="D11">
            <v>45862</v>
          </cell>
          <cell r="E11" t="str">
            <v>25G10-03</v>
          </cell>
          <cell r="I11" t="str">
            <v>25G10-03</v>
          </cell>
          <cell r="J11">
            <v>12</v>
          </cell>
          <cell r="K11">
            <v>2</v>
          </cell>
          <cell r="L11">
            <v>45867</v>
          </cell>
          <cell r="M11">
            <v>2</v>
          </cell>
          <cell r="O11">
            <v>45868</v>
          </cell>
          <cell r="T11" t="str">
            <v>000000000005779</v>
          </cell>
        </row>
        <row r="12">
          <cell r="D12">
            <v>45867</v>
          </cell>
          <cell r="E12" t="str">
            <v>25G24-06</v>
          </cell>
          <cell r="F12">
            <v>32</v>
          </cell>
          <cell r="G12">
            <v>297.23</v>
          </cell>
          <cell r="H12">
            <v>297.3</v>
          </cell>
          <cell r="I12" t="str">
            <v>25G24-06</v>
          </cell>
          <cell r="J12">
            <v>259</v>
          </cell>
          <cell r="K12">
            <v>44</v>
          </cell>
          <cell r="L12">
            <v>45868</v>
          </cell>
          <cell r="M12">
            <v>1</v>
          </cell>
          <cell r="O12">
            <v>300</v>
          </cell>
          <cell r="T12" t="str">
            <v>000000000005779</v>
          </cell>
        </row>
        <row r="13">
          <cell r="C13">
            <v>300</v>
          </cell>
          <cell r="D13">
            <v>45867</v>
          </cell>
          <cell r="E13" t="str">
            <v>25G24-06</v>
          </cell>
          <cell r="F13">
            <v>30</v>
          </cell>
          <cell r="G13">
            <v>297.19</v>
          </cell>
          <cell r="H13">
            <v>297.60000000000002</v>
          </cell>
          <cell r="K13">
            <v>0</v>
          </cell>
          <cell r="O13">
            <v>45</v>
          </cell>
          <cell r="T13" t="str">
            <v>000000000005779</v>
          </cell>
        </row>
        <row r="14">
          <cell r="G14" t="str">
            <v/>
          </cell>
          <cell r="K14">
            <v>0</v>
          </cell>
          <cell r="O14">
            <v>0</v>
          </cell>
          <cell r="T14" t="str">
            <v>000000000005779</v>
          </cell>
        </row>
        <row r="15">
          <cell r="C15">
            <v>6</v>
          </cell>
          <cell r="G15" t="str">
            <v/>
          </cell>
          <cell r="K15">
            <v>0</v>
          </cell>
          <cell r="O15">
            <v>0</v>
          </cell>
          <cell r="T15" t="str">
            <v>000000000005779</v>
          </cell>
        </row>
        <row r="16">
          <cell r="C16" t="str">
            <v>LED-A300</v>
          </cell>
          <cell r="G16" t="str">
            <v/>
          </cell>
          <cell r="K16">
            <v>0</v>
          </cell>
          <cell r="L16" t="str">
            <v>旧品加工</v>
          </cell>
          <cell r="M16">
            <v>14</v>
          </cell>
          <cell r="O16">
            <v>29</v>
          </cell>
          <cell r="T16" t="str">
            <v>000000000005779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M17">
            <v>27</v>
          </cell>
          <cell r="O17" t="str">
            <v>水野</v>
          </cell>
          <cell r="T17" t="str">
            <v>000000000005779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2</v>
          </cell>
          <cell r="O18" t="str">
            <v>上野</v>
          </cell>
          <cell r="P18">
            <v>0</v>
          </cell>
          <cell r="T18" t="str">
            <v>000000000005779</v>
          </cell>
        </row>
        <row r="19">
          <cell r="C19" t="str">
            <v>8FL281304 6110　L=1478</v>
          </cell>
          <cell r="I19">
            <v>0</v>
          </cell>
          <cell r="J19">
            <v>0</v>
          </cell>
          <cell r="K19">
            <v>0</v>
          </cell>
          <cell r="L19">
            <v>45867</v>
          </cell>
          <cell r="M19">
            <v>4</v>
          </cell>
          <cell r="O19">
            <v>45867</v>
          </cell>
          <cell r="T19" t="str">
            <v>000000000005784</v>
          </cell>
        </row>
        <row r="20">
          <cell r="D20">
            <v>45867</v>
          </cell>
          <cell r="E20" t="str">
            <v>25G24-06</v>
          </cell>
          <cell r="F20">
            <v>30</v>
          </cell>
          <cell r="G20">
            <v>1478.96</v>
          </cell>
          <cell r="H20">
            <v>1478.72</v>
          </cell>
          <cell r="I20" t="str">
            <v>25G24-06</v>
          </cell>
          <cell r="J20">
            <v>400</v>
          </cell>
          <cell r="K20">
            <v>400</v>
          </cell>
          <cell r="O20">
            <v>400</v>
          </cell>
          <cell r="T20" t="str">
            <v>000000000005784</v>
          </cell>
        </row>
        <row r="21">
          <cell r="C21">
            <v>400</v>
          </cell>
          <cell r="D21">
            <v>45867</v>
          </cell>
          <cell r="E21" t="str">
            <v>25G24-06</v>
          </cell>
          <cell r="F21">
            <v>32</v>
          </cell>
          <cell r="G21">
            <v>1479.15</v>
          </cell>
          <cell r="H21">
            <v>1478.88</v>
          </cell>
          <cell r="K21">
            <v>0</v>
          </cell>
          <cell r="O21">
            <v>400</v>
          </cell>
          <cell r="T21" t="str">
            <v>000000000005784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000000000005784</v>
          </cell>
        </row>
        <row r="23">
          <cell r="C23">
            <v>1</v>
          </cell>
          <cell r="G23" t="str">
            <v/>
          </cell>
          <cell r="K23">
            <v>0</v>
          </cell>
          <cell r="O23">
            <v>0</v>
          </cell>
          <cell r="T23" t="str">
            <v>000000000005784</v>
          </cell>
        </row>
        <row r="24">
          <cell r="C24" t="str">
            <v>LED-A1478</v>
          </cell>
          <cell r="G24" t="str">
            <v/>
          </cell>
          <cell r="K24">
            <v>0</v>
          </cell>
          <cell r="L24" t="str">
            <v>旧品加工</v>
          </cell>
          <cell r="O24">
            <v>0</v>
          </cell>
          <cell r="T24" t="str">
            <v>000000000005784</v>
          </cell>
        </row>
        <row r="25">
          <cell r="C25">
            <v>4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000000000005784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上野</v>
          </cell>
          <cell r="P26">
            <v>0</v>
          </cell>
          <cell r="T26" t="str">
            <v>000000000005784</v>
          </cell>
        </row>
        <row r="27">
          <cell r="C27" t="str">
            <v>8FL281304 8310　L=748</v>
          </cell>
          <cell r="D27">
            <v>45867</v>
          </cell>
          <cell r="E27" t="str">
            <v>25G24-06</v>
          </cell>
          <cell r="I27" t="str">
            <v>25G24-06</v>
          </cell>
          <cell r="J27">
            <v>8</v>
          </cell>
          <cell r="K27">
            <v>4</v>
          </cell>
          <cell r="L27">
            <v>45869</v>
          </cell>
          <cell r="M27">
            <v>2</v>
          </cell>
          <cell r="O27">
            <v>45869</v>
          </cell>
          <cell r="T27" t="str">
            <v>000000000005781</v>
          </cell>
        </row>
        <row r="28">
          <cell r="D28">
            <v>45869</v>
          </cell>
          <cell r="E28" t="str">
            <v>25G25-07</v>
          </cell>
          <cell r="F28">
            <v>30</v>
          </cell>
          <cell r="G28">
            <v>748.49</v>
          </cell>
          <cell r="H28">
            <v>748.29</v>
          </cell>
          <cell r="I28" t="str">
            <v>25G25-07</v>
          </cell>
          <cell r="J28">
            <v>192</v>
          </cell>
          <cell r="K28">
            <v>96</v>
          </cell>
          <cell r="O28">
            <v>200</v>
          </cell>
          <cell r="T28" t="str">
            <v>000000000005781</v>
          </cell>
        </row>
        <row r="29">
          <cell r="C29">
            <v>200</v>
          </cell>
          <cell r="D29">
            <v>45869</v>
          </cell>
          <cell r="E29" t="str">
            <v>25G25-07</v>
          </cell>
          <cell r="F29">
            <v>30</v>
          </cell>
          <cell r="G29">
            <v>748.49</v>
          </cell>
          <cell r="H29">
            <v>748.54</v>
          </cell>
          <cell r="K29">
            <v>0</v>
          </cell>
          <cell r="O29">
            <v>100</v>
          </cell>
          <cell r="T29" t="str">
            <v>000000000005781</v>
          </cell>
        </row>
        <row r="30">
          <cell r="G30" t="str">
            <v/>
          </cell>
          <cell r="K30">
            <v>0</v>
          </cell>
          <cell r="O30">
            <v>0</v>
          </cell>
          <cell r="T30" t="str">
            <v>000000000005781</v>
          </cell>
        </row>
        <row r="31">
          <cell r="C31">
            <v>2</v>
          </cell>
          <cell r="G31" t="str">
            <v/>
          </cell>
          <cell r="K31">
            <v>0</v>
          </cell>
          <cell r="O31">
            <v>0</v>
          </cell>
          <cell r="T31" t="str">
            <v>000000000005781</v>
          </cell>
        </row>
        <row r="32">
          <cell r="C32" t="str">
            <v>LED-A888</v>
          </cell>
          <cell r="G32" t="str">
            <v/>
          </cell>
          <cell r="K32">
            <v>0</v>
          </cell>
          <cell r="L32" t="str">
            <v>旧品加工</v>
          </cell>
          <cell r="M32">
            <v>8</v>
          </cell>
          <cell r="O32">
            <v>0</v>
          </cell>
          <cell r="T32" t="str">
            <v>000000000005781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T33" t="str">
            <v>000000000005781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上野</v>
          </cell>
          <cell r="P34">
            <v>0</v>
          </cell>
          <cell r="T34" t="str">
            <v>000000000005781</v>
          </cell>
        </row>
        <row r="35">
          <cell r="C35" t="str">
            <v>8FL281304 5010　L=888</v>
          </cell>
          <cell r="D35">
            <v>45866</v>
          </cell>
          <cell r="E35" t="str">
            <v>25G12-05</v>
          </cell>
          <cell r="I35" t="str">
            <v>25G12-05</v>
          </cell>
          <cell r="J35">
            <v>34</v>
          </cell>
          <cell r="K35">
            <v>17</v>
          </cell>
          <cell r="L35">
            <v>45869</v>
          </cell>
          <cell r="M35">
            <v>6</v>
          </cell>
          <cell r="O35">
            <v>45869</v>
          </cell>
          <cell r="P35">
            <v>1</v>
          </cell>
          <cell r="T35" t="str">
            <v>000000000005783</v>
          </cell>
        </row>
        <row r="36">
          <cell r="D36">
            <v>45869</v>
          </cell>
          <cell r="E36" t="str">
            <v>25G24-06</v>
          </cell>
          <cell r="F36">
            <v>28</v>
          </cell>
          <cell r="G36">
            <v>888.46</v>
          </cell>
          <cell r="H36">
            <v>888.43</v>
          </cell>
          <cell r="I36" t="str">
            <v>25G24-06</v>
          </cell>
          <cell r="J36">
            <v>176</v>
          </cell>
          <cell r="K36">
            <v>88</v>
          </cell>
          <cell r="O36">
            <v>600</v>
          </cell>
          <cell r="T36" t="str">
            <v>000000000005783</v>
          </cell>
        </row>
        <row r="37">
          <cell r="C37">
            <v>600</v>
          </cell>
          <cell r="D37">
            <v>45869</v>
          </cell>
          <cell r="E37" t="str">
            <v>25G25-07</v>
          </cell>
          <cell r="F37">
            <v>30</v>
          </cell>
          <cell r="G37">
            <v>888.58</v>
          </cell>
          <cell r="H37">
            <v>888.63</v>
          </cell>
          <cell r="I37" t="str">
            <v>25G25-07</v>
          </cell>
          <cell r="J37">
            <v>390</v>
          </cell>
          <cell r="K37">
            <v>195</v>
          </cell>
          <cell r="O37">
            <v>300</v>
          </cell>
          <cell r="T37" t="str">
            <v>000000000005783</v>
          </cell>
        </row>
        <row r="38">
          <cell r="G38" t="str">
            <v/>
          </cell>
          <cell r="K38">
            <v>0</v>
          </cell>
          <cell r="O38">
            <v>1</v>
          </cell>
          <cell r="T38" t="str">
            <v>000000000005783</v>
          </cell>
        </row>
        <row r="39">
          <cell r="C39">
            <v>2</v>
          </cell>
          <cell r="G39" t="str">
            <v/>
          </cell>
          <cell r="K39">
            <v>0</v>
          </cell>
          <cell r="O39">
            <v>1</v>
          </cell>
          <cell r="T39" t="str">
            <v>000000000005783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M40">
            <v>35</v>
          </cell>
          <cell r="O40">
            <v>1</v>
          </cell>
          <cell r="T40" t="str">
            <v>000000000005783</v>
          </cell>
        </row>
        <row r="41">
          <cell r="C41">
            <v>6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000000000005783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1</v>
          </cell>
          <cell r="O42" t="str">
            <v>富田・上野</v>
          </cell>
          <cell r="P42">
            <v>1</v>
          </cell>
          <cell r="T42" t="str">
            <v>000000000005783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O43">
            <v>0</v>
          </cell>
          <cell r="T43" t="str">
            <v>000000000005782</v>
          </cell>
        </row>
        <row r="44">
          <cell r="G44" t="str">
            <v/>
          </cell>
          <cell r="I44" t="str">
            <v/>
          </cell>
          <cell r="K44">
            <v>0</v>
          </cell>
          <cell r="O44">
            <v>0</v>
          </cell>
          <cell r="T44" t="str">
            <v>000000000005782</v>
          </cell>
        </row>
        <row r="45">
          <cell r="C45">
            <v>2000</v>
          </cell>
          <cell r="G45" t="str">
            <v/>
          </cell>
          <cell r="K45">
            <v>0</v>
          </cell>
          <cell r="O45">
            <v>0</v>
          </cell>
          <cell r="T45" t="str">
            <v>000000000005782</v>
          </cell>
        </row>
        <row r="46">
          <cell r="G46" t="str">
            <v/>
          </cell>
          <cell r="K46">
            <v>0</v>
          </cell>
          <cell r="O46">
            <v>0</v>
          </cell>
          <cell r="T46" t="str">
            <v>000000000005782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0</v>
          </cell>
          <cell r="T47" t="str">
            <v>000000000005782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000000000005782</v>
          </cell>
        </row>
        <row r="49">
          <cell r="C49">
            <v>0</v>
          </cell>
          <cell r="G49" t="str">
            <v/>
          </cell>
          <cell r="K49">
            <v>0</v>
          </cell>
          <cell r="L49" t="str">
            <v>持出端材</v>
          </cell>
          <cell r="T49" t="str">
            <v>000000000005782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P50">
            <v>0</v>
          </cell>
          <cell r="T50" t="str">
            <v>000000000005782</v>
          </cell>
        </row>
        <row r="51">
          <cell r="C51" t="str">
            <v>灯具カバーPC IN 2100　L=1923</v>
          </cell>
          <cell r="I51">
            <v>0</v>
          </cell>
          <cell r="J51">
            <v>0</v>
          </cell>
          <cell r="K51">
            <v>0</v>
          </cell>
          <cell r="O51">
            <v>0</v>
          </cell>
          <cell r="T51" t="str">
            <v>000000000005618</v>
          </cell>
        </row>
        <row r="52">
          <cell r="G52" t="str">
            <v/>
          </cell>
          <cell r="I52" t="str">
            <v/>
          </cell>
          <cell r="K52">
            <v>0</v>
          </cell>
          <cell r="O52">
            <v>0</v>
          </cell>
          <cell r="T52" t="str">
            <v>000000000005618</v>
          </cell>
        </row>
        <row r="53">
          <cell r="C53">
            <v>192</v>
          </cell>
          <cell r="G53" t="str">
            <v/>
          </cell>
          <cell r="K53">
            <v>0</v>
          </cell>
          <cell r="O53">
            <v>0</v>
          </cell>
          <cell r="T53" t="str">
            <v>000000000005618</v>
          </cell>
        </row>
        <row r="54">
          <cell r="G54" t="str">
            <v/>
          </cell>
          <cell r="K54">
            <v>0</v>
          </cell>
          <cell r="O54">
            <v>0</v>
          </cell>
          <cell r="T54" t="str">
            <v>000000000005618</v>
          </cell>
        </row>
        <row r="55">
          <cell r="C55">
            <v>1</v>
          </cell>
          <cell r="G55" t="str">
            <v/>
          </cell>
          <cell r="K55">
            <v>0</v>
          </cell>
          <cell r="O55">
            <v>0</v>
          </cell>
          <cell r="T55" t="str">
            <v>000000000005618</v>
          </cell>
        </row>
        <row r="56">
          <cell r="C56" t="str">
            <v>灯具-2　L＝1996</v>
          </cell>
          <cell r="G56" t="str">
            <v/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000000000005618</v>
          </cell>
        </row>
        <row r="57">
          <cell r="C57">
            <v>0</v>
          </cell>
          <cell r="G57" t="str">
            <v/>
          </cell>
          <cell r="K57">
            <v>0</v>
          </cell>
          <cell r="L57" t="str">
            <v>持出端材</v>
          </cell>
          <cell r="T57" t="str">
            <v>000000000005618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P58">
            <v>0</v>
          </cell>
          <cell r="T58" t="str">
            <v>000000000005618</v>
          </cell>
        </row>
        <row r="59">
          <cell r="C59" t="str">
            <v>灯具カバーPC IN 2110　L=1815</v>
          </cell>
          <cell r="I59">
            <v>0</v>
          </cell>
          <cell r="J59">
            <v>0</v>
          </cell>
          <cell r="K59">
            <v>0</v>
          </cell>
          <cell r="O59">
            <v>0</v>
          </cell>
          <cell r="T59" t="str">
            <v>000000000005617</v>
          </cell>
        </row>
        <row r="60">
          <cell r="G60" t="str">
            <v/>
          </cell>
          <cell r="I60" t="str">
            <v/>
          </cell>
          <cell r="K60">
            <v>0</v>
          </cell>
          <cell r="O60">
            <v>0</v>
          </cell>
          <cell r="T60" t="str">
            <v>000000000005617</v>
          </cell>
        </row>
        <row r="61">
          <cell r="C61">
            <v>400</v>
          </cell>
          <cell r="G61" t="str">
            <v/>
          </cell>
          <cell r="K61">
            <v>0</v>
          </cell>
          <cell r="O61">
            <v>0</v>
          </cell>
          <cell r="T61" t="str">
            <v>000000000005617</v>
          </cell>
        </row>
        <row r="62">
          <cell r="G62" t="str">
            <v/>
          </cell>
          <cell r="K62">
            <v>0</v>
          </cell>
          <cell r="O62">
            <v>0</v>
          </cell>
          <cell r="T62" t="str">
            <v>000000000005617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0</v>
          </cell>
          <cell r="T63" t="str">
            <v>000000000005617</v>
          </cell>
        </row>
        <row r="64">
          <cell r="C64" t="str">
            <v>灯具-2　L＝1996</v>
          </cell>
          <cell r="G64" t="str">
            <v/>
          </cell>
          <cell r="K64">
            <v>0</v>
          </cell>
          <cell r="L64" t="str">
            <v>旧品加工</v>
          </cell>
          <cell r="O64">
            <v>0</v>
          </cell>
          <cell r="T64" t="str">
            <v>000000000005617</v>
          </cell>
        </row>
        <row r="65">
          <cell r="C65">
            <v>0</v>
          </cell>
          <cell r="G65" t="str">
            <v/>
          </cell>
          <cell r="K65">
            <v>0</v>
          </cell>
          <cell r="L65" t="str">
            <v>持出端材</v>
          </cell>
          <cell r="T65" t="str">
            <v>000000000005617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P66">
            <v>0</v>
          </cell>
          <cell r="T66" t="str">
            <v>000000000005617</v>
          </cell>
        </row>
        <row r="67">
          <cell r="C67" t="str">
            <v>灯具カバーPC IN 2050　L=1183.5</v>
          </cell>
          <cell r="I67">
            <v>0</v>
          </cell>
          <cell r="J67">
            <v>0</v>
          </cell>
          <cell r="K67">
            <v>0</v>
          </cell>
          <cell r="O67">
            <v>0</v>
          </cell>
          <cell r="T67" t="str">
            <v>000000000005615</v>
          </cell>
        </row>
        <row r="68">
          <cell r="G68" t="str">
            <v/>
          </cell>
          <cell r="I68" t="str">
            <v/>
          </cell>
          <cell r="K68">
            <v>0</v>
          </cell>
          <cell r="O68">
            <v>0</v>
          </cell>
          <cell r="T68" t="str">
            <v>000000000005615</v>
          </cell>
        </row>
        <row r="69">
          <cell r="C69">
            <v>400</v>
          </cell>
          <cell r="G69" t="str">
            <v/>
          </cell>
          <cell r="K69">
            <v>0</v>
          </cell>
          <cell r="O69">
            <v>0</v>
          </cell>
          <cell r="T69" t="str">
            <v>000000000005615</v>
          </cell>
        </row>
        <row r="70">
          <cell r="G70" t="str">
            <v/>
          </cell>
          <cell r="K70">
            <v>0</v>
          </cell>
          <cell r="O70">
            <v>0</v>
          </cell>
          <cell r="T70" t="str">
            <v>000000000005615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0</v>
          </cell>
          <cell r="T71" t="str">
            <v>000000000005615</v>
          </cell>
        </row>
        <row r="72">
          <cell r="C72" t="str">
            <v>灯具-1　L=1370</v>
          </cell>
          <cell r="G72" t="str">
            <v/>
          </cell>
          <cell r="K72">
            <v>0</v>
          </cell>
          <cell r="L72" t="str">
            <v>旧品加工</v>
          </cell>
          <cell r="O72">
            <v>0</v>
          </cell>
          <cell r="T72" t="str">
            <v>000000000005615</v>
          </cell>
        </row>
        <row r="73">
          <cell r="C73">
            <v>0</v>
          </cell>
          <cell r="G73" t="str">
            <v/>
          </cell>
          <cell r="K73">
            <v>0</v>
          </cell>
          <cell r="L73" t="str">
            <v>持出端材</v>
          </cell>
          <cell r="T73" t="str">
            <v>000000000005615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P74">
            <v>0</v>
          </cell>
          <cell r="T74" t="str">
            <v>000000000005615</v>
          </cell>
        </row>
        <row r="75">
          <cell r="C75" t="str">
            <v>灯具カバーPC IN 2140　L=547</v>
          </cell>
          <cell r="I75">
            <v>0</v>
          </cell>
          <cell r="J75">
            <v>0</v>
          </cell>
          <cell r="K75">
            <v>0</v>
          </cell>
          <cell r="O75">
            <v>0</v>
          </cell>
          <cell r="T75" t="str">
            <v>000000000005612</v>
          </cell>
        </row>
        <row r="76">
          <cell r="G76" t="str">
            <v/>
          </cell>
          <cell r="I76" t="str">
            <v/>
          </cell>
          <cell r="K76">
            <v>0</v>
          </cell>
          <cell r="O76">
            <v>0</v>
          </cell>
          <cell r="T76" t="str">
            <v>000000000005612</v>
          </cell>
        </row>
        <row r="77">
          <cell r="C77">
            <v>192</v>
          </cell>
          <cell r="G77" t="str">
            <v/>
          </cell>
          <cell r="K77">
            <v>0</v>
          </cell>
          <cell r="O77">
            <v>0</v>
          </cell>
          <cell r="T77" t="str">
            <v>000000000005612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000000000005612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0</v>
          </cell>
          <cell r="T79" t="str">
            <v>000000000005612</v>
          </cell>
        </row>
        <row r="80">
          <cell r="C80" t="str">
            <v>灯具-1　L=1370</v>
          </cell>
          <cell r="G80" t="str">
            <v/>
          </cell>
          <cell r="K80">
            <v>0</v>
          </cell>
          <cell r="L80" t="str">
            <v>旧品加工</v>
          </cell>
          <cell r="O80">
            <v>0</v>
          </cell>
          <cell r="T80" t="str">
            <v>000000000005612</v>
          </cell>
        </row>
        <row r="81">
          <cell r="C81">
            <v>0</v>
          </cell>
          <cell r="G81" t="str">
            <v/>
          </cell>
          <cell r="K81">
            <v>0</v>
          </cell>
          <cell r="L81" t="str">
            <v>持出端材</v>
          </cell>
          <cell r="T81" t="str">
            <v>000000000005612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P82">
            <v>0</v>
          </cell>
          <cell r="T82" t="str">
            <v>000000000005612</v>
          </cell>
        </row>
        <row r="83">
          <cell r="C83" t="str">
            <v>灯具カバーPC IN 2070　L=1966</v>
          </cell>
          <cell r="I83">
            <v>0</v>
          </cell>
          <cell r="J83">
            <v>0</v>
          </cell>
          <cell r="K83">
            <v>0</v>
          </cell>
          <cell r="O83">
            <v>0</v>
          </cell>
          <cell r="T83" t="str">
            <v>000000000005619</v>
          </cell>
        </row>
        <row r="84">
          <cell r="G84" t="str">
            <v/>
          </cell>
          <cell r="I84" t="str">
            <v/>
          </cell>
          <cell r="K84">
            <v>0</v>
          </cell>
          <cell r="O84">
            <v>0</v>
          </cell>
          <cell r="T84" t="str">
            <v>000000000005619</v>
          </cell>
        </row>
        <row r="85">
          <cell r="C85">
            <v>192</v>
          </cell>
          <cell r="G85" t="str">
            <v/>
          </cell>
          <cell r="K85">
            <v>0</v>
          </cell>
          <cell r="O85">
            <v>0</v>
          </cell>
          <cell r="T85" t="str">
            <v>000000000005619</v>
          </cell>
        </row>
        <row r="86">
          <cell r="G86" t="str">
            <v/>
          </cell>
          <cell r="K86">
            <v>0</v>
          </cell>
          <cell r="O86">
            <v>0</v>
          </cell>
          <cell r="T86" t="str">
            <v>000000000005619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0</v>
          </cell>
          <cell r="T87" t="str">
            <v>000000000005619</v>
          </cell>
        </row>
        <row r="88">
          <cell r="C88" t="str">
            <v>灯具-2　L＝1996</v>
          </cell>
          <cell r="G88" t="str">
            <v/>
          </cell>
          <cell r="K88">
            <v>0</v>
          </cell>
          <cell r="L88" t="str">
            <v>旧品加工</v>
          </cell>
          <cell r="O88">
            <v>0</v>
          </cell>
          <cell r="T88" t="str">
            <v>000000000005619</v>
          </cell>
        </row>
        <row r="89">
          <cell r="C89">
            <v>0</v>
          </cell>
          <cell r="G89" t="str">
            <v/>
          </cell>
          <cell r="K89">
            <v>0</v>
          </cell>
          <cell r="L89" t="str">
            <v>持出端材</v>
          </cell>
          <cell r="T89" t="str">
            <v>000000000005619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P90">
            <v>0</v>
          </cell>
          <cell r="T90" t="str">
            <v>000000000005619</v>
          </cell>
        </row>
        <row r="91">
          <cell r="C91" t="str">
            <v>灯具カバーPC IN 2130　L=908</v>
          </cell>
          <cell r="I91">
            <v>0</v>
          </cell>
          <cell r="J91">
            <v>0</v>
          </cell>
          <cell r="K91">
            <v>0</v>
          </cell>
          <cell r="O91">
            <v>0</v>
          </cell>
          <cell r="T91" t="str">
            <v>000000000005614</v>
          </cell>
        </row>
        <row r="92">
          <cell r="G92" t="str">
            <v/>
          </cell>
          <cell r="I92" t="str">
            <v/>
          </cell>
          <cell r="K92">
            <v>0</v>
          </cell>
          <cell r="O92">
            <v>0</v>
          </cell>
          <cell r="T92" t="str">
            <v>000000000005614</v>
          </cell>
        </row>
        <row r="93">
          <cell r="C93">
            <v>192</v>
          </cell>
          <cell r="G93" t="str">
            <v/>
          </cell>
          <cell r="K93">
            <v>0</v>
          </cell>
          <cell r="O93">
            <v>0</v>
          </cell>
          <cell r="T93" t="str">
            <v>000000000005614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000000000005614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0</v>
          </cell>
          <cell r="T95" t="str">
            <v>000000000005614</v>
          </cell>
        </row>
        <row r="96">
          <cell r="C96" t="str">
            <v>灯具-1　L=1370</v>
          </cell>
          <cell r="G96" t="str">
            <v/>
          </cell>
          <cell r="K96">
            <v>0</v>
          </cell>
          <cell r="L96" t="str">
            <v>旧品加工</v>
          </cell>
          <cell r="O96">
            <v>0</v>
          </cell>
          <cell r="T96" t="str">
            <v>000000000005614</v>
          </cell>
        </row>
        <row r="97">
          <cell r="C97">
            <v>0</v>
          </cell>
          <cell r="G97" t="str">
            <v/>
          </cell>
          <cell r="K97">
            <v>0</v>
          </cell>
          <cell r="L97" t="str">
            <v>持出端材</v>
          </cell>
          <cell r="T97" t="str">
            <v>000000000005614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P98">
            <v>0</v>
          </cell>
          <cell r="T98" t="str">
            <v>000000000005614</v>
          </cell>
        </row>
        <row r="99">
          <cell r="C99" t="str">
            <v>灯具カバーPC IN 2090　L=840</v>
          </cell>
          <cell r="I99">
            <v>0</v>
          </cell>
          <cell r="J99">
            <v>0</v>
          </cell>
          <cell r="K99">
            <v>0</v>
          </cell>
          <cell r="O99">
            <v>0</v>
          </cell>
          <cell r="T99" t="str">
            <v>000000000005613</v>
          </cell>
        </row>
        <row r="100">
          <cell r="G100" t="str">
            <v/>
          </cell>
          <cell r="I100" t="str">
            <v/>
          </cell>
          <cell r="K100">
            <v>0</v>
          </cell>
          <cell r="O100">
            <v>0</v>
          </cell>
          <cell r="T100" t="str">
            <v>000000000005613</v>
          </cell>
        </row>
        <row r="101">
          <cell r="C101">
            <v>192</v>
          </cell>
          <cell r="G101" t="str">
            <v/>
          </cell>
          <cell r="K101">
            <v>0</v>
          </cell>
          <cell r="O101">
            <v>0</v>
          </cell>
          <cell r="T101" t="str">
            <v>000000000005613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000000000005613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000000000005613</v>
          </cell>
        </row>
        <row r="104">
          <cell r="C104" t="str">
            <v>灯具-2　L＝1996</v>
          </cell>
          <cell r="G104" t="str">
            <v/>
          </cell>
          <cell r="K104">
            <v>0</v>
          </cell>
          <cell r="L104" t="str">
            <v>旧品加工</v>
          </cell>
          <cell r="O104">
            <v>0</v>
          </cell>
          <cell r="T104" t="str">
            <v>000000000005613</v>
          </cell>
        </row>
        <row r="105">
          <cell r="C105">
            <v>0</v>
          </cell>
          <cell r="G105" t="str">
            <v/>
          </cell>
          <cell r="K105">
            <v>0</v>
          </cell>
          <cell r="L105" t="str">
            <v>持出端材</v>
          </cell>
          <cell r="T105" t="str">
            <v>000000000005613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P106">
            <v>0</v>
          </cell>
          <cell r="T106" t="str">
            <v>000000000005613</v>
          </cell>
        </row>
        <row r="107">
          <cell r="C107" t="str">
            <v>灯具カバーPC IN 2060　L=1258.5</v>
          </cell>
          <cell r="I107">
            <v>0</v>
          </cell>
          <cell r="J107">
            <v>0</v>
          </cell>
          <cell r="K107">
            <v>0</v>
          </cell>
          <cell r="O107">
            <v>0</v>
          </cell>
          <cell r="T107" t="str">
            <v>000000000005616</v>
          </cell>
        </row>
        <row r="108">
          <cell r="G108" t="str">
            <v/>
          </cell>
          <cell r="I108" t="str">
            <v/>
          </cell>
          <cell r="K108">
            <v>0</v>
          </cell>
          <cell r="O108">
            <v>0</v>
          </cell>
          <cell r="T108" t="str">
            <v>000000000005616</v>
          </cell>
        </row>
        <row r="109">
          <cell r="C109">
            <v>192</v>
          </cell>
          <cell r="G109" t="str">
            <v/>
          </cell>
          <cell r="K109">
            <v>0</v>
          </cell>
          <cell r="O109">
            <v>0</v>
          </cell>
          <cell r="T109" t="str">
            <v>000000000005616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000000000005616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000000000005616</v>
          </cell>
        </row>
        <row r="112">
          <cell r="C112" t="str">
            <v>灯具-1　L=1370</v>
          </cell>
          <cell r="G112" t="str">
            <v/>
          </cell>
          <cell r="K112">
            <v>0</v>
          </cell>
          <cell r="L112" t="str">
            <v>旧品加工</v>
          </cell>
          <cell r="O112">
            <v>0</v>
          </cell>
          <cell r="T112" t="str">
            <v>000000000005616</v>
          </cell>
        </row>
        <row r="113">
          <cell r="C113">
            <v>0</v>
          </cell>
          <cell r="G113" t="str">
            <v/>
          </cell>
          <cell r="K113">
            <v>0</v>
          </cell>
          <cell r="L113" t="str">
            <v>持出端材</v>
          </cell>
          <cell r="T113" t="str">
            <v>000000000005616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P114">
            <v>0</v>
          </cell>
          <cell r="T114" t="str">
            <v>000000000005616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ラベル3枚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5"/>
  <sheetViews>
    <sheetView tabSelected="1" view="pageBreakPreview" topLeftCell="A256" zoomScale="85" zoomScaleNormal="100" zoomScaleSheetLayoutView="85" workbookViewId="0">
      <selection activeCell="E288" sqref="E288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66" t="s">
        <v>0</v>
      </c>
      <c r="C1" s="117"/>
      <c r="D1" s="117"/>
      <c r="E1" s="12"/>
      <c r="F1" s="12"/>
      <c r="G1" s="12"/>
      <c r="H1" s="12"/>
      <c r="I1" s="12"/>
      <c r="J1" s="12"/>
    </row>
    <row r="2" spans="1:10" ht="14.25" customHeight="1" thickTop="1">
      <c r="A2" s="13"/>
      <c r="B2" s="117"/>
      <c r="C2" s="117"/>
      <c r="D2" s="117"/>
      <c r="E2" s="13"/>
      <c r="F2" s="13"/>
      <c r="G2" s="13"/>
      <c r="H2" s="13"/>
      <c r="I2" s="13"/>
      <c r="J2" s="13"/>
    </row>
    <row r="3" spans="1:10" ht="14.25" customHeight="1">
      <c r="A3" s="167" t="s">
        <v>1</v>
      </c>
      <c r="B3" s="167" t="s">
        <v>2</v>
      </c>
      <c r="C3" s="167" t="s">
        <v>3</v>
      </c>
      <c r="D3" s="168">
        <v>1996</v>
      </c>
      <c r="E3" s="167" t="s">
        <v>4</v>
      </c>
      <c r="F3" s="169" t="s">
        <v>5</v>
      </c>
      <c r="G3" s="117"/>
      <c r="H3" s="142"/>
      <c r="I3" s="14" t="s">
        <v>6</v>
      </c>
      <c r="J3" s="14" t="s">
        <v>7</v>
      </c>
    </row>
    <row r="4" spans="1:10" ht="14.25" customHeight="1">
      <c r="A4" s="117"/>
      <c r="B4" s="117"/>
      <c r="C4" s="117"/>
      <c r="D4" s="117"/>
      <c r="E4" s="117"/>
      <c r="F4" s="117"/>
      <c r="G4" s="117"/>
      <c r="H4" s="142"/>
      <c r="I4" s="148"/>
      <c r="J4" s="148"/>
    </row>
    <row r="5" spans="1:10" ht="17.45" customHeight="1">
      <c r="A5" s="150" t="s">
        <v>8</v>
      </c>
      <c r="B5" s="150" t="s">
        <v>9</v>
      </c>
      <c r="E5" s="150" t="s">
        <v>10</v>
      </c>
      <c r="F5" s="152" t="s">
        <v>11</v>
      </c>
      <c r="G5" s="117"/>
      <c r="H5" s="142"/>
      <c r="I5" s="149"/>
      <c r="J5" s="149"/>
    </row>
    <row r="6" spans="1:10" ht="17.45" customHeight="1">
      <c r="A6" s="117"/>
      <c r="B6" s="117"/>
      <c r="E6" s="117"/>
      <c r="F6" s="117"/>
      <c r="G6" s="117"/>
      <c r="H6" s="142"/>
      <c r="I6" s="15"/>
      <c r="J6" s="15"/>
    </row>
    <row r="7" spans="1:10" ht="17.45" customHeight="1">
      <c r="A7" s="150" t="s">
        <v>12</v>
      </c>
      <c r="B7" s="150" t="s">
        <v>13</v>
      </c>
      <c r="E7" s="2" t="s">
        <v>14</v>
      </c>
      <c r="F7" s="153" t="s">
        <v>15</v>
      </c>
      <c r="G7" s="117"/>
      <c r="H7" s="22"/>
    </row>
    <row r="8" spans="1:10" ht="17.45" customHeight="1">
      <c r="A8" s="117"/>
      <c r="B8" s="117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45860</v>
      </c>
      <c r="E9" s="2" t="s">
        <v>19</v>
      </c>
      <c r="F9" s="129">
        <v>42</v>
      </c>
      <c r="G9" s="117"/>
      <c r="H9" s="22"/>
    </row>
    <row r="10" spans="1:10" ht="17.45" customHeight="1">
      <c r="A10" s="2" t="s">
        <v>20</v>
      </c>
      <c r="B10" s="4">
        <v>45860</v>
      </c>
      <c r="E10" s="2" t="s">
        <v>21</v>
      </c>
      <c r="F10" s="22">
        <v>1</v>
      </c>
      <c r="G10" s="130" t="s">
        <v>22</v>
      </c>
      <c r="H10" s="132">
        <v>42</v>
      </c>
      <c r="I10" s="133"/>
      <c r="J10" s="134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131"/>
      <c r="H11" s="131"/>
      <c r="I11" s="135"/>
      <c r="J11" s="136"/>
    </row>
    <row r="12" spans="1:10" ht="13.5" customHeight="1">
      <c r="A12" s="137" t="s">
        <v>25</v>
      </c>
      <c r="B12" s="117"/>
      <c r="C12" s="117"/>
      <c r="D12" s="21"/>
      <c r="F12" s="3"/>
      <c r="G12" s="138" t="s">
        <v>26</v>
      </c>
      <c r="H12" s="140" t="s">
        <v>27</v>
      </c>
      <c r="I12" s="141" t="s">
        <v>28</v>
      </c>
      <c r="J12" s="142"/>
    </row>
    <row r="13" spans="1:10" ht="13.5" customHeight="1">
      <c r="A13" s="117"/>
      <c r="B13" s="117"/>
      <c r="C13" s="117"/>
      <c r="D13" s="21"/>
      <c r="F13" s="3"/>
      <c r="G13" s="139"/>
      <c r="H13" s="139"/>
      <c r="I13" s="135"/>
      <c r="J13" s="136"/>
    </row>
    <row r="14" spans="1:10" ht="13.5" customHeight="1">
      <c r="A14" s="1" t="s">
        <v>29</v>
      </c>
    </row>
    <row r="15" spans="1:10" ht="63" customHeight="1" thickBot="1">
      <c r="A15" s="143"/>
      <c r="B15" s="144"/>
      <c r="C15" s="144"/>
      <c r="D15" s="144"/>
      <c r="E15" s="144"/>
      <c r="F15" s="144"/>
      <c r="G15" s="144"/>
      <c r="H15" s="144"/>
      <c r="I15" s="144"/>
      <c r="J15" s="144"/>
    </row>
    <row r="16" spans="1:10" ht="18.75">
      <c r="A16" s="24" t="s">
        <v>30</v>
      </c>
      <c r="B16" s="17" t="s">
        <v>31</v>
      </c>
      <c r="C16" s="145" t="s">
        <v>32</v>
      </c>
      <c r="D16" s="146"/>
      <c r="E16" s="17" t="s">
        <v>33</v>
      </c>
      <c r="F16" s="145" t="s">
        <v>34</v>
      </c>
      <c r="G16" s="146"/>
      <c r="H16" s="146"/>
      <c r="I16" s="147" t="s">
        <v>35</v>
      </c>
      <c r="J16" s="146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116" t="s">
        <v>37</v>
      </c>
      <c r="D18" s="165"/>
      <c r="E18" s="25" t="s">
        <v>38</v>
      </c>
      <c r="F18" s="116" t="s">
        <v>39</v>
      </c>
      <c r="G18" s="165"/>
      <c r="H18" s="165"/>
      <c r="I18" s="126"/>
      <c r="J18" s="165"/>
    </row>
    <row r="19" spans="1:10" s="7" customFormat="1" ht="16.5" customHeight="1">
      <c r="A19" s="23">
        <v>1</v>
      </c>
      <c r="B19" s="26" t="s">
        <v>36</v>
      </c>
      <c r="C19" s="116" t="s">
        <v>37</v>
      </c>
      <c r="D19" s="165"/>
      <c r="E19" s="25" t="s">
        <v>40</v>
      </c>
      <c r="F19" s="116" t="s">
        <v>41</v>
      </c>
      <c r="G19" s="165"/>
      <c r="H19" s="165"/>
      <c r="I19" s="126"/>
      <c r="J19" s="165"/>
    </row>
    <row r="20" spans="1:10" s="7" customFormat="1" ht="16.5" customHeight="1">
      <c r="A20" s="23"/>
      <c r="B20" s="26"/>
      <c r="C20" s="116"/>
      <c r="D20" s="165"/>
      <c r="E20" s="25"/>
      <c r="F20" s="116"/>
      <c r="G20" s="165"/>
      <c r="H20" s="165"/>
      <c r="I20" s="126"/>
      <c r="J20" s="165"/>
    </row>
    <row r="21" spans="1:10" s="7" customFormat="1" ht="16.5" customHeight="1">
      <c r="A21" s="23"/>
      <c r="B21" s="26"/>
      <c r="C21" s="116"/>
      <c r="D21" s="165"/>
      <c r="E21" s="25"/>
      <c r="F21" s="116"/>
      <c r="G21" s="165"/>
      <c r="H21" s="165"/>
      <c r="I21" s="126"/>
      <c r="J21" s="165"/>
    </row>
    <row r="22" spans="1:10" s="7" customFormat="1" ht="16.5" customHeight="1">
      <c r="A22" s="23"/>
      <c r="B22" s="26"/>
      <c r="C22" s="116"/>
      <c r="D22" s="165"/>
      <c r="E22" s="25"/>
      <c r="F22" s="116"/>
      <c r="G22" s="165"/>
      <c r="H22" s="165"/>
      <c r="I22" s="126"/>
      <c r="J22" s="165"/>
    </row>
    <row r="23" spans="1:10" s="7" customFormat="1" ht="16.5" customHeight="1">
      <c r="A23" s="23"/>
      <c r="B23" s="26"/>
      <c r="C23" s="116"/>
      <c r="D23" s="165"/>
      <c r="E23" s="25"/>
      <c r="F23" s="116"/>
      <c r="G23" s="165"/>
      <c r="H23" s="165"/>
      <c r="I23" s="126"/>
      <c r="J23" s="165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127" t="s">
        <v>42</v>
      </c>
      <c r="B25" s="128"/>
      <c r="C25" s="127" t="s">
        <v>43</v>
      </c>
      <c r="D25" s="128"/>
      <c r="E25" s="128"/>
      <c r="F25" s="18" t="s">
        <v>44</v>
      </c>
      <c r="G25" s="127" t="s">
        <v>45</v>
      </c>
      <c r="H25" s="128"/>
      <c r="I25" s="127" t="s">
        <v>46</v>
      </c>
      <c r="J25" s="128"/>
    </row>
    <row r="26" spans="1:10" ht="14.25" customHeight="1">
      <c r="A26" s="8"/>
      <c r="B26" s="19"/>
      <c r="C26" s="164" t="s">
        <v>47</v>
      </c>
      <c r="D26" s="135"/>
      <c r="E26" s="19"/>
      <c r="F26" s="164" t="s">
        <v>29</v>
      </c>
      <c r="G26" s="135"/>
      <c r="H26" s="135"/>
      <c r="I26" s="135"/>
      <c r="J26" s="135"/>
    </row>
    <row r="27" spans="1:10">
      <c r="A27" s="9"/>
      <c r="C27" s="7"/>
      <c r="D27" s="7"/>
      <c r="E27" s="7"/>
    </row>
    <row r="28" spans="1:10" s="5" customFormat="1" ht="14.25" customHeight="1">
      <c r="A28" s="116" t="s">
        <v>48</v>
      </c>
      <c r="B28" s="170"/>
      <c r="C28" s="116" t="s">
        <v>49</v>
      </c>
      <c r="D28" s="170"/>
      <c r="E28" s="170"/>
      <c r="F28" s="27" t="s">
        <v>50</v>
      </c>
      <c r="G28" s="118">
        <v>42</v>
      </c>
      <c r="H28" s="170"/>
      <c r="I28" s="118">
        <v>1</v>
      </c>
      <c r="J28" s="170"/>
    </row>
    <row r="29" spans="1:10" s="7" customFormat="1" ht="24.95" customHeight="1">
      <c r="A29" s="119" t="s">
        <v>51</v>
      </c>
      <c r="B29" s="165"/>
      <c r="C29" s="116" t="s">
        <v>11</v>
      </c>
      <c r="D29" s="165"/>
      <c r="E29" s="165"/>
      <c r="F29" s="116"/>
      <c r="G29" s="165"/>
      <c r="H29" s="165"/>
      <c r="I29" s="165"/>
      <c r="J29" s="165"/>
    </row>
    <row r="30" spans="1:10" s="5" customFormat="1" ht="14.25" customHeight="1">
      <c r="A30" s="116" t="s">
        <v>52</v>
      </c>
      <c r="B30" s="170"/>
      <c r="C30" s="116" t="s">
        <v>53</v>
      </c>
      <c r="D30" s="170"/>
      <c r="E30" s="170"/>
      <c r="F30" s="27" t="s">
        <v>27</v>
      </c>
      <c r="G30" s="118">
        <v>1.008</v>
      </c>
      <c r="H30" s="170"/>
      <c r="I30" s="118">
        <v>2.4E-2</v>
      </c>
      <c r="J30" s="170"/>
    </row>
    <row r="31" spans="1:10" s="7" customFormat="1" ht="24.95" customHeight="1">
      <c r="A31" s="119" t="s">
        <v>54</v>
      </c>
      <c r="B31" s="165"/>
      <c r="C31" s="116"/>
      <c r="D31" s="165"/>
      <c r="E31" s="165"/>
      <c r="F31" s="116"/>
      <c r="G31" s="165"/>
      <c r="H31" s="165"/>
      <c r="I31" s="165"/>
      <c r="J31" s="165"/>
    </row>
    <row r="32" spans="1:10" s="5" customFormat="1" ht="14.25" customHeight="1">
      <c r="A32" s="116" t="s">
        <v>55</v>
      </c>
      <c r="B32" s="170"/>
      <c r="C32" s="116" t="s">
        <v>56</v>
      </c>
      <c r="D32" s="170"/>
      <c r="E32" s="170"/>
      <c r="F32" s="27"/>
      <c r="G32" s="118">
        <v>4.2000000000000003E-2</v>
      </c>
      <c r="H32" s="170"/>
      <c r="I32" s="118">
        <v>1E-3</v>
      </c>
      <c r="J32" s="170"/>
    </row>
    <row r="33" spans="1:14" s="7" customFormat="1" ht="24.95" customHeight="1">
      <c r="A33" s="119" t="s">
        <v>57</v>
      </c>
      <c r="B33" s="165"/>
      <c r="C33" s="116" t="s">
        <v>58</v>
      </c>
      <c r="D33" s="165"/>
      <c r="E33" s="165"/>
      <c r="F33" s="116"/>
      <c r="G33" s="165"/>
      <c r="H33" s="165"/>
      <c r="I33" s="165"/>
      <c r="J33" s="165"/>
    </row>
    <row r="34" spans="1:14" s="5" customFormat="1" ht="14.25" customHeight="1">
      <c r="A34" s="116"/>
      <c r="B34" s="170"/>
      <c r="C34" s="116"/>
      <c r="D34" s="170"/>
      <c r="E34" s="170"/>
      <c r="F34" s="27"/>
      <c r="G34" s="118"/>
      <c r="H34" s="170"/>
      <c r="I34" s="118"/>
      <c r="J34" s="170"/>
    </row>
    <row r="35" spans="1:14" s="7" customFormat="1" ht="24.95" customHeight="1">
      <c r="A35" s="119"/>
      <c r="B35" s="165"/>
      <c r="C35" s="116"/>
      <c r="D35" s="165"/>
      <c r="E35" s="165"/>
      <c r="F35" s="116"/>
      <c r="G35" s="165"/>
      <c r="H35" s="165"/>
      <c r="I35" s="165"/>
      <c r="J35" s="165"/>
    </row>
    <row r="36" spans="1:14" s="5" customFormat="1" ht="14.25" customHeight="1">
      <c r="A36" s="116"/>
      <c r="B36" s="170"/>
      <c r="C36" s="116"/>
      <c r="D36" s="170"/>
      <c r="E36" s="170"/>
      <c r="F36" s="27"/>
      <c r="G36" s="118"/>
      <c r="H36" s="170"/>
      <c r="I36" s="118"/>
      <c r="J36" s="170"/>
    </row>
    <row r="37" spans="1:14" s="7" customFormat="1" ht="24.95" customHeight="1" thickBot="1">
      <c r="A37" s="119"/>
      <c r="B37" s="165"/>
      <c r="C37" s="116"/>
      <c r="D37" s="165"/>
      <c r="E37" s="165"/>
      <c r="F37" s="116"/>
      <c r="G37" s="165"/>
      <c r="H37" s="165"/>
      <c r="I37" s="165"/>
      <c r="J37" s="165"/>
    </row>
    <row r="38" spans="1:14" s="5" customFormat="1" ht="18" customHeight="1">
      <c r="A38" s="120" t="s">
        <v>60</v>
      </c>
      <c r="B38" s="121"/>
      <c r="C38" s="121"/>
      <c r="D38" s="121"/>
      <c r="E38" s="122" t="s">
        <v>61</v>
      </c>
      <c r="F38" s="123"/>
      <c r="G38" s="28" t="s">
        <v>62</v>
      </c>
      <c r="H38" s="124" t="s">
        <v>63</v>
      </c>
      <c r="I38" s="125"/>
      <c r="J38" s="29" t="s">
        <v>64</v>
      </c>
    </row>
    <row r="39" spans="1:14" s="7" customFormat="1" ht="18" customHeight="1">
      <c r="A39" s="92" t="str">
        <f>_xlfn.XLOOKUP(B3,[1]VFDB2!A:A,[1]VFDB2!A:A)</f>
        <v>J1JAPAB00419960</v>
      </c>
      <c r="B39" s="93"/>
      <c r="C39" s="93"/>
      <c r="D39" s="93"/>
      <c r="E39" s="96" t="str" cm="1">
        <f t="array" ref="E39">IFERROR(IF(ISBLANK(INDEX(_xlfn._xlws.FILTER([1]加工記録２!$C$3:$C$992, [1]加工記録２!$T$3:$T$992=B5), 6)), "", INDEX(_xlfn._xlws.FILTER([1]加工記録２!$C$3:$C$992, [1]加工記録２!$T$3:$T$992=B5), 6)),"")</f>
        <v>上-1</v>
      </c>
      <c r="F39" s="97"/>
      <c r="G39" s="98" cm="1">
        <f t="array" ref="G39">IFERROR(IF(ISBLANK(INDEX(_xlfn._xlws.FILTER([1]加工記録２!$C$3:$C$992, [1]加工記録２!$T$3:$T$992=B5), 7)), " ", INDEX(_xlfn._xlws.FILTER([1]加工記録２!$C$3:$C$992, [1]加工記録２!$T$3:$T$992=B5), 7))," ")</f>
        <v>1</v>
      </c>
      <c r="H39" s="77" t="s">
        <v>65</v>
      </c>
      <c r="I39" s="76" cm="1">
        <f t="array" ref="I39:J39">IFERROR(IF(ISBLANK(INDEX(_xlfn._xlws.FILTER([1]加工記録２!$O$3:$P$992, [1]加工記録２!$T$3:$T$992=B5), 1)), "", INDEX(_xlfn._xlws.FILTER([1]加工記録２!$O$3:$P$992, [1]加工記録２!$T$3:$T$992=B5), 1)),"")</f>
        <v>45860</v>
      </c>
      <c r="J39" s="78" t="str">
        <v/>
      </c>
    </row>
    <row r="40" spans="1:14" s="5" customFormat="1" ht="18" customHeight="1">
      <c r="A40" s="94"/>
      <c r="B40" s="95"/>
      <c r="C40" s="95"/>
      <c r="D40" s="95"/>
      <c r="E40" s="96"/>
      <c r="F40" s="97"/>
      <c r="G40" s="98"/>
      <c r="H40" s="77" t="s">
        <v>66</v>
      </c>
      <c r="I40" s="75" cm="1">
        <f t="array" ref="I40:J40">IFERROR(IF(ISBLANK(INDEX(_xlfn._xlws.FILTER([1]加工記録２!$O$3:$P$992, [1]加工記録２!$T$3:$T$992=B5), 2)), "", INDEX(_xlfn._xlws.FILTER([1]加工記録２!$O$3:$P$992, [1]加工記録２!$T$3:$T$992=B5), 2)),"")</f>
        <v>42</v>
      </c>
      <c r="J40" s="79" t="str">
        <v/>
      </c>
      <c r="K40" s="30"/>
    </row>
    <row r="41" spans="1:14" s="7" customFormat="1" ht="18" customHeight="1">
      <c r="A41" s="99" t="s">
        <v>67</v>
      </c>
      <c r="B41" s="101" t="str">
        <f>_xlfn.XLOOKUP(B3,[1]VFDB2!A:A,[1]VFDB2!J:J)</f>
        <v>〇</v>
      </c>
      <c r="C41" s="103" t="s">
        <v>68</v>
      </c>
      <c r="D41" s="105">
        <f>_xlfn.XLOOKUP(B3,[1]VFDB2!A:A,[1]VFDB2!P:P)</f>
        <v>1</v>
      </c>
      <c r="E41" s="96">
        <f>_xlfn.XLOOKUP(B3,[1]VFDB2!A:A,[1]VFDB2!V:V)</f>
        <v>0</v>
      </c>
      <c r="F41" s="97"/>
      <c r="G41" s="107"/>
      <c r="H41" s="80" t="s">
        <v>69</v>
      </c>
      <c r="I41" s="75" cm="1">
        <f t="array" ref="I41:J41">IFERROR(IF(ISBLANK(INDEX(_xlfn._xlws.FILTER([1]加工記録２!$O$3:$P$992, [1]加工記録２!$T$3:$T$992=B5), 3)), "", INDEX(_xlfn._xlws.FILTER([1]加工記録２!$O$3:$P$992, [1]加工記録２!$T$3:$T$992=B5), 3)),"")</f>
        <v>42</v>
      </c>
      <c r="J41" s="81" t="str">
        <v/>
      </c>
      <c r="K41" s="31"/>
    </row>
    <row r="42" spans="1:14" s="5" customFormat="1" ht="18" customHeight="1">
      <c r="A42" s="100"/>
      <c r="B42" s="102"/>
      <c r="C42" s="104"/>
      <c r="D42" s="106"/>
      <c r="E42" s="96"/>
      <c r="F42" s="97"/>
      <c r="G42" s="107"/>
      <c r="H42" s="80" t="s">
        <v>70</v>
      </c>
      <c r="I42" s="75" cm="1">
        <f t="array" ref="I42:J42">IFERROR(IF(ISBLANK(INDEX(_xlfn._xlws.FILTER([1]加工記録２!$O$3:$P$992, [1]加工記録２!$T$3:$T$992=B5), 4)), "", INDEX(_xlfn._xlws.FILTER([1]加工記録２!$O$3:$P$992, [1]加工記録２!$T$3:$T$992=B5), 4)),"")</f>
        <v>0</v>
      </c>
      <c r="J42" s="82" t="str">
        <v/>
      </c>
      <c r="K42" s="30"/>
    </row>
    <row r="43" spans="1:14" s="7" customFormat="1" ht="18" customHeight="1">
      <c r="A43" s="108" t="s">
        <v>71</v>
      </c>
      <c r="B43" s="110">
        <f>D3</f>
        <v>1996</v>
      </c>
      <c r="C43" s="112" t="s">
        <v>72</v>
      </c>
      <c r="D43" s="114" t="str">
        <f>_xlfn.XLOOKUP(B3,[1]VFDB2!A:A,[1]VFDB2!L:L)</f>
        <v>+2</v>
      </c>
      <c r="E43" s="96" t="str">
        <f>_xlfn.XLOOKUP(B3,[1]VFDB2!A:A,[1]VFDB2!W:W)</f>
        <v>クラフト紙：1996型</v>
      </c>
      <c r="F43" s="97"/>
      <c r="G43" s="107"/>
      <c r="H43" s="80" t="s">
        <v>73</v>
      </c>
      <c r="I43" s="75" cm="1">
        <f t="array" ref="I43:J43">IFERROR(IF(ISBLANK(INDEX(_xlfn._xlws.FILTER([1]加工記録２!$O$3:$P$992, [1]加工記録２!$T$3:$T$992=B5), 5)), "", INDEX(_xlfn._xlws.FILTER([1]加工記録２!$O$3:$P$992, [1]加工記録２!$T$3:$T$992=B5), 5)),"")</f>
        <v>0</v>
      </c>
      <c r="J43" s="83" t="str">
        <v/>
      </c>
      <c r="K43" s="31"/>
    </row>
    <row r="44" spans="1:14" s="5" customFormat="1" ht="18" customHeight="1">
      <c r="A44" s="109"/>
      <c r="B44" s="111"/>
      <c r="C44" s="113"/>
      <c r="D44" s="115"/>
      <c r="E44" s="96"/>
      <c r="F44" s="97"/>
      <c r="G44" s="107"/>
      <c r="H44" s="80" t="s">
        <v>74</v>
      </c>
      <c r="I44" s="75" cm="1">
        <f t="array" ref="I44:J44">IFERROR(IF(ISBLANK(INDEX(_xlfn._xlws.FILTER([1]加工記録２!$O$3:$P$992, [1]加工記録２!$T$3:$T$992=B5), 6)), "", INDEX(_xlfn._xlws.FILTER([1]加工記録２!$O$3:$P$992, [1]加工記録２!$T$3:$T$992=B5), 6)),"")</f>
        <v>0</v>
      </c>
      <c r="J44" s="84" t="str">
        <v/>
      </c>
      <c r="K44" s="30"/>
    </row>
    <row r="45" spans="1:14" s="7" customFormat="1" ht="18" customHeight="1">
      <c r="A45" s="99" t="s">
        <v>75</v>
      </c>
      <c r="B45" s="155" t="str">
        <f>_xlfn.XLOOKUP(B3,[1]VFDB2!A:A,[1]VFDB2!AC:AC)</f>
        <v>換算表確認</v>
      </c>
      <c r="C45" s="157" t="s">
        <v>76</v>
      </c>
      <c r="D45" s="114">
        <f>_xlfn.XLOOKUP(B3,[1]VFDB2!A:A,[1]VFDB2!K:K)</f>
        <v>0</v>
      </c>
      <c r="E45" s="96" t="str">
        <f>_xlfn.XLOOKUP(B3,[1]VFDB2!A:A,[1]VFDB2!R:R)</f>
        <v>ラベル１枚　長手無　鉢巻２回</v>
      </c>
      <c r="F45" s="97"/>
      <c r="G45" s="107"/>
      <c r="H45" s="80" t="s">
        <v>77</v>
      </c>
      <c r="I45" s="75" t="str" cm="1">
        <f t="array" ref="I45:J45">IFERROR(IF(ISBLANK(INDEX(_xlfn._xlws.FILTER([1]加工記録２!$O$3:$P$992, [1]加工記録２!$T$3:$T$992=B5), 7)), "", INDEX(_xlfn._xlws.FILTER([1]加工記録２!$O$3:$P$992, [1]加工記録２!$T$3:$T$992=B5), 7)),"")</f>
        <v>富田・水野</v>
      </c>
      <c r="J45" s="85" t="str">
        <v/>
      </c>
      <c r="K45" s="31"/>
    </row>
    <row r="46" spans="1:14" s="5" customFormat="1" ht="18" customHeight="1" thickBot="1">
      <c r="A46" s="154"/>
      <c r="B46" s="156"/>
      <c r="C46" s="158"/>
      <c r="D46" s="159"/>
      <c r="E46" s="160"/>
      <c r="F46" s="161"/>
      <c r="G46" s="162"/>
      <c r="H46" s="86" t="s">
        <v>78</v>
      </c>
      <c r="I46" s="32" t="str" cm="1">
        <f t="array" ref="I46:J46">IFERROR(IF(ISBLANK(INDEX(_xlfn._xlws.FILTER([1]加工記録２!$O$3:$P$992, [1]加工記録２!$T$3:$T$992=B5), 8)), "", INDEX(_xlfn._xlws.FILTER([1]加工記録２!$O$3:$P$992, [1]加工記録２!$T$3:$T$992=B5), 8)),"")</f>
        <v>上野</v>
      </c>
      <c r="J46" s="87">
        <v>0</v>
      </c>
    </row>
    <row r="47" spans="1:14" s="43" customFormat="1" ht="18.95" customHeight="1">
      <c r="A47" s="33" t="s">
        <v>79</v>
      </c>
      <c r="B47" s="34" t="s">
        <v>90</v>
      </c>
      <c r="C47" s="35" t="s">
        <v>80</v>
      </c>
      <c r="D47" s="35" t="s">
        <v>81</v>
      </c>
      <c r="E47" s="36" t="s">
        <v>82</v>
      </c>
      <c r="F47" s="37" t="s">
        <v>83</v>
      </c>
      <c r="G47" s="38" t="s">
        <v>84</v>
      </c>
      <c r="H47" s="39" t="s">
        <v>85</v>
      </c>
      <c r="I47" s="40" t="s">
        <v>86</v>
      </c>
      <c r="J47" s="41" t="s">
        <v>87</v>
      </c>
      <c r="K47" s="42"/>
      <c r="L47" s="42"/>
      <c r="M47" s="42"/>
      <c r="N47" s="42"/>
    </row>
    <row r="48" spans="1:14" s="54" customFormat="1" ht="18.95" customHeight="1">
      <c r="A48" s="88" cm="1">
        <f t="array" ref="A48:J48">IFERROR(IF(ISBLANK(INDEX(_xlfn._xlws.FILTER([1]加工記録２!$D$3:$M$992, [1]加工記録２!$T$3:$T$992=B5), 1)), "", INDEX(_xlfn._xlws.FILTER([1]加工記録２!$D$3:$M$992, [1]加工記録２!$T$3:$T$992=B5), 1)),"")</f>
        <v>45667</v>
      </c>
      <c r="B48" s="45" t="str">
        <v>25A07-03</v>
      </c>
      <c r="C48" s="46" t="str">
        <v/>
      </c>
      <c r="D48" s="46" t="str">
        <v/>
      </c>
      <c r="E48" s="47" t="str">
        <v/>
      </c>
      <c r="F48" s="48" t="str">
        <v>25A07-03</v>
      </c>
      <c r="G48" s="49">
        <v>34</v>
      </c>
      <c r="H48" s="50">
        <v>34</v>
      </c>
      <c r="I48" s="51">
        <v>45860</v>
      </c>
      <c r="J48" s="52">
        <v>1</v>
      </c>
      <c r="K48" s="53"/>
      <c r="L48" s="53"/>
      <c r="M48" s="53"/>
      <c r="N48" s="53"/>
    </row>
    <row r="49" spans="1:14" s="54" customFormat="1" ht="18.95" customHeight="1">
      <c r="A49" s="44" cm="1">
        <f t="array" ref="A49:J49">IFERROR(IF(ISBLANK(INDEX(_xlfn._xlws.FILTER([1]加工記録２!$D$3:$M$992, [1]加工記録２!$T$3:$T$992=B5), 2)), "", INDEX(_xlfn._xlws.FILTER([1]加工記録２!$D$3:$M$992, [1]加工記録２!$T$3:$T$992=B5), 2)),"")</f>
        <v>45856</v>
      </c>
      <c r="B49" s="55" t="str">
        <v>25G16-01</v>
      </c>
      <c r="C49" s="55">
        <v>30</v>
      </c>
      <c r="D49" s="55">
        <v>1998.3</v>
      </c>
      <c r="E49" s="89">
        <v>1998.3</v>
      </c>
      <c r="F49" s="57" t="str">
        <v>25G16-01</v>
      </c>
      <c r="G49" s="58">
        <v>8</v>
      </c>
      <c r="H49" s="59">
        <v>8</v>
      </c>
      <c r="I49" s="51" t="str">
        <v/>
      </c>
      <c r="J49" s="52" t="str">
        <v/>
      </c>
      <c r="K49" s="53"/>
      <c r="L49" s="53"/>
      <c r="M49" s="53"/>
      <c r="N49" s="53"/>
    </row>
    <row r="50" spans="1:14" s="54" customFormat="1" ht="18.95" customHeight="1">
      <c r="A50" s="44" cm="1">
        <f t="array" ref="A50:J50">IFERROR(IF(ISBLANK(INDEX(_xlfn._xlws.FILTER([1]加工記録２!$D$3:$M$992, [1]加工記録２!$T$3:$T$992=B5), 3)), "", INDEX(_xlfn._xlws.FILTER([1]加工記録２!$D$3:$M$992, [1]加工記録２!$T$3:$T$992=B5), 3)),"")</f>
        <v>45856</v>
      </c>
      <c r="B50" s="55" t="str">
        <v>25G16-01</v>
      </c>
      <c r="C50" s="55">
        <v>30</v>
      </c>
      <c r="D50" s="55">
        <v>1998.3</v>
      </c>
      <c r="E50" s="89">
        <v>1998.3</v>
      </c>
      <c r="F50" s="57" t="str">
        <v/>
      </c>
      <c r="G50" s="58" t="str">
        <v/>
      </c>
      <c r="H50" s="59">
        <v>0</v>
      </c>
      <c r="I50" s="51" t="str">
        <v/>
      </c>
      <c r="J50" s="52" t="str">
        <v/>
      </c>
      <c r="K50" s="53"/>
      <c r="L50" s="53"/>
      <c r="M50" s="53"/>
      <c r="N50" s="53"/>
    </row>
    <row r="51" spans="1:14" s="54" customFormat="1" ht="18.95" customHeight="1">
      <c r="A51" s="44" t="str" cm="1">
        <f t="array" ref="A51:J51">IFERROR(IF(ISBLANK(INDEX(_xlfn._xlws.FILTER([1]加工記録２!$D$3:$M$992, [1]加工記録２!$T$3:$T$992=B5), 4)), "", INDEX(_xlfn._xlws.FILTER([1]加工記録２!$D$3:$M$992, [1]加工記録２!$T$3:$T$992=B5), 4)),"")</f>
        <v/>
      </c>
      <c r="B51" s="55" t="str">
        <v/>
      </c>
      <c r="C51" s="55" t="str">
        <v/>
      </c>
      <c r="D51" s="55" t="str">
        <v/>
      </c>
      <c r="E51" s="56" t="str">
        <v/>
      </c>
      <c r="F51" s="57" t="str">
        <v/>
      </c>
      <c r="G51" s="58" t="str">
        <v/>
      </c>
      <c r="H51" s="59">
        <v>0</v>
      </c>
      <c r="I51" s="51" t="str">
        <v/>
      </c>
      <c r="J51" s="52" t="str">
        <v/>
      </c>
      <c r="K51" s="53"/>
      <c r="L51" s="53"/>
      <c r="M51" s="53"/>
      <c r="N51" s="53"/>
    </row>
    <row r="52" spans="1:14" s="54" customFormat="1" ht="18.95" customHeight="1">
      <c r="A52" s="44" t="str" cm="1">
        <f t="array" ref="A52:J52">IFERROR(IF(ISBLANK(INDEX(_xlfn._xlws.FILTER([1]加工記録２!$D$3:$M$992, [1]加工記録２!$T$3:$T$992=B5), 5)), "", INDEX(_xlfn._xlws.FILTER([1]加工記録２!$D$3:$M$992, [1]加工記録２!$T$3:$T$992=B5), 5)),"")</f>
        <v/>
      </c>
      <c r="B52" s="55" t="str">
        <v/>
      </c>
      <c r="C52" s="55" t="str">
        <v/>
      </c>
      <c r="D52" s="55" t="str">
        <v/>
      </c>
      <c r="E52" s="56" t="str">
        <v/>
      </c>
      <c r="F52" s="57" t="str">
        <v/>
      </c>
      <c r="G52" s="58" t="str">
        <v/>
      </c>
      <c r="H52" s="59">
        <v>0</v>
      </c>
      <c r="I52" s="60" t="str">
        <v/>
      </c>
      <c r="J52" s="61" t="str">
        <v/>
      </c>
      <c r="K52" s="53"/>
      <c r="L52" s="53"/>
      <c r="M52" s="53"/>
      <c r="N52" s="53"/>
    </row>
    <row r="53" spans="1:14" s="54" customFormat="1" ht="18.95" customHeight="1">
      <c r="A53" s="44" t="str" cm="1">
        <f t="array" ref="A53:J53">IFERROR(IF(ISBLANK(INDEX(_xlfn._xlws.FILTER([1]加工記録２!$D$3:$M$992, [1]加工記録２!$T$3:$T$992=B5), 6)), "", INDEX(_xlfn._xlws.FILTER([1]加工記録２!$D$3:$M$992, [1]加工記録２!$T$3:$T$992=B5), 6)),"")</f>
        <v/>
      </c>
      <c r="B53" s="55" t="str">
        <v/>
      </c>
      <c r="C53" s="55" t="str">
        <v/>
      </c>
      <c r="D53" s="55" t="str">
        <v/>
      </c>
      <c r="E53" s="56" t="str">
        <v/>
      </c>
      <c r="F53" s="57" t="str">
        <v/>
      </c>
      <c r="G53" s="58" t="str">
        <v/>
      </c>
      <c r="H53" s="62">
        <v>0</v>
      </c>
      <c r="I53" s="63" t="str">
        <v>旧品加工</v>
      </c>
      <c r="J53" s="64">
        <v>34</v>
      </c>
      <c r="K53" s="53"/>
      <c r="L53" s="53"/>
      <c r="M53" s="53"/>
      <c r="N53" s="53"/>
    </row>
    <row r="54" spans="1:14" s="54" customFormat="1" ht="18.95" customHeight="1">
      <c r="A54" s="44" t="str" cm="1">
        <f t="array" ref="A54:J54">IFERROR(IF(ISBLANK(INDEX(_xlfn._xlws.FILTER([1]加工記録２!$D$3:$M$992, [1]加工記録２!$T$3:$T$992=B5), 7)), "", INDEX(_xlfn._xlws.FILTER([1]加工記録２!$D$3:$M$992, [1]加工記録２!$T$3:$T$992=B5), 7)),"")</f>
        <v/>
      </c>
      <c r="B54" s="55" t="str">
        <v/>
      </c>
      <c r="C54" s="55" t="str">
        <v/>
      </c>
      <c r="D54" s="55" t="str">
        <v/>
      </c>
      <c r="E54" s="56" t="str">
        <v/>
      </c>
      <c r="F54" s="57" t="str">
        <v/>
      </c>
      <c r="G54" s="58" t="str">
        <v/>
      </c>
      <c r="H54" s="62">
        <v>0</v>
      </c>
      <c r="I54" s="65" t="str">
        <v>持出端材</v>
      </c>
      <c r="J54" s="66" t="str">
        <v/>
      </c>
      <c r="K54" s="53"/>
      <c r="L54" s="53"/>
      <c r="M54" s="53"/>
      <c r="N54" s="53"/>
    </row>
    <row r="55" spans="1:14" s="54" customFormat="1" ht="18.95" customHeight="1" thickBot="1">
      <c r="A55" s="67" t="str" cm="1">
        <f t="array" ref="A55:J55">IFERROR(IF(ISBLANK(INDEX(_xlfn._xlws.FILTER([1]加工記録２!$D$3:$M$992, [1]加工記録２!$T$3:$T$992=B5), 8)), "", INDEX(_xlfn._xlws.FILTER([1]加工記録２!$D$3:$M$992, [1]加工記録２!$T$3:$T$992=B5), 8)),"")</f>
        <v/>
      </c>
      <c r="B55" s="68" t="str">
        <v/>
      </c>
      <c r="C55" s="68" t="str">
        <v/>
      </c>
      <c r="D55" s="68" t="str">
        <v/>
      </c>
      <c r="E55" s="69" t="str">
        <v/>
      </c>
      <c r="F55" s="70" t="str">
        <v/>
      </c>
      <c r="G55" s="71" t="str">
        <v/>
      </c>
      <c r="H55" s="72">
        <v>0</v>
      </c>
      <c r="I55" s="73" t="str">
        <v>α端材</v>
      </c>
      <c r="J55" s="74">
        <v>0</v>
      </c>
      <c r="K55" s="53"/>
      <c r="L55" s="53"/>
      <c r="M55" s="53"/>
      <c r="N55" s="53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2"/>
      <c r="B58" s="166" t="s">
        <v>0</v>
      </c>
      <c r="C58" s="117"/>
      <c r="D58" s="117"/>
      <c r="E58" s="12"/>
      <c r="F58" s="12"/>
      <c r="G58" s="12"/>
      <c r="H58" s="12"/>
      <c r="I58" s="12"/>
      <c r="J58" s="12"/>
    </row>
    <row r="59" spans="1:14" ht="14.25" customHeight="1">
      <c r="A59" s="13"/>
      <c r="B59" s="117"/>
      <c r="C59" s="117"/>
      <c r="D59" s="117"/>
      <c r="E59" s="13"/>
      <c r="F59" s="13"/>
      <c r="G59" s="13"/>
      <c r="H59" s="13"/>
      <c r="I59" s="13"/>
      <c r="J59" s="13"/>
    </row>
    <row r="60" spans="1:14" ht="14.25" customHeight="1">
      <c r="A60" s="167" t="s">
        <v>1</v>
      </c>
      <c r="B60" s="167" t="s">
        <v>2</v>
      </c>
      <c r="C60" s="167" t="s">
        <v>3</v>
      </c>
      <c r="D60" s="168">
        <v>1996</v>
      </c>
      <c r="E60" s="167" t="s">
        <v>4</v>
      </c>
      <c r="F60" s="169" t="s">
        <v>5</v>
      </c>
      <c r="G60" s="117"/>
      <c r="H60" s="142"/>
      <c r="I60" s="14" t="s">
        <v>6</v>
      </c>
      <c r="J60" s="14" t="s">
        <v>7</v>
      </c>
    </row>
    <row r="61" spans="1:14" ht="14.25" customHeight="1">
      <c r="A61" s="117"/>
      <c r="B61" s="117"/>
      <c r="C61" s="117"/>
      <c r="D61" s="117"/>
      <c r="E61" s="117"/>
      <c r="F61" s="117"/>
      <c r="G61" s="117"/>
      <c r="H61" s="142"/>
      <c r="I61" s="148"/>
      <c r="J61" s="148"/>
    </row>
    <row r="62" spans="1:14" ht="17.45" customHeight="1">
      <c r="A62" s="150" t="s">
        <v>8</v>
      </c>
      <c r="B62" s="151" t="s">
        <v>89</v>
      </c>
      <c r="E62" s="150" t="s">
        <v>10</v>
      </c>
      <c r="F62" s="152" t="s">
        <v>11</v>
      </c>
      <c r="G62" s="117"/>
      <c r="H62" s="142"/>
      <c r="I62" s="149"/>
      <c r="J62" s="149"/>
    </row>
    <row r="63" spans="1:14" ht="17.45" customHeight="1">
      <c r="A63" s="117"/>
      <c r="B63" s="117"/>
      <c r="E63" s="117"/>
      <c r="F63" s="117"/>
      <c r="G63" s="117"/>
      <c r="H63" s="142"/>
      <c r="I63" s="15"/>
      <c r="J63" s="15"/>
    </row>
    <row r="64" spans="1:14" ht="17.45" customHeight="1">
      <c r="A64" s="150" t="s">
        <v>12</v>
      </c>
      <c r="B64" s="151" t="s">
        <v>88</v>
      </c>
      <c r="E64" s="2" t="s">
        <v>14</v>
      </c>
      <c r="F64" s="153" t="s">
        <v>15</v>
      </c>
      <c r="G64" s="117"/>
      <c r="H64" s="22"/>
    </row>
    <row r="65" spans="1:10" ht="17.45" customHeight="1">
      <c r="A65" s="117"/>
      <c r="B65" s="117"/>
      <c r="E65" s="2" t="s">
        <v>16</v>
      </c>
      <c r="F65" s="22" t="s">
        <v>17</v>
      </c>
      <c r="G65" s="22"/>
      <c r="H65" s="22"/>
    </row>
    <row r="66" spans="1:10" ht="17.45" customHeight="1">
      <c r="A66" s="2" t="s">
        <v>18</v>
      </c>
      <c r="B66" s="4">
        <v>45870</v>
      </c>
      <c r="E66" s="2" t="s">
        <v>19</v>
      </c>
      <c r="F66" s="129">
        <v>42</v>
      </c>
      <c r="G66" s="117"/>
      <c r="H66" s="22"/>
    </row>
    <row r="67" spans="1:10" ht="17.45" customHeight="1">
      <c r="A67" s="2" t="s">
        <v>20</v>
      </c>
      <c r="B67" s="4">
        <v>45870</v>
      </c>
      <c r="E67" s="2" t="s">
        <v>21</v>
      </c>
      <c r="F67" s="22">
        <v>20</v>
      </c>
      <c r="G67" s="130" t="s">
        <v>22</v>
      </c>
      <c r="H67" s="132">
        <v>840</v>
      </c>
      <c r="I67" s="133"/>
      <c r="J67" s="134"/>
    </row>
    <row r="68" spans="1:10" ht="17.45" customHeight="1">
      <c r="A68" s="20"/>
      <c r="B68" s="21"/>
      <c r="C68" s="21"/>
      <c r="D68" s="21"/>
      <c r="E68" s="2" t="s">
        <v>23</v>
      </c>
      <c r="F68" s="22" t="s">
        <v>24</v>
      </c>
      <c r="G68" s="131"/>
      <c r="H68" s="131"/>
      <c r="I68" s="135"/>
      <c r="J68" s="136"/>
    </row>
    <row r="69" spans="1:10" ht="13.5" customHeight="1">
      <c r="A69" s="137" t="s">
        <v>25</v>
      </c>
      <c r="B69" s="117"/>
      <c r="C69" s="117"/>
      <c r="D69" s="21"/>
      <c r="F69" s="3"/>
      <c r="G69" s="138" t="s">
        <v>26</v>
      </c>
      <c r="H69" s="140" t="s">
        <v>27</v>
      </c>
      <c r="I69" s="141" t="s">
        <v>28</v>
      </c>
      <c r="J69" s="142"/>
    </row>
    <row r="70" spans="1:10" ht="13.5" customHeight="1">
      <c r="A70" s="117"/>
      <c r="B70" s="117"/>
      <c r="C70" s="117"/>
      <c r="D70" s="21"/>
      <c r="F70" s="3"/>
      <c r="G70" s="139"/>
      <c r="H70" s="139"/>
      <c r="I70" s="135"/>
      <c r="J70" s="136"/>
    </row>
    <row r="71" spans="1:10" ht="13.5" customHeight="1">
      <c r="A71" s="1" t="s">
        <v>29</v>
      </c>
    </row>
    <row r="72" spans="1:10" ht="63" customHeight="1">
      <c r="A72" s="143"/>
      <c r="B72" s="144"/>
      <c r="C72" s="144"/>
      <c r="D72" s="144"/>
      <c r="E72" s="144"/>
      <c r="F72" s="144"/>
      <c r="G72" s="144"/>
      <c r="H72" s="144"/>
      <c r="I72" s="144"/>
      <c r="J72" s="144"/>
    </row>
    <row r="73" spans="1:10" ht="18.75">
      <c r="A73" s="24" t="s">
        <v>30</v>
      </c>
      <c r="B73" s="17" t="s">
        <v>31</v>
      </c>
      <c r="C73" s="145" t="s">
        <v>32</v>
      </c>
      <c r="D73" s="146"/>
      <c r="E73" s="17" t="s">
        <v>33</v>
      </c>
      <c r="F73" s="145" t="s">
        <v>34</v>
      </c>
      <c r="G73" s="146"/>
      <c r="H73" s="146"/>
      <c r="I73" s="147" t="s">
        <v>35</v>
      </c>
      <c r="J73" s="146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3">
        <v>1</v>
      </c>
      <c r="B75" s="25" t="s">
        <v>36</v>
      </c>
      <c r="C75" s="116" t="s">
        <v>37</v>
      </c>
      <c r="D75" s="117"/>
      <c r="E75" s="25" t="s">
        <v>38</v>
      </c>
      <c r="F75" s="116" t="s">
        <v>39</v>
      </c>
      <c r="G75" s="117"/>
      <c r="H75" s="117"/>
      <c r="I75" s="126"/>
      <c r="J75" s="117"/>
    </row>
    <row r="76" spans="1:10" ht="16.5" customHeight="1">
      <c r="A76" s="23">
        <v>1</v>
      </c>
      <c r="B76" s="26" t="s">
        <v>36</v>
      </c>
      <c r="C76" s="116" t="s">
        <v>37</v>
      </c>
      <c r="D76" s="117"/>
      <c r="E76" s="25" t="s">
        <v>40</v>
      </c>
      <c r="F76" s="116" t="s">
        <v>41</v>
      </c>
      <c r="G76" s="117"/>
      <c r="H76" s="117"/>
      <c r="I76" s="126"/>
      <c r="J76" s="117"/>
    </row>
    <row r="77" spans="1:10" ht="16.5" customHeight="1">
      <c r="A77" s="23"/>
      <c r="B77" s="26"/>
      <c r="C77" s="116"/>
      <c r="D77" s="117"/>
      <c r="E77" s="25"/>
      <c r="F77" s="116"/>
      <c r="G77" s="117"/>
      <c r="H77" s="117"/>
      <c r="I77" s="126"/>
      <c r="J77" s="117"/>
    </row>
    <row r="78" spans="1:10" ht="16.5" customHeight="1">
      <c r="A78" s="23"/>
      <c r="B78" s="26"/>
      <c r="C78" s="116"/>
      <c r="D78" s="117"/>
      <c r="E78" s="25"/>
      <c r="F78" s="116"/>
      <c r="G78" s="117"/>
      <c r="H78" s="117"/>
      <c r="I78" s="126"/>
      <c r="J78" s="117"/>
    </row>
    <row r="79" spans="1:10" ht="16.5" customHeight="1">
      <c r="A79" s="23"/>
      <c r="B79" s="26"/>
      <c r="C79" s="116"/>
      <c r="D79" s="117"/>
      <c r="E79" s="25"/>
      <c r="F79" s="116"/>
      <c r="G79" s="117"/>
      <c r="H79" s="117"/>
      <c r="I79" s="126"/>
      <c r="J79" s="117"/>
    </row>
    <row r="80" spans="1:10" ht="16.5" customHeight="1">
      <c r="A80" s="23"/>
      <c r="B80" s="26"/>
      <c r="C80" s="116"/>
      <c r="D80" s="117"/>
      <c r="E80" s="25"/>
      <c r="F80" s="116"/>
      <c r="G80" s="117"/>
      <c r="H80" s="117"/>
      <c r="I80" s="126"/>
      <c r="J80" s="117"/>
    </row>
    <row r="81" spans="1:10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8.75">
      <c r="A82" s="127" t="s">
        <v>42</v>
      </c>
      <c r="B82" s="128"/>
      <c r="C82" s="127" t="s">
        <v>43</v>
      </c>
      <c r="D82" s="128"/>
      <c r="E82" s="128"/>
      <c r="F82" s="18" t="s">
        <v>44</v>
      </c>
      <c r="G82" s="127" t="s">
        <v>45</v>
      </c>
      <c r="H82" s="128"/>
      <c r="I82" s="127" t="s">
        <v>46</v>
      </c>
      <c r="J82" s="128"/>
    </row>
    <row r="83" spans="1:10" ht="14.25" customHeight="1">
      <c r="A83" s="8"/>
      <c r="B83" s="19"/>
      <c r="C83" s="164" t="s">
        <v>47</v>
      </c>
      <c r="D83" s="135"/>
      <c r="E83" s="19"/>
      <c r="F83" s="164" t="s">
        <v>29</v>
      </c>
      <c r="G83" s="135"/>
      <c r="H83" s="135"/>
      <c r="I83" s="135"/>
      <c r="J83" s="135"/>
    </row>
    <row r="84" spans="1:10">
      <c r="A84" s="9"/>
      <c r="C84" s="7"/>
      <c r="D84" s="7"/>
      <c r="E84" s="7"/>
    </row>
    <row r="85" spans="1:10" ht="14.25" customHeight="1">
      <c r="A85" s="116" t="s">
        <v>48</v>
      </c>
      <c r="B85" s="117"/>
      <c r="C85" s="116" t="s">
        <v>49</v>
      </c>
      <c r="D85" s="117"/>
      <c r="E85" s="117"/>
      <c r="F85" s="27" t="s">
        <v>50</v>
      </c>
      <c r="G85" s="118">
        <v>840</v>
      </c>
      <c r="H85" s="117"/>
      <c r="I85" s="118">
        <v>20</v>
      </c>
      <c r="J85" s="117"/>
    </row>
    <row r="86" spans="1:10" ht="24.95" customHeight="1">
      <c r="A86" s="119" t="s">
        <v>51</v>
      </c>
      <c r="B86" s="117"/>
      <c r="C86" s="116" t="s">
        <v>11</v>
      </c>
      <c r="D86" s="117"/>
      <c r="E86" s="117"/>
      <c r="F86" s="116"/>
      <c r="G86" s="117"/>
      <c r="H86" s="117"/>
      <c r="I86" s="117"/>
      <c r="J86" s="117"/>
    </row>
    <row r="87" spans="1:10" ht="14.25" customHeight="1">
      <c r="A87" s="163" t="s">
        <v>59</v>
      </c>
      <c r="B87" s="117"/>
      <c r="C87" s="116" t="s">
        <v>53</v>
      </c>
      <c r="D87" s="117"/>
      <c r="E87" s="117"/>
      <c r="F87" s="27" t="s">
        <v>27</v>
      </c>
      <c r="G87" s="118">
        <v>20.16</v>
      </c>
      <c r="H87" s="117"/>
      <c r="I87" s="118">
        <v>0.48</v>
      </c>
      <c r="J87" s="117"/>
    </row>
    <row r="88" spans="1:10" ht="24.95" customHeight="1">
      <c r="A88" s="119" t="s">
        <v>54</v>
      </c>
      <c r="B88" s="117"/>
      <c r="C88" s="116"/>
      <c r="D88" s="117"/>
      <c r="E88" s="117"/>
      <c r="F88" s="116"/>
      <c r="G88" s="117"/>
      <c r="H88" s="117"/>
      <c r="I88" s="117"/>
      <c r="J88" s="117"/>
    </row>
    <row r="89" spans="1:10" ht="14.25" customHeight="1">
      <c r="A89" s="116" t="s">
        <v>55</v>
      </c>
      <c r="B89" s="117"/>
      <c r="C89" s="116" t="s">
        <v>56</v>
      </c>
      <c r="D89" s="117"/>
      <c r="E89" s="117"/>
      <c r="F89" s="27"/>
      <c r="G89" s="118">
        <v>0.84</v>
      </c>
      <c r="H89" s="117"/>
      <c r="I89" s="118">
        <v>0.02</v>
      </c>
      <c r="J89" s="117"/>
    </row>
    <row r="90" spans="1:10" ht="24.95" customHeight="1">
      <c r="A90" s="119" t="s">
        <v>57</v>
      </c>
      <c r="B90" s="117"/>
      <c r="C90" s="116" t="s">
        <v>58</v>
      </c>
      <c r="D90" s="117"/>
      <c r="E90" s="117"/>
      <c r="F90" s="116"/>
      <c r="G90" s="117"/>
      <c r="H90" s="117"/>
      <c r="I90" s="117"/>
      <c r="J90" s="117"/>
    </row>
    <row r="91" spans="1:10" ht="14.25" customHeight="1">
      <c r="A91" s="116"/>
      <c r="B91" s="117"/>
      <c r="C91" s="116"/>
      <c r="D91" s="117"/>
      <c r="E91" s="117"/>
      <c r="F91" s="27"/>
      <c r="G91" s="118"/>
      <c r="H91" s="117"/>
      <c r="I91" s="118"/>
      <c r="J91" s="117"/>
    </row>
    <row r="92" spans="1:10" ht="24.95" customHeight="1">
      <c r="A92" s="119"/>
      <c r="B92" s="117"/>
      <c r="C92" s="116"/>
      <c r="D92" s="117"/>
      <c r="E92" s="117"/>
      <c r="F92" s="116"/>
      <c r="G92" s="117"/>
      <c r="H92" s="117"/>
      <c r="I92" s="117"/>
      <c r="J92" s="117"/>
    </row>
    <row r="93" spans="1:10" ht="14.25" customHeight="1">
      <c r="A93" s="116"/>
      <c r="B93" s="117"/>
      <c r="C93" s="116"/>
      <c r="D93" s="117"/>
      <c r="E93" s="117"/>
      <c r="F93" s="27"/>
      <c r="G93" s="118"/>
      <c r="H93" s="117"/>
      <c r="I93" s="118"/>
      <c r="J93" s="117"/>
    </row>
    <row r="94" spans="1:10" ht="24.95" customHeight="1" thickBot="1">
      <c r="A94" s="119"/>
      <c r="B94" s="117"/>
      <c r="C94" s="116"/>
      <c r="D94" s="117"/>
      <c r="E94" s="117"/>
      <c r="F94" s="116"/>
      <c r="G94" s="117"/>
      <c r="H94" s="117"/>
      <c r="I94" s="117"/>
      <c r="J94" s="117"/>
    </row>
    <row r="95" spans="1:10" s="5" customFormat="1" ht="18" customHeight="1">
      <c r="A95" s="120" t="s">
        <v>60</v>
      </c>
      <c r="B95" s="121"/>
      <c r="C95" s="121"/>
      <c r="D95" s="121"/>
      <c r="E95" s="122" t="s">
        <v>61</v>
      </c>
      <c r="F95" s="123"/>
      <c r="G95" s="28" t="s">
        <v>62</v>
      </c>
      <c r="H95" s="124" t="s">
        <v>63</v>
      </c>
      <c r="I95" s="125"/>
      <c r="J95" s="29" t="s">
        <v>64</v>
      </c>
    </row>
    <row r="96" spans="1:10" s="7" customFormat="1" ht="18" customHeight="1">
      <c r="A96" s="92" t="str">
        <f>_xlfn.XLOOKUP(B60,[1]VFDB2!A:A,[1]VFDB2!A:A)</f>
        <v>J1JAPAB00419960</v>
      </c>
      <c r="B96" s="93"/>
      <c r="C96" s="93"/>
      <c r="D96" s="93"/>
      <c r="E96" s="96" t="str" cm="1">
        <f t="array" ref="E96">IFERROR(IF(ISBLANK(INDEX(_xlfn._xlws.FILTER([1]加工記録２!$C$3:$C$992, [1]加工記録２!$T$3:$T$992=B62), 6)), "", INDEX(_xlfn._xlws.FILTER([1]加工記録２!$C$3:$C$992, [1]加工記録２!$T$3:$T$992=B62), 6)),"")</f>
        <v>上-1</v>
      </c>
      <c r="F96" s="97"/>
      <c r="G96" s="98" cm="1">
        <f t="array" ref="G96">IFERROR(IF(ISBLANK(INDEX(_xlfn._xlws.FILTER([1]加工記録２!$C$3:$C$992, [1]加工記録２!$T$3:$T$992=B62), 7)), " ", INDEX(_xlfn._xlws.FILTER([1]加工記録２!$C$3:$C$992, [1]加工記録２!$T$3:$T$992=B62), 7))," ")</f>
        <v>2</v>
      </c>
      <c r="H96" s="77" t="s">
        <v>65</v>
      </c>
      <c r="I96" s="76" cm="1">
        <f t="array" ref="I96:J96">IFERROR(IF(ISBLANK(INDEX(_xlfn._xlws.FILTER([1]加工記録２!$O$3:$P$992, [1]加工記録２!$T$3:$T$992=B62), 1)), "", INDEX(_xlfn._xlws.FILTER([1]加工記録２!$O$3:$P$992, [1]加工記録２!$T$3:$T$992=B62), 1)),"")</f>
        <v>45860</v>
      </c>
      <c r="J96" s="78" t="str">
        <v/>
      </c>
    </row>
    <row r="97" spans="1:14" s="5" customFormat="1" ht="18" customHeight="1">
      <c r="A97" s="94"/>
      <c r="B97" s="95"/>
      <c r="C97" s="95"/>
      <c r="D97" s="95"/>
      <c r="E97" s="96"/>
      <c r="F97" s="97"/>
      <c r="G97" s="98"/>
      <c r="H97" s="77" t="s">
        <v>66</v>
      </c>
      <c r="I97" s="75" cm="1">
        <f t="array" ref="I97:J97">IFERROR(IF(ISBLANK(INDEX(_xlfn._xlws.FILTER([1]加工記録２!$O$3:$P$992, [1]加工記録２!$T$3:$T$992=B62), 2)), "", INDEX(_xlfn._xlws.FILTER([1]加工記録２!$O$3:$P$992, [1]加工記録２!$T$3:$T$992=B62), 2)),"")</f>
        <v>84</v>
      </c>
      <c r="J97" s="79">
        <v>11</v>
      </c>
      <c r="K97" s="30"/>
    </row>
    <row r="98" spans="1:14" s="7" customFormat="1" ht="18" customHeight="1">
      <c r="A98" s="99" t="s">
        <v>67</v>
      </c>
      <c r="B98" s="101" t="str">
        <f>_xlfn.XLOOKUP(B60,[1]VFDB2!A:A,[1]VFDB2!J:J)</f>
        <v>〇</v>
      </c>
      <c r="C98" s="103" t="s">
        <v>68</v>
      </c>
      <c r="D98" s="105">
        <f>_xlfn.XLOOKUP(B60,[1]VFDB2!A:A,[1]VFDB2!P:P)</f>
        <v>1</v>
      </c>
      <c r="E98" s="96">
        <f>_xlfn.XLOOKUP(B60,[1]VFDB2!A:A,[1]VFDB2!V:V)</f>
        <v>0</v>
      </c>
      <c r="F98" s="97"/>
      <c r="G98" s="107"/>
      <c r="H98" s="80" t="s">
        <v>69</v>
      </c>
      <c r="I98" s="75" cm="1">
        <f t="array" ref="I98:J98">IFERROR(IF(ISBLANK(INDEX(_xlfn._xlws.FILTER([1]加工記録２!$O$3:$P$992, [1]加工記録２!$T$3:$T$992=B62), 3)), "", INDEX(_xlfn._xlws.FILTER([1]加工記録２!$O$3:$P$992, [1]加工記録２!$T$3:$T$992=B62), 3)),"")</f>
        <v>96</v>
      </c>
      <c r="J98" s="81" t="str">
        <v/>
      </c>
      <c r="K98" s="31"/>
    </row>
    <row r="99" spans="1:14" s="5" customFormat="1" ht="18" customHeight="1">
      <c r="A99" s="100"/>
      <c r="B99" s="102"/>
      <c r="C99" s="104"/>
      <c r="D99" s="106"/>
      <c r="E99" s="96"/>
      <c r="F99" s="97"/>
      <c r="G99" s="107"/>
      <c r="H99" s="80" t="s">
        <v>70</v>
      </c>
      <c r="I99" s="75" cm="1">
        <f t="array" ref="I99:J99">IFERROR(IF(ISBLANK(INDEX(_xlfn._xlws.FILTER([1]加工記録２!$O$3:$P$992, [1]加工記録２!$T$3:$T$992=B62), 4)), "", INDEX(_xlfn._xlws.FILTER([1]加工記録２!$O$3:$P$992, [1]加工記録２!$T$3:$T$992=B62), 4)),"")</f>
        <v>12</v>
      </c>
      <c r="J99" s="82" t="str">
        <v/>
      </c>
      <c r="K99" s="30"/>
    </row>
    <row r="100" spans="1:14" s="7" customFormat="1" ht="18" customHeight="1">
      <c r="A100" s="108" t="s">
        <v>71</v>
      </c>
      <c r="B100" s="110">
        <f>D60</f>
        <v>1996</v>
      </c>
      <c r="C100" s="112" t="s">
        <v>72</v>
      </c>
      <c r="D100" s="114" t="str">
        <f>_xlfn.XLOOKUP(B60,[1]VFDB2!A:A,[1]VFDB2!L:L)</f>
        <v>+2</v>
      </c>
      <c r="E100" s="96" t="str">
        <f>_xlfn.XLOOKUP(B60,[1]VFDB2!A:A,[1]VFDB2!W:W)</f>
        <v>クラフト紙：1996型</v>
      </c>
      <c r="F100" s="97"/>
      <c r="G100" s="107"/>
      <c r="H100" s="80" t="s">
        <v>73</v>
      </c>
      <c r="I100" s="75" cm="1">
        <f t="array" ref="I100:J100">IFERROR(IF(ISBLANK(INDEX(_xlfn._xlws.FILTER([1]加工記録２!$O$3:$P$992, [1]加工記録２!$T$3:$T$992=B62), 5)), "", INDEX(_xlfn._xlws.FILTER([1]加工記録２!$O$3:$P$992, [1]加工記録２!$T$3:$T$992=B62), 5)),"")</f>
        <v>12</v>
      </c>
      <c r="J100" s="83" t="str">
        <v/>
      </c>
      <c r="K100" s="31"/>
    </row>
    <row r="101" spans="1:14" s="5" customFormat="1" ht="18" customHeight="1">
      <c r="A101" s="109"/>
      <c r="B101" s="111"/>
      <c r="C101" s="113"/>
      <c r="D101" s="115"/>
      <c r="E101" s="96"/>
      <c r="F101" s="97"/>
      <c r="G101" s="107"/>
      <c r="H101" s="80" t="s">
        <v>74</v>
      </c>
      <c r="I101" s="75" cm="1">
        <f t="array" ref="I101:J101">IFERROR(IF(ISBLANK(INDEX(_xlfn._xlws.FILTER([1]加工記録２!$O$3:$P$992, [1]加工記録２!$T$3:$T$992=B62), 6)), "", INDEX(_xlfn._xlws.FILTER([1]加工記録２!$O$3:$P$992, [1]加工記録２!$T$3:$T$992=B62), 6)),"")</f>
        <v>0</v>
      </c>
      <c r="J101" s="84" t="str">
        <v/>
      </c>
      <c r="K101" s="30"/>
    </row>
    <row r="102" spans="1:14" s="7" customFormat="1" ht="18" customHeight="1">
      <c r="A102" s="99" t="s">
        <v>75</v>
      </c>
      <c r="B102" s="155" t="str">
        <f>_xlfn.XLOOKUP(B60,[1]VFDB2!A:A,[1]VFDB2!AC:AC)</f>
        <v>換算表確認</v>
      </c>
      <c r="C102" s="157" t="s">
        <v>76</v>
      </c>
      <c r="D102" s="114">
        <f>_xlfn.XLOOKUP(B60,[1]VFDB2!A:A,[1]VFDB2!K:K)</f>
        <v>0</v>
      </c>
      <c r="E102" s="96" t="str">
        <f>_xlfn.XLOOKUP(B60,[1]VFDB2!A:A,[1]VFDB2!R:R)</f>
        <v>ラベル１枚　長手無　鉢巻２回</v>
      </c>
      <c r="F102" s="97"/>
      <c r="G102" s="107"/>
      <c r="H102" s="80" t="s">
        <v>77</v>
      </c>
      <c r="I102" s="75" t="str" cm="1">
        <f t="array" ref="I102:J102">IFERROR(IF(ISBLANK(INDEX(_xlfn._xlws.FILTER([1]加工記録２!$O$3:$P$992, [1]加工記録２!$T$3:$T$992=B62), 7)), "", INDEX(_xlfn._xlws.FILTER([1]加工記録２!$O$3:$P$992, [1]加工記録２!$T$3:$T$992=B62), 7)),"")</f>
        <v>富田・水野</v>
      </c>
      <c r="J102" s="85">
        <v>1</v>
      </c>
      <c r="K102" s="31"/>
    </row>
    <row r="103" spans="1:14" s="5" customFormat="1" ht="18" customHeight="1" thickBot="1">
      <c r="A103" s="154"/>
      <c r="B103" s="156"/>
      <c r="C103" s="158"/>
      <c r="D103" s="159"/>
      <c r="E103" s="160"/>
      <c r="F103" s="161"/>
      <c r="G103" s="162"/>
      <c r="H103" s="86" t="s">
        <v>78</v>
      </c>
      <c r="I103" s="32" t="str" cm="1">
        <f t="array" ref="I103:J103">IFERROR(IF(ISBLANK(INDEX(_xlfn._xlws.FILTER([1]加工記録２!$O$3:$P$992, [1]加工記録２!$T$3:$T$992=B62), 8)), "", INDEX(_xlfn._xlws.FILTER([1]加工記録２!$O$3:$P$992, [1]加工記録２!$T$3:$T$992=B62), 8)),"")</f>
        <v>上野</v>
      </c>
      <c r="J103" s="87">
        <v>12</v>
      </c>
    </row>
    <row r="104" spans="1:14" s="43" customFormat="1" ht="18.95" customHeight="1">
      <c r="A104" s="33" t="s">
        <v>79</v>
      </c>
      <c r="B104" s="34" t="s">
        <v>90</v>
      </c>
      <c r="C104" s="35" t="s">
        <v>80</v>
      </c>
      <c r="D104" s="35" t="s">
        <v>81</v>
      </c>
      <c r="E104" s="36" t="s">
        <v>82</v>
      </c>
      <c r="F104" s="37" t="s">
        <v>83</v>
      </c>
      <c r="G104" s="38" t="s">
        <v>84</v>
      </c>
      <c r="H104" s="39" t="s">
        <v>85</v>
      </c>
      <c r="I104" s="40" t="s">
        <v>86</v>
      </c>
      <c r="J104" s="41" t="s">
        <v>87</v>
      </c>
      <c r="K104" s="42"/>
      <c r="L104" s="42"/>
      <c r="M104" s="42"/>
      <c r="N104" s="42"/>
    </row>
    <row r="105" spans="1:14" s="54" customFormat="1" ht="18.95" customHeight="1">
      <c r="A105" s="88" t="str" cm="1">
        <f t="array" ref="A105:J105">IFERROR(IF(ISBLANK(INDEX(_xlfn._xlws.FILTER([1]加工記録２!$D$3:$M$992, [1]加工記録２!$T$3:$T$992=B62), 1)), "", INDEX(_xlfn._xlws.FILTER([1]加工記録２!$D$3:$M$992, [1]加工記録２!$T$3:$T$992=B62), 1)),"")</f>
        <v/>
      </c>
      <c r="B105" s="45" t="str">
        <v/>
      </c>
      <c r="C105" s="46" t="str">
        <v/>
      </c>
      <c r="D105" s="46" t="str">
        <v/>
      </c>
      <c r="E105" s="47" t="str">
        <v/>
      </c>
      <c r="F105" s="48">
        <v>0</v>
      </c>
      <c r="G105" s="49">
        <v>0</v>
      </c>
      <c r="H105" s="50">
        <v>0</v>
      </c>
      <c r="I105" s="51">
        <v>45860</v>
      </c>
      <c r="J105" s="52">
        <v>2</v>
      </c>
      <c r="K105" s="53"/>
      <c r="L105" s="53"/>
      <c r="M105" s="53"/>
      <c r="N105" s="53"/>
    </row>
    <row r="106" spans="1:14" s="91" customFormat="1" ht="18.95" customHeight="1">
      <c r="A106" s="44" cm="1">
        <f t="array" ref="A106:J106">IFERROR(IF(ISBLANK(INDEX(_xlfn._xlws.FILTER([1]加工記録２!$D$3:$M$992, [1]加工記録２!$T$3:$T$992=B62), 2)), "", INDEX(_xlfn._xlws.FILTER([1]加工記録２!$D$3:$M$992, [1]加工記録２!$T$3:$T$992=B62), 2)),"")</f>
        <v>45860</v>
      </c>
      <c r="B106" s="55" t="str">
        <v>25G16-01</v>
      </c>
      <c r="C106" s="55">
        <v>28</v>
      </c>
      <c r="D106" s="55">
        <v>1998.04</v>
      </c>
      <c r="E106" s="89">
        <v>1998.1</v>
      </c>
      <c r="F106" s="57" t="str">
        <v>25G16-01</v>
      </c>
      <c r="G106" s="58">
        <v>96</v>
      </c>
      <c r="H106" s="59">
        <v>96</v>
      </c>
      <c r="I106" s="51" t="str">
        <v/>
      </c>
      <c r="J106" s="52" t="str">
        <v/>
      </c>
      <c r="K106" s="90"/>
      <c r="L106" s="90"/>
      <c r="M106" s="90"/>
      <c r="N106" s="90"/>
    </row>
    <row r="107" spans="1:14" s="91" customFormat="1" ht="18.95" customHeight="1">
      <c r="A107" s="44" cm="1">
        <f t="array" ref="A107:J107">IFERROR(IF(ISBLANK(INDEX(_xlfn._xlws.FILTER([1]加工記録２!$D$3:$M$992, [1]加工記録２!$T$3:$T$992=B62), 3)), "", INDEX(_xlfn._xlws.FILTER([1]加工記録２!$D$3:$M$992, [1]加工記録２!$T$3:$T$992=B62), 3)),"")</f>
        <v>45860</v>
      </c>
      <c r="B107" s="55" t="str">
        <v>25G16-01</v>
      </c>
      <c r="C107" s="55">
        <v>28</v>
      </c>
      <c r="D107" s="55">
        <v>1998.04</v>
      </c>
      <c r="E107" s="89">
        <v>1998</v>
      </c>
      <c r="F107" s="57" t="str">
        <v/>
      </c>
      <c r="G107" s="58" t="str">
        <v/>
      </c>
      <c r="H107" s="59">
        <v>0</v>
      </c>
      <c r="I107" s="51" t="str">
        <v/>
      </c>
      <c r="J107" s="52" t="str">
        <v/>
      </c>
      <c r="K107" s="90"/>
      <c r="L107" s="90"/>
      <c r="M107" s="90"/>
      <c r="N107" s="90"/>
    </row>
    <row r="108" spans="1:14" s="54" customFormat="1" ht="18.95" customHeight="1">
      <c r="A108" s="44" t="str" cm="1">
        <f t="array" ref="A108:J108">IFERROR(IF(ISBLANK(INDEX(_xlfn._xlws.FILTER([1]加工記録２!$D$3:$M$992, [1]加工記録２!$T$3:$T$992=B62), 4)), "", INDEX(_xlfn._xlws.FILTER([1]加工記録２!$D$3:$M$992, [1]加工記録２!$T$3:$T$992=B62), 4)),"")</f>
        <v/>
      </c>
      <c r="B108" s="55" t="str">
        <v/>
      </c>
      <c r="C108" s="55" t="str">
        <v/>
      </c>
      <c r="D108" s="55" t="str">
        <v/>
      </c>
      <c r="E108" s="56" t="str">
        <v/>
      </c>
      <c r="F108" s="57" t="str">
        <v/>
      </c>
      <c r="G108" s="58" t="str">
        <v/>
      </c>
      <c r="H108" s="59">
        <v>0</v>
      </c>
      <c r="I108" s="51" t="str">
        <v/>
      </c>
      <c r="J108" s="52" t="str">
        <v/>
      </c>
      <c r="K108" s="53"/>
      <c r="L108" s="53"/>
      <c r="M108" s="53"/>
      <c r="N108" s="53"/>
    </row>
    <row r="109" spans="1:14" s="54" customFormat="1" ht="18.95" customHeight="1">
      <c r="A109" s="44" t="str" cm="1">
        <f t="array" ref="A109:J109">IFERROR(IF(ISBLANK(INDEX(_xlfn._xlws.FILTER([1]加工記録２!$D$3:$M$992, [1]加工記録２!$T$3:$T$992=B62), 5)), "", INDEX(_xlfn._xlws.FILTER([1]加工記録２!$D$3:$M$992, [1]加工記録２!$T$3:$T$992=B62), 5)),"")</f>
        <v/>
      </c>
      <c r="B109" s="55" t="str">
        <v/>
      </c>
      <c r="C109" s="55" t="str">
        <v/>
      </c>
      <c r="D109" s="55" t="str">
        <v/>
      </c>
      <c r="E109" s="56" t="str">
        <v/>
      </c>
      <c r="F109" s="57" t="str">
        <v/>
      </c>
      <c r="G109" s="58" t="str">
        <v/>
      </c>
      <c r="H109" s="59">
        <v>0</v>
      </c>
      <c r="I109" s="60" t="str">
        <v/>
      </c>
      <c r="J109" s="61" t="str">
        <v/>
      </c>
      <c r="K109" s="53"/>
      <c r="L109" s="53"/>
      <c r="M109" s="53"/>
      <c r="N109" s="53"/>
    </row>
    <row r="110" spans="1:14" s="54" customFormat="1" ht="18.95" customHeight="1">
      <c r="A110" s="44" t="str" cm="1">
        <f t="array" ref="A110:J110">IFERROR(IF(ISBLANK(INDEX(_xlfn._xlws.FILTER([1]加工記録２!$D$3:$M$992, [1]加工記録２!$T$3:$T$992=B62), 6)), "", INDEX(_xlfn._xlws.FILTER([1]加工記録２!$D$3:$M$992, [1]加工記録２!$T$3:$T$992=B62), 6)),"")</f>
        <v/>
      </c>
      <c r="B110" s="55" t="str">
        <v/>
      </c>
      <c r="C110" s="55" t="str">
        <v/>
      </c>
      <c r="D110" s="55" t="str">
        <v/>
      </c>
      <c r="E110" s="56" t="str">
        <v/>
      </c>
      <c r="F110" s="57" t="str">
        <v/>
      </c>
      <c r="G110" s="58" t="str">
        <v/>
      </c>
      <c r="H110" s="62">
        <v>0</v>
      </c>
      <c r="I110" s="63" t="str">
        <v>旧品加工</v>
      </c>
      <c r="J110" s="64" t="str">
        <v/>
      </c>
      <c r="K110" s="53"/>
      <c r="L110" s="53"/>
      <c r="M110" s="53"/>
      <c r="N110" s="53"/>
    </row>
    <row r="111" spans="1:14" s="54" customFormat="1" ht="18.95" customHeight="1">
      <c r="A111" s="44" t="str" cm="1">
        <f t="array" ref="A111:J111">IFERROR(IF(ISBLANK(INDEX(_xlfn._xlws.FILTER([1]加工記録２!$D$3:$M$992, [1]加工記録２!$T$3:$T$992=B62), 7)), "", INDEX(_xlfn._xlws.FILTER([1]加工記録２!$D$3:$M$992, [1]加工記録２!$T$3:$T$992=B62), 7)),"")</f>
        <v/>
      </c>
      <c r="B111" s="55" t="str">
        <v/>
      </c>
      <c r="C111" s="55" t="str">
        <v/>
      </c>
      <c r="D111" s="55" t="str">
        <v/>
      </c>
      <c r="E111" s="56" t="str">
        <v/>
      </c>
      <c r="F111" s="57" t="str">
        <v/>
      </c>
      <c r="G111" s="58" t="str">
        <v/>
      </c>
      <c r="H111" s="62">
        <v>0</v>
      </c>
      <c r="I111" s="65" t="str">
        <v>持出端材</v>
      </c>
      <c r="J111" s="66" t="str">
        <v/>
      </c>
      <c r="K111" s="53"/>
      <c r="L111" s="53"/>
      <c r="M111" s="53"/>
      <c r="N111" s="53"/>
    </row>
    <row r="112" spans="1:14" s="54" customFormat="1" ht="18.95" customHeight="1" thickBot="1">
      <c r="A112" s="67" t="str" cm="1">
        <f t="array" ref="A112:J112">IFERROR(IF(ISBLANK(INDEX(_xlfn._xlws.FILTER([1]加工記録２!$D$3:$M$992, [1]加工記録２!$T$3:$T$992=B62), 8)), "", INDEX(_xlfn._xlws.FILTER([1]加工記録２!$D$3:$M$992, [1]加工記録２!$T$3:$T$992=B62), 8)),"")</f>
        <v/>
      </c>
      <c r="B112" s="68" t="str">
        <v/>
      </c>
      <c r="C112" s="68" t="str">
        <v/>
      </c>
      <c r="D112" s="68" t="str">
        <v/>
      </c>
      <c r="E112" s="69" t="str">
        <v/>
      </c>
      <c r="F112" s="70" t="str">
        <v/>
      </c>
      <c r="G112" s="71" t="str">
        <v/>
      </c>
      <c r="H112" s="72">
        <v>0</v>
      </c>
      <c r="I112" s="73" t="str">
        <v>α端材</v>
      </c>
      <c r="J112" s="74">
        <v>0</v>
      </c>
      <c r="K112" s="53"/>
      <c r="L112" s="53"/>
      <c r="M112" s="53"/>
      <c r="N112" s="53"/>
    </row>
    <row r="113" spans="1:10" ht="13.5" customHeight="1" thickBo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 thickBot="1">
      <c r="A115" s="12"/>
      <c r="B115" s="166" t="s">
        <v>0</v>
      </c>
      <c r="C115" s="117"/>
      <c r="D115" s="117"/>
      <c r="E115" s="12"/>
      <c r="F115" s="12"/>
      <c r="G115" s="12"/>
      <c r="H115" s="12"/>
      <c r="I115" s="12"/>
      <c r="J115" s="12"/>
    </row>
    <row r="116" spans="1:10" ht="14.25" customHeight="1" thickTop="1">
      <c r="A116" s="13"/>
      <c r="B116" s="117"/>
      <c r="C116" s="117"/>
      <c r="D116" s="117"/>
      <c r="E116" s="13"/>
      <c r="F116" s="13"/>
      <c r="G116" s="13"/>
      <c r="H116" s="13"/>
      <c r="I116" s="13"/>
      <c r="J116" s="13"/>
    </row>
    <row r="117" spans="1:10" ht="14.25" customHeight="1">
      <c r="A117" s="167" t="s">
        <v>1</v>
      </c>
      <c r="B117" s="167" t="s">
        <v>2</v>
      </c>
      <c r="C117" s="167" t="s">
        <v>3</v>
      </c>
      <c r="D117" s="168">
        <v>1996</v>
      </c>
      <c r="E117" s="167" t="s">
        <v>4</v>
      </c>
      <c r="F117" s="169" t="s">
        <v>5</v>
      </c>
      <c r="G117" s="117"/>
      <c r="H117" s="142"/>
      <c r="I117" s="14" t="s">
        <v>6</v>
      </c>
      <c r="J117" s="14" t="s">
        <v>7</v>
      </c>
    </row>
    <row r="118" spans="1:10" ht="14.25" customHeight="1">
      <c r="A118" s="117"/>
      <c r="B118" s="117"/>
      <c r="C118" s="117"/>
      <c r="D118" s="117"/>
      <c r="E118" s="117"/>
      <c r="F118" s="117"/>
      <c r="G118" s="117"/>
      <c r="H118" s="142"/>
      <c r="I118" s="148"/>
      <c r="J118" s="148"/>
    </row>
    <row r="119" spans="1:10" ht="17.45" customHeight="1">
      <c r="A119" s="150" t="s">
        <v>8</v>
      </c>
      <c r="B119" s="151" t="s">
        <v>91</v>
      </c>
      <c r="E119" s="150" t="s">
        <v>10</v>
      </c>
      <c r="F119" s="152" t="s">
        <v>11</v>
      </c>
      <c r="G119" s="117"/>
      <c r="H119" s="142"/>
      <c r="I119" s="149"/>
      <c r="J119" s="149"/>
    </row>
    <row r="120" spans="1:10" ht="17.45" customHeight="1">
      <c r="A120" s="117"/>
      <c r="B120" s="117"/>
      <c r="E120" s="117"/>
      <c r="F120" s="117"/>
      <c r="G120" s="117"/>
      <c r="H120" s="142"/>
      <c r="I120" s="15"/>
      <c r="J120" s="15"/>
    </row>
    <row r="121" spans="1:10" ht="17.45" customHeight="1">
      <c r="A121" s="150" t="s">
        <v>12</v>
      </c>
      <c r="B121" s="151" t="s">
        <v>88</v>
      </c>
      <c r="E121" s="2" t="s">
        <v>14</v>
      </c>
      <c r="F121" s="153" t="s">
        <v>15</v>
      </c>
      <c r="G121" s="117"/>
      <c r="H121" s="22"/>
    </row>
    <row r="122" spans="1:10" ht="17.45" customHeight="1">
      <c r="A122" s="117"/>
      <c r="B122" s="117"/>
      <c r="E122" s="2" t="s">
        <v>16</v>
      </c>
      <c r="F122" s="22" t="s">
        <v>17</v>
      </c>
      <c r="G122" s="22"/>
      <c r="H122" s="22"/>
    </row>
    <row r="123" spans="1:10" ht="17.45" customHeight="1">
      <c r="A123" s="2" t="s">
        <v>18</v>
      </c>
      <c r="B123" s="4">
        <v>45870</v>
      </c>
      <c r="E123" s="2" t="s">
        <v>19</v>
      </c>
      <c r="F123" s="129">
        <v>42</v>
      </c>
      <c r="G123" s="117"/>
      <c r="H123" s="22"/>
    </row>
    <row r="124" spans="1:10" ht="17.45" customHeight="1">
      <c r="A124" s="2" t="s">
        <v>20</v>
      </c>
      <c r="B124" s="4">
        <v>45870</v>
      </c>
      <c r="E124" s="2" t="s">
        <v>21</v>
      </c>
      <c r="F124" s="22">
        <v>20</v>
      </c>
      <c r="G124" s="130" t="s">
        <v>22</v>
      </c>
      <c r="H124" s="132">
        <v>840</v>
      </c>
      <c r="I124" s="133"/>
      <c r="J124" s="134"/>
    </row>
    <row r="125" spans="1:10" ht="17.45" customHeight="1">
      <c r="A125" s="20"/>
      <c r="B125" s="21"/>
      <c r="C125" s="21"/>
      <c r="D125" s="21"/>
      <c r="E125" s="2" t="s">
        <v>23</v>
      </c>
      <c r="F125" s="22" t="s">
        <v>24</v>
      </c>
      <c r="G125" s="131"/>
      <c r="H125" s="131"/>
      <c r="I125" s="135"/>
      <c r="J125" s="136"/>
    </row>
    <row r="126" spans="1:10" ht="13.5" customHeight="1">
      <c r="A126" s="137" t="s">
        <v>25</v>
      </c>
      <c r="B126" s="117"/>
      <c r="C126" s="117"/>
      <c r="D126" s="21"/>
      <c r="F126" s="3"/>
      <c r="G126" s="138" t="s">
        <v>26</v>
      </c>
      <c r="H126" s="140" t="s">
        <v>27</v>
      </c>
      <c r="I126" s="141" t="s">
        <v>28</v>
      </c>
      <c r="J126" s="142"/>
    </row>
    <row r="127" spans="1:10" ht="13.5" customHeight="1">
      <c r="A127" s="117"/>
      <c r="B127" s="117"/>
      <c r="C127" s="117"/>
      <c r="D127" s="21"/>
      <c r="F127" s="3"/>
      <c r="G127" s="139"/>
      <c r="H127" s="139"/>
      <c r="I127" s="135"/>
      <c r="J127" s="136"/>
    </row>
    <row r="128" spans="1:10" ht="13.5" customHeight="1">
      <c r="A128" s="1" t="s">
        <v>29</v>
      </c>
    </row>
    <row r="129" spans="1:10" ht="63" customHeight="1" thickBot="1">
      <c r="A129" s="143"/>
      <c r="B129" s="144"/>
      <c r="C129" s="144"/>
      <c r="D129" s="144"/>
      <c r="E129" s="144"/>
      <c r="F129" s="144"/>
      <c r="G129" s="144"/>
      <c r="H129" s="144"/>
      <c r="I129" s="144"/>
      <c r="J129" s="144"/>
    </row>
    <row r="130" spans="1:10" ht="18.75">
      <c r="A130" s="24" t="s">
        <v>30</v>
      </c>
      <c r="B130" s="17" t="s">
        <v>31</v>
      </c>
      <c r="C130" s="145" t="s">
        <v>32</v>
      </c>
      <c r="D130" s="146"/>
      <c r="E130" s="17" t="s">
        <v>33</v>
      </c>
      <c r="F130" s="145" t="s">
        <v>34</v>
      </c>
      <c r="G130" s="146"/>
      <c r="H130" s="146"/>
      <c r="I130" s="147" t="s">
        <v>35</v>
      </c>
      <c r="J130" s="146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3">
        <v>1</v>
      </c>
      <c r="B132" s="25" t="s">
        <v>36</v>
      </c>
      <c r="C132" s="116" t="s">
        <v>37</v>
      </c>
      <c r="D132" s="117"/>
      <c r="E132" s="25" t="s">
        <v>38</v>
      </c>
      <c r="F132" s="116" t="s">
        <v>39</v>
      </c>
      <c r="G132" s="117"/>
      <c r="H132" s="117"/>
      <c r="I132" s="126"/>
      <c r="J132" s="117"/>
    </row>
    <row r="133" spans="1:10" ht="16.5" customHeight="1">
      <c r="A133" s="23">
        <v>1</v>
      </c>
      <c r="B133" s="26" t="s">
        <v>36</v>
      </c>
      <c r="C133" s="116" t="s">
        <v>37</v>
      </c>
      <c r="D133" s="117"/>
      <c r="E133" s="25" t="s">
        <v>40</v>
      </c>
      <c r="F133" s="116" t="s">
        <v>41</v>
      </c>
      <c r="G133" s="117"/>
      <c r="H133" s="117"/>
      <c r="I133" s="126"/>
      <c r="J133" s="117"/>
    </row>
    <row r="134" spans="1:10" ht="16.5" customHeight="1">
      <c r="A134" s="23"/>
      <c r="B134" s="26"/>
      <c r="C134" s="116"/>
      <c r="D134" s="117"/>
      <c r="E134" s="25"/>
      <c r="F134" s="116"/>
      <c r="G134" s="117"/>
      <c r="H134" s="117"/>
      <c r="I134" s="126"/>
      <c r="J134" s="117"/>
    </row>
    <row r="135" spans="1:10" ht="16.5" customHeight="1">
      <c r="A135" s="23"/>
      <c r="B135" s="26"/>
      <c r="C135" s="116"/>
      <c r="D135" s="117"/>
      <c r="E135" s="25"/>
      <c r="F135" s="116"/>
      <c r="G135" s="117"/>
      <c r="H135" s="117"/>
      <c r="I135" s="126"/>
      <c r="J135" s="117"/>
    </row>
    <row r="136" spans="1:10" ht="16.5" customHeight="1">
      <c r="A136" s="23"/>
      <c r="B136" s="26"/>
      <c r="C136" s="116"/>
      <c r="D136" s="117"/>
      <c r="E136" s="25"/>
      <c r="F136" s="116"/>
      <c r="G136" s="117"/>
      <c r="H136" s="117"/>
      <c r="I136" s="126"/>
      <c r="J136" s="117"/>
    </row>
    <row r="137" spans="1:10" ht="16.5" customHeight="1">
      <c r="A137" s="23"/>
      <c r="B137" s="26"/>
      <c r="C137" s="116"/>
      <c r="D137" s="117"/>
      <c r="E137" s="25"/>
      <c r="F137" s="116"/>
      <c r="G137" s="117"/>
      <c r="H137" s="117"/>
      <c r="I137" s="126"/>
      <c r="J137" s="117"/>
    </row>
    <row r="138" spans="1:10" ht="16.5" customHeight="1" thickBo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8.75">
      <c r="A139" s="127" t="s">
        <v>42</v>
      </c>
      <c r="B139" s="128"/>
      <c r="C139" s="127" t="s">
        <v>43</v>
      </c>
      <c r="D139" s="128"/>
      <c r="E139" s="128"/>
      <c r="F139" s="18" t="s">
        <v>44</v>
      </c>
      <c r="G139" s="127" t="s">
        <v>45</v>
      </c>
      <c r="H139" s="128"/>
      <c r="I139" s="127" t="s">
        <v>46</v>
      </c>
      <c r="J139" s="128"/>
    </row>
    <row r="140" spans="1:10" ht="14.25" customHeight="1">
      <c r="A140" s="8"/>
      <c r="B140" s="19"/>
      <c r="C140" s="164" t="s">
        <v>47</v>
      </c>
      <c r="D140" s="135"/>
      <c r="E140" s="19"/>
      <c r="F140" s="164" t="s">
        <v>29</v>
      </c>
      <c r="G140" s="135"/>
      <c r="H140" s="135"/>
      <c r="I140" s="135"/>
      <c r="J140" s="135"/>
    </row>
    <row r="141" spans="1:10">
      <c r="A141" s="9"/>
      <c r="C141" s="7"/>
      <c r="D141" s="7"/>
      <c r="E141" s="7"/>
    </row>
    <row r="142" spans="1:10" ht="14.25" customHeight="1">
      <c r="A142" s="116" t="s">
        <v>48</v>
      </c>
      <c r="B142" s="117"/>
      <c r="C142" s="116" t="s">
        <v>49</v>
      </c>
      <c r="D142" s="117"/>
      <c r="E142" s="117"/>
      <c r="F142" s="27" t="s">
        <v>50</v>
      </c>
      <c r="G142" s="118">
        <v>840</v>
      </c>
      <c r="H142" s="117"/>
      <c r="I142" s="118">
        <v>20</v>
      </c>
      <c r="J142" s="117"/>
    </row>
    <row r="143" spans="1:10" ht="24.95" customHeight="1">
      <c r="A143" s="119" t="s">
        <v>51</v>
      </c>
      <c r="B143" s="117"/>
      <c r="C143" s="116" t="s">
        <v>11</v>
      </c>
      <c r="D143" s="117"/>
      <c r="E143" s="117"/>
      <c r="F143" s="116"/>
      <c r="G143" s="117"/>
      <c r="H143" s="117"/>
      <c r="I143" s="117"/>
      <c r="J143" s="117"/>
    </row>
    <row r="144" spans="1:10" ht="14.25" customHeight="1">
      <c r="A144" s="163" t="s">
        <v>59</v>
      </c>
      <c r="B144" s="117"/>
      <c r="C144" s="116" t="s">
        <v>53</v>
      </c>
      <c r="D144" s="117"/>
      <c r="E144" s="117"/>
      <c r="F144" s="27" t="s">
        <v>27</v>
      </c>
      <c r="G144" s="118">
        <v>20.16</v>
      </c>
      <c r="H144" s="117"/>
      <c r="I144" s="118">
        <v>0.48</v>
      </c>
      <c r="J144" s="117"/>
    </row>
    <row r="145" spans="1:11" ht="24.95" customHeight="1">
      <c r="A145" s="119" t="s">
        <v>54</v>
      </c>
      <c r="B145" s="117"/>
      <c r="C145" s="116"/>
      <c r="D145" s="117"/>
      <c r="E145" s="117"/>
      <c r="F145" s="116"/>
      <c r="G145" s="117"/>
      <c r="H145" s="117"/>
      <c r="I145" s="117"/>
      <c r="J145" s="117"/>
    </row>
    <row r="146" spans="1:11" ht="14.25" customHeight="1">
      <c r="A146" s="116" t="s">
        <v>55</v>
      </c>
      <c r="B146" s="117"/>
      <c r="C146" s="116" t="s">
        <v>56</v>
      </c>
      <c r="D146" s="117"/>
      <c r="E146" s="117"/>
      <c r="F146" s="27"/>
      <c r="G146" s="118">
        <v>0.84</v>
      </c>
      <c r="H146" s="117"/>
      <c r="I146" s="118">
        <v>0.02</v>
      </c>
      <c r="J146" s="117"/>
    </row>
    <row r="147" spans="1:11" ht="24.95" customHeight="1">
      <c r="A147" s="119" t="s">
        <v>57</v>
      </c>
      <c r="B147" s="117"/>
      <c r="C147" s="116" t="s">
        <v>58</v>
      </c>
      <c r="D147" s="117"/>
      <c r="E147" s="117"/>
      <c r="F147" s="116"/>
      <c r="G147" s="117"/>
      <c r="H147" s="117"/>
      <c r="I147" s="117"/>
      <c r="J147" s="117"/>
    </row>
    <row r="148" spans="1:11" ht="14.25" customHeight="1">
      <c r="A148" s="116"/>
      <c r="B148" s="117"/>
      <c r="C148" s="116"/>
      <c r="D148" s="117"/>
      <c r="E148" s="117"/>
      <c r="F148" s="27"/>
      <c r="G148" s="118"/>
      <c r="H148" s="117"/>
      <c r="I148" s="118"/>
      <c r="J148" s="117"/>
    </row>
    <row r="149" spans="1:11" ht="24.95" customHeight="1">
      <c r="A149" s="119"/>
      <c r="B149" s="117"/>
      <c r="C149" s="116"/>
      <c r="D149" s="117"/>
      <c r="E149" s="117"/>
      <c r="F149" s="116"/>
      <c r="G149" s="117"/>
      <c r="H149" s="117"/>
      <c r="I149" s="117"/>
      <c r="J149" s="117"/>
    </row>
    <row r="150" spans="1:11" ht="14.25" customHeight="1">
      <c r="A150" s="116"/>
      <c r="B150" s="117"/>
      <c r="C150" s="116"/>
      <c r="D150" s="117"/>
      <c r="E150" s="117"/>
      <c r="F150" s="27"/>
      <c r="G150" s="118"/>
      <c r="H150" s="117"/>
      <c r="I150" s="118"/>
      <c r="J150" s="117"/>
    </row>
    <row r="151" spans="1:11" ht="24.95" customHeight="1" thickBot="1">
      <c r="A151" s="119"/>
      <c r="B151" s="117"/>
      <c r="C151" s="116"/>
      <c r="D151" s="117"/>
      <c r="E151" s="117"/>
      <c r="F151" s="116"/>
      <c r="G151" s="117"/>
      <c r="H151" s="117"/>
      <c r="I151" s="117"/>
      <c r="J151" s="117"/>
    </row>
    <row r="152" spans="1:11" s="5" customFormat="1" ht="18" customHeight="1">
      <c r="A152" s="120" t="s">
        <v>60</v>
      </c>
      <c r="B152" s="121"/>
      <c r="C152" s="121"/>
      <c r="D152" s="121"/>
      <c r="E152" s="122" t="s">
        <v>61</v>
      </c>
      <c r="F152" s="123"/>
      <c r="G152" s="28" t="s">
        <v>62</v>
      </c>
      <c r="H152" s="124" t="s">
        <v>63</v>
      </c>
      <c r="I152" s="125"/>
      <c r="J152" s="29" t="s">
        <v>64</v>
      </c>
    </row>
    <row r="153" spans="1:11" s="7" customFormat="1" ht="18" customHeight="1">
      <c r="A153" s="92" t="str">
        <f>_xlfn.XLOOKUP(B117,[1]VFDB2!A:A,[1]VFDB2!A:A)</f>
        <v>J1JAPAB00419960</v>
      </c>
      <c r="B153" s="93"/>
      <c r="C153" s="93"/>
      <c r="D153" s="93"/>
      <c r="E153" s="96" t="str" cm="1">
        <f t="array" ref="E153">IFERROR(IF(ISBLANK(INDEX(_xlfn._xlws.FILTER([1]加工記録２!$C$3:$C$992, [1]加工記録２!$T$3:$T$992=B119), 6)), "", INDEX(_xlfn._xlws.FILTER([1]加工記録２!$C$3:$C$992, [1]加工記録２!$T$3:$T$992=B119), 6)),"")</f>
        <v>上-1</v>
      </c>
      <c r="F153" s="97"/>
      <c r="G153" s="98" cm="1">
        <f t="array" ref="G153">IFERROR(IF(ISBLANK(INDEX(_xlfn._xlws.FILTER([1]加工記録２!$C$3:$C$992, [1]加工記録２!$T$3:$T$992=B119), 7)), " ", INDEX(_xlfn._xlws.FILTER([1]加工記録２!$C$3:$C$992, [1]加工記録２!$T$3:$T$992=B119), 7))," ")</f>
        <v>5</v>
      </c>
      <c r="H153" s="77" t="s">
        <v>65</v>
      </c>
      <c r="I153" s="76" cm="1">
        <f t="array" ref="I153:J153">IFERROR(IF(ISBLANK(INDEX(_xlfn._xlws.FILTER([1]加工記録２!$O$3:$P$992, [1]加工記録２!$T$3:$T$992=B119), 1)), "", INDEX(_xlfn._xlws.FILTER([1]加工記録２!$O$3:$P$992, [1]加工記録２!$T$3:$T$992=B119), 1)),"")</f>
        <v>45868</v>
      </c>
      <c r="J153" s="78">
        <v>1</v>
      </c>
    </row>
    <row r="154" spans="1:11" s="5" customFormat="1" ht="18" customHeight="1">
      <c r="A154" s="94"/>
      <c r="B154" s="95"/>
      <c r="C154" s="95"/>
      <c r="D154" s="95"/>
      <c r="E154" s="96"/>
      <c r="F154" s="97"/>
      <c r="G154" s="98"/>
      <c r="H154" s="77" t="s">
        <v>66</v>
      </c>
      <c r="I154" s="75" cm="1">
        <f t="array" ref="I154:J154">IFERROR(IF(ISBLANK(INDEX(_xlfn._xlws.FILTER([1]加工記録２!$O$3:$P$992, [1]加工記録２!$T$3:$T$992=B119), 2)), "", INDEX(_xlfn._xlws.FILTER([1]加工記録２!$O$3:$P$992, [1]加工記録２!$T$3:$T$992=B119), 2)),"")</f>
        <v>210</v>
      </c>
      <c r="J154" s="79">
        <v>16</v>
      </c>
      <c r="K154" s="30"/>
    </row>
    <row r="155" spans="1:11" s="7" customFormat="1" ht="18" customHeight="1">
      <c r="A155" s="99" t="s">
        <v>67</v>
      </c>
      <c r="B155" s="101" t="str">
        <f>_xlfn.XLOOKUP(B117,[1]VFDB2!A:A,[1]VFDB2!J:J)</f>
        <v>〇</v>
      </c>
      <c r="C155" s="103" t="s">
        <v>68</v>
      </c>
      <c r="D155" s="105">
        <f>_xlfn.XLOOKUP(B117,[1]VFDB2!A:A,[1]VFDB2!P:P)</f>
        <v>1</v>
      </c>
      <c r="E155" s="96">
        <f>_xlfn.XLOOKUP(B117,[1]VFDB2!A:A,[1]VFDB2!V:V)</f>
        <v>0</v>
      </c>
      <c r="F155" s="97"/>
      <c r="G155" s="107"/>
      <c r="H155" s="80" t="s">
        <v>69</v>
      </c>
      <c r="I155" s="75" cm="1">
        <f t="array" ref="I155:J155">IFERROR(IF(ISBLANK(INDEX(_xlfn._xlws.FILTER([1]加工記録２!$O$3:$P$992, [1]加工記録２!$T$3:$T$992=B119), 3)), "", INDEX(_xlfn._xlws.FILTER([1]加工記録２!$O$3:$P$992, [1]加工記録２!$T$3:$T$992=B119), 3)),"")</f>
        <v>228</v>
      </c>
      <c r="J155" s="81">
        <v>1</v>
      </c>
      <c r="K155" s="31"/>
    </row>
    <row r="156" spans="1:11" s="5" customFormat="1" ht="18" customHeight="1">
      <c r="A156" s="100"/>
      <c r="B156" s="102"/>
      <c r="C156" s="104"/>
      <c r="D156" s="106"/>
      <c r="E156" s="96"/>
      <c r="F156" s="97"/>
      <c r="G156" s="107"/>
      <c r="H156" s="80" t="s">
        <v>70</v>
      </c>
      <c r="I156" s="75" cm="1">
        <f t="array" ref="I156:J156">IFERROR(IF(ISBLANK(INDEX(_xlfn._xlws.FILTER([1]加工記録２!$O$3:$P$992, [1]加工記録２!$T$3:$T$992=B119), 4)), "", INDEX(_xlfn._xlws.FILTER([1]加工記録２!$O$3:$P$992, [1]加工記録２!$T$3:$T$992=B119), 4)),"")</f>
        <v>18</v>
      </c>
      <c r="J156" s="82" t="str">
        <v/>
      </c>
      <c r="K156" s="30"/>
    </row>
    <row r="157" spans="1:11" s="7" customFormat="1" ht="18" customHeight="1">
      <c r="A157" s="108" t="s">
        <v>71</v>
      </c>
      <c r="B157" s="110">
        <f>D117</f>
        <v>1996</v>
      </c>
      <c r="C157" s="112" t="s">
        <v>72</v>
      </c>
      <c r="D157" s="114" t="str">
        <f>_xlfn.XLOOKUP(B117,[1]VFDB2!A:A,[1]VFDB2!L:L)</f>
        <v>+2</v>
      </c>
      <c r="E157" s="96" t="str">
        <f>_xlfn.XLOOKUP(B117,[1]VFDB2!A:A,[1]VFDB2!W:W)</f>
        <v>クラフト紙：1996型</v>
      </c>
      <c r="F157" s="97"/>
      <c r="G157" s="107"/>
      <c r="H157" s="80" t="s">
        <v>73</v>
      </c>
      <c r="I157" s="75" cm="1">
        <f t="array" ref="I157:J157">IFERROR(IF(ISBLANK(INDEX(_xlfn._xlws.FILTER([1]加工記録２!$O$3:$P$992, [1]加工記録２!$T$3:$T$992=B119), 5)), "", INDEX(_xlfn._xlws.FILTER([1]加工記録２!$O$3:$P$992, [1]加工記録２!$T$3:$T$992=B119), 5)),"")</f>
        <v>18</v>
      </c>
      <c r="J157" s="83" t="str">
        <v/>
      </c>
      <c r="K157" s="31"/>
    </row>
    <row r="158" spans="1:11" s="5" customFormat="1" ht="18" customHeight="1">
      <c r="A158" s="109"/>
      <c r="B158" s="111"/>
      <c r="C158" s="113"/>
      <c r="D158" s="115"/>
      <c r="E158" s="96"/>
      <c r="F158" s="97"/>
      <c r="G158" s="107"/>
      <c r="H158" s="80" t="s">
        <v>74</v>
      </c>
      <c r="I158" s="75" cm="1">
        <f t="array" ref="I158:J158">IFERROR(IF(ISBLANK(INDEX(_xlfn._xlws.FILTER([1]加工記録２!$O$3:$P$992, [1]加工記録２!$T$3:$T$992=B119), 6)), "", INDEX(_xlfn._xlws.FILTER([1]加工記録２!$O$3:$P$992, [1]加工記録２!$T$3:$T$992=B119), 6)),"")</f>
        <v>0</v>
      </c>
      <c r="J158" s="84" t="str">
        <v/>
      </c>
      <c r="K158" s="30"/>
    </row>
    <row r="159" spans="1:11" s="7" customFormat="1" ht="18" customHeight="1">
      <c r="A159" s="99" t="s">
        <v>75</v>
      </c>
      <c r="B159" s="155" t="str">
        <f>_xlfn.XLOOKUP(B117,[1]VFDB2!A:A,[1]VFDB2!AC:AC)</f>
        <v>換算表確認</v>
      </c>
      <c r="C159" s="157" t="s">
        <v>76</v>
      </c>
      <c r="D159" s="114">
        <f>_xlfn.XLOOKUP(B117,[1]VFDB2!A:A,[1]VFDB2!K:K)</f>
        <v>0</v>
      </c>
      <c r="E159" s="96" t="str">
        <f>_xlfn.XLOOKUP(B117,[1]VFDB2!A:A,[1]VFDB2!R:R)</f>
        <v>ラベル１枚　長手無　鉢巻２回</v>
      </c>
      <c r="F159" s="97"/>
      <c r="G159" s="107"/>
      <c r="H159" s="80" t="s">
        <v>77</v>
      </c>
      <c r="I159" s="75" t="str" cm="1">
        <f t="array" ref="I159:J159">IFERROR(IF(ISBLANK(INDEX(_xlfn._xlws.FILTER([1]加工記録２!$O$3:$P$992, [1]加工記録２!$T$3:$T$992=B119), 7)), "", INDEX(_xlfn._xlws.FILTER([1]加工記録２!$O$3:$P$992, [1]加工記録２!$T$3:$T$992=B119), 7)),"")</f>
        <v>水野・富田</v>
      </c>
      <c r="J159" s="85" t="str">
        <v/>
      </c>
      <c r="K159" s="31"/>
    </row>
    <row r="160" spans="1:11" s="5" customFormat="1" ht="18" customHeight="1" thickBot="1">
      <c r="A160" s="154"/>
      <c r="B160" s="156"/>
      <c r="C160" s="158"/>
      <c r="D160" s="159"/>
      <c r="E160" s="160"/>
      <c r="F160" s="161"/>
      <c r="G160" s="162"/>
      <c r="H160" s="86" t="s">
        <v>78</v>
      </c>
      <c r="I160" s="32" t="str" cm="1">
        <f t="array" ref="I160:J160">IFERROR(IF(ISBLANK(INDEX(_xlfn._xlws.FILTER([1]加工記録２!$O$3:$P$992, [1]加工記録２!$T$3:$T$992=B119), 8)), "", INDEX(_xlfn._xlws.FILTER([1]加工記録２!$O$3:$P$992, [1]加工記録２!$T$3:$T$992=B119), 8)),"")</f>
        <v>高森</v>
      </c>
      <c r="J160" s="87">
        <v>18</v>
      </c>
    </row>
    <row r="161" spans="1:14" s="43" customFormat="1" ht="18.95" customHeight="1">
      <c r="A161" s="33" t="s">
        <v>79</v>
      </c>
      <c r="B161" s="34" t="s">
        <v>90</v>
      </c>
      <c r="C161" s="35" t="s">
        <v>80</v>
      </c>
      <c r="D161" s="35" t="s">
        <v>81</v>
      </c>
      <c r="E161" s="36" t="s">
        <v>82</v>
      </c>
      <c r="F161" s="37" t="s">
        <v>83</v>
      </c>
      <c r="G161" s="38" t="s">
        <v>84</v>
      </c>
      <c r="H161" s="39" t="s">
        <v>85</v>
      </c>
      <c r="I161" s="40" t="s">
        <v>86</v>
      </c>
      <c r="J161" s="41" t="s">
        <v>87</v>
      </c>
      <c r="K161" s="42"/>
      <c r="L161" s="42"/>
      <c r="M161" s="42"/>
      <c r="N161" s="42"/>
    </row>
    <row r="162" spans="1:14" s="54" customFormat="1" ht="18.95" customHeight="1">
      <c r="A162" s="88" t="str" cm="1">
        <f t="array" ref="A162:J162">IFERROR(IF(ISBLANK(INDEX(_xlfn._xlws.FILTER([1]加工記録２!$D$3:$M$992, [1]加工記録２!$T$3:$T$992=B119), 1)), "", INDEX(_xlfn._xlws.FILTER([1]加工記録２!$D$3:$M$992, [1]加工記録２!$T$3:$T$992=B119), 1)),"")</f>
        <v/>
      </c>
      <c r="B162" s="45" t="str">
        <v/>
      </c>
      <c r="C162" s="46" t="str">
        <v/>
      </c>
      <c r="D162" s="46" t="str">
        <v/>
      </c>
      <c r="E162" s="47" t="str">
        <v/>
      </c>
      <c r="F162" s="48">
        <v>0</v>
      </c>
      <c r="G162" s="49">
        <v>0</v>
      </c>
      <c r="H162" s="50">
        <v>0</v>
      </c>
      <c r="I162" s="51">
        <v>45868</v>
      </c>
      <c r="J162" s="52">
        <v>5</v>
      </c>
      <c r="K162" s="53"/>
      <c r="L162" s="53"/>
      <c r="M162" s="53"/>
      <c r="N162" s="53"/>
    </row>
    <row r="163" spans="1:14" s="91" customFormat="1" ht="18.95" customHeight="1">
      <c r="A163" s="44" cm="1">
        <f t="array" ref="A163:J163">IFERROR(IF(ISBLANK(INDEX(_xlfn._xlws.FILTER([1]加工記録２!$D$3:$M$992, [1]加工記録２!$T$3:$T$992=B119), 2)), "", INDEX(_xlfn._xlws.FILTER([1]加工記録２!$D$3:$M$992, [1]加工記録２!$T$3:$T$992=B119), 2)),"")</f>
        <v>45867</v>
      </c>
      <c r="B163" s="55" t="str">
        <v>25G18-01</v>
      </c>
      <c r="C163" s="55">
        <v>28</v>
      </c>
      <c r="D163" s="55">
        <v>1998.04</v>
      </c>
      <c r="E163" s="89">
        <v>1998.3</v>
      </c>
      <c r="F163" s="57" t="str">
        <v>25G18-01</v>
      </c>
      <c r="G163" s="58">
        <v>196</v>
      </c>
      <c r="H163" s="59">
        <v>196</v>
      </c>
      <c r="I163" s="51" t="str">
        <v/>
      </c>
      <c r="J163" s="52" t="str">
        <v/>
      </c>
      <c r="K163" s="90"/>
      <c r="L163" s="90"/>
      <c r="M163" s="90"/>
      <c r="N163" s="90"/>
    </row>
    <row r="164" spans="1:14" s="91" customFormat="1" ht="18.95" customHeight="1">
      <c r="A164" s="44" cm="1">
        <f t="array" ref="A164:J164">IFERROR(IF(ISBLANK(INDEX(_xlfn._xlws.FILTER([1]加工記録２!$D$3:$M$992, [1]加工記録２!$T$3:$T$992=B119), 3)), "", INDEX(_xlfn._xlws.FILTER([1]加工記録２!$D$3:$M$992, [1]加工記録２!$T$3:$T$992=B119), 3)),"")</f>
        <v>45867</v>
      </c>
      <c r="B164" s="55" t="str">
        <v>25G18-01</v>
      </c>
      <c r="C164" s="55">
        <v>28</v>
      </c>
      <c r="D164" s="55">
        <v>1998.04</v>
      </c>
      <c r="E164" s="89">
        <v>1998.3</v>
      </c>
      <c r="F164" s="57" t="str">
        <v>25G17-02</v>
      </c>
      <c r="G164" s="58">
        <v>32</v>
      </c>
      <c r="H164" s="59">
        <v>32</v>
      </c>
      <c r="I164" s="51" t="str">
        <v/>
      </c>
      <c r="J164" s="52" t="str">
        <v/>
      </c>
      <c r="K164" s="90"/>
      <c r="L164" s="90"/>
      <c r="M164" s="90"/>
      <c r="N164" s="90"/>
    </row>
    <row r="165" spans="1:14" s="54" customFormat="1" ht="18.95" customHeight="1">
      <c r="A165" s="44" cm="1">
        <f t="array" ref="A165:J165">IFERROR(IF(ISBLANK(INDEX(_xlfn._xlws.FILTER([1]加工記録２!$D$3:$M$992, [1]加工記録２!$T$3:$T$992=B119), 4)), "", INDEX(_xlfn._xlws.FILTER([1]加工記録２!$D$3:$M$992, [1]加工記録２!$T$3:$T$992=B119), 4)),"")</f>
        <v>45868</v>
      </c>
      <c r="B165" s="55" t="str">
        <v>25G18-01</v>
      </c>
      <c r="C165" s="55">
        <v>28</v>
      </c>
      <c r="D165" s="55">
        <v>1998.04</v>
      </c>
      <c r="E165" s="56">
        <v>1998.3</v>
      </c>
      <c r="F165" s="57" t="str">
        <v/>
      </c>
      <c r="G165" s="58" t="str">
        <v/>
      </c>
      <c r="H165" s="59">
        <v>0</v>
      </c>
      <c r="I165" s="51" t="str">
        <v/>
      </c>
      <c r="J165" s="52" t="str">
        <v/>
      </c>
      <c r="K165" s="53"/>
      <c r="L165" s="53"/>
      <c r="M165" s="53"/>
      <c r="N165" s="53"/>
    </row>
    <row r="166" spans="1:14" s="54" customFormat="1" ht="18.95" customHeight="1">
      <c r="A166" s="44" cm="1">
        <f t="array" ref="A166:J166">IFERROR(IF(ISBLANK(INDEX(_xlfn._xlws.FILTER([1]加工記録２!$D$3:$M$992, [1]加工記録２!$T$3:$T$992=B119), 5)), "", INDEX(_xlfn._xlws.FILTER([1]加工記録２!$D$3:$M$992, [1]加工記録２!$T$3:$T$992=B119), 5)),"")</f>
        <v>45868</v>
      </c>
      <c r="B166" s="55" t="str">
        <v>25G17-02</v>
      </c>
      <c r="C166" s="55">
        <v>30</v>
      </c>
      <c r="D166" s="55">
        <v>1998.3</v>
      </c>
      <c r="E166" s="56">
        <v>1998.2</v>
      </c>
      <c r="F166" s="57" t="str">
        <v/>
      </c>
      <c r="G166" s="58" t="str">
        <v/>
      </c>
      <c r="H166" s="59">
        <v>0</v>
      </c>
      <c r="I166" s="60" t="str">
        <v/>
      </c>
      <c r="J166" s="61" t="str">
        <v/>
      </c>
      <c r="K166" s="53"/>
      <c r="L166" s="53"/>
      <c r="M166" s="53"/>
      <c r="N166" s="53"/>
    </row>
    <row r="167" spans="1:14" s="54" customFormat="1" ht="18.95" customHeight="1">
      <c r="A167" s="44" cm="1">
        <f t="array" ref="A167:J167">IFERROR(IF(ISBLANK(INDEX(_xlfn._xlws.FILTER([1]加工記録２!$D$3:$M$992, [1]加工記録２!$T$3:$T$992=B119), 6)), "", INDEX(_xlfn._xlws.FILTER([1]加工記録２!$D$3:$M$992, [1]加工記録２!$T$3:$T$992=B119), 6)),"")</f>
        <v>45868</v>
      </c>
      <c r="B167" s="55" t="str">
        <v>25G17-02</v>
      </c>
      <c r="C167" s="55">
        <v>30</v>
      </c>
      <c r="D167" s="55">
        <v>1998.3</v>
      </c>
      <c r="E167" s="56">
        <v>1998.2</v>
      </c>
      <c r="F167" s="57" t="str">
        <v/>
      </c>
      <c r="G167" s="58" t="str">
        <v/>
      </c>
      <c r="H167" s="62">
        <v>0</v>
      </c>
      <c r="I167" s="63" t="str">
        <v>旧品加工</v>
      </c>
      <c r="J167" s="64" t="str">
        <v/>
      </c>
      <c r="K167" s="53"/>
      <c r="L167" s="53"/>
      <c r="M167" s="53"/>
      <c r="N167" s="53"/>
    </row>
    <row r="168" spans="1:14" s="54" customFormat="1" ht="18.95" customHeight="1">
      <c r="A168" s="44" t="str" cm="1">
        <f t="array" ref="A168:J168">IFERROR(IF(ISBLANK(INDEX(_xlfn._xlws.FILTER([1]加工記録２!$D$3:$M$992, [1]加工記録２!$T$3:$T$992=B119), 7)), "", INDEX(_xlfn._xlws.FILTER([1]加工記録２!$D$3:$M$992, [1]加工記録２!$T$3:$T$992=B119), 7)),"")</f>
        <v/>
      </c>
      <c r="B168" s="55" t="str">
        <v/>
      </c>
      <c r="C168" s="55" t="str">
        <v/>
      </c>
      <c r="D168" s="55" t="str">
        <v/>
      </c>
      <c r="E168" s="56" t="str">
        <v/>
      </c>
      <c r="F168" s="57" t="str">
        <v/>
      </c>
      <c r="G168" s="58" t="str">
        <v/>
      </c>
      <c r="H168" s="62">
        <v>0</v>
      </c>
      <c r="I168" s="65" t="str">
        <v>持出端材</v>
      </c>
      <c r="J168" s="66" t="str">
        <v/>
      </c>
      <c r="K168" s="53"/>
      <c r="L168" s="53"/>
      <c r="M168" s="53"/>
      <c r="N168" s="53"/>
    </row>
    <row r="169" spans="1:14" s="54" customFormat="1" ht="18.95" customHeight="1" thickBot="1">
      <c r="A169" s="67" t="str" cm="1">
        <f t="array" ref="A169:J169">IFERROR(IF(ISBLANK(INDEX(_xlfn._xlws.FILTER([1]加工記録２!$D$3:$M$992, [1]加工記録２!$T$3:$T$992=B119), 8)), "", INDEX(_xlfn._xlws.FILTER([1]加工記録２!$D$3:$M$992, [1]加工記録２!$T$3:$T$992=B119), 8)),"")</f>
        <v/>
      </c>
      <c r="B169" s="68" t="str">
        <v/>
      </c>
      <c r="C169" s="68" t="str">
        <v/>
      </c>
      <c r="D169" s="68" t="str">
        <v/>
      </c>
      <c r="E169" s="69" t="str">
        <v/>
      </c>
      <c r="F169" s="70" t="str">
        <v/>
      </c>
      <c r="G169" s="71" t="str">
        <v/>
      </c>
      <c r="H169" s="72">
        <v>0</v>
      </c>
      <c r="I169" s="73" t="str">
        <v>α端材</v>
      </c>
      <c r="J169" s="74">
        <v>0</v>
      </c>
      <c r="K169" s="53"/>
      <c r="L169" s="53"/>
      <c r="M169" s="53"/>
      <c r="N169" s="53"/>
    </row>
    <row r="170" spans="1:14" ht="13.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 thickBot="1">
      <c r="A172" s="12"/>
      <c r="B172" s="166" t="s">
        <v>0</v>
      </c>
      <c r="C172" s="117"/>
      <c r="D172" s="117"/>
      <c r="E172" s="12"/>
      <c r="F172" s="12"/>
      <c r="G172" s="12"/>
      <c r="H172" s="12"/>
      <c r="I172" s="12"/>
      <c r="J172" s="12"/>
    </row>
    <row r="173" spans="1:14" ht="14.25" customHeight="1" thickTop="1">
      <c r="A173" s="13"/>
      <c r="B173" s="117"/>
      <c r="C173" s="117"/>
      <c r="D173" s="117"/>
      <c r="E173" s="13"/>
      <c r="F173" s="13"/>
      <c r="G173" s="13"/>
      <c r="H173" s="13"/>
      <c r="I173" s="13"/>
      <c r="J173" s="13"/>
    </row>
    <row r="174" spans="1:14" ht="14.25" customHeight="1">
      <c r="A174" s="167" t="s">
        <v>1</v>
      </c>
      <c r="B174" s="167" t="s">
        <v>2</v>
      </c>
      <c r="C174" s="167" t="s">
        <v>3</v>
      </c>
      <c r="D174" s="168">
        <v>1996</v>
      </c>
      <c r="E174" s="167" t="s">
        <v>4</v>
      </c>
      <c r="F174" s="169" t="s">
        <v>5</v>
      </c>
      <c r="G174" s="117"/>
      <c r="H174" s="142"/>
      <c r="I174" s="14" t="s">
        <v>6</v>
      </c>
      <c r="J174" s="14" t="s">
        <v>7</v>
      </c>
    </row>
    <row r="175" spans="1:14" ht="14.25" customHeight="1">
      <c r="A175" s="117"/>
      <c r="B175" s="117"/>
      <c r="C175" s="117"/>
      <c r="D175" s="117"/>
      <c r="E175" s="117"/>
      <c r="F175" s="117"/>
      <c r="G175" s="117"/>
      <c r="H175" s="142"/>
      <c r="I175" s="148"/>
      <c r="J175" s="148"/>
    </row>
    <row r="176" spans="1:14" ht="17.45" customHeight="1">
      <c r="A176" s="150" t="s">
        <v>8</v>
      </c>
      <c r="B176" s="151" t="s">
        <v>93</v>
      </c>
      <c r="E176" s="150" t="s">
        <v>10</v>
      </c>
      <c r="F176" s="152" t="s">
        <v>11</v>
      </c>
      <c r="G176" s="117"/>
      <c r="H176" s="142"/>
      <c r="I176" s="149"/>
      <c r="J176" s="149"/>
    </row>
    <row r="177" spans="1:10" ht="17.45" customHeight="1">
      <c r="A177" s="117"/>
      <c r="B177" s="117"/>
      <c r="E177" s="117"/>
      <c r="F177" s="117"/>
      <c r="G177" s="117"/>
      <c r="H177" s="142"/>
      <c r="I177" s="15"/>
      <c r="J177" s="15"/>
    </row>
    <row r="178" spans="1:10" ht="17.45" customHeight="1">
      <c r="A178" s="150" t="s">
        <v>12</v>
      </c>
      <c r="B178" s="151" t="s">
        <v>88</v>
      </c>
      <c r="E178" s="2" t="s">
        <v>14</v>
      </c>
      <c r="F178" s="153" t="s">
        <v>15</v>
      </c>
      <c r="G178" s="117"/>
      <c r="H178" s="22"/>
    </row>
    <row r="179" spans="1:10" ht="17.45" customHeight="1">
      <c r="A179" s="117"/>
      <c r="B179" s="117"/>
      <c r="E179" s="2" t="s">
        <v>16</v>
      </c>
      <c r="F179" s="22" t="s">
        <v>17</v>
      </c>
      <c r="G179" s="22"/>
      <c r="H179" s="22"/>
    </row>
    <row r="180" spans="1:10" ht="17.45" customHeight="1">
      <c r="A180" s="2" t="s">
        <v>18</v>
      </c>
      <c r="B180" s="4">
        <v>45870</v>
      </c>
      <c r="E180" s="2" t="s">
        <v>19</v>
      </c>
      <c r="F180" s="129">
        <v>42</v>
      </c>
      <c r="G180" s="117"/>
      <c r="H180" s="22"/>
    </row>
    <row r="181" spans="1:10" ht="17.45" customHeight="1">
      <c r="A181" s="2" t="s">
        <v>20</v>
      </c>
      <c r="B181" s="4">
        <v>45870</v>
      </c>
      <c r="E181" s="2" t="s">
        <v>21</v>
      </c>
      <c r="F181" s="22">
        <v>20</v>
      </c>
      <c r="G181" s="130" t="s">
        <v>22</v>
      </c>
      <c r="H181" s="132">
        <v>840</v>
      </c>
      <c r="I181" s="133"/>
      <c r="J181" s="134"/>
    </row>
    <row r="182" spans="1:10" ht="17.45" customHeight="1">
      <c r="A182" s="20"/>
      <c r="B182" s="21"/>
      <c r="C182" s="21"/>
      <c r="D182" s="21"/>
      <c r="E182" s="2" t="s">
        <v>23</v>
      </c>
      <c r="F182" s="22" t="s">
        <v>24</v>
      </c>
      <c r="G182" s="131"/>
      <c r="H182" s="131"/>
      <c r="I182" s="135"/>
      <c r="J182" s="136"/>
    </row>
    <row r="183" spans="1:10" ht="13.5" customHeight="1">
      <c r="A183" s="137" t="s">
        <v>25</v>
      </c>
      <c r="B183" s="117"/>
      <c r="C183" s="117"/>
      <c r="D183" s="21"/>
      <c r="F183" s="3"/>
      <c r="G183" s="138" t="s">
        <v>26</v>
      </c>
      <c r="H183" s="140" t="s">
        <v>27</v>
      </c>
      <c r="I183" s="141" t="s">
        <v>28</v>
      </c>
      <c r="J183" s="142"/>
    </row>
    <row r="184" spans="1:10" ht="13.5" customHeight="1">
      <c r="A184" s="117"/>
      <c r="B184" s="117"/>
      <c r="C184" s="117"/>
      <c r="D184" s="21"/>
      <c r="F184" s="3"/>
      <c r="G184" s="139"/>
      <c r="H184" s="139"/>
      <c r="I184" s="135"/>
      <c r="J184" s="136"/>
    </row>
    <row r="185" spans="1:10" ht="13.5" customHeight="1">
      <c r="A185" s="1" t="s">
        <v>29</v>
      </c>
    </row>
    <row r="186" spans="1:10" ht="63" customHeight="1" thickBot="1">
      <c r="A186" s="143"/>
      <c r="B186" s="144"/>
      <c r="C186" s="144"/>
      <c r="D186" s="144"/>
      <c r="E186" s="144"/>
      <c r="F186" s="144"/>
      <c r="G186" s="144"/>
      <c r="H186" s="144"/>
      <c r="I186" s="144"/>
      <c r="J186" s="144"/>
    </row>
    <row r="187" spans="1:10" ht="18.75">
      <c r="A187" s="24" t="s">
        <v>30</v>
      </c>
      <c r="B187" s="17" t="s">
        <v>31</v>
      </c>
      <c r="C187" s="145" t="s">
        <v>32</v>
      </c>
      <c r="D187" s="146"/>
      <c r="E187" s="17" t="s">
        <v>33</v>
      </c>
      <c r="F187" s="145" t="s">
        <v>34</v>
      </c>
      <c r="G187" s="146"/>
      <c r="H187" s="146"/>
      <c r="I187" s="147" t="s">
        <v>35</v>
      </c>
      <c r="J187" s="146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3">
        <v>1</v>
      </c>
      <c r="B189" s="25" t="s">
        <v>36</v>
      </c>
      <c r="C189" s="116" t="s">
        <v>37</v>
      </c>
      <c r="D189" s="117"/>
      <c r="E189" s="25" t="s">
        <v>38</v>
      </c>
      <c r="F189" s="116" t="s">
        <v>39</v>
      </c>
      <c r="G189" s="117"/>
      <c r="H189" s="117"/>
      <c r="I189" s="126"/>
      <c r="J189" s="117"/>
    </row>
    <row r="190" spans="1:10" ht="16.5" customHeight="1">
      <c r="A190" s="23">
        <v>1</v>
      </c>
      <c r="B190" s="26" t="s">
        <v>36</v>
      </c>
      <c r="C190" s="116" t="s">
        <v>37</v>
      </c>
      <c r="D190" s="117"/>
      <c r="E190" s="25" t="s">
        <v>40</v>
      </c>
      <c r="F190" s="116" t="s">
        <v>41</v>
      </c>
      <c r="G190" s="117"/>
      <c r="H190" s="117"/>
      <c r="I190" s="126"/>
      <c r="J190" s="117"/>
    </row>
    <row r="191" spans="1:10" ht="16.5" customHeight="1">
      <c r="A191" s="23"/>
      <c r="B191" s="26"/>
      <c r="C191" s="116"/>
      <c r="D191" s="117"/>
      <c r="E191" s="25"/>
      <c r="F191" s="116"/>
      <c r="G191" s="117"/>
      <c r="H191" s="117"/>
      <c r="I191" s="126"/>
      <c r="J191" s="117"/>
    </row>
    <row r="192" spans="1:10" ht="16.5" customHeight="1">
      <c r="A192" s="23"/>
      <c r="B192" s="26"/>
      <c r="C192" s="116"/>
      <c r="D192" s="117"/>
      <c r="E192" s="25"/>
      <c r="F192" s="116"/>
      <c r="G192" s="117"/>
      <c r="H192" s="117"/>
      <c r="I192" s="126"/>
      <c r="J192" s="117"/>
    </row>
    <row r="193" spans="1:10" ht="16.5" customHeight="1">
      <c r="A193" s="23"/>
      <c r="B193" s="26"/>
      <c r="C193" s="116"/>
      <c r="D193" s="117"/>
      <c r="E193" s="25"/>
      <c r="F193" s="116"/>
      <c r="G193" s="117"/>
      <c r="H193" s="117"/>
      <c r="I193" s="126"/>
      <c r="J193" s="117"/>
    </row>
    <row r="194" spans="1:10" ht="16.5" customHeight="1">
      <c r="A194" s="23"/>
      <c r="B194" s="26"/>
      <c r="C194" s="116"/>
      <c r="D194" s="117"/>
      <c r="E194" s="25"/>
      <c r="F194" s="116"/>
      <c r="G194" s="117"/>
      <c r="H194" s="117"/>
      <c r="I194" s="126"/>
      <c r="J194" s="117"/>
    </row>
    <row r="195" spans="1:10" ht="16.5" customHeight="1" thickBo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8.75">
      <c r="A196" s="127" t="s">
        <v>42</v>
      </c>
      <c r="B196" s="128"/>
      <c r="C196" s="127" t="s">
        <v>43</v>
      </c>
      <c r="D196" s="128"/>
      <c r="E196" s="128"/>
      <c r="F196" s="18" t="s">
        <v>44</v>
      </c>
      <c r="G196" s="127" t="s">
        <v>45</v>
      </c>
      <c r="H196" s="128"/>
      <c r="I196" s="127" t="s">
        <v>46</v>
      </c>
      <c r="J196" s="128"/>
    </row>
    <row r="197" spans="1:10" ht="14.25" customHeight="1">
      <c r="A197" s="8"/>
      <c r="B197" s="19"/>
      <c r="C197" s="164" t="s">
        <v>47</v>
      </c>
      <c r="D197" s="135"/>
      <c r="E197" s="19"/>
      <c r="F197" s="164" t="s">
        <v>29</v>
      </c>
      <c r="G197" s="135"/>
      <c r="H197" s="135"/>
      <c r="I197" s="135"/>
      <c r="J197" s="135"/>
    </row>
    <row r="198" spans="1:10">
      <c r="A198" s="9"/>
      <c r="C198" s="7"/>
      <c r="D198" s="7"/>
      <c r="E198" s="7"/>
    </row>
    <row r="199" spans="1:10" ht="14.25" customHeight="1">
      <c r="A199" s="116" t="s">
        <v>48</v>
      </c>
      <c r="B199" s="117"/>
      <c r="C199" s="116" t="s">
        <v>49</v>
      </c>
      <c r="D199" s="117"/>
      <c r="E199" s="117"/>
      <c r="F199" s="27" t="s">
        <v>50</v>
      </c>
      <c r="G199" s="118">
        <v>840</v>
      </c>
      <c r="H199" s="117"/>
      <c r="I199" s="118">
        <v>20</v>
      </c>
      <c r="J199" s="117"/>
    </row>
    <row r="200" spans="1:10" ht="24.95" customHeight="1">
      <c r="A200" s="119" t="s">
        <v>51</v>
      </c>
      <c r="B200" s="117"/>
      <c r="C200" s="116" t="s">
        <v>11</v>
      </c>
      <c r="D200" s="117"/>
      <c r="E200" s="117"/>
      <c r="F200" s="116"/>
      <c r="G200" s="117"/>
      <c r="H200" s="117"/>
      <c r="I200" s="117"/>
      <c r="J200" s="117"/>
    </row>
    <row r="201" spans="1:10" ht="14.25" customHeight="1">
      <c r="A201" s="163" t="s">
        <v>59</v>
      </c>
      <c r="B201" s="117"/>
      <c r="C201" s="116" t="s">
        <v>53</v>
      </c>
      <c r="D201" s="117"/>
      <c r="E201" s="117"/>
      <c r="F201" s="27" t="s">
        <v>27</v>
      </c>
      <c r="G201" s="118">
        <v>20.16</v>
      </c>
      <c r="H201" s="117"/>
      <c r="I201" s="118">
        <v>0.48</v>
      </c>
      <c r="J201" s="117"/>
    </row>
    <row r="202" spans="1:10" ht="24.95" customHeight="1">
      <c r="A202" s="119" t="s">
        <v>54</v>
      </c>
      <c r="B202" s="117"/>
      <c r="C202" s="116"/>
      <c r="D202" s="117"/>
      <c r="E202" s="117"/>
      <c r="F202" s="116"/>
      <c r="G202" s="117"/>
      <c r="H202" s="117"/>
      <c r="I202" s="117"/>
      <c r="J202" s="117"/>
    </row>
    <row r="203" spans="1:10" ht="14.25" customHeight="1">
      <c r="A203" s="116" t="s">
        <v>55</v>
      </c>
      <c r="B203" s="117"/>
      <c r="C203" s="116" t="s">
        <v>56</v>
      </c>
      <c r="D203" s="117"/>
      <c r="E203" s="117"/>
      <c r="F203" s="27"/>
      <c r="G203" s="118">
        <v>0.84</v>
      </c>
      <c r="H203" s="117"/>
      <c r="I203" s="118">
        <v>0.02</v>
      </c>
      <c r="J203" s="117"/>
    </row>
    <row r="204" spans="1:10" ht="24.95" customHeight="1">
      <c r="A204" s="119" t="s">
        <v>57</v>
      </c>
      <c r="B204" s="117"/>
      <c r="C204" s="116" t="s">
        <v>58</v>
      </c>
      <c r="D204" s="117"/>
      <c r="E204" s="117"/>
      <c r="F204" s="116"/>
      <c r="G204" s="117"/>
      <c r="H204" s="117"/>
      <c r="I204" s="117"/>
      <c r="J204" s="117"/>
    </row>
    <row r="205" spans="1:10" ht="14.25" customHeight="1">
      <c r="A205" s="116"/>
      <c r="B205" s="117"/>
      <c r="C205" s="116"/>
      <c r="D205" s="117"/>
      <c r="E205" s="117"/>
      <c r="F205" s="27"/>
      <c r="G205" s="118"/>
      <c r="H205" s="117"/>
      <c r="I205" s="118"/>
      <c r="J205" s="117"/>
    </row>
    <row r="206" spans="1:10" ht="24.95" customHeight="1">
      <c r="A206" s="119"/>
      <c r="B206" s="117"/>
      <c r="C206" s="116"/>
      <c r="D206" s="117"/>
      <c r="E206" s="117"/>
      <c r="F206" s="116"/>
      <c r="G206" s="117"/>
      <c r="H206" s="117"/>
      <c r="I206" s="117"/>
      <c r="J206" s="117"/>
    </row>
    <row r="207" spans="1:10" ht="14.25" customHeight="1">
      <c r="A207" s="116"/>
      <c r="B207" s="117"/>
      <c r="C207" s="116"/>
      <c r="D207" s="117"/>
      <c r="E207" s="117"/>
      <c r="F207" s="27"/>
      <c r="G207" s="118"/>
      <c r="H207" s="117"/>
      <c r="I207" s="118"/>
      <c r="J207" s="117"/>
    </row>
    <row r="208" spans="1:10" ht="24.95" customHeight="1" thickBot="1">
      <c r="A208" s="119"/>
      <c r="B208" s="117"/>
      <c r="C208" s="116"/>
      <c r="D208" s="117"/>
      <c r="E208" s="117"/>
      <c r="F208" s="116"/>
      <c r="G208" s="117"/>
      <c r="H208" s="117"/>
      <c r="I208" s="117"/>
      <c r="J208" s="117"/>
    </row>
    <row r="209" spans="1:14" s="5" customFormat="1" ht="18" customHeight="1">
      <c r="A209" s="120" t="s">
        <v>60</v>
      </c>
      <c r="B209" s="121"/>
      <c r="C209" s="121"/>
      <c r="D209" s="121"/>
      <c r="E209" s="122" t="s">
        <v>61</v>
      </c>
      <c r="F209" s="123"/>
      <c r="G209" s="28" t="s">
        <v>62</v>
      </c>
      <c r="H209" s="124" t="s">
        <v>63</v>
      </c>
      <c r="I209" s="125"/>
      <c r="J209" s="29" t="s">
        <v>64</v>
      </c>
    </row>
    <row r="210" spans="1:14" s="7" customFormat="1" ht="18" customHeight="1">
      <c r="A210" s="92" t="str">
        <f>_xlfn.XLOOKUP(B174,[1]VFDB2!A:A,[1]VFDB2!A:A)</f>
        <v>J1JAPAB00419960</v>
      </c>
      <c r="B210" s="93"/>
      <c r="C210" s="93"/>
      <c r="D210" s="93"/>
      <c r="E210" s="96" t="str" cm="1">
        <f t="array" ref="E210">IFERROR(IF(ISBLANK(INDEX(_xlfn._xlws.FILTER([1]加工記録２!$C$3:$C$992, [1]加工記録２!$T$3:$T$992=B176), 6)), "", INDEX(_xlfn._xlws.FILTER([1]加工記録２!$C$3:$C$992, [1]加工記録２!$T$3:$T$992=B176), 6)),"")</f>
        <v>上-1</v>
      </c>
      <c r="F210" s="97"/>
      <c r="G210" s="98" cm="1">
        <f t="array" ref="G210">IFERROR(IF(ISBLANK(INDEX(_xlfn._xlws.FILTER([1]加工記録２!$C$3:$C$992, [1]加工記録２!$T$3:$T$992=B176), 7)), " ", INDEX(_xlfn._xlws.FILTER([1]加工記録２!$C$3:$C$992, [1]加工記録２!$T$3:$T$992=B176), 7))," ")</f>
        <v>7</v>
      </c>
      <c r="H210" s="77" t="s">
        <v>65</v>
      </c>
      <c r="I210" s="76" cm="1">
        <f t="array" ref="I210:J210">IFERROR(IF(ISBLANK(INDEX(_xlfn._xlws.FILTER([1]加工記録２!$O$3:$P$992, [1]加工記録２!$T$3:$T$992=B176), 1)), "", INDEX(_xlfn._xlws.FILTER([1]加工記録２!$O$3:$P$992, [1]加工記録２!$T$3:$T$992=B176), 1)),"")</f>
        <v>45868</v>
      </c>
      <c r="J210" s="78">
        <v>5</v>
      </c>
    </row>
    <row r="211" spans="1:14" s="5" customFormat="1" ht="18" customHeight="1">
      <c r="A211" s="94"/>
      <c r="B211" s="95"/>
      <c r="C211" s="95"/>
      <c r="D211" s="95"/>
      <c r="E211" s="96"/>
      <c r="F211" s="97"/>
      <c r="G211" s="98"/>
      <c r="H211" s="77" t="s">
        <v>66</v>
      </c>
      <c r="I211" s="75" cm="1">
        <f t="array" ref="I211:J211">IFERROR(IF(ISBLANK(INDEX(_xlfn._xlws.FILTER([1]加工記録２!$O$3:$P$992, [1]加工記録２!$T$3:$T$992=B176), 2)), "", INDEX(_xlfn._xlws.FILTER([1]加工記録２!$O$3:$P$992, [1]加工記録２!$T$3:$T$992=B176), 2)),"")</f>
        <v>294</v>
      </c>
      <c r="J211" s="79">
        <v>14</v>
      </c>
      <c r="K211" s="30"/>
    </row>
    <row r="212" spans="1:14" s="7" customFormat="1" ht="18" customHeight="1">
      <c r="A212" s="99" t="s">
        <v>67</v>
      </c>
      <c r="B212" s="101" t="str">
        <f>_xlfn.XLOOKUP(B174,[1]VFDB2!A:A,[1]VFDB2!J:J)</f>
        <v>〇</v>
      </c>
      <c r="C212" s="103" t="s">
        <v>68</v>
      </c>
      <c r="D212" s="105">
        <f>_xlfn.XLOOKUP(B174,[1]VFDB2!A:A,[1]VFDB2!P:P)</f>
        <v>1</v>
      </c>
      <c r="E212" s="96">
        <f>_xlfn.XLOOKUP(B174,[1]VFDB2!A:A,[1]VFDB2!V:V)</f>
        <v>0</v>
      </c>
      <c r="F212" s="97"/>
      <c r="G212" s="107"/>
      <c r="H212" s="80" t="s">
        <v>69</v>
      </c>
      <c r="I212" s="75" cm="1">
        <f t="array" ref="I212:J212">IFERROR(IF(ISBLANK(INDEX(_xlfn._xlws.FILTER([1]加工記録２!$O$3:$P$992, [1]加工記録２!$T$3:$T$992=B176), 3)), "", INDEX(_xlfn._xlws.FILTER([1]加工記録２!$O$3:$P$992, [1]加工記録２!$T$3:$T$992=B176), 3)),"")</f>
        <v>313</v>
      </c>
      <c r="J212" s="81" t="str">
        <v/>
      </c>
      <c r="K212" s="31"/>
    </row>
    <row r="213" spans="1:14" s="5" customFormat="1" ht="18" customHeight="1">
      <c r="A213" s="100"/>
      <c r="B213" s="102"/>
      <c r="C213" s="104"/>
      <c r="D213" s="106"/>
      <c r="E213" s="96"/>
      <c r="F213" s="97"/>
      <c r="G213" s="107"/>
      <c r="H213" s="80" t="s">
        <v>70</v>
      </c>
      <c r="I213" s="75" cm="1">
        <f t="array" ref="I213:J213">IFERROR(IF(ISBLANK(INDEX(_xlfn._xlws.FILTER([1]加工記録２!$O$3:$P$992, [1]加工記録２!$T$3:$T$992=B176), 4)), "", INDEX(_xlfn._xlws.FILTER([1]加工記録２!$O$3:$P$992, [1]加工記録２!$T$3:$T$992=B176), 4)),"")</f>
        <v>19</v>
      </c>
      <c r="J213" s="82" t="str">
        <v/>
      </c>
      <c r="K213" s="30"/>
    </row>
    <row r="214" spans="1:14" s="7" customFormat="1" ht="18" customHeight="1">
      <c r="A214" s="108" t="s">
        <v>71</v>
      </c>
      <c r="B214" s="110">
        <f>D174</f>
        <v>1996</v>
      </c>
      <c r="C214" s="112" t="s">
        <v>72</v>
      </c>
      <c r="D214" s="114" t="str">
        <f>_xlfn.XLOOKUP(B174,[1]VFDB2!A:A,[1]VFDB2!L:L)</f>
        <v>+2</v>
      </c>
      <c r="E214" s="96" t="str">
        <f>_xlfn.XLOOKUP(B174,[1]VFDB2!A:A,[1]VFDB2!W:W)</f>
        <v>クラフト紙：1996型</v>
      </c>
      <c r="F214" s="97"/>
      <c r="G214" s="107"/>
      <c r="H214" s="80" t="s">
        <v>73</v>
      </c>
      <c r="I214" s="75" cm="1">
        <f t="array" ref="I214:J214">IFERROR(IF(ISBLANK(INDEX(_xlfn._xlws.FILTER([1]加工記録２!$O$3:$P$992, [1]加工記録２!$T$3:$T$992=B176), 5)), "", INDEX(_xlfn._xlws.FILTER([1]加工記録２!$O$3:$P$992, [1]加工記録２!$T$3:$T$992=B176), 5)),"")</f>
        <v>19</v>
      </c>
      <c r="J214" s="83" t="str">
        <v/>
      </c>
      <c r="K214" s="31"/>
    </row>
    <row r="215" spans="1:14" s="5" customFormat="1" ht="18" customHeight="1">
      <c r="A215" s="109"/>
      <c r="B215" s="111"/>
      <c r="C215" s="113"/>
      <c r="D215" s="115"/>
      <c r="E215" s="96"/>
      <c r="F215" s="97"/>
      <c r="G215" s="107"/>
      <c r="H215" s="80" t="s">
        <v>74</v>
      </c>
      <c r="I215" s="75" cm="1">
        <f t="array" ref="I215:J215">IFERROR(IF(ISBLANK(INDEX(_xlfn._xlws.FILTER([1]加工記録２!$O$3:$P$992, [1]加工記録２!$T$3:$T$992=B176), 6)), "", INDEX(_xlfn._xlws.FILTER([1]加工記録２!$O$3:$P$992, [1]加工記録２!$T$3:$T$992=B176), 6)),"")</f>
        <v>0</v>
      </c>
      <c r="J215" s="84" t="str">
        <v/>
      </c>
      <c r="K215" s="30"/>
    </row>
    <row r="216" spans="1:14" s="7" customFormat="1" ht="18" customHeight="1">
      <c r="A216" s="99" t="s">
        <v>75</v>
      </c>
      <c r="B216" s="155" t="str">
        <f>_xlfn.XLOOKUP(B174,[1]VFDB2!A:A,[1]VFDB2!AC:AC)</f>
        <v>換算表確認</v>
      </c>
      <c r="C216" s="157" t="s">
        <v>76</v>
      </c>
      <c r="D216" s="114">
        <f>_xlfn.XLOOKUP(B174,[1]VFDB2!A:A,[1]VFDB2!K:K)</f>
        <v>0</v>
      </c>
      <c r="E216" s="96" t="str">
        <f>_xlfn.XLOOKUP(B174,[1]VFDB2!A:A,[1]VFDB2!R:R)</f>
        <v>ラベル１枚　長手無　鉢巻２回</v>
      </c>
      <c r="F216" s="97"/>
      <c r="G216" s="107"/>
      <c r="H216" s="80" t="s">
        <v>77</v>
      </c>
      <c r="I216" s="75" t="str" cm="1">
        <f t="array" ref="I216:J216">IFERROR(IF(ISBLANK(INDEX(_xlfn._xlws.FILTER([1]加工記録２!$O$3:$P$992, [1]加工記録２!$T$3:$T$992=B176), 7)), "", INDEX(_xlfn._xlws.FILTER([1]加工記録２!$O$3:$P$992, [1]加工記録２!$T$3:$T$992=B176), 7)),"")</f>
        <v>水野・富田</v>
      </c>
      <c r="J216" s="85" t="str">
        <v/>
      </c>
      <c r="K216" s="31"/>
    </row>
    <row r="217" spans="1:14" s="5" customFormat="1" ht="18" customHeight="1" thickBot="1">
      <c r="A217" s="154"/>
      <c r="B217" s="156"/>
      <c r="C217" s="158"/>
      <c r="D217" s="159"/>
      <c r="E217" s="160"/>
      <c r="F217" s="161"/>
      <c r="G217" s="162"/>
      <c r="H217" s="86" t="s">
        <v>78</v>
      </c>
      <c r="I217" s="32" t="str" cm="1">
        <f t="array" ref="I217:J217">IFERROR(IF(ISBLANK(INDEX(_xlfn._xlws.FILTER([1]加工記録２!$O$3:$P$992, [1]加工記録２!$T$3:$T$992=B176), 8)), "", INDEX(_xlfn._xlws.FILTER([1]加工記録２!$O$3:$P$992, [1]加工記録２!$T$3:$T$992=B176), 8)),"")</f>
        <v>上野・高森</v>
      </c>
      <c r="J217" s="87">
        <v>19</v>
      </c>
    </row>
    <row r="218" spans="1:14" s="43" customFormat="1" ht="18.95" customHeight="1">
      <c r="A218" s="33" t="s">
        <v>79</v>
      </c>
      <c r="B218" s="34" t="s">
        <v>90</v>
      </c>
      <c r="C218" s="35" t="s">
        <v>80</v>
      </c>
      <c r="D218" s="35" t="s">
        <v>81</v>
      </c>
      <c r="E218" s="36" t="s">
        <v>82</v>
      </c>
      <c r="F218" s="37" t="s">
        <v>83</v>
      </c>
      <c r="G218" s="38" t="s">
        <v>84</v>
      </c>
      <c r="H218" s="39" t="s">
        <v>85</v>
      </c>
      <c r="I218" s="40" t="s">
        <v>86</v>
      </c>
      <c r="J218" s="41" t="s">
        <v>87</v>
      </c>
      <c r="K218" s="42"/>
      <c r="L218" s="42"/>
      <c r="M218" s="42"/>
      <c r="N218" s="42"/>
    </row>
    <row r="219" spans="1:14" s="54" customFormat="1" ht="18.95" customHeight="1">
      <c r="A219" s="88" t="str" cm="1">
        <f t="array" ref="A219:J219">IFERROR(IF(ISBLANK(INDEX(_xlfn._xlws.FILTER([1]加工記録２!$D$3:$M$992, [1]加工記録２!$T$3:$T$992=B176), 1)), "", INDEX(_xlfn._xlws.FILTER([1]加工記録２!$D$3:$M$992, [1]加工記録２!$T$3:$T$992=B176), 1)),"")</f>
        <v/>
      </c>
      <c r="B219" s="45" t="str">
        <v/>
      </c>
      <c r="C219" s="46" t="str">
        <v/>
      </c>
      <c r="D219" s="46" t="str">
        <v/>
      </c>
      <c r="E219" s="47" t="str">
        <v/>
      </c>
      <c r="F219" s="48">
        <v>0</v>
      </c>
      <c r="G219" s="49">
        <v>0</v>
      </c>
      <c r="H219" s="50">
        <v>0</v>
      </c>
      <c r="I219" s="51">
        <v>45868</v>
      </c>
      <c r="J219" s="52">
        <v>7</v>
      </c>
      <c r="K219" s="53"/>
      <c r="L219" s="53"/>
      <c r="M219" s="53"/>
      <c r="N219" s="53"/>
    </row>
    <row r="220" spans="1:14" s="91" customFormat="1" ht="18.95" customHeight="1">
      <c r="A220" s="44" cm="1">
        <f t="array" ref="A220:J220">IFERROR(IF(ISBLANK(INDEX(_xlfn._xlws.FILTER([1]加工記録２!$D$3:$M$992, [1]加工記録２!$T$3:$T$992=B176), 2)), "", INDEX(_xlfn._xlws.FILTER([1]加工記録２!$D$3:$M$992, [1]加工記録２!$T$3:$T$992=B176), 2)),"")</f>
        <v>45868</v>
      </c>
      <c r="B220" s="55" t="str">
        <v>25G17-02</v>
      </c>
      <c r="C220" s="55">
        <v>30</v>
      </c>
      <c r="D220" s="55">
        <v>1998.3</v>
      </c>
      <c r="E220" s="89">
        <v>1998.3</v>
      </c>
      <c r="F220" s="57" t="str">
        <v>25G17-02</v>
      </c>
      <c r="G220" s="58">
        <v>268</v>
      </c>
      <c r="H220" s="59">
        <v>268</v>
      </c>
      <c r="I220" s="51" t="str">
        <v/>
      </c>
      <c r="J220" s="52" t="str">
        <v/>
      </c>
      <c r="K220" s="90"/>
      <c r="L220" s="90"/>
      <c r="M220" s="90"/>
      <c r="N220" s="90"/>
    </row>
    <row r="221" spans="1:14" s="91" customFormat="1" ht="18.95" customHeight="1">
      <c r="A221" s="44" cm="1">
        <f t="array" ref="A221:J221">IFERROR(IF(ISBLANK(INDEX(_xlfn._xlws.FILTER([1]加工記録２!$D$3:$M$992, [1]加工記録２!$T$3:$T$992=B176), 3)), "", INDEX(_xlfn._xlws.FILTER([1]加工記録２!$D$3:$M$992, [1]加工記録２!$T$3:$T$992=B176), 3)),"")</f>
        <v>45868</v>
      </c>
      <c r="B221" s="55" t="str">
        <v>25G18-03</v>
      </c>
      <c r="C221" s="55">
        <v>30</v>
      </c>
      <c r="D221" s="55">
        <v>1998.3</v>
      </c>
      <c r="E221" s="89">
        <v>1998.22</v>
      </c>
      <c r="F221" s="57" t="str">
        <v>25G18-03</v>
      </c>
      <c r="G221" s="58">
        <v>45</v>
      </c>
      <c r="H221" s="59">
        <v>45</v>
      </c>
      <c r="I221" s="51" t="str">
        <v/>
      </c>
      <c r="J221" s="52" t="str">
        <v/>
      </c>
      <c r="K221" s="90"/>
      <c r="L221" s="90"/>
      <c r="M221" s="90"/>
      <c r="N221" s="90"/>
    </row>
    <row r="222" spans="1:14" s="54" customFormat="1" ht="18.95" customHeight="1">
      <c r="A222" s="44" t="str" cm="1">
        <f t="array" ref="A222:J222">IFERROR(IF(ISBLANK(INDEX(_xlfn._xlws.FILTER([1]加工記録２!$D$3:$M$992, [1]加工記録２!$T$3:$T$992=B176), 4)), "", INDEX(_xlfn._xlws.FILTER([1]加工記録２!$D$3:$M$992, [1]加工記録２!$T$3:$T$992=B176), 4)),"")</f>
        <v/>
      </c>
      <c r="B222" s="55" t="str">
        <v/>
      </c>
      <c r="C222" s="55" t="str">
        <v/>
      </c>
      <c r="D222" s="55" t="str">
        <v/>
      </c>
      <c r="E222" s="56" t="str">
        <v/>
      </c>
      <c r="F222" s="57" t="str">
        <v/>
      </c>
      <c r="G222" s="58" t="str">
        <v/>
      </c>
      <c r="H222" s="59">
        <v>0</v>
      </c>
      <c r="I222" s="51" t="str">
        <v/>
      </c>
      <c r="J222" s="52" t="str">
        <v/>
      </c>
      <c r="K222" s="53"/>
      <c r="L222" s="53"/>
      <c r="M222" s="53"/>
      <c r="N222" s="53"/>
    </row>
    <row r="223" spans="1:14" s="54" customFormat="1" ht="18.95" customHeight="1">
      <c r="A223" s="44" t="str" cm="1">
        <f t="array" ref="A223:J223">IFERROR(IF(ISBLANK(INDEX(_xlfn._xlws.FILTER([1]加工記録２!$D$3:$M$992, [1]加工記録２!$T$3:$T$992=B176), 5)), "", INDEX(_xlfn._xlws.FILTER([1]加工記録２!$D$3:$M$992, [1]加工記録２!$T$3:$T$992=B176), 5)),"")</f>
        <v/>
      </c>
      <c r="B223" s="55" t="str">
        <v/>
      </c>
      <c r="C223" s="55" t="str">
        <v/>
      </c>
      <c r="D223" s="55" t="str">
        <v/>
      </c>
      <c r="E223" s="56" t="str">
        <v/>
      </c>
      <c r="F223" s="57" t="str">
        <v/>
      </c>
      <c r="G223" s="58" t="str">
        <v/>
      </c>
      <c r="H223" s="59">
        <v>0</v>
      </c>
      <c r="I223" s="60" t="str">
        <v/>
      </c>
      <c r="J223" s="61" t="str">
        <v/>
      </c>
      <c r="K223" s="53"/>
      <c r="L223" s="53"/>
      <c r="M223" s="53"/>
      <c r="N223" s="53"/>
    </row>
    <row r="224" spans="1:14" s="54" customFormat="1" ht="18.95" customHeight="1">
      <c r="A224" s="44" t="str" cm="1">
        <f t="array" ref="A224:J224">IFERROR(IF(ISBLANK(INDEX(_xlfn._xlws.FILTER([1]加工記録２!$D$3:$M$992, [1]加工記録２!$T$3:$T$992=B176), 6)), "", INDEX(_xlfn._xlws.FILTER([1]加工記録２!$D$3:$M$992, [1]加工記録２!$T$3:$T$992=B176), 6)),"")</f>
        <v/>
      </c>
      <c r="B224" s="55" t="str">
        <v/>
      </c>
      <c r="C224" s="55" t="str">
        <v/>
      </c>
      <c r="D224" s="55" t="str">
        <v/>
      </c>
      <c r="E224" s="56" t="str">
        <v/>
      </c>
      <c r="F224" s="57" t="str">
        <v/>
      </c>
      <c r="G224" s="58" t="str">
        <v/>
      </c>
      <c r="H224" s="62">
        <v>0</v>
      </c>
      <c r="I224" s="63" t="str">
        <v>旧品加工</v>
      </c>
      <c r="J224" s="64" t="str">
        <v/>
      </c>
      <c r="K224" s="53"/>
      <c r="L224" s="53"/>
      <c r="M224" s="53"/>
      <c r="N224" s="53"/>
    </row>
    <row r="225" spans="1:14" s="54" customFormat="1" ht="18.95" customHeight="1">
      <c r="A225" s="44" t="str" cm="1">
        <f t="array" ref="A225:J225">IFERROR(IF(ISBLANK(INDEX(_xlfn._xlws.FILTER([1]加工記録２!$D$3:$M$992, [1]加工記録２!$T$3:$T$992=B176), 7)), "", INDEX(_xlfn._xlws.FILTER([1]加工記録２!$D$3:$M$992, [1]加工記録２!$T$3:$T$992=B176), 7)),"")</f>
        <v/>
      </c>
      <c r="B225" s="55" t="str">
        <v/>
      </c>
      <c r="C225" s="55" t="str">
        <v/>
      </c>
      <c r="D225" s="55" t="str">
        <v/>
      </c>
      <c r="E225" s="56" t="str">
        <v/>
      </c>
      <c r="F225" s="57" t="str">
        <v/>
      </c>
      <c r="G225" s="58" t="str">
        <v/>
      </c>
      <c r="H225" s="62">
        <v>0</v>
      </c>
      <c r="I225" s="65" t="str">
        <v>持出端材</v>
      </c>
      <c r="J225" s="66" t="str">
        <v/>
      </c>
      <c r="K225" s="53"/>
      <c r="L225" s="53"/>
      <c r="M225" s="53"/>
      <c r="N225" s="53"/>
    </row>
    <row r="226" spans="1:14" s="54" customFormat="1" ht="18.95" customHeight="1" thickBot="1">
      <c r="A226" s="67" t="str" cm="1">
        <f t="array" ref="A226:J226">IFERROR(IF(ISBLANK(INDEX(_xlfn._xlws.FILTER([1]加工記録２!$D$3:$M$992, [1]加工記録２!$T$3:$T$992=B176), 8)), "", INDEX(_xlfn._xlws.FILTER([1]加工記録２!$D$3:$M$992, [1]加工記録２!$T$3:$T$992=B176), 8)),"")</f>
        <v/>
      </c>
      <c r="B226" s="68" t="str">
        <v/>
      </c>
      <c r="C226" s="68" t="str">
        <v/>
      </c>
      <c r="D226" s="68" t="str">
        <v/>
      </c>
      <c r="E226" s="69" t="str">
        <v/>
      </c>
      <c r="F226" s="70" t="str">
        <v/>
      </c>
      <c r="G226" s="71" t="str">
        <v/>
      </c>
      <c r="H226" s="72">
        <v>0</v>
      </c>
      <c r="I226" s="73" t="str">
        <v>α端材</v>
      </c>
      <c r="J226" s="74">
        <v>0</v>
      </c>
      <c r="K226" s="53"/>
      <c r="L226" s="53"/>
      <c r="M226" s="53"/>
      <c r="N226" s="53"/>
    </row>
    <row r="227" spans="1:14" ht="13.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 thickBot="1">
      <c r="A229" s="12"/>
      <c r="B229" s="166" t="s">
        <v>0</v>
      </c>
      <c r="C229" s="117"/>
      <c r="D229" s="117"/>
      <c r="E229" s="12"/>
      <c r="F229" s="12"/>
      <c r="G229" s="12"/>
      <c r="H229" s="12"/>
      <c r="I229" s="12"/>
      <c r="J229" s="12"/>
    </row>
    <row r="230" spans="1:14" ht="14.25" customHeight="1" thickTop="1">
      <c r="A230" s="13"/>
      <c r="B230" s="117"/>
      <c r="C230" s="117"/>
      <c r="D230" s="117"/>
      <c r="E230" s="13"/>
      <c r="F230" s="13"/>
      <c r="G230" s="13"/>
      <c r="H230" s="13"/>
      <c r="I230" s="13"/>
      <c r="J230" s="13"/>
    </row>
    <row r="231" spans="1:14" ht="14.25" customHeight="1">
      <c r="A231" s="167" t="s">
        <v>1</v>
      </c>
      <c r="B231" s="167" t="s">
        <v>2</v>
      </c>
      <c r="C231" s="167" t="s">
        <v>3</v>
      </c>
      <c r="D231" s="168">
        <v>1996</v>
      </c>
      <c r="E231" s="167" t="s">
        <v>4</v>
      </c>
      <c r="F231" s="169" t="s">
        <v>5</v>
      </c>
      <c r="G231" s="117"/>
      <c r="H231" s="142"/>
      <c r="I231" s="14" t="s">
        <v>6</v>
      </c>
      <c r="J231" s="14" t="s">
        <v>7</v>
      </c>
    </row>
    <row r="232" spans="1:14" ht="14.25" customHeight="1">
      <c r="A232" s="117"/>
      <c r="B232" s="117"/>
      <c r="C232" s="117"/>
      <c r="D232" s="117"/>
      <c r="E232" s="117"/>
      <c r="F232" s="117"/>
      <c r="G232" s="117"/>
      <c r="H232" s="142"/>
      <c r="I232" s="148"/>
      <c r="J232" s="148"/>
    </row>
    <row r="233" spans="1:14" ht="17.45" customHeight="1">
      <c r="A233" s="150" t="s">
        <v>8</v>
      </c>
      <c r="B233" s="151" t="s">
        <v>92</v>
      </c>
      <c r="E233" s="150" t="s">
        <v>10</v>
      </c>
      <c r="F233" s="152" t="s">
        <v>11</v>
      </c>
      <c r="G233" s="117"/>
      <c r="H233" s="142"/>
      <c r="I233" s="149"/>
      <c r="J233" s="149"/>
    </row>
    <row r="234" spans="1:14" ht="17.45" customHeight="1">
      <c r="A234" s="117"/>
      <c r="B234" s="117"/>
      <c r="E234" s="117"/>
      <c r="F234" s="117"/>
      <c r="G234" s="117"/>
      <c r="H234" s="142"/>
      <c r="I234" s="15"/>
      <c r="J234" s="15"/>
    </row>
    <row r="235" spans="1:14" ht="17.45" customHeight="1">
      <c r="A235" s="150" t="s">
        <v>12</v>
      </c>
      <c r="B235" s="151" t="s">
        <v>88</v>
      </c>
      <c r="E235" s="2" t="s">
        <v>14</v>
      </c>
      <c r="F235" s="153" t="s">
        <v>15</v>
      </c>
      <c r="G235" s="117"/>
      <c r="H235" s="22"/>
    </row>
    <row r="236" spans="1:14" ht="17.45" customHeight="1">
      <c r="A236" s="117"/>
      <c r="B236" s="117"/>
      <c r="E236" s="2" t="s">
        <v>16</v>
      </c>
      <c r="F236" s="22" t="s">
        <v>17</v>
      </c>
      <c r="G236" s="22"/>
      <c r="H236" s="22"/>
    </row>
    <row r="237" spans="1:14" ht="17.45" customHeight="1">
      <c r="A237" s="2" t="s">
        <v>18</v>
      </c>
      <c r="B237" s="4">
        <v>45870</v>
      </c>
      <c r="E237" s="2" t="s">
        <v>19</v>
      </c>
      <c r="F237" s="129">
        <v>42</v>
      </c>
      <c r="G237" s="117"/>
      <c r="H237" s="22"/>
    </row>
    <row r="238" spans="1:14" ht="17.45" customHeight="1">
      <c r="A238" s="2" t="s">
        <v>20</v>
      </c>
      <c r="B238" s="4">
        <v>45870</v>
      </c>
      <c r="E238" s="2" t="s">
        <v>21</v>
      </c>
      <c r="F238" s="22">
        <v>20</v>
      </c>
      <c r="G238" s="130" t="s">
        <v>22</v>
      </c>
      <c r="H238" s="132">
        <v>840</v>
      </c>
      <c r="I238" s="133"/>
      <c r="J238" s="134"/>
    </row>
    <row r="239" spans="1:14" ht="17.45" customHeight="1">
      <c r="A239" s="20"/>
      <c r="B239" s="21"/>
      <c r="C239" s="21"/>
      <c r="D239" s="21"/>
      <c r="E239" s="2" t="s">
        <v>23</v>
      </c>
      <c r="F239" s="22" t="s">
        <v>24</v>
      </c>
      <c r="G239" s="131"/>
      <c r="H239" s="131"/>
      <c r="I239" s="135"/>
      <c r="J239" s="136"/>
    </row>
    <row r="240" spans="1:14" ht="13.5" customHeight="1">
      <c r="A240" s="137" t="s">
        <v>25</v>
      </c>
      <c r="B240" s="117"/>
      <c r="C240" s="117"/>
      <c r="D240" s="21"/>
      <c r="F240" s="3"/>
      <c r="G240" s="138" t="s">
        <v>26</v>
      </c>
      <c r="H240" s="140" t="s">
        <v>27</v>
      </c>
      <c r="I240" s="141" t="s">
        <v>28</v>
      </c>
      <c r="J240" s="142"/>
    </row>
    <row r="241" spans="1:10" ht="13.5" customHeight="1">
      <c r="A241" s="117"/>
      <c r="B241" s="117"/>
      <c r="C241" s="117"/>
      <c r="D241" s="21"/>
      <c r="F241" s="3"/>
      <c r="G241" s="139"/>
      <c r="H241" s="139"/>
      <c r="I241" s="135"/>
      <c r="J241" s="136"/>
    </row>
    <row r="242" spans="1:10" ht="13.5" customHeight="1">
      <c r="A242" s="1" t="s">
        <v>29</v>
      </c>
    </row>
    <row r="243" spans="1:10" ht="63" customHeight="1" thickBot="1">
      <c r="A243" s="143"/>
      <c r="B243" s="144"/>
      <c r="C243" s="144"/>
      <c r="D243" s="144"/>
      <c r="E243" s="144"/>
      <c r="F243" s="144"/>
      <c r="G243" s="144"/>
      <c r="H243" s="144"/>
      <c r="I243" s="144"/>
      <c r="J243" s="144"/>
    </row>
    <row r="244" spans="1:10" ht="18.75">
      <c r="A244" s="24" t="s">
        <v>30</v>
      </c>
      <c r="B244" s="17" t="s">
        <v>31</v>
      </c>
      <c r="C244" s="145" t="s">
        <v>32</v>
      </c>
      <c r="D244" s="146"/>
      <c r="E244" s="17" t="s">
        <v>33</v>
      </c>
      <c r="F244" s="145" t="s">
        <v>34</v>
      </c>
      <c r="G244" s="146"/>
      <c r="H244" s="146"/>
      <c r="I244" s="147" t="s">
        <v>35</v>
      </c>
      <c r="J244" s="146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3">
        <v>1</v>
      </c>
      <c r="B246" s="25" t="s">
        <v>36</v>
      </c>
      <c r="C246" s="116" t="s">
        <v>37</v>
      </c>
      <c r="D246" s="117"/>
      <c r="E246" s="25" t="s">
        <v>38</v>
      </c>
      <c r="F246" s="116" t="s">
        <v>39</v>
      </c>
      <c r="G246" s="117"/>
      <c r="H246" s="117"/>
      <c r="I246" s="126"/>
      <c r="J246" s="117"/>
    </row>
    <row r="247" spans="1:10" ht="16.5" customHeight="1">
      <c r="A247" s="23">
        <v>1</v>
      </c>
      <c r="B247" s="26" t="s">
        <v>36</v>
      </c>
      <c r="C247" s="116" t="s">
        <v>37</v>
      </c>
      <c r="D247" s="117"/>
      <c r="E247" s="25" t="s">
        <v>40</v>
      </c>
      <c r="F247" s="116" t="s">
        <v>41</v>
      </c>
      <c r="G247" s="117"/>
      <c r="H247" s="117"/>
      <c r="I247" s="126"/>
      <c r="J247" s="117"/>
    </row>
    <row r="248" spans="1:10" ht="16.5" customHeight="1">
      <c r="A248" s="23"/>
      <c r="B248" s="26"/>
      <c r="C248" s="116"/>
      <c r="D248" s="117"/>
      <c r="E248" s="25"/>
      <c r="F248" s="116"/>
      <c r="G248" s="117"/>
      <c r="H248" s="117"/>
      <c r="I248" s="126"/>
      <c r="J248" s="117"/>
    </row>
    <row r="249" spans="1:10" ht="16.5" customHeight="1">
      <c r="A249" s="23"/>
      <c r="B249" s="26"/>
      <c r="C249" s="116"/>
      <c r="D249" s="117"/>
      <c r="E249" s="25"/>
      <c r="F249" s="116"/>
      <c r="G249" s="117"/>
      <c r="H249" s="117"/>
      <c r="I249" s="126"/>
      <c r="J249" s="117"/>
    </row>
    <row r="250" spans="1:10" ht="16.5" customHeight="1">
      <c r="A250" s="23"/>
      <c r="B250" s="26"/>
      <c r="C250" s="116"/>
      <c r="D250" s="117"/>
      <c r="E250" s="25"/>
      <c r="F250" s="116"/>
      <c r="G250" s="117"/>
      <c r="H250" s="117"/>
      <c r="I250" s="126"/>
      <c r="J250" s="117"/>
    </row>
    <row r="251" spans="1:10" ht="16.5" customHeight="1">
      <c r="A251" s="23"/>
      <c r="B251" s="26"/>
      <c r="C251" s="116"/>
      <c r="D251" s="117"/>
      <c r="E251" s="25"/>
      <c r="F251" s="116"/>
      <c r="G251" s="117"/>
      <c r="H251" s="117"/>
      <c r="I251" s="126"/>
      <c r="J251" s="117"/>
    </row>
    <row r="252" spans="1:10" ht="16.5" customHeight="1" thickBo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ht="18.75">
      <c r="A253" s="127" t="s">
        <v>42</v>
      </c>
      <c r="B253" s="128"/>
      <c r="C253" s="127" t="s">
        <v>43</v>
      </c>
      <c r="D253" s="128"/>
      <c r="E253" s="128"/>
      <c r="F253" s="18" t="s">
        <v>44</v>
      </c>
      <c r="G253" s="127" t="s">
        <v>45</v>
      </c>
      <c r="H253" s="128"/>
      <c r="I253" s="127" t="s">
        <v>46</v>
      </c>
      <c r="J253" s="128"/>
    </row>
    <row r="254" spans="1:10" ht="14.25" customHeight="1">
      <c r="A254" s="8"/>
      <c r="B254" s="19"/>
      <c r="C254" s="164" t="s">
        <v>47</v>
      </c>
      <c r="D254" s="135"/>
      <c r="E254" s="19"/>
      <c r="F254" s="164" t="s">
        <v>29</v>
      </c>
      <c r="G254" s="135"/>
      <c r="H254" s="135"/>
      <c r="I254" s="135"/>
      <c r="J254" s="135"/>
    </row>
    <row r="255" spans="1:10">
      <c r="A255" s="9"/>
      <c r="C255" s="7"/>
      <c r="D255" s="7"/>
      <c r="E255" s="7"/>
    </row>
    <row r="256" spans="1:10" ht="14.25" customHeight="1">
      <c r="A256" s="116" t="s">
        <v>48</v>
      </c>
      <c r="B256" s="117"/>
      <c r="C256" s="116" t="s">
        <v>49</v>
      </c>
      <c r="D256" s="117"/>
      <c r="E256" s="117"/>
      <c r="F256" s="27" t="s">
        <v>50</v>
      </c>
      <c r="G256" s="118">
        <v>840</v>
      </c>
      <c r="H256" s="117"/>
      <c r="I256" s="118">
        <v>20</v>
      </c>
      <c r="J256" s="117"/>
    </row>
    <row r="257" spans="1:11" ht="24.95" customHeight="1">
      <c r="A257" s="119" t="s">
        <v>51</v>
      </c>
      <c r="B257" s="117"/>
      <c r="C257" s="116" t="s">
        <v>11</v>
      </c>
      <c r="D257" s="117"/>
      <c r="E257" s="117"/>
      <c r="F257" s="116"/>
      <c r="G257" s="117"/>
      <c r="H257" s="117"/>
      <c r="I257" s="117"/>
      <c r="J257" s="117"/>
    </row>
    <row r="258" spans="1:11" ht="14.25" customHeight="1">
      <c r="A258" s="163" t="s">
        <v>59</v>
      </c>
      <c r="B258" s="117"/>
      <c r="C258" s="116" t="s">
        <v>53</v>
      </c>
      <c r="D258" s="117"/>
      <c r="E258" s="117"/>
      <c r="F258" s="27" t="s">
        <v>27</v>
      </c>
      <c r="G258" s="118">
        <v>20.16</v>
      </c>
      <c r="H258" s="117"/>
      <c r="I258" s="118">
        <v>0.48</v>
      </c>
      <c r="J258" s="117"/>
    </row>
    <row r="259" spans="1:11" ht="24.95" customHeight="1">
      <c r="A259" s="119" t="s">
        <v>54</v>
      </c>
      <c r="B259" s="117"/>
      <c r="C259" s="116"/>
      <c r="D259" s="117"/>
      <c r="E259" s="117"/>
      <c r="F259" s="116"/>
      <c r="G259" s="117"/>
      <c r="H259" s="117"/>
      <c r="I259" s="117"/>
      <c r="J259" s="117"/>
    </row>
    <row r="260" spans="1:11" ht="14.25" customHeight="1">
      <c r="A260" s="116" t="s">
        <v>55</v>
      </c>
      <c r="B260" s="117"/>
      <c r="C260" s="116" t="s">
        <v>56</v>
      </c>
      <c r="D260" s="117"/>
      <c r="E260" s="117"/>
      <c r="F260" s="27"/>
      <c r="G260" s="118">
        <v>0.84</v>
      </c>
      <c r="H260" s="117"/>
      <c r="I260" s="118">
        <v>0.02</v>
      </c>
      <c r="J260" s="117"/>
    </row>
    <row r="261" spans="1:11" ht="24.95" customHeight="1">
      <c r="A261" s="119" t="s">
        <v>57</v>
      </c>
      <c r="B261" s="117"/>
      <c r="C261" s="116" t="s">
        <v>58</v>
      </c>
      <c r="D261" s="117"/>
      <c r="E261" s="117"/>
      <c r="F261" s="116"/>
      <c r="G261" s="117"/>
      <c r="H261" s="117"/>
      <c r="I261" s="117"/>
      <c r="J261" s="117"/>
    </row>
    <row r="262" spans="1:11" ht="14.25" customHeight="1">
      <c r="A262" s="116"/>
      <c r="B262" s="117"/>
      <c r="C262" s="116"/>
      <c r="D262" s="117"/>
      <c r="E262" s="117"/>
      <c r="F262" s="27"/>
      <c r="G262" s="118"/>
      <c r="H262" s="117"/>
      <c r="I262" s="118"/>
      <c r="J262" s="117"/>
    </row>
    <row r="263" spans="1:11" ht="24.95" customHeight="1">
      <c r="A263" s="119"/>
      <c r="B263" s="117"/>
      <c r="C263" s="116"/>
      <c r="D263" s="117"/>
      <c r="E263" s="117"/>
      <c r="F263" s="116"/>
      <c r="G263" s="117"/>
      <c r="H263" s="117"/>
      <c r="I263" s="117"/>
      <c r="J263" s="117"/>
    </row>
    <row r="264" spans="1:11" ht="14.25" customHeight="1">
      <c r="A264" s="116"/>
      <c r="B264" s="117"/>
      <c r="C264" s="116"/>
      <c r="D264" s="117"/>
      <c r="E264" s="117"/>
      <c r="F264" s="27"/>
      <c r="G264" s="118"/>
      <c r="H264" s="117"/>
      <c r="I264" s="118"/>
      <c r="J264" s="117"/>
    </row>
    <row r="265" spans="1:11" ht="24.95" customHeight="1" thickBot="1">
      <c r="A265" s="119"/>
      <c r="B265" s="117"/>
      <c r="C265" s="116"/>
      <c r="D265" s="117"/>
      <c r="E265" s="117"/>
      <c r="F265" s="116"/>
      <c r="G265" s="117"/>
      <c r="H265" s="117"/>
      <c r="I265" s="117"/>
      <c r="J265" s="117"/>
    </row>
    <row r="266" spans="1:11" s="5" customFormat="1" ht="18" customHeight="1">
      <c r="A266" s="120" t="s">
        <v>60</v>
      </c>
      <c r="B266" s="121"/>
      <c r="C266" s="121"/>
      <c r="D266" s="121"/>
      <c r="E266" s="122" t="s">
        <v>61</v>
      </c>
      <c r="F266" s="123"/>
      <c r="G266" s="28" t="s">
        <v>62</v>
      </c>
      <c r="H266" s="124" t="s">
        <v>63</v>
      </c>
      <c r="I266" s="125"/>
      <c r="J266" s="29" t="s">
        <v>64</v>
      </c>
    </row>
    <row r="267" spans="1:11" s="7" customFormat="1" ht="18" customHeight="1">
      <c r="A267" s="92" t="str">
        <f>_xlfn.XLOOKUP(B231,[2]VFDB2!A:A,[2]VFDB2!A:A)</f>
        <v>J1JAPAB00419960</v>
      </c>
      <c r="B267" s="93"/>
      <c r="C267" s="93"/>
      <c r="D267" s="93"/>
      <c r="E267" s="96" t="str" cm="1">
        <f t="array" ref="E267">IFERROR(IF(ISBLANK(INDEX(_xlfn._xlws.FILTER([2]加工記録２!$C$3:$C$590, [2]加工記録２!$T$3:$T$590=B233), 6)), "", INDEX(_xlfn._xlws.FILTER([2]加工記録２!$C$3:$C$590, [2]加工記録２!$T$3:$T$590=B233), 6)),"")</f>
        <v>上-1</v>
      </c>
      <c r="F267" s="97"/>
      <c r="G267" s="98" cm="1">
        <f t="array" ref="G267">IFERROR(IF(ISBLANK(INDEX(_xlfn._xlws.FILTER([2]加工記録２!$C$3:$C$590, [2]加工記録２!$T$3:$T$590=B233), 7)), " ", INDEX(_xlfn._xlws.FILTER([2]加工記録２!$C$3:$C$590, [2]加工記録２!$T$3:$T$590=B233), 7))," ")</f>
        <v>5</v>
      </c>
      <c r="H267" s="77" t="s">
        <v>65</v>
      </c>
      <c r="I267" s="76" cm="1">
        <f t="array" ref="I267:J267">IFERROR(IF(ISBLANK(INDEX(_xlfn._xlws.FILTER([2]加工記録２!$O$3:$P$590, [2]加工記録２!$T$3:$T$590=B233), 1)), "", INDEX(_xlfn._xlws.FILTER([2]加工記録２!$O$3:$P$590, [2]加工記録２!$T$3:$T$590=B233), 1)),"")</f>
        <v>45869</v>
      </c>
      <c r="J267" s="78" t="str">
        <v/>
      </c>
    </row>
    <row r="268" spans="1:11" s="5" customFormat="1" ht="18" customHeight="1">
      <c r="A268" s="94"/>
      <c r="B268" s="95"/>
      <c r="C268" s="95"/>
      <c r="D268" s="95"/>
      <c r="E268" s="96"/>
      <c r="F268" s="97"/>
      <c r="G268" s="98"/>
      <c r="H268" s="77" t="s">
        <v>66</v>
      </c>
      <c r="I268" s="75" cm="1">
        <f t="array" ref="I268:J268">IFERROR(IF(ISBLANK(INDEX(_xlfn._xlws.FILTER([2]加工記録２!$O$3:$P$590, [2]加工記録２!$T$3:$T$590=B233), 2)), "", INDEX(_xlfn._xlws.FILTER([2]加工記録２!$O$3:$P$590, [2]加工記録２!$T$3:$T$590=B233), 2)),"")</f>
        <v>210</v>
      </c>
      <c r="J268" s="79">
        <v>11</v>
      </c>
      <c r="K268" s="30"/>
    </row>
    <row r="269" spans="1:11" s="7" customFormat="1" ht="18" customHeight="1">
      <c r="A269" s="99" t="s">
        <v>67</v>
      </c>
      <c r="B269" s="101" t="str">
        <f>_xlfn.XLOOKUP(B231,[2]VFDB2!A:A,[2]VFDB2!J:J)</f>
        <v>〇</v>
      </c>
      <c r="C269" s="103" t="s">
        <v>68</v>
      </c>
      <c r="D269" s="105">
        <f>_xlfn.XLOOKUP(B231,[2]VFDB2!A:A,[2]VFDB2!P:P)</f>
        <v>1</v>
      </c>
      <c r="E269" s="96">
        <f>_xlfn.XLOOKUP(B231,[2]VFDB2!A:A,[2]VFDB2!V:V)</f>
        <v>0</v>
      </c>
      <c r="F269" s="97"/>
      <c r="G269" s="107"/>
      <c r="H269" s="80" t="s">
        <v>69</v>
      </c>
      <c r="I269" s="75" cm="1">
        <f t="array" ref="I269:J269">IFERROR(IF(ISBLANK(INDEX(_xlfn._xlws.FILTER([2]加工記録２!$O$3:$P$590, [2]加工記録２!$T$3:$T$590=B233), 3)), "", INDEX(_xlfn._xlws.FILTER([2]加工記録２!$O$3:$P$590, [2]加工記録２!$T$3:$T$590=B233), 3)),"")</f>
        <v>233</v>
      </c>
      <c r="J269" s="81">
        <v>12</v>
      </c>
      <c r="K269" s="31"/>
    </row>
    <row r="270" spans="1:11" s="5" customFormat="1" ht="18" customHeight="1">
      <c r="A270" s="100"/>
      <c r="B270" s="102"/>
      <c r="C270" s="104"/>
      <c r="D270" s="106"/>
      <c r="E270" s="96"/>
      <c r="F270" s="97"/>
      <c r="G270" s="107"/>
      <c r="H270" s="80" t="s">
        <v>70</v>
      </c>
      <c r="I270" s="75" cm="1">
        <f t="array" ref="I270:J270">IFERROR(IF(ISBLANK(INDEX(_xlfn._xlws.FILTER([2]加工記録２!$O$3:$P$590, [2]加工記録２!$T$3:$T$590=B233), 4)), "", INDEX(_xlfn._xlws.FILTER([2]加工記録２!$O$3:$P$590, [2]加工記録２!$T$3:$T$590=B233), 4)),"")</f>
        <v>23</v>
      </c>
      <c r="J270" s="82" t="str">
        <v/>
      </c>
      <c r="K270" s="30"/>
    </row>
    <row r="271" spans="1:11" s="7" customFormat="1" ht="18" customHeight="1">
      <c r="A271" s="108" t="s">
        <v>71</v>
      </c>
      <c r="B271" s="110">
        <f>D231</f>
        <v>1996</v>
      </c>
      <c r="C271" s="112" t="s">
        <v>72</v>
      </c>
      <c r="D271" s="114" t="str">
        <f>_xlfn.XLOOKUP(B231,[2]VFDB2!A:A,[2]VFDB2!L:L)</f>
        <v>+2</v>
      </c>
      <c r="E271" s="96" t="str">
        <f>_xlfn.XLOOKUP(B231,[2]VFDB2!A:A,[2]VFDB2!W:W)</f>
        <v>クラフト紙：1996型</v>
      </c>
      <c r="F271" s="97"/>
      <c r="G271" s="107"/>
      <c r="H271" s="80" t="s">
        <v>73</v>
      </c>
      <c r="I271" s="75" cm="1">
        <f t="array" ref="I271:J271">IFERROR(IF(ISBLANK(INDEX(_xlfn._xlws.FILTER([2]加工記録２!$O$3:$P$590, [2]加工記録２!$T$3:$T$590=B233), 5)), "", INDEX(_xlfn._xlws.FILTER([2]加工記録２!$O$3:$P$590, [2]加工記録２!$T$3:$T$590=B233), 5)),"")</f>
        <v>23</v>
      </c>
      <c r="J271" s="83" t="str">
        <v/>
      </c>
      <c r="K271" s="31"/>
    </row>
    <row r="272" spans="1:11" s="5" customFormat="1" ht="18" customHeight="1">
      <c r="A272" s="109"/>
      <c r="B272" s="111"/>
      <c r="C272" s="113"/>
      <c r="D272" s="115"/>
      <c r="E272" s="96"/>
      <c r="F272" s="97"/>
      <c r="G272" s="107"/>
      <c r="H272" s="80" t="s">
        <v>74</v>
      </c>
      <c r="I272" s="75" cm="1">
        <f t="array" ref="I272:J272">IFERROR(IF(ISBLANK(INDEX(_xlfn._xlws.FILTER([2]加工記録２!$O$3:$P$590, [2]加工記録２!$T$3:$T$590=B233), 6)), "", INDEX(_xlfn._xlws.FILTER([2]加工記録２!$O$3:$P$590, [2]加工記録２!$T$3:$T$590=B233), 6)),"")</f>
        <v>0</v>
      </c>
      <c r="J272" s="84" t="str">
        <v/>
      </c>
      <c r="K272" s="30"/>
    </row>
    <row r="273" spans="1:14" s="7" customFormat="1" ht="18" customHeight="1">
      <c r="A273" s="99" t="s">
        <v>75</v>
      </c>
      <c r="B273" s="155" t="str">
        <f>_xlfn.XLOOKUP(B231,[2]VFDB2!A:A,[2]VFDB2!AC:AC)</f>
        <v>換算表確認</v>
      </c>
      <c r="C273" s="157" t="s">
        <v>76</v>
      </c>
      <c r="D273" s="114">
        <f>_xlfn.XLOOKUP(B231,[2]VFDB2!A:A,[2]VFDB2!K:K)</f>
        <v>0</v>
      </c>
      <c r="E273" s="96" t="str">
        <f>_xlfn.XLOOKUP(B231,[2]VFDB2!A:A,[2]VFDB2!R:R)</f>
        <v>ラベル１枚　長手無　鉢巻２回</v>
      </c>
      <c r="F273" s="97"/>
      <c r="G273" s="107"/>
      <c r="H273" s="80" t="s">
        <v>77</v>
      </c>
      <c r="I273" s="75" t="str" cm="1">
        <f t="array" ref="I273:J273">IFERROR(IF(ISBLANK(INDEX(_xlfn._xlws.FILTER([2]加工記録２!$O$3:$P$590, [2]加工記録２!$T$3:$T$590=B233), 7)), "", INDEX(_xlfn._xlws.FILTER([2]加工記録２!$O$3:$P$590, [2]加工記録２!$T$3:$T$590=B233), 7)),"")</f>
        <v>富田・水野</v>
      </c>
      <c r="J273" s="85" t="str">
        <v/>
      </c>
      <c r="K273" s="31"/>
    </row>
    <row r="274" spans="1:14" s="5" customFormat="1" ht="18" customHeight="1" thickBot="1">
      <c r="A274" s="154"/>
      <c r="B274" s="156"/>
      <c r="C274" s="158"/>
      <c r="D274" s="159"/>
      <c r="E274" s="160"/>
      <c r="F274" s="161"/>
      <c r="G274" s="162"/>
      <c r="H274" s="86" t="s">
        <v>78</v>
      </c>
      <c r="I274" s="32" t="str" cm="1">
        <f t="array" ref="I274:J274">IFERROR(IF(ISBLANK(INDEX(_xlfn._xlws.FILTER([2]加工記録２!$O$3:$P$590, [2]加工記録２!$T$3:$T$590=B233), 8)), "", INDEX(_xlfn._xlws.FILTER([2]加工記録２!$O$3:$P$590, [2]加工記録２!$T$3:$T$590=B233), 8)),"")</f>
        <v>上野・高森</v>
      </c>
      <c r="J274" s="87">
        <v>23</v>
      </c>
    </row>
    <row r="275" spans="1:14" s="43" customFormat="1" ht="18.95" customHeight="1">
      <c r="A275" s="33" t="s">
        <v>79</v>
      </c>
      <c r="B275" s="34" t="s">
        <v>90</v>
      </c>
      <c r="C275" s="35" t="s">
        <v>80</v>
      </c>
      <c r="D275" s="35" t="s">
        <v>81</v>
      </c>
      <c r="E275" s="36" t="s">
        <v>82</v>
      </c>
      <c r="F275" s="37" t="s">
        <v>83</v>
      </c>
      <c r="G275" s="38" t="s">
        <v>84</v>
      </c>
      <c r="H275" s="39" t="s">
        <v>85</v>
      </c>
      <c r="I275" s="40" t="s">
        <v>86</v>
      </c>
      <c r="J275" s="41" t="s">
        <v>87</v>
      </c>
      <c r="K275" s="42"/>
      <c r="L275" s="42"/>
      <c r="M275" s="42"/>
      <c r="N275" s="42"/>
    </row>
    <row r="276" spans="1:14" s="54" customFormat="1" ht="18.95" customHeight="1">
      <c r="A276" s="88" t="str" cm="1">
        <f t="array" ref="A276:J276">IFERROR(IF(ISBLANK(INDEX(_xlfn._xlws.FILTER([2]加工記録２!$D$3:$M$590, [2]加工記録２!$T$3:$T$590=B233), 1)), "", INDEX(_xlfn._xlws.FILTER([2]加工記録２!$D$3:$M$590, [2]加工記録２!$T$3:$T$590=B233), 1)),"")</f>
        <v/>
      </c>
      <c r="B276" s="45" t="str">
        <v/>
      </c>
      <c r="C276" s="46" t="str">
        <v/>
      </c>
      <c r="D276" s="46" t="str">
        <v/>
      </c>
      <c r="E276" s="47" t="str">
        <v/>
      </c>
      <c r="F276" s="48">
        <v>0</v>
      </c>
      <c r="G276" s="49">
        <v>0</v>
      </c>
      <c r="H276" s="50">
        <v>0</v>
      </c>
      <c r="I276" s="51">
        <v>45868</v>
      </c>
      <c r="J276" s="52">
        <v>2</v>
      </c>
      <c r="K276" s="53"/>
      <c r="L276" s="53"/>
      <c r="M276" s="53"/>
      <c r="N276" s="53"/>
    </row>
    <row r="277" spans="1:14" s="54" customFormat="1" ht="18.95" customHeight="1">
      <c r="A277" s="44" cm="1">
        <f t="array" ref="A277:J277">IFERROR(IF(ISBLANK(INDEX(_xlfn._xlws.FILTER([2]加工記録２!$D$3:$M$590, [2]加工記録２!$T$3:$T$590=B233), 2)), "", INDEX(_xlfn._xlws.FILTER([2]加工記録２!$D$3:$M$590, [2]加工記録２!$T$3:$T$590=B233), 2)),"")</f>
        <v>45868</v>
      </c>
      <c r="B277" s="55" t="str">
        <v>25G18-03</v>
      </c>
      <c r="C277" s="55">
        <v>30</v>
      </c>
      <c r="D277" s="55">
        <v>1998.3</v>
      </c>
      <c r="E277" s="56">
        <v>1998.2</v>
      </c>
      <c r="F277" s="57" t="str">
        <v>25G18-03</v>
      </c>
      <c r="G277" s="58">
        <v>233</v>
      </c>
      <c r="H277" s="59">
        <v>233</v>
      </c>
      <c r="I277" s="51">
        <v>45869</v>
      </c>
      <c r="J277" s="52">
        <v>3</v>
      </c>
      <c r="K277" s="53"/>
      <c r="L277" s="53"/>
      <c r="M277" s="53"/>
      <c r="N277" s="53"/>
    </row>
    <row r="278" spans="1:14" s="54" customFormat="1" ht="18.95" customHeight="1">
      <c r="A278" s="44" cm="1">
        <f t="array" ref="A278:J278">IFERROR(IF(ISBLANK(INDEX(_xlfn._xlws.FILTER([2]加工記録２!$D$3:$M$590, [2]加工記録２!$T$3:$T$590=B233), 3)), "", INDEX(_xlfn._xlws.FILTER([2]加工記録２!$D$3:$M$590, [2]加工記録２!$T$3:$T$590=B233), 3)),"")</f>
        <v>45868</v>
      </c>
      <c r="B278" s="55" t="str">
        <v>25G18-03</v>
      </c>
      <c r="C278" s="55">
        <v>30</v>
      </c>
      <c r="D278" s="55">
        <v>1998.3</v>
      </c>
      <c r="E278" s="56">
        <v>1998.6</v>
      </c>
      <c r="F278" s="57" t="str">
        <v/>
      </c>
      <c r="G278" s="58" t="str">
        <v/>
      </c>
      <c r="H278" s="59">
        <v>0</v>
      </c>
      <c r="I278" s="51" t="str">
        <v/>
      </c>
      <c r="J278" s="52" t="str">
        <v/>
      </c>
      <c r="K278" s="53"/>
      <c r="L278" s="53"/>
      <c r="M278" s="53"/>
      <c r="N278" s="53"/>
    </row>
    <row r="279" spans="1:14" s="54" customFormat="1" ht="18.95" customHeight="1">
      <c r="A279" s="44" t="str" cm="1">
        <f t="array" ref="A279:J279">IFERROR(IF(ISBLANK(INDEX(_xlfn._xlws.FILTER([2]加工記録２!$D$3:$M$590, [2]加工記録２!$T$3:$T$590=B233), 4)), "", INDEX(_xlfn._xlws.FILTER([2]加工記録２!$D$3:$M$590, [2]加工記録２!$T$3:$T$590=B233), 4)),"")</f>
        <v/>
      </c>
      <c r="B279" s="55" t="str">
        <v/>
      </c>
      <c r="C279" s="55" t="str">
        <v/>
      </c>
      <c r="D279" s="55" t="str">
        <v/>
      </c>
      <c r="E279" s="56" t="str">
        <v/>
      </c>
      <c r="F279" s="57" t="str">
        <v/>
      </c>
      <c r="G279" s="58" t="str">
        <v/>
      </c>
      <c r="H279" s="59">
        <v>0</v>
      </c>
      <c r="I279" s="51" t="str">
        <v/>
      </c>
      <c r="J279" s="52" t="str">
        <v/>
      </c>
      <c r="K279" s="53"/>
      <c r="L279" s="53"/>
      <c r="M279" s="53"/>
      <c r="N279" s="53"/>
    </row>
    <row r="280" spans="1:14" s="54" customFormat="1" ht="18.95" customHeight="1">
      <c r="A280" s="44" t="str" cm="1">
        <f t="array" ref="A280:J280">IFERROR(IF(ISBLANK(INDEX(_xlfn._xlws.FILTER([2]加工記録２!$D$3:$M$590, [2]加工記録２!$T$3:$T$590=B233), 5)), "", INDEX(_xlfn._xlws.FILTER([2]加工記録２!$D$3:$M$590, [2]加工記録２!$T$3:$T$590=B233), 5)),"")</f>
        <v/>
      </c>
      <c r="B280" s="55" t="str">
        <v/>
      </c>
      <c r="C280" s="55" t="str">
        <v/>
      </c>
      <c r="D280" s="55" t="str">
        <v/>
      </c>
      <c r="E280" s="56" t="str">
        <v/>
      </c>
      <c r="F280" s="57" t="str">
        <v/>
      </c>
      <c r="G280" s="58" t="str">
        <v/>
      </c>
      <c r="H280" s="59">
        <v>0</v>
      </c>
      <c r="I280" s="60" t="str">
        <v/>
      </c>
      <c r="J280" s="61" t="str">
        <v/>
      </c>
      <c r="K280" s="53"/>
      <c r="L280" s="53"/>
      <c r="M280" s="53"/>
      <c r="N280" s="53"/>
    </row>
    <row r="281" spans="1:14" s="54" customFormat="1" ht="18.95" customHeight="1">
      <c r="A281" s="44" t="str" cm="1">
        <f t="array" ref="A281:J281">IFERROR(IF(ISBLANK(INDEX(_xlfn._xlws.FILTER([2]加工記録２!$D$3:$M$590, [2]加工記録２!$T$3:$T$590=B233), 6)), "", INDEX(_xlfn._xlws.FILTER([2]加工記録２!$D$3:$M$590, [2]加工記録２!$T$3:$T$590=B233), 6)),"")</f>
        <v/>
      </c>
      <c r="B281" s="55" t="str">
        <v/>
      </c>
      <c r="C281" s="55" t="str">
        <v/>
      </c>
      <c r="D281" s="55" t="str">
        <v/>
      </c>
      <c r="E281" s="56" t="str">
        <v/>
      </c>
      <c r="F281" s="57" t="str">
        <v/>
      </c>
      <c r="G281" s="58" t="str">
        <v/>
      </c>
      <c r="H281" s="62">
        <v>0</v>
      </c>
      <c r="I281" s="63" t="str">
        <v>旧品加工</v>
      </c>
      <c r="J281" s="64" t="str">
        <v/>
      </c>
      <c r="K281" s="53"/>
      <c r="L281" s="53"/>
      <c r="M281" s="53"/>
      <c r="N281" s="53"/>
    </row>
    <row r="282" spans="1:14" s="54" customFormat="1" ht="18.95" customHeight="1">
      <c r="A282" s="44" t="str" cm="1">
        <f t="array" ref="A282:J282">IFERROR(IF(ISBLANK(INDEX(_xlfn._xlws.FILTER([2]加工記録２!$D$3:$M$590, [2]加工記録２!$T$3:$T$590=B233), 7)), "", INDEX(_xlfn._xlws.FILTER([2]加工記録２!$D$3:$M$590, [2]加工記録２!$T$3:$T$590=B233), 7)),"")</f>
        <v/>
      </c>
      <c r="B282" s="55" t="str">
        <v/>
      </c>
      <c r="C282" s="55" t="str">
        <v/>
      </c>
      <c r="D282" s="55" t="str">
        <v/>
      </c>
      <c r="E282" s="56" t="str">
        <v/>
      </c>
      <c r="F282" s="57" t="str">
        <v/>
      </c>
      <c r="G282" s="58" t="str">
        <v/>
      </c>
      <c r="H282" s="62">
        <v>0</v>
      </c>
      <c r="I282" s="65" t="str">
        <v>持出端材</v>
      </c>
      <c r="J282" s="66" t="str">
        <v/>
      </c>
      <c r="K282" s="53"/>
      <c r="L282" s="53"/>
      <c r="M282" s="53"/>
      <c r="N282" s="53"/>
    </row>
    <row r="283" spans="1:14" s="54" customFormat="1" ht="18.95" customHeight="1" thickBot="1">
      <c r="A283" s="67" t="str" cm="1">
        <f t="array" ref="A283:J283">IFERROR(IF(ISBLANK(INDEX(_xlfn._xlws.FILTER([2]加工記録２!$D$3:$M$590, [2]加工記録２!$T$3:$T$590=B233), 8)), "", INDEX(_xlfn._xlws.FILTER([2]加工記録２!$D$3:$M$590, [2]加工記録２!$T$3:$T$590=B233), 8)),"")</f>
        <v/>
      </c>
      <c r="B283" s="68" t="str">
        <v/>
      </c>
      <c r="C283" s="68" t="str">
        <v/>
      </c>
      <c r="D283" s="68" t="str">
        <v/>
      </c>
      <c r="E283" s="69" t="str">
        <v/>
      </c>
      <c r="F283" s="70" t="str">
        <v/>
      </c>
      <c r="G283" s="71" t="str">
        <v/>
      </c>
      <c r="H283" s="72">
        <v>0</v>
      </c>
      <c r="I283" s="73" t="str">
        <v>α端材</v>
      </c>
      <c r="J283" s="74">
        <v>0</v>
      </c>
      <c r="K283" s="53"/>
      <c r="L283" s="53"/>
      <c r="M283" s="53"/>
      <c r="N283" s="53"/>
    </row>
    <row r="284" spans="1:14" ht="13.5" customHeight="1" thickBo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14" ht="14.25" thickTop="1"/>
  </sheetData>
  <mergeCells count="535">
    <mergeCell ref="A273:A274"/>
    <mergeCell ref="B273:B274"/>
    <mergeCell ref="C273:C274"/>
    <mergeCell ref="D273:D274"/>
    <mergeCell ref="E273:G274"/>
    <mergeCell ref="C254:D254"/>
    <mergeCell ref="F254:J254"/>
    <mergeCell ref="G256:H256"/>
    <mergeCell ref="I256:J256"/>
    <mergeCell ref="F257:J257"/>
    <mergeCell ref="G258:H258"/>
    <mergeCell ref="I258:J258"/>
    <mergeCell ref="F259:J259"/>
    <mergeCell ref="G260:H260"/>
    <mergeCell ref="I260:J260"/>
    <mergeCell ref="A256:B256"/>
    <mergeCell ref="C256:E256"/>
    <mergeCell ref="A257:B257"/>
    <mergeCell ref="C257:E257"/>
    <mergeCell ref="A258:B258"/>
    <mergeCell ref="C258:E258"/>
    <mergeCell ref="A259:B259"/>
    <mergeCell ref="C259:E259"/>
    <mergeCell ref="A260:B260"/>
    <mergeCell ref="A216:A217"/>
    <mergeCell ref="B216:B217"/>
    <mergeCell ref="C216:C217"/>
    <mergeCell ref="D216:D217"/>
    <mergeCell ref="E216:G217"/>
    <mergeCell ref="B229:D230"/>
    <mergeCell ref="A231:A232"/>
    <mergeCell ref="B231:B232"/>
    <mergeCell ref="C231:C232"/>
    <mergeCell ref="D231:D232"/>
    <mergeCell ref="E231:E232"/>
    <mergeCell ref="F231:H232"/>
    <mergeCell ref="A212:A213"/>
    <mergeCell ref="B212:B213"/>
    <mergeCell ref="C212:C213"/>
    <mergeCell ref="D212:D213"/>
    <mergeCell ref="E212:G213"/>
    <mergeCell ref="A214:A215"/>
    <mergeCell ref="B214:B215"/>
    <mergeCell ref="C214:C215"/>
    <mergeCell ref="D214:D215"/>
    <mergeCell ref="E214:G215"/>
    <mergeCell ref="A208:B208"/>
    <mergeCell ref="C208:E208"/>
    <mergeCell ref="F208:J208"/>
    <mergeCell ref="A209:D209"/>
    <mergeCell ref="E209:F209"/>
    <mergeCell ref="H209:I209"/>
    <mergeCell ref="A210:D211"/>
    <mergeCell ref="E210:F211"/>
    <mergeCell ref="G210:G211"/>
    <mergeCell ref="A205:B205"/>
    <mergeCell ref="C205:E205"/>
    <mergeCell ref="G205:H205"/>
    <mergeCell ref="I205:J205"/>
    <mergeCell ref="A206:B206"/>
    <mergeCell ref="C206:E206"/>
    <mergeCell ref="F206:J206"/>
    <mergeCell ref="A207:B207"/>
    <mergeCell ref="C207:E207"/>
    <mergeCell ref="G207:H207"/>
    <mergeCell ref="I207:J207"/>
    <mergeCell ref="A202:B202"/>
    <mergeCell ref="C202:E202"/>
    <mergeCell ref="F202:J202"/>
    <mergeCell ref="A203:B203"/>
    <mergeCell ref="C203:E203"/>
    <mergeCell ref="G203:H203"/>
    <mergeCell ref="I203:J203"/>
    <mergeCell ref="A204:B204"/>
    <mergeCell ref="C204:E204"/>
    <mergeCell ref="F204:J204"/>
    <mergeCell ref="A199:B199"/>
    <mergeCell ref="C199:E199"/>
    <mergeCell ref="G199:H199"/>
    <mergeCell ref="I199:J199"/>
    <mergeCell ref="A200:B200"/>
    <mergeCell ref="C200:E200"/>
    <mergeCell ref="F200:J200"/>
    <mergeCell ref="A201:B201"/>
    <mergeCell ref="C201:E201"/>
    <mergeCell ref="G201:H201"/>
    <mergeCell ref="I201:J201"/>
    <mergeCell ref="C194:D194"/>
    <mergeCell ref="F194:H194"/>
    <mergeCell ref="I194:J194"/>
    <mergeCell ref="A196:B196"/>
    <mergeCell ref="C196:E196"/>
    <mergeCell ref="G196:H196"/>
    <mergeCell ref="I196:J196"/>
    <mergeCell ref="C197:D197"/>
    <mergeCell ref="F197:J197"/>
    <mergeCell ref="C191:D191"/>
    <mergeCell ref="F191:H191"/>
    <mergeCell ref="I191:J191"/>
    <mergeCell ref="C192:D192"/>
    <mergeCell ref="F192:H192"/>
    <mergeCell ref="I192:J192"/>
    <mergeCell ref="C193:D193"/>
    <mergeCell ref="F193:H193"/>
    <mergeCell ref="I193:J193"/>
    <mergeCell ref="A186:J186"/>
    <mergeCell ref="C187:D187"/>
    <mergeCell ref="F187:H187"/>
    <mergeCell ref="I187:J187"/>
    <mergeCell ref="C189:D189"/>
    <mergeCell ref="F189:H189"/>
    <mergeCell ref="I189:J189"/>
    <mergeCell ref="C190:D190"/>
    <mergeCell ref="F190:H190"/>
    <mergeCell ref="I190:J190"/>
    <mergeCell ref="A178:A179"/>
    <mergeCell ref="B178:B179"/>
    <mergeCell ref="F178:G178"/>
    <mergeCell ref="F180:G180"/>
    <mergeCell ref="G181:G182"/>
    <mergeCell ref="H181:J182"/>
    <mergeCell ref="A183:C184"/>
    <mergeCell ref="G183:G184"/>
    <mergeCell ref="H183:H184"/>
    <mergeCell ref="I183:J184"/>
    <mergeCell ref="B172:D173"/>
    <mergeCell ref="A174:A175"/>
    <mergeCell ref="B174:B175"/>
    <mergeCell ref="C174:C175"/>
    <mergeCell ref="D174:D175"/>
    <mergeCell ref="E174:E175"/>
    <mergeCell ref="F174:H175"/>
    <mergeCell ref="I175:I176"/>
    <mergeCell ref="J175:J176"/>
    <mergeCell ref="A176:A177"/>
    <mergeCell ref="B176:B177"/>
    <mergeCell ref="E176:E177"/>
    <mergeCell ref="F176:H177"/>
    <mergeCell ref="A100:A101"/>
    <mergeCell ref="B100:B101"/>
    <mergeCell ref="C100:C101"/>
    <mergeCell ref="D100:D101"/>
    <mergeCell ref="E100:G101"/>
    <mergeCell ref="A102:A103"/>
    <mergeCell ref="B102:B103"/>
    <mergeCell ref="C102:C103"/>
    <mergeCell ref="D102:D103"/>
    <mergeCell ref="E102:G103"/>
    <mergeCell ref="H95:I95"/>
    <mergeCell ref="A96:D97"/>
    <mergeCell ref="E96:F97"/>
    <mergeCell ref="G96:G97"/>
    <mergeCell ref="A98:A99"/>
    <mergeCell ref="B98:B99"/>
    <mergeCell ref="C98:C99"/>
    <mergeCell ref="D98:D99"/>
    <mergeCell ref="E98:G99"/>
    <mergeCell ref="A95:D95"/>
    <mergeCell ref="E95:F95"/>
    <mergeCell ref="A31:B31"/>
    <mergeCell ref="B62:B63"/>
    <mergeCell ref="A12:C13"/>
    <mergeCell ref="B5:B6"/>
    <mergeCell ref="A62:A63"/>
    <mergeCell ref="F19:H19"/>
    <mergeCell ref="A29:B29"/>
    <mergeCell ref="C21:D21"/>
    <mergeCell ref="C37:E37"/>
    <mergeCell ref="F5:H6"/>
    <mergeCell ref="A32:B32"/>
    <mergeCell ref="A36:B36"/>
    <mergeCell ref="F20:H20"/>
    <mergeCell ref="H38:I38"/>
    <mergeCell ref="A39:D40"/>
    <mergeCell ref="E39:F40"/>
    <mergeCell ref="G39:G40"/>
    <mergeCell ref="A41:A42"/>
    <mergeCell ref="B41:B42"/>
    <mergeCell ref="C41:C42"/>
    <mergeCell ref="D41:D42"/>
    <mergeCell ref="E41:G42"/>
    <mergeCell ref="A25:B25"/>
    <mergeCell ref="F7:G7"/>
    <mergeCell ref="I89:J89"/>
    <mergeCell ref="I85:J85"/>
    <mergeCell ref="G87:H87"/>
    <mergeCell ref="I87:J87"/>
    <mergeCell ref="F94:J94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C26:D26"/>
    <mergeCell ref="G82:H82"/>
    <mergeCell ref="A64:A65"/>
    <mergeCell ref="F80:H80"/>
    <mergeCell ref="F26:J26"/>
    <mergeCell ref="C30:E30"/>
    <mergeCell ref="C23:D23"/>
    <mergeCell ref="I79:J79"/>
    <mergeCell ref="C93:E93"/>
    <mergeCell ref="H67:J68"/>
    <mergeCell ref="F75:H75"/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F90:J90"/>
    <mergeCell ref="A93:B93"/>
    <mergeCell ref="I78:J78"/>
    <mergeCell ref="D60:D61"/>
    <mergeCell ref="F73:H73"/>
    <mergeCell ref="C86:E86"/>
    <mergeCell ref="B58:D59"/>
    <mergeCell ref="C60:C61"/>
    <mergeCell ref="A35:B35"/>
    <mergeCell ref="C34:E34"/>
    <mergeCell ref="I34:J34"/>
    <mergeCell ref="G36:H36"/>
    <mergeCell ref="A38:D38"/>
    <mergeCell ref="E38:F38"/>
    <mergeCell ref="F79:H79"/>
    <mergeCell ref="I73:J73"/>
    <mergeCell ref="F37:J37"/>
    <mergeCell ref="J61:J62"/>
    <mergeCell ref="E60:E61"/>
    <mergeCell ref="F62:H63"/>
    <mergeCell ref="C35:E35"/>
    <mergeCell ref="F64:G64"/>
    <mergeCell ref="C78:D78"/>
    <mergeCell ref="C36:E36"/>
    <mergeCell ref="I69:J70"/>
    <mergeCell ref="C75:D75"/>
    <mergeCell ref="I77:J77"/>
    <mergeCell ref="G25:H25"/>
    <mergeCell ref="I19:J19"/>
    <mergeCell ref="G10:G11"/>
    <mergeCell ref="F22:H22"/>
    <mergeCell ref="I16:J16"/>
    <mergeCell ref="I25:J25"/>
    <mergeCell ref="F18:H18"/>
    <mergeCell ref="C31:E31"/>
    <mergeCell ref="C32:E32"/>
    <mergeCell ref="I23:J23"/>
    <mergeCell ref="G32:H32"/>
    <mergeCell ref="F16:H16"/>
    <mergeCell ref="C18:D18"/>
    <mergeCell ref="C16:D16"/>
    <mergeCell ref="F23:H23"/>
    <mergeCell ref="C20:D20"/>
    <mergeCell ref="C29:E29"/>
    <mergeCell ref="C22:D22"/>
    <mergeCell ref="I21:J21"/>
    <mergeCell ref="C28:E28"/>
    <mergeCell ref="B3:B4"/>
    <mergeCell ref="I80:J80"/>
    <mergeCell ref="A87:B87"/>
    <mergeCell ref="H10:J11"/>
    <mergeCell ref="I32:J32"/>
    <mergeCell ref="H69:H70"/>
    <mergeCell ref="B60:B61"/>
    <mergeCell ref="A37:B37"/>
    <mergeCell ref="D3:D4"/>
    <mergeCell ref="A15:J15"/>
    <mergeCell ref="F21:H21"/>
    <mergeCell ref="C25:E25"/>
    <mergeCell ref="C85:E85"/>
    <mergeCell ref="I30:J30"/>
    <mergeCell ref="C83:D83"/>
    <mergeCell ref="A30:B30"/>
    <mergeCell ref="F31:J31"/>
    <mergeCell ref="A7:A8"/>
    <mergeCell ref="C80:D80"/>
    <mergeCell ref="H12:H13"/>
    <mergeCell ref="C87:E87"/>
    <mergeCell ref="F9:G9"/>
    <mergeCell ref="I82:J82"/>
    <mergeCell ref="C33:E33"/>
    <mergeCell ref="G91:H91"/>
    <mergeCell ref="A92:B92"/>
    <mergeCell ref="A90:B90"/>
    <mergeCell ref="C91:E91"/>
    <mergeCell ref="A88:B88"/>
    <mergeCell ref="F60:H61"/>
    <mergeCell ref="C79:D79"/>
    <mergeCell ref="C73:D73"/>
    <mergeCell ref="F83:J83"/>
    <mergeCell ref="I76:J76"/>
    <mergeCell ref="F78:H78"/>
    <mergeCell ref="I61:I62"/>
    <mergeCell ref="F76:H76"/>
    <mergeCell ref="G69:G70"/>
    <mergeCell ref="A72:J72"/>
    <mergeCell ref="A91:B91"/>
    <mergeCell ref="C89:E89"/>
    <mergeCell ref="G89:H89"/>
    <mergeCell ref="C88:E88"/>
    <mergeCell ref="A82:B82"/>
    <mergeCell ref="A60:A61"/>
    <mergeCell ref="E62:E63"/>
    <mergeCell ref="I91:J91"/>
    <mergeCell ref="F88:J88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J4:J5"/>
    <mergeCell ref="F33:J33"/>
    <mergeCell ref="F3:H4"/>
    <mergeCell ref="I18:J18"/>
    <mergeCell ref="G34:H34"/>
    <mergeCell ref="A33:B33"/>
    <mergeCell ref="C76:D76"/>
    <mergeCell ref="A85:B85"/>
    <mergeCell ref="B64:B65"/>
    <mergeCell ref="C94:E94"/>
    <mergeCell ref="A89:B89"/>
    <mergeCell ref="F35:J35"/>
    <mergeCell ref="F77:H77"/>
    <mergeCell ref="F66:G66"/>
    <mergeCell ref="A94:B94"/>
    <mergeCell ref="C92:E92"/>
    <mergeCell ref="A121:A122"/>
    <mergeCell ref="B121:B122"/>
    <mergeCell ref="F121:G121"/>
    <mergeCell ref="B115:D116"/>
    <mergeCell ref="A117:A118"/>
    <mergeCell ref="B117:B118"/>
    <mergeCell ref="C117:C118"/>
    <mergeCell ref="D117:D118"/>
    <mergeCell ref="E117:E118"/>
    <mergeCell ref="F117:H118"/>
    <mergeCell ref="I118:I119"/>
    <mergeCell ref="J118:J119"/>
    <mergeCell ref="A119:A120"/>
    <mergeCell ref="B119:B120"/>
    <mergeCell ref="E119:E120"/>
    <mergeCell ref="F119:H120"/>
    <mergeCell ref="F92:J92"/>
    <mergeCell ref="F123:G123"/>
    <mergeCell ref="G124:G125"/>
    <mergeCell ref="H124:J125"/>
    <mergeCell ref="A126:C127"/>
    <mergeCell ref="G126:G127"/>
    <mergeCell ref="H126:H127"/>
    <mergeCell ref="I126:J127"/>
    <mergeCell ref="A129:J129"/>
    <mergeCell ref="C130:D130"/>
    <mergeCell ref="F130:H130"/>
    <mergeCell ref="I130:J130"/>
    <mergeCell ref="C132:D132"/>
    <mergeCell ref="F132:H132"/>
    <mergeCell ref="I132:J132"/>
    <mergeCell ref="C133:D133"/>
    <mergeCell ref="F133:H133"/>
    <mergeCell ref="I133:J133"/>
    <mergeCell ref="C134:D134"/>
    <mergeCell ref="F134:H134"/>
    <mergeCell ref="I134:J134"/>
    <mergeCell ref="C135:D135"/>
    <mergeCell ref="F135:H135"/>
    <mergeCell ref="I135:J135"/>
    <mergeCell ref="C136:D136"/>
    <mergeCell ref="F136:H136"/>
    <mergeCell ref="I136:J136"/>
    <mergeCell ref="C137:D137"/>
    <mergeCell ref="F137:H137"/>
    <mergeCell ref="I137:J137"/>
    <mergeCell ref="A139:B139"/>
    <mergeCell ref="C139:E139"/>
    <mergeCell ref="G139:H139"/>
    <mergeCell ref="I139:J139"/>
    <mergeCell ref="C140:D140"/>
    <mergeCell ref="F140:J140"/>
    <mergeCell ref="A142:B142"/>
    <mergeCell ref="C142:E142"/>
    <mergeCell ref="G142:H142"/>
    <mergeCell ref="I142:J142"/>
    <mergeCell ref="A143:B143"/>
    <mergeCell ref="C143:E143"/>
    <mergeCell ref="F143:J143"/>
    <mergeCell ref="A144:B144"/>
    <mergeCell ref="C144:E144"/>
    <mergeCell ref="G144:H144"/>
    <mergeCell ref="I144:J144"/>
    <mergeCell ref="A145:B145"/>
    <mergeCell ref="C145:E145"/>
    <mergeCell ref="F145:J145"/>
    <mergeCell ref="A146:B146"/>
    <mergeCell ref="C146:E146"/>
    <mergeCell ref="G146:H146"/>
    <mergeCell ref="I146:J146"/>
    <mergeCell ref="A147:B147"/>
    <mergeCell ref="C147:E147"/>
    <mergeCell ref="F147:J147"/>
    <mergeCell ref="A148:B148"/>
    <mergeCell ref="C148:E148"/>
    <mergeCell ref="G148:H148"/>
    <mergeCell ref="I148:J148"/>
    <mergeCell ref="A149:B149"/>
    <mergeCell ref="C149:E149"/>
    <mergeCell ref="F149:J149"/>
    <mergeCell ref="A150:B150"/>
    <mergeCell ref="C150:E150"/>
    <mergeCell ref="G150:H150"/>
    <mergeCell ref="I150:J150"/>
    <mergeCell ref="A151:B151"/>
    <mergeCell ref="C151:E151"/>
    <mergeCell ref="F151:J151"/>
    <mergeCell ref="A152:D152"/>
    <mergeCell ref="E152:F152"/>
    <mergeCell ref="H152:I152"/>
    <mergeCell ref="A153:D154"/>
    <mergeCell ref="E153:F154"/>
    <mergeCell ref="G153:G154"/>
    <mergeCell ref="A159:A160"/>
    <mergeCell ref="B159:B160"/>
    <mergeCell ref="C159:C160"/>
    <mergeCell ref="D159:D160"/>
    <mergeCell ref="E159:G160"/>
    <mergeCell ref="A155:A156"/>
    <mergeCell ref="B155:B156"/>
    <mergeCell ref="C155:C156"/>
    <mergeCell ref="D155:D156"/>
    <mergeCell ref="E155:G156"/>
    <mergeCell ref="A157:A158"/>
    <mergeCell ref="B157:B158"/>
    <mergeCell ref="C157:C158"/>
    <mergeCell ref="D157:D158"/>
    <mergeCell ref="E157:G158"/>
    <mergeCell ref="I232:I233"/>
    <mergeCell ref="J232:J233"/>
    <mergeCell ref="A233:A234"/>
    <mergeCell ref="B233:B234"/>
    <mergeCell ref="E233:E234"/>
    <mergeCell ref="F233:H234"/>
    <mergeCell ref="A235:A236"/>
    <mergeCell ref="B235:B236"/>
    <mergeCell ref="F235:G235"/>
    <mergeCell ref="F237:G237"/>
    <mergeCell ref="G238:G239"/>
    <mergeCell ref="H238:J239"/>
    <mergeCell ref="A240:C241"/>
    <mergeCell ref="G240:G241"/>
    <mergeCell ref="H240:H241"/>
    <mergeCell ref="I240:J241"/>
    <mergeCell ref="C246:D246"/>
    <mergeCell ref="F246:H246"/>
    <mergeCell ref="I246:J246"/>
    <mergeCell ref="A243:J243"/>
    <mergeCell ref="C244:D244"/>
    <mergeCell ref="F244:H244"/>
    <mergeCell ref="I244:J244"/>
    <mergeCell ref="C247:D247"/>
    <mergeCell ref="F247:H247"/>
    <mergeCell ref="I247:J247"/>
    <mergeCell ref="C248:D248"/>
    <mergeCell ref="F248:H248"/>
    <mergeCell ref="I248:J248"/>
    <mergeCell ref="C249:D249"/>
    <mergeCell ref="F249:H249"/>
    <mergeCell ref="I249:J249"/>
    <mergeCell ref="C250:D250"/>
    <mergeCell ref="F250:H250"/>
    <mergeCell ref="I250:J250"/>
    <mergeCell ref="C251:D251"/>
    <mergeCell ref="F251:H251"/>
    <mergeCell ref="I251:J251"/>
    <mergeCell ref="A253:B253"/>
    <mergeCell ref="C253:E253"/>
    <mergeCell ref="G253:H253"/>
    <mergeCell ref="I253:J253"/>
    <mergeCell ref="C260:E260"/>
    <mergeCell ref="A261:B261"/>
    <mergeCell ref="C261:E261"/>
    <mergeCell ref="A262:B262"/>
    <mergeCell ref="C262:E262"/>
    <mergeCell ref="A263:B263"/>
    <mergeCell ref="C263:E263"/>
    <mergeCell ref="F261:J261"/>
    <mergeCell ref="G262:H262"/>
    <mergeCell ref="I262:J262"/>
    <mergeCell ref="F263:J263"/>
    <mergeCell ref="A264:B264"/>
    <mergeCell ref="C264:E264"/>
    <mergeCell ref="G264:H264"/>
    <mergeCell ref="I264:J264"/>
    <mergeCell ref="A265:B265"/>
    <mergeCell ref="C265:E265"/>
    <mergeCell ref="F265:J265"/>
    <mergeCell ref="A266:D266"/>
    <mergeCell ref="E266:F266"/>
    <mergeCell ref="H266:I266"/>
    <mergeCell ref="A267:D268"/>
    <mergeCell ref="E267:F268"/>
    <mergeCell ref="G267:G268"/>
    <mergeCell ref="A269:A270"/>
    <mergeCell ref="B269:B270"/>
    <mergeCell ref="C269:C270"/>
    <mergeCell ref="D269:D270"/>
    <mergeCell ref="E269:G270"/>
    <mergeCell ref="A271:A272"/>
    <mergeCell ref="B271:B272"/>
    <mergeCell ref="C271:C272"/>
    <mergeCell ref="D271:D272"/>
    <mergeCell ref="E271:G272"/>
  </mergeCells>
  <phoneticPr fontId="2"/>
  <conditionalFormatting sqref="D50:D55">
    <cfRule type="cellIs" dxfId="17" priority="24" operator="equal">
      <formula>$D49</formula>
    </cfRule>
  </conditionalFormatting>
  <conditionalFormatting sqref="D107:D112">
    <cfRule type="cellIs" dxfId="16" priority="27" operator="equal">
      <formula>$D106</formula>
    </cfRule>
  </conditionalFormatting>
  <conditionalFormatting sqref="D164:D169">
    <cfRule type="cellIs" dxfId="15" priority="12" operator="equal">
      <formula>$D163</formula>
    </cfRule>
  </conditionalFormatting>
  <conditionalFormatting sqref="D221:D226">
    <cfRule type="cellIs" dxfId="14" priority="9" operator="equal">
      <formula>$D220</formula>
    </cfRule>
  </conditionalFormatting>
  <conditionalFormatting sqref="I39">
    <cfRule type="cellIs" dxfId="12" priority="22" operator="lessThan">
      <formula>45658</formula>
    </cfRule>
  </conditionalFormatting>
  <conditionalFormatting sqref="I96">
    <cfRule type="cellIs" dxfId="11" priority="25" operator="lessThan">
      <formula>45658</formula>
    </cfRule>
  </conditionalFormatting>
  <conditionalFormatting sqref="I153">
    <cfRule type="cellIs" dxfId="10" priority="10" operator="lessThan">
      <formula>45658</formula>
    </cfRule>
  </conditionalFormatting>
  <conditionalFormatting sqref="I210">
    <cfRule type="cellIs" dxfId="9" priority="7" operator="lessThan">
      <formula>45658</formula>
    </cfRule>
  </conditionalFormatting>
  <conditionalFormatting sqref="J46">
    <cfRule type="cellIs" dxfId="7" priority="23" operator="equal">
      <formula>0</formula>
    </cfRule>
  </conditionalFormatting>
  <conditionalFormatting sqref="J103">
    <cfRule type="cellIs" dxfId="6" priority="26" operator="equal">
      <formula>0</formula>
    </cfRule>
  </conditionalFormatting>
  <conditionalFormatting sqref="J160">
    <cfRule type="cellIs" dxfId="5" priority="11" operator="equal">
      <formula>0</formula>
    </cfRule>
  </conditionalFormatting>
  <conditionalFormatting sqref="J217">
    <cfRule type="cellIs" dxfId="4" priority="8" operator="equal">
      <formula>0</formula>
    </cfRule>
  </conditionalFormatting>
  <conditionalFormatting sqref="D278:D283">
    <cfRule type="cellIs" dxfId="2" priority="3" operator="equal">
      <formula>$D277</formula>
    </cfRule>
  </conditionalFormatting>
  <conditionalFormatting sqref="J274">
    <cfRule type="cellIs" dxfId="1" priority="2" operator="equal">
      <formula>0</formula>
    </cfRule>
  </conditionalFormatting>
  <conditionalFormatting sqref="I267">
    <cfRule type="cellIs" dxfId="0" priority="1" operator="lessThan">
      <formula>45658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4" manualBreakCount="4">
    <brk id="56" max="16383" man="1"/>
    <brk id="113" max="16383" man="1"/>
    <brk id="170" max="16383" man="1"/>
    <brk id="22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2025-07-30T06:24:50Z</cp:lastPrinted>
  <dcterms:created xsi:type="dcterms:W3CDTF">2024-07-11T02:08:33Z</dcterms:created>
  <dcterms:modified xsi:type="dcterms:W3CDTF">2025-07-31T07:46:12Z</dcterms:modified>
</cp:coreProperties>
</file>