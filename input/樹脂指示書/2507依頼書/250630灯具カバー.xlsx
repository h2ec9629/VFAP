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FBFA645C-09CD-4741-8E56-5E0A77971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/>
  <c r="I43" i="1" a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/>
  <c r="I39" i="1" a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/>
  <c r="I101" i="1" a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/>
  <c r="I97" i="1" a="1"/>
  <c r="I96" i="1" a="1"/>
  <c r="I96" i="1" s="1"/>
  <c r="G96" i="1" a="1"/>
  <c r="G96" i="1" s="1"/>
  <c r="E96" i="1"/>
  <c r="E96" i="1" a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/>
  <c r="I158" i="1" a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/>
  <c r="I154" i="1" a="1"/>
  <c r="I153" i="1" a="1"/>
  <c r="I153" i="1" s="1"/>
  <c r="G153" i="1"/>
  <c r="G153" i="1" a="1"/>
  <c r="E153" i="1" a="1"/>
  <c r="E153" i="1" s="1"/>
  <c r="A153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/>
  <c r="I214" i="1" a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/>
  <c r="E324" i="1" a="1"/>
  <c r="A324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/>
  <c r="I386" i="1" a="1"/>
  <c r="I385" i="1"/>
  <c r="I385" i="1" a="1"/>
  <c r="E385" i="1"/>
  <c r="D385" i="1"/>
  <c r="B385" i="1"/>
  <c r="I384" i="1" a="1"/>
  <c r="I384" i="1" s="1"/>
  <c r="I383" i="1" a="1"/>
  <c r="I383" i="1" s="1"/>
  <c r="E383" i="1"/>
  <c r="D383" i="1"/>
  <c r="B383" i="1"/>
  <c r="I382" i="1"/>
  <c r="I382" i="1" a="1"/>
  <c r="I381" i="1"/>
  <c r="I381" i="1" a="1"/>
  <c r="G381" i="1"/>
  <c r="G381" i="1" a="1"/>
  <c r="E381" i="1"/>
  <c r="E381" i="1" a="1"/>
  <c r="A381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/>
  <c r="I443" i="1" a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/>
  <c r="I438" i="1" a="1"/>
  <c r="G438" i="1" a="1"/>
  <c r="G438" i="1" s="1"/>
  <c r="E438" i="1" a="1"/>
  <c r="E438" i="1" s="1"/>
  <c r="A438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I673" i="1" a="1"/>
  <c r="I673" i="1" s="1"/>
  <c r="I672" i="1" a="1"/>
  <c r="I672" i="1" s="1"/>
  <c r="E672" i="1"/>
  <c r="D672" i="1"/>
  <c r="B672" i="1"/>
  <c r="I671" i="1" a="1"/>
  <c r="I671" i="1" s="1"/>
  <c r="I670" i="1" a="1"/>
  <c r="I670" i="1" s="1"/>
  <c r="E670" i="1"/>
  <c r="D670" i="1"/>
  <c r="B670" i="1"/>
  <c r="I669" i="1" a="1"/>
  <c r="I669" i="1" s="1"/>
  <c r="I668" i="1" a="1"/>
  <c r="I668" i="1" s="1"/>
  <c r="E668" i="1"/>
  <c r="D668" i="1"/>
  <c r="B668" i="1"/>
  <c r="I667" i="1" a="1"/>
  <c r="I667" i="1" s="1"/>
  <c r="I666" i="1" a="1"/>
  <c r="I666" i="1" s="1"/>
  <c r="G666" i="1" a="1"/>
  <c r="G666" i="1" s="1"/>
  <c r="E666" i="1"/>
  <c r="E666" i="1" a="1"/>
  <c r="A666" i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I730" i="1" a="1"/>
  <c r="I730" i="1" s="1"/>
  <c r="I729" i="1" a="1"/>
  <c r="I729" i="1" s="1"/>
  <c r="E729" i="1"/>
  <c r="D729" i="1"/>
  <c r="B729" i="1"/>
  <c r="I728" i="1"/>
  <c r="I728" i="1" a="1"/>
  <c r="I727" i="1" a="1"/>
  <c r="I727" i="1" s="1"/>
  <c r="E727" i="1"/>
  <c r="D727" i="1"/>
  <c r="B727" i="1"/>
  <c r="I726" i="1" a="1"/>
  <c r="I726" i="1" s="1"/>
  <c r="I725" i="1" a="1"/>
  <c r="I725" i="1" s="1"/>
  <c r="E725" i="1"/>
  <c r="D725" i="1"/>
  <c r="B725" i="1"/>
  <c r="I724" i="1" a="1"/>
  <c r="I724" i="1" s="1"/>
  <c r="I723" i="1"/>
  <c r="I723" i="1" a="1"/>
  <c r="G723" i="1" a="1"/>
  <c r="G723" i="1" s="1"/>
  <c r="E723" i="1" a="1"/>
  <c r="E723" i="1" s="1"/>
  <c r="A7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<sst xmlns="http://schemas.openxmlformats.org/spreadsheetml/2006/main" count="1211" uniqueCount="188">
  <si>
    <t>検査梱包指示書</t>
  </si>
  <si>
    <t>品目番号</t>
  </si>
  <si>
    <t>J1ZAFJB00106133</t>
  </si>
  <si>
    <t>Ｌ寸</t>
  </si>
  <si>
    <t>名称</t>
  </si>
  <si>
    <t>463301-2160灯具ｶﾊﾞｰPC</t>
  </si>
  <si>
    <t>上長</t>
  </si>
  <si>
    <t>係員</t>
  </si>
  <si>
    <t>製造指図№</t>
  </si>
  <si>
    <t>000000000004910</t>
  </si>
  <si>
    <t>原料名</t>
  </si>
  <si>
    <t>J6VZ041</t>
  </si>
  <si>
    <t>発注明細№</t>
  </si>
  <si>
    <t>000000000768495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</si>
  <si>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</si>
  <si>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</si>
  <si>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</si>
  <si>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</si>
  <si>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</si>
  <si>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</si>
  <si>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</si>
  <si>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</si>
  <si>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</si>
  <si>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</si>
  <si>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</si>
  <si>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*J1ZAFJB00106133*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</si>
  <si>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</si>
  <si>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</si>
  <si>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</si>
  <si>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</si>
  <si>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</si>
  <si>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</si>
  <si>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</si>
  <si>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</si>
  <si>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</si>
  <si>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</si>
  <si>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</si>
  <si>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</si>
  <si>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</si>
  <si>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</si>
  <si>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</si>
  <si>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</si>
  <si>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</si>
  <si>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</si>
  <si>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</si>
  <si>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</si>
  <si>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</si>
  <si>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</si>
  <si>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</si>
  <si>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</si>
  <si>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J1ZAFJA00211835</t>
  </si>
  <si>
    <t>@463301-2050灯具ｶﾊﾞｰPCIN</t>
  </si>
  <si>
    <t>V3J04</t>
  </si>
  <si>
    <t>*J1ZAFJA00211835*</t>
  </si>
  <si>
    <t>J6DK0027</t>
  </si>
  <si>
    <t>H型ｼﾞｮｲﾅ-</t>
  </si>
  <si>
    <t>*J6DK0027*</t>
  </si>
  <si>
    <t>J1ZAFJB00112790</t>
  </si>
  <si>
    <t>463301-2170灯具ｶﾊﾞｰPC</t>
  </si>
  <si>
    <t>000000000004911</t>
  </si>
  <si>
    <t>000000000768496</t>
  </si>
  <si>
    <t>*J1ZAFJB00112790*</t>
  </si>
  <si>
    <t>J1ZAFJA00215400</t>
  </si>
  <si>
    <t>@463301-2080灯具ｶﾊﾞｰPCIN</t>
  </si>
  <si>
    <t>*J1ZAFJA00215400*</t>
  </si>
  <si>
    <t>J1ZAFJB00113095</t>
  </si>
  <si>
    <t>463301-2180灯具ｶﾊﾞｰPC</t>
  </si>
  <si>
    <t>000000000004912</t>
  </si>
  <si>
    <t>000000000768497</t>
  </si>
  <si>
    <t>*J1ZAFJB00113095*</t>
  </si>
  <si>
    <t>J1ZAFJB00205470</t>
  </si>
  <si>
    <t>463301-2140灯具ｶﾊﾞｰPC IN</t>
  </si>
  <si>
    <t>000000000004913</t>
  </si>
  <si>
    <t>000000000768498</t>
  </si>
  <si>
    <t>*J1ZAFJB00205470*</t>
  </si>
  <si>
    <t>J1ZAFJA00205470</t>
  </si>
  <si>
    <t>@463301-2140灯具ｶﾊﾞｰPCIN</t>
  </si>
  <si>
    <t>*J1ZAFJA00205470*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</si>
  <si>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</si>
  <si>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</si>
  <si>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</si>
  <si>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</si>
  <si>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</si>
  <si>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</si>
  <si>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</si>
  <si>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</si>
  <si>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</si>
  <si>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000000000004914</t>
  </si>
  <si>
    <t>000000000768499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</si>
  <si>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</si>
  <si>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</si>
  <si>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</si>
  <si>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</si>
  <si>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</si>
  <si>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</si>
  <si>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</si>
  <si>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</si>
  <si>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</si>
  <si>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000000000004915</t>
  </si>
  <si>
    <t>000000000768500</t>
  </si>
  <si>
    <t>*J1ZAFJB00209080*</t>
  </si>
  <si>
    <t>J1ZAFJA00209080</t>
  </si>
  <si>
    <t>@463301-2130灯具ｶﾊﾞｰPCIN</t>
  </si>
  <si>
    <t>*J1ZAFJA00209080*</t>
  </si>
  <si>
    <t>J1ZAFJB00211835</t>
  </si>
  <si>
    <t>463301-2050灯具ｶﾊﾞｰPC IN</t>
  </si>
  <si>
    <t>000000000004916</t>
  </si>
  <si>
    <t>000000000768501</t>
  </si>
  <si>
    <t>*J1ZAFJB00211835*</t>
  </si>
  <si>
    <t>J1ZAFJB00212380</t>
  </si>
  <si>
    <t>463301-2500灯具ｶﾊﾞｰPC IN</t>
  </si>
  <si>
    <t>000000000004917</t>
  </si>
  <si>
    <t>000000000768502</t>
  </si>
  <si>
    <t>*J1ZAFJB00212380*</t>
  </si>
  <si>
    <t>J1ZAFJA00212380</t>
  </si>
  <si>
    <t>@463301-2500灯具ｶﾊﾞｰPCIN</t>
  </si>
  <si>
    <t>V3W04</t>
  </si>
  <si>
    <t>*J1ZAFJA00212380*</t>
  </si>
  <si>
    <t>J1ZAFJB00212585</t>
  </si>
  <si>
    <t>463301-2060灯具ｶﾊﾞｰPC IN</t>
  </si>
  <si>
    <t>000000000004918</t>
  </si>
  <si>
    <t>000000000768503</t>
  </si>
  <si>
    <t>*J1ZAFJB00212585*</t>
  </si>
  <si>
    <t>J1ZAFJA00212585</t>
  </si>
  <si>
    <t>@463301-2060灯具ｶﾊﾞｰPCIN</t>
  </si>
  <si>
    <t>*J1ZAFJA00212585*</t>
  </si>
  <si>
    <t>J1ZAFJB00215400</t>
  </si>
  <si>
    <t>463301-2080灯具ｶﾊﾞｰPC IN</t>
  </si>
  <si>
    <t>000000000004919</t>
  </si>
  <si>
    <t>000000000768504</t>
  </si>
  <si>
    <t>*J1ZAFJB00215400*</t>
  </si>
  <si>
    <t>J1ZAFJB00216480</t>
  </si>
  <si>
    <t>463301-2470灯具ｶﾊﾞｰPC IN</t>
  </si>
  <si>
    <t>000000000004920</t>
  </si>
  <si>
    <t>000000000768505</t>
  </si>
  <si>
    <t>*J1ZAFJB00216480*</t>
  </si>
  <si>
    <t>J1ZAFJA00216480</t>
  </si>
  <si>
    <t>@463301-2470灯具ｶﾊﾞｰPCIN</t>
  </si>
  <si>
    <t>*J1ZAFJA00216480*</t>
  </si>
  <si>
    <t>J1ZAFJB00218150</t>
  </si>
  <si>
    <t>463301-2110灯具ｶﾊﾞｰPC IN</t>
  </si>
  <si>
    <t>000000000004921</t>
  </si>
  <si>
    <t>000000000768506</t>
  </si>
  <si>
    <t>*J1ZAFJB00218150*</t>
  </si>
  <si>
    <t>J1ZAFJA00218150</t>
  </si>
  <si>
    <t>@463301-2110灯具ｶﾊﾞｰPCIN</t>
  </si>
  <si>
    <t>*J1ZAFJA00218150*</t>
  </si>
  <si>
    <t>J1ZAFJB00219660</t>
  </si>
  <si>
    <t>463301-2070灯具ｶﾊﾞｰPC IN</t>
  </si>
  <si>
    <t>000000000004922</t>
  </si>
  <si>
    <t>000000000768507</t>
  </si>
  <si>
    <t>*J1ZAFJB00219660*</t>
  </si>
  <si>
    <t>J1ZAFJA00219660</t>
  </si>
  <si>
    <t>@463301-2070灯具ｶﾊﾞｰPCIN</t>
  </si>
  <si>
    <t>*J1ZAFJA00219660*</t>
  </si>
  <si>
    <t>J6DK0027</t>
    <phoneticPr fontId="2"/>
  </si>
  <si>
    <t>J6DW0043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</si>
  <si>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</si>
  <si>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</si>
  <si>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</si>
  <si>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</si>
  <si>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</si>
  <si>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</si>
  <si>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</si>
  <si>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</si>
  <si>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</si>
  <si>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</si>
  <si>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</si>
  <si>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</si>
  <si>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</si>
  <si>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</si>
  <si>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</si>
  <si>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</si>
  <si>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</si>
  <si>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</si>
  <si>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</si>
  <si>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</si>
  <si>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</si>
  <si>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</si>
  <si>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</si>
  <si>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</si>
  <si>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</si>
  <si>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</si>
  <si>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</si>
  <si>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</si>
  <si>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計測Lot</t>
    <rPh sb="0" eb="2">
      <t>ケイソク</t>
    </rPh>
    <phoneticPr fontId="2"/>
  </si>
  <si>
    <t>-</t>
    <phoneticPr fontId="2"/>
  </si>
  <si>
    <t>端材使用</t>
    <rPh sb="0" eb="4">
      <t>ハザイシヨウ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</si>
</sst>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81" fontId="20" fillId="0" borderId="2" xfId="1" applyNumberFormat="1" applyFont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5" fillId="0" borderId="32" xfId="1" applyNumberFormat="1" applyFont="1" applyBorder="1" applyAlignment="1">
      <alignment horizontal="center" vertical="center" shrinkToFit="1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1" fontId="15" fillId="0" borderId="22" xfId="0" applyNumberFormat="1" applyFont="1" applyBorder="1" applyAlignment="1">
      <alignment horizontal="center" vertical="center"/>
    </xf>
    <xf numFmtId="192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1" fontId="15" fillId="0" borderId="25" xfId="0" applyNumberFormat="1" applyFont="1" applyBorder="1" applyAlignment="1">
      <alignment horizontal="center" vertical="center"/>
    </xf>
    <xf numFmtId="192" fontId="15" fillId="0" borderId="38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5" xfId="0" applyNumberFormat="1" applyFont="1" applyBorder="1" applyAlignment="1">
      <alignment horizontal="center" vertical="center"/>
    </xf>
    <xf numFmtId="192" fontId="14" fillId="0" borderId="38" xfId="0" applyNumberFormat="1" applyFont="1" applyBorder="1" applyAlignment="1">
      <alignment horizontal="center" vertical="center"/>
    </xf>
    <xf numFmtId="191" fontId="14" fillId="5" borderId="25" xfId="0" applyNumberFormat="1" applyFont="1" applyFill="1" applyBorder="1" applyAlignment="1">
      <alignment horizontal="center" vertical="center"/>
    </xf>
    <xf numFmtId="192" fontId="14" fillId="5" borderId="38" xfId="0" applyNumberFormat="1" applyFont="1" applyFill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1" fontId="14" fillId="5" borderId="31" xfId="0" applyNumberFormat="1" applyFont="1" applyFill="1" applyBorder="1" applyAlignment="1">
      <alignment horizontal="center" vertical="center"/>
    </xf>
    <xf numFmtId="192" fontId="14" fillId="5" borderId="33" xfId="0" applyNumberFormat="1" applyFont="1" applyFill="1" applyBorder="1" applyAlignment="1">
      <alignment horizontal="center" vertical="center"/>
    </xf>
    <xf numFmtId="179" fontId="19" fillId="0" borderId="22" xfId="0" applyNumberFormat="1" applyFont="1" applyBorder="1" applyAlignment="1">
      <alignment horizontal="left" vertical="center"/>
    </xf>
    <xf numFmtId="182" fontId="19" fillId="5" borderId="23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93" fontId="19" fillId="5" borderId="33" xfId="0" applyNumberFormat="1" applyFont="1" applyFill="1" applyBorder="1" applyAlignment="1">
      <alignment horizontal="center" vertical="center"/>
    </xf>
    <xf numFmtId="181" fontId="15" fillId="4" borderId="22" xfId="0" applyNumberFormat="1" applyFont="1" applyFill="1" applyBorder="1" applyAlignment="1">
      <alignment horizontal="center" vertical="center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0" fillId="0" borderId="4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0" fontId="12" fillId="0" borderId="0" xfId="0" applyFont="1">
      <alignment vertical="center"/>
    </xf>
    <xf numFmtId="49" fontId="10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9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3" xfId="0" applyNumberFormat="1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145676</xdr:colOff>
      <xdr:row>3</xdr:row>
      <xdr:rowOff>56030</xdr:rowOff>
    </xdr:from>
    <xdr:to>
      <xdr:col>9</xdr:col>
      <xdr:colOff>661147</xdr:colOff>
      <xdr:row>5</xdr:row>
      <xdr:rowOff>168089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D41BDE-1D5D-A577-1CBC-F7BB10BD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3352" y="593912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123265</xdr:colOff>
      <xdr:row>60</xdr:row>
      <xdr:rowOff>56030</xdr:rowOff>
    </xdr:from>
    <xdr:to>
      <xdr:col>9</xdr:col>
      <xdr:colOff>638736</xdr:colOff>
      <xdr:row>62</xdr:row>
      <xdr:rowOff>168090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50BBFF-CDA2-44E5-9DC2-28C2D62FC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0941" y="13816854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145676</xdr:colOff>
      <xdr:row>117</xdr:row>
      <xdr:rowOff>78442</xdr:rowOff>
    </xdr:from>
    <xdr:to>
      <xdr:col>9</xdr:col>
      <xdr:colOff>661147</xdr:colOff>
      <xdr:row>119</xdr:row>
      <xdr:rowOff>190501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AAB064-2926-40F2-9805-E937C60E6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3352" y="27062207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168088</xdr:colOff>
      <xdr:row>174</xdr:row>
      <xdr:rowOff>78441</xdr:rowOff>
    </xdr:from>
    <xdr:to>
      <xdr:col>9</xdr:col>
      <xdr:colOff>683559</xdr:colOff>
      <xdr:row>176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195C8BC-8AEA-4A4C-85CB-0356C740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5764" y="40285147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134471</xdr:colOff>
      <xdr:row>231</xdr:row>
      <xdr:rowOff>56029</xdr:rowOff>
    </xdr:from>
    <xdr:to>
      <xdr:col>9</xdr:col>
      <xdr:colOff>649942</xdr:colOff>
      <xdr:row>233</xdr:row>
      <xdr:rowOff>168088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BD8B477-4816-42C1-BB6A-31F686076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53485676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288</xdr:row>
      <xdr:rowOff>44824</xdr:rowOff>
    </xdr:from>
    <xdr:to>
      <xdr:col>9</xdr:col>
      <xdr:colOff>627530</xdr:colOff>
      <xdr:row>290</xdr:row>
      <xdr:rowOff>156883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315C5A-92D3-4856-A4A8-B5045F8D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735" y="66697412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345</xdr:row>
      <xdr:rowOff>67235</xdr:rowOff>
    </xdr:from>
    <xdr:to>
      <xdr:col>9</xdr:col>
      <xdr:colOff>627530</xdr:colOff>
      <xdr:row>347</xdr:row>
      <xdr:rowOff>179294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5079CD2-C1F8-43FD-87A4-DD689DAB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735" y="79942764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134471</xdr:colOff>
      <xdr:row>402</xdr:row>
      <xdr:rowOff>67236</xdr:rowOff>
    </xdr:from>
    <xdr:to>
      <xdr:col>9</xdr:col>
      <xdr:colOff>649942</xdr:colOff>
      <xdr:row>404</xdr:row>
      <xdr:rowOff>179295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9B8F046-115A-45DE-9CCA-D8F71FB0E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93165707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156882</xdr:colOff>
      <xdr:row>459</xdr:row>
      <xdr:rowOff>67236</xdr:rowOff>
    </xdr:from>
    <xdr:to>
      <xdr:col>9</xdr:col>
      <xdr:colOff>672353</xdr:colOff>
      <xdr:row>461</xdr:row>
      <xdr:rowOff>179295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87F8230-FA09-4AF3-8611-38C951E6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4558" y="106388648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134470</xdr:colOff>
      <xdr:row>516</xdr:row>
      <xdr:rowOff>78442</xdr:rowOff>
    </xdr:from>
    <xdr:to>
      <xdr:col>9</xdr:col>
      <xdr:colOff>649941</xdr:colOff>
      <xdr:row>518</xdr:row>
      <xdr:rowOff>190503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97E13C8-C9EF-4E16-B849-A26CC7770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6" y="119622795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134471</xdr:colOff>
      <xdr:row>573</xdr:row>
      <xdr:rowOff>67236</xdr:rowOff>
    </xdr:from>
    <xdr:to>
      <xdr:col>9</xdr:col>
      <xdr:colOff>649942</xdr:colOff>
      <xdr:row>575</xdr:row>
      <xdr:rowOff>179294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FA6E595-60BF-4398-8D06-47A4F211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132834530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134471</xdr:colOff>
      <xdr:row>630</xdr:row>
      <xdr:rowOff>56029</xdr:rowOff>
    </xdr:from>
    <xdr:to>
      <xdr:col>9</xdr:col>
      <xdr:colOff>649942</xdr:colOff>
      <xdr:row>632</xdr:row>
      <xdr:rowOff>168087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42CF362-A01A-4554-924B-B00777373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146046264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123265</xdr:colOff>
      <xdr:row>687</xdr:row>
      <xdr:rowOff>67236</xdr:rowOff>
    </xdr:from>
    <xdr:to>
      <xdr:col>9</xdr:col>
      <xdr:colOff>638736</xdr:colOff>
      <xdr:row>689</xdr:row>
      <xdr:rowOff>179297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8562C9C-12FE-40F4-BA35-83D1D538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0941" y="159280412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687</xdr:row>
      <xdr:rowOff>44824</xdr:rowOff>
    </xdr:from>
    <xdr:to>
      <xdr:col>8</xdr:col>
      <xdr:colOff>649942</xdr:colOff>
      <xdr:row>689</xdr:row>
      <xdr:rowOff>156885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E30CE5C-CFF1-F5E1-9E4B-B4E767F4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324" y="159258000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78441</xdr:colOff>
      <xdr:row>630</xdr:row>
      <xdr:rowOff>56029</xdr:rowOff>
    </xdr:from>
    <xdr:to>
      <xdr:col>8</xdr:col>
      <xdr:colOff>593912</xdr:colOff>
      <xdr:row>632</xdr:row>
      <xdr:rowOff>168087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E5889D8-3501-42BD-AAA8-3225F87B5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9294" y="146046264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145676</xdr:colOff>
      <xdr:row>573</xdr:row>
      <xdr:rowOff>67235</xdr:rowOff>
    </xdr:from>
    <xdr:to>
      <xdr:col>8</xdr:col>
      <xdr:colOff>661147</xdr:colOff>
      <xdr:row>575</xdr:row>
      <xdr:rowOff>179293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B4D370C-EB36-457F-BB1E-8825E8F18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6529" y="132834529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112059</xdr:colOff>
      <xdr:row>516</xdr:row>
      <xdr:rowOff>67235</xdr:rowOff>
    </xdr:from>
    <xdr:to>
      <xdr:col>8</xdr:col>
      <xdr:colOff>627530</xdr:colOff>
      <xdr:row>518</xdr:row>
      <xdr:rowOff>179296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063CA85-0043-4BE0-A7B1-54379B89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2912" y="119611588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123265</xdr:colOff>
      <xdr:row>459</xdr:row>
      <xdr:rowOff>89647</xdr:rowOff>
    </xdr:from>
    <xdr:to>
      <xdr:col>8</xdr:col>
      <xdr:colOff>638736</xdr:colOff>
      <xdr:row>461</xdr:row>
      <xdr:rowOff>201706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2CBC986-30DD-4C2C-A29D-9196EC49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18" y="106411059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145676</xdr:colOff>
      <xdr:row>402</xdr:row>
      <xdr:rowOff>67235</xdr:rowOff>
    </xdr:from>
    <xdr:to>
      <xdr:col>8</xdr:col>
      <xdr:colOff>661147</xdr:colOff>
      <xdr:row>404</xdr:row>
      <xdr:rowOff>179294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E174283-CD20-4113-9623-A78995EF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6529" y="93165706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145676</xdr:colOff>
      <xdr:row>345</xdr:row>
      <xdr:rowOff>78441</xdr:rowOff>
    </xdr:from>
    <xdr:to>
      <xdr:col>8</xdr:col>
      <xdr:colOff>661147</xdr:colOff>
      <xdr:row>347</xdr:row>
      <xdr:rowOff>190500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AB51A73-786A-4BF0-B923-94308ECD5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6529" y="79953970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156882</xdr:colOff>
      <xdr:row>288</xdr:row>
      <xdr:rowOff>78441</xdr:rowOff>
    </xdr:from>
    <xdr:to>
      <xdr:col>8</xdr:col>
      <xdr:colOff>672353</xdr:colOff>
      <xdr:row>290</xdr:row>
      <xdr:rowOff>190500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B93D009-28FE-4E1A-BF08-CA631F542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735" y="66731029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112058</xdr:colOff>
      <xdr:row>231</xdr:row>
      <xdr:rowOff>78441</xdr:rowOff>
    </xdr:from>
    <xdr:to>
      <xdr:col>8</xdr:col>
      <xdr:colOff>627529</xdr:colOff>
      <xdr:row>233</xdr:row>
      <xdr:rowOff>190500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6831650-E7BB-4408-B544-63778FC10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2911" y="53508088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174</xdr:row>
      <xdr:rowOff>78441</xdr:rowOff>
    </xdr:from>
    <xdr:to>
      <xdr:col>8</xdr:col>
      <xdr:colOff>649942</xdr:colOff>
      <xdr:row>176</xdr:row>
      <xdr:rowOff>190500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5DB49E3E-FE79-4A77-A9C5-E8BAE04D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324" y="40285147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117</xdr:row>
      <xdr:rowOff>78441</xdr:rowOff>
    </xdr:from>
    <xdr:to>
      <xdr:col>8</xdr:col>
      <xdr:colOff>649942</xdr:colOff>
      <xdr:row>119</xdr:row>
      <xdr:rowOff>190500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6A98E4A-2359-431B-A123-18FB4F17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324" y="27062206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123264</xdr:colOff>
      <xdr:row>60</xdr:row>
      <xdr:rowOff>67236</xdr:rowOff>
    </xdr:from>
    <xdr:to>
      <xdr:col>8</xdr:col>
      <xdr:colOff>638735</xdr:colOff>
      <xdr:row>62</xdr:row>
      <xdr:rowOff>179296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A345F28-BE8F-40C7-9900-AAF75FF80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17" y="13828060"/>
          <a:ext cx="515471" cy="515471"/>
        </a:xfrm>
        <a:prstGeom prst="rect">
          <a:avLst/>
        </a:prstGeom>
      </xdr:spPr>
    </xdr:pic>
    <xdr:clientData/>
  </xdr:twoCellAnchor>
  <xdr:twoCellAnchor editAs="oneCell">
    <xdr:from>
      <xdr:col>8</xdr:col>
      <xdr:colOff>123265</xdr:colOff>
      <xdr:row>3</xdr:row>
      <xdr:rowOff>56029</xdr:rowOff>
    </xdr:from>
    <xdr:to>
      <xdr:col>8</xdr:col>
      <xdr:colOff>638736</xdr:colOff>
      <xdr:row>5</xdr:row>
      <xdr:rowOff>168088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CABA26A6-29F9-4F07-9B1C-6FF0C8C7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18" y="593911"/>
          <a:ext cx="515471" cy="515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棚卸"/>
      <sheetName val="温度換算"/>
      <sheetName val="網戸日程"/>
      <sheetName val="加工記録表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45835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95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95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306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48</v>
          </cell>
          <cell r="K21">
            <v>48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0</v>
          </cell>
          <cell r="K35">
            <v>0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314</v>
          </cell>
          <cell r="K37">
            <v>157</v>
          </cell>
          <cell r="O37">
            <v>302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706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522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54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000000000005329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000000000005329</v>
          </cell>
        </row>
        <row r="205">
          <cell r="C205">
            <v>42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000000000005329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000000000005330-1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000000000005330-1</v>
          </cell>
        </row>
        <row r="213">
          <cell r="C213">
            <v>84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000000000005316</v>
          </cell>
        </row>
        <row r="228">
          <cell r="G228">
            <v>275</v>
          </cell>
          <cell r="I228" t="str">
            <v/>
          </cell>
          <cell r="K228">
            <v>0</v>
          </cell>
          <cell r="O228">
            <v>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K229">
            <v>0</v>
          </cell>
          <cell r="O229">
            <v>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0</v>
          </cell>
          <cell r="G233">
            <v>275</v>
          </cell>
          <cell r="K233">
            <v>0</v>
          </cell>
          <cell r="L233" t="str">
            <v>持出端材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000000000005317</v>
          </cell>
        </row>
        <row r="236">
          <cell r="G236">
            <v>275</v>
          </cell>
          <cell r="I236" t="str">
            <v/>
          </cell>
          <cell r="K236">
            <v>0</v>
          </cell>
          <cell r="O236">
            <v>0</v>
          </cell>
          <cell r="T236" t="str">
            <v>000000000005317</v>
          </cell>
        </row>
        <row r="237">
          <cell r="C237">
            <v>2000</v>
          </cell>
          <cell r="G237">
            <v>275</v>
          </cell>
          <cell r="K237">
            <v>0</v>
          </cell>
          <cell r="O237">
            <v>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0</v>
          </cell>
          <cell r="G241">
            <v>275</v>
          </cell>
          <cell r="K241">
            <v>0</v>
          </cell>
          <cell r="L241" t="str">
            <v>持出端材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000000000005317</v>
          </cell>
        </row>
        <row r="243">
          <cell r="C243" t="str">
            <v>8FL281304 5010　L=888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000000000005127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000000000005127</v>
          </cell>
        </row>
        <row r="245">
          <cell r="C245">
            <v>2000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000000000005127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000000000005127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000000000005127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000000000005127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000000000005127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000000000005127</v>
          </cell>
        </row>
        <row r="251">
          <cell r="C251" t="str">
            <v>8FL281304 4910　L=592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000000000005121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000000000005121</v>
          </cell>
        </row>
        <row r="253">
          <cell r="C253">
            <v>300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000000000005121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000000000005117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000000000005117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I267">
            <v>0</v>
          </cell>
          <cell r="J267">
            <v>0</v>
          </cell>
          <cell r="K267">
            <v>0</v>
          </cell>
          <cell r="O267">
            <v>0</v>
          </cell>
          <cell r="T267" t="str">
            <v>000000000005118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000000000005118</v>
          </cell>
        </row>
        <row r="269">
          <cell r="C269">
            <v>300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000000000005118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000000000005119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000000000005119</v>
          </cell>
        </row>
        <row r="277">
          <cell r="C277">
            <v>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000000000005119</v>
          </cell>
        </row>
        <row r="283">
          <cell r="C283" t="str">
            <v>8FL281304 6110　L=1478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000000000005129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000000000005129</v>
          </cell>
        </row>
        <row r="285">
          <cell r="C285">
            <v>900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000000000005129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000000000005129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000000000005129</v>
          </cell>
        </row>
        <row r="288">
          <cell r="C288" t="str">
            <v>LED-A1478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000000000005129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000000000005129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000000000005129</v>
          </cell>
        </row>
        <row r="291">
          <cell r="C291" t="str">
            <v>8FL281304 5010　L=888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000000000005128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000000000005128</v>
          </cell>
        </row>
        <row r="293">
          <cell r="C293">
            <v>1900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000000000005128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000000000005128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000000000005128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000000000005128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000000000005128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000000000005128</v>
          </cell>
        </row>
        <row r="299">
          <cell r="C299" t="str">
            <v>8FL281304 8310　L=748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000000000005123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000000000005123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000000000005123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000000000005123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000000000005123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000000000005123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000000000005123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000000000005122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000000000005122</v>
          </cell>
        </row>
        <row r="309">
          <cell r="C309">
            <v>100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000000000005122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000000000005122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000000000005122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000000000005122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000000000005122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000000000005122</v>
          </cell>
        </row>
        <row r="315">
          <cell r="C315" t="str">
            <v>8FL281304 8110　L=444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000000000005120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000000000005120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000000000005120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000000000005120</v>
          </cell>
        </row>
        <row r="319">
          <cell r="C319">
            <v>4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000000000005120</v>
          </cell>
        </row>
        <row r="320">
          <cell r="C320" t="str">
            <v>LED-A444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000000000005120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000000000005120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000000000005120</v>
          </cell>
        </row>
        <row r="323">
          <cell r="C323" t="str">
            <v>採光ルーバーパネルB　L=1996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000000000005330-2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000000000005330-2</v>
          </cell>
        </row>
        <row r="325">
          <cell r="C325">
            <v>756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000000000005330-2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000000000005330-2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000000000005330-2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000000000005330-2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000000000005330-2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000000000005330-2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1"/>
  <sheetViews>
    <sheetView tabSelected="1" view="pageBreakPreview" topLeftCell="A283" zoomScale="60" zoomScaleNormal="85" workbookViewId="0">
      <selection activeCell="BB55" sqref="BB5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26" t="s">
        <v>0</v>
      </c>
      <c r="C1" s="90"/>
      <c r="D1" s="90"/>
      <c r="E1" s="12"/>
      <c r="F1" s="12"/>
      <c r="G1" s="12"/>
      <c r="H1" s="12"/>
      <c r="I1" s="12"/>
      <c r="J1" s="12"/>
    </row>
    <row r="2" spans="1:10" ht="14.25" customHeight="1" thickTop="1">
      <c r="A2" s="13"/>
      <c r="B2" s="90"/>
      <c r="C2" s="90"/>
      <c r="D2" s="90"/>
      <c r="E2" s="13"/>
      <c r="F2" s="13"/>
      <c r="G2" s="13"/>
      <c r="H2" s="13"/>
      <c r="I2" s="13"/>
      <c r="J2" s="13"/>
    </row>
    <row r="3" spans="1:10" ht="14.25" customHeight="1">
      <c r="A3" s="95" t="s">
        <v>1</v>
      </c>
      <c r="B3" s="95" t="s">
        <v>2</v>
      </c>
      <c r="C3" s="95" t="s">
        <v>3</v>
      </c>
      <c r="D3" s="123">
        <v>613</v>
      </c>
      <c r="E3" s="95" t="s">
        <v>4</v>
      </c>
      <c r="F3" s="89" t="s">
        <v>5</v>
      </c>
      <c r="G3" s="90"/>
      <c r="H3" s="91"/>
      <c r="I3" s="14" t="s">
        <v>6</v>
      </c>
      <c r="J3" s="14" t="s">
        <v>7</v>
      </c>
    </row>
    <row r="4" spans="1:10" ht="14.25" customHeight="1">
      <c r="A4" s="90"/>
      <c r="B4" s="90"/>
      <c r="C4" s="90"/>
      <c r="D4" s="90"/>
      <c r="E4" s="90"/>
      <c r="F4" s="90"/>
      <c r="G4" s="90"/>
      <c r="H4" s="91"/>
      <c r="I4" s="98"/>
      <c r="J4" s="98"/>
    </row>
    <row r="5" spans="1:10" ht="17.45" customHeight="1">
      <c r="A5" s="104" t="s">
        <v>8</v>
      </c>
      <c r="B5" s="104" t="s">
        <v>9</v>
      </c>
      <c r="E5" s="104" t="s">
        <v>10</v>
      </c>
      <c r="F5" s="112" t="s">
        <v>11</v>
      </c>
      <c r="G5" s="90"/>
      <c r="H5" s="91"/>
      <c r="I5" s="99"/>
      <c r="J5" s="99"/>
    </row>
    <row r="6" spans="1:10" ht="17.45" customHeight="1">
      <c r="A6" s="90"/>
      <c r="B6" s="90"/>
      <c r="E6" s="90"/>
      <c r="F6" s="90"/>
      <c r="G6" s="90"/>
      <c r="H6" s="91"/>
      <c r="I6" s="15"/>
      <c r="J6" s="15"/>
    </row>
    <row r="7" spans="1:10" ht="17.45" customHeight="1">
      <c r="A7" s="104" t="s">
        <v>12</v>
      </c>
      <c r="B7" s="104" t="s">
        <v>13</v>
      </c>
      <c r="E7" s="2" t="s">
        <v>14</v>
      </c>
      <c r="F7" s="113" t="s">
        <v>15</v>
      </c>
      <c r="G7" s="90"/>
      <c r="H7" s="22"/>
    </row>
    <row r="8" spans="1:10" ht="17.45" customHeight="1">
      <c r="A8" s="90"/>
      <c r="B8" s="90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45860</v>
      </c>
      <c r="E9" s="2" t="s">
        <v>19</v>
      </c>
      <c r="F9" s="132">
        <v>2</v>
      </c>
      <c r="G9" s="90"/>
      <c r="H9" s="22"/>
    </row>
    <row r="10" spans="1:10" ht="17.45" customHeight="1">
      <c r="A10" s="2" t="s">
        <v>20</v>
      </c>
      <c r="B10" s="4">
        <v>45860</v>
      </c>
      <c r="E10" s="2" t="s">
        <v>21</v>
      </c>
      <c r="F10" s="22">
        <v>10</v>
      </c>
      <c r="G10" s="139" t="s">
        <v>22</v>
      </c>
      <c r="H10" s="128">
        <v>20</v>
      </c>
      <c r="I10" s="129"/>
      <c r="J10" s="130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31"/>
      <c r="H11" s="131"/>
      <c r="I11" s="110"/>
      <c r="J11" s="111"/>
    </row>
    <row r="12" spans="1:10" ht="13.5" customHeight="1">
      <c r="A12" s="102" t="s">
        <v>25</v>
      </c>
      <c r="B12" s="90"/>
      <c r="C12" s="90"/>
      <c r="D12" s="21"/>
      <c r="F12" s="3"/>
      <c r="G12" s="103" t="s">
        <v>26</v>
      </c>
      <c r="H12" s="92" t="s">
        <v>27</v>
      </c>
      <c r="I12" s="109" t="s">
        <v>28</v>
      </c>
      <c r="J12" s="91"/>
    </row>
    <row r="13" spans="1:10" ht="13.5" customHeight="1">
      <c r="A13" s="90"/>
      <c r="B13" s="90"/>
      <c r="C13" s="90"/>
      <c r="D13" s="21"/>
      <c r="F13" s="3"/>
      <c r="G13" s="93"/>
      <c r="H13" s="93"/>
      <c r="I13" s="110"/>
      <c r="J13" s="111"/>
    </row>
    <row r="14" spans="1:10" ht="13.5" customHeight="1">
      <c r="A14" s="1" t="s">
        <v>29</v>
      </c>
    </row>
    <row r="15" spans="1:10" ht="63" customHeight="1" thickBot="1">
      <c r="A15" s="124"/>
      <c r="B15" s="125"/>
      <c r="C15" s="125"/>
      <c r="D15" s="125"/>
      <c r="E15" s="125"/>
      <c r="F15" s="125"/>
      <c r="G15" s="125"/>
      <c r="H15" s="125"/>
      <c r="I15" s="125"/>
      <c r="J15" s="125"/>
    </row>
    <row r="16" spans="1:10" ht="18.75">
      <c r="A16" s="24" t="s">
        <v>30</v>
      </c>
      <c r="B16" s="17" t="s">
        <v>31</v>
      </c>
      <c r="C16" s="114" t="s">
        <v>32</v>
      </c>
      <c r="D16" s="107"/>
      <c r="E16" s="17" t="s">
        <v>33</v>
      </c>
      <c r="F16" s="114" t="s">
        <v>34</v>
      </c>
      <c r="G16" s="107"/>
      <c r="H16" s="107"/>
      <c r="I16" s="106" t="s">
        <v>35</v>
      </c>
      <c r="J16" s="107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94" t="s">
        <v>37</v>
      </c>
      <c r="D18" s="97"/>
      <c r="E18" s="25" t="s">
        <v>38</v>
      </c>
      <c r="F18" s="94" t="s">
        <v>39</v>
      </c>
      <c r="G18" s="97"/>
      <c r="H18" s="97"/>
      <c r="I18" s="108"/>
      <c r="J18" s="97"/>
    </row>
    <row r="19" spans="1:10" s="7" customFormat="1" ht="16.5" customHeight="1">
      <c r="A19" s="23">
        <v>1</v>
      </c>
      <c r="B19" s="26" t="s">
        <v>36</v>
      </c>
      <c r="C19" s="94" t="s">
        <v>37</v>
      </c>
      <c r="D19" s="97"/>
      <c r="E19" s="25" t="s">
        <v>40</v>
      </c>
      <c r="F19" s="94" t="s">
        <v>41</v>
      </c>
      <c r="G19" s="97"/>
      <c r="H19" s="97"/>
      <c r="I19" s="108"/>
      <c r="J19" s="97"/>
    </row>
    <row r="20" spans="1:10" s="7" customFormat="1" ht="16.5" customHeight="1">
      <c r="A20" s="23">
        <v>1</v>
      </c>
      <c r="B20" s="26" t="s">
        <v>36</v>
      </c>
      <c r="C20" s="94" t="s">
        <v>37</v>
      </c>
      <c r="D20" s="97"/>
      <c r="E20" s="25" t="s">
        <v>42</v>
      </c>
      <c r="F20" s="94" t="s">
        <v>43</v>
      </c>
      <c r="G20" s="97"/>
      <c r="H20" s="97"/>
      <c r="I20" s="108"/>
      <c r="J20" s="97"/>
    </row>
    <row r="21" spans="1:10" s="7" customFormat="1" ht="16.5" customHeight="1">
      <c r="A21" s="23"/>
      <c r="B21" s="26"/>
      <c r="C21" s="94"/>
      <c r="D21" s="97"/>
      <c r="E21" s="25"/>
      <c r="F21" s="94"/>
      <c r="G21" s="97"/>
      <c r="H21" s="97"/>
      <c r="I21" s="108"/>
      <c r="J21" s="97"/>
    </row>
    <row r="22" spans="1:10" s="7" customFormat="1" ht="16.5" customHeight="1">
      <c r="A22" s="23"/>
      <c r="B22" s="26"/>
      <c r="C22" s="94"/>
      <c r="D22" s="97"/>
      <c r="E22" s="25"/>
      <c r="F22" s="94"/>
      <c r="G22" s="97"/>
      <c r="H22" s="97"/>
      <c r="I22" s="108"/>
      <c r="J22" s="97"/>
    </row>
    <row r="23" spans="1:10" s="7" customFormat="1" ht="16.5" customHeight="1">
      <c r="A23" s="23"/>
      <c r="B23" s="26"/>
      <c r="C23" s="94"/>
      <c r="D23" s="97"/>
      <c r="E23" s="25"/>
      <c r="F23" s="94"/>
      <c r="G23" s="97"/>
      <c r="H23" s="97"/>
      <c r="I23" s="108"/>
      <c r="J23" s="97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00" t="s">
        <v>44</v>
      </c>
      <c r="B25" s="101"/>
      <c r="C25" s="100" t="s">
        <v>45</v>
      </c>
      <c r="D25" s="101"/>
      <c r="E25" s="101"/>
      <c r="F25" s="18" t="s">
        <v>46</v>
      </c>
      <c r="G25" s="100" t="s">
        <v>47</v>
      </c>
      <c r="H25" s="101"/>
      <c r="I25" s="100" t="s">
        <v>48</v>
      </c>
      <c r="J25" s="101"/>
    </row>
    <row r="26" spans="1:10" ht="14.25" customHeight="1">
      <c r="A26" s="8"/>
      <c r="B26" s="19"/>
      <c r="C26" s="127" t="s">
        <v>49</v>
      </c>
      <c r="D26" s="110"/>
      <c r="E26" s="19"/>
      <c r="F26" s="127" t="s">
        <v>29</v>
      </c>
      <c r="G26" s="110"/>
      <c r="H26" s="110"/>
      <c r="I26" s="110"/>
      <c r="J26" s="110"/>
    </row>
    <row r="27" spans="1:10">
      <c r="A27" s="9"/>
      <c r="C27" s="7"/>
      <c r="D27" s="7"/>
      <c r="E27" s="7"/>
    </row>
    <row r="28" spans="1:10" s="5" customFormat="1" ht="14.25" customHeight="1">
      <c r="A28" s="94" t="s">
        <v>50</v>
      </c>
      <c r="B28" s="115"/>
      <c r="C28" s="94" t="s">
        <v>51</v>
      </c>
      <c r="D28" s="115"/>
      <c r="E28" s="115"/>
      <c r="F28" s="27" t="s">
        <v>52</v>
      </c>
      <c r="G28" s="96">
        <v>10</v>
      </c>
      <c r="H28" s="115"/>
      <c r="I28" s="96">
        <v>5</v>
      </c>
      <c r="J28" s="115"/>
    </row>
    <row r="29" spans="1:10" s="7" customFormat="1" ht="24.95" customHeight="1">
      <c r="A29" s="105" t="s">
        <v>53</v>
      </c>
      <c r="B29" s="97"/>
      <c r="C29" s="94" t="s">
        <v>11</v>
      </c>
      <c r="D29" s="97"/>
      <c r="E29" s="97"/>
      <c r="F29" s="94"/>
      <c r="G29" s="97"/>
      <c r="H29" s="97"/>
      <c r="I29" s="97"/>
      <c r="J29" s="97"/>
    </row>
    <row r="30" spans="1:10" s="5" customFormat="1" ht="14.25" customHeight="1">
      <c r="A30" s="149" t="s">
        <v>155</v>
      </c>
      <c r="B30" s="115"/>
      <c r="C30" s="94" t="s">
        <v>55</v>
      </c>
      <c r="D30" s="115"/>
      <c r="E30" s="115"/>
      <c r="F30" s="27" t="s">
        <v>27</v>
      </c>
      <c r="G30" s="96">
        <v>10</v>
      </c>
      <c r="H30" s="115"/>
      <c r="I30" s="96">
        <v>5</v>
      </c>
      <c r="J30" s="115"/>
    </row>
    <row r="31" spans="1:10" s="7" customFormat="1" ht="24.95" customHeight="1">
      <c r="A31" s="105" t="s">
        <v>56</v>
      </c>
      <c r="B31" s="97"/>
      <c r="C31" s="94"/>
      <c r="D31" s="97"/>
      <c r="E31" s="97"/>
      <c r="F31" s="94"/>
      <c r="G31" s="97"/>
      <c r="H31" s="97"/>
      <c r="I31" s="97"/>
      <c r="J31" s="97"/>
    </row>
    <row r="32" spans="1:10" s="5" customFormat="1" ht="14.25" customHeight="1">
      <c r="A32" s="94"/>
      <c r="B32" s="115"/>
      <c r="C32" s="94"/>
      <c r="D32" s="115"/>
      <c r="E32" s="115"/>
      <c r="F32" s="27"/>
      <c r="G32" s="96"/>
      <c r="H32" s="115"/>
      <c r="I32" s="96"/>
      <c r="J32" s="115"/>
    </row>
    <row r="33" spans="1:14" s="7" customFormat="1" ht="24.95" customHeight="1">
      <c r="A33" s="105"/>
      <c r="B33" s="97"/>
      <c r="C33" s="94"/>
      <c r="D33" s="97"/>
      <c r="E33" s="97"/>
      <c r="F33" s="94"/>
      <c r="G33" s="97"/>
      <c r="H33" s="97"/>
      <c r="I33" s="97"/>
      <c r="J33" s="97"/>
    </row>
    <row r="34" spans="1:14" s="5" customFormat="1" ht="14.25" customHeight="1">
      <c r="A34" s="94"/>
      <c r="B34" s="115"/>
      <c r="C34" s="94"/>
      <c r="D34" s="115"/>
      <c r="E34" s="115"/>
      <c r="F34" s="27"/>
      <c r="G34" s="96"/>
      <c r="H34" s="115"/>
      <c r="I34" s="96"/>
      <c r="J34" s="115"/>
    </row>
    <row r="35" spans="1:14" s="7" customFormat="1" ht="24.95" customHeight="1">
      <c r="A35" s="105"/>
      <c r="B35" s="97"/>
      <c r="C35" s="94"/>
      <c r="D35" s="97"/>
      <c r="E35" s="97"/>
      <c r="F35" s="94"/>
      <c r="G35" s="97"/>
      <c r="H35" s="97"/>
      <c r="I35" s="97"/>
      <c r="J35" s="97"/>
    </row>
    <row r="36" spans="1:14" s="5" customFormat="1" ht="14.25" customHeight="1">
      <c r="A36" s="94"/>
      <c r="B36" s="115"/>
      <c r="C36" s="94"/>
      <c r="D36" s="115"/>
      <c r="E36" s="115"/>
      <c r="F36" s="27"/>
      <c r="G36" s="96"/>
      <c r="H36" s="115"/>
      <c r="I36" s="96"/>
      <c r="J36" s="115"/>
    </row>
    <row r="37" spans="1:14" s="7" customFormat="1" ht="24.95" customHeight="1" thickBot="1">
      <c r="A37" s="105"/>
      <c r="B37" s="97"/>
      <c r="C37" s="94"/>
      <c r="D37" s="97"/>
      <c r="E37" s="97"/>
      <c r="F37" s="94"/>
      <c r="G37" s="97"/>
      <c r="H37" s="97"/>
      <c r="I37" s="97"/>
      <c r="J37" s="97"/>
    </row>
    <row r="38" spans="1:14" s="5" customFormat="1" ht="18" customHeight="1">
      <c r="A38" s="159" t="s">
        <v>157</v>
      </c>
      <c r="B38" s="160"/>
      <c r="C38" s="160"/>
      <c r="D38" s="160"/>
      <c r="E38" s="161" t="s">
        <v>158</v>
      </c>
      <c r="F38" s="162"/>
      <c r="G38" s="28" t="s">
        <v>159</v>
      </c>
      <c r="H38" s="133" t="s">
        <v>160</v>
      </c>
      <c r="I38" s="134"/>
      <c r="J38" s="29" t="s">
        <v>161</v>
      </c>
    </row>
    <row r="39" spans="1:14" s="7" customFormat="1" ht="18" customHeight="1">
      <c r="A39" s="135" t="str">
        <f>_xlfn.XLOOKUP(B3,[1]VFDB2!A:A,[1]VFDB2!A:A)</f>
        <v>J1ZAFJB00106133</v>
      </c>
      <c r="B39" s="136"/>
      <c r="C39" s="136"/>
      <c r="D39" s="136"/>
      <c r="E39" s="116" t="s">
        <v>187</v>
      </c>
      <c r="F39" s="117"/>
      <c r="G39" s="118" t="s">
        <v>186</v>
      </c>
      <c r="H39" s="76" t="s">
        <v>162</v>
      </c>
      <c r="I39" s="30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45846</v>
      </c>
      <c r="J39" s="77" t="str">
        <v/>
      </c>
    </row>
    <row r="40" spans="1:14" s="5" customFormat="1" ht="18" customHeight="1">
      <c r="A40" s="137"/>
      <c r="B40" s="138"/>
      <c r="C40" s="138"/>
      <c r="D40" s="138"/>
      <c r="E40" s="116"/>
      <c r="F40" s="117"/>
      <c r="G40" s="118"/>
      <c r="H40" s="76" t="s">
        <v>163</v>
      </c>
      <c r="I40" s="78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20</v>
      </c>
      <c r="J40" s="79" t="str">
        <v/>
      </c>
      <c r="K40" s="31"/>
    </row>
    <row r="41" spans="1:14" s="7" customFormat="1" ht="18" customHeight="1">
      <c r="A41" s="119" t="s">
        <v>164</v>
      </c>
      <c r="B41" s="121" t="str">
        <f>_xlfn.XLOOKUP(B3,[1]VFDB2!A:A,[1]VFDB2!J:J)</f>
        <v>〇</v>
      </c>
      <c r="C41" s="163" t="s">
        <v>165</v>
      </c>
      <c r="D41" s="165">
        <f>_xlfn.XLOOKUP(B3,[1]VFDB2!A:A,[1]VFDB2!P:P)</f>
        <v>2</v>
      </c>
      <c r="E41" s="116" t="str">
        <f>_xlfn.XLOOKUP(B3,[1]VFDB2!A:A,[1]VFDB2!V:V)</f>
        <v>梱包箱:薄型1334　1/2</v>
      </c>
      <c r="F41" s="117"/>
      <c r="G41" s="148"/>
      <c r="H41" s="80" t="s">
        <v>166</v>
      </c>
      <c r="I41" s="78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0</v>
      </c>
      <c r="J41" s="81" t="str">
        <v/>
      </c>
      <c r="K41" s="32"/>
    </row>
    <row r="42" spans="1:14" s="5" customFormat="1" ht="18" customHeight="1">
      <c r="A42" s="120"/>
      <c r="B42" s="122"/>
      <c r="C42" s="164"/>
      <c r="D42" s="166"/>
      <c r="E42" s="116"/>
      <c r="F42" s="117"/>
      <c r="G42" s="148"/>
      <c r="H42" s="80" t="s">
        <v>167</v>
      </c>
      <c r="I42" s="78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0</v>
      </c>
      <c r="J42" s="82" t="str">
        <v/>
      </c>
      <c r="K42" s="31"/>
    </row>
    <row r="43" spans="1:14" s="7" customFormat="1" ht="18" customHeight="1">
      <c r="A43" s="140" t="s">
        <v>168</v>
      </c>
      <c r="B43" s="142">
        <f>D3</f>
        <v>613</v>
      </c>
      <c r="C43" s="144" t="s">
        <v>169</v>
      </c>
      <c r="D43" s="146" t="str">
        <f>_xlfn.XLOOKUP(B3,[1]VFDB2!A:A,[1]VFDB2!L:L)</f>
        <v>+2</v>
      </c>
      <c r="E43" s="116" t="str">
        <f>_xlfn.XLOOKUP(B3,[1]VFDB2!A:A,[1]VFDB2!W:W)</f>
        <v>クラフト紙：1370型　1/2</v>
      </c>
      <c r="F43" s="117"/>
      <c r="G43" s="148"/>
      <c r="H43" s="80" t="s">
        <v>170</v>
      </c>
      <c r="I43" s="78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0</v>
      </c>
      <c r="J43" s="83" t="str">
        <v/>
      </c>
      <c r="K43" s="32"/>
    </row>
    <row r="44" spans="1:14" s="5" customFormat="1" ht="18" customHeight="1">
      <c r="A44" s="141"/>
      <c r="B44" s="143"/>
      <c r="C44" s="145"/>
      <c r="D44" s="147"/>
      <c r="E44" s="116"/>
      <c r="F44" s="117"/>
      <c r="G44" s="148"/>
      <c r="H44" s="80" t="s">
        <v>171</v>
      </c>
      <c r="I44" s="78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20</v>
      </c>
      <c r="J44" s="84" t="str">
        <v/>
      </c>
      <c r="K44" s="31"/>
    </row>
    <row r="45" spans="1:14" s="7" customFormat="1" ht="18" customHeight="1">
      <c r="A45" s="119" t="s">
        <v>172</v>
      </c>
      <c r="B45" s="151" t="str">
        <f>_xlfn.XLOOKUP(B3,[1]VFDB2!A:A,[1]VFDB2!AC:AC)</f>
        <v>換算表確認</v>
      </c>
      <c r="C45" s="153" t="s">
        <v>173</v>
      </c>
      <c r="D45" s="146">
        <f>_xlfn.XLOOKUP(B3,[1]VFDB2!A:A,[1]VFDB2!K:K)</f>
        <v>-2</v>
      </c>
      <c r="E45" s="116" t="str">
        <f>_xlfn.XLOOKUP(B3,[1]VFDB2!A:A,[1]VFDB2!R:R)</f>
        <v>ラベル２枚　長手有　鉢巻無</v>
      </c>
      <c r="F45" s="117"/>
      <c r="G45" s="148"/>
      <c r="H45" s="80" t="s">
        <v>174</v>
      </c>
      <c r="I45" s="78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水野</v>
      </c>
      <c r="J45" s="85" t="str">
        <v/>
      </c>
      <c r="K45" s="32"/>
    </row>
    <row r="46" spans="1:14" s="5" customFormat="1" ht="18" customHeight="1" thickBot="1">
      <c r="A46" s="150"/>
      <c r="B46" s="152"/>
      <c r="C46" s="154"/>
      <c r="D46" s="155"/>
      <c r="E46" s="156"/>
      <c r="F46" s="157"/>
      <c r="G46" s="158"/>
      <c r="H46" s="86" t="s">
        <v>175</v>
      </c>
      <c r="I46" s="33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高森</v>
      </c>
      <c r="J46" s="87">
        <v>0</v>
      </c>
    </row>
    <row r="47" spans="1:14" s="44" customFormat="1" ht="18.95" customHeight="1">
      <c r="A47" s="34" t="s">
        <v>176</v>
      </c>
      <c r="B47" s="35" t="s">
        <v>185</v>
      </c>
      <c r="C47" s="36" t="s">
        <v>177</v>
      </c>
      <c r="D47" s="36" t="s">
        <v>178</v>
      </c>
      <c r="E47" s="37" t="s">
        <v>179</v>
      </c>
      <c r="F47" s="38" t="s">
        <v>180</v>
      </c>
      <c r="G47" s="39" t="s">
        <v>181</v>
      </c>
      <c r="H47" s="40" t="s">
        <v>182</v>
      </c>
      <c r="I47" s="41" t="s">
        <v>183</v>
      </c>
      <c r="J47" s="42" t="s">
        <v>184</v>
      </c>
      <c r="K47" s="43"/>
      <c r="L47" s="43"/>
      <c r="M47" s="43"/>
      <c r="N47" s="43"/>
    </row>
    <row r="48" spans="1:14" s="55" customFormat="1" ht="18.95" customHeight="1">
      <c r="A48" s="88" t="str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/>
      </c>
      <c r="B48" s="46" t="str">
        <v/>
      </c>
      <c r="C48" s="47" t="str">
        <v/>
      </c>
      <c r="D48" s="47" t="str">
        <v/>
      </c>
      <c r="E48" s="48" t="str">
        <v/>
      </c>
      <c r="F48" s="49">
        <v>0</v>
      </c>
      <c r="G48" s="50">
        <v>0</v>
      </c>
      <c r="H48" s="51">
        <v>0</v>
      </c>
      <c r="I48" s="52">
        <v>45846</v>
      </c>
      <c r="J48" s="53">
        <v>10</v>
      </c>
      <c r="K48" s="54"/>
      <c r="L48" s="54"/>
      <c r="M48" s="54"/>
      <c r="N48" s="54"/>
    </row>
    <row r="49" spans="1:14" s="55" customFormat="1" ht="18.95" customHeight="1">
      <c r="A49" s="45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45846</v>
      </c>
      <c r="B49" s="56" t="str">
        <v>25G02-01</v>
      </c>
      <c r="C49" s="56">
        <v>28</v>
      </c>
      <c r="D49" s="56">
        <v>613.70000000000005</v>
      </c>
      <c r="E49" s="57">
        <v>613.45000000000005</v>
      </c>
      <c r="F49" s="58" t="str">
        <v>25G02-01</v>
      </c>
      <c r="G49" s="59">
        <v>0</v>
      </c>
      <c r="H49" s="60">
        <v>0</v>
      </c>
      <c r="I49" s="52" t="str">
        <v/>
      </c>
      <c r="J49" s="53" t="str">
        <v/>
      </c>
      <c r="K49" s="54"/>
      <c r="L49" s="54"/>
      <c r="M49" s="54"/>
      <c r="N49" s="54"/>
    </row>
    <row r="50" spans="1:14" s="55" customFormat="1" ht="18.95" customHeight="1">
      <c r="A50" s="45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>45846</v>
      </c>
      <c r="B50" s="56" t="str">
        <v>25G02-01</v>
      </c>
      <c r="C50" s="56">
        <v>28</v>
      </c>
      <c r="D50" s="56">
        <v>613.70000000000005</v>
      </c>
      <c r="E50" s="57">
        <v>613.29999999999995</v>
      </c>
      <c r="F50" s="58" t="str">
        <v/>
      </c>
      <c r="G50" s="59" t="str">
        <v/>
      </c>
      <c r="H50" s="60">
        <v>0</v>
      </c>
      <c r="I50" s="52" t="str">
        <v/>
      </c>
      <c r="J50" s="53" t="str">
        <v/>
      </c>
      <c r="K50" s="54"/>
      <c r="L50" s="54"/>
      <c r="M50" s="54"/>
      <c r="N50" s="54"/>
    </row>
    <row r="51" spans="1:14" s="55" customFormat="1" ht="18.95" customHeight="1">
      <c r="A51" s="45" t="str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/>
      </c>
      <c r="B51" s="56" t="str">
        <v/>
      </c>
      <c r="C51" s="56" t="str">
        <v/>
      </c>
      <c r="D51" s="56" t="str">
        <v/>
      </c>
      <c r="E51" s="57" t="str">
        <v/>
      </c>
      <c r="F51" s="58" t="str">
        <v/>
      </c>
      <c r="G51" s="59" t="str">
        <v/>
      </c>
      <c r="H51" s="60">
        <v>0</v>
      </c>
      <c r="I51" s="52" t="str">
        <v/>
      </c>
      <c r="J51" s="53" t="str">
        <v/>
      </c>
      <c r="K51" s="54"/>
      <c r="L51" s="54"/>
      <c r="M51" s="54"/>
      <c r="N51" s="54"/>
    </row>
    <row r="52" spans="1:14" s="55" customFormat="1" ht="18.95" customHeight="1">
      <c r="A52" s="45" t="str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/>
      </c>
      <c r="B52" s="56" t="str">
        <v/>
      </c>
      <c r="C52" s="56" t="str">
        <v/>
      </c>
      <c r="D52" s="56" t="str">
        <v/>
      </c>
      <c r="E52" s="57" t="str">
        <v/>
      </c>
      <c r="F52" s="58" t="str">
        <v/>
      </c>
      <c r="G52" s="59" t="str">
        <v/>
      </c>
      <c r="H52" s="60">
        <v>0</v>
      </c>
      <c r="I52" s="61" t="str">
        <v/>
      </c>
      <c r="J52" s="62" t="str">
        <v/>
      </c>
      <c r="K52" s="54"/>
      <c r="L52" s="54"/>
      <c r="M52" s="54"/>
      <c r="N52" s="54"/>
    </row>
    <row r="53" spans="1:14" s="55" customFormat="1" ht="18.95" customHeight="1">
      <c r="A53" s="45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56" t="str">
        <v/>
      </c>
      <c r="C53" s="56" t="str">
        <v/>
      </c>
      <c r="D53" s="56" t="str">
        <v/>
      </c>
      <c r="E53" s="57" t="str">
        <v/>
      </c>
      <c r="F53" s="58" t="str">
        <v/>
      </c>
      <c r="G53" s="59" t="str">
        <v/>
      </c>
      <c r="H53" s="63">
        <v>0</v>
      </c>
      <c r="I53" s="64" t="str">
        <v>旧品加工</v>
      </c>
      <c r="J53" s="65" t="str">
        <v/>
      </c>
      <c r="K53" s="54"/>
      <c r="L53" s="54"/>
      <c r="M53" s="54"/>
      <c r="N53" s="54"/>
    </row>
    <row r="54" spans="1:14" s="55" customFormat="1" ht="18.95" customHeight="1">
      <c r="A54" s="45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56" t="str">
        <v/>
      </c>
      <c r="C54" s="56" t="str">
        <v/>
      </c>
      <c r="D54" s="56" t="str">
        <v/>
      </c>
      <c r="E54" s="57" t="str">
        <v/>
      </c>
      <c r="F54" s="58" t="str">
        <v/>
      </c>
      <c r="G54" s="59" t="str">
        <v/>
      </c>
      <c r="H54" s="63">
        <v>0</v>
      </c>
      <c r="I54" s="66" t="str">
        <v>持出端材</v>
      </c>
      <c r="J54" s="67">
        <v>20</v>
      </c>
      <c r="K54" s="54"/>
      <c r="L54" s="54"/>
      <c r="M54" s="54"/>
      <c r="N54" s="54"/>
    </row>
    <row r="55" spans="1:14" s="55" customFormat="1" ht="18.95" customHeight="1" thickBot="1">
      <c r="A55" s="68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69" t="str">
        <v/>
      </c>
      <c r="C55" s="69" t="str">
        <v/>
      </c>
      <c r="D55" s="69" t="str">
        <v/>
      </c>
      <c r="E55" s="70" t="str">
        <v/>
      </c>
      <c r="F55" s="71" t="str">
        <v/>
      </c>
      <c r="G55" s="72" t="str">
        <v/>
      </c>
      <c r="H55" s="73">
        <v>0</v>
      </c>
      <c r="I55" s="74" t="str">
        <v>α端材</v>
      </c>
      <c r="J55" s="75">
        <v>0</v>
      </c>
      <c r="K55" s="54"/>
      <c r="L55" s="54"/>
      <c r="M55" s="54"/>
      <c r="N55" s="54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26" t="s">
        <v>0</v>
      </c>
      <c r="C58" s="90"/>
      <c r="D58" s="90"/>
      <c r="E58" s="12"/>
      <c r="F58" s="12"/>
      <c r="G58" s="12"/>
      <c r="H58" s="12"/>
      <c r="I58" s="12"/>
      <c r="J58" s="12"/>
    </row>
    <row r="59" spans="1:14" ht="14.25" customHeight="1">
      <c r="A59" s="13"/>
      <c r="B59" s="90"/>
      <c r="C59" s="90"/>
      <c r="D59" s="90"/>
      <c r="E59" s="13"/>
      <c r="F59" s="13"/>
      <c r="G59" s="13"/>
      <c r="H59" s="13"/>
      <c r="I59" s="13"/>
      <c r="J59" s="13"/>
    </row>
    <row r="60" spans="1:14" ht="14.25" customHeight="1">
      <c r="A60" s="95" t="s">
        <v>1</v>
      </c>
      <c r="B60" s="95" t="s">
        <v>57</v>
      </c>
      <c r="C60" s="95" t="s">
        <v>3</v>
      </c>
      <c r="D60" s="123">
        <v>1279</v>
      </c>
      <c r="E60" s="95" t="s">
        <v>4</v>
      </c>
      <c r="F60" s="89" t="s">
        <v>58</v>
      </c>
      <c r="G60" s="90"/>
      <c r="H60" s="91"/>
      <c r="I60" s="14" t="s">
        <v>6</v>
      </c>
      <c r="J60" s="14" t="s">
        <v>7</v>
      </c>
    </row>
    <row r="61" spans="1:14" ht="14.25" customHeight="1">
      <c r="A61" s="90"/>
      <c r="B61" s="90"/>
      <c r="C61" s="90"/>
      <c r="D61" s="90"/>
      <c r="E61" s="90"/>
      <c r="F61" s="90"/>
      <c r="G61" s="90"/>
      <c r="H61" s="91"/>
      <c r="I61" s="98"/>
      <c r="J61" s="98"/>
    </row>
    <row r="62" spans="1:14" ht="17.45" customHeight="1">
      <c r="A62" s="104" t="s">
        <v>8</v>
      </c>
      <c r="B62" s="104" t="s">
        <v>59</v>
      </c>
      <c r="E62" s="104" t="s">
        <v>10</v>
      </c>
      <c r="F62" s="112" t="s">
        <v>11</v>
      </c>
      <c r="G62" s="90"/>
      <c r="H62" s="91"/>
      <c r="I62" s="99"/>
      <c r="J62" s="99"/>
    </row>
    <row r="63" spans="1:14" ht="17.45" customHeight="1">
      <c r="A63" s="90"/>
      <c r="B63" s="90"/>
      <c r="E63" s="90"/>
      <c r="F63" s="90"/>
      <c r="G63" s="90"/>
      <c r="H63" s="91"/>
      <c r="I63" s="15"/>
      <c r="J63" s="15"/>
    </row>
    <row r="64" spans="1:14" ht="17.45" customHeight="1">
      <c r="A64" s="104" t="s">
        <v>12</v>
      </c>
      <c r="B64" s="104" t="s">
        <v>60</v>
      </c>
      <c r="E64" s="2" t="s">
        <v>14</v>
      </c>
      <c r="F64" s="113" t="s">
        <v>15</v>
      </c>
      <c r="G64" s="90"/>
      <c r="H64" s="22"/>
    </row>
    <row r="65" spans="1:10" ht="17.45" customHeight="1">
      <c r="A65" s="90"/>
      <c r="B65" s="90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45861</v>
      </c>
      <c r="E66" s="2" t="s">
        <v>19</v>
      </c>
      <c r="F66" s="132">
        <v>2</v>
      </c>
      <c r="G66" s="90"/>
      <c r="H66" s="22"/>
    </row>
    <row r="67" spans="1:10" ht="17.45" customHeight="1">
      <c r="A67" s="2" t="s">
        <v>20</v>
      </c>
      <c r="B67" s="4">
        <v>45861</v>
      </c>
      <c r="E67" s="2" t="s">
        <v>21</v>
      </c>
      <c r="F67" s="22">
        <v>10</v>
      </c>
      <c r="G67" s="139" t="s">
        <v>22</v>
      </c>
      <c r="H67" s="128">
        <v>20</v>
      </c>
      <c r="I67" s="129"/>
      <c r="J67" s="130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31"/>
      <c r="H68" s="131"/>
      <c r="I68" s="110"/>
      <c r="J68" s="111"/>
    </row>
    <row r="69" spans="1:10" ht="13.5" customHeight="1">
      <c r="A69" s="102" t="s">
        <v>61</v>
      </c>
      <c r="B69" s="90"/>
      <c r="C69" s="90"/>
      <c r="D69" s="21"/>
      <c r="F69" s="3"/>
      <c r="G69" s="103" t="s">
        <v>26</v>
      </c>
      <c r="H69" s="92" t="s">
        <v>27</v>
      </c>
      <c r="I69" s="109" t="s">
        <v>28</v>
      </c>
      <c r="J69" s="91"/>
    </row>
    <row r="70" spans="1:10" ht="13.5" customHeight="1">
      <c r="A70" s="90"/>
      <c r="B70" s="90"/>
      <c r="C70" s="90"/>
      <c r="D70" s="21"/>
      <c r="F70" s="3"/>
      <c r="G70" s="93"/>
      <c r="H70" s="93"/>
      <c r="I70" s="110"/>
      <c r="J70" s="111"/>
    </row>
    <row r="71" spans="1:10" ht="13.5" customHeight="1">
      <c r="A71" s="1" t="s">
        <v>29</v>
      </c>
    </row>
    <row r="72" spans="1:10" ht="63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</row>
    <row r="73" spans="1:10" ht="18.75">
      <c r="A73" s="24" t="s">
        <v>30</v>
      </c>
      <c r="B73" s="17" t="s">
        <v>31</v>
      </c>
      <c r="C73" s="114" t="s">
        <v>32</v>
      </c>
      <c r="D73" s="107"/>
      <c r="E73" s="17" t="s">
        <v>33</v>
      </c>
      <c r="F73" s="114" t="s">
        <v>34</v>
      </c>
      <c r="G73" s="107"/>
      <c r="H73" s="107"/>
      <c r="I73" s="106" t="s">
        <v>35</v>
      </c>
      <c r="J73" s="107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94" t="s">
        <v>37</v>
      </c>
      <c r="D75" s="90"/>
      <c r="E75" s="25" t="s">
        <v>38</v>
      </c>
      <c r="F75" s="94" t="s">
        <v>39</v>
      </c>
      <c r="G75" s="90"/>
      <c r="H75" s="90"/>
      <c r="I75" s="108"/>
      <c r="J75" s="90"/>
    </row>
    <row r="76" spans="1:10" ht="16.5" customHeight="1">
      <c r="A76" s="23">
        <v>1</v>
      </c>
      <c r="B76" s="26" t="s">
        <v>36</v>
      </c>
      <c r="C76" s="94" t="s">
        <v>37</v>
      </c>
      <c r="D76" s="90"/>
      <c r="E76" s="25" t="s">
        <v>40</v>
      </c>
      <c r="F76" s="94" t="s">
        <v>41</v>
      </c>
      <c r="G76" s="90"/>
      <c r="H76" s="90"/>
      <c r="I76" s="108"/>
      <c r="J76" s="90"/>
    </row>
    <row r="77" spans="1:10" ht="16.5" customHeight="1">
      <c r="A77" s="23">
        <v>1</v>
      </c>
      <c r="B77" s="26" t="s">
        <v>36</v>
      </c>
      <c r="C77" s="94" t="s">
        <v>37</v>
      </c>
      <c r="D77" s="90"/>
      <c r="E77" s="25" t="s">
        <v>42</v>
      </c>
      <c r="F77" s="94" t="s">
        <v>43</v>
      </c>
      <c r="G77" s="90"/>
      <c r="H77" s="90"/>
      <c r="I77" s="108"/>
      <c r="J77" s="90"/>
    </row>
    <row r="78" spans="1:10" ht="16.5" customHeight="1">
      <c r="A78" s="23"/>
      <c r="B78" s="26"/>
      <c r="C78" s="94"/>
      <c r="D78" s="90"/>
      <c r="E78" s="25"/>
      <c r="F78" s="94"/>
      <c r="G78" s="90"/>
      <c r="H78" s="90"/>
      <c r="I78" s="108"/>
      <c r="J78" s="90"/>
    </row>
    <row r="79" spans="1:10" ht="16.5" customHeight="1">
      <c r="A79" s="23"/>
      <c r="B79" s="26"/>
      <c r="C79" s="94"/>
      <c r="D79" s="90"/>
      <c r="E79" s="25"/>
      <c r="F79" s="94"/>
      <c r="G79" s="90"/>
      <c r="H79" s="90"/>
      <c r="I79" s="108"/>
      <c r="J79" s="90"/>
    </row>
    <row r="80" spans="1:10" ht="16.5" customHeight="1">
      <c r="A80" s="23"/>
      <c r="B80" s="26"/>
      <c r="C80" s="94"/>
      <c r="D80" s="90"/>
      <c r="E80" s="25"/>
      <c r="F80" s="94"/>
      <c r="G80" s="90"/>
      <c r="H80" s="90"/>
      <c r="I80" s="108"/>
      <c r="J80" s="90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00" t="s">
        <v>44</v>
      </c>
      <c r="B82" s="101"/>
      <c r="C82" s="100" t="s">
        <v>45</v>
      </c>
      <c r="D82" s="101"/>
      <c r="E82" s="101"/>
      <c r="F82" s="18" t="s">
        <v>46</v>
      </c>
      <c r="G82" s="100" t="s">
        <v>47</v>
      </c>
      <c r="H82" s="101"/>
      <c r="I82" s="100" t="s">
        <v>48</v>
      </c>
      <c r="J82" s="101"/>
    </row>
    <row r="83" spans="1:10" ht="14.25" customHeight="1">
      <c r="A83" s="8"/>
      <c r="B83" s="19"/>
      <c r="C83" s="127" t="s">
        <v>49</v>
      </c>
      <c r="D83" s="110"/>
      <c r="E83" s="19"/>
      <c r="F83" s="127" t="s">
        <v>29</v>
      </c>
      <c r="G83" s="110"/>
      <c r="H83" s="110"/>
      <c r="I83" s="110"/>
      <c r="J83" s="110"/>
    </row>
    <row r="84" spans="1:10">
      <c r="A84" s="9"/>
      <c r="C84" s="7"/>
      <c r="D84" s="7"/>
      <c r="E84" s="7"/>
    </row>
    <row r="85" spans="1:10" ht="14.25" customHeight="1">
      <c r="A85" s="94" t="s">
        <v>62</v>
      </c>
      <c r="B85" s="90"/>
      <c r="C85" s="94" t="s">
        <v>63</v>
      </c>
      <c r="D85" s="90"/>
      <c r="E85" s="90"/>
      <c r="F85" s="27" t="s">
        <v>52</v>
      </c>
      <c r="G85" s="96">
        <v>20</v>
      </c>
      <c r="H85" s="90"/>
      <c r="I85" s="96">
        <v>10</v>
      </c>
      <c r="J85" s="90"/>
    </row>
    <row r="86" spans="1:10" ht="24.95" customHeight="1">
      <c r="A86" s="105" t="s">
        <v>64</v>
      </c>
      <c r="B86" s="90"/>
      <c r="C86" s="94" t="s">
        <v>11</v>
      </c>
      <c r="D86" s="90"/>
      <c r="E86" s="90"/>
      <c r="F86" s="94"/>
      <c r="G86" s="90"/>
      <c r="H86" s="90"/>
      <c r="I86" s="90"/>
      <c r="J86" s="90"/>
    </row>
    <row r="87" spans="1:10" ht="14.25" customHeight="1">
      <c r="A87" s="94" t="s">
        <v>54</v>
      </c>
      <c r="B87" s="90"/>
      <c r="C87" s="94" t="s">
        <v>55</v>
      </c>
      <c r="D87" s="90"/>
      <c r="E87" s="90"/>
      <c r="F87" s="27" t="s">
        <v>27</v>
      </c>
      <c r="G87" s="96">
        <v>10</v>
      </c>
      <c r="H87" s="90"/>
      <c r="I87" s="96">
        <v>5</v>
      </c>
      <c r="J87" s="90"/>
    </row>
    <row r="88" spans="1:10" ht="24.95" customHeight="1">
      <c r="A88" s="105" t="s">
        <v>56</v>
      </c>
      <c r="B88" s="90"/>
      <c r="C88" s="94"/>
      <c r="D88" s="90"/>
      <c r="E88" s="90"/>
      <c r="F88" s="94"/>
      <c r="G88" s="90"/>
      <c r="H88" s="90"/>
      <c r="I88" s="90"/>
      <c r="J88" s="90"/>
    </row>
    <row r="89" spans="1:10" ht="14.25" customHeight="1">
      <c r="A89" s="94"/>
      <c r="B89" s="90"/>
      <c r="C89" s="94"/>
      <c r="D89" s="90"/>
      <c r="E89" s="90"/>
      <c r="F89" s="27"/>
      <c r="G89" s="96"/>
      <c r="H89" s="90"/>
      <c r="I89" s="96"/>
      <c r="J89" s="90"/>
    </row>
    <row r="90" spans="1:10" ht="24.95" customHeight="1">
      <c r="A90" s="105"/>
      <c r="B90" s="90"/>
      <c r="C90" s="94"/>
      <c r="D90" s="90"/>
      <c r="E90" s="90"/>
      <c r="F90" s="94"/>
      <c r="G90" s="90"/>
      <c r="H90" s="90"/>
      <c r="I90" s="90"/>
      <c r="J90" s="90"/>
    </row>
    <row r="91" spans="1:10" ht="14.25" customHeight="1">
      <c r="A91" s="94"/>
      <c r="B91" s="90"/>
      <c r="C91" s="94"/>
      <c r="D91" s="90"/>
      <c r="E91" s="90"/>
      <c r="F91" s="27"/>
      <c r="G91" s="96"/>
      <c r="H91" s="90"/>
      <c r="I91" s="96"/>
      <c r="J91" s="90"/>
    </row>
    <row r="92" spans="1:10" ht="24.95" customHeight="1">
      <c r="A92" s="105"/>
      <c r="B92" s="90"/>
      <c r="C92" s="94"/>
      <c r="D92" s="90"/>
      <c r="E92" s="90"/>
      <c r="F92" s="94"/>
      <c r="G92" s="90"/>
      <c r="H92" s="90"/>
      <c r="I92" s="90"/>
      <c r="J92" s="90"/>
    </row>
    <row r="93" spans="1:10" ht="14.25" customHeight="1">
      <c r="A93" s="94"/>
      <c r="B93" s="90"/>
      <c r="C93" s="94"/>
      <c r="D93" s="90"/>
      <c r="E93" s="90"/>
      <c r="F93" s="27"/>
      <c r="G93" s="96"/>
      <c r="H93" s="90"/>
      <c r="I93" s="96"/>
      <c r="J93" s="90"/>
    </row>
    <row r="94" spans="1:10" ht="24.95" customHeight="1" thickBot="1">
      <c r="A94" s="105"/>
      <c r="B94" s="90"/>
      <c r="C94" s="94"/>
      <c r="D94" s="90"/>
      <c r="E94" s="90"/>
      <c r="F94" s="94"/>
      <c r="G94" s="90"/>
      <c r="H94" s="90"/>
      <c r="I94" s="90"/>
      <c r="J94" s="90"/>
    </row>
    <row r="95" spans="1:10" s="5" customFormat="1" ht="18" customHeight="1">
      <c r="A95" s="159" t="s">
        <v>157</v>
      </c>
      <c r="B95" s="160"/>
      <c r="C95" s="160"/>
      <c r="D95" s="160"/>
      <c r="E95" s="161" t="s">
        <v>158</v>
      </c>
      <c r="F95" s="162"/>
      <c r="G95" s="28" t="s">
        <v>159</v>
      </c>
      <c r="H95" s="133" t="s">
        <v>160</v>
      </c>
      <c r="I95" s="134"/>
      <c r="J95" s="29" t="s">
        <v>161</v>
      </c>
    </row>
    <row r="96" spans="1:10" s="7" customFormat="1" ht="18" customHeight="1">
      <c r="A96" s="135" t="str">
        <f>_xlfn.XLOOKUP(B60,[1]VFDB2!A:A,[1]VFDB2!A:A)</f>
        <v>J1ZAFJB00112790</v>
      </c>
      <c r="B96" s="136"/>
      <c r="C96" s="136"/>
      <c r="D96" s="136"/>
      <c r="E96" s="116" t="str" cm="1">
        <f t="array" ref="E96">IFERROR(IF(ISBLANK(INDEX(_xlfn._xlws.FILTER([1]加工記録２!$C$3:$C$992, [1]加工記録２!$T$3:$T$992=B62), 6)), "", INDEX(_xlfn._xlws.FILTER([1]加工記録２!$C$3:$C$992, [1]加工記録２!$T$3:$T$992=B62), 6)),"")</f>
        <v>H型ジョイナー</v>
      </c>
      <c r="F96" s="117"/>
      <c r="G96" s="118" cm="1">
        <f t="array" ref="G96">IFERROR(IF(ISBLANK(INDEX(_xlfn._xlws.FILTER([1]加工記録２!$C$3:$C$992, [1]加工記録２!$T$3:$T$992=B62), 7)), " ", INDEX(_xlfn._xlws.FILTER([1]加工記録２!$C$3:$C$992, [1]加工記録２!$T$3:$T$992=B62), 7))," ")</f>
        <v>10</v>
      </c>
      <c r="H96" s="76" t="s">
        <v>162</v>
      </c>
      <c r="I96" s="30" cm="1">
        <f t="array" ref="I96:J96">IFERROR(IF(ISBLANK(INDEX(_xlfn._xlws.FILTER([1]加工記録２!$O$3:$P$992, [1]加工記録２!$T$3:$T$992=B62), 1)), "", INDEX(_xlfn._xlws.FILTER([1]加工記録２!$O$3:$P$992, [1]加工記録２!$T$3:$T$992=B62), 1)),"")</f>
        <v>45849</v>
      </c>
      <c r="J96" s="77" t="str">
        <v/>
      </c>
    </row>
    <row r="97" spans="1:14" s="5" customFormat="1" ht="18" customHeight="1">
      <c r="A97" s="137"/>
      <c r="B97" s="138"/>
      <c r="C97" s="138"/>
      <c r="D97" s="138"/>
      <c r="E97" s="116"/>
      <c r="F97" s="117"/>
      <c r="G97" s="118"/>
      <c r="H97" s="76" t="s">
        <v>163</v>
      </c>
      <c r="I97" s="78" cm="1">
        <f t="array" ref="I97:J97">IFERROR(IF(ISBLANK(INDEX(_xlfn._xlws.FILTER([1]加工記録２!$O$3:$P$992, [1]加工記録２!$T$3:$T$992=B62), 2)), "", INDEX(_xlfn._xlws.FILTER([1]加工記録２!$O$3:$P$992, [1]加工記録２!$T$3:$T$992=B62), 2)),"")</f>
        <v>20</v>
      </c>
      <c r="J97" s="79">
        <v>4</v>
      </c>
      <c r="K97" s="31"/>
    </row>
    <row r="98" spans="1:14" s="7" customFormat="1" ht="18" customHeight="1">
      <c r="A98" s="119" t="s">
        <v>164</v>
      </c>
      <c r="B98" s="121" t="str">
        <f>_xlfn.XLOOKUP(B60,[1]VFDB2!A:A,[1]VFDB2!J:J)</f>
        <v>〇</v>
      </c>
      <c r="C98" s="163" t="s">
        <v>165</v>
      </c>
      <c r="D98" s="165">
        <f>_xlfn.XLOOKUP(B60,[1]VFDB2!A:A,[1]VFDB2!P:P)</f>
        <v>1</v>
      </c>
      <c r="E98" s="116" t="str">
        <f>_xlfn.XLOOKUP(B60,[1]VFDB2!A:A,[1]VFDB2!V:V)</f>
        <v>梱包箱:薄型1334</v>
      </c>
      <c r="F98" s="117"/>
      <c r="G98" s="148"/>
      <c r="H98" s="80" t="s">
        <v>166</v>
      </c>
      <c r="I98" s="78" cm="1">
        <f t="array" ref="I98:J98">IFERROR(IF(ISBLANK(INDEX(_xlfn._xlws.FILTER([1]加工記録２!$O$3:$P$992, [1]加工記録２!$T$3:$T$992=B62), 3)), "", INDEX(_xlfn._xlws.FILTER([1]加工記録２!$O$3:$P$992, [1]加工記録２!$T$3:$T$992=B62), 3)),"")</f>
        <v>15</v>
      </c>
      <c r="J98" s="81" t="str">
        <v/>
      </c>
      <c r="K98" s="32"/>
    </row>
    <row r="99" spans="1:14" s="5" customFormat="1" ht="18" customHeight="1">
      <c r="A99" s="120"/>
      <c r="B99" s="122"/>
      <c r="C99" s="164"/>
      <c r="D99" s="166"/>
      <c r="E99" s="116"/>
      <c r="F99" s="117"/>
      <c r="G99" s="148"/>
      <c r="H99" s="80" t="s">
        <v>167</v>
      </c>
      <c r="I99" s="78" cm="1">
        <f t="array" ref="I99:J99">IFERROR(IF(ISBLANK(INDEX(_xlfn._xlws.FILTER([1]加工記録２!$O$3:$P$992, [1]加工記録２!$T$3:$T$992=B62), 4)), "", INDEX(_xlfn._xlws.FILTER([1]加工記録２!$O$3:$P$992, [1]加工記録２!$T$3:$T$992=B62), 4)),"")</f>
        <v>4</v>
      </c>
      <c r="J99" s="82" t="str">
        <v/>
      </c>
      <c r="K99" s="31"/>
    </row>
    <row r="100" spans="1:14" s="7" customFormat="1" ht="18" customHeight="1">
      <c r="A100" s="140" t="s">
        <v>168</v>
      </c>
      <c r="B100" s="142">
        <f>D60</f>
        <v>1279</v>
      </c>
      <c r="C100" s="144" t="s">
        <v>169</v>
      </c>
      <c r="D100" s="146" t="str">
        <f>_xlfn.XLOOKUP(B60,[1]VFDB2!A:A,[1]VFDB2!L:L)</f>
        <v>+2</v>
      </c>
      <c r="E100" s="116" t="str">
        <f>_xlfn.XLOOKUP(B60,[1]VFDB2!A:A,[1]VFDB2!W:W)</f>
        <v>クラフト紙：1370型</v>
      </c>
      <c r="F100" s="117"/>
      <c r="G100" s="148"/>
      <c r="H100" s="80" t="s">
        <v>170</v>
      </c>
      <c r="I100" s="78" cm="1">
        <f t="array" ref="I100:J100">IFERROR(IF(ISBLANK(INDEX(_xlfn._xlws.FILTER([1]加工記録２!$O$3:$P$992, [1]加工記録２!$T$3:$T$992=B62), 5)), "", INDEX(_xlfn._xlws.FILTER([1]加工記録２!$O$3:$P$992, [1]加工記録２!$T$3:$T$992=B62), 5)),"")</f>
        <v>4</v>
      </c>
      <c r="J100" s="83" t="str">
        <v/>
      </c>
      <c r="K100" s="32"/>
    </row>
    <row r="101" spans="1:14" s="5" customFormat="1" ht="18" customHeight="1">
      <c r="A101" s="141"/>
      <c r="B101" s="143"/>
      <c r="C101" s="145"/>
      <c r="D101" s="147"/>
      <c r="E101" s="116"/>
      <c r="F101" s="117"/>
      <c r="G101" s="148"/>
      <c r="H101" s="80" t="s">
        <v>171</v>
      </c>
      <c r="I101" s="78" cm="1">
        <f t="array" ref="I101:J101">IFERROR(IF(ISBLANK(INDEX(_xlfn._xlws.FILTER([1]加工記録２!$O$3:$P$992, [1]加工記録２!$T$3:$T$992=B62), 6)), "", INDEX(_xlfn._xlws.FILTER([1]加工記録２!$O$3:$P$992, [1]加工記録２!$T$3:$T$992=B62), 6)),"")</f>
        <v>9</v>
      </c>
      <c r="J101" s="84" t="str">
        <v/>
      </c>
      <c r="K101" s="31"/>
    </row>
    <row r="102" spans="1:14" s="7" customFormat="1" ht="18" customHeight="1">
      <c r="A102" s="119" t="s">
        <v>172</v>
      </c>
      <c r="B102" s="151" t="str">
        <f>_xlfn.XLOOKUP(B60,[1]VFDB2!A:A,[1]VFDB2!AC:AC)</f>
        <v>換算表確認</v>
      </c>
      <c r="C102" s="153" t="s">
        <v>173</v>
      </c>
      <c r="D102" s="146">
        <f>_xlfn.XLOOKUP(B60,[1]VFDB2!A:A,[1]VFDB2!K:K)</f>
        <v>-2</v>
      </c>
      <c r="E102" s="116" t="str">
        <f>_xlfn.XLOOKUP(B60,[1]VFDB2!A:A,[1]VFDB2!R:R)</f>
        <v>ラベル2枚　長手有　鉢巻１</v>
      </c>
      <c r="F102" s="117"/>
      <c r="G102" s="148"/>
      <c r="H102" s="80" t="s">
        <v>174</v>
      </c>
      <c r="I102" s="78" t="str" cm="1">
        <f t="array" ref="I102:J102">IFERROR(IF(ISBLANK(INDEX(_xlfn._xlws.FILTER([1]加工記録２!$O$3:$P$992, [1]加工記録２!$T$3:$T$992=B62), 7)), "", INDEX(_xlfn._xlws.FILTER([1]加工記録２!$O$3:$P$992, [1]加工記録２!$T$3:$T$992=B62), 7)),"")</f>
        <v>水野</v>
      </c>
      <c r="J102" s="85" t="str">
        <v/>
      </c>
      <c r="K102" s="32"/>
    </row>
    <row r="103" spans="1:14" s="5" customFormat="1" ht="18" customHeight="1" thickBot="1">
      <c r="A103" s="150"/>
      <c r="B103" s="152"/>
      <c r="C103" s="154"/>
      <c r="D103" s="155"/>
      <c r="E103" s="156"/>
      <c r="F103" s="157"/>
      <c r="G103" s="158"/>
      <c r="H103" s="86" t="s">
        <v>175</v>
      </c>
      <c r="I103" s="33" t="str" cm="1">
        <f t="array" ref="I103:J103">IFERROR(IF(ISBLANK(INDEX(_xlfn._xlws.FILTER([1]加工記録２!$O$3:$P$992, [1]加工記録２!$T$3:$T$992=B62), 8)), "", INDEX(_xlfn._xlws.FILTER([1]加工記録２!$O$3:$P$992, [1]加工記録２!$T$3:$T$992=B62), 8)),"")</f>
        <v>高森</v>
      </c>
      <c r="J103" s="87">
        <v>4</v>
      </c>
    </row>
    <row r="104" spans="1:14" s="44" customFormat="1" ht="18.95" customHeight="1">
      <c r="A104" s="34" t="s">
        <v>176</v>
      </c>
      <c r="B104" s="35" t="s">
        <v>185</v>
      </c>
      <c r="C104" s="36" t="s">
        <v>177</v>
      </c>
      <c r="D104" s="36" t="s">
        <v>178</v>
      </c>
      <c r="E104" s="37" t="s">
        <v>179</v>
      </c>
      <c r="F104" s="38" t="s">
        <v>180</v>
      </c>
      <c r="G104" s="39" t="s">
        <v>181</v>
      </c>
      <c r="H104" s="40" t="s">
        <v>182</v>
      </c>
      <c r="I104" s="41" t="s">
        <v>183</v>
      </c>
      <c r="J104" s="42" t="s">
        <v>184</v>
      </c>
      <c r="K104" s="43"/>
      <c r="L104" s="43"/>
      <c r="M104" s="43"/>
      <c r="N104" s="43"/>
    </row>
    <row r="105" spans="1:14" s="55" customFormat="1" ht="18.95" customHeight="1">
      <c r="A105" s="88" t="str" cm="1">
        <f t="array" ref="A105:J105">IFERROR(IF(ISBLANK(INDEX(_xlfn._xlws.FILTER([1]加工記録２!$D$3:$M$992, [1]加工記録２!$T$3:$T$992=B62), 1)), "", INDEX(_xlfn._xlws.FILTER([1]加工記録２!$D$3:$M$992, [1]加工記録２!$T$3:$T$992=B62), 1)),"")</f>
        <v/>
      </c>
      <c r="B105" s="46" t="str">
        <v/>
      </c>
      <c r="C105" s="47" t="str">
        <v/>
      </c>
      <c r="D105" s="47" t="str">
        <v/>
      </c>
      <c r="E105" s="48" t="str">
        <v/>
      </c>
      <c r="F105" s="49">
        <v>0</v>
      </c>
      <c r="G105" s="50">
        <v>0</v>
      </c>
      <c r="H105" s="51">
        <v>0</v>
      </c>
      <c r="I105" s="52">
        <v>45849</v>
      </c>
      <c r="J105" s="53">
        <v>10</v>
      </c>
      <c r="K105" s="54"/>
      <c r="L105" s="54"/>
      <c r="M105" s="54"/>
      <c r="N105" s="54"/>
    </row>
    <row r="106" spans="1:14" s="55" customFormat="1" ht="18.95" customHeight="1">
      <c r="A106" s="45" cm="1">
        <f t="array" ref="A106:J106">IFERROR(IF(ISBLANK(INDEX(_xlfn._xlws.FILTER([1]加工記録２!$D$3:$M$992, [1]加工記録２!$T$3:$T$992=B62), 2)), "", INDEX(_xlfn._xlws.FILTER([1]加工記録２!$D$3:$M$992, [1]加工記録２!$T$3:$T$992=B62), 2)),"")</f>
        <v>45849</v>
      </c>
      <c r="B106" s="56" t="str">
        <v>25G03-01</v>
      </c>
      <c r="C106" s="56">
        <v>28</v>
      </c>
      <c r="D106" s="56">
        <v>1279.7</v>
      </c>
      <c r="E106" s="57">
        <v>1280.1300000000001</v>
      </c>
      <c r="F106" s="58" t="str">
        <v>25G03-01</v>
      </c>
      <c r="G106" s="59">
        <v>15</v>
      </c>
      <c r="H106" s="60">
        <v>15</v>
      </c>
      <c r="I106" s="52" t="str">
        <v/>
      </c>
      <c r="J106" s="53" t="str">
        <v/>
      </c>
      <c r="K106" s="54"/>
      <c r="L106" s="54"/>
      <c r="M106" s="54"/>
      <c r="N106" s="54"/>
    </row>
    <row r="107" spans="1:14" s="55" customFormat="1" ht="18.95" customHeight="1">
      <c r="A107" s="45" cm="1">
        <f t="array" ref="A107:J107">IFERROR(IF(ISBLANK(INDEX(_xlfn._xlws.FILTER([1]加工記録２!$D$3:$M$992, [1]加工記録２!$T$3:$T$992=B62), 3)), "", INDEX(_xlfn._xlws.FILTER([1]加工記録２!$D$3:$M$992, [1]加工記録２!$T$3:$T$992=B62), 3)),"")</f>
        <v>45849</v>
      </c>
      <c r="B107" s="56" t="str">
        <v>25G03-01</v>
      </c>
      <c r="C107" s="56">
        <v>28</v>
      </c>
      <c r="D107" s="56">
        <v>1279.7</v>
      </c>
      <c r="E107" s="57" t="str">
        <v/>
      </c>
      <c r="F107" s="58" t="str">
        <v/>
      </c>
      <c r="G107" s="59" t="str">
        <v/>
      </c>
      <c r="H107" s="60">
        <v>0</v>
      </c>
      <c r="I107" s="52" t="str">
        <v/>
      </c>
      <c r="J107" s="53" t="str">
        <v/>
      </c>
      <c r="K107" s="54"/>
      <c r="L107" s="54"/>
      <c r="M107" s="54"/>
      <c r="N107" s="54"/>
    </row>
    <row r="108" spans="1:14" s="55" customFormat="1" ht="18.95" customHeight="1">
      <c r="A108" s="45" t="str" cm="1">
        <f t="array" ref="A108:J108">IFERROR(IF(ISBLANK(INDEX(_xlfn._xlws.FILTER([1]加工記録２!$D$3:$M$992, [1]加工記録２!$T$3:$T$992=B62), 4)), "", INDEX(_xlfn._xlws.FILTER([1]加工記録２!$D$3:$M$992, [1]加工記録２!$T$3:$T$992=B62), 4)),"")</f>
        <v/>
      </c>
      <c r="B108" s="56" t="str">
        <v/>
      </c>
      <c r="C108" s="56" t="str">
        <v/>
      </c>
      <c r="D108" s="56" t="str">
        <v/>
      </c>
      <c r="E108" s="57" t="str">
        <v/>
      </c>
      <c r="F108" s="58" t="str">
        <v/>
      </c>
      <c r="G108" s="59" t="str">
        <v/>
      </c>
      <c r="H108" s="60">
        <v>0</v>
      </c>
      <c r="I108" s="52" t="str">
        <v/>
      </c>
      <c r="J108" s="53" t="str">
        <v/>
      </c>
      <c r="K108" s="54"/>
      <c r="L108" s="54"/>
      <c r="M108" s="54"/>
      <c r="N108" s="54"/>
    </row>
    <row r="109" spans="1:14" s="55" customFormat="1" ht="18.95" customHeight="1">
      <c r="A109" s="45" t="str" cm="1">
        <f t="array" ref="A109:J109">IFERROR(IF(ISBLANK(INDEX(_xlfn._xlws.FILTER([1]加工記録２!$D$3:$M$992, [1]加工記録２!$T$3:$T$992=B62), 5)), "", INDEX(_xlfn._xlws.FILTER([1]加工記録２!$D$3:$M$992, [1]加工記録２!$T$3:$T$992=B62), 5)),"")</f>
        <v/>
      </c>
      <c r="B109" s="56" t="str">
        <v/>
      </c>
      <c r="C109" s="56" t="str">
        <v/>
      </c>
      <c r="D109" s="56" t="str">
        <v/>
      </c>
      <c r="E109" s="57" t="str">
        <v/>
      </c>
      <c r="F109" s="58" t="str">
        <v/>
      </c>
      <c r="G109" s="59" t="str">
        <v/>
      </c>
      <c r="H109" s="60">
        <v>0</v>
      </c>
      <c r="I109" s="61" t="str">
        <v/>
      </c>
      <c r="J109" s="62" t="str">
        <v/>
      </c>
      <c r="K109" s="54"/>
      <c r="L109" s="54"/>
      <c r="M109" s="54"/>
      <c r="N109" s="54"/>
    </row>
    <row r="110" spans="1:14" s="55" customFormat="1" ht="18.95" customHeight="1">
      <c r="A110" s="45" t="str" cm="1">
        <f t="array" ref="A110:J110">IFERROR(IF(ISBLANK(INDEX(_xlfn._xlws.FILTER([1]加工記録２!$D$3:$M$992, [1]加工記録２!$T$3:$T$992=B62), 6)), "", INDEX(_xlfn._xlws.FILTER([1]加工記録２!$D$3:$M$992, [1]加工記録２!$T$3:$T$992=B62), 6)),"")</f>
        <v/>
      </c>
      <c r="B110" s="56" t="str">
        <v/>
      </c>
      <c r="C110" s="56" t="str">
        <v/>
      </c>
      <c r="D110" s="56" t="str">
        <v/>
      </c>
      <c r="E110" s="57" t="str">
        <v/>
      </c>
      <c r="F110" s="58" t="str">
        <v/>
      </c>
      <c r="G110" s="59" t="str">
        <v/>
      </c>
      <c r="H110" s="63">
        <v>0</v>
      </c>
      <c r="I110" s="64" t="str">
        <v>旧品加工</v>
      </c>
      <c r="J110" s="65" t="str">
        <v/>
      </c>
      <c r="K110" s="54"/>
      <c r="L110" s="54"/>
      <c r="M110" s="54"/>
      <c r="N110" s="54"/>
    </row>
    <row r="111" spans="1:14" s="55" customFormat="1" ht="18.95" customHeight="1">
      <c r="A111" s="45" t="str" cm="1">
        <f t="array" ref="A111:J111">IFERROR(IF(ISBLANK(INDEX(_xlfn._xlws.FILTER([1]加工記録２!$D$3:$M$992, [1]加工記録２!$T$3:$T$992=B62), 7)), "", INDEX(_xlfn._xlws.FILTER([1]加工記録２!$D$3:$M$992, [1]加工記録２!$T$3:$T$992=B62), 7)),"")</f>
        <v/>
      </c>
      <c r="B111" s="56" t="str">
        <v/>
      </c>
      <c r="C111" s="56" t="str">
        <v/>
      </c>
      <c r="D111" s="56" t="str">
        <v/>
      </c>
      <c r="E111" s="57" t="str">
        <v/>
      </c>
      <c r="F111" s="58" t="str">
        <v/>
      </c>
      <c r="G111" s="59" t="str">
        <v/>
      </c>
      <c r="H111" s="63">
        <v>0</v>
      </c>
      <c r="I111" s="66" t="str">
        <v>持出端材</v>
      </c>
      <c r="J111" s="67">
        <v>9</v>
      </c>
      <c r="K111" s="54"/>
      <c r="L111" s="54"/>
      <c r="M111" s="54"/>
      <c r="N111" s="54"/>
    </row>
    <row r="112" spans="1:14" s="55" customFormat="1" ht="18.95" customHeight="1" thickBot="1">
      <c r="A112" s="68" t="str" cm="1">
        <f t="array" ref="A112:J112">IFERROR(IF(ISBLANK(INDEX(_xlfn._xlws.FILTER([1]加工記録２!$D$3:$M$992, [1]加工記録２!$T$3:$T$992=B62), 8)), "", INDEX(_xlfn._xlws.FILTER([1]加工記録２!$D$3:$M$992, [1]加工記録２!$T$3:$T$992=B62), 8)),"")</f>
        <v/>
      </c>
      <c r="B112" s="69" t="str">
        <v/>
      </c>
      <c r="C112" s="69" t="str">
        <v/>
      </c>
      <c r="D112" s="69" t="str">
        <v/>
      </c>
      <c r="E112" s="70" t="str">
        <v/>
      </c>
      <c r="F112" s="71" t="str">
        <v/>
      </c>
      <c r="G112" s="72" t="str">
        <v/>
      </c>
      <c r="H112" s="73">
        <v>0</v>
      </c>
      <c r="I112" s="74" t="str">
        <v>α端材</v>
      </c>
      <c r="J112" s="75">
        <v>0</v>
      </c>
      <c r="K112" s="54"/>
      <c r="L112" s="54"/>
      <c r="M112" s="54"/>
      <c r="N112" s="54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26" t="s">
        <v>0</v>
      </c>
      <c r="C115" s="90"/>
      <c r="D115" s="90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90"/>
      <c r="C116" s="90"/>
      <c r="D116" s="90"/>
      <c r="E116" s="13"/>
      <c r="F116" s="13"/>
      <c r="G116" s="13"/>
      <c r="H116" s="13"/>
      <c r="I116" s="13"/>
      <c r="J116" s="13"/>
    </row>
    <row r="117" spans="1:10" ht="14.25" customHeight="1">
      <c r="A117" s="95" t="s">
        <v>1</v>
      </c>
      <c r="B117" s="95" t="s">
        <v>65</v>
      </c>
      <c r="C117" s="95" t="s">
        <v>3</v>
      </c>
      <c r="D117" s="123">
        <v>1309</v>
      </c>
      <c r="E117" s="95" t="s">
        <v>4</v>
      </c>
      <c r="F117" s="89" t="s">
        <v>66</v>
      </c>
      <c r="G117" s="90"/>
      <c r="H117" s="91"/>
      <c r="I117" s="14" t="s">
        <v>6</v>
      </c>
      <c r="J117" s="14" t="s">
        <v>7</v>
      </c>
    </row>
    <row r="118" spans="1:10" ht="14.25" customHeight="1">
      <c r="A118" s="90"/>
      <c r="B118" s="90"/>
      <c r="C118" s="90"/>
      <c r="D118" s="90"/>
      <c r="E118" s="90"/>
      <c r="F118" s="90"/>
      <c r="G118" s="90"/>
      <c r="H118" s="91"/>
      <c r="I118" s="98"/>
      <c r="J118" s="98"/>
    </row>
    <row r="119" spans="1:10" ht="17.45" customHeight="1">
      <c r="A119" s="104" t="s">
        <v>8</v>
      </c>
      <c r="B119" s="104" t="s">
        <v>67</v>
      </c>
      <c r="E119" s="104" t="s">
        <v>10</v>
      </c>
      <c r="F119" s="112" t="s">
        <v>11</v>
      </c>
      <c r="G119" s="90"/>
      <c r="H119" s="91"/>
      <c r="I119" s="99"/>
      <c r="J119" s="99"/>
    </row>
    <row r="120" spans="1:10" ht="17.45" customHeight="1">
      <c r="A120" s="90"/>
      <c r="B120" s="90"/>
      <c r="E120" s="90"/>
      <c r="F120" s="90"/>
      <c r="G120" s="90"/>
      <c r="H120" s="91"/>
      <c r="I120" s="15"/>
      <c r="J120" s="15"/>
    </row>
    <row r="121" spans="1:10" ht="17.45" customHeight="1">
      <c r="A121" s="104" t="s">
        <v>12</v>
      </c>
      <c r="B121" s="104" t="s">
        <v>68</v>
      </c>
      <c r="E121" s="2" t="s">
        <v>14</v>
      </c>
      <c r="F121" s="113" t="s">
        <v>15</v>
      </c>
      <c r="G121" s="90"/>
      <c r="H121" s="22"/>
    </row>
    <row r="122" spans="1:10" ht="17.45" customHeight="1">
      <c r="A122" s="90"/>
      <c r="B122" s="90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45861</v>
      </c>
      <c r="E123" s="2" t="s">
        <v>19</v>
      </c>
      <c r="F123" s="132">
        <v>2</v>
      </c>
      <c r="G123" s="90"/>
      <c r="H123" s="22"/>
    </row>
    <row r="124" spans="1:10" ht="17.45" customHeight="1">
      <c r="A124" s="2" t="s">
        <v>20</v>
      </c>
      <c r="B124" s="4">
        <v>45861</v>
      </c>
      <c r="E124" s="2" t="s">
        <v>21</v>
      </c>
      <c r="F124" s="22">
        <v>10</v>
      </c>
      <c r="G124" s="139" t="s">
        <v>22</v>
      </c>
      <c r="H124" s="128">
        <v>20</v>
      </c>
      <c r="I124" s="129"/>
      <c r="J124" s="130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31"/>
      <c r="H125" s="131"/>
      <c r="I125" s="110"/>
      <c r="J125" s="111"/>
    </row>
    <row r="126" spans="1:10" ht="13.5" customHeight="1">
      <c r="A126" s="102" t="s">
        <v>69</v>
      </c>
      <c r="B126" s="90"/>
      <c r="C126" s="90"/>
      <c r="D126" s="21"/>
      <c r="F126" s="3"/>
      <c r="G126" s="103" t="s">
        <v>26</v>
      </c>
      <c r="H126" s="92" t="s">
        <v>27</v>
      </c>
      <c r="I126" s="109" t="s">
        <v>28</v>
      </c>
      <c r="J126" s="91"/>
    </row>
    <row r="127" spans="1:10" ht="13.5" customHeight="1">
      <c r="A127" s="90"/>
      <c r="B127" s="90"/>
      <c r="C127" s="90"/>
      <c r="D127" s="21"/>
      <c r="F127" s="3"/>
      <c r="G127" s="93"/>
      <c r="H127" s="93"/>
      <c r="I127" s="110"/>
      <c r="J127" s="111"/>
    </row>
    <row r="128" spans="1:10" ht="13.5" customHeight="1">
      <c r="A128" s="1" t="s">
        <v>29</v>
      </c>
    </row>
    <row r="129" spans="1:10" ht="63" customHeight="1">
      <c r="A129" s="124"/>
      <c r="B129" s="125"/>
      <c r="C129" s="125"/>
      <c r="D129" s="125"/>
      <c r="E129" s="125"/>
      <c r="F129" s="125"/>
      <c r="G129" s="125"/>
      <c r="H129" s="125"/>
      <c r="I129" s="125"/>
      <c r="J129" s="125"/>
    </row>
    <row r="130" spans="1:10" ht="18.75">
      <c r="A130" s="24" t="s">
        <v>30</v>
      </c>
      <c r="B130" s="17" t="s">
        <v>31</v>
      </c>
      <c r="C130" s="114" t="s">
        <v>32</v>
      </c>
      <c r="D130" s="107"/>
      <c r="E130" s="17" t="s">
        <v>33</v>
      </c>
      <c r="F130" s="114" t="s">
        <v>34</v>
      </c>
      <c r="G130" s="107"/>
      <c r="H130" s="107"/>
      <c r="I130" s="106" t="s">
        <v>35</v>
      </c>
      <c r="J130" s="107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94" t="s">
        <v>37</v>
      </c>
      <c r="D132" s="90"/>
      <c r="E132" s="25" t="s">
        <v>38</v>
      </c>
      <c r="F132" s="94" t="s">
        <v>39</v>
      </c>
      <c r="G132" s="90"/>
      <c r="H132" s="90"/>
      <c r="I132" s="108"/>
      <c r="J132" s="90"/>
    </row>
    <row r="133" spans="1:10" ht="16.5" customHeight="1">
      <c r="A133" s="23">
        <v>1</v>
      </c>
      <c r="B133" s="26" t="s">
        <v>36</v>
      </c>
      <c r="C133" s="94" t="s">
        <v>37</v>
      </c>
      <c r="D133" s="90"/>
      <c r="E133" s="25" t="s">
        <v>42</v>
      </c>
      <c r="F133" s="94" t="s">
        <v>43</v>
      </c>
      <c r="G133" s="90"/>
      <c r="H133" s="90"/>
      <c r="I133" s="108"/>
      <c r="J133" s="90"/>
    </row>
    <row r="134" spans="1:10" ht="16.5" customHeight="1">
      <c r="A134" s="23">
        <v>1</v>
      </c>
      <c r="B134" s="26" t="s">
        <v>36</v>
      </c>
      <c r="C134" s="94" t="s">
        <v>37</v>
      </c>
      <c r="D134" s="90"/>
      <c r="E134" s="25" t="s">
        <v>40</v>
      </c>
      <c r="F134" s="94" t="s">
        <v>41</v>
      </c>
      <c r="G134" s="90"/>
      <c r="H134" s="90"/>
      <c r="I134" s="108"/>
      <c r="J134" s="90"/>
    </row>
    <row r="135" spans="1:10" ht="16.5" customHeight="1">
      <c r="A135" s="23"/>
      <c r="B135" s="26"/>
      <c r="C135" s="94"/>
      <c r="D135" s="90"/>
      <c r="E135" s="25"/>
      <c r="F135" s="94"/>
      <c r="G135" s="90"/>
      <c r="H135" s="90"/>
      <c r="I135" s="108"/>
      <c r="J135" s="90"/>
    </row>
    <row r="136" spans="1:10" ht="16.5" customHeight="1">
      <c r="A136" s="23"/>
      <c r="B136" s="26"/>
      <c r="C136" s="94"/>
      <c r="D136" s="90"/>
      <c r="E136" s="25"/>
      <c r="F136" s="94"/>
      <c r="G136" s="90"/>
      <c r="H136" s="90"/>
      <c r="I136" s="108"/>
      <c r="J136" s="90"/>
    </row>
    <row r="137" spans="1:10" ht="16.5" customHeight="1">
      <c r="A137" s="23"/>
      <c r="B137" s="26"/>
      <c r="C137" s="94"/>
      <c r="D137" s="90"/>
      <c r="E137" s="25"/>
      <c r="F137" s="94"/>
      <c r="G137" s="90"/>
      <c r="H137" s="90"/>
      <c r="I137" s="108"/>
      <c r="J137" s="90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00" t="s">
        <v>44</v>
      </c>
      <c r="B139" s="101"/>
      <c r="C139" s="100" t="s">
        <v>45</v>
      </c>
      <c r="D139" s="101"/>
      <c r="E139" s="101"/>
      <c r="F139" s="18" t="s">
        <v>46</v>
      </c>
      <c r="G139" s="100" t="s">
        <v>47</v>
      </c>
      <c r="H139" s="101"/>
      <c r="I139" s="100" t="s">
        <v>48</v>
      </c>
      <c r="J139" s="101"/>
    </row>
    <row r="140" spans="1:10" ht="14.25" customHeight="1">
      <c r="A140" s="8"/>
      <c r="B140" s="19"/>
      <c r="C140" s="127" t="s">
        <v>49</v>
      </c>
      <c r="D140" s="110"/>
      <c r="E140" s="19"/>
      <c r="F140" s="127" t="s">
        <v>29</v>
      </c>
      <c r="G140" s="110"/>
      <c r="H140" s="110"/>
      <c r="I140" s="110"/>
      <c r="J140" s="110"/>
    </row>
    <row r="141" spans="1:10">
      <c r="A141" s="9"/>
      <c r="C141" s="7"/>
      <c r="D141" s="7"/>
      <c r="E141" s="7"/>
    </row>
    <row r="142" spans="1:10" ht="14.25" customHeight="1">
      <c r="A142" s="94" t="s">
        <v>62</v>
      </c>
      <c r="B142" s="90"/>
      <c r="C142" s="94" t="s">
        <v>63</v>
      </c>
      <c r="D142" s="90"/>
      <c r="E142" s="90"/>
      <c r="F142" s="27" t="s">
        <v>52</v>
      </c>
      <c r="G142" s="96">
        <v>20</v>
      </c>
      <c r="H142" s="90"/>
      <c r="I142" s="96">
        <v>10</v>
      </c>
      <c r="J142" s="90"/>
    </row>
    <row r="143" spans="1:10" ht="24.95" customHeight="1">
      <c r="A143" s="105" t="s">
        <v>64</v>
      </c>
      <c r="B143" s="90"/>
      <c r="C143" s="94" t="s">
        <v>11</v>
      </c>
      <c r="D143" s="90"/>
      <c r="E143" s="90"/>
      <c r="F143" s="94"/>
      <c r="G143" s="90"/>
      <c r="H143" s="90"/>
      <c r="I143" s="90"/>
      <c r="J143" s="90"/>
    </row>
    <row r="144" spans="1:10" ht="14.25" customHeight="1">
      <c r="A144" s="94" t="s">
        <v>54</v>
      </c>
      <c r="B144" s="90"/>
      <c r="C144" s="94" t="s">
        <v>55</v>
      </c>
      <c r="D144" s="90"/>
      <c r="E144" s="90"/>
      <c r="F144" s="27" t="s">
        <v>27</v>
      </c>
      <c r="G144" s="96">
        <v>10</v>
      </c>
      <c r="H144" s="90"/>
      <c r="I144" s="96">
        <v>5</v>
      </c>
      <c r="J144" s="90"/>
    </row>
    <row r="145" spans="1:11" ht="24.95" customHeight="1">
      <c r="A145" s="105" t="s">
        <v>56</v>
      </c>
      <c r="B145" s="90"/>
      <c r="C145" s="94"/>
      <c r="D145" s="90"/>
      <c r="E145" s="90"/>
      <c r="F145" s="94"/>
      <c r="G145" s="90"/>
      <c r="H145" s="90"/>
      <c r="I145" s="90"/>
      <c r="J145" s="90"/>
    </row>
    <row r="146" spans="1:11" ht="14.25" customHeight="1">
      <c r="A146" s="94"/>
      <c r="B146" s="90"/>
      <c r="C146" s="94"/>
      <c r="D146" s="90"/>
      <c r="E146" s="90"/>
      <c r="F146" s="27"/>
      <c r="G146" s="96"/>
      <c r="H146" s="90"/>
      <c r="I146" s="96"/>
      <c r="J146" s="90"/>
    </row>
    <row r="147" spans="1:11" ht="24.95" customHeight="1">
      <c r="A147" s="105"/>
      <c r="B147" s="90"/>
      <c r="C147" s="94"/>
      <c r="D147" s="90"/>
      <c r="E147" s="90"/>
      <c r="F147" s="94"/>
      <c r="G147" s="90"/>
      <c r="H147" s="90"/>
      <c r="I147" s="90"/>
      <c r="J147" s="90"/>
    </row>
    <row r="148" spans="1:11" ht="14.25" customHeight="1">
      <c r="A148" s="94"/>
      <c r="B148" s="90"/>
      <c r="C148" s="94"/>
      <c r="D148" s="90"/>
      <c r="E148" s="90"/>
      <c r="F148" s="27"/>
      <c r="G148" s="96"/>
      <c r="H148" s="90"/>
      <c r="I148" s="96"/>
      <c r="J148" s="90"/>
    </row>
    <row r="149" spans="1:11" ht="24.95" customHeight="1">
      <c r="A149" s="105"/>
      <c r="B149" s="90"/>
      <c r="C149" s="94"/>
      <c r="D149" s="90"/>
      <c r="E149" s="90"/>
      <c r="F149" s="94"/>
      <c r="G149" s="90"/>
      <c r="H149" s="90"/>
      <c r="I149" s="90"/>
      <c r="J149" s="90"/>
    </row>
    <row r="150" spans="1:11" ht="14.25" customHeight="1">
      <c r="A150" s="94"/>
      <c r="B150" s="90"/>
      <c r="C150" s="94"/>
      <c r="D150" s="90"/>
      <c r="E150" s="90"/>
      <c r="F150" s="27"/>
      <c r="G150" s="96"/>
      <c r="H150" s="90"/>
      <c r="I150" s="96"/>
      <c r="J150" s="90"/>
    </row>
    <row r="151" spans="1:11" ht="24.95" customHeight="1" thickBot="1">
      <c r="A151" s="105"/>
      <c r="B151" s="90"/>
      <c r="C151" s="94"/>
      <c r="D151" s="90"/>
      <c r="E151" s="90"/>
      <c r="F151" s="94"/>
      <c r="G151" s="90"/>
      <c r="H151" s="90"/>
      <c r="I151" s="90"/>
      <c r="J151" s="90"/>
    </row>
    <row r="152" spans="1:11" s="5" customFormat="1" ht="18" customHeight="1">
      <c r="A152" s="159" t="s">
        <v>157</v>
      </c>
      <c r="B152" s="160"/>
      <c r="C152" s="160"/>
      <c r="D152" s="160"/>
      <c r="E152" s="161" t="s">
        <v>158</v>
      </c>
      <c r="F152" s="162"/>
      <c r="G152" s="28" t="s">
        <v>159</v>
      </c>
      <c r="H152" s="133" t="s">
        <v>160</v>
      </c>
      <c r="I152" s="134"/>
      <c r="J152" s="29" t="s">
        <v>161</v>
      </c>
    </row>
    <row r="153" spans="1:11" s="7" customFormat="1" ht="18" customHeight="1">
      <c r="A153" s="135" t="str">
        <f>_xlfn.XLOOKUP(B117,[1]VFDB2!A:A,[1]VFDB2!A:A)</f>
        <v>J1ZAFJB00113095</v>
      </c>
      <c r="B153" s="136"/>
      <c r="C153" s="136"/>
      <c r="D153" s="136"/>
      <c r="E153" s="116" t="str" cm="1">
        <f t="array" ref="E153">IFERROR(IF(ISBLANK(INDEX(_xlfn._xlws.FILTER([1]加工記録２!$C$3:$C$992, [1]加工記録２!$T$3:$T$992=B119), 6)), "", INDEX(_xlfn._xlws.FILTER([1]加工記録２!$C$3:$C$992, [1]加工記録２!$T$3:$T$992=B119), 6)),"")</f>
        <v>H型ジョイナー</v>
      </c>
      <c r="F153" s="117"/>
      <c r="G153" s="118" cm="1">
        <f t="array" ref="G153">IFERROR(IF(ISBLANK(INDEX(_xlfn._xlws.FILTER([1]加工記録２!$C$3:$C$992, [1]加工記録２!$T$3:$T$992=B119), 7)), " ", INDEX(_xlfn._xlws.FILTER([1]加工記録２!$C$3:$C$992, [1]加工記録２!$T$3:$T$992=B119), 7))," ")</f>
        <v>10</v>
      </c>
      <c r="H153" s="76" t="s">
        <v>162</v>
      </c>
      <c r="I153" s="30" cm="1">
        <f t="array" ref="I153:J153">IFERROR(IF(ISBLANK(INDEX(_xlfn._xlws.FILTER([1]加工記録２!$O$3:$P$992, [1]加工記録２!$T$3:$T$992=B119), 1)), "", INDEX(_xlfn._xlws.FILTER([1]加工記録２!$O$3:$P$992, [1]加工記録２!$T$3:$T$992=B119), 1)),"")</f>
        <v>45849</v>
      </c>
      <c r="J153" s="77" t="str">
        <v/>
      </c>
    </row>
    <row r="154" spans="1:11" s="5" customFormat="1" ht="18" customHeight="1">
      <c r="A154" s="137"/>
      <c r="B154" s="138"/>
      <c r="C154" s="138"/>
      <c r="D154" s="138"/>
      <c r="E154" s="116"/>
      <c r="F154" s="117"/>
      <c r="G154" s="118"/>
      <c r="H154" s="76" t="s">
        <v>163</v>
      </c>
      <c r="I154" s="78" cm="1">
        <f t="array" ref="I154:J154">IFERROR(IF(ISBLANK(INDEX(_xlfn._xlws.FILTER([1]加工記録２!$O$3:$P$992, [1]加工記録２!$T$3:$T$992=B119), 2)), "", INDEX(_xlfn._xlws.FILTER([1]加工記録２!$O$3:$P$992, [1]加工記録２!$T$3:$T$992=B119), 2)),"")</f>
        <v>20</v>
      </c>
      <c r="J154" s="79" t="str">
        <v/>
      </c>
      <c r="K154" s="31"/>
    </row>
    <row r="155" spans="1:11" s="7" customFormat="1" ht="18" customHeight="1">
      <c r="A155" s="119" t="s">
        <v>164</v>
      </c>
      <c r="B155" s="121" t="str">
        <f>_xlfn.XLOOKUP(B117,[1]VFDB2!A:A,[1]VFDB2!J:J)</f>
        <v>〇</v>
      </c>
      <c r="C155" s="163" t="s">
        <v>165</v>
      </c>
      <c r="D155" s="165">
        <f>_xlfn.XLOOKUP(B117,[1]VFDB2!A:A,[1]VFDB2!P:P)</f>
        <v>1</v>
      </c>
      <c r="E155" s="116" t="str">
        <f>_xlfn.XLOOKUP(B117,[1]VFDB2!A:A,[1]VFDB2!V:V)</f>
        <v>梱包箱:薄型1334</v>
      </c>
      <c r="F155" s="117"/>
      <c r="G155" s="148"/>
      <c r="H155" s="80" t="s">
        <v>166</v>
      </c>
      <c r="I155" s="78" cm="1">
        <f t="array" ref="I155:J155">IFERROR(IF(ISBLANK(INDEX(_xlfn._xlws.FILTER([1]加工記録２!$O$3:$P$992, [1]加工記録２!$T$3:$T$992=B119), 3)), "", INDEX(_xlfn._xlws.FILTER([1]加工記録２!$O$3:$P$992, [1]加工記録２!$T$3:$T$992=B119), 3)),"")</f>
        <v>20</v>
      </c>
      <c r="J155" s="81" t="str">
        <v/>
      </c>
      <c r="K155" s="32"/>
    </row>
    <row r="156" spans="1:11" s="5" customFormat="1" ht="18" customHeight="1">
      <c r="A156" s="120"/>
      <c r="B156" s="122"/>
      <c r="C156" s="164"/>
      <c r="D156" s="166"/>
      <c r="E156" s="116"/>
      <c r="F156" s="117"/>
      <c r="G156" s="148"/>
      <c r="H156" s="80" t="s">
        <v>167</v>
      </c>
      <c r="I156" s="78" cm="1">
        <f t="array" ref="I156:J156">IFERROR(IF(ISBLANK(INDEX(_xlfn._xlws.FILTER([1]加工記録２!$O$3:$P$992, [1]加工記録２!$T$3:$T$992=B119), 4)), "", INDEX(_xlfn._xlws.FILTER([1]加工記録２!$O$3:$P$992, [1]加工記録２!$T$3:$T$992=B119), 4)),"")</f>
        <v>0</v>
      </c>
      <c r="J156" s="82" t="str">
        <v/>
      </c>
      <c r="K156" s="31"/>
    </row>
    <row r="157" spans="1:11" s="7" customFormat="1" ht="18" customHeight="1">
      <c r="A157" s="140" t="s">
        <v>168</v>
      </c>
      <c r="B157" s="142">
        <f>D117</f>
        <v>1309</v>
      </c>
      <c r="C157" s="144" t="s">
        <v>169</v>
      </c>
      <c r="D157" s="146" t="str">
        <f>_xlfn.XLOOKUP(B117,[1]VFDB2!A:A,[1]VFDB2!L:L)</f>
        <v>+2</v>
      </c>
      <c r="E157" s="116" t="str">
        <f>_xlfn.XLOOKUP(B117,[1]VFDB2!A:A,[1]VFDB2!W:W)</f>
        <v>クラフト紙：1370型</v>
      </c>
      <c r="F157" s="117"/>
      <c r="G157" s="148"/>
      <c r="H157" s="80" t="s">
        <v>170</v>
      </c>
      <c r="I157" s="78" cm="1">
        <f t="array" ref="I157:J157">IFERROR(IF(ISBLANK(INDEX(_xlfn._xlws.FILTER([1]加工記録２!$O$3:$P$992, [1]加工記録２!$T$3:$T$992=B119), 5)), "", INDEX(_xlfn._xlws.FILTER([1]加工記録２!$O$3:$P$992, [1]加工記録２!$T$3:$T$992=B119), 5)),"")</f>
        <v>0</v>
      </c>
      <c r="J157" s="83" t="str">
        <v/>
      </c>
      <c r="K157" s="32"/>
    </row>
    <row r="158" spans="1:11" s="5" customFormat="1" ht="18" customHeight="1">
      <c r="A158" s="141"/>
      <c r="B158" s="143"/>
      <c r="C158" s="145"/>
      <c r="D158" s="147"/>
      <c r="E158" s="116"/>
      <c r="F158" s="117"/>
      <c r="G158" s="148"/>
      <c r="H158" s="80" t="s">
        <v>171</v>
      </c>
      <c r="I158" s="78" cm="1">
        <f t="array" ref="I158:J158">IFERROR(IF(ISBLANK(INDEX(_xlfn._xlws.FILTER([1]加工記録２!$O$3:$P$992, [1]加工記録２!$T$3:$T$992=B119), 6)), "", INDEX(_xlfn._xlws.FILTER([1]加工記録２!$O$3:$P$992, [1]加工記録２!$T$3:$T$992=B119), 6)),"")</f>
        <v>0</v>
      </c>
      <c r="J158" s="84" t="str">
        <v/>
      </c>
      <c r="K158" s="31"/>
    </row>
    <row r="159" spans="1:11" s="7" customFormat="1" ht="18" customHeight="1">
      <c r="A159" s="119" t="s">
        <v>172</v>
      </c>
      <c r="B159" s="151" t="str">
        <f>_xlfn.XLOOKUP(B117,[1]VFDB2!A:A,[1]VFDB2!AC:AC)</f>
        <v>換算表確認</v>
      </c>
      <c r="C159" s="153" t="s">
        <v>173</v>
      </c>
      <c r="D159" s="146">
        <f>_xlfn.XLOOKUP(B117,[1]VFDB2!A:A,[1]VFDB2!K:K)</f>
        <v>-2</v>
      </c>
      <c r="E159" s="116" t="str">
        <f>_xlfn.XLOOKUP(B117,[1]VFDB2!A:A,[1]VFDB2!R:R)</f>
        <v>ラベル2枚　長手有　鉢巻１</v>
      </c>
      <c r="F159" s="117"/>
      <c r="G159" s="148"/>
      <c r="H159" s="80" t="s">
        <v>174</v>
      </c>
      <c r="I159" s="78" t="str" cm="1">
        <f t="array" ref="I159:J159">IFERROR(IF(ISBLANK(INDEX(_xlfn._xlws.FILTER([1]加工記録２!$O$3:$P$992, [1]加工記録２!$T$3:$T$992=B119), 7)), "", INDEX(_xlfn._xlws.FILTER([1]加工記録２!$O$3:$P$992, [1]加工記録２!$T$3:$T$992=B119), 7)),"")</f>
        <v>水野</v>
      </c>
      <c r="J159" s="85" t="str">
        <v/>
      </c>
      <c r="K159" s="32"/>
    </row>
    <row r="160" spans="1:11" s="5" customFormat="1" ht="18" customHeight="1" thickBot="1">
      <c r="A160" s="150"/>
      <c r="B160" s="152"/>
      <c r="C160" s="154"/>
      <c r="D160" s="155"/>
      <c r="E160" s="156"/>
      <c r="F160" s="157"/>
      <c r="G160" s="158"/>
      <c r="H160" s="86" t="s">
        <v>175</v>
      </c>
      <c r="I160" s="33" t="str" cm="1">
        <f t="array" ref="I160:J160">IFERROR(IF(ISBLANK(INDEX(_xlfn._xlws.FILTER([1]加工記録２!$O$3:$P$992, [1]加工記録２!$T$3:$T$992=B119), 8)), "", INDEX(_xlfn._xlws.FILTER([1]加工記録２!$O$3:$P$992, [1]加工記録２!$T$3:$T$992=B119), 8)),"")</f>
        <v>高森</v>
      </c>
      <c r="J160" s="87">
        <v>0</v>
      </c>
    </row>
    <row r="161" spans="1:14" s="44" customFormat="1" ht="18.95" customHeight="1">
      <c r="A161" s="34" t="s">
        <v>176</v>
      </c>
      <c r="B161" s="35" t="s">
        <v>185</v>
      </c>
      <c r="C161" s="36" t="s">
        <v>177</v>
      </c>
      <c r="D161" s="36" t="s">
        <v>178</v>
      </c>
      <c r="E161" s="37" t="s">
        <v>179</v>
      </c>
      <c r="F161" s="38" t="s">
        <v>180</v>
      </c>
      <c r="G161" s="39" t="s">
        <v>181</v>
      </c>
      <c r="H161" s="40" t="s">
        <v>182</v>
      </c>
      <c r="I161" s="41" t="s">
        <v>183</v>
      </c>
      <c r="J161" s="42" t="s">
        <v>184</v>
      </c>
      <c r="K161" s="43"/>
      <c r="L161" s="43"/>
      <c r="M161" s="43"/>
      <c r="N161" s="43"/>
    </row>
    <row r="162" spans="1:14" s="55" customFormat="1" ht="18.95" customHeight="1">
      <c r="A162" s="88" t="str" cm="1">
        <f t="array" ref="A162:J162">IFERROR(IF(ISBLANK(INDEX(_xlfn._xlws.FILTER([1]加工記録２!$D$3:$M$992, [1]加工記録２!$T$3:$T$992=B119), 1)), "", INDEX(_xlfn._xlws.FILTER([1]加工記録２!$D$3:$M$992, [1]加工記録２!$T$3:$T$992=B119), 1)),"")</f>
        <v/>
      </c>
      <c r="B162" s="46" t="str">
        <v/>
      </c>
      <c r="C162" s="47" t="str">
        <v/>
      </c>
      <c r="D162" s="47" t="str">
        <v/>
      </c>
      <c r="E162" s="48" t="str">
        <v/>
      </c>
      <c r="F162" s="49">
        <v>0</v>
      </c>
      <c r="G162" s="50">
        <v>0</v>
      </c>
      <c r="H162" s="51">
        <v>0</v>
      </c>
      <c r="I162" s="52">
        <v>45849</v>
      </c>
      <c r="J162" s="53">
        <v>10</v>
      </c>
      <c r="K162" s="54"/>
      <c r="L162" s="54"/>
      <c r="M162" s="54"/>
      <c r="N162" s="54"/>
    </row>
    <row r="163" spans="1:14" s="55" customFormat="1" ht="18.95" customHeight="1">
      <c r="A163" s="45" cm="1">
        <f t="array" ref="A163:J163">IFERROR(IF(ISBLANK(INDEX(_xlfn._xlws.FILTER([1]加工記録２!$D$3:$M$992, [1]加工記録２!$T$3:$T$992=B119), 2)), "", INDEX(_xlfn._xlws.FILTER([1]加工記録２!$D$3:$M$992, [1]加工記録２!$T$3:$T$992=B119), 2)),"")</f>
        <v>45849</v>
      </c>
      <c r="B163" s="56" t="str">
        <v>25G03-01</v>
      </c>
      <c r="C163" s="56">
        <v>28</v>
      </c>
      <c r="D163" s="56">
        <v>1310.2</v>
      </c>
      <c r="E163" s="57">
        <v>1310.67</v>
      </c>
      <c r="F163" s="58" t="str">
        <v>25G03-01</v>
      </c>
      <c r="G163" s="59">
        <v>20</v>
      </c>
      <c r="H163" s="60">
        <v>20</v>
      </c>
      <c r="I163" s="52" t="str">
        <v/>
      </c>
      <c r="J163" s="53" t="str">
        <v/>
      </c>
      <c r="K163" s="54"/>
      <c r="L163" s="54"/>
      <c r="M163" s="54"/>
      <c r="N163" s="54"/>
    </row>
    <row r="164" spans="1:14" s="55" customFormat="1" ht="18.95" customHeight="1">
      <c r="A164" s="45" cm="1">
        <f t="array" ref="A164:J164">IFERROR(IF(ISBLANK(INDEX(_xlfn._xlws.FILTER([1]加工記録２!$D$3:$M$992, [1]加工記録２!$T$3:$T$992=B119), 3)), "", INDEX(_xlfn._xlws.FILTER([1]加工記録２!$D$3:$M$992, [1]加工記録２!$T$3:$T$992=B119), 3)),"")</f>
        <v>45849</v>
      </c>
      <c r="B164" s="56" t="str">
        <v>25G03-01</v>
      </c>
      <c r="C164" s="56">
        <v>28</v>
      </c>
      <c r="D164" s="56">
        <v>1310.2</v>
      </c>
      <c r="E164" s="57">
        <v>1310.78</v>
      </c>
      <c r="F164" s="58" t="str">
        <v/>
      </c>
      <c r="G164" s="59" t="str">
        <v/>
      </c>
      <c r="H164" s="60">
        <v>0</v>
      </c>
      <c r="I164" s="52" t="str">
        <v/>
      </c>
      <c r="J164" s="53" t="str">
        <v/>
      </c>
      <c r="K164" s="54"/>
      <c r="L164" s="54"/>
      <c r="M164" s="54"/>
      <c r="N164" s="54"/>
    </row>
    <row r="165" spans="1:14" s="55" customFormat="1" ht="18.95" customHeight="1">
      <c r="A165" s="45" t="str" cm="1">
        <f t="array" ref="A165:J165">IFERROR(IF(ISBLANK(INDEX(_xlfn._xlws.FILTER([1]加工記録２!$D$3:$M$992, [1]加工記録２!$T$3:$T$992=B119), 4)), "", INDEX(_xlfn._xlws.FILTER([1]加工記録２!$D$3:$M$992, [1]加工記録２!$T$3:$T$992=B119), 4)),"")</f>
        <v/>
      </c>
      <c r="B165" s="56" t="str">
        <v/>
      </c>
      <c r="C165" s="56" t="str">
        <v/>
      </c>
      <c r="D165" s="56" t="str">
        <v/>
      </c>
      <c r="E165" s="57" t="str">
        <v/>
      </c>
      <c r="F165" s="58" t="str">
        <v/>
      </c>
      <c r="G165" s="59" t="str">
        <v/>
      </c>
      <c r="H165" s="60">
        <v>0</v>
      </c>
      <c r="I165" s="52" t="str">
        <v/>
      </c>
      <c r="J165" s="53" t="str">
        <v/>
      </c>
      <c r="K165" s="54"/>
      <c r="L165" s="54"/>
      <c r="M165" s="54"/>
      <c r="N165" s="54"/>
    </row>
    <row r="166" spans="1:14" s="55" customFormat="1" ht="18.95" customHeight="1">
      <c r="A166" s="45" t="str" cm="1">
        <f t="array" ref="A166:J166">IFERROR(IF(ISBLANK(INDEX(_xlfn._xlws.FILTER([1]加工記録２!$D$3:$M$992, [1]加工記録２!$T$3:$T$992=B119), 5)), "", INDEX(_xlfn._xlws.FILTER([1]加工記録２!$D$3:$M$992, [1]加工記録２!$T$3:$T$992=B119), 5)),"")</f>
        <v/>
      </c>
      <c r="B166" s="56" t="str">
        <v/>
      </c>
      <c r="C166" s="56" t="str">
        <v/>
      </c>
      <c r="D166" s="56" t="str">
        <v/>
      </c>
      <c r="E166" s="57" t="str">
        <v/>
      </c>
      <c r="F166" s="58" t="str">
        <v/>
      </c>
      <c r="G166" s="59" t="str">
        <v/>
      </c>
      <c r="H166" s="60">
        <v>0</v>
      </c>
      <c r="I166" s="61" t="str">
        <v/>
      </c>
      <c r="J166" s="62" t="str">
        <v/>
      </c>
      <c r="K166" s="54"/>
      <c r="L166" s="54"/>
      <c r="M166" s="54"/>
      <c r="N166" s="54"/>
    </row>
    <row r="167" spans="1:14" s="55" customFormat="1" ht="18.95" customHeight="1">
      <c r="A167" s="45" t="str" cm="1">
        <f t="array" ref="A167:J167">IFERROR(IF(ISBLANK(INDEX(_xlfn._xlws.FILTER([1]加工記録２!$D$3:$M$992, [1]加工記録２!$T$3:$T$992=B119), 6)), "", INDEX(_xlfn._xlws.FILTER([1]加工記録２!$D$3:$M$992, [1]加工記録２!$T$3:$T$992=B119), 6)),"")</f>
        <v/>
      </c>
      <c r="B167" s="56" t="str">
        <v/>
      </c>
      <c r="C167" s="56" t="str">
        <v/>
      </c>
      <c r="D167" s="56" t="str">
        <v/>
      </c>
      <c r="E167" s="57" t="str">
        <v/>
      </c>
      <c r="F167" s="58" t="str">
        <v/>
      </c>
      <c r="G167" s="59" t="str">
        <v/>
      </c>
      <c r="H167" s="63">
        <v>0</v>
      </c>
      <c r="I167" s="64" t="str">
        <v>旧品加工</v>
      </c>
      <c r="J167" s="65" t="str">
        <v/>
      </c>
      <c r="K167" s="54"/>
      <c r="L167" s="54"/>
      <c r="M167" s="54"/>
      <c r="N167" s="54"/>
    </row>
    <row r="168" spans="1:14" s="55" customFormat="1" ht="18.95" customHeight="1">
      <c r="A168" s="45" t="str" cm="1">
        <f t="array" ref="A168:J168">IFERROR(IF(ISBLANK(INDEX(_xlfn._xlws.FILTER([1]加工記録２!$D$3:$M$992, [1]加工記録２!$T$3:$T$992=B119), 7)), "", INDEX(_xlfn._xlws.FILTER([1]加工記録２!$D$3:$M$992, [1]加工記録２!$T$3:$T$992=B119), 7)),"")</f>
        <v/>
      </c>
      <c r="B168" s="56" t="str">
        <v/>
      </c>
      <c r="C168" s="56" t="str">
        <v/>
      </c>
      <c r="D168" s="56" t="str">
        <v/>
      </c>
      <c r="E168" s="57" t="str">
        <v/>
      </c>
      <c r="F168" s="58" t="str">
        <v/>
      </c>
      <c r="G168" s="59" t="str">
        <v/>
      </c>
      <c r="H168" s="63">
        <v>0</v>
      </c>
      <c r="I168" s="66" t="str">
        <v>持出端材</v>
      </c>
      <c r="J168" s="67" t="str">
        <v/>
      </c>
      <c r="K168" s="54"/>
      <c r="L168" s="54"/>
      <c r="M168" s="54"/>
      <c r="N168" s="54"/>
    </row>
    <row r="169" spans="1:14" s="55" customFormat="1" ht="18.95" customHeight="1" thickBot="1">
      <c r="A169" s="68" t="str" cm="1">
        <f t="array" ref="A169:J169">IFERROR(IF(ISBLANK(INDEX(_xlfn._xlws.FILTER([1]加工記録２!$D$3:$M$992, [1]加工記録２!$T$3:$T$992=B119), 8)), "", INDEX(_xlfn._xlws.FILTER([1]加工記録２!$D$3:$M$992, [1]加工記録２!$T$3:$T$992=B119), 8)),"")</f>
        <v/>
      </c>
      <c r="B169" s="69" t="str">
        <v/>
      </c>
      <c r="C169" s="69" t="str">
        <v/>
      </c>
      <c r="D169" s="69" t="str">
        <v/>
      </c>
      <c r="E169" s="70" t="str">
        <v/>
      </c>
      <c r="F169" s="71" t="str">
        <v/>
      </c>
      <c r="G169" s="72" t="str">
        <v/>
      </c>
      <c r="H169" s="73">
        <v>0</v>
      </c>
      <c r="I169" s="74" t="str">
        <v>α端材</v>
      </c>
      <c r="J169" s="75">
        <v>0</v>
      </c>
      <c r="K169" s="54"/>
      <c r="L169" s="54"/>
      <c r="M169" s="54"/>
      <c r="N169" s="54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2"/>
      <c r="B172" s="126" t="s">
        <v>0</v>
      </c>
      <c r="C172" s="90"/>
      <c r="D172" s="90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90"/>
      <c r="C173" s="90"/>
      <c r="D173" s="90"/>
      <c r="E173" s="13"/>
      <c r="F173" s="13"/>
      <c r="G173" s="13"/>
      <c r="H173" s="13"/>
      <c r="I173" s="13"/>
      <c r="J173" s="13"/>
    </row>
    <row r="174" spans="1:14" ht="14.25" customHeight="1">
      <c r="A174" s="95" t="s">
        <v>1</v>
      </c>
      <c r="B174" s="95" t="s">
        <v>70</v>
      </c>
      <c r="C174" s="95" t="s">
        <v>3</v>
      </c>
      <c r="D174" s="123">
        <v>547</v>
      </c>
      <c r="E174" s="95" t="s">
        <v>4</v>
      </c>
      <c r="F174" s="89" t="s">
        <v>71</v>
      </c>
      <c r="G174" s="90"/>
      <c r="H174" s="91"/>
      <c r="I174" s="14" t="s">
        <v>6</v>
      </c>
      <c r="J174" s="14" t="s">
        <v>7</v>
      </c>
    </row>
    <row r="175" spans="1:14" ht="14.25" customHeight="1">
      <c r="A175" s="90"/>
      <c r="B175" s="90"/>
      <c r="C175" s="90"/>
      <c r="D175" s="90"/>
      <c r="E175" s="90"/>
      <c r="F175" s="90"/>
      <c r="G175" s="90"/>
      <c r="H175" s="91"/>
      <c r="I175" s="98"/>
      <c r="J175" s="98"/>
    </row>
    <row r="176" spans="1:14" ht="17.45" customHeight="1">
      <c r="A176" s="104" t="s">
        <v>8</v>
      </c>
      <c r="B176" s="104" t="s">
        <v>72</v>
      </c>
      <c r="E176" s="104" t="s">
        <v>10</v>
      </c>
      <c r="F176" s="112" t="s">
        <v>11</v>
      </c>
      <c r="G176" s="90"/>
      <c r="H176" s="91"/>
      <c r="I176" s="99"/>
      <c r="J176" s="99"/>
    </row>
    <row r="177" spans="1:10" ht="17.45" customHeight="1">
      <c r="A177" s="90"/>
      <c r="B177" s="90"/>
      <c r="E177" s="90"/>
      <c r="F177" s="90"/>
      <c r="G177" s="90"/>
      <c r="H177" s="91"/>
      <c r="I177" s="15"/>
      <c r="J177" s="15"/>
    </row>
    <row r="178" spans="1:10" ht="17.45" customHeight="1">
      <c r="A178" s="104" t="s">
        <v>12</v>
      </c>
      <c r="B178" s="104" t="s">
        <v>73</v>
      </c>
      <c r="E178" s="2" t="s">
        <v>14</v>
      </c>
      <c r="F178" s="113" t="s">
        <v>15</v>
      </c>
      <c r="G178" s="90"/>
      <c r="H178" s="22"/>
    </row>
    <row r="179" spans="1:10" ht="17.45" customHeight="1">
      <c r="A179" s="90"/>
      <c r="B179" s="90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45853</v>
      </c>
      <c r="E180" s="2" t="s">
        <v>19</v>
      </c>
      <c r="F180" s="132">
        <v>16</v>
      </c>
      <c r="G180" s="90"/>
      <c r="H180" s="22"/>
    </row>
    <row r="181" spans="1:10" ht="17.45" customHeight="1">
      <c r="A181" s="2" t="s">
        <v>20</v>
      </c>
      <c r="B181" s="4">
        <v>45853</v>
      </c>
      <c r="E181" s="2" t="s">
        <v>21</v>
      </c>
      <c r="F181" s="22">
        <v>12</v>
      </c>
      <c r="G181" s="139" t="s">
        <v>22</v>
      </c>
      <c r="H181" s="128">
        <v>192</v>
      </c>
      <c r="I181" s="129"/>
      <c r="J181" s="130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31"/>
      <c r="H182" s="131"/>
      <c r="I182" s="110"/>
      <c r="J182" s="111"/>
    </row>
    <row r="183" spans="1:10" ht="13.5" customHeight="1">
      <c r="A183" s="102" t="s">
        <v>74</v>
      </c>
      <c r="B183" s="90"/>
      <c r="C183" s="90"/>
      <c r="D183" s="21"/>
      <c r="F183" s="3"/>
      <c r="G183" s="103" t="s">
        <v>26</v>
      </c>
      <c r="H183" s="92" t="s">
        <v>27</v>
      </c>
      <c r="I183" s="109" t="s">
        <v>28</v>
      </c>
      <c r="J183" s="91"/>
    </row>
    <row r="184" spans="1:10" ht="13.5" customHeight="1">
      <c r="A184" s="90"/>
      <c r="B184" s="90"/>
      <c r="C184" s="90"/>
      <c r="D184" s="21"/>
      <c r="F184" s="3"/>
      <c r="G184" s="93"/>
      <c r="H184" s="93"/>
      <c r="I184" s="110"/>
      <c r="J184" s="111"/>
    </row>
    <row r="185" spans="1:10" ht="13.5" customHeight="1">
      <c r="A185" s="1" t="s">
        <v>29</v>
      </c>
    </row>
    <row r="186" spans="1:10" ht="63" customHeight="1">
      <c r="A186" s="124"/>
      <c r="B186" s="125"/>
      <c r="C186" s="125"/>
      <c r="D186" s="125"/>
      <c r="E186" s="125"/>
      <c r="F186" s="125"/>
      <c r="G186" s="125"/>
      <c r="H186" s="125"/>
      <c r="I186" s="125"/>
      <c r="J186" s="125"/>
    </row>
    <row r="187" spans="1:10" ht="18.75">
      <c r="A187" s="24" t="s">
        <v>30</v>
      </c>
      <c r="B187" s="17" t="s">
        <v>31</v>
      </c>
      <c r="C187" s="114" t="s">
        <v>32</v>
      </c>
      <c r="D187" s="107"/>
      <c r="E187" s="17" t="s">
        <v>33</v>
      </c>
      <c r="F187" s="114" t="s">
        <v>34</v>
      </c>
      <c r="G187" s="107"/>
      <c r="H187" s="107"/>
      <c r="I187" s="106" t="s">
        <v>35</v>
      </c>
      <c r="J187" s="107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94" t="s">
        <v>37</v>
      </c>
      <c r="D189" s="90"/>
      <c r="E189" s="25" t="s">
        <v>40</v>
      </c>
      <c r="F189" s="94" t="s">
        <v>41</v>
      </c>
      <c r="G189" s="90"/>
      <c r="H189" s="90"/>
      <c r="I189" s="108"/>
      <c r="J189" s="90"/>
    </row>
    <row r="190" spans="1:10" ht="16.5" customHeight="1">
      <c r="A190" s="23">
        <v>1</v>
      </c>
      <c r="B190" s="26" t="s">
        <v>36</v>
      </c>
      <c r="C190" s="94" t="s">
        <v>37</v>
      </c>
      <c r="D190" s="90"/>
      <c r="E190" s="25" t="s">
        <v>42</v>
      </c>
      <c r="F190" s="94" t="s">
        <v>43</v>
      </c>
      <c r="G190" s="90"/>
      <c r="H190" s="90"/>
      <c r="I190" s="108"/>
      <c r="J190" s="90"/>
    </row>
    <row r="191" spans="1:10" ht="16.5" customHeight="1">
      <c r="A191" s="23"/>
      <c r="B191" s="26"/>
      <c r="C191" s="94"/>
      <c r="D191" s="90"/>
      <c r="E191" s="25"/>
      <c r="F191" s="94"/>
      <c r="G191" s="90"/>
      <c r="H191" s="90"/>
      <c r="I191" s="108"/>
      <c r="J191" s="90"/>
    </row>
    <row r="192" spans="1:10" ht="16.5" customHeight="1">
      <c r="A192" s="23"/>
      <c r="B192" s="26"/>
      <c r="C192" s="94"/>
      <c r="D192" s="90"/>
      <c r="E192" s="25"/>
      <c r="F192" s="94"/>
      <c r="G192" s="90"/>
      <c r="H192" s="90"/>
      <c r="I192" s="108"/>
      <c r="J192" s="90"/>
    </row>
    <row r="193" spans="1:10" ht="16.5" customHeight="1">
      <c r="A193" s="23"/>
      <c r="B193" s="26"/>
      <c r="C193" s="94"/>
      <c r="D193" s="90"/>
      <c r="E193" s="25"/>
      <c r="F193" s="94"/>
      <c r="G193" s="90"/>
      <c r="H193" s="90"/>
      <c r="I193" s="108"/>
      <c r="J193" s="90"/>
    </row>
    <row r="194" spans="1:10" ht="16.5" customHeight="1">
      <c r="A194" s="23"/>
      <c r="B194" s="26"/>
      <c r="C194" s="94"/>
      <c r="D194" s="90"/>
      <c r="E194" s="25"/>
      <c r="F194" s="94"/>
      <c r="G194" s="90"/>
      <c r="H194" s="90"/>
      <c r="I194" s="108"/>
      <c r="J194" s="90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00" t="s">
        <v>44</v>
      </c>
      <c r="B196" s="101"/>
      <c r="C196" s="100" t="s">
        <v>45</v>
      </c>
      <c r="D196" s="101"/>
      <c r="E196" s="101"/>
      <c r="F196" s="18" t="s">
        <v>46</v>
      </c>
      <c r="G196" s="100" t="s">
        <v>47</v>
      </c>
      <c r="H196" s="101"/>
      <c r="I196" s="100" t="s">
        <v>48</v>
      </c>
      <c r="J196" s="101"/>
    </row>
    <row r="197" spans="1:10" ht="14.25" customHeight="1">
      <c r="A197" s="8"/>
      <c r="B197" s="19"/>
      <c r="C197" s="127" t="s">
        <v>49</v>
      </c>
      <c r="D197" s="110"/>
      <c r="E197" s="19"/>
      <c r="F197" s="127" t="s">
        <v>29</v>
      </c>
      <c r="G197" s="110"/>
      <c r="H197" s="110"/>
      <c r="I197" s="110"/>
      <c r="J197" s="110"/>
    </row>
    <row r="198" spans="1:10">
      <c r="A198" s="9"/>
      <c r="C198" s="7"/>
      <c r="D198" s="7"/>
      <c r="E198" s="7"/>
    </row>
    <row r="199" spans="1:10" ht="14.25" customHeight="1">
      <c r="A199" s="94" t="s">
        <v>75</v>
      </c>
      <c r="B199" s="90"/>
      <c r="C199" s="94" t="s">
        <v>76</v>
      </c>
      <c r="D199" s="90"/>
      <c r="E199" s="90"/>
      <c r="F199" s="27" t="s">
        <v>52</v>
      </c>
      <c r="G199" s="96">
        <v>192</v>
      </c>
      <c r="H199" s="90"/>
      <c r="I199" s="96">
        <v>12</v>
      </c>
      <c r="J199" s="90"/>
    </row>
    <row r="200" spans="1:10" ht="24.95" customHeight="1">
      <c r="A200" s="105" t="s">
        <v>77</v>
      </c>
      <c r="B200" s="90"/>
      <c r="C200" s="94" t="s">
        <v>11</v>
      </c>
      <c r="D200" s="90"/>
      <c r="E200" s="90"/>
      <c r="F200" s="94"/>
      <c r="G200" s="90"/>
      <c r="H200" s="90"/>
      <c r="I200" s="90"/>
      <c r="J200" s="90"/>
    </row>
    <row r="201" spans="1:10" ht="14.25" customHeight="1">
      <c r="A201" s="149" t="s">
        <v>156</v>
      </c>
      <c r="B201" s="90"/>
      <c r="C201" s="94" t="s">
        <v>79</v>
      </c>
      <c r="D201" s="90"/>
      <c r="E201" s="90"/>
      <c r="F201" s="27" t="s">
        <v>27</v>
      </c>
      <c r="G201" s="96">
        <v>12.096</v>
      </c>
      <c r="H201" s="90"/>
      <c r="I201" s="96">
        <v>0.75600000000000001</v>
      </c>
      <c r="J201" s="90"/>
    </row>
    <row r="202" spans="1:10" ht="24.95" customHeight="1">
      <c r="A202" s="105" t="s">
        <v>80</v>
      </c>
      <c r="B202" s="90"/>
      <c r="C202" s="94"/>
      <c r="D202" s="90"/>
      <c r="E202" s="90"/>
      <c r="F202" s="94"/>
      <c r="G202" s="90"/>
      <c r="H202" s="90"/>
      <c r="I202" s="90"/>
      <c r="J202" s="90"/>
    </row>
    <row r="203" spans="1:10" ht="14.25" customHeight="1">
      <c r="A203" s="94" t="s">
        <v>81</v>
      </c>
      <c r="B203" s="90"/>
      <c r="C203" s="94" t="s">
        <v>82</v>
      </c>
      <c r="D203" s="90"/>
      <c r="E203" s="90"/>
      <c r="F203" s="27"/>
      <c r="G203" s="96">
        <v>0.38400000000000001</v>
      </c>
      <c r="H203" s="90"/>
      <c r="I203" s="96">
        <v>2.4E-2</v>
      </c>
      <c r="J203" s="90"/>
    </row>
    <row r="204" spans="1:10" ht="24.95" customHeight="1">
      <c r="A204" s="105" t="s">
        <v>83</v>
      </c>
      <c r="B204" s="90"/>
      <c r="C204" s="94" t="s">
        <v>84</v>
      </c>
      <c r="D204" s="90"/>
      <c r="E204" s="90"/>
      <c r="F204" s="94"/>
      <c r="G204" s="90"/>
      <c r="H204" s="90"/>
      <c r="I204" s="90"/>
      <c r="J204" s="90"/>
    </row>
    <row r="205" spans="1:10" ht="14.25" customHeight="1">
      <c r="A205" s="94"/>
      <c r="B205" s="90"/>
      <c r="C205" s="94"/>
      <c r="D205" s="90"/>
      <c r="E205" s="90"/>
      <c r="F205" s="27"/>
      <c r="G205" s="96"/>
      <c r="H205" s="90"/>
      <c r="I205" s="96"/>
      <c r="J205" s="90"/>
    </row>
    <row r="206" spans="1:10" ht="24.95" customHeight="1">
      <c r="A206" s="105"/>
      <c r="B206" s="90"/>
      <c r="C206" s="94"/>
      <c r="D206" s="90"/>
      <c r="E206" s="90"/>
      <c r="F206" s="94"/>
      <c r="G206" s="90"/>
      <c r="H206" s="90"/>
      <c r="I206" s="90"/>
      <c r="J206" s="90"/>
    </row>
    <row r="207" spans="1:10" ht="14.25" customHeight="1">
      <c r="A207" s="94"/>
      <c r="B207" s="90"/>
      <c r="C207" s="94"/>
      <c r="D207" s="90"/>
      <c r="E207" s="90"/>
      <c r="F207" s="27"/>
      <c r="G207" s="96"/>
      <c r="H207" s="90"/>
      <c r="I207" s="96"/>
      <c r="J207" s="90"/>
    </row>
    <row r="208" spans="1:10" ht="24.95" customHeight="1" thickBot="1">
      <c r="A208" s="105"/>
      <c r="B208" s="90"/>
      <c r="C208" s="94"/>
      <c r="D208" s="90"/>
      <c r="E208" s="90"/>
      <c r="F208" s="94"/>
      <c r="G208" s="90"/>
      <c r="H208" s="90"/>
      <c r="I208" s="90"/>
      <c r="J208" s="90"/>
    </row>
    <row r="209" spans="1:14" s="5" customFormat="1" ht="18" customHeight="1">
      <c r="A209" s="159" t="s">
        <v>157</v>
      </c>
      <c r="B209" s="160"/>
      <c r="C209" s="160"/>
      <c r="D209" s="160"/>
      <c r="E209" s="161" t="s">
        <v>158</v>
      </c>
      <c r="F209" s="162"/>
      <c r="G209" s="28" t="s">
        <v>159</v>
      </c>
      <c r="H209" s="133" t="s">
        <v>160</v>
      </c>
      <c r="I209" s="134"/>
      <c r="J209" s="29" t="s">
        <v>161</v>
      </c>
    </row>
    <row r="210" spans="1:14" s="7" customFormat="1" ht="18" customHeight="1">
      <c r="A210" s="135" t="str">
        <f>_xlfn.XLOOKUP(B174,[1]VFDB2!A:A,[1]VFDB2!A:A)</f>
        <v>J1ZAFJB00205470</v>
      </c>
      <c r="B210" s="136"/>
      <c r="C210" s="136"/>
      <c r="D210" s="136"/>
      <c r="E210" s="116" t="str" cm="1">
        <f t="array" ref="E210">IFERROR(IF(ISBLANK(INDEX(_xlfn._xlws.FILTER([1]加工記録２!$C$3:$C$992, [1]加工記録２!$T$3:$T$992=B176), 6)), "", INDEX(_xlfn._xlws.FILTER([1]加工記録２!$C$3:$C$992, [1]加工記録２!$T$3:$T$992=B176), 6)),"")</f>
        <v>灯具-1　L=1370</v>
      </c>
      <c r="F210" s="117"/>
      <c r="G210" s="118" cm="1">
        <f t="array" ref="G210">IFERROR(IF(ISBLANK(INDEX(_xlfn._xlws.FILTER([1]加工記録２!$C$3:$C$992, [1]加工記録２!$T$3:$T$992=B176), 7)), " ", INDEX(_xlfn._xlws.FILTER([1]加工記録２!$C$3:$C$992, [1]加工記録２!$T$3:$T$992=B176), 7))," ")</f>
        <v>5</v>
      </c>
      <c r="H210" s="76" t="s">
        <v>162</v>
      </c>
      <c r="I210" s="30" cm="1">
        <f t="array" ref="I210:J210">IFERROR(IF(ISBLANK(INDEX(_xlfn._xlws.FILTER([1]加工記録２!$O$3:$P$992, [1]加工記録２!$T$3:$T$992=B176), 1)), "", INDEX(_xlfn._xlws.FILTER([1]加工記録２!$O$3:$P$992, [1]加工記録２!$T$3:$T$992=B176), 1)),"")</f>
        <v>45845</v>
      </c>
      <c r="J210" s="77" t="str">
        <v/>
      </c>
    </row>
    <row r="211" spans="1:14" s="5" customFormat="1" ht="18" customHeight="1">
      <c r="A211" s="137"/>
      <c r="B211" s="138"/>
      <c r="C211" s="138"/>
      <c r="D211" s="138"/>
      <c r="E211" s="116"/>
      <c r="F211" s="117"/>
      <c r="G211" s="118"/>
      <c r="H211" s="76" t="s">
        <v>163</v>
      </c>
      <c r="I211" s="78" cm="1">
        <f t="array" ref="I211:J211">IFERROR(IF(ISBLANK(INDEX(_xlfn._xlws.FILTER([1]加工記録２!$O$3:$P$992, [1]加工記録２!$T$3:$T$992=B176), 2)), "", INDEX(_xlfn._xlws.FILTER([1]加工記録２!$O$3:$P$992, [1]加工記録２!$T$3:$T$992=B176), 2)),"")</f>
        <v>160</v>
      </c>
      <c r="J211" s="79">
        <v>9</v>
      </c>
      <c r="K211" s="31"/>
    </row>
    <row r="212" spans="1:14" s="7" customFormat="1" ht="18" customHeight="1">
      <c r="A212" s="119" t="s">
        <v>164</v>
      </c>
      <c r="B212" s="121" t="str">
        <f>_xlfn.XLOOKUP(B174,[1]VFDB2!A:A,[1]VFDB2!J:J)</f>
        <v>-</v>
      </c>
      <c r="C212" s="163" t="s">
        <v>165</v>
      </c>
      <c r="D212" s="165">
        <f>_xlfn.XLOOKUP(B174,[1]VFDB2!A:A,[1]VFDB2!P:P)</f>
        <v>1</v>
      </c>
      <c r="E212" s="116" t="str">
        <f>_xlfn.XLOOKUP(B174,[1]VFDB2!A:A,[1]VFDB2!V:V)</f>
        <v>梱包箱:1370(592×2)</v>
      </c>
      <c r="F212" s="117"/>
      <c r="G212" s="148"/>
      <c r="H212" s="80" t="s">
        <v>166</v>
      </c>
      <c r="I212" s="78" cm="1">
        <f t="array" ref="I212:J212">IFERROR(IF(ISBLANK(INDEX(_xlfn._xlws.FILTER([1]加工記録２!$O$3:$P$992, [1]加工記録２!$T$3:$T$992=B176), 3)), "", INDEX(_xlfn._xlws.FILTER([1]加工記録２!$O$3:$P$992, [1]加工記録２!$T$3:$T$992=B176), 3)),"")</f>
        <v>194</v>
      </c>
      <c r="J212" s="81">
        <v>25</v>
      </c>
      <c r="K212" s="32"/>
    </row>
    <row r="213" spans="1:14" s="5" customFormat="1" ht="18" customHeight="1">
      <c r="A213" s="120"/>
      <c r="B213" s="122"/>
      <c r="C213" s="164"/>
      <c r="D213" s="166"/>
      <c r="E213" s="116"/>
      <c r="F213" s="117"/>
      <c r="G213" s="148"/>
      <c r="H213" s="80" t="s">
        <v>167</v>
      </c>
      <c r="I213" s="78" cm="1">
        <f t="array" ref="I213:J213">IFERROR(IF(ISBLANK(INDEX(_xlfn._xlws.FILTER([1]加工記録２!$O$3:$P$992, [1]加工記録２!$T$3:$T$992=B176), 4)), "", INDEX(_xlfn._xlws.FILTER([1]加工記録２!$O$3:$P$992, [1]加工記録２!$T$3:$T$992=B176), 4)),"")</f>
        <v>34</v>
      </c>
      <c r="J213" s="82" t="str">
        <v/>
      </c>
      <c r="K213" s="31"/>
    </row>
    <row r="214" spans="1:14" s="7" customFormat="1" ht="18" customHeight="1">
      <c r="A214" s="140" t="s">
        <v>168</v>
      </c>
      <c r="B214" s="142">
        <f>D174</f>
        <v>547</v>
      </c>
      <c r="C214" s="144" t="s">
        <v>169</v>
      </c>
      <c r="D214" s="146" t="str">
        <f>_xlfn.XLOOKUP(B174,[1]VFDB2!A:A,[1]VFDB2!L:L)</f>
        <v>+2</v>
      </c>
      <c r="E214" s="116" t="str">
        <f>_xlfn.XLOOKUP(B174,[1]VFDB2!A:A,[1]VFDB2!W:W)</f>
        <v>クラフト紙：1370型　1/2</v>
      </c>
      <c r="F214" s="117"/>
      <c r="G214" s="148"/>
      <c r="H214" s="80" t="s">
        <v>170</v>
      </c>
      <c r="I214" s="78" cm="1">
        <f t="array" ref="I214:J214">IFERROR(IF(ISBLANK(INDEX(_xlfn._xlws.FILTER([1]加工記録２!$O$3:$P$992, [1]加工記録２!$T$3:$T$992=B176), 5)), "", INDEX(_xlfn._xlws.FILTER([1]加工記録２!$O$3:$P$992, [1]加工記録２!$T$3:$T$992=B176), 5)),"")</f>
        <v>34</v>
      </c>
      <c r="J214" s="83" t="str">
        <v/>
      </c>
      <c r="K214" s="32"/>
    </row>
    <row r="215" spans="1:14" s="5" customFormat="1" ht="18" customHeight="1">
      <c r="A215" s="141"/>
      <c r="B215" s="143"/>
      <c r="C215" s="145"/>
      <c r="D215" s="147"/>
      <c r="E215" s="116"/>
      <c r="F215" s="117"/>
      <c r="G215" s="148"/>
      <c r="H215" s="80" t="s">
        <v>171</v>
      </c>
      <c r="I215" s="78" cm="1">
        <f t="array" ref="I215:J215">IFERROR(IF(ISBLANK(INDEX(_xlfn._xlws.FILTER([1]加工記録２!$O$3:$P$992, [1]加工記録２!$T$3:$T$992=B176), 6)), "", INDEX(_xlfn._xlws.FILTER([1]加工記録２!$O$3:$P$992, [1]加工記録２!$T$3:$T$992=B176), 6)),"")</f>
        <v>0</v>
      </c>
      <c r="J215" s="84" t="str">
        <v/>
      </c>
      <c r="K215" s="31"/>
    </row>
    <row r="216" spans="1:14" s="7" customFormat="1" ht="18" customHeight="1">
      <c r="A216" s="119" t="s">
        <v>172</v>
      </c>
      <c r="B216" s="151" t="str">
        <f>_xlfn.XLOOKUP(B174,[1]VFDB2!A:A,[1]VFDB2!AC:AC)</f>
        <v>換算表確認</v>
      </c>
      <c r="C216" s="153" t="s">
        <v>173</v>
      </c>
      <c r="D216" s="146">
        <f>_xlfn.XLOOKUP(B174,[1]VFDB2!A:A,[1]VFDB2!K:K)</f>
        <v>-2</v>
      </c>
      <c r="E216" s="116" t="str">
        <f>_xlfn.XLOOKUP(B174,[1]VFDB2!A:A,[1]VFDB2!R:R)</f>
        <v>ラベル２枚　長手有　鉢巻無</v>
      </c>
      <c r="F216" s="117"/>
      <c r="G216" s="148"/>
      <c r="H216" s="80" t="s">
        <v>174</v>
      </c>
      <c r="I216" s="78" t="str" cm="1">
        <f t="array" ref="I216:J216">IFERROR(IF(ISBLANK(INDEX(_xlfn._xlws.FILTER([1]加工記録２!$O$3:$P$992, [1]加工記録２!$T$3:$T$992=B176), 7)), "", INDEX(_xlfn._xlws.FILTER([1]加工記録２!$O$3:$P$992, [1]加工記録２!$T$3:$T$992=B176), 7)),"")</f>
        <v>-</v>
      </c>
      <c r="J216" s="85" t="str">
        <v/>
      </c>
      <c r="K216" s="32"/>
    </row>
    <row r="217" spans="1:14" s="5" customFormat="1" ht="18" customHeight="1" thickBot="1">
      <c r="A217" s="150"/>
      <c r="B217" s="152"/>
      <c r="C217" s="154"/>
      <c r="D217" s="155"/>
      <c r="E217" s="156"/>
      <c r="F217" s="157"/>
      <c r="G217" s="158"/>
      <c r="H217" s="86" t="s">
        <v>175</v>
      </c>
      <c r="I217" s="33" t="str" cm="1">
        <f t="array" ref="I217:J217">IFERROR(IF(ISBLANK(INDEX(_xlfn._xlws.FILTER([1]加工記録２!$O$3:$P$992, [1]加工記録２!$T$3:$T$992=B176), 8)), "", INDEX(_xlfn._xlws.FILTER([1]加工記録２!$O$3:$P$992, [1]加工記録２!$T$3:$T$992=B176), 8)),"")</f>
        <v>富田</v>
      </c>
      <c r="J217" s="87">
        <v>34</v>
      </c>
    </row>
    <row r="218" spans="1:14" s="44" customFormat="1" ht="18.95" customHeight="1">
      <c r="A218" s="34" t="s">
        <v>176</v>
      </c>
      <c r="B218" s="35" t="s">
        <v>185</v>
      </c>
      <c r="C218" s="36" t="s">
        <v>177</v>
      </c>
      <c r="D218" s="36" t="s">
        <v>178</v>
      </c>
      <c r="E218" s="37" t="s">
        <v>179</v>
      </c>
      <c r="F218" s="38" t="s">
        <v>180</v>
      </c>
      <c r="G218" s="39" t="s">
        <v>181</v>
      </c>
      <c r="H218" s="40" t="s">
        <v>182</v>
      </c>
      <c r="I218" s="41" t="s">
        <v>183</v>
      </c>
      <c r="J218" s="42" t="s">
        <v>184</v>
      </c>
      <c r="K218" s="43"/>
      <c r="L218" s="43"/>
      <c r="M218" s="43"/>
      <c r="N218" s="43"/>
    </row>
    <row r="219" spans="1:14" s="55" customFormat="1" ht="18.95" customHeight="1">
      <c r="A219" s="88" cm="1">
        <f t="array" ref="A219:J219">IFERROR(IF(ISBLANK(INDEX(_xlfn._xlws.FILTER([1]加工記録２!$D$3:$M$992, [1]加工記録２!$T$3:$T$992=B176), 1)), "", INDEX(_xlfn._xlws.FILTER([1]加工記録２!$D$3:$M$992, [1]加工記録２!$T$3:$T$992=B176), 1)),"")</f>
        <v>45825</v>
      </c>
      <c r="B219" s="46" t="str">
        <v>25F10-01</v>
      </c>
      <c r="C219" s="47" t="str">
        <v/>
      </c>
      <c r="D219" s="47" t="str">
        <v/>
      </c>
      <c r="E219" s="48" t="str">
        <v/>
      </c>
      <c r="F219" s="49" t="str">
        <v>25F10-01</v>
      </c>
      <c r="G219" s="50">
        <v>1</v>
      </c>
      <c r="H219" s="51">
        <v>1</v>
      </c>
      <c r="I219" s="52">
        <v>45845</v>
      </c>
      <c r="J219" s="53">
        <v>10</v>
      </c>
      <c r="K219" s="54"/>
      <c r="L219" s="54"/>
      <c r="M219" s="54"/>
      <c r="N219" s="54"/>
    </row>
    <row r="220" spans="1:14" s="55" customFormat="1" ht="18.95" customHeight="1">
      <c r="A220" s="45" cm="1">
        <f t="array" ref="A220:J220">IFERROR(IF(ISBLANK(INDEX(_xlfn._xlws.FILTER([1]加工記録２!$D$3:$M$992, [1]加工記録２!$T$3:$T$992=B176), 2)), "", INDEX(_xlfn._xlws.FILTER([1]加工記録２!$D$3:$M$992, [1]加工記録２!$T$3:$T$992=B176), 2)),"")</f>
        <v>45845</v>
      </c>
      <c r="B220" s="56" t="str">
        <v>25G01-01</v>
      </c>
      <c r="C220" s="56" t="str">
        <v/>
      </c>
      <c r="D220" s="56" t="str">
        <v/>
      </c>
      <c r="E220" s="57" t="str">
        <v/>
      </c>
      <c r="F220" s="58" t="str">
        <v>25G01-01</v>
      </c>
      <c r="G220" s="59">
        <v>193</v>
      </c>
      <c r="H220" s="60">
        <v>193</v>
      </c>
      <c r="I220" s="52" t="str">
        <v/>
      </c>
      <c r="J220" s="53" t="str">
        <v/>
      </c>
      <c r="K220" s="54"/>
      <c r="L220" s="54"/>
      <c r="M220" s="54"/>
      <c r="N220" s="54"/>
    </row>
    <row r="221" spans="1:14" s="55" customFormat="1" ht="18.95" customHeight="1">
      <c r="A221" s="45" t="str" cm="1">
        <f t="array" ref="A221:J221">IFERROR(IF(ISBLANK(INDEX(_xlfn._xlws.FILTER([1]加工記録２!$D$3:$M$992, [1]加工記録２!$T$3:$T$992=B176), 3)), "", INDEX(_xlfn._xlws.FILTER([1]加工記録２!$D$3:$M$992, [1]加工記録２!$T$3:$T$992=B176), 3)),"")</f>
        <v/>
      </c>
      <c r="B221" s="56" t="str">
        <v/>
      </c>
      <c r="C221" s="56" t="str">
        <v/>
      </c>
      <c r="D221" s="56" t="str">
        <v/>
      </c>
      <c r="E221" s="57" t="str">
        <v/>
      </c>
      <c r="F221" s="58" t="str">
        <v/>
      </c>
      <c r="G221" s="59" t="str">
        <v/>
      </c>
      <c r="H221" s="60">
        <v>0</v>
      </c>
      <c r="I221" s="52" t="str">
        <v/>
      </c>
      <c r="J221" s="53" t="str">
        <v/>
      </c>
      <c r="K221" s="54"/>
      <c r="L221" s="54"/>
      <c r="M221" s="54"/>
      <c r="N221" s="54"/>
    </row>
    <row r="222" spans="1:14" s="55" customFormat="1" ht="18.95" customHeight="1">
      <c r="A222" s="45" t="str" cm="1">
        <f t="array" ref="A222:J222">IFERROR(IF(ISBLANK(INDEX(_xlfn._xlws.FILTER([1]加工記録２!$D$3:$M$992, [1]加工記録２!$T$3:$T$992=B176), 4)), "", INDEX(_xlfn._xlws.FILTER([1]加工記録２!$D$3:$M$992, [1]加工記録２!$T$3:$T$992=B176), 4)),"")</f>
        <v/>
      </c>
      <c r="B222" s="56" t="str">
        <v/>
      </c>
      <c r="C222" s="56" t="str">
        <v/>
      </c>
      <c r="D222" s="56" t="str">
        <v/>
      </c>
      <c r="E222" s="57" t="str">
        <v/>
      </c>
      <c r="F222" s="58" t="str">
        <v/>
      </c>
      <c r="G222" s="59" t="str">
        <v/>
      </c>
      <c r="H222" s="60">
        <v>0</v>
      </c>
      <c r="I222" s="52" t="str">
        <v/>
      </c>
      <c r="J222" s="53" t="str">
        <v/>
      </c>
      <c r="K222" s="54"/>
      <c r="L222" s="54"/>
      <c r="M222" s="54"/>
      <c r="N222" s="54"/>
    </row>
    <row r="223" spans="1:14" s="55" customFormat="1" ht="18.95" customHeight="1">
      <c r="A223" s="45" t="str" cm="1">
        <f t="array" ref="A223:J223">IFERROR(IF(ISBLANK(INDEX(_xlfn._xlws.FILTER([1]加工記録２!$D$3:$M$992, [1]加工記録２!$T$3:$T$992=B176), 5)), "", INDEX(_xlfn._xlws.FILTER([1]加工記録２!$D$3:$M$992, [1]加工記録２!$T$3:$T$992=B176), 5)),"")</f>
        <v/>
      </c>
      <c r="B223" s="56" t="str">
        <v/>
      </c>
      <c r="C223" s="56" t="str">
        <v/>
      </c>
      <c r="D223" s="56" t="str">
        <v/>
      </c>
      <c r="E223" s="57" t="str">
        <v/>
      </c>
      <c r="F223" s="58" t="str">
        <v/>
      </c>
      <c r="G223" s="59" t="str">
        <v/>
      </c>
      <c r="H223" s="60">
        <v>0</v>
      </c>
      <c r="I223" s="61" t="str">
        <v/>
      </c>
      <c r="J223" s="62" t="str">
        <v/>
      </c>
      <c r="K223" s="54"/>
      <c r="L223" s="54"/>
      <c r="M223" s="54"/>
      <c r="N223" s="54"/>
    </row>
    <row r="224" spans="1:14" s="55" customFormat="1" ht="18.95" customHeight="1">
      <c r="A224" s="45" t="str" cm="1">
        <f t="array" ref="A224:J224">IFERROR(IF(ISBLANK(INDEX(_xlfn._xlws.FILTER([1]加工記録２!$D$3:$M$992, [1]加工記録２!$T$3:$T$992=B176), 6)), "", INDEX(_xlfn._xlws.FILTER([1]加工記録２!$D$3:$M$992, [1]加工記録２!$T$3:$T$992=B176), 6)),"")</f>
        <v/>
      </c>
      <c r="B224" s="56" t="str">
        <v/>
      </c>
      <c r="C224" s="56" t="str">
        <v/>
      </c>
      <c r="D224" s="56" t="str">
        <v/>
      </c>
      <c r="E224" s="57" t="str">
        <v/>
      </c>
      <c r="F224" s="58" t="str">
        <v/>
      </c>
      <c r="G224" s="59" t="str">
        <v/>
      </c>
      <c r="H224" s="63">
        <v>0</v>
      </c>
      <c r="I224" s="64" t="str">
        <v>旧品加工</v>
      </c>
      <c r="J224" s="65">
        <v>1</v>
      </c>
      <c r="K224" s="54"/>
      <c r="L224" s="54"/>
      <c r="M224" s="54"/>
      <c r="N224" s="54"/>
    </row>
    <row r="225" spans="1:14" s="55" customFormat="1" ht="18.95" customHeight="1">
      <c r="A225" s="45" t="str" cm="1">
        <f t="array" ref="A225:J225">IFERROR(IF(ISBLANK(INDEX(_xlfn._xlws.FILTER([1]加工記録２!$D$3:$M$992, [1]加工記録２!$T$3:$T$992=B176), 7)), "", INDEX(_xlfn._xlws.FILTER([1]加工記録２!$D$3:$M$992, [1]加工記録２!$T$3:$T$992=B176), 7)),"")</f>
        <v/>
      </c>
      <c r="B225" s="56" t="str">
        <v/>
      </c>
      <c r="C225" s="56" t="str">
        <v/>
      </c>
      <c r="D225" s="56" t="str">
        <v/>
      </c>
      <c r="E225" s="57" t="str">
        <v/>
      </c>
      <c r="F225" s="58" t="str">
        <v/>
      </c>
      <c r="G225" s="59" t="str">
        <v/>
      </c>
      <c r="H225" s="63">
        <v>0</v>
      </c>
      <c r="I225" s="66" t="str">
        <v>持出端材</v>
      </c>
      <c r="J225" s="67" t="str">
        <v/>
      </c>
      <c r="K225" s="54"/>
      <c r="L225" s="54"/>
      <c r="M225" s="54"/>
      <c r="N225" s="54"/>
    </row>
    <row r="226" spans="1:14" s="55" customFormat="1" ht="18.95" customHeight="1" thickBot="1">
      <c r="A226" s="68" t="str" cm="1">
        <f t="array" ref="A226:J226">IFERROR(IF(ISBLANK(INDEX(_xlfn._xlws.FILTER([1]加工記録２!$D$3:$M$992, [1]加工記録２!$T$3:$T$992=B176), 8)), "", INDEX(_xlfn._xlws.FILTER([1]加工記録２!$D$3:$M$992, [1]加工記録２!$T$3:$T$992=B176), 8)),"")</f>
        <v/>
      </c>
      <c r="B226" s="69" t="str">
        <v/>
      </c>
      <c r="C226" s="69" t="str">
        <v/>
      </c>
      <c r="D226" s="69" t="str">
        <v/>
      </c>
      <c r="E226" s="70" t="str">
        <v/>
      </c>
      <c r="F226" s="71" t="str">
        <v/>
      </c>
      <c r="G226" s="72" t="str">
        <v/>
      </c>
      <c r="H226" s="73">
        <v>0</v>
      </c>
      <c r="I226" s="74" t="str">
        <v>α端材</v>
      </c>
      <c r="J226" s="75">
        <v>0</v>
      </c>
      <c r="K226" s="54"/>
      <c r="L226" s="54"/>
      <c r="M226" s="54"/>
      <c r="N226" s="54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26" t="s">
        <v>0</v>
      </c>
      <c r="C229" s="90"/>
      <c r="D229" s="90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90"/>
      <c r="C230" s="90"/>
      <c r="D230" s="90"/>
      <c r="E230" s="13"/>
      <c r="F230" s="13"/>
      <c r="G230" s="13"/>
      <c r="H230" s="13"/>
      <c r="I230" s="13"/>
      <c r="J230" s="13"/>
    </row>
    <row r="231" spans="1:14" ht="14.25" customHeight="1">
      <c r="A231" s="95" t="s">
        <v>1</v>
      </c>
      <c r="B231" s="95" t="s">
        <v>85</v>
      </c>
      <c r="C231" s="95" t="s">
        <v>3</v>
      </c>
      <c r="D231" s="123">
        <v>840</v>
      </c>
      <c r="E231" s="95" t="s">
        <v>4</v>
      </c>
      <c r="F231" s="89" t="s">
        <v>86</v>
      </c>
      <c r="G231" s="90"/>
      <c r="H231" s="91"/>
      <c r="I231" s="14" t="s">
        <v>6</v>
      </c>
      <c r="J231" s="14" t="s">
        <v>7</v>
      </c>
    </row>
    <row r="232" spans="1:14" ht="14.25" customHeight="1">
      <c r="A232" s="90"/>
      <c r="B232" s="90"/>
      <c r="C232" s="90"/>
      <c r="D232" s="90"/>
      <c r="E232" s="90"/>
      <c r="F232" s="90"/>
      <c r="G232" s="90"/>
      <c r="H232" s="91"/>
      <c r="I232" s="98"/>
      <c r="J232" s="98"/>
    </row>
    <row r="233" spans="1:14" ht="17.45" customHeight="1">
      <c r="A233" s="104" t="s">
        <v>8</v>
      </c>
      <c r="B233" s="104" t="s">
        <v>87</v>
      </c>
      <c r="E233" s="104" t="s">
        <v>10</v>
      </c>
      <c r="F233" s="112" t="s">
        <v>11</v>
      </c>
      <c r="G233" s="90"/>
      <c r="H233" s="91"/>
      <c r="I233" s="99"/>
      <c r="J233" s="99"/>
    </row>
    <row r="234" spans="1:14" ht="17.45" customHeight="1">
      <c r="A234" s="90"/>
      <c r="B234" s="90"/>
      <c r="E234" s="90"/>
      <c r="F234" s="90"/>
      <c r="G234" s="90"/>
      <c r="H234" s="91"/>
      <c r="I234" s="15"/>
      <c r="J234" s="15"/>
    </row>
    <row r="235" spans="1:14" ht="17.45" customHeight="1">
      <c r="A235" s="104" t="s">
        <v>12</v>
      </c>
      <c r="B235" s="104" t="s">
        <v>88</v>
      </c>
      <c r="E235" s="2" t="s">
        <v>14</v>
      </c>
      <c r="F235" s="113" t="s">
        <v>15</v>
      </c>
      <c r="G235" s="90"/>
      <c r="H235" s="22"/>
    </row>
    <row r="236" spans="1:14" ht="17.45" customHeight="1">
      <c r="A236" s="90"/>
      <c r="B236" s="90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45860</v>
      </c>
      <c r="E237" s="2" t="s">
        <v>19</v>
      </c>
      <c r="F237" s="132">
        <v>16</v>
      </c>
      <c r="G237" s="90"/>
      <c r="H237" s="22"/>
    </row>
    <row r="238" spans="1:14" ht="17.45" customHeight="1">
      <c r="A238" s="2" t="s">
        <v>20</v>
      </c>
      <c r="B238" s="4">
        <v>45860</v>
      </c>
      <c r="E238" s="2" t="s">
        <v>21</v>
      </c>
      <c r="F238" s="22">
        <v>12</v>
      </c>
      <c r="G238" s="139" t="s">
        <v>22</v>
      </c>
      <c r="H238" s="128">
        <v>192</v>
      </c>
      <c r="I238" s="129"/>
      <c r="J238" s="130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31"/>
      <c r="H239" s="131"/>
      <c r="I239" s="110"/>
      <c r="J239" s="111"/>
    </row>
    <row r="240" spans="1:14" ht="13.5" customHeight="1">
      <c r="A240" s="102" t="s">
        <v>89</v>
      </c>
      <c r="B240" s="90"/>
      <c r="C240" s="90"/>
      <c r="D240" s="21"/>
      <c r="F240" s="3"/>
      <c r="G240" s="103" t="s">
        <v>26</v>
      </c>
      <c r="H240" s="92" t="s">
        <v>27</v>
      </c>
      <c r="I240" s="109" t="s">
        <v>28</v>
      </c>
      <c r="J240" s="91"/>
    </row>
    <row r="241" spans="1:10" ht="13.5" customHeight="1">
      <c r="A241" s="90"/>
      <c r="B241" s="90"/>
      <c r="C241" s="90"/>
      <c r="D241" s="21"/>
      <c r="F241" s="3"/>
      <c r="G241" s="93"/>
      <c r="H241" s="93"/>
      <c r="I241" s="110"/>
      <c r="J241" s="111"/>
    </row>
    <row r="242" spans="1:10" ht="13.5" customHeight="1">
      <c r="A242" s="1" t="s">
        <v>29</v>
      </c>
    </row>
    <row r="243" spans="1:10" ht="63" customHeight="1">
      <c r="A243" s="124"/>
      <c r="B243" s="125"/>
      <c r="C243" s="125"/>
      <c r="D243" s="125"/>
      <c r="E243" s="125"/>
      <c r="F243" s="125"/>
      <c r="G243" s="125"/>
      <c r="H243" s="125"/>
      <c r="I243" s="125"/>
      <c r="J243" s="125"/>
    </row>
    <row r="244" spans="1:10" ht="18.75">
      <c r="A244" s="24" t="s">
        <v>30</v>
      </c>
      <c r="B244" s="17" t="s">
        <v>31</v>
      </c>
      <c r="C244" s="114" t="s">
        <v>32</v>
      </c>
      <c r="D244" s="107"/>
      <c r="E244" s="17" t="s">
        <v>33</v>
      </c>
      <c r="F244" s="114" t="s">
        <v>34</v>
      </c>
      <c r="G244" s="107"/>
      <c r="H244" s="107"/>
      <c r="I244" s="106" t="s">
        <v>35</v>
      </c>
      <c r="J244" s="107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94" t="s">
        <v>37</v>
      </c>
      <c r="D246" s="90"/>
      <c r="E246" s="25" t="s">
        <v>40</v>
      </c>
      <c r="F246" s="94" t="s">
        <v>41</v>
      </c>
      <c r="G246" s="90"/>
      <c r="H246" s="90"/>
      <c r="I246" s="108"/>
      <c r="J246" s="90"/>
    </row>
    <row r="247" spans="1:10" ht="16.5" customHeight="1">
      <c r="A247" s="23">
        <v>1</v>
      </c>
      <c r="B247" s="26" t="s">
        <v>36</v>
      </c>
      <c r="C247" s="94" t="s">
        <v>37</v>
      </c>
      <c r="D247" s="90"/>
      <c r="E247" s="25" t="s">
        <v>42</v>
      </c>
      <c r="F247" s="94" t="s">
        <v>43</v>
      </c>
      <c r="G247" s="90"/>
      <c r="H247" s="90"/>
      <c r="I247" s="108"/>
      <c r="J247" s="90"/>
    </row>
    <row r="248" spans="1:10" ht="16.5" customHeight="1">
      <c r="A248" s="23"/>
      <c r="B248" s="26"/>
      <c r="C248" s="94"/>
      <c r="D248" s="90"/>
      <c r="E248" s="25"/>
      <c r="F248" s="94"/>
      <c r="G248" s="90"/>
      <c r="H248" s="90"/>
      <c r="I248" s="108"/>
      <c r="J248" s="90"/>
    </row>
    <row r="249" spans="1:10" ht="16.5" customHeight="1">
      <c r="A249" s="23"/>
      <c r="B249" s="26"/>
      <c r="C249" s="94"/>
      <c r="D249" s="90"/>
      <c r="E249" s="25"/>
      <c r="F249" s="94"/>
      <c r="G249" s="90"/>
      <c r="H249" s="90"/>
      <c r="I249" s="108"/>
      <c r="J249" s="90"/>
    </row>
    <row r="250" spans="1:10" ht="16.5" customHeight="1">
      <c r="A250" s="23"/>
      <c r="B250" s="26"/>
      <c r="C250" s="94"/>
      <c r="D250" s="90"/>
      <c r="E250" s="25"/>
      <c r="F250" s="94"/>
      <c r="G250" s="90"/>
      <c r="H250" s="90"/>
      <c r="I250" s="108"/>
      <c r="J250" s="90"/>
    </row>
    <row r="251" spans="1:10" ht="16.5" customHeight="1">
      <c r="A251" s="23"/>
      <c r="B251" s="26"/>
      <c r="C251" s="94"/>
      <c r="D251" s="90"/>
      <c r="E251" s="25"/>
      <c r="F251" s="94"/>
      <c r="G251" s="90"/>
      <c r="H251" s="90"/>
      <c r="I251" s="108"/>
      <c r="J251" s="90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00" t="s">
        <v>44</v>
      </c>
      <c r="B253" s="101"/>
      <c r="C253" s="100" t="s">
        <v>45</v>
      </c>
      <c r="D253" s="101"/>
      <c r="E253" s="101"/>
      <c r="F253" s="18" t="s">
        <v>46</v>
      </c>
      <c r="G253" s="100" t="s">
        <v>47</v>
      </c>
      <c r="H253" s="101"/>
      <c r="I253" s="100" t="s">
        <v>48</v>
      </c>
      <c r="J253" s="101"/>
    </row>
    <row r="254" spans="1:10" ht="14.25" customHeight="1">
      <c r="A254" s="8"/>
      <c r="B254" s="19"/>
      <c r="C254" s="127" t="s">
        <v>49</v>
      </c>
      <c r="D254" s="110"/>
      <c r="E254" s="19"/>
      <c r="F254" s="127" t="s">
        <v>29</v>
      </c>
      <c r="G254" s="110"/>
      <c r="H254" s="110"/>
      <c r="I254" s="110"/>
      <c r="J254" s="110"/>
    </row>
    <row r="255" spans="1:10">
      <c r="A255" s="9"/>
      <c r="C255" s="7"/>
      <c r="D255" s="7"/>
      <c r="E255" s="7"/>
    </row>
    <row r="256" spans="1:10" ht="14.25" customHeight="1">
      <c r="A256" s="94" t="s">
        <v>90</v>
      </c>
      <c r="B256" s="90"/>
      <c r="C256" s="94" t="s">
        <v>91</v>
      </c>
      <c r="D256" s="90"/>
      <c r="E256" s="90"/>
      <c r="F256" s="27" t="s">
        <v>52</v>
      </c>
      <c r="G256" s="96">
        <v>192</v>
      </c>
      <c r="H256" s="90"/>
      <c r="I256" s="96">
        <v>12</v>
      </c>
      <c r="J256" s="90"/>
    </row>
    <row r="257" spans="1:11" ht="24.95" customHeight="1">
      <c r="A257" s="105" t="s">
        <v>92</v>
      </c>
      <c r="B257" s="90"/>
      <c r="C257" s="94" t="s">
        <v>11</v>
      </c>
      <c r="D257" s="90"/>
      <c r="E257" s="90"/>
      <c r="F257" s="94"/>
      <c r="G257" s="90"/>
      <c r="H257" s="90"/>
      <c r="I257" s="90"/>
      <c r="J257" s="90"/>
    </row>
    <row r="258" spans="1:11" ht="14.25" customHeight="1">
      <c r="A258" s="94" t="s">
        <v>93</v>
      </c>
      <c r="B258" s="90"/>
      <c r="C258" s="94" t="s">
        <v>94</v>
      </c>
      <c r="D258" s="90"/>
      <c r="E258" s="90"/>
      <c r="F258" s="27" t="s">
        <v>27</v>
      </c>
      <c r="G258" s="96">
        <v>5.952</v>
      </c>
      <c r="H258" s="90"/>
      <c r="I258" s="96">
        <v>0.372</v>
      </c>
      <c r="J258" s="90"/>
    </row>
    <row r="259" spans="1:11" ht="24.95" customHeight="1">
      <c r="A259" s="105" t="s">
        <v>95</v>
      </c>
      <c r="B259" s="90"/>
      <c r="C259" s="94"/>
      <c r="D259" s="90"/>
      <c r="E259" s="90"/>
      <c r="F259" s="94"/>
      <c r="G259" s="90"/>
      <c r="H259" s="90"/>
      <c r="I259" s="90"/>
      <c r="J259" s="90"/>
    </row>
    <row r="260" spans="1:11" ht="14.25" customHeight="1">
      <c r="A260" s="94" t="s">
        <v>81</v>
      </c>
      <c r="B260" s="90"/>
      <c r="C260" s="94" t="s">
        <v>82</v>
      </c>
      <c r="D260" s="90"/>
      <c r="E260" s="90"/>
      <c r="F260" s="27"/>
      <c r="G260" s="96">
        <v>0.57599999999999996</v>
      </c>
      <c r="H260" s="90"/>
      <c r="I260" s="96">
        <v>3.5999999999999997E-2</v>
      </c>
      <c r="J260" s="90"/>
    </row>
    <row r="261" spans="1:11" ht="24.95" customHeight="1">
      <c r="A261" s="105" t="s">
        <v>83</v>
      </c>
      <c r="B261" s="90"/>
      <c r="C261" s="94" t="s">
        <v>84</v>
      </c>
      <c r="D261" s="90"/>
      <c r="E261" s="90"/>
      <c r="F261" s="94"/>
      <c r="G261" s="90"/>
      <c r="H261" s="90"/>
      <c r="I261" s="90"/>
      <c r="J261" s="90"/>
    </row>
    <row r="262" spans="1:11" ht="14.25" customHeight="1">
      <c r="A262" s="94"/>
      <c r="B262" s="90"/>
      <c r="C262" s="94"/>
      <c r="D262" s="90"/>
      <c r="E262" s="90"/>
      <c r="F262" s="27"/>
      <c r="G262" s="96"/>
      <c r="H262" s="90"/>
      <c r="I262" s="96"/>
      <c r="J262" s="90"/>
    </row>
    <row r="263" spans="1:11" ht="24.95" customHeight="1">
      <c r="A263" s="105"/>
      <c r="B263" s="90"/>
      <c r="C263" s="94"/>
      <c r="D263" s="90"/>
      <c r="E263" s="90"/>
      <c r="F263" s="94"/>
      <c r="G263" s="90"/>
      <c r="H263" s="90"/>
      <c r="I263" s="90"/>
      <c r="J263" s="90"/>
    </row>
    <row r="264" spans="1:11" ht="14.25" customHeight="1">
      <c r="A264" s="94"/>
      <c r="B264" s="90"/>
      <c r="C264" s="94"/>
      <c r="D264" s="90"/>
      <c r="E264" s="90"/>
      <c r="F264" s="27"/>
      <c r="G264" s="96"/>
      <c r="H264" s="90"/>
      <c r="I264" s="96"/>
      <c r="J264" s="90"/>
    </row>
    <row r="265" spans="1:11" ht="24.95" customHeight="1" thickBot="1">
      <c r="A265" s="105"/>
      <c r="B265" s="90"/>
      <c r="C265" s="94"/>
      <c r="D265" s="90"/>
      <c r="E265" s="90"/>
      <c r="F265" s="94"/>
      <c r="G265" s="90"/>
      <c r="H265" s="90"/>
      <c r="I265" s="90"/>
      <c r="J265" s="90"/>
    </row>
    <row r="266" spans="1:11" s="5" customFormat="1" ht="18" customHeight="1">
      <c r="A266" s="159" t="s">
        <v>157</v>
      </c>
      <c r="B266" s="160"/>
      <c r="C266" s="160"/>
      <c r="D266" s="160"/>
      <c r="E266" s="161" t="s">
        <v>158</v>
      </c>
      <c r="F266" s="162"/>
      <c r="G266" s="28" t="s">
        <v>159</v>
      </c>
      <c r="H266" s="133" t="s">
        <v>160</v>
      </c>
      <c r="I266" s="134"/>
      <c r="J266" s="29" t="s">
        <v>161</v>
      </c>
    </row>
    <row r="267" spans="1:11" s="7" customFormat="1" ht="18" customHeight="1">
      <c r="A267" s="135" t="str">
        <f>_xlfn.XLOOKUP(B231,[1]VFDB2!A:A,[1]VFDB2!A:A)</f>
        <v>J1ZAFJB00208400</v>
      </c>
      <c r="B267" s="136"/>
      <c r="C267" s="136"/>
      <c r="D267" s="136"/>
      <c r="E267" s="116" t="str" cm="1">
        <f t="array" ref="E267">IFERROR(IF(ISBLANK(INDEX(_xlfn._xlws.FILTER([1]加工記録２!$C$3:$C$992, [1]加工記録２!$T$3:$T$992=B233), 6)), "", INDEX(_xlfn._xlws.FILTER([1]加工記録２!$C$3:$C$992, [1]加工記録２!$T$3:$T$992=B233), 6)),"")</f>
        <v>灯具-2　L＝1996</v>
      </c>
      <c r="F267" s="117"/>
      <c r="G267" s="118" cm="1">
        <f t="array" ref="G267">IFERROR(IF(ISBLANK(INDEX(_xlfn._xlws.FILTER([1]加工記録２!$C$3:$C$992, [1]加工記録２!$T$3:$T$992=B233), 7)), " ", INDEX(_xlfn._xlws.FILTER([1]加工記録２!$C$3:$C$992, [1]加工記録２!$T$3:$T$992=B233), 7))," ")</f>
        <v>4</v>
      </c>
      <c r="H267" s="76" t="s">
        <v>162</v>
      </c>
      <c r="I267" s="30" cm="1">
        <f t="array" ref="I267:J267">IFERROR(IF(ISBLANK(INDEX(_xlfn._xlws.FILTER([1]加工記録２!$O$3:$P$992, [1]加工記録２!$T$3:$T$992=B233), 1)), "", INDEX(_xlfn._xlws.FILTER([1]加工記録２!$O$3:$P$992, [1]加工記録２!$T$3:$T$992=B233), 1)),"")</f>
        <v>45845</v>
      </c>
      <c r="J267" s="77">
        <v>8</v>
      </c>
    </row>
    <row r="268" spans="1:11" s="5" customFormat="1" ht="18" customHeight="1">
      <c r="A268" s="137"/>
      <c r="B268" s="138"/>
      <c r="C268" s="138"/>
      <c r="D268" s="138"/>
      <c r="E268" s="116"/>
      <c r="F268" s="117"/>
      <c r="G268" s="118"/>
      <c r="H268" s="76" t="s">
        <v>163</v>
      </c>
      <c r="I268" s="78" cm="1">
        <f t="array" ref="I268:J268">IFERROR(IF(ISBLANK(INDEX(_xlfn._xlws.FILTER([1]加工記録２!$O$3:$P$992, [1]加工記録２!$T$3:$T$992=B233), 2)), "", INDEX(_xlfn._xlws.FILTER([1]加工記録２!$O$3:$P$992, [1]加工記録２!$T$3:$T$992=B233), 2)),"")</f>
        <v>128</v>
      </c>
      <c r="J268" s="79">
        <v>57</v>
      </c>
      <c r="K268" s="31"/>
    </row>
    <row r="269" spans="1:11" s="7" customFormat="1" ht="18" customHeight="1">
      <c r="A269" s="119" t="s">
        <v>164</v>
      </c>
      <c r="B269" s="121" t="str">
        <f>_xlfn.XLOOKUP(B231,[1]VFDB2!A:A,[1]VFDB2!J:J)</f>
        <v>-</v>
      </c>
      <c r="C269" s="163" t="s">
        <v>165</v>
      </c>
      <c r="D269" s="165">
        <f>_xlfn.XLOOKUP(B231,[1]VFDB2!A:A,[1]VFDB2!P:P)</f>
        <v>1</v>
      </c>
      <c r="E269" s="116" t="str">
        <f>_xlfn.XLOOKUP(B231,[1]VFDB2!A:A,[1]VFDB2!V:V)</f>
        <v>梱包:1996(840×2)</v>
      </c>
      <c r="F269" s="117"/>
      <c r="G269" s="148"/>
      <c r="H269" s="80" t="s">
        <v>166</v>
      </c>
      <c r="I269" s="78" cm="1">
        <f t="array" ref="I269:J269">IFERROR(IF(ISBLANK(INDEX(_xlfn._xlws.FILTER([1]加工記録２!$O$3:$P$992, [1]加工記録２!$T$3:$T$992=B233), 3)), "", INDEX(_xlfn._xlws.FILTER([1]加工記録２!$O$3:$P$992, [1]加工記録２!$T$3:$T$992=B233), 3)),"")</f>
        <v>193</v>
      </c>
      <c r="J269" s="81" t="str">
        <v/>
      </c>
      <c r="K269" s="32"/>
    </row>
    <row r="270" spans="1:11" s="5" customFormat="1" ht="18" customHeight="1">
      <c r="A270" s="120"/>
      <c r="B270" s="122"/>
      <c r="C270" s="164"/>
      <c r="D270" s="166"/>
      <c r="E270" s="116"/>
      <c r="F270" s="117"/>
      <c r="G270" s="148"/>
      <c r="H270" s="80" t="s">
        <v>167</v>
      </c>
      <c r="I270" s="78" cm="1">
        <f t="array" ref="I270:J270">IFERROR(IF(ISBLANK(INDEX(_xlfn._xlws.FILTER([1]加工記録２!$O$3:$P$992, [1]加工記録２!$T$3:$T$992=B233), 4)), "", INDEX(_xlfn._xlws.FILTER([1]加工記録２!$O$3:$P$992, [1]加工記録２!$T$3:$T$992=B233), 4)),"")</f>
        <v>65</v>
      </c>
      <c r="J270" s="82" t="str">
        <v/>
      </c>
      <c r="K270" s="31"/>
    </row>
    <row r="271" spans="1:11" s="7" customFormat="1" ht="18" customHeight="1">
      <c r="A271" s="140" t="s">
        <v>168</v>
      </c>
      <c r="B271" s="142">
        <f>D231</f>
        <v>840</v>
      </c>
      <c r="C271" s="144" t="s">
        <v>169</v>
      </c>
      <c r="D271" s="146" t="str">
        <f>_xlfn.XLOOKUP(B231,[1]VFDB2!A:A,[1]VFDB2!L:L)</f>
        <v>+2</v>
      </c>
      <c r="E271" s="116" t="str">
        <f>_xlfn.XLOOKUP(B231,[1]VFDB2!A:A,[1]VFDB2!W:W)</f>
        <v>クラフト紙：1996型　1/2</v>
      </c>
      <c r="F271" s="117"/>
      <c r="G271" s="148"/>
      <c r="H271" s="80" t="s">
        <v>170</v>
      </c>
      <c r="I271" s="78" cm="1">
        <f t="array" ref="I271:J271">IFERROR(IF(ISBLANK(INDEX(_xlfn._xlws.FILTER([1]加工記録２!$O$3:$P$992, [1]加工記録２!$T$3:$T$992=B233), 5)), "", INDEX(_xlfn._xlws.FILTER([1]加工記録２!$O$3:$P$992, [1]加工記録２!$T$3:$T$992=B233), 5)),"")</f>
        <v>65</v>
      </c>
      <c r="J271" s="83" t="str">
        <v/>
      </c>
      <c r="K271" s="32"/>
    </row>
    <row r="272" spans="1:11" s="5" customFormat="1" ht="18" customHeight="1">
      <c r="A272" s="141"/>
      <c r="B272" s="143"/>
      <c r="C272" s="145"/>
      <c r="D272" s="147"/>
      <c r="E272" s="116"/>
      <c r="F272" s="117"/>
      <c r="G272" s="148"/>
      <c r="H272" s="80" t="s">
        <v>171</v>
      </c>
      <c r="I272" s="78" cm="1">
        <f t="array" ref="I272:J272">IFERROR(IF(ISBLANK(INDEX(_xlfn._xlws.FILTER([1]加工記録２!$O$3:$P$992, [1]加工記録２!$T$3:$T$992=B233), 6)), "", INDEX(_xlfn._xlws.FILTER([1]加工記録２!$O$3:$P$992, [1]加工記録２!$T$3:$T$992=B233), 6)),"")</f>
        <v>0</v>
      </c>
      <c r="J272" s="84" t="str">
        <v/>
      </c>
      <c r="K272" s="31"/>
    </row>
    <row r="273" spans="1:14" s="7" customFormat="1" ht="18" customHeight="1">
      <c r="A273" s="119" t="s">
        <v>172</v>
      </c>
      <c r="B273" s="151" t="str">
        <f>_xlfn.XLOOKUP(B231,[1]VFDB2!A:A,[1]VFDB2!AC:AC)</f>
        <v>換算表確認</v>
      </c>
      <c r="C273" s="153" t="s">
        <v>173</v>
      </c>
      <c r="D273" s="146">
        <f>_xlfn.XLOOKUP(B231,[1]VFDB2!A:A,[1]VFDB2!K:K)</f>
        <v>-2</v>
      </c>
      <c r="E273" s="116" t="str">
        <f>_xlfn.XLOOKUP(B231,[1]VFDB2!A:A,[1]VFDB2!R:R)</f>
        <v>ラベル２枚　長手有　鉢巻無</v>
      </c>
      <c r="F273" s="117"/>
      <c r="G273" s="148"/>
      <c r="H273" s="80" t="s">
        <v>174</v>
      </c>
      <c r="I273" s="78" t="str" cm="1">
        <f t="array" ref="I273:J273">IFERROR(IF(ISBLANK(INDEX(_xlfn._xlws.FILTER([1]加工記録２!$O$3:$P$992, [1]加工記録２!$T$3:$T$992=B233), 7)), "", INDEX(_xlfn._xlws.FILTER([1]加工記録２!$O$3:$P$992, [1]加工記録２!$T$3:$T$992=B233), 7)),"")</f>
        <v>-</v>
      </c>
      <c r="J273" s="85" t="str">
        <v/>
      </c>
      <c r="K273" s="32"/>
    </row>
    <row r="274" spans="1:14" s="5" customFormat="1" ht="18" customHeight="1" thickBot="1">
      <c r="A274" s="150"/>
      <c r="B274" s="152"/>
      <c r="C274" s="154"/>
      <c r="D274" s="155"/>
      <c r="E274" s="156"/>
      <c r="F274" s="157"/>
      <c r="G274" s="158"/>
      <c r="H274" s="86" t="s">
        <v>175</v>
      </c>
      <c r="I274" s="33" t="str" cm="1">
        <f t="array" ref="I274:J274">IFERROR(IF(ISBLANK(INDEX(_xlfn._xlws.FILTER([1]加工記録２!$O$3:$P$992, [1]加工記録２!$T$3:$T$992=B233), 8)), "", INDEX(_xlfn._xlws.FILTER([1]加工記録２!$O$3:$P$992, [1]加工記録２!$T$3:$T$992=B233), 8)),"")</f>
        <v>富田</v>
      </c>
      <c r="J274" s="87">
        <v>65</v>
      </c>
    </row>
    <row r="275" spans="1:14" s="44" customFormat="1" ht="18.95" customHeight="1">
      <c r="A275" s="34" t="s">
        <v>176</v>
      </c>
      <c r="B275" s="35" t="s">
        <v>185</v>
      </c>
      <c r="C275" s="36" t="s">
        <v>177</v>
      </c>
      <c r="D275" s="36" t="s">
        <v>178</v>
      </c>
      <c r="E275" s="37" t="s">
        <v>179</v>
      </c>
      <c r="F275" s="38" t="s">
        <v>180</v>
      </c>
      <c r="G275" s="39" t="s">
        <v>181</v>
      </c>
      <c r="H275" s="40" t="s">
        <v>182</v>
      </c>
      <c r="I275" s="41" t="s">
        <v>183</v>
      </c>
      <c r="J275" s="42" t="s">
        <v>184</v>
      </c>
      <c r="K275" s="43"/>
      <c r="L275" s="43"/>
      <c r="M275" s="43"/>
      <c r="N275" s="43"/>
    </row>
    <row r="276" spans="1:14" s="55" customFormat="1" ht="18.95" customHeight="1">
      <c r="A276" s="88" cm="1">
        <f t="array" ref="A276:J276">IFERROR(IF(ISBLANK(INDEX(_xlfn._xlws.FILTER([1]加工記録２!$D$3:$M$992, [1]加工記録２!$T$3:$T$992=B233), 1)), "", INDEX(_xlfn._xlws.FILTER([1]加工記録２!$D$3:$M$992, [1]加工記録２!$T$3:$T$992=B233), 1)),"")</f>
        <v>45827</v>
      </c>
      <c r="B276" s="46" t="str">
        <v>25F10-01</v>
      </c>
      <c r="C276" s="47" t="str">
        <v/>
      </c>
      <c r="D276" s="47" t="str">
        <v/>
      </c>
      <c r="E276" s="48" t="str">
        <v/>
      </c>
      <c r="F276" s="49" t="str">
        <v>25F10-01</v>
      </c>
      <c r="G276" s="50">
        <v>2</v>
      </c>
      <c r="H276" s="51">
        <v>2</v>
      </c>
      <c r="I276" s="52">
        <v>45845</v>
      </c>
      <c r="J276" s="53">
        <v>8</v>
      </c>
      <c r="K276" s="54"/>
      <c r="L276" s="54"/>
      <c r="M276" s="54"/>
      <c r="N276" s="54"/>
    </row>
    <row r="277" spans="1:14" s="55" customFormat="1" ht="18.95" customHeight="1">
      <c r="A277" s="45" cm="1">
        <f t="array" ref="A277:J277">IFERROR(IF(ISBLANK(INDEX(_xlfn._xlws.FILTER([1]加工記録２!$D$3:$M$992, [1]加工記録２!$T$3:$T$992=B233), 2)), "", INDEX(_xlfn._xlws.FILTER([1]加工記録２!$D$3:$M$992, [1]加工記録２!$T$3:$T$992=B233), 2)),"")</f>
        <v>45845</v>
      </c>
      <c r="B277" s="56" t="str">
        <v>25F02-01</v>
      </c>
      <c r="C277" s="56" t="str">
        <v/>
      </c>
      <c r="D277" s="56" t="str">
        <v/>
      </c>
      <c r="E277" s="57" t="str">
        <v/>
      </c>
      <c r="F277" s="58" t="str">
        <v>25F02-01</v>
      </c>
      <c r="G277" s="59">
        <v>191</v>
      </c>
      <c r="H277" s="60">
        <v>191</v>
      </c>
      <c r="I277" s="52" t="str">
        <v/>
      </c>
      <c r="J277" s="53" t="str">
        <v/>
      </c>
      <c r="K277" s="54"/>
      <c r="L277" s="54"/>
      <c r="M277" s="54"/>
      <c r="N277" s="54"/>
    </row>
    <row r="278" spans="1:14" s="55" customFormat="1" ht="18.95" customHeight="1">
      <c r="A278" s="45" t="str" cm="1">
        <f t="array" ref="A278:J278">IFERROR(IF(ISBLANK(INDEX(_xlfn._xlws.FILTER([1]加工記録２!$D$3:$M$992, [1]加工記録２!$T$3:$T$992=B233), 3)), "", INDEX(_xlfn._xlws.FILTER([1]加工記録２!$D$3:$M$992, [1]加工記録２!$T$3:$T$992=B233), 3)),"")</f>
        <v/>
      </c>
      <c r="B278" s="56" t="str">
        <v/>
      </c>
      <c r="C278" s="56" t="str">
        <v/>
      </c>
      <c r="D278" s="56" t="str">
        <v/>
      </c>
      <c r="E278" s="57" t="str">
        <v/>
      </c>
      <c r="F278" s="58" t="str">
        <v/>
      </c>
      <c r="G278" s="59" t="str">
        <v/>
      </c>
      <c r="H278" s="60">
        <v>0</v>
      </c>
      <c r="I278" s="52" t="str">
        <v/>
      </c>
      <c r="J278" s="53" t="str">
        <v/>
      </c>
      <c r="K278" s="54"/>
      <c r="L278" s="54"/>
      <c r="M278" s="54"/>
      <c r="N278" s="54"/>
    </row>
    <row r="279" spans="1:14" s="55" customFormat="1" ht="18.95" customHeight="1">
      <c r="A279" s="45" t="str" cm="1">
        <f t="array" ref="A279:J279">IFERROR(IF(ISBLANK(INDEX(_xlfn._xlws.FILTER([1]加工記録２!$D$3:$M$992, [1]加工記録２!$T$3:$T$992=B233), 4)), "", INDEX(_xlfn._xlws.FILTER([1]加工記録２!$D$3:$M$992, [1]加工記録２!$T$3:$T$992=B233), 4)),"")</f>
        <v/>
      </c>
      <c r="B279" s="56" t="str">
        <v/>
      </c>
      <c r="C279" s="56" t="str">
        <v/>
      </c>
      <c r="D279" s="56" t="str">
        <v/>
      </c>
      <c r="E279" s="57" t="str">
        <v/>
      </c>
      <c r="F279" s="58" t="str">
        <v/>
      </c>
      <c r="G279" s="59" t="str">
        <v/>
      </c>
      <c r="H279" s="60">
        <v>0</v>
      </c>
      <c r="I279" s="52" t="str">
        <v/>
      </c>
      <c r="J279" s="53" t="str">
        <v/>
      </c>
      <c r="K279" s="54"/>
      <c r="L279" s="54"/>
      <c r="M279" s="54"/>
      <c r="N279" s="54"/>
    </row>
    <row r="280" spans="1:14" s="55" customFormat="1" ht="18.95" customHeight="1">
      <c r="A280" s="45" t="str" cm="1">
        <f t="array" ref="A280:J280">IFERROR(IF(ISBLANK(INDEX(_xlfn._xlws.FILTER([1]加工記録２!$D$3:$M$992, [1]加工記録２!$T$3:$T$992=B233), 5)), "", INDEX(_xlfn._xlws.FILTER([1]加工記録２!$D$3:$M$992, [1]加工記録２!$T$3:$T$992=B233), 5)),"")</f>
        <v/>
      </c>
      <c r="B280" s="56" t="str">
        <v/>
      </c>
      <c r="C280" s="56" t="str">
        <v/>
      </c>
      <c r="D280" s="56" t="str">
        <v/>
      </c>
      <c r="E280" s="57" t="str">
        <v/>
      </c>
      <c r="F280" s="58" t="str">
        <v/>
      </c>
      <c r="G280" s="59" t="str">
        <v/>
      </c>
      <c r="H280" s="60">
        <v>0</v>
      </c>
      <c r="I280" s="61" t="str">
        <v/>
      </c>
      <c r="J280" s="62" t="str">
        <v/>
      </c>
      <c r="K280" s="54"/>
      <c r="L280" s="54"/>
      <c r="M280" s="54"/>
      <c r="N280" s="54"/>
    </row>
    <row r="281" spans="1:14" s="55" customFormat="1" ht="18.95" customHeight="1">
      <c r="A281" s="45" t="str" cm="1">
        <f t="array" ref="A281:J281">IFERROR(IF(ISBLANK(INDEX(_xlfn._xlws.FILTER([1]加工記録２!$D$3:$M$992, [1]加工記録２!$T$3:$T$992=B233), 6)), "", INDEX(_xlfn._xlws.FILTER([1]加工記録２!$D$3:$M$992, [1]加工記録２!$T$3:$T$992=B233), 6)),"")</f>
        <v/>
      </c>
      <c r="B281" s="56" t="str">
        <v/>
      </c>
      <c r="C281" s="56" t="str">
        <v/>
      </c>
      <c r="D281" s="56" t="str">
        <v/>
      </c>
      <c r="E281" s="57" t="str">
        <v/>
      </c>
      <c r="F281" s="58" t="str">
        <v/>
      </c>
      <c r="G281" s="59" t="str">
        <v/>
      </c>
      <c r="H281" s="63">
        <v>0</v>
      </c>
      <c r="I281" s="64" t="str">
        <v>旧品加工</v>
      </c>
      <c r="J281" s="65">
        <v>2</v>
      </c>
      <c r="K281" s="54"/>
      <c r="L281" s="54"/>
      <c r="M281" s="54"/>
      <c r="N281" s="54"/>
    </row>
    <row r="282" spans="1:14" s="55" customFormat="1" ht="18.95" customHeight="1">
      <c r="A282" s="45" t="str" cm="1">
        <f t="array" ref="A282:J282">IFERROR(IF(ISBLANK(INDEX(_xlfn._xlws.FILTER([1]加工記録２!$D$3:$M$992, [1]加工記録２!$T$3:$T$992=B233), 7)), "", INDEX(_xlfn._xlws.FILTER([1]加工記録２!$D$3:$M$992, [1]加工記録２!$T$3:$T$992=B233), 7)),"")</f>
        <v/>
      </c>
      <c r="B282" s="56" t="str">
        <v/>
      </c>
      <c r="C282" s="56" t="str">
        <v/>
      </c>
      <c r="D282" s="56" t="str">
        <v/>
      </c>
      <c r="E282" s="57" t="str">
        <v/>
      </c>
      <c r="F282" s="58" t="str">
        <v/>
      </c>
      <c r="G282" s="59" t="str">
        <v/>
      </c>
      <c r="H282" s="63">
        <v>0</v>
      </c>
      <c r="I282" s="66" t="str">
        <v>持出端材</v>
      </c>
      <c r="J282" s="67" t="str">
        <v/>
      </c>
      <c r="K282" s="54"/>
      <c r="L282" s="54"/>
      <c r="M282" s="54"/>
      <c r="N282" s="54"/>
    </row>
    <row r="283" spans="1:14" s="55" customFormat="1" ht="18.95" customHeight="1" thickBot="1">
      <c r="A283" s="68" t="str" cm="1">
        <f t="array" ref="A283:J283">IFERROR(IF(ISBLANK(INDEX(_xlfn._xlws.FILTER([1]加工記録２!$D$3:$M$992, [1]加工記録２!$T$3:$T$992=B233), 8)), "", INDEX(_xlfn._xlws.FILTER([1]加工記録２!$D$3:$M$992, [1]加工記録２!$T$3:$T$992=B233), 8)),"")</f>
        <v/>
      </c>
      <c r="B283" s="69" t="str">
        <v/>
      </c>
      <c r="C283" s="69" t="str">
        <v/>
      </c>
      <c r="D283" s="69" t="str">
        <v/>
      </c>
      <c r="E283" s="70" t="str">
        <v/>
      </c>
      <c r="F283" s="71" t="str">
        <v/>
      </c>
      <c r="G283" s="72" t="str">
        <v/>
      </c>
      <c r="H283" s="73">
        <v>0</v>
      </c>
      <c r="I283" s="74" t="str">
        <v>α端材</v>
      </c>
      <c r="J283" s="75">
        <v>0</v>
      </c>
      <c r="K283" s="54"/>
      <c r="L283" s="54"/>
      <c r="M283" s="54"/>
      <c r="N283" s="54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26" t="s">
        <v>0</v>
      </c>
      <c r="C286" s="90"/>
      <c r="D286" s="90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90"/>
      <c r="C287" s="90"/>
      <c r="D287" s="90"/>
      <c r="E287" s="13"/>
      <c r="F287" s="13"/>
      <c r="G287" s="13"/>
      <c r="H287" s="13"/>
      <c r="I287" s="13"/>
      <c r="J287" s="13"/>
    </row>
    <row r="288" spans="1:14" ht="14.25" customHeight="1">
      <c r="A288" s="95" t="s">
        <v>1</v>
      </c>
      <c r="B288" s="95" t="s">
        <v>96</v>
      </c>
      <c r="C288" s="95" t="s">
        <v>3</v>
      </c>
      <c r="D288" s="123">
        <v>908</v>
      </c>
      <c r="E288" s="95" t="s">
        <v>4</v>
      </c>
      <c r="F288" s="89" t="s">
        <v>97</v>
      </c>
      <c r="G288" s="90"/>
      <c r="H288" s="91"/>
      <c r="I288" s="14" t="s">
        <v>6</v>
      </c>
      <c r="J288" s="14" t="s">
        <v>7</v>
      </c>
    </row>
    <row r="289" spans="1:10" ht="14.25" customHeight="1">
      <c r="A289" s="90"/>
      <c r="B289" s="90"/>
      <c r="C289" s="90"/>
      <c r="D289" s="90"/>
      <c r="E289" s="90"/>
      <c r="F289" s="90"/>
      <c r="G289" s="90"/>
      <c r="H289" s="91"/>
      <c r="I289" s="98"/>
      <c r="J289" s="98"/>
    </row>
    <row r="290" spans="1:10" ht="17.45" customHeight="1">
      <c r="A290" s="104" t="s">
        <v>8</v>
      </c>
      <c r="B290" s="104" t="s">
        <v>98</v>
      </c>
      <c r="E290" s="104" t="s">
        <v>10</v>
      </c>
      <c r="F290" s="112" t="s">
        <v>11</v>
      </c>
      <c r="G290" s="90"/>
      <c r="H290" s="91"/>
      <c r="I290" s="99"/>
      <c r="J290" s="99"/>
    </row>
    <row r="291" spans="1:10" ht="17.45" customHeight="1">
      <c r="A291" s="90"/>
      <c r="B291" s="90"/>
      <c r="E291" s="90"/>
      <c r="F291" s="90"/>
      <c r="G291" s="90"/>
      <c r="H291" s="91"/>
      <c r="I291" s="15"/>
      <c r="J291" s="15"/>
    </row>
    <row r="292" spans="1:10" ht="17.45" customHeight="1">
      <c r="A292" s="104" t="s">
        <v>12</v>
      </c>
      <c r="B292" s="104" t="s">
        <v>99</v>
      </c>
      <c r="E292" s="2" t="s">
        <v>14</v>
      </c>
      <c r="F292" s="113" t="s">
        <v>15</v>
      </c>
      <c r="G292" s="90"/>
      <c r="H292" s="22"/>
    </row>
    <row r="293" spans="1:10" ht="17.45" customHeight="1">
      <c r="A293" s="90"/>
      <c r="B293" s="90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45856</v>
      </c>
      <c r="E294" s="2" t="s">
        <v>19</v>
      </c>
      <c r="F294" s="132">
        <v>16</v>
      </c>
      <c r="G294" s="90"/>
      <c r="H294" s="22"/>
    </row>
    <row r="295" spans="1:10" ht="17.45" customHeight="1">
      <c r="A295" s="2" t="s">
        <v>20</v>
      </c>
      <c r="B295" s="4">
        <v>45856</v>
      </c>
      <c r="E295" s="2" t="s">
        <v>21</v>
      </c>
      <c r="F295" s="22">
        <v>25</v>
      </c>
      <c r="G295" s="139" t="s">
        <v>22</v>
      </c>
      <c r="H295" s="128">
        <v>400</v>
      </c>
      <c r="I295" s="129"/>
      <c r="J295" s="130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31"/>
      <c r="H296" s="131"/>
      <c r="I296" s="110"/>
      <c r="J296" s="111"/>
    </row>
    <row r="297" spans="1:10" ht="13.5" customHeight="1">
      <c r="A297" s="102" t="s">
        <v>100</v>
      </c>
      <c r="B297" s="90"/>
      <c r="C297" s="90"/>
      <c r="D297" s="21"/>
      <c r="F297" s="3"/>
      <c r="G297" s="103" t="s">
        <v>26</v>
      </c>
      <c r="H297" s="92" t="s">
        <v>27</v>
      </c>
      <c r="I297" s="109" t="s">
        <v>28</v>
      </c>
      <c r="J297" s="91"/>
    </row>
    <row r="298" spans="1:10" ht="13.5" customHeight="1">
      <c r="A298" s="90"/>
      <c r="B298" s="90"/>
      <c r="C298" s="90"/>
      <c r="D298" s="21"/>
      <c r="F298" s="3"/>
      <c r="G298" s="93"/>
      <c r="H298" s="93"/>
      <c r="I298" s="110"/>
      <c r="J298" s="111"/>
    </row>
    <row r="299" spans="1:10" ht="13.5" customHeight="1">
      <c r="A299" s="1" t="s">
        <v>29</v>
      </c>
    </row>
    <row r="300" spans="1:10" ht="63" customHeight="1">
      <c r="A300" s="124"/>
      <c r="B300" s="125"/>
      <c r="C300" s="125"/>
      <c r="D300" s="125"/>
      <c r="E300" s="125"/>
      <c r="F300" s="125"/>
      <c r="G300" s="125"/>
      <c r="H300" s="125"/>
      <c r="I300" s="125"/>
      <c r="J300" s="125"/>
    </row>
    <row r="301" spans="1:10" ht="18.75">
      <c r="A301" s="24" t="s">
        <v>30</v>
      </c>
      <c r="B301" s="17" t="s">
        <v>31</v>
      </c>
      <c r="C301" s="114" t="s">
        <v>32</v>
      </c>
      <c r="D301" s="107"/>
      <c r="E301" s="17" t="s">
        <v>33</v>
      </c>
      <c r="F301" s="114" t="s">
        <v>34</v>
      </c>
      <c r="G301" s="107"/>
      <c r="H301" s="107"/>
      <c r="I301" s="106" t="s">
        <v>35</v>
      </c>
      <c r="J301" s="107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94" t="s">
        <v>37</v>
      </c>
      <c r="D303" s="90"/>
      <c r="E303" s="25" t="s">
        <v>40</v>
      </c>
      <c r="F303" s="94" t="s">
        <v>41</v>
      </c>
      <c r="G303" s="90"/>
      <c r="H303" s="90"/>
      <c r="I303" s="108"/>
      <c r="J303" s="90"/>
    </row>
    <row r="304" spans="1:10" ht="16.5" customHeight="1">
      <c r="A304" s="23">
        <v>1</v>
      </c>
      <c r="B304" s="26" t="s">
        <v>36</v>
      </c>
      <c r="C304" s="94" t="s">
        <v>37</v>
      </c>
      <c r="D304" s="90"/>
      <c r="E304" s="25" t="s">
        <v>42</v>
      </c>
      <c r="F304" s="94" t="s">
        <v>43</v>
      </c>
      <c r="G304" s="90"/>
      <c r="H304" s="90"/>
      <c r="I304" s="108"/>
      <c r="J304" s="90"/>
    </row>
    <row r="305" spans="1:10" ht="16.5" customHeight="1">
      <c r="A305" s="23"/>
      <c r="B305" s="26"/>
      <c r="C305" s="94"/>
      <c r="D305" s="90"/>
      <c r="E305" s="25"/>
      <c r="F305" s="94"/>
      <c r="G305" s="90"/>
      <c r="H305" s="90"/>
      <c r="I305" s="108"/>
      <c r="J305" s="90"/>
    </row>
    <row r="306" spans="1:10" ht="16.5" customHeight="1">
      <c r="A306" s="23"/>
      <c r="B306" s="26"/>
      <c r="C306" s="94"/>
      <c r="D306" s="90"/>
      <c r="E306" s="25"/>
      <c r="F306" s="94"/>
      <c r="G306" s="90"/>
      <c r="H306" s="90"/>
      <c r="I306" s="108"/>
      <c r="J306" s="90"/>
    </row>
    <row r="307" spans="1:10" ht="16.5" customHeight="1">
      <c r="A307" s="23"/>
      <c r="B307" s="26"/>
      <c r="C307" s="94"/>
      <c r="D307" s="90"/>
      <c r="E307" s="25"/>
      <c r="F307" s="94"/>
      <c r="G307" s="90"/>
      <c r="H307" s="90"/>
      <c r="I307" s="108"/>
      <c r="J307" s="90"/>
    </row>
    <row r="308" spans="1:10" ht="16.5" customHeight="1">
      <c r="A308" s="23"/>
      <c r="B308" s="26"/>
      <c r="C308" s="94"/>
      <c r="D308" s="90"/>
      <c r="E308" s="25"/>
      <c r="F308" s="94"/>
      <c r="G308" s="90"/>
      <c r="H308" s="90"/>
      <c r="I308" s="108"/>
      <c r="J308" s="90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00" t="s">
        <v>44</v>
      </c>
      <c r="B310" s="101"/>
      <c r="C310" s="100" t="s">
        <v>45</v>
      </c>
      <c r="D310" s="101"/>
      <c r="E310" s="101"/>
      <c r="F310" s="18" t="s">
        <v>46</v>
      </c>
      <c r="G310" s="100" t="s">
        <v>47</v>
      </c>
      <c r="H310" s="101"/>
      <c r="I310" s="100" t="s">
        <v>48</v>
      </c>
      <c r="J310" s="101"/>
    </row>
    <row r="311" spans="1:10" ht="14.25" customHeight="1">
      <c r="A311" s="8"/>
      <c r="B311" s="19"/>
      <c r="C311" s="127" t="s">
        <v>49</v>
      </c>
      <c r="D311" s="110"/>
      <c r="E311" s="19"/>
      <c r="F311" s="127" t="s">
        <v>29</v>
      </c>
      <c r="G311" s="110"/>
      <c r="H311" s="110"/>
      <c r="I311" s="110"/>
      <c r="J311" s="110"/>
    </row>
    <row r="312" spans="1:10">
      <c r="A312" s="9"/>
      <c r="C312" s="7"/>
      <c r="D312" s="7"/>
      <c r="E312" s="7"/>
    </row>
    <row r="313" spans="1:10" ht="14.25" customHeight="1">
      <c r="A313" s="94" t="s">
        <v>101</v>
      </c>
      <c r="B313" s="90"/>
      <c r="C313" s="94" t="s">
        <v>102</v>
      </c>
      <c r="D313" s="90"/>
      <c r="E313" s="90"/>
      <c r="F313" s="27" t="s">
        <v>52</v>
      </c>
      <c r="G313" s="96">
        <v>400</v>
      </c>
      <c r="H313" s="90"/>
      <c r="I313" s="96">
        <v>25</v>
      </c>
      <c r="J313" s="90"/>
    </row>
    <row r="314" spans="1:10" ht="24.95" customHeight="1">
      <c r="A314" s="105" t="s">
        <v>103</v>
      </c>
      <c r="B314" s="90"/>
      <c r="C314" s="94" t="s">
        <v>11</v>
      </c>
      <c r="D314" s="90"/>
      <c r="E314" s="90"/>
      <c r="F314" s="94"/>
      <c r="G314" s="90"/>
      <c r="H314" s="90"/>
      <c r="I314" s="90"/>
      <c r="J314" s="90"/>
    </row>
    <row r="315" spans="1:10" ht="14.25" customHeight="1">
      <c r="A315" s="94" t="s">
        <v>78</v>
      </c>
      <c r="B315" s="90"/>
      <c r="C315" s="94" t="s">
        <v>79</v>
      </c>
      <c r="D315" s="90"/>
      <c r="E315" s="90"/>
      <c r="F315" s="27" t="s">
        <v>27</v>
      </c>
      <c r="G315" s="96">
        <v>25.2</v>
      </c>
      <c r="H315" s="90"/>
      <c r="I315" s="96">
        <v>1.575</v>
      </c>
      <c r="J315" s="90"/>
    </row>
    <row r="316" spans="1:10" ht="24.95" customHeight="1">
      <c r="A316" s="105" t="s">
        <v>80</v>
      </c>
      <c r="B316" s="90"/>
      <c r="C316" s="94"/>
      <c r="D316" s="90"/>
      <c r="E316" s="90"/>
      <c r="F316" s="94"/>
      <c r="G316" s="90"/>
      <c r="H316" s="90"/>
      <c r="I316" s="90"/>
      <c r="J316" s="90"/>
    </row>
    <row r="317" spans="1:10" ht="14.25" customHeight="1">
      <c r="A317" s="94" t="s">
        <v>81</v>
      </c>
      <c r="B317" s="90"/>
      <c r="C317" s="94" t="s">
        <v>82</v>
      </c>
      <c r="D317" s="90"/>
      <c r="E317" s="90"/>
      <c r="F317" s="27"/>
      <c r="G317" s="96">
        <v>1.2</v>
      </c>
      <c r="H317" s="90"/>
      <c r="I317" s="96">
        <v>7.4999999999999997E-2</v>
      </c>
      <c r="J317" s="90"/>
    </row>
    <row r="318" spans="1:10" ht="24.95" customHeight="1">
      <c r="A318" s="105" t="s">
        <v>83</v>
      </c>
      <c r="B318" s="90"/>
      <c r="C318" s="94" t="s">
        <v>84</v>
      </c>
      <c r="D318" s="90"/>
      <c r="E318" s="90"/>
      <c r="F318" s="94"/>
      <c r="G318" s="90"/>
      <c r="H318" s="90"/>
      <c r="I318" s="90"/>
      <c r="J318" s="90"/>
    </row>
    <row r="319" spans="1:10" ht="14.25" customHeight="1">
      <c r="A319" s="94"/>
      <c r="B319" s="90"/>
      <c r="C319" s="94"/>
      <c r="D319" s="90"/>
      <c r="E319" s="90"/>
      <c r="F319" s="27"/>
      <c r="G319" s="96"/>
      <c r="H319" s="90"/>
      <c r="I319" s="96"/>
      <c r="J319" s="90"/>
    </row>
    <row r="320" spans="1:10" ht="24.95" customHeight="1">
      <c r="A320" s="105"/>
      <c r="B320" s="90"/>
      <c r="C320" s="94"/>
      <c r="D320" s="90"/>
      <c r="E320" s="90"/>
      <c r="F320" s="94"/>
      <c r="G320" s="90"/>
      <c r="H320" s="90"/>
      <c r="I320" s="90"/>
      <c r="J320" s="90"/>
    </row>
    <row r="321" spans="1:14" ht="14.25" customHeight="1">
      <c r="A321" s="94"/>
      <c r="B321" s="90"/>
      <c r="C321" s="94"/>
      <c r="D321" s="90"/>
      <c r="E321" s="90"/>
      <c r="F321" s="27"/>
      <c r="G321" s="96"/>
      <c r="H321" s="90"/>
      <c r="I321" s="96"/>
      <c r="J321" s="90"/>
    </row>
    <row r="322" spans="1:14" ht="24.95" customHeight="1" thickBot="1">
      <c r="A322" s="105"/>
      <c r="B322" s="90"/>
      <c r="C322" s="94"/>
      <c r="D322" s="90"/>
      <c r="E322" s="90"/>
      <c r="F322" s="94"/>
      <c r="G322" s="90"/>
      <c r="H322" s="90"/>
      <c r="I322" s="90"/>
      <c r="J322" s="90"/>
    </row>
    <row r="323" spans="1:14" s="5" customFormat="1" ht="18" customHeight="1">
      <c r="A323" s="159" t="s">
        <v>157</v>
      </c>
      <c r="B323" s="160"/>
      <c r="C323" s="160"/>
      <c r="D323" s="160"/>
      <c r="E323" s="161" t="s">
        <v>158</v>
      </c>
      <c r="F323" s="162"/>
      <c r="G323" s="28" t="s">
        <v>159</v>
      </c>
      <c r="H323" s="133" t="s">
        <v>160</v>
      </c>
      <c r="I323" s="134"/>
      <c r="J323" s="29" t="s">
        <v>161</v>
      </c>
    </row>
    <row r="324" spans="1:14" s="7" customFormat="1" ht="18" customHeight="1">
      <c r="A324" s="135" t="str">
        <f>_xlfn.XLOOKUP(B288,[1]VFDB2!A:A,[1]VFDB2!A:A)</f>
        <v>J1ZAFJB00209080</v>
      </c>
      <c r="B324" s="136"/>
      <c r="C324" s="136"/>
      <c r="D324" s="136"/>
      <c r="E324" s="116" t="str" cm="1">
        <f t="array" ref="E324">IFERROR(IF(ISBLANK(INDEX(_xlfn._xlws.FILTER([1]加工記録２!$C$3:$C$992, [1]加工記録２!$T$3:$T$992=B290), 6)), "", INDEX(_xlfn._xlws.FILTER([1]加工記録２!$C$3:$C$992, [1]加工記録２!$T$3:$T$992=B290), 6)),"")</f>
        <v>灯具-1　L=1370</v>
      </c>
      <c r="F324" s="117"/>
      <c r="G324" s="118" cm="1">
        <f t="array" ref="G324">IFERROR(IF(ISBLANK(INDEX(_xlfn._xlws.FILTER([1]加工記録２!$C$3:$C$992, [1]加工記録２!$T$3:$T$992=B290), 7)), " ", INDEX(_xlfn._xlws.FILTER([1]加工記録２!$C$3:$C$992, [1]加工記録２!$T$3:$T$992=B290), 7))," ")</f>
        <v>19</v>
      </c>
      <c r="H324" s="76" t="s">
        <v>162</v>
      </c>
      <c r="I324" s="30" cm="1">
        <f t="array" ref="I324:J324">IFERROR(IF(ISBLANK(INDEX(_xlfn._xlws.FILTER([1]加工記録２!$O$3:$P$992, [1]加工記録２!$T$3:$T$992=B290), 1)), "", INDEX(_xlfn._xlws.FILTER([1]加工記録２!$O$3:$P$992, [1]加工記録２!$T$3:$T$992=B290), 1)),"")</f>
        <v>45848</v>
      </c>
      <c r="J324" s="77">
        <v>4</v>
      </c>
    </row>
    <row r="325" spans="1:14" s="5" customFormat="1" ht="18" customHeight="1">
      <c r="A325" s="137"/>
      <c r="B325" s="138"/>
      <c r="C325" s="138"/>
      <c r="D325" s="138"/>
      <c r="E325" s="116"/>
      <c r="F325" s="117"/>
      <c r="G325" s="118"/>
      <c r="H325" s="76" t="s">
        <v>163</v>
      </c>
      <c r="I325" s="78" cm="1">
        <f t="array" ref="I325:J325">IFERROR(IF(ISBLANK(INDEX(_xlfn._xlws.FILTER([1]加工記録２!$O$3:$P$992, [1]加工記録２!$T$3:$T$992=B290), 2)), "", INDEX(_xlfn._xlws.FILTER([1]加工記録２!$O$3:$P$992, [1]加工記録２!$T$3:$T$992=B290), 2)),"")</f>
        <v>304</v>
      </c>
      <c r="J325" s="79">
        <v>93</v>
      </c>
      <c r="K325" s="31"/>
    </row>
    <row r="326" spans="1:14" s="7" customFormat="1" ht="18" customHeight="1">
      <c r="A326" s="119" t="s">
        <v>164</v>
      </c>
      <c r="B326" s="121" t="str">
        <f>_xlfn.XLOOKUP(B288,[1]VFDB2!A:A,[1]VFDB2!J:J)</f>
        <v>-</v>
      </c>
      <c r="C326" s="163" t="s">
        <v>165</v>
      </c>
      <c r="D326" s="165">
        <f>_xlfn.XLOOKUP(B288,[1]VFDB2!A:A,[1]VFDB2!P:P)</f>
        <v>1</v>
      </c>
      <c r="E326" s="116" t="str">
        <f>_xlfn.XLOOKUP(B288,[1]VFDB2!A:A,[1]VFDB2!V:V)</f>
        <v>梱包:1370(切詰)</v>
      </c>
      <c r="F326" s="117"/>
      <c r="G326" s="148"/>
      <c r="H326" s="80" t="s">
        <v>166</v>
      </c>
      <c r="I326" s="78" cm="1">
        <f t="array" ref="I326:J326">IFERROR(IF(ISBLANK(INDEX(_xlfn._xlws.FILTER([1]加工記録２!$O$3:$P$992, [1]加工記録２!$T$3:$T$992=B290), 3)), "", INDEX(_xlfn._xlws.FILTER([1]加工記録２!$O$3:$P$992, [1]加工記録２!$T$3:$T$992=B290), 3)),"")</f>
        <v>401</v>
      </c>
      <c r="J326" s="81" t="str">
        <v/>
      </c>
      <c r="K326" s="32"/>
    </row>
    <row r="327" spans="1:14" s="5" customFormat="1" ht="18" customHeight="1">
      <c r="A327" s="120"/>
      <c r="B327" s="122"/>
      <c r="C327" s="164"/>
      <c r="D327" s="166"/>
      <c r="E327" s="116"/>
      <c r="F327" s="117"/>
      <c r="G327" s="148"/>
      <c r="H327" s="80" t="s">
        <v>167</v>
      </c>
      <c r="I327" s="78" cm="1">
        <f t="array" ref="I327:J327">IFERROR(IF(ISBLANK(INDEX(_xlfn._xlws.FILTER([1]加工記録２!$O$3:$P$992, [1]加工記録２!$T$3:$T$992=B290), 4)), "", INDEX(_xlfn._xlws.FILTER([1]加工記録２!$O$3:$P$992, [1]加工記録２!$T$3:$T$992=B290), 4)),"")</f>
        <v>97</v>
      </c>
      <c r="J327" s="82" t="str">
        <v/>
      </c>
      <c r="K327" s="31"/>
    </row>
    <row r="328" spans="1:14" s="7" customFormat="1" ht="18" customHeight="1">
      <c r="A328" s="140" t="s">
        <v>168</v>
      </c>
      <c r="B328" s="142">
        <f>D288</f>
        <v>908</v>
      </c>
      <c r="C328" s="144" t="s">
        <v>169</v>
      </c>
      <c r="D328" s="146" t="str">
        <f>_xlfn.XLOOKUP(B288,[1]VFDB2!A:A,[1]VFDB2!L:L)</f>
        <v>+2</v>
      </c>
      <c r="E328" s="116" t="str">
        <f>_xlfn.XLOOKUP(B288,[1]VFDB2!A:A,[1]VFDB2!W:W)</f>
        <v>クラフト紙：1996型　1/2</v>
      </c>
      <c r="F328" s="117"/>
      <c r="G328" s="148"/>
      <c r="H328" s="80" t="s">
        <v>170</v>
      </c>
      <c r="I328" s="78" cm="1">
        <f t="array" ref="I328:J328">IFERROR(IF(ISBLANK(INDEX(_xlfn._xlws.FILTER([1]加工記録２!$O$3:$P$992, [1]加工記録２!$T$3:$T$992=B290), 5)), "", INDEX(_xlfn._xlws.FILTER([1]加工記録２!$O$3:$P$992, [1]加工記録２!$T$3:$T$992=B290), 5)),"")</f>
        <v>97</v>
      </c>
      <c r="J328" s="83" t="str">
        <v/>
      </c>
      <c r="K328" s="32"/>
    </row>
    <row r="329" spans="1:14" s="5" customFormat="1" ht="18" customHeight="1">
      <c r="A329" s="141"/>
      <c r="B329" s="143"/>
      <c r="C329" s="145"/>
      <c r="D329" s="147"/>
      <c r="E329" s="116"/>
      <c r="F329" s="117"/>
      <c r="G329" s="148"/>
      <c r="H329" s="80" t="s">
        <v>171</v>
      </c>
      <c r="I329" s="78" cm="1">
        <f t="array" ref="I329:J329">IFERROR(IF(ISBLANK(INDEX(_xlfn._xlws.FILTER([1]加工記録２!$O$3:$P$992, [1]加工記録２!$T$3:$T$992=B290), 6)), "", INDEX(_xlfn._xlws.FILTER([1]加工記録２!$O$3:$P$992, [1]加工記録２!$T$3:$T$992=B290), 6)),"")</f>
        <v>0</v>
      </c>
      <c r="J329" s="84" t="str">
        <v/>
      </c>
      <c r="K329" s="31"/>
    </row>
    <row r="330" spans="1:14" s="7" customFormat="1" ht="18" customHeight="1">
      <c r="A330" s="119" t="s">
        <v>172</v>
      </c>
      <c r="B330" s="151" t="str">
        <f>_xlfn.XLOOKUP(B288,[1]VFDB2!A:A,[1]VFDB2!AC:AC)</f>
        <v>換算表確認</v>
      </c>
      <c r="C330" s="153" t="s">
        <v>173</v>
      </c>
      <c r="D330" s="146">
        <f>_xlfn.XLOOKUP(B288,[1]VFDB2!A:A,[1]VFDB2!K:K)</f>
        <v>-2</v>
      </c>
      <c r="E330" s="116" t="str">
        <f>_xlfn.XLOOKUP(B288,[1]VFDB2!A:A,[1]VFDB2!R:R)</f>
        <v>ラベル２枚　長手有　鉢巻無</v>
      </c>
      <c r="F330" s="117"/>
      <c r="G330" s="148"/>
      <c r="H330" s="80" t="s">
        <v>174</v>
      </c>
      <c r="I330" s="78" t="str" cm="1">
        <f t="array" ref="I330:J330">IFERROR(IF(ISBLANK(INDEX(_xlfn._xlws.FILTER([1]加工記録２!$O$3:$P$992, [1]加工記録２!$T$3:$T$992=B290), 7)), "", INDEX(_xlfn._xlws.FILTER([1]加工記録２!$O$3:$P$992, [1]加工記録２!$T$3:$T$992=B290), 7)),"")</f>
        <v>-</v>
      </c>
      <c r="J330" s="85" t="str">
        <v/>
      </c>
      <c r="K330" s="32"/>
    </row>
    <row r="331" spans="1:14" s="5" customFormat="1" ht="18" customHeight="1" thickBot="1">
      <c r="A331" s="150"/>
      <c r="B331" s="152"/>
      <c r="C331" s="154"/>
      <c r="D331" s="155"/>
      <c r="E331" s="156"/>
      <c r="F331" s="157"/>
      <c r="G331" s="158"/>
      <c r="H331" s="86" t="s">
        <v>175</v>
      </c>
      <c r="I331" s="33" t="str" cm="1">
        <f t="array" ref="I331:J331">IFERROR(IF(ISBLANK(INDEX(_xlfn._xlws.FILTER([1]加工記録２!$O$3:$P$992, [1]加工記録２!$T$3:$T$992=B290), 8)), "", INDEX(_xlfn._xlws.FILTER([1]加工記録２!$O$3:$P$992, [1]加工記録２!$T$3:$T$992=B290), 8)),"")</f>
        <v>高森</v>
      </c>
      <c r="J331" s="87">
        <v>97</v>
      </c>
    </row>
    <row r="332" spans="1:14" s="44" customFormat="1" ht="18.95" customHeight="1">
      <c r="A332" s="34" t="s">
        <v>176</v>
      </c>
      <c r="B332" s="35" t="s">
        <v>185</v>
      </c>
      <c r="C332" s="36" t="s">
        <v>177</v>
      </c>
      <c r="D332" s="36" t="s">
        <v>178</v>
      </c>
      <c r="E332" s="37" t="s">
        <v>179</v>
      </c>
      <c r="F332" s="38" t="s">
        <v>180</v>
      </c>
      <c r="G332" s="39" t="s">
        <v>181</v>
      </c>
      <c r="H332" s="40" t="s">
        <v>182</v>
      </c>
      <c r="I332" s="41" t="s">
        <v>183</v>
      </c>
      <c r="J332" s="42" t="s">
        <v>184</v>
      </c>
      <c r="K332" s="43"/>
      <c r="L332" s="43"/>
      <c r="M332" s="43"/>
      <c r="N332" s="43"/>
    </row>
    <row r="333" spans="1:14" s="55" customFormat="1" ht="18.95" customHeight="1">
      <c r="A333" s="88" cm="1">
        <f t="array" ref="A333:J333">IFERROR(IF(ISBLANK(INDEX(_xlfn._xlws.FILTER([1]加工記録２!$D$3:$M$992, [1]加工記録２!$T$3:$T$992=B290), 1)), "", INDEX(_xlfn._xlws.FILTER([1]加工記録２!$D$3:$M$992, [1]加工記録２!$T$3:$T$992=B290), 1)),"")</f>
        <v>45826</v>
      </c>
      <c r="B333" s="46" t="str">
        <v>25F10-01</v>
      </c>
      <c r="C333" s="47" t="str">
        <v/>
      </c>
      <c r="D333" s="47" t="str">
        <v/>
      </c>
      <c r="E333" s="48" t="str">
        <v/>
      </c>
      <c r="F333" s="49" t="str">
        <v>25F10-01</v>
      </c>
      <c r="G333" s="50">
        <v>2</v>
      </c>
      <c r="H333" s="51">
        <v>2</v>
      </c>
      <c r="I333" s="52">
        <v>45847</v>
      </c>
      <c r="J333" s="53">
        <v>13</v>
      </c>
      <c r="K333" s="54"/>
      <c r="L333" s="54"/>
      <c r="M333" s="54"/>
      <c r="N333" s="54"/>
    </row>
    <row r="334" spans="1:14" s="55" customFormat="1" ht="18.95" customHeight="1">
      <c r="A334" s="45" cm="1">
        <f t="array" ref="A334:J334">IFERROR(IF(ISBLANK(INDEX(_xlfn._xlws.FILTER([1]加工記録２!$D$3:$M$992, [1]加工記録２!$T$3:$T$992=B290), 2)), "", INDEX(_xlfn._xlws.FILTER([1]加工記録２!$D$3:$M$992, [1]加工記録２!$T$3:$T$992=B290), 2)),"")</f>
        <v>45847</v>
      </c>
      <c r="B334" s="56" t="str">
        <v>25G03-02</v>
      </c>
      <c r="C334" s="56" t="str">
        <v/>
      </c>
      <c r="D334" s="56" t="str">
        <v/>
      </c>
      <c r="E334" s="57" t="str">
        <v/>
      </c>
      <c r="F334" s="58" t="str">
        <v>25G03-02</v>
      </c>
      <c r="G334" s="59">
        <v>200</v>
      </c>
      <c r="H334" s="60">
        <v>200</v>
      </c>
      <c r="I334" s="52">
        <v>45848</v>
      </c>
      <c r="J334" s="53">
        <v>6</v>
      </c>
      <c r="K334" s="54"/>
      <c r="L334" s="54"/>
      <c r="M334" s="54"/>
      <c r="N334" s="54"/>
    </row>
    <row r="335" spans="1:14" s="55" customFormat="1" ht="18.95" customHeight="1">
      <c r="A335" s="45" cm="1">
        <f t="array" ref="A335:J335">IFERROR(IF(ISBLANK(INDEX(_xlfn._xlws.FILTER([1]加工記録２!$D$3:$M$992, [1]加工記録２!$T$3:$T$992=B290), 3)), "", INDEX(_xlfn._xlws.FILTER([1]加工記録２!$D$3:$M$992, [1]加工記録２!$T$3:$T$992=B290), 3)),"")</f>
        <v>45848</v>
      </c>
      <c r="B335" s="56" t="str">
        <v>25G02-01</v>
      </c>
      <c r="C335" s="56" t="str">
        <v/>
      </c>
      <c r="D335" s="56" t="str">
        <v/>
      </c>
      <c r="E335" s="57" t="str">
        <v/>
      </c>
      <c r="F335" s="58" t="str">
        <v>25G02-01</v>
      </c>
      <c r="G335" s="59">
        <v>199</v>
      </c>
      <c r="H335" s="60">
        <v>199</v>
      </c>
      <c r="I335" s="52" t="str">
        <v/>
      </c>
      <c r="J335" s="53" t="str">
        <v/>
      </c>
      <c r="K335" s="54"/>
      <c r="L335" s="54"/>
      <c r="M335" s="54"/>
      <c r="N335" s="54"/>
    </row>
    <row r="336" spans="1:14" s="55" customFormat="1" ht="18.95" customHeight="1">
      <c r="A336" s="45" t="str" cm="1">
        <f t="array" ref="A336:J336">IFERROR(IF(ISBLANK(INDEX(_xlfn._xlws.FILTER([1]加工記録２!$D$3:$M$992, [1]加工記録２!$T$3:$T$992=B290), 4)), "", INDEX(_xlfn._xlws.FILTER([1]加工記録２!$D$3:$M$992, [1]加工記録２!$T$3:$T$992=B290), 4)),"")</f>
        <v/>
      </c>
      <c r="B336" s="56" t="str">
        <v/>
      </c>
      <c r="C336" s="56" t="str">
        <v/>
      </c>
      <c r="D336" s="56" t="str">
        <v/>
      </c>
      <c r="E336" s="57" t="str">
        <v/>
      </c>
      <c r="F336" s="58" t="str">
        <v/>
      </c>
      <c r="G336" s="59" t="str">
        <v/>
      </c>
      <c r="H336" s="60">
        <v>0</v>
      </c>
      <c r="I336" s="52" t="str">
        <v/>
      </c>
      <c r="J336" s="53" t="str">
        <v/>
      </c>
      <c r="K336" s="54"/>
      <c r="L336" s="54"/>
      <c r="M336" s="54"/>
      <c r="N336" s="54"/>
    </row>
    <row r="337" spans="1:14" s="55" customFormat="1" ht="18.95" customHeight="1">
      <c r="A337" s="45" t="str" cm="1">
        <f t="array" ref="A337:J337">IFERROR(IF(ISBLANK(INDEX(_xlfn._xlws.FILTER([1]加工記録２!$D$3:$M$992, [1]加工記録２!$T$3:$T$992=B290), 5)), "", INDEX(_xlfn._xlws.FILTER([1]加工記録２!$D$3:$M$992, [1]加工記録２!$T$3:$T$992=B290), 5)),"")</f>
        <v/>
      </c>
      <c r="B337" s="56" t="str">
        <v/>
      </c>
      <c r="C337" s="56" t="str">
        <v/>
      </c>
      <c r="D337" s="56" t="str">
        <v/>
      </c>
      <c r="E337" s="57" t="str">
        <v/>
      </c>
      <c r="F337" s="58" t="str">
        <v/>
      </c>
      <c r="G337" s="59" t="str">
        <v/>
      </c>
      <c r="H337" s="60">
        <v>0</v>
      </c>
      <c r="I337" s="61" t="str">
        <v/>
      </c>
      <c r="J337" s="62" t="str">
        <v/>
      </c>
      <c r="K337" s="54"/>
      <c r="L337" s="54"/>
      <c r="M337" s="54"/>
      <c r="N337" s="54"/>
    </row>
    <row r="338" spans="1:14" s="55" customFormat="1" ht="18.95" customHeight="1">
      <c r="A338" s="45" t="str" cm="1">
        <f t="array" ref="A338:J338">IFERROR(IF(ISBLANK(INDEX(_xlfn._xlws.FILTER([1]加工記録２!$D$3:$M$992, [1]加工記録２!$T$3:$T$992=B290), 6)), "", INDEX(_xlfn._xlws.FILTER([1]加工記録２!$D$3:$M$992, [1]加工記録２!$T$3:$T$992=B290), 6)),"")</f>
        <v/>
      </c>
      <c r="B338" s="56" t="str">
        <v/>
      </c>
      <c r="C338" s="56" t="str">
        <v/>
      </c>
      <c r="D338" s="56" t="str">
        <v/>
      </c>
      <c r="E338" s="57" t="str">
        <v/>
      </c>
      <c r="F338" s="58" t="str">
        <v/>
      </c>
      <c r="G338" s="59" t="str">
        <v/>
      </c>
      <c r="H338" s="63">
        <v>0</v>
      </c>
      <c r="I338" s="64" t="str">
        <v>旧品加工</v>
      </c>
      <c r="J338" s="65">
        <v>2</v>
      </c>
      <c r="K338" s="54"/>
      <c r="L338" s="54"/>
      <c r="M338" s="54"/>
      <c r="N338" s="54"/>
    </row>
    <row r="339" spans="1:14" s="55" customFormat="1" ht="18.95" customHeight="1">
      <c r="A339" s="45" t="str" cm="1">
        <f t="array" ref="A339:J339">IFERROR(IF(ISBLANK(INDEX(_xlfn._xlws.FILTER([1]加工記録２!$D$3:$M$992, [1]加工記録２!$T$3:$T$992=B290), 7)), "", INDEX(_xlfn._xlws.FILTER([1]加工記録２!$D$3:$M$992, [1]加工記録２!$T$3:$T$992=B290), 7)),"")</f>
        <v/>
      </c>
      <c r="B339" s="56" t="str">
        <v/>
      </c>
      <c r="C339" s="56" t="str">
        <v/>
      </c>
      <c r="D339" s="56" t="str">
        <v/>
      </c>
      <c r="E339" s="57" t="str">
        <v/>
      </c>
      <c r="F339" s="58" t="str">
        <v/>
      </c>
      <c r="G339" s="59" t="str">
        <v/>
      </c>
      <c r="H339" s="63">
        <v>0</v>
      </c>
      <c r="I339" s="66" t="str">
        <v>持出端材</v>
      </c>
      <c r="J339" s="67" t="str">
        <v/>
      </c>
      <c r="K339" s="54"/>
      <c r="L339" s="54"/>
      <c r="M339" s="54"/>
      <c r="N339" s="54"/>
    </row>
    <row r="340" spans="1:14" s="55" customFormat="1" ht="18.95" customHeight="1" thickBot="1">
      <c r="A340" s="68" t="str" cm="1">
        <f t="array" ref="A340:J340">IFERROR(IF(ISBLANK(INDEX(_xlfn._xlws.FILTER([1]加工記録２!$D$3:$M$992, [1]加工記録２!$T$3:$T$992=B290), 8)), "", INDEX(_xlfn._xlws.FILTER([1]加工記録２!$D$3:$M$992, [1]加工記録２!$T$3:$T$992=B290), 8)),"")</f>
        <v/>
      </c>
      <c r="B340" s="69" t="str">
        <v/>
      </c>
      <c r="C340" s="69" t="str">
        <v/>
      </c>
      <c r="D340" s="69" t="str">
        <v/>
      </c>
      <c r="E340" s="70" t="str">
        <v/>
      </c>
      <c r="F340" s="71" t="str">
        <v/>
      </c>
      <c r="G340" s="72" t="str">
        <v/>
      </c>
      <c r="H340" s="73">
        <v>0</v>
      </c>
      <c r="I340" s="74" t="str">
        <v>α端材</v>
      </c>
      <c r="J340" s="75">
        <v>0</v>
      </c>
      <c r="K340" s="54"/>
      <c r="L340" s="54"/>
      <c r="M340" s="54"/>
      <c r="N340" s="54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26" t="s">
        <v>0</v>
      </c>
      <c r="C343" s="90"/>
      <c r="D343" s="90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90"/>
      <c r="C344" s="90"/>
      <c r="D344" s="90"/>
      <c r="E344" s="13"/>
      <c r="F344" s="13"/>
      <c r="G344" s="13"/>
      <c r="H344" s="13"/>
      <c r="I344" s="13"/>
      <c r="J344" s="13"/>
    </row>
    <row r="345" spans="1:14" ht="14.25" customHeight="1">
      <c r="A345" s="95" t="s">
        <v>1</v>
      </c>
      <c r="B345" s="95" t="s">
        <v>104</v>
      </c>
      <c r="C345" s="95" t="s">
        <v>3</v>
      </c>
      <c r="D345" s="123">
        <v>1183</v>
      </c>
      <c r="E345" s="95" t="s">
        <v>4</v>
      </c>
      <c r="F345" s="89" t="s">
        <v>105</v>
      </c>
      <c r="G345" s="90"/>
      <c r="H345" s="91"/>
      <c r="I345" s="14" t="s">
        <v>6</v>
      </c>
      <c r="J345" s="14" t="s">
        <v>7</v>
      </c>
    </row>
    <row r="346" spans="1:14" ht="14.25" customHeight="1">
      <c r="A346" s="90"/>
      <c r="B346" s="90"/>
      <c r="C346" s="90"/>
      <c r="D346" s="90"/>
      <c r="E346" s="90"/>
      <c r="F346" s="90"/>
      <c r="G346" s="90"/>
      <c r="H346" s="91"/>
      <c r="I346" s="98"/>
      <c r="J346" s="98"/>
    </row>
    <row r="347" spans="1:14" ht="17.45" customHeight="1">
      <c r="A347" s="104" t="s">
        <v>8</v>
      </c>
      <c r="B347" s="104" t="s">
        <v>106</v>
      </c>
      <c r="E347" s="104" t="s">
        <v>10</v>
      </c>
      <c r="F347" s="112" t="s">
        <v>11</v>
      </c>
      <c r="G347" s="90"/>
      <c r="H347" s="91"/>
      <c r="I347" s="99"/>
      <c r="J347" s="99"/>
    </row>
    <row r="348" spans="1:14" ht="17.45" customHeight="1">
      <c r="A348" s="90"/>
      <c r="B348" s="90"/>
      <c r="E348" s="90"/>
      <c r="F348" s="90"/>
      <c r="G348" s="90"/>
      <c r="H348" s="91"/>
      <c r="I348" s="15"/>
      <c r="J348" s="15"/>
    </row>
    <row r="349" spans="1:14" ht="17.45" customHeight="1">
      <c r="A349" s="104" t="s">
        <v>12</v>
      </c>
      <c r="B349" s="104" t="s">
        <v>107</v>
      </c>
      <c r="E349" s="2" t="s">
        <v>14</v>
      </c>
      <c r="F349" s="113" t="s">
        <v>15</v>
      </c>
      <c r="G349" s="90"/>
      <c r="H349" s="22"/>
    </row>
    <row r="350" spans="1:14" ht="17.45" customHeight="1">
      <c r="A350" s="90"/>
      <c r="B350" s="90"/>
      <c r="E350" s="2" t="s">
        <v>16</v>
      </c>
      <c r="F350" s="22" t="s">
        <v>17</v>
      </c>
      <c r="G350" s="22"/>
      <c r="H350" s="22"/>
    </row>
    <row r="351" spans="1:14" ht="17.45" customHeight="1">
      <c r="A351" s="2" t="s">
        <v>18</v>
      </c>
      <c r="B351" s="4">
        <v>45853</v>
      </c>
      <c r="E351" s="2" t="s">
        <v>19</v>
      </c>
      <c r="F351" s="132">
        <v>16</v>
      </c>
      <c r="G351" s="90"/>
      <c r="H351" s="22"/>
    </row>
    <row r="352" spans="1:14" ht="17.45" customHeight="1">
      <c r="A352" s="2" t="s">
        <v>20</v>
      </c>
      <c r="B352" s="4">
        <v>45853</v>
      </c>
      <c r="E352" s="2" t="s">
        <v>21</v>
      </c>
      <c r="F352" s="22">
        <v>11</v>
      </c>
      <c r="G352" s="139" t="s">
        <v>22</v>
      </c>
      <c r="H352" s="128">
        <v>176</v>
      </c>
      <c r="I352" s="129"/>
      <c r="J352" s="130"/>
    </row>
    <row r="353" spans="1:10" ht="17.45" customHeight="1">
      <c r="A353" s="20"/>
      <c r="B353" s="21"/>
      <c r="C353" s="21"/>
      <c r="D353" s="21"/>
      <c r="E353" s="2" t="s">
        <v>23</v>
      </c>
      <c r="F353" s="22" t="s">
        <v>24</v>
      </c>
      <c r="G353" s="131"/>
      <c r="H353" s="131"/>
      <c r="I353" s="110"/>
      <c r="J353" s="111"/>
    </row>
    <row r="354" spans="1:10" ht="13.5" customHeight="1">
      <c r="A354" s="102" t="s">
        <v>108</v>
      </c>
      <c r="B354" s="90"/>
      <c r="C354" s="90"/>
      <c r="D354" s="21"/>
      <c r="F354" s="3"/>
      <c r="G354" s="103" t="s">
        <v>26</v>
      </c>
      <c r="H354" s="92" t="s">
        <v>27</v>
      </c>
      <c r="I354" s="109" t="s">
        <v>28</v>
      </c>
      <c r="J354" s="91"/>
    </row>
    <row r="355" spans="1:10" ht="13.5" customHeight="1">
      <c r="A355" s="90"/>
      <c r="B355" s="90"/>
      <c r="C355" s="90"/>
      <c r="D355" s="21"/>
      <c r="F355" s="3"/>
      <c r="G355" s="93"/>
      <c r="H355" s="93"/>
      <c r="I355" s="110"/>
      <c r="J355" s="111"/>
    </row>
    <row r="356" spans="1:10" ht="13.5" customHeight="1">
      <c r="A356" s="1" t="s">
        <v>29</v>
      </c>
    </row>
    <row r="357" spans="1:10" ht="63" customHeight="1">
      <c r="A357" s="124"/>
      <c r="B357" s="125"/>
      <c r="C357" s="125"/>
      <c r="D357" s="125"/>
      <c r="E357" s="125"/>
      <c r="F357" s="125"/>
      <c r="G357" s="125"/>
      <c r="H357" s="125"/>
      <c r="I357" s="125"/>
      <c r="J357" s="125"/>
    </row>
    <row r="358" spans="1:10" ht="18.75">
      <c r="A358" s="24" t="s">
        <v>30</v>
      </c>
      <c r="B358" s="17" t="s">
        <v>31</v>
      </c>
      <c r="C358" s="114" t="s">
        <v>32</v>
      </c>
      <c r="D358" s="107"/>
      <c r="E358" s="17" t="s">
        <v>33</v>
      </c>
      <c r="F358" s="114" t="s">
        <v>34</v>
      </c>
      <c r="G358" s="107"/>
      <c r="H358" s="107"/>
      <c r="I358" s="106" t="s">
        <v>35</v>
      </c>
      <c r="J358" s="107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3">
        <v>1</v>
      </c>
      <c r="B360" s="25" t="s">
        <v>36</v>
      </c>
      <c r="C360" s="94" t="s">
        <v>37</v>
      </c>
      <c r="D360" s="90"/>
      <c r="E360" s="25" t="s">
        <v>40</v>
      </c>
      <c r="F360" s="94" t="s">
        <v>41</v>
      </c>
      <c r="G360" s="90"/>
      <c r="H360" s="90"/>
      <c r="I360" s="108"/>
      <c r="J360" s="90"/>
    </row>
    <row r="361" spans="1:10" ht="16.5" customHeight="1">
      <c r="A361" s="23">
        <v>1</v>
      </c>
      <c r="B361" s="26" t="s">
        <v>36</v>
      </c>
      <c r="C361" s="94" t="s">
        <v>37</v>
      </c>
      <c r="D361" s="90"/>
      <c r="E361" s="25" t="s">
        <v>42</v>
      </c>
      <c r="F361" s="94" t="s">
        <v>43</v>
      </c>
      <c r="G361" s="90"/>
      <c r="H361" s="90"/>
      <c r="I361" s="108"/>
      <c r="J361" s="90"/>
    </row>
    <row r="362" spans="1:10" ht="16.5" customHeight="1">
      <c r="A362" s="23"/>
      <c r="B362" s="26"/>
      <c r="C362" s="94"/>
      <c r="D362" s="90"/>
      <c r="E362" s="25"/>
      <c r="F362" s="94"/>
      <c r="G362" s="90"/>
      <c r="H362" s="90"/>
      <c r="I362" s="108"/>
      <c r="J362" s="90"/>
    </row>
    <row r="363" spans="1:10" ht="16.5" customHeight="1">
      <c r="A363" s="23"/>
      <c r="B363" s="26"/>
      <c r="C363" s="94"/>
      <c r="D363" s="90"/>
      <c r="E363" s="25"/>
      <c r="F363" s="94"/>
      <c r="G363" s="90"/>
      <c r="H363" s="90"/>
      <c r="I363" s="108"/>
      <c r="J363" s="90"/>
    </row>
    <row r="364" spans="1:10" ht="16.5" customHeight="1">
      <c r="A364" s="23"/>
      <c r="B364" s="26"/>
      <c r="C364" s="94"/>
      <c r="D364" s="90"/>
      <c r="E364" s="25"/>
      <c r="F364" s="94"/>
      <c r="G364" s="90"/>
      <c r="H364" s="90"/>
      <c r="I364" s="108"/>
      <c r="J364" s="90"/>
    </row>
    <row r="365" spans="1:10" ht="16.5" customHeight="1">
      <c r="A365" s="23"/>
      <c r="B365" s="26"/>
      <c r="C365" s="94"/>
      <c r="D365" s="90"/>
      <c r="E365" s="25"/>
      <c r="F365" s="94"/>
      <c r="G365" s="90"/>
      <c r="H365" s="90"/>
      <c r="I365" s="108"/>
      <c r="J365" s="90"/>
    </row>
    <row r="366" spans="1:10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8.75">
      <c r="A367" s="100" t="s">
        <v>44</v>
      </c>
      <c r="B367" s="101"/>
      <c r="C367" s="100" t="s">
        <v>45</v>
      </c>
      <c r="D367" s="101"/>
      <c r="E367" s="101"/>
      <c r="F367" s="18" t="s">
        <v>46</v>
      </c>
      <c r="G367" s="100" t="s">
        <v>47</v>
      </c>
      <c r="H367" s="101"/>
      <c r="I367" s="100" t="s">
        <v>48</v>
      </c>
      <c r="J367" s="101"/>
    </row>
    <row r="368" spans="1:10" ht="14.25" customHeight="1">
      <c r="A368" s="8"/>
      <c r="B368" s="19"/>
      <c r="C368" s="127" t="s">
        <v>49</v>
      </c>
      <c r="D368" s="110"/>
      <c r="E368" s="19"/>
      <c r="F368" s="127" t="s">
        <v>29</v>
      </c>
      <c r="G368" s="110"/>
      <c r="H368" s="110"/>
      <c r="I368" s="110"/>
      <c r="J368" s="110"/>
    </row>
    <row r="369" spans="1:11">
      <c r="A369" s="9"/>
      <c r="C369" s="7"/>
      <c r="D369" s="7"/>
      <c r="E369" s="7"/>
    </row>
    <row r="370" spans="1:11" ht="14.25" customHeight="1">
      <c r="A370" s="94" t="s">
        <v>50</v>
      </c>
      <c r="B370" s="90"/>
      <c r="C370" s="94" t="s">
        <v>51</v>
      </c>
      <c r="D370" s="90"/>
      <c r="E370" s="90"/>
      <c r="F370" s="27" t="s">
        <v>52</v>
      </c>
      <c r="G370" s="96">
        <v>176</v>
      </c>
      <c r="H370" s="90"/>
      <c r="I370" s="96">
        <v>11</v>
      </c>
      <c r="J370" s="90"/>
    </row>
    <row r="371" spans="1:11" ht="24.95" customHeight="1">
      <c r="A371" s="105" t="s">
        <v>53</v>
      </c>
      <c r="B371" s="90"/>
      <c r="C371" s="94" t="s">
        <v>11</v>
      </c>
      <c r="D371" s="90"/>
      <c r="E371" s="90"/>
      <c r="F371" s="94"/>
      <c r="G371" s="90"/>
      <c r="H371" s="90"/>
      <c r="I371" s="90"/>
      <c r="J371" s="90"/>
    </row>
    <row r="372" spans="1:11" ht="14.25" customHeight="1">
      <c r="A372" s="94" t="s">
        <v>78</v>
      </c>
      <c r="B372" s="90"/>
      <c r="C372" s="94" t="s">
        <v>79</v>
      </c>
      <c r="D372" s="90"/>
      <c r="E372" s="90"/>
      <c r="F372" s="27" t="s">
        <v>27</v>
      </c>
      <c r="G372" s="96">
        <v>11.087999999999999</v>
      </c>
      <c r="H372" s="90"/>
      <c r="I372" s="96">
        <v>0.69299999999999995</v>
      </c>
      <c r="J372" s="90"/>
    </row>
    <row r="373" spans="1:11" ht="24.95" customHeight="1">
      <c r="A373" s="105" t="s">
        <v>80</v>
      </c>
      <c r="B373" s="90"/>
      <c r="C373" s="94"/>
      <c r="D373" s="90"/>
      <c r="E373" s="90"/>
      <c r="F373" s="94"/>
      <c r="G373" s="90"/>
      <c r="H373" s="90"/>
      <c r="I373" s="90"/>
      <c r="J373" s="90"/>
    </row>
    <row r="374" spans="1:11" ht="14.25" customHeight="1">
      <c r="A374" s="94" t="s">
        <v>81</v>
      </c>
      <c r="B374" s="90"/>
      <c r="C374" s="94" t="s">
        <v>82</v>
      </c>
      <c r="D374" s="90"/>
      <c r="E374" s="90"/>
      <c r="F374" s="27"/>
      <c r="G374" s="96">
        <v>0.70399999999999996</v>
      </c>
      <c r="H374" s="90"/>
      <c r="I374" s="96">
        <v>4.3999999999999997E-2</v>
      </c>
      <c r="J374" s="90"/>
    </row>
    <row r="375" spans="1:11" ht="24.95" customHeight="1">
      <c r="A375" s="105" t="s">
        <v>83</v>
      </c>
      <c r="B375" s="90"/>
      <c r="C375" s="94" t="s">
        <v>84</v>
      </c>
      <c r="D375" s="90"/>
      <c r="E375" s="90"/>
      <c r="F375" s="94"/>
      <c r="G375" s="90"/>
      <c r="H375" s="90"/>
      <c r="I375" s="90"/>
      <c r="J375" s="90"/>
    </row>
    <row r="376" spans="1:11" ht="14.25" customHeight="1">
      <c r="A376" s="94"/>
      <c r="B376" s="90"/>
      <c r="C376" s="94"/>
      <c r="D376" s="90"/>
      <c r="E376" s="90"/>
      <c r="F376" s="27"/>
      <c r="G376" s="96"/>
      <c r="H376" s="90"/>
      <c r="I376" s="96"/>
      <c r="J376" s="90"/>
    </row>
    <row r="377" spans="1:11" ht="24.95" customHeight="1">
      <c r="A377" s="105"/>
      <c r="B377" s="90"/>
      <c r="C377" s="94"/>
      <c r="D377" s="90"/>
      <c r="E377" s="90"/>
      <c r="F377" s="94"/>
      <c r="G377" s="90"/>
      <c r="H377" s="90"/>
      <c r="I377" s="90"/>
      <c r="J377" s="90"/>
    </row>
    <row r="378" spans="1:11" ht="14.25" customHeight="1">
      <c r="A378" s="94"/>
      <c r="B378" s="90"/>
      <c r="C378" s="94"/>
      <c r="D378" s="90"/>
      <c r="E378" s="90"/>
      <c r="F378" s="27"/>
      <c r="G378" s="96"/>
      <c r="H378" s="90"/>
      <c r="I378" s="96"/>
      <c r="J378" s="90"/>
    </row>
    <row r="379" spans="1:11" ht="24.95" customHeight="1" thickBot="1">
      <c r="A379" s="105"/>
      <c r="B379" s="90"/>
      <c r="C379" s="94"/>
      <c r="D379" s="90"/>
      <c r="E379" s="90"/>
      <c r="F379" s="94"/>
      <c r="G379" s="90"/>
      <c r="H379" s="90"/>
      <c r="I379" s="90"/>
      <c r="J379" s="90"/>
    </row>
    <row r="380" spans="1:11" s="5" customFormat="1" ht="18" customHeight="1">
      <c r="A380" s="159" t="s">
        <v>157</v>
      </c>
      <c r="B380" s="160"/>
      <c r="C380" s="160"/>
      <c r="D380" s="160"/>
      <c r="E380" s="161" t="s">
        <v>158</v>
      </c>
      <c r="F380" s="162"/>
      <c r="G380" s="28" t="s">
        <v>159</v>
      </c>
      <c r="H380" s="133" t="s">
        <v>160</v>
      </c>
      <c r="I380" s="134"/>
      <c r="J380" s="29" t="s">
        <v>161</v>
      </c>
    </row>
    <row r="381" spans="1:11" s="7" customFormat="1" ht="18" customHeight="1">
      <c r="A381" s="135" t="str">
        <f>_xlfn.XLOOKUP(B345,[1]VFDB2!A:A,[1]VFDB2!A:A)</f>
        <v>J1ZAFJB00211835</v>
      </c>
      <c r="B381" s="136"/>
      <c r="C381" s="136"/>
      <c r="D381" s="136"/>
      <c r="E381" s="116" t="str" cm="1">
        <f t="array" ref="E381">IFERROR(IF(ISBLANK(INDEX(_xlfn._xlws.FILTER([1]加工記録２!$C$3:$C$992, [1]加工記録２!$T$3:$T$992=B347), 6)), "", INDEX(_xlfn._xlws.FILTER([1]加工記録２!$C$3:$C$992, [1]加工記録２!$T$3:$T$992=B347), 6)),"")</f>
        <v>灯具-1　L=1370</v>
      </c>
      <c r="F381" s="117"/>
      <c r="G381" s="118" cm="1">
        <f t="array" ref="G381">IFERROR(IF(ISBLANK(INDEX(_xlfn._xlws.FILTER([1]加工記録２!$C$3:$C$992, [1]加工記録２!$T$3:$T$992=B347), 7)), " ", INDEX(_xlfn._xlws.FILTER([1]加工記録２!$C$3:$C$992, [1]加工記録２!$T$3:$T$992=B347), 7))," ")</f>
        <v>11</v>
      </c>
      <c r="H381" s="76" t="s">
        <v>162</v>
      </c>
      <c r="I381" s="30" cm="1">
        <f t="array" ref="I381:J381">IFERROR(IF(ISBLANK(INDEX(_xlfn._xlws.FILTER([1]加工記録２!$O$3:$P$992, [1]加工記録２!$T$3:$T$992=B347), 1)), "", INDEX(_xlfn._xlws.FILTER([1]加工記録２!$O$3:$P$992, [1]加工記録２!$T$3:$T$992=B347), 1)),"")</f>
        <v>45846</v>
      </c>
      <c r="J381" s="77">
        <v>6</v>
      </c>
    </row>
    <row r="382" spans="1:11" s="5" customFormat="1" ht="18" customHeight="1">
      <c r="A382" s="137"/>
      <c r="B382" s="138"/>
      <c r="C382" s="138"/>
      <c r="D382" s="138"/>
      <c r="E382" s="116"/>
      <c r="F382" s="117"/>
      <c r="G382" s="118"/>
      <c r="H382" s="76" t="s">
        <v>163</v>
      </c>
      <c r="I382" s="78" cm="1">
        <f t="array" ref="I382:J382">IFERROR(IF(ISBLANK(INDEX(_xlfn._xlws.FILTER([1]加工記録２!$O$3:$P$992, [1]加工記録２!$T$3:$T$992=B347), 2)), "", INDEX(_xlfn._xlws.FILTER([1]加工記録２!$O$3:$P$992, [1]加工記録２!$T$3:$T$992=B347), 2)),"")</f>
        <v>176</v>
      </c>
      <c r="J382" s="79">
        <v>31</v>
      </c>
      <c r="K382" s="31"/>
    </row>
    <row r="383" spans="1:11" s="7" customFormat="1" ht="18" customHeight="1">
      <c r="A383" s="119" t="s">
        <v>164</v>
      </c>
      <c r="B383" s="121" t="str">
        <f>_xlfn.XLOOKUP(B345,[1]VFDB2!A:A,[1]VFDB2!J:J)</f>
        <v>-</v>
      </c>
      <c r="C383" s="163" t="s">
        <v>165</v>
      </c>
      <c r="D383" s="165">
        <f>_xlfn.XLOOKUP(B345,[1]VFDB2!A:A,[1]VFDB2!P:P)</f>
        <v>1</v>
      </c>
      <c r="E383" s="116" t="str">
        <f>_xlfn.XLOOKUP(B345,[1]VFDB2!A:A,[1]VFDB2!V:V)</f>
        <v>梱包箱:1370　隙間埋め</v>
      </c>
      <c r="F383" s="117"/>
      <c r="G383" s="148"/>
      <c r="H383" s="80" t="s">
        <v>166</v>
      </c>
      <c r="I383" s="78" cm="1">
        <f t="array" ref="I383:J383">IFERROR(IF(ISBLANK(INDEX(_xlfn._xlws.FILTER([1]加工記録２!$O$3:$P$992, [1]加工記録２!$T$3:$T$992=B347), 3)), "", INDEX(_xlfn._xlws.FILTER([1]加工記録２!$O$3:$P$992, [1]加工記録２!$T$3:$T$992=B347), 3)),"")</f>
        <v>213</v>
      </c>
      <c r="J383" s="81" t="str">
        <v/>
      </c>
      <c r="K383" s="32"/>
    </row>
    <row r="384" spans="1:11" s="5" customFormat="1" ht="18" customHeight="1">
      <c r="A384" s="120"/>
      <c r="B384" s="122"/>
      <c r="C384" s="164"/>
      <c r="D384" s="166"/>
      <c r="E384" s="116"/>
      <c r="F384" s="117"/>
      <c r="G384" s="148"/>
      <c r="H384" s="80" t="s">
        <v>167</v>
      </c>
      <c r="I384" s="78" cm="1">
        <f t="array" ref="I384:J384">IFERROR(IF(ISBLANK(INDEX(_xlfn._xlws.FILTER([1]加工記録２!$O$3:$P$992, [1]加工記録２!$T$3:$T$992=B347), 4)), "", INDEX(_xlfn._xlws.FILTER([1]加工記録２!$O$3:$P$992, [1]加工記録２!$T$3:$T$992=B347), 4)),"")</f>
        <v>37</v>
      </c>
      <c r="J384" s="82" t="str">
        <v/>
      </c>
      <c r="K384" s="31"/>
    </row>
    <row r="385" spans="1:14" s="7" customFormat="1" ht="18" customHeight="1">
      <c r="A385" s="140" t="s">
        <v>168</v>
      </c>
      <c r="B385" s="142">
        <f>D345</f>
        <v>1183</v>
      </c>
      <c r="C385" s="144" t="s">
        <v>169</v>
      </c>
      <c r="D385" s="146" t="str">
        <f>_xlfn.XLOOKUP(B345,[1]VFDB2!A:A,[1]VFDB2!L:L)</f>
        <v>+2</v>
      </c>
      <c r="E385" s="116" t="str">
        <f>_xlfn.XLOOKUP(B345,[1]VFDB2!A:A,[1]VFDB2!W:W)</f>
        <v>クラフト紙：1370型</v>
      </c>
      <c r="F385" s="117"/>
      <c r="G385" s="148"/>
      <c r="H385" s="80" t="s">
        <v>170</v>
      </c>
      <c r="I385" s="78" cm="1">
        <f t="array" ref="I385:J385">IFERROR(IF(ISBLANK(INDEX(_xlfn._xlws.FILTER([1]加工記録２!$O$3:$P$992, [1]加工記録２!$T$3:$T$992=B347), 5)), "", INDEX(_xlfn._xlws.FILTER([1]加工記録２!$O$3:$P$992, [1]加工記録２!$T$3:$T$992=B347), 5)),"")</f>
        <v>37</v>
      </c>
      <c r="J385" s="83" t="str">
        <v/>
      </c>
      <c r="K385" s="32"/>
    </row>
    <row r="386" spans="1:14" s="5" customFormat="1" ht="18" customHeight="1">
      <c r="A386" s="141"/>
      <c r="B386" s="143"/>
      <c r="C386" s="145"/>
      <c r="D386" s="147"/>
      <c r="E386" s="116"/>
      <c r="F386" s="117"/>
      <c r="G386" s="148"/>
      <c r="H386" s="80" t="s">
        <v>171</v>
      </c>
      <c r="I386" s="78" cm="1">
        <f t="array" ref="I386:J386">IFERROR(IF(ISBLANK(INDEX(_xlfn._xlws.FILTER([1]加工記録２!$O$3:$P$992, [1]加工記録２!$T$3:$T$992=B347), 6)), "", INDEX(_xlfn._xlws.FILTER([1]加工記録２!$O$3:$P$992, [1]加工記録２!$T$3:$T$992=B347), 6)),"")</f>
        <v>0</v>
      </c>
      <c r="J386" s="84" t="str">
        <v/>
      </c>
      <c r="K386" s="31"/>
    </row>
    <row r="387" spans="1:14" s="7" customFormat="1" ht="18" customHeight="1">
      <c r="A387" s="119" t="s">
        <v>172</v>
      </c>
      <c r="B387" s="151" t="str">
        <f>_xlfn.XLOOKUP(B345,[1]VFDB2!A:A,[1]VFDB2!AC:AC)</f>
        <v>換算表確認</v>
      </c>
      <c r="C387" s="153" t="s">
        <v>173</v>
      </c>
      <c r="D387" s="146">
        <f>_xlfn.XLOOKUP(B345,[1]VFDB2!A:A,[1]VFDB2!K:K)</f>
        <v>-2</v>
      </c>
      <c r="E387" s="116" t="str">
        <f>_xlfn.XLOOKUP(B345,[1]VFDB2!A:A,[1]VFDB2!R:R)</f>
        <v>ラベル2枚　長手有　鉢巻１</v>
      </c>
      <c r="F387" s="117"/>
      <c r="G387" s="148"/>
      <c r="H387" s="80" t="s">
        <v>174</v>
      </c>
      <c r="I387" s="78" t="str" cm="1">
        <f t="array" ref="I387:J387">IFERROR(IF(ISBLANK(INDEX(_xlfn._xlws.FILTER([1]加工記録２!$O$3:$P$992, [1]加工記録２!$T$3:$T$992=B347), 7)), "", INDEX(_xlfn._xlws.FILTER([1]加工記録２!$O$3:$P$992, [1]加工記録２!$T$3:$T$992=B347), 7)),"")</f>
        <v>-</v>
      </c>
      <c r="J387" s="85" t="str">
        <v/>
      </c>
      <c r="K387" s="32"/>
    </row>
    <row r="388" spans="1:14" s="5" customFormat="1" ht="18" customHeight="1" thickBot="1">
      <c r="A388" s="150"/>
      <c r="B388" s="152"/>
      <c r="C388" s="154"/>
      <c r="D388" s="155"/>
      <c r="E388" s="156"/>
      <c r="F388" s="157"/>
      <c r="G388" s="158"/>
      <c r="H388" s="86" t="s">
        <v>175</v>
      </c>
      <c r="I388" s="33" t="str" cm="1">
        <f t="array" ref="I388:J388">IFERROR(IF(ISBLANK(INDEX(_xlfn._xlws.FILTER([1]加工記録２!$O$3:$P$992, [1]加工記録２!$T$3:$T$992=B347), 8)), "", INDEX(_xlfn._xlws.FILTER([1]加工記録２!$O$3:$P$992, [1]加工記録２!$T$3:$T$992=B347), 8)),"")</f>
        <v>高森</v>
      </c>
      <c r="J388" s="87">
        <v>37</v>
      </c>
    </row>
    <row r="389" spans="1:14" s="44" customFormat="1" ht="18.95" customHeight="1">
      <c r="A389" s="34" t="s">
        <v>176</v>
      </c>
      <c r="B389" s="35" t="s">
        <v>185</v>
      </c>
      <c r="C389" s="36" t="s">
        <v>177</v>
      </c>
      <c r="D389" s="36" t="s">
        <v>178</v>
      </c>
      <c r="E389" s="37" t="s">
        <v>179</v>
      </c>
      <c r="F389" s="38" t="s">
        <v>180</v>
      </c>
      <c r="G389" s="39" t="s">
        <v>181</v>
      </c>
      <c r="H389" s="40" t="s">
        <v>182</v>
      </c>
      <c r="I389" s="41" t="s">
        <v>183</v>
      </c>
      <c r="J389" s="42" t="s">
        <v>184</v>
      </c>
      <c r="K389" s="43"/>
      <c r="L389" s="43"/>
      <c r="M389" s="43"/>
      <c r="N389" s="43"/>
    </row>
    <row r="390" spans="1:14" s="55" customFormat="1" ht="18.95" customHeight="1">
      <c r="A390" s="88" cm="1">
        <f t="array" ref="A390:J390">IFERROR(IF(ISBLANK(INDEX(_xlfn._xlws.FILTER([1]加工記録２!$D$3:$M$992, [1]加工記録２!$T$3:$T$992=B347), 1)), "", INDEX(_xlfn._xlws.FILTER([1]加工記録２!$D$3:$M$992, [1]加工記録２!$T$3:$T$992=B347), 1)),"")</f>
        <v>45811</v>
      </c>
      <c r="B390" s="46" t="str">
        <v>25E20-02</v>
      </c>
      <c r="C390" s="47" t="str">
        <v/>
      </c>
      <c r="D390" s="47" t="str">
        <v/>
      </c>
      <c r="E390" s="48" t="str">
        <v/>
      </c>
      <c r="F390" s="49" t="str">
        <v>25E20-02</v>
      </c>
      <c r="G390" s="50">
        <v>13</v>
      </c>
      <c r="H390" s="51">
        <v>13</v>
      </c>
      <c r="I390" s="52">
        <v>45846</v>
      </c>
      <c r="J390" s="53">
        <v>11</v>
      </c>
      <c r="K390" s="54"/>
      <c r="L390" s="54"/>
      <c r="M390" s="54"/>
      <c r="N390" s="54"/>
    </row>
    <row r="391" spans="1:14" s="55" customFormat="1" ht="18.95" customHeight="1">
      <c r="A391" s="45" cm="1">
        <f t="array" ref="A391:J391">IFERROR(IF(ISBLANK(INDEX(_xlfn._xlws.FILTER([1]加工記録２!$D$3:$M$992, [1]加工記録２!$T$3:$T$992=B347), 2)), "", INDEX(_xlfn._xlws.FILTER([1]加工記録２!$D$3:$M$992, [1]加工記録２!$T$3:$T$992=B347), 2)),"")</f>
        <v>45846</v>
      </c>
      <c r="B391" s="56" t="str">
        <v>25G02-01</v>
      </c>
      <c r="C391" s="56" t="str">
        <v/>
      </c>
      <c r="D391" s="56" t="str">
        <v/>
      </c>
      <c r="E391" s="57" t="str">
        <v/>
      </c>
      <c r="F391" s="58" t="str">
        <v>25G02-01</v>
      </c>
      <c r="G391" s="59">
        <v>200</v>
      </c>
      <c r="H391" s="60">
        <v>200</v>
      </c>
      <c r="I391" s="52" t="str">
        <v/>
      </c>
      <c r="J391" s="53" t="str">
        <v/>
      </c>
      <c r="K391" s="54"/>
      <c r="L391" s="54"/>
      <c r="M391" s="54"/>
      <c r="N391" s="54"/>
    </row>
    <row r="392" spans="1:14" s="55" customFormat="1" ht="18.95" customHeight="1">
      <c r="A392" s="45" t="str" cm="1">
        <f t="array" ref="A392:J392">IFERROR(IF(ISBLANK(INDEX(_xlfn._xlws.FILTER([1]加工記録２!$D$3:$M$992, [1]加工記録２!$T$3:$T$992=B347), 3)), "", INDEX(_xlfn._xlws.FILTER([1]加工記録２!$D$3:$M$992, [1]加工記録２!$T$3:$T$992=B347), 3)),"")</f>
        <v/>
      </c>
      <c r="B392" s="56" t="str">
        <v/>
      </c>
      <c r="C392" s="56" t="str">
        <v/>
      </c>
      <c r="D392" s="56" t="str">
        <v/>
      </c>
      <c r="E392" s="57" t="str">
        <v/>
      </c>
      <c r="F392" s="58" t="str">
        <v/>
      </c>
      <c r="G392" s="59" t="str">
        <v/>
      </c>
      <c r="H392" s="60">
        <v>0</v>
      </c>
      <c r="I392" s="52" t="str">
        <v/>
      </c>
      <c r="J392" s="53" t="str">
        <v/>
      </c>
      <c r="K392" s="54"/>
      <c r="L392" s="54"/>
      <c r="M392" s="54"/>
      <c r="N392" s="54"/>
    </row>
    <row r="393" spans="1:14" s="55" customFormat="1" ht="18.95" customHeight="1">
      <c r="A393" s="45" t="str" cm="1">
        <f t="array" ref="A393:J393">IFERROR(IF(ISBLANK(INDEX(_xlfn._xlws.FILTER([1]加工記録２!$D$3:$M$992, [1]加工記録２!$T$3:$T$992=B347), 4)), "", INDEX(_xlfn._xlws.FILTER([1]加工記録２!$D$3:$M$992, [1]加工記録２!$T$3:$T$992=B347), 4)),"")</f>
        <v/>
      </c>
      <c r="B393" s="56" t="str">
        <v/>
      </c>
      <c r="C393" s="56" t="str">
        <v/>
      </c>
      <c r="D393" s="56" t="str">
        <v/>
      </c>
      <c r="E393" s="57" t="str">
        <v/>
      </c>
      <c r="F393" s="58" t="str">
        <v/>
      </c>
      <c r="G393" s="59" t="str">
        <v/>
      </c>
      <c r="H393" s="60">
        <v>0</v>
      </c>
      <c r="I393" s="52" t="str">
        <v/>
      </c>
      <c r="J393" s="53" t="str">
        <v/>
      </c>
      <c r="K393" s="54"/>
      <c r="L393" s="54"/>
      <c r="M393" s="54"/>
      <c r="N393" s="54"/>
    </row>
    <row r="394" spans="1:14" s="55" customFormat="1" ht="18.95" customHeight="1">
      <c r="A394" s="45" t="str" cm="1">
        <f t="array" ref="A394:J394">IFERROR(IF(ISBLANK(INDEX(_xlfn._xlws.FILTER([1]加工記録２!$D$3:$M$992, [1]加工記録２!$T$3:$T$992=B347), 5)), "", INDEX(_xlfn._xlws.FILTER([1]加工記録２!$D$3:$M$992, [1]加工記録２!$T$3:$T$992=B347), 5)),"")</f>
        <v/>
      </c>
      <c r="B394" s="56" t="str">
        <v/>
      </c>
      <c r="C394" s="56" t="str">
        <v/>
      </c>
      <c r="D394" s="56" t="str">
        <v/>
      </c>
      <c r="E394" s="57" t="str">
        <v/>
      </c>
      <c r="F394" s="58" t="str">
        <v/>
      </c>
      <c r="G394" s="59" t="str">
        <v/>
      </c>
      <c r="H394" s="60">
        <v>0</v>
      </c>
      <c r="I394" s="61" t="str">
        <v/>
      </c>
      <c r="J394" s="62" t="str">
        <v/>
      </c>
      <c r="K394" s="54"/>
      <c r="L394" s="54"/>
      <c r="M394" s="54"/>
      <c r="N394" s="54"/>
    </row>
    <row r="395" spans="1:14" s="55" customFormat="1" ht="18.95" customHeight="1">
      <c r="A395" s="45" t="str" cm="1">
        <f t="array" ref="A395:J395">IFERROR(IF(ISBLANK(INDEX(_xlfn._xlws.FILTER([1]加工記録２!$D$3:$M$992, [1]加工記録２!$T$3:$T$992=B347), 6)), "", INDEX(_xlfn._xlws.FILTER([1]加工記録２!$D$3:$M$992, [1]加工記録２!$T$3:$T$992=B347), 6)),"")</f>
        <v/>
      </c>
      <c r="B395" s="56" t="str">
        <v/>
      </c>
      <c r="C395" s="56" t="str">
        <v/>
      </c>
      <c r="D395" s="56" t="str">
        <v/>
      </c>
      <c r="E395" s="57" t="str">
        <v/>
      </c>
      <c r="F395" s="58" t="str">
        <v/>
      </c>
      <c r="G395" s="59" t="str">
        <v/>
      </c>
      <c r="H395" s="63">
        <v>0</v>
      </c>
      <c r="I395" s="64" t="str">
        <v>旧品加工</v>
      </c>
      <c r="J395" s="65">
        <v>13</v>
      </c>
      <c r="K395" s="54"/>
      <c r="L395" s="54"/>
      <c r="M395" s="54"/>
      <c r="N395" s="54"/>
    </row>
    <row r="396" spans="1:14" s="55" customFormat="1" ht="18.95" customHeight="1">
      <c r="A396" s="45" t="str" cm="1">
        <f t="array" ref="A396:J396">IFERROR(IF(ISBLANK(INDEX(_xlfn._xlws.FILTER([1]加工記録２!$D$3:$M$992, [1]加工記録２!$T$3:$T$992=B347), 7)), "", INDEX(_xlfn._xlws.FILTER([1]加工記録２!$D$3:$M$992, [1]加工記録２!$T$3:$T$992=B347), 7)),"")</f>
        <v/>
      </c>
      <c r="B396" s="56" t="str">
        <v/>
      </c>
      <c r="C396" s="56" t="str">
        <v/>
      </c>
      <c r="D396" s="56" t="str">
        <v/>
      </c>
      <c r="E396" s="57" t="str">
        <v/>
      </c>
      <c r="F396" s="58" t="str">
        <v/>
      </c>
      <c r="G396" s="59" t="str">
        <v/>
      </c>
      <c r="H396" s="63">
        <v>0</v>
      </c>
      <c r="I396" s="66" t="str">
        <v>持出端材</v>
      </c>
      <c r="J396" s="67" t="str">
        <v/>
      </c>
      <c r="K396" s="54"/>
      <c r="L396" s="54"/>
      <c r="M396" s="54"/>
      <c r="N396" s="54"/>
    </row>
    <row r="397" spans="1:14" s="55" customFormat="1" ht="18.95" customHeight="1" thickBot="1">
      <c r="A397" s="68" t="str" cm="1">
        <f t="array" ref="A397:J397">IFERROR(IF(ISBLANK(INDEX(_xlfn._xlws.FILTER([1]加工記録２!$D$3:$M$992, [1]加工記録２!$T$3:$T$992=B347), 8)), "", INDEX(_xlfn._xlws.FILTER([1]加工記録２!$D$3:$M$992, [1]加工記録２!$T$3:$T$992=B347), 8)),"")</f>
        <v/>
      </c>
      <c r="B397" s="69" t="str">
        <v/>
      </c>
      <c r="C397" s="69" t="str">
        <v/>
      </c>
      <c r="D397" s="69" t="str">
        <v/>
      </c>
      <c r="E397" s="70" t="str">
        <v/>
      </c>
      <c r="F397" s="71" t="str">
        <v/>
      </c>
      <c r="G397" s="72" t="str">
        <v/>
      </c>
      <c r="H397" s="73">
        <v>0</v>
      </c>
      <c r="I397" s="74" t="str">
        <v>α端材</v>
      </c>
      <c r="J397" s="75">
        <v>0</v>
      </c>
      <c r="K397" s="54"/>
      <c r="L397" s="54"/>
      <c r="M397" s="54"/>
      <c r="N397" s="54"/>
    </row>
    <row r="398" spans="1:14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4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2"/>
      <c r="B400" s="126" t="s">
        <v>0</v>
      </c>
      <c r="C400" s="90"/>
      <c r="D400" s="90"/>
      <c r="E400" s="12"/>
      <c r="F400" s="12"/>
      <c r="G400" s="12"/>
      <c r="H400" s="12"/>
      <c r="I400" s="12"/>
      <c r="J400" s="12"/>
    </row>
    <row r="401" spans="1:10" ht="14.25" customHeight="1">
      <c r="A401" s="13"/>
      <c r="B401" s="90"/>
      <c r="C401" s="90"/>
      <c r="D401" s="90"/>
      <c r="E401" s="13"/>
      <c r="F401" s="13"/>
      <c r="G401" s="13"/>
      <c r="H401" s="13"/>
      <c r="I401" s="13"/>
      <c r="J401" s="13"/>
    </row>
    <row r="402" spans="1:10" ht="14.25" customHeight="1">
      <c r="A402" s="95" t="s">
        <v>1</v>
      </c>
      <c r="B402" s="95" t="s">
        <v>109</v>
      </c>
      <c r="C402" s="95" t="s">
        <v>3</v>
      </c>
      <c r="D402" s="123">
        <v>1238</v>
      </c>
      <c r="E402" s="95" t="s">
        <v>4</v>
      </c>
      <c r="F402" s="89" t="s">
        <v>110</v>
      </c>
      <c r="G402" s="90"/>
      <c r="H402" s="91"/>
      <c r="I402" s="14" t="s">
        <v>6</v>
      </c>
      <c r="J402" s="14" t="s">
        <v>7</v>
      </c>
    </row>
    <row r="403" spans="1:10" ht="14.25" customHeight="1">
      <c r="A403" s="90"/>
      <c r="B403" s="90"/>
      <c r="C403" s="90"/>
      <c r="D403" s="90"/>
      <c r="E403" s="90"/>
      <c r="F403" s="90"/>
      <c r="G403" s="90"/>
      <c r="H403" s="91"/>
      <c r="I403" s="98"/>
      <c r="J403" s="98"/>
    </row>
    <row r="404" spans="1:10" ht="17.45" customHeight="1">
      <c r="A404" s="104" t="s">
        <v>8</v>
      </c>
      <c r="B404" s="104" t="s">
        <v>111</v>
      </c>
      <c r="E404" s="104" t="s">
        <v>10</v>
      </c>
      <c r="F404" s="112" t="s">
        <v>11</v>
      </c>
      <c r="G404" s="90"/>
      <c r="H404" s="91"/>
      <c r="I404" s="99"/>
      <c r="J404" s="99"/>
    </row>
    <row r="405" spans="1:10" ht="17.45" customHeight="1">
      <c r="A405" s="90"/>
      <c r="B405" s="90"/>
      <c r="E405" s="90"/>
      <c r="F405" s="90"/>
      <c r="G405" s="90"/>
      <c r="H405" s="91"/>
      <c r="I405" s="15"/>
      <c r="J405" s="15"/>
    </row>
    <row r="406" spans="1:10" ht="17.45" customHeight="1">
      <c r="A406" s="104" t="s">
        <v>12</v>
      </c>
      <c r="B406" s="104" t="s">
        <v>112</v>
      </c>
      <c r="E406" s="2" t="s">
        <v>14</v>
      </c>
      <c r="F406" s="113" t="s">
        <v>15</v>
      </c>
      <c r="G406" s="90"/>
      <c r="H406" s="22"/>
    </row>
    <row r="407" spans="1:10" ht="17.45" customHeight="1">
      <c r="A407" s="90"/>
      <c r="B407" s="90"/>
      <c r="E407" s="2" t="s">
        <v>16</v>
      </c>
      <c r="F407" s="22" t="s">
        <v>17</v>
      </c>
      <c r="G407" s="22"/>
      <c r="H407" s="22"/>
    </row>
    <row r="408" spans="1:10" ht="17.45" customHeight="1">
      <c r="A408" s="2" t="s">
        <v>18</v>
      </c>
      <c r="B408" s="4">
        <v>45861</v>
      </c>
      <c r="E408" s="2" t="s">
        <v>19</v>
      </c>
      <c r="F408" s="132">
        <v>16</v>
      </c>
      <c r="G408" s="90"/>
      <c r="H408" s="22"/>
    </row>
    <row r="409" spans="1:10" ht="17.45" customHeight="1">
      <c r="A409" s="2" t="s">
        <v>20</v>
      </c>
      <c r="B409" s="4">
        <v>45861</v>
      </c>
      <c r="E409" s="2" t="s">
        <v>21</v>
      </c>
      <c r="F409" s="22">
        <v>6</v>
      </c>
      <c r="G409" s="139" t="s">
        <v>22</v>
      </c>
      <c r="H409" s="128">
        <v>96</v>
      </c>
      <c r="I409" s="129"/>
      <c r="J409" s="130"/>
    </row>
    <row r="410" spans="1:10" ht="17.45" customHeight="1">
      <c r="A410" s="20"/>
      <c r="B410" s="21"/>
      <c r="C410" s="21"/>
      <c r="D410" s="21"/>
      <c r="E410" s="2" t="s">
        <v>23</v>
      </c>
      <c r="F410" s="22" t="s">
        <v>24</v>
      </c>
      <c r="G410" s="131"/>
      <c r="H410" s="131"/>
      <c r="I410" s="110"/>
      <c r="J410" s="111"/>
    </row>
    <row r="411" spans="1:10" ht="13.5" customHeight="1">
      <c r="A411" s="102" t="s">
        <v>113</v>
      </c>
      <c r="B411" s="90"/>
      <c r="C411" s="90"/>
      <c r="D411" s="21"/>
      <c r="F411" s="3"/>
      <c r="G411" s="103" t="s">
        <v>26</v>
      </c>
      <c r="H411" s="92" t="s">
        <v>27</v>
      </c>
      <c r="I411" s="109" t="s">
        <v>28</v>
      </c>
      <c r="J411" s="91"/>
    </row>
    <row r="412" spans="1:10" ht="13.5" customHeight="1">
      <c r="A412" s="90"/>
      <c r="B412" s="90"/>
      <c r="C412" s="90"/>
      <c r="D412" s="21"/>
      <c r="F412" s="3"/>
      <c r="G412" s="93"/>
      <c r="H412" s="93"/>
      <c r="I412" s="110"/>
      <c r="J412" s="111"/>
    </row>
    <row r="413" spans="1:10" ht="13.5" customHeight="1">
      <c r="A413" s="1" t="s">
        <v>29</v>
      </c>
    </row>
    <row r="414" spans="1:10" ht="63" customHeight="1">
      <c r="A414" s="124"/>
      <c r="B414" s="125"/>
      <c r="C414" s="125"/>
      <c r="D414" s="125"/>
      <c r="E414" s="125"/>
      <c r="F414" s="125"/>
      <c r="G414" s="125"/>
      <c r="H414" s="125"/>
      <c r="I414" s="125"/>
      <c r="J414" s="125"/>
    </row>
    <row r="415" spans="1:10" ht="18.75">
      <c r="A415" s="24" t="s">
        <v>30</v>
      </c>
      <c r="B415" s="17" t="s">
        <v>31</v>
      </c>
      <c r="C415" s="114" t="s">
        <v>32</v>
      </c>
      <c r="D415" s="107"/>
      <c r="E415" s="17" t="s">
        <v>33</v>
      </c>
      <c r="F415" s="114" t="s">
        <v>34</v>
      </c>
      <c r="G415" s="107"/>
      <c r="H415" s="107"/>
      <c r="I415" s="106" t="s">
        <v>35</v>
      </c>
      <c r="J415" s="107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3">
        <v>1</v>
      </c>
      <c r="B417" s="25" t="s">
        <v>36</v>
      </c>
      <c r="C417" s="94" t="s">
        <v>37</v>
      </c>
      <c r="D417" s="90"/>
      <c r="E417" s="25" t="s">
        <v>40</v>
      </c>
      <c r="F417" s="94" t="s">
        <v>41</v>
      </c>
      <c r="G417" s="90"/>
      <c r="H417" s="90"/>
      <c r="I417" s="108"/>
      <c r="J417" s="90"/>
    </row>
    <row r="418" spans="1:10" ht="16.5" customHeight="1">
      <c r="A418" s="23">
        <v>1</v>
      </c>
      <c r="B418" s="26" t="s">
        <v>36</v>
      </c>
      <c r="C418" s="94" t="s">
        <v>37</v>
      </c>
      <c r="D418" s="90"/>
      <c r="E418" s="25" t="s">
        <v>42</v>
      </c>
      <c r="F418" s="94" t="s">
        <v>43</v>
      </c>
      <c r="G418" s="90"/>
      <c r="H418" s="90"/>
      <c r="I418" s="108"/>
      <c r="J418" s="90"/>
    </row>
    <row r="419" spans="1:10" ht="16.5" customHeight="1">
      <c r="A419" s="23"/>
      <c r="B419" s="26"/>
      <c r="C419" s="94"/>
      <c r="D419" s="90"/>
      <c r="E419" s="25"/>
      <c r="F419" s="94"/>
      <c r="G419" s="90"/>
      <c r="H419" s="90"/>
      <c r="I419" s="108"/>
      <c r="J419" s="90"/>
    </row>
    <row r="420" spans="1:10" ht="16.5" customHeight="1">
      <c r="A420" s="23"/>
      <c r="B420" s="26"/>
      <c r="C420" s="94"/>
      <c r="D420" s="90"/>
      <c r="E420" s="25"/>
      <c r="F420" s="94"/>
      <c r="G420" s="90"/>
      <c r="H420" s="90"/>
      <c r="I420" s="108"/>
      <c r="J420" s="90"/>
    </row>
    <row r="421" spans="1:10" ht="16.5" customHeight="1">
      <c r="A421" s="23"/>
      <c r="B421" s="26"/>
      <c r="C421" s="94"/>
      <c r="D421" s="90"/>
      <c r="E421" s="25"/>
      <c r="F421" s="94"/>
      <c r="G421" s="90"/>
      <c r="H421" s="90"/>
      <c r="I421" s="108"/>
      <c r="J421" s="90"/>
    </row>
    <row r="422" spans="1:10" ht="16.5" customHeight="1">
      <c r="A422" s="23"/>
      <c r="B422" s="26"/>
      <c r="C422" s="94"/>
      <c r="D422" s="90"/>
      <c r="E422" s="25"/>
      <c r="F422" s="94"/>
      <c r="G422" s="90"/>
      <c r="H422" s="90"/>
      <c r="I422" s="108"/>
      <c r="J422" s="90"/>
    </row>
    <row r="423" spans="1:10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8.75">
      <c r="A424" s="100" t="s">
        <v>44</v>
      </c>
      <c r="B424" s="101"/>
      <c r="C424" s="100" t="s">
        <v>45</v>
      </c>
      <c r="D424" s="101"/>
      <c r="E424" s="101"/>
      <c r="F424" s="18" t="s">
        <v>46</v>
      </c>
      <c r="G424" s="100" t="s">
        <v>47</v>
      </c>
      <c r="H424" s="101"/>
      <c r="I424" s="100" t="s">
        <v>48</v>
      </c>
      <c r="J424" s="101"/>
    </row>
    <row r="425" spans="1:10" ht="14.25" customHeight="1">
      <c r="A425" s="8"/>
      <c r="B425" s="19"/>
      <c r="C425" s="127" t="s">
        <v>49</v>
      </c>
      <c r="D425" s="110"/>
      <c r="E425" s="19"/>
      <c r="F425" s="127" t="s">
        <v>29</v>
      </c>
      <c r="G425" s="110"/>
      <c r="H425" s="110"/>
      <c r="I425" s="110"/>
      <c r="J425" s="110"/>
    </row>
    <row r="426" spans="1:10">
      <c r="A426" s="9"/>
      <c r="C426" s="7"/>
      <c r="D426" s="7"/>
      <c r="E426" s="7"/>
    </row>
    <row r="427" spans="1:10" ht="14.25" customHeight="1">
      <c r="A427" s="94" t="s">
        <v>114</v>
      </c>
      <c r="B427" s="90"/>
      <c r="C427" s="94" t="s">
        <v>115</v>
      </c>
      <c r="D427" s="90"/>
      <c r="E427" s="90"/>
      <c r="F427" s="27" t="s">
        <v>116</v>
      </c>
      <c r="G427" s="96">
        <v>96</v>
      </c>
      <c r="H427" s="90"/>
      <c r="I427" s="96">
        <v>6</v>
      </c>
      <c r="J427" s="90"/>
    </row>
    <row r="428" spans="1:10" ht="24.95" customHeight="1">
      <c r="A428" s="105" t="s">
        <v>117</v>
      </c>
      <c r="B428" s="90"/>
      <c r="C428" s="94" t="s">
        <v>11</v>
      </c>
      <c r="D428" s="90"/>
      <c r="E428" s="90"/>
      <c r="F428" s="94"/>
      <c r="G428" s="90"/>
      <c r="H428" s="90"/>
      <c r="I428" s="90"/>
      <c r="J428" s="90"/>
    </row>
    <row r="429" spans="1:10" ht="14.25" customHeight="1">
      <c r="A429" s="94" t="s">
        <v>78</v>
      </c>
      <c r="B429" s="90"/>
      <c r="C429" s="94" t="s">
        <v>79</v>
      </c>
      <c r="D429" s="90"/>
      <c r="E429" s="90"/>
      <c r="F429" s="27" t="s">
        <v>27</v>
      </c>
      <c r="G429" s="96">
        <v>6.048</v>
      </c>
      <c r="H429" s="90"/>
      <c r="I429" s="96">
        <v>0.378</v>
      </c>
      <c r="J429" s="90"/>
    </row>
    <row r="430" spans="1:10" ht="24.95" customHeight="1">
      <c r="A430" s="105" t="s">
        <v>80</v>
      </c>
      <c r="B430" s="90"/>
      <c r="C430" s="94"/>
      <c r="D430" s="90"/>
      <c r="E430" s="90"/>
      <c r="F430" s="94"/>
      <c r="G430" s="90"/>
      <c r="H430" s="90"/>
      <c r="I430" s="90"/>
      <c r="J430" s="90"/>
    </row>
    <row r="431" spans="1:10" ht="14.25" customHeight="1">
      <c r="A431" s="94" t="s">
        <v>81</v>
      </c>
      <c r="B431" s="90"/>
      <c r="C431" s="94" t="s">
        <v>82</v>
      </c>
      <c r="D431" s="90"/>
      <c r="E431" s="90"/>
      <c r="F431" s="27"/>
      <c r="G431" s="96">
        <v>0.38400000000000001</v>
      </c>
      <c r="H431" s="90"/>
      <c r="I431" s="96">
        <v>2.4E-2</v>
      </c>
      <c r="J431" s="90"/>
    </row>
    <row r="432" spans="1:10" ht="24.95" customHeight="1">
      <c r="A432" s="105" t="s">
        <v>83</v>
      </c>
      <c r="B432" s="90"/>
      <c r="C432" s="94" t="s">
        <v>84</v>
      </c>
      <c r="D432" s="90"/>
      <c r="E432" s="90"/>
      <c r="F432" s="94"/>
      <c r="G432" s="90"/>
      <c r="H432" s="90"/>
      <c r="I432" s="90"/>
      <c r="J432" s="90"/>
    </row>
    <row r="433" spans="1:14" ht="14.25" customHeight="1">
      <c r="A433" s="94"/>
      <c r="B433" s="90"/>
      <c r="C433" s="94"/>
      <c r="D433" s="90"/>
      <c r="E433" s="90"/>
      <c r="F433" s="27"/>
      <c r="G433" s="96"/>
      <c r="H433" s="90"/>
      <c r="I433" s="96"/>
      <c r="J433" s="90"/>
    </row>
    <row r="434" spans="1:14" ht="24.95" customHeight="1">
      <c r="A434" s="105"/>
      <c r="B434" s="90"/>
      <c r="C434" s="94"/>
      <c r="D434" s="90"/>
      <c r="E434" s="90"/>
      <c r="F434" s="94"/>
      <c r="G434" s="90"/>
      <c r="H434" s="90"/>
      <c r="I434" s="90"/>
      <c r="J434" s="90"/>
    </row>
    <row r="435" spans="1:14" ht="14.25" customHeight="1">
      <c r="A435" s="94"/>
      <c r="B435" s="90"/>
      <c r="C435" s="94"/>
      <c r="D435" s="90"/>
      <c r="E435" s="90"/>
      <c r="F435" s="27"/>
      <c r="G435" s="96"/>
      <c r="H435" s="90"/>
      <c r="I435" s="96"/>
      <c r="J435" s="90"/>
    </row>
    <row r="436" spans="1:14" ht="24.95" customHeight="1" thickBot="1">
      <c r="A436" s="105"/>
      <c r="B436" s="90"/>
      <c r="C436" s="94"/>
      <c r="D436" s="90"/>
      <c r="E436" s="90"/>
      <c r="F436" s="94"/>
      <c r="G436" s="90"/>
      <c r="H436" s="90"/>
      <c r="I436" s="90"/>
      <c r="J436" s="90"/>
    </row>
    <row r="437" spans="1:14" s="5" customFormat="1" ht="18" customHeight="1">
      <c r="A437" s="159" t="s">
        <v>157</v>
      </c>
      <c r="B437" s="160"/>
      <c r="C437" s="160"/>
      <c r="D437" s="160"/>
      <c r="E437" s="161" t="s">
        <v>158</v>
      </c>
      <c r="F437" s="162"/>
      <c r="G437" s="28" t="s">
        <v>159</v>
      </c>
      <c r="H437" s="133" t="s">
        <v>160</v>
      </c>
      <c r="I437" s="134"/>
      <c r="J437" s="29" t="s">
        <v>161</v>
      </c>
    </row>
    <row r="438" spans="1:14" s="7" customFormat="1" ht="18" customHeight="1">
      <c r="A438" s="135" t="str">
        <f>_xlfn.XLOOKUP(B402,[1]VFDB2!A:A,[1]VFDB2!A:A)</f>
        <v>J1ZAFJB00212380</v>
      </c>
      <c r="B438" s="136"/>
      <c r="C438" s="136"/>
      <c r="D438" s="136"/>
      <c r="E438" s="116" t="str" cm="1">
        <f t="array" ref="E438">IFERROR(IF(ISBLANK(INDEX(_xlfn._xlws.FILTER([1]加工記録２!$C$3:$C$992, [1]加工記録２!$T$3:$T$992=B404), 6)), "", INDEX(_xlfn._xlws.FILTER([1]加工記録２!$C$3:$C$992, [1]加工記録２!$T$3:$T$992=B404), 6)),"")</f>
        <v>灯具-1　L=1370</v>
      </c>
      <c r="F438" s="117"/>
      <c r="G438" s="118" cm="1">
        <f t="array" ref="G438">IFERROR(IF(ISBLANK(INDEX(_xlfn._xlws.FILTER([1]加工記録２!$C$3:$C$992, [1]加工記録２!$T$3:$T$992=B404), 7)), " ", INDEX(_xlfn._xlws.FILTER([1]加工記録２!$C$3:$C$992, [1]加工記録２!$T$3:$T$992=B404), 7))," ")</f>
        <v>5</v>
      </c>
      <c r="H438" s="76" t="s">
        <v>162</v>
      </c>
      <c r="I438" s="30" cm="1">
        <f t="array" ref="I438:J438">IFERROR(IF(ISBLANK(INDEX(_xlfn._xlws.FILTER([1]加工記録２!$O$3:$P$992, [1]加工記録２!$T$3:$T$992=B404), 1)), "", INDEX(_xlfn._xlws.FILTER([1]加工記録２!$O$3:$P$992, [1]加工記録２!$T$3:$T$992=B404), 1)),"")</f>
        <v>45847</v>
      </c>
      <c r="J438" s="77">
        <v>2</v>
      </c>
    </row>
    <row r="439" spans="1:14" s="5" customFormat="1" ht="18" customHeight="1">
      <c r="A439" s="137"/>
      <c r="B439" s="138"/>
      <c r="C439" s="138"/>
      <c r="D439" s="138"/>
      <c r="E439" s="116"/>
      <c r="F439" s="117"/>
      <c r="G439" s="118"/>
      <c r="H439" s="76" t="s">
        <v>163</v>
      </c>
      <c r="I439" s="78" cm="1">
        <f t="array" ref="I439:J439">IFERROR(IF(ISBLANK(INDEX(_xlfn._xlws.FILTER([1]加工記録２!$O$3:$P$992, [1]加工記録２!$T$3:$T$992=B404), 2)), "", INDEX(_xlfn._xlws.FILTER([1]加工記録２!$O$3:$P$992, [1]加工記録２!$T$3:$T$992=B404), 2)),"")</f>
        <v>80</v>
      </c>
      <c r="J439" s="79">
        <v>19</v>
      </c>
      <c r="K439" s="31"/>
    </row>
    <row r="440" spans="1:14" s="7" customFormat="1" ht="18" customHeight="1">
      <c r="A440" s="119" t="s">
        <v>164</v>
      </c>
      <c r="B440" s="121" t="str">
        <f>_xlfn.XLOOKUP(B402,[1]VFDB2!A:A,[1]VFDB2!J:J)</f>
        <v>-</v>
      </c>
      <c r="C440" s="163" t="s">
        <v>165</v>
      </c>
      <c r="D440" s="165">
        <f>_xlfn.XLOOKUP(B402,[1]VFDB2!A:A,[1]VFDB2!P:P)</f>
        <v>1</v>
      </c>
      <c r="E440" s="116" t="str">
        <f>_xlfn.XLOOKUP(B402,[1]VFDB2!A:A,[1]VFDB2!V:V)</f>
        <v>梱包箱:1370　隙間埋め</v>
      </c>
      <c r="F440" s="117"/>
      <c r="G440" s="148"/>
      <c r="H440" s="80" t="s">
        <v>166</v>
      </c>
      <c r="I440" s="78" cm="1">
        <f t="array" ref="I440:J440">IFERROR(IF(ISBLANK(INDEX(_xlfn._xlws.FILTER([1]加工記録２!$O$3:$P$992, [1]加工記録２!$T$3:$T$992=B404), 3)), "", INDEX(_xlfn._xlws.FILTER([1]加工記録２!$O$3:$P$992, [1]加工記録２!$T$3:$T$992=B404), 3)),"")</f>
        <v>102</v>
      </c>
      <c r="J440" s="81" t="str">
        <v/>
      </c>
      <c r="K440" s="32"/>
    </row>
    <row r="441" spans="1:14" s="5" customFormat="1" ht="18" customHeight="1">
      <c r="A441" s="120"/>
      <c r="B441" s="122"/>
      <c r="C441" s="164"/>
      <c r="D441" s="166"/>
      <c r="E441" s="116"/>
      <c r="F441" s="117"/>
      <c r="G441" s="148"/>
      <c r="H441" s="80" t="s">
        <v>167</v>
      </c>
      <c r="I441" s="78" cm="1">
        <f t="array" ref="I441:J441">IFERROR(IF(ISBLANK(INDEX(_xlfn._xlws.FILTER([1]加工記録２!$O$3:$P$992, [1]加工記録２!$T$3:$T$992=B404), 4)), "", INDEX(_xlfn._xlws.FILTER([1]加工記録２!$O$3:$P$992, [1]加工記録２!$T$3:$T$992=B404), 4)),"")</f>
        <v>22</v>
      </c>
      <c r="J441" s="82" t="str">
        <v/>
      </c>
      <c r="K441" s="31"/>
    </row>
    <row r="442" spans="1:14" s="7" customFormat="1" ht="18" customHeight="1">
      <c r="A442" s="140" t="s">
        <v>168</v>
      </c>
      <c r="B442" s="142">
        <f>D402</f>
        <v>1238</v>
      </c>
      <c r="C442" s="144" t="s">
        <v>169</v>
      </c>
      <c r="D442" s="146" t="str">
        <f>_xlfn.XLOOKUP(B402,[1]VFDB2!A:A,[1]VFDB2!L:L)</f>
        <v>+2</v>
      </c>
      <c r="E442" s="116" t="str">
        <f>_xlfn.XLOOKUP(B402,[1]VFDB2!A:A,[1]VFDB2!W:W)</f>
        <v>クラフト紙：1370型</v>
      </c>
      <c r="F442" s="117"/>
      <c r="G442" s="148"/>
      <c r="H442" s="80" t="s">
        <v>170</v>
      </c>
      <c r="I442" s="78" cm="1">
        <f t="array" ref="I442:J442">IFERROR(IF(ISBLANK(INDEX(_xlfn._xlws.FILTER([1]加工記録２!$O$3:$P$992, [1]加工記録２!$T$3:$T$992=B404), 5)), "", INDEX(_xlfn._xlws.FILTER([1]加工記録２!$O$3:$P$992, [1]加工記録２!$T$3:$T$992=B404), 5)),"")</f>
        <v>22</v>
      </c>
      <c r="J442" s="83" t="str">
        <v/>
      </c>
      <c r="K442" s="32"/>
    </row>
    <row r="443" spans="1:14" s="5" customFormat="1" ht="18" customHeight="1">
      <c r="A443" s="141"/>
      <c r="B443" s="143"/>
      <c r="C443" s="145"/>
      <c r="D443" s="147"/>
      <c r="E443" s="116"/>
      <c r="F443" s="117"/>
      <c r="G443" s="148"/>
      <c r="H443" s="80" t="s">
        <v>171</v>
      </c>
      <c r="I443" s="78" cm="1">
        <f t="array" ref="I443:J443">IFERROR(IF(ISBLANK(INDEX(_xlfn._xlws.FILTER([1]加工記録２!$O$3:$P$992, [1]加工記録２!$T$3:$T$992=B404), 6)), "", INDEX(_xlfn._xlws.FILTER([1]加工記録２!$O$3:$P$992, [1]加工記録２!$T$3:$T$992=B404), 6)),"")</f>
        <v>0</v>
      </c>
      <c r="J443" s="84" t="str">
        <v/>
      </c>
      <c r="K443" s="31"/>
    </row>
    <row r="444" spans="1:14" s="7" customFormat="1" ht="18" customHeight="1">
      <c r="A444" s="119" t="s">
        <v>172</v>
      </c>
      <c r="B444" s="151" t="str">
        <f>_xlfn.XLOOKUP(B402,[1]VFDB2!A:A,[1]VFDB2!AC:AC)</f>
        <v>換算表確認</v>
      </c>
      <c r="C444" s="153" t="s">
        <v>173</v>
      </c>
      <c r="D444" s="146">
        <f>_xlfn.XLOOKUP(B402,[1]VFDB2!A:A,[1]VFDB2!K:K)</f>
        <v>-2</v>
      </c>
      <c r="E444" s="116" t="str">
        <f>_xlfn.XLOOKUP(B402,[1]VFDB2!A:A,[1]VFDB2!R:R)</f>
        <v>ラベル2枚　長手有　鉢巻１</v>
      </c>
      <c r="F444" s="117"/>
      <c r="G444" s="148"/>
      <c r="H444" s="80" t="s">
        <v>174</v>
      </c>
      <c r="I444" s="78" t="str" cm="1">
        <f t="array" ref="I444:J444">IFERROR(IF(ISBLANK(INDEX(_xlfn._xlws.FILTER([1]加工記録２!$O$3:$P$992, [1]加工記録２!$T$3:$T$992=B404), 7)), "", INDEX(_xlfn._xlws.FILTER([1]加工記録２!$O$3:$P$992, [1]加工記録２!$T$3:$T$992=B404), 7)),"")</f>
        <v>-</v>
      </c>
      <c r="J444" s="85">
        <v>1</v>
      </c>
      <c r="K444" s="32"/>
    </row>
    <row r="445" spans="1:14" s="5" customFormat="1" ht="18" customHeight="1" thickBot="1">
      <c r="A445" s="150"/>
      <c r="B445" s="152"/>
      <c r="C445" s="154"/>
      <c r="D445" s="155"/>
      <c r="E445" s="156"/>
      <c r="F445" s="157"/>
      <c r="G445" s="158"/>
      <c r="H445" s="86" t="s">
        <v>175</v>
      </c>
      <c r="I445" s="33" t="str" cm="1">
        <f t="array" ref="I445:J445">IFERROR(IF(ISBLANK(INDEX(_xlfn._xlws.FILTER([1]加工記録２!$O$3:$P$992, [1]加工記録２!$T$3:$T$992=B404), 8)), "", INDEX(_xlfn._xlws.FILTER([1]加工記録２!$O$3:$P$992, [1]加工記録２!$T$3:$T$992=B404), 8)),"")</f>
        <v>高森</v>
      </c>
      <c r="J445" s="87">
        <v>22</v>
      </c>
    </row>
    <row r="446" spans="1:14" s="44" customFormat="1" ht="18.95" customHeight="1">
      <c r="A446" s="34" t="s">
        <v>176</v>
      </c>
      <c r="B446" s="35" t="s">
        <v>185</v>
      </c>
      <c r="C446" s="36" t="s">
        <v>177</v>
      </c>
      <c r="D446" s="36" t="s">
        <v>178</v>
      </c>
      <c r="E446" s="37" t="s">
        <v>179</v>
      </c>
      <c r="F446" s="38" t="s">
        <v>180</v>
      </c>
      <c r="G446" s="39" t="s">
        <v>181</v>
      </c>
      <c r="H446" s="40" t="s">
        <v>182</v>
      </c>
      <c r="I446" s="41" t="s">
        <v>183</v>
      </c>
      <c r="J446" s="42" t="s">
        <v>184</v>
      </c>
      <c r="K446" s="43"/>
      <c r="L446" s="43"/>
      <c r="M446" s="43"/>
      <c r="N446" s="43"/>
    </row>
    <row r="447" spans="1:14" s="55" customFormat="1" ht="18.95" customHeight="1">
      <c r="A447" s="88" cm="1">
        <f t="array" ref="A447:J447">IFERROR(IF(ISBLANK(INDEX(_xlfn._xlws.FILTER([1]加工記録２!$D$3:$M$992, [1]加工記録２!$T$3:$T$992=B404), 1)), "", INDEX(_xlfn._xlws.FILTER([1]加工記録２!$D$3:$M$992, [1]加工記録２!$T$3:$T$992=B404), 1)),"")</f>
        <v>45821</v>
      </c>
      <c r="B447" s="46" t="str">
        <v>24F06-01</v>
      </c>
      <c r="C447" s="47" t="str">
        <v/>
      </c>
      <c r="D447" s="47" t="str">
        <v/>
      </c>
      <c r="E447" s="48" t="str">
        <v/>
      </c>
      <c r="F447" s="49" t="str">
        <v>24F06-01</v>
      </c>
      <c r="G447" s="50">
        <v>10</v>
      </c>
      <c r="H447" s="51">
        <v>10</v>
      </c>
      <c r="I447" s="52">
        <v>45847</v>
      </c>
      <c r="J447" s="53">
        <v>5</v>
      </c>
      <c r="K447" s="54"/>
      <c r="L447" s="54"/>
      <c r="M447" s="54"/>
      <c r="N447" s="54"/>
    </row>
    <row r="448" spans="1:14" s="55" customFormat="1" ht="18.95" customHeight="1">
      <c r="A448" s="45" cm="1">
        <f t="array" ref="A448:J448">IFERROR(IF(ISBLANK(INDEX(_xlfn._xlws.FILTER([1]加工記録２!$D$3:$M$992, [1]加工記録２!$T$3:$T$992=B404), 2)), "", INDEX(_xlfn._xlws.FILTER([1]加工記録２!$D$3:$M$992, [1]加工記録２!$T$3:$T$992=B404), 2)),"")</f>
        <v>45847</v>
      </c>
      <c r="B448" s="56" t="str">
        <v>25G03-01</v>
      </c>
      <c r="C448" s="56" t="str">
        <v/>
      </c>
      <c r="D448" s="56" t="str">
        <v/>
      </c>
      <c r="E448" s="57" t="str">
        <v/>
      </c>
      <c r="F448" s="58" t="str">
        <v>25G03-01</v>
      </c>
      <c r="G448" s="59">
        <v>92</v>
      </c>
      <c r="H448" s="60">
        <v>92</v>
      </c>
      <c r="I448" s="52" t="str">
        <v/>
      </c>
      <c r="J448" s="53" t="str">
        <v/>
      </c>
      <c r="K448" s="54"/>
      <c r="L448" s="54"/>
      <c r="M448" s="54"/>
      <c r="N448" s="54"/>
    </row>
    <row r="449" spans="1:14" s="55" customFormat="1" ht="18.95" customHeight="1">
      <c r="A449" s="45" t="str" cm="1">
        <f t="array" ref="A449:J449">IFERROR(IF(ISBLANK(INDEX(_xlfn._xlws.FILTER([1]加工記録２!$D$3:$M$992, [1]加工記録２!$T$3:$T$992=B404), 3)), "", INDEX(_xlfn._xlws.FILTER([1]加工記録２!$D$3:$M$992, [1]加工記録２!$T$3:$T$992=B404), 3)),"")</f>
        <v/>
      </c>
      <c r="B449" s="56" t="str">
        <v/>
      </c>
      <c r="C449" s="56" t="str">
        <v/>
      </c>
      <c r="D449" s="56" t="str">
        <v/>
      </c>
      <c r="E449" s="57" t="str">
        <v/>
      </c>
      <c r="F449" s="58" t="str">
        <v/>
      </c>
      <c r="G449" s="59" t="str">
        <v/>
      </c>
      <c r="H449" s="60">
        <v>0</v>
      </c>
      <c r="I449" s="52" t="str">
        <v/>
      </c>
      <c r="J449" s="53" t="str">
        <v/>
      </c>
      <c r="K449" s="54"/>
      <c r="L449" s="54"/>
      <c r="M449" s="54"/>
      <c r="N449" s="54"/>
    </row>
    <row r="450" spans="1:14" s="55" customFormat="1" ht="18.95" customHeight="1">
      <c r="A450" s="45" t="str" cm="1">
        <f t="array" ref="A450:J450">IFERROR(IF(ISBLANK(INDEX(_xlfn._xlws.FILTER([1]加工記録２!$D$3:$M$992, [1]加工記録２!$T$3:$T$992=B404), 4)), "", INDEX(_xlfn._xlws.FILTER([1]加工記録２!$D$3:$M$992, [1]加工記録２!$T$3:$T$992=B404), 4)),"")</f>
        <v/>
      </c>
      <c r="B450" s="56" t="str">
        <v/>
      </c>
      <c r="C450" s="56" t="str">
        <v/>
      </c>
      <c r="D450" s="56" t="str">
        <v/>
      </c>
      <c r="E450" s="57" t="str">
        <v/>
      </c>
      <c r="F450" s="58" t="str">
        <v/>
      </c>
      <c r="G450" s="59" t="str">
        <v/>
      </c>
      <c r="H450" s="60">
        <v>0</v>
      </c>
      <c r="I450" s="52" t="str">
        <v/>
      </c>
      <c r="J450" s="53" t="str">
        <v/>
      </c>
      <c r="K450" s="54"/>
      <c r="L450" s="54"/>
      <c r="M450" s="54"/>
      <c r="N450" s="54"/>
    </row>
    <row r="451" spans="1:14" s="55" customFormat="1" ht="18.95" customHeight="1">
      <c r="A451" s="45" t="str" cm="1">
        <f t="array" ref="A451:J451">IFERROR(IF(ISBLANK(INDEX(_xlfn._xlws.FILTER([1]加工記録２!$D$3:$M$992, [1]加工記録２!$T$3:$T$992=B404), 5)), "", INDEX(_xlfn._xlws.FILTER([1]加工記録２!$D$3:$M$992, [1]加工記録２!$T$3:$T$992=B404), 5)),"")</f>
        <v/>
      </c>
      <c r="B451" s="56" t="str">
        <v/>
      </c>
      <c r="C451" s="56" t="str">
        <v/>
      </c>
      <c r="D451" s="56" t="str">
        <v/>
      </c>
      <c r="E451" s="57" t="str">
        <v/>
      </c>
      <c r="F451" s="58" t="str">
        <v/>
      </c>
      <c r="G451" s="59" t="str">
        <v/>
      </c>
      <c r="H451" s="60">
        <v>0</v>
      </c>
      <c r="I451" s="61" t="str">
        <v/>
      </c>
      <c r="J451" s="62" t="str">
        <v/>
      </c>
      <c r="K451" s="54"/>
      <c r="L451" s="54"/>
      <c r="M451" s="54"/>
      <c r="N451" s="54"/>
    </row>
    <row r="452" spans="1:14" s="55" customFormat="1" ht="18.95" customHeight="1">
      <c r="A452" s="45" t="str" cm="1">
        <f t="array" ref="A452:J452">IFERROR(IF(ISBLANK(INDEX(_xlfn._xlws.FILTER([1]加工記録２!$D$3:$M$992, [1]加工記録２!$T$3:$T$992=B404), 6)), "", INDEX(_xlfn._xlws.FILTER([1]加工記録２!$D$3:$M$992, [1]加工記録２!$T$3:$T$992=B404), 6)),"")</f>
        <v/>
      </c>
      <c r="B452" s="56" t="str">
        <v/>
      </c>
      <c r="C452" s="56" t="str">
        <v/>
      </c>
      <c r="D452" s="56" t="str">
        <v/>
      </c>
      <c r="E452" s="57" t="str">
        <v/>
      </c>
      <c r="F452" s="58" t="str">
        <v/>
      </c>
      <c r="G452" s="59" t="str">
        <v/>
      </c>
      <c r="H452" s="63">
        <v>0</v>
      </c>
      <c r="I452" s="64" t="str">
        <v>旧品加工</v>
      </c>
      <c r="J452" s="65">
        <v>10</v>
      </c>
      <c r="K452" s="54"/>
      <c r="L452" s="54"/>
      <c r="M452" s="54"/>
      <c r="N452" s="54"/>
    </row>
    <row r="453" spans="1:14" s="55" customFormat="1" ht="18.95" customHeight="1">
      <c r="A453" s="45" t="str" cm="1">
        <f t="array" ref="A453:J453">IFERROR(IF(ISBLANK(INDEX(_xlfn._xlws.FILTER([1]加工記録２!$D$3:$M$992, [1]加工記録２!$T$3:$T$992=B404), 7)), "", INDEX(_xlfn._xlws.FILTER([1]加工記録２!$D$3:$M$992, [1]加工記録２!$T$3:$T$992=B404), 7)),"")</f>
        <v/>
      </c>
      <c r="B453" s="56" t="str">
        <v/>
      </c>
      <c r="C453" s="56" t="str">
        <v/>
      </c>
      <c r="D453" s="56" t="str">
        <v/>
      </c>
      <c r="E453" s="57" t="str">
        <v/>
      </c>
      <c r="F453" s="58" t="str">
        <v/>
      </c>
      <c r="G453" s="59" t="str">
        <v/>
      </c>
      <c r="H453" s="63">
        <v>0</v>
      </c>
      <c r="I453" s="66" t="str">
        <v>持出端材</v>
      </c>
      <c r="J453" s="67" t="str">
        <v/>
      </c>
      <c r="K453" s="54"/>
      <c r="L453" s="54"/>
      <c r="M453" s="54"/>
      <c r="N453" s="54"/>
    </row>
    <row r="454" spans="1:14" s="55" customFormat="1" ht="18.95" customHeight="1" thickBot="1">
      <c r="A454" s="68" t="str" cm="1">
        <f t="array" ref="A454:J454">IFERROR(IF(ISBLANK(INDEX(_xlfn._xlws.FILTER([1]加工記録２!$D$3:$M$992, [1]加工記録２!$T$3:$T$992=B404), 8)), "", INDEX(_xlfn._xlws.FILTER([1]加工記録２!$D$3:$M$992, [1]加工記録２!$T$3:$T$992=B404), 8)),"")</f>
        <v/>
      </c>
      <c r="B454" s="69" t="str">
        <v/>
      </c>
      <c r="C454" s="69" t="str">
        <v/>
      </c>
      <c r="D454" s="69" t="str">
        <v/>
      </c>
      <c r="E454" s="70" t="str">
        <v/>
      </c>
      <c r="F454" s="71" t="str">
        <v/>
      </c>
      <c r="G454" s="72" t="str">
        <v/>
      </c>
      <c r="H454" s="73">
        <v>0</v>
      </c>
      <c r="I454" s="74" t="str">
        <v>α端材</v>
      </c>
      <c r="J454" s="75">
        <v>0</v>
      </c>
      <c r="K454" s="54"/>
      <c r="L454" s="54"/>
      <c r="M454" s="54"/>
      <c r="N454" s="54"/>
    </row>
    <row r="455" spans="1:14" ht="13.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4" ht="6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2"/>
      <c r="B457" s="126" t="s">
        <v>0</v>
      </c>
      <c r="C457" s="90"/>
      <c r="D457" s="90"/>
      <c r="E457" s="12"/>
      <c r="F457" s="12"/>
      <c r="G457" s="12"/>
      <c r="H457" s="12"/>
      <c r="I457" s="12"/>
      <c r="J457" s="12"/>
    </row>
    <row r="458" spans="1:14" ht="14.25" customHeight="1">
      <c r="A458" s="13"/>
      <c r="B458" s="90"/>
      <c r="C458" s="90"/>
      <c r="D458" s="90"/>
      <c r="E458" s="13"/>
      <c r="F458" s="13"/>
      <c r="G458" s="13"/>
      <c r="H458" s="13"/>
      <c r="I458" s="13"/>
      <c r="J458" s="13"/>
    </row>
    <row r="459" spans="1:14" ht="14.25" customHeight="1">
      <c r="A459" s="95" t="s">
        <v>1</v>
      </c>
      <c r="B459" s="95" t="s">
        <v>118</v>
      </c>
      <c r="C459" s="95" t="s">
        <v>3</v>
      </c>
      <c r="D459" s="123">
        <v>1258</v>
      </c>
      <c r="E459" s="95" t="s">
        <v>4</v>
      </c>
      <c r="F459" s="89" t="s">
        <v>119</v>
      </c>
      <c r="G459" s="90"/>
      <c r="H459" s="91"/>
      <c r="I459" s="14" t="s">
        <v>6</v>
      </c>
      <c r="J459" s="14" t="s">
        <v>7</v>
      </c>
    </row>
    <row r="460" spans="1:14" ht="14.25" customHeight="1">
      <c r="A460" s="90"/>
      <c r="B460" s="90"/>
      <c r="C460" s="90"/>
      <c r="D460" s="90"/>
      <c r="E460" s="90"/>
      <c r="F460" s="90"/>
      <c r="G460" s="90"/>
      <c r="H460" s="91"/>
      <c r="I460" s="98"/>
      <c r="J460" s="98"/>
    </row>
    <row r="461" spans="1:14" ht="17.45" customHeight="1">
      <c r="A461" s="104" t="s">
        <v>8</v>
      </c>
      <c r="B461" s="104" t="s">
        <v>120</v>
      </c>
      <c r="E461" s="104" t="s">
        <v>10</v>
      </c>
      <c r="F461" s="112" t="s">
        <v>11</v>
      </c>
      <c r="G461" s="90"/>
      <c r="H461" s="91"/>
      <c r="I461" s="99"/>
      <c r="J461" s="99"/>
    </row>
    <row r="462" spans="1:14" ht="17.45" customHeight="1">
      <c r="A462" s="90"/>
      <c r="B462" s="90"/>
      <c r="E462" s="90"/>
      <c r="F462" s="90"/>
      <c r="G462" s="90"/>
      <c r="H462" s="91"/>
      <c r="I462" s="15"/>
      <c r="J462" s="15"/>
    </row>
    <row r="463" spans="1:14" ht="17.45" customHeight="1">
      <c r="A463" s="104" t="s">
        <v>12</v>
      </c>
      <c r="B463" s="104" t="s">
        <v>121</v>
      </c>
      <c r="E463" s="2" t="s">
        <v>14</v>
      </c>
      <c r="F463" s="113" t="s">
        <v>15</v>
      </c>
      <c r="G463" s="90"/>
      <c r="H463" s="22"/>
    </row>
    <row r="464" spans="1:14" ht="17.45" customHeight="1">
      <c r="A464" s="90"/>
      <c r="B464" s="90"/>
      <c r="E464" s="2" t="s">
        <v>16</v>
      </c>
      <c r="F464" s="22" t="s">
        <v>17</v>
      </c>
      <c r="G464" s="22"/>
      <c r="H464" s="22"/>
    </row>
    <row r="465" spans="1:10" ht="17.45" customHeight="1">
      <c r="A465" s="2" t="s">
        <v>18</v>
      </c>
      <c r="B465" s="4">
        <v>45861</v>
      </c>
      <c r="E465" s="2" t="s">
        <v>19</v>
      </c>
      <c r="F465" s="132">
        <v>16</v>
      </c>
      <c r="G465" s="90"/>
      <c r="H465" s="22"/>
    </row>
    <row r="466" spans="1:10" ht="17.45" customHeight="1">
      <c r="A466" s="2" t="s">
        <v>20</v>
      </c>
      <c r="B466" s="4">
        <v>45861</v>
      </c>
      <c r="E466" s="2" t="s">
        <v>21</v>
      </c>
      <c r="F466" s="22">
        <v>6</v>
      </c>
      <c r="G466" s="139" t="s">
        <v>22</v>
      </c>
      <c r="H466" s="128">
        <v>96</v>
      </c>
      <c r="I466" s="129"/>
      <c r="J466" s="130"/>
    </row>
    <row r="467" spans="1:10" ht="17.45" customHeight="1">
      <c r="A467" s="20"/>
      <c r="B467" s="21"/>
      <c r="C467" s="21"/>
      <c r="D467" s="21"/>
      <c r="E467" s="2" t="s">
        <v>23</v>
      </c>
      <c r="F467" s="22" t="s">
        <v>24</v>
      </c>
      <c r="G467" s="131"/>
      <c r="H467" s="131"/>
      <c r="I467" s="110"/>
      <c r="J467" s="111"/>
    </row>
    <row r="468" spans="1:10" ht="13.5" customHeight="1">
      <c r="A468" s="102" t="s">
        <v>122</v>
      </c>
      <c r="B468" s="90"/>
      <c r="C468" s="90"/>
      <c r="D468" s="21"/>
      <c r="F468" s="3"/>
      <c r="G468" s="103" t="s">
        <v>26</v>
      </c>
      <c r="H468" s="92" t="s">
        <v>27</v>
      </c>
      <c r="I468" s="109" t="s">
        <v>28</v>
      </c>
      <c r="J468" s="91"/>
    </row>
    <row r="469" spans="1:10" ht="13.5" customHeight="1">
      <c r="A469" s="90"/>
      <c r="B469" s="90"/>
      <c r="C469" s="90"/>
      <c r="D469" s="21"/>
      <c r="F469" s="3"/>
      <c r="G469" s="93"/>
      <c r="H469" s="93"/>
      <c r="I469" s="110"/>
      <c r="J469" s="111"/>
    </row>
    <row r="470" spans="1:10" ht="13.5" customHeight="1">
      <c r="A470" s="1" t="s">
        <v>29</v>
      </c>
    </row>
    <row r="471" spans="1:10" ht="63" customHeight="1">
      <c r="A471" s="124"/>
      <c r="B471" s="125"/>
      <c r="C471" s="125"/>
      <c r="D471" s="125"/>
      <c r="E471" s="125"/>
      <c r="F471" s="125"/>
      <c r="G471" s="125"/>
      <c r="H471" s="125"/>
      <c r="I471" s="125"/>
      <c r="J471" s="125"/>
    </row>
    <row r="472" spans="1:10" ht="18.75">
      <c r="A472" s="24" t="s">
        <v>30</v>
      </c>
      <c r="B472" s="17" t="s">
        <v>31</v>
      </c>
      <c r="C472" s="114" t="s">
        <v>32</v>
      </c>
      <c r="D472" s="107"/>
      <c r="E472" s="17" t="s">
        <v>33</v>
      </c>
      <c r="F472" s="114" t="s">
        <v>34</v>
      </c>
      <c r="G472" s="107"/>
      <c r="H472" s="107"/>
      <c r="I472" s="106" t="s">
        <v>35</v>
      </c>
      <c r="J472" s="107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3">
        <v>1</v>
      </c>
      <c r="B474" s="25" t="s">
        <v>36</v>
      </c>
      <c r="C474" s="94" t="s">
        <v>37</v>
      </c>
      <c r="D474" s="90"/>
      <c r="E474" s="25" t="s">
        <v>40</v>
      </c>
      <c r="F474" s="94" t="s">
        <v>41</v>
      </c>
      <c r="G474" s="90"/>
      <c r="H474" s="90"/>
      <c r="I474" s="108"/>
      <c r="J474" s="90"/>
    </row>
    <row r="475" spans="1:10" ht="16.5" customHeight="1">
      <c r="A475" s="23">
        <v>1</v>
      </c>
      <c r="B475" s="26" t="s">
        <v>36</v>
      </c>
      <c r="C475" s="94" t="s">
        <v>37</v>
      </c>
      <c r="D475" s="90"/>
      <c r="E475" s="25" t="s">
        <v>42</v>
      </c>
      <c r="F475" s="94" t="s">
        <v>43</v>
      </c>
      <c r="G475" s="90"/>
      <c r="H475" s="90"/>
      <c r="I475" s="108"/>
      <c r="J475" s="90"/>
    </row>
    <row r="476" spans="1:10" ht="16.5" customHeight="1">
      <c r="A476" s="23"/>
      <c r="B476" s="26"/>
      <c r="C476" s="94"/>
      <c r="D476" s="90"/>
      <c r="E476" s="25"/>
      <c r="F476" s="94"/>
      <c r="G476" s="90"/>
      <c r="H476" s="90"/>
      <c r="I476" s="108"/>
      <c r="J476" s="90"/>
    </row>
    <row r="477" spans="1:10" ht="16.5" customHeight="1">
      <c r="A477" s="23"/>
      <c r="B477" s="26"/>
      <c r="C477" s="94"/>
      <c r="D477" s="90"/>
      <c r="E477" s="25"/>
      <c r="F477" s="94"/>
      <c r="G477" s="90"/>
      <c r="H477" s="90"/>
      <c r="I477" s="108"/>
      <c r="J477" s="90"/>
    </row>
    <row r="478" spans="1:10" ht="16.5" customHeight="1">
      <c r="A478" s="23"/>
      <c r="B478" s="26"/>
      <c r="C478" s="94"/>
      <c r="D478" s="90"/>
      <c r="E478" s="25"/>
      <c r="F478" s="94"/>
      <c r="G478" s="90"/>
      <c r="H478" s="90"/>
      <c r="I478" s="108"/>
      <c r="J478" s="90"/>
    </row>
    <row r="479" spans="1:10" ht="16.5" customHeight="1">
      <c r="A479" s="23"/>
      <c r="B479" s="26"/>
      <c r="C479" s="94"/>
      <c r="D479" s="90"/>
      <c r="E479" s="25"/>
      <c r="F479" s="94"/>
      <c r="G479" s="90"/>
      <c r="H479" s="90"/>
      <c r="I479" s="108"/>
      <c r="J479" s="90"/>
    </row>
    <row r="480" spans="1:1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1" ht="18.75">
      <c r="A481" s="100" t="s">
        <v>44</v>
      </c>
      <c r="B481" s="101"/>
      <c r="C481" s="100" t="s">
        <v>45</v>
      </c>
      <c r="D481" s="101"/>
      <c r="E481" s="101"/>
      <c r="F481" s="18" t="s">
        <v>46</v>
      </c>
      <c r="G481" s="100" t="s">
        <v>47</v>
      </c>
      <c r="H481" s="101"/>
      <c r="I481" s="100" t="s">
        <v>48</v>
      </c>
      <c r="J481" s="101"/>
    </row>
    <row r="482" spans="1:11" ht="14.25" customHeight="1">
      <c r="A482" s="8"/>
      <c r="B482" s="19"/>
      <c r="C482" s="127" t="s">
        <v>49</v>
      </c>
      <c r="D482" s="110"/>
      <c r="E482" s="19"/>
      <c r="F482" s="127" t="s">
        <v>29</v>
      </c>
      <c r="G482" s="110"/>
      <c r="H482" s="110"/>
      <c r="I482" s="110"/>
      <c r="J482" s="110"/>
    </row>
    <row r="483" spans="1:11">
      <c r="A483" s="9"/>
      <c r="C483" s="7"/>
      <c r="D483" s="7"/>
      <c r="E483" s="7"/>
    </row>
    <row r="484" spans="1:11" ht="14.25" customHeight="1">
      <c r="A484" s="94" t="s">
        <v>123</v>
      </c>
      <c r="B484" s="90"/>
      <c r="C484" s="94" t="s">
        <v>124</v>
      </c>
      <c r="D484" s="90"/>
      <c r="E484" s="90"/>
      <c r="F484" s="27" t="s">
        <v>52</v>
      </c>
      <c r="G484" s="96">
        <v>96</v>
      </c>
      <c r="H484" s="90"/>
      <c r="I484" s="96">
        <v>6</v>
      </c>
      <c r="J484" s="90"/>
    </row>
    <row r="485" spans="1:11" ht="24.95" customHeight="1">
      <c r="A485" s="105" t="s">
        <v>125</v>
      </c>
      <c r="B485" s="90"/>
      <c r="C485" s="94" t="s">
        <v>11</v>
      </c>
      <c r="D485" s="90"/>
      <c r="E485" s="90"/>
      <c r="F485" s="94"/>
      <c r="G485" s="90"/>
      <c r="H485" s="90"/>
      <c r="I485" s="90"/>
      <c r="J485" s="90"/>
    </row>
    <row r="486" spans="1:11" ht="14.25" customHeight="1">
      <c r="A486" s="94" t="s">
        <v>78</v>
      </c>
      <c r="B486" s="90"/>
      <c r="C486" s="94" t="s">
        <v>79</v>
      </c>
      <c r="D486" s="90"/>
      <c r="E486" s="90"/>
      <c r="F486" s="27" t="s">
        <v>27</v>
      </c>
      <c r="G486" s="96">
        <v>6.048</v>
      </c>
      <c r="H486" s="90"/>
      <c r="I486" s="96">
        <v>0.378</v>
      </c>
      <c r="J486" s="90"/>
    </row>
    <row r="487" spans="1:11" ht="24.95" customHeight="1">
      <c r="A487" s="105" t="s">
        <v>80</v>
      </c>
      <c r="B487" s="90"/>
      <c r="C487" s="94"/>
      <c r="D487" s="90"/>
      <c r="E487" s="90"/>
      <c r="F487" s="94"/>
      <c r="G487" s="90"/>
      <c r="H487" s="90"/>
      <c r="I487" s="90"/>
      <c r="J487" s="90"/>
    </row>
    <row r="488" spans="1:11" ht="14.25" customHeight="1">
      <c r="A488" s="94" t="s">
        <v>81</v>
      </c>
      <c r="B488" s="90"/>
      <c r="C488" s="94" t="s">
        <v>82</v>
      </c>
      <c r="D488" s="90"/>
      <c r="E488" s="90"/>
      <c r="F488" s="27"/>
      <c r="G488" s="96">
        <v>0.38400000000000001</v>
      </c>
      <c r="H488" s="90"/>
      <c r="I488" s="96">
        <v>2.4E-2</v>
      </c>
      <c r="J488" s="90"/>
    </row>
    <row r="489" spans="1:11" ht="24.95" customHeight="1">
      <c r="A489" s="105" t="s">
        <v>83</v>
      </c>
      <c r="B489" s="90"/>
      <c r="C489" s="94" t="s">
        <v>84</v>
      </c>
      <c r="D489" s="90"/>
      <c r="E489" s="90"/>
      <c r="F489" s="94"/>
      <c r="G489" s="90"/>
      <c r="H489" s="90"/>
      <c r="I489" s="90"/>
      <c r="J489" s="90"/>
    </row>
    <row r="490" spans="1:11" ht="14.25" customHeight="1">
      <c r="A490" s="94"/>
      <c r="B490" s="90"/>
      <c r="C490" s="94"/>
      <c r="D490" s="90"/>
      <c r="E490" s="90"/>
      <c r="F490" s="27"/>
      <c r="G490" s="96"/>
      <c r="H490" s="90"/>
      <c r="I490" s="96"/>
      <c r="J490" s="90"/>
    </row>
    <row r="491" spans="1:11" ht="24.95" customHeight="1">
      <c r="A491" s="105"/>
      <c r="B491" s="90"/>
      <c r="C491" s="94"/>
      <c r="D491" s="90"/>
      <c r="E491" s="90"/>
      <c r="F491" s="94"/>
      <c r="G491" s="90"/>
      <c r="H491" s="90"/>
      <c r="I491" s="90"/>
      <c r="J491" s="90"/>
    </row>
    <row r="492" spans="1:11" ht="14.25" customHeight="1">
      <c r="A492" s="94"/>
      <c r="B492" s="90"/>
      <c r="C492" s="94"/>
      <c r="D492" s="90"/>
      <c r="E492" s="90"/>
      <c r="F492" s="27"/>
      <c r="G492" s="96"/>
      <c r="H492" s="90"/>
      <c r="I492" s="96"/>
      <c r="J492" s="90"/>
    </row>
    <row r="493" spans="1:11" ht="24.95" customHeight="1" thickBot="1">
      <c r="A493" s="105"/>
      <c r="B493" s="90"/>
      <c r="C493" s="94"/>
      <c r="D493" s="90"/>
      <c r="E493" s="90"/>
      <c r="F493" s="94"/>
      <c r="G493" s="90"/>
      <c r="H493" s="90"/>
      <c r="I493" s="90"/>
      <c r="J493" s="90"/>
    </row>
    <row r="494" spans="1:11" s="5" customFormat="1" ht="18" customHeight="1">
      <c r="A494" s="159" t="s">
        <v>157</v>
      </c>
      <c r="B494" s="160"/>
      <c r="C494" s="160"/>
      <c r="D494" s="160"/>
      <c r="E494" s="161" t="s">
        <v>158</v>
      </c>
      <c r="F494" s="162"/>
      <c r="G494" s="28" t="s">
        <v>159</v>
      </c>
      <c r="H494" s="133" t="s">
        <v>160</v>
      </c>
      <c r="I494" s="134"/>
      <c r="J494" s="29" t="s">
        <v>161</v>
      </c>
    </row>
    <row r="495" spans="1:11" s="7" customFormat="1" ht="18" customHeight="1">
      <c r="A495" s="135" t="str">
        <f>_xlfn.XLOOKUP(B459,[1]VFDB2!A:A,[1]VFDB2!A:A)</f>
        <v>J1ZAFJB00212585</v>
      </c>
      <c r="B495" s="136"/>
      <c r="C495" s="136"/>
      <c r="D495" s="136"/>
      <c r="E495" s="116" t="str" cm="1">
        <f t="array" ref="E495">IFERROR(IF(ISBLANK(INDEX(_xlfn._xlws.FILTER([1]加工記録２!$C$3:$C$992, [1]加工記録２!$T$3:$T$992=B461), 6)), "", INDEX(_xlfn._xlws.FILTER([1]加工記録２!$C$3:$C$992, [1]加工記録２!$T$3:$T$992=B461), 6)),"")</f>
        <v>灯具-1　L=1370</v>
      </c>
      <c r="F495" s="117"/>
      <c r="G495" s="118" cm="1">
        <f t="array" ref="G495">IFERROR(IF(ISBLANK(INDEX(_xlfn._xlws.FILTER([1]加工記録２!$C$3:$C$992, [1]加工記録２!$T$3:$T$992=B461), 7)), " ", INDEX(_xlfn._xlws.FILTER([1]加工記録２!$C$3:$C$992, [1]加工記録２!$T$3:$T$992=B461), 7))," ")</f>
        <v>4</v>
      </c>
      <c r="H495" s="76" t="s">
        <v>162</v>
      </c>
      <c r="I495" s="30" cm="1">
        <f t="array" ref="I495:J495">IFERROR(IF(ISBLANK(INDEX(_xlfn._xlws.FILTER([1]加工記録２!$O$3:$P$992, [1]加工記録２!$T$3:$T$992=B461), 1)), "", INDEX(_xlfn._xlws.FILTER([1]加工記録２!$O$3:$P$992, [1]加工記録２!$T$3:$T$992=B461), 1)),"")</f>
        <v>45847</v>
      </c>
      <c r="J495" s="77">
        <v>4</v>
      </c>
    </row>
    <row r="496" spans="1:11" s="5" customFormat="1" ht="18" customHeight="1">
      <c r="A496" s="137"/>
      <c r="B496" s="138"/>
      <c r="C496" s="138"/>
      <c r="D496" s="138"/>
      <c r="E496" s="116"/>
      <c r="F496" s="117"/>
      <c r="G496" s="118"/>
      <c r="H496" s="76" t="s">
        <v>163</v>
      </c>
      <c r="I496" s="78" cm="1">
        <f t="array" ref="I496:J496">IFERROR(IF(ISBLANK(INDEX(_xlfn._xlws.FILTER([1]加工記録２!$O$3:$P$992, [1]加工記録２!$T$3:$T$992=B461), 2)), "", INDEX(_xlfn._xlws.FILTER([1]加工記録２!$O$3:$P$992, [1]加工記録２!$T$3:$T$992=B461), 2)),"")</f>
        <v>64</v>
      </c>
      <c r="J496" s="79">
        <v>21</v>
      </c>
      <c r="K496" s="31"/>
    </row>
    <row r="497" spans="1:14" s="7" customFormat="1" ht="18" customHeight="1">
      <c r="A497" s="119" t="s">
        <v>164</v>
      </c>
      <c r="B497" s="121" t="str">
        <f>_xlfn.XLOOKUP(B459,[1]VFDB2!A:A,[1]VFDB2!J:J)</f>
        <v>-</v>
      </c>
      <c r="C497" s="163" t="s">
        <v>165</v>
      </c>
      <c r="D497" s="165">
        <f>_xlfn.XLOOKUP(B459,[1]VFDB2!A:A,[1]VFDB2!P:P)</f>
        <v>1</v>
      </c>
      <c r="E497" s="116" t="str">
        <f>_xlfn.XLOOKUP(B459,[1]VFDB2!A:A,[1]VFDB2!V:V)</f>
        <v>梱包箱:1370　隙間埋め</v>
      </c>
      <c r="F497" s="117"/>
      <c r="G497" s="148"/>
      <c r="H497" s="80" t="s">
        <v>166</v>
      </c>
      <c r="I497" s="78" cm="1">
        <f t="array" ref="I497:J497">IFERROR(IF(ISBLANK(INDEX(_xlfn._xlws.FILTER([1]加工記録２!$O$3:$P$992, [1]加工記録２!$T$3:$T$992=B461), 3)), "", INDEX(_xlfn._xlws.FILTER([1]加工記録２!$O$3:$P$992, [1]加工記録２!$T$3:$T$992=B461), 3)),"")</f>
        <v>89</v>
      </c>
      <c r="J497" s="81" t="str">
        <v/>
      </c>
      <c r="K497" s="32"/>
    </row>
    <row r="498" spans="1:14" s="5" customFormat="1" ht="18" customHeight="1">
      <c r="A498" s="120"/>
      <c r="B498" s="122"/>
      <c r="C498" s="164"/>
      <c r="D498" s="166"/>
      <c r="E498" s="116"/>
      <c r="F498" s="117"/>
      <c r="G498" s="148"/>
      <c r="H498" s="80" t="s">
        <v>167</v>
      </c>
      <c r="I498" s="78" cm="1">
        <f t="array" ref="I498:J498">IFERROR(IF(ISBLANK(INDEX(_xlfn._xlws.FILTER([1]加工記録２!$O$3:$P$992, [1]加工記録２!$T$3:$T$992=B461), 4)), "", INDEX(_xlfn._xlws.FILTER([1]加工記録２!$O$3:$P$992, [1]加工記録２!$T$3:$T$992=B461), 4)),"")</f>
        <v>25</v>
      </c>
      <c r="J498" s="82" t="str">
        <v/>
      </c>
      <c r="K498" s="31"/>
    </row>
    <row r="499" spans="1:14" s="7" customFormat="1" ht="18" customHeight="1">
      <c r="A499" s="140" t="s">
        <v>168</v>
      </c>
      <c r="B499" s="142">
        <f>D459</f>
        <v>1258</v>
      </c>
      <c r="C499" s="144" t="s">
        <v>169</v>
      </c>
      <c r="D499" s="146" t="str">
        <f>_xlfn.XLOOKUP(B459,[1]VFDB2!A:A,[1]VFDB2!L:L)</f>
        <v>+2</v>
      </c>
      <c r="E499" s="116" t="str">
        <f>_xlfn.XLOOKUP(B459,[1]VFDB2!A:A,[1]VFDB2!W:W)</f>
        <v>クラフト紙：1370型</v>
      </c>
      <c r="F499" s="117"/>
      <c r="G499" s="148"/>
      <c r="H499" s="80" t="s">
        <v>170</v>
      </c>
      <c r="I499" s="78" cm="1">
        <f t="array" ref="I499:J499">IFERROR(IF(ISBLANK(INDEX(_xlfn._xlws.FILTER([1]加工記録２!$O$3:$P$992, [1]加工記録２!$T$3:$T$992=B461), 5)), "", INDEX(_xlfn._xlws.FILTER([1]加工記録２!$O$3:$P$992, [1]加工記録２!$T$3:$T$992=B461), 5)),"")</f>
        <v>25</v>
      </c>
      <c r="J499" s="83" t="str">
        <v/>
      </c>
      <c r="K499" s="32"/>
    </row>
    <row r="500" spans="1:14" s="5" customFormat="1" ht="18" customHeight="1">
      <c r="A500" s="141"/>
      <c r="B500" s="143"/>
      <c r="C500" s="145"/>
      <c r="D500" s="147"/>
      <c r="E500" s="116"/>
      <c r="F500" s="117"/>
      <c r="G500" s="148"/>
      <c r="H500" s="80" t="s">
        <v>171</v>
      </c>
      <c r="I500" s="78" cm="1">
        <f t="array" ref="I500:J500">IFERROR(IF(ISBLANK(INDEX(_xlfn._xlws.FILTER([1]加工記録２!$O$3:$P$992, [1]加工記録２!$T$3:$T$992=B461), 6)), "", INDEX(_xlfn._xlws.FILTER([1]加工記録２!$O$3:$P$992, [1]加工記録２!$T$3:$T$992=B461), 6)),"")</f>
        <v>0</v>
      </c>
      <c r="J500" s="84" t="str">
        <v/>
      </c>
      <c r="K500" s="31"/>
    </row>
    <row r="501" spans="1:14" s="7" customFormat="1" ht="18" customHeight="1">
      <c r="A501" s="119" t="s">
        <v>172</v>
      </c>
      <c r="B501" s="151" t="str">
        <f>_xlfn.XLOOKUP(B459,[1]VFDB2!A:A,[1]VFDB2!AC:AC)</f>
        <v>換算表確認</v>
      </c>
      <c r="C501" s="153" t="s">
        <v>173</v>
      </c>
      <c r="D501" s="146">
        <f>_xlfn.XLOOKUP(B459,[1]VFDB2!A:A,[1]VFDB2!K:K)</f>
        <v>-2</v>
      </c>
      <c r="E501" s="116" t="str">
        <f>_xlfn.XLOOKUP(B459,[1]VFDB2!A:A,[1]VFDB2!R:R)</f>
        <v>ラベル2枚　長手有　鉢巻１</v>
      </c>
      <c r="F501" s="117"/>
      <c r="G501" s="148"/>
      <c r="H501" s="80" t="s">
        <v>174</v>
      </c>
      <c r="I501" s="78" t="str" cm="1">
        <f t="array" ref="I501:J501">IFERROR(IF(ISBLANK(INDEX(_xlfn._xlws.FILTER([1]加工記録２!$O$3:$P$992, [1]加工記録２!$T$3:$T$992=B461), 7)), "", INDEX(_xlfn._xlws.FILTER([1]加工記録２!$O$3:$P$992, [1]加工記録２!$T$3:$T$992=B461), 7)),"")</f>
        <v>-</v>
      </c>
      <c r="J501" s="85" t="str">
        <v/>
      </c>
      <c r="K501" s="32"/>
    </row>
    <row r="502" spans="1:14" s="5" customFormat="1" ht="18" customHeight="1" thickBot="1">
      <c r="A502" s="150"/>
      <c r="B502" s="152"/>
      <c r="C502" s="154"/>
      <c r="D502" s="155"/>
      <c r="E502" s="156"/>
      <c r="F502" s="157"/>
      <c r="G502" s="158"/>
      <c r="H502" s="86" t="s">
        <v>175</v>
      </c>
      <c r="I502" s="33" t="str" cm="1">
        <f t="array" ref="I502:J502">IFERROR(IF(ISBLANK(INDEX(_xlfn._xlws.FILTER([1]加工記録２!$O$3:$P$992, [1]加工記録２!$T$3:$T$992=B461), 8)), "", INDEX(_xlfn._xlws.FILTER([1]加工記録２!$O$3:$P$992, [1]加工記録２!$T$3:$T$992=B461), 8)),"")</f>
        <v>高森</v>
      </c>
      <c r="J502" s="87">
        <v>25</v>
      </c>
    </row>
    <row r="503" spans="1:14" s="44" customFormat="1" ht="18.95" customHeight="1">
      <c r="A503" s="34" t="s">
        <v>176</v>
      </c>
      <c r="B503" s="35" t="s">
        <v>185</v>
      </c>
      <c r="C503" s="36" t="s">
        <v>177</v>
      </c>
      <c r="D503" s="36" t="s">
        <v>178</v>
      </c>
      <c r="E503" s="37" t="s">
        <v>179</v>
      </c>
      <c r="F503" s="38" t="s">
        <v>180</v>
      </c>
      <c r="G503" s="39" t="s">
        <v>181</v>
      </c>
      <c r="H503" s="40" t="s">
        <v>182</v>
      </c>
      <c r="I503" s="41" t="s">
        <v>183</v>
      </c>
      <c r="J503" s="42" t="s">
        <v>184</v>
      </c>
      <c r="K503" s="43"/>
      <c r="L503" s="43"/>
      <c r="M503" s="43"/>
      <c r="N503" s="43"/>
    </row>
    <row r="504" spans="1:14" s="55" customFormat="1" ht="18.95" customHeight="1">
      <c r="A504" s="88" t="str" cm="1">
        <f t="array" ref="A504:J504">IFERROR(IF(ISBLANK(INDEX(_xlfn._xlws.FILTER([1]加工記録２!$D$3:$M$992, [1]加工記録２!$T$3:$T$992=B461), 1)), "", INDEX(_xlfn._xlws.FILTER([1]加工記録２!$D$3:$M$992, [1]加工記録２!$T$3:$T$992=B461), 1)),"")</f>
        <v/>
      </c>
      <c r="B504" s="46" t="str">
        <v/>
      </c>
      <c r="C504" s="47" t="str">
        <v/>
      </c>
      <c r="D504" s="47" t="str">
        <v/>
      </c>
      <c r="E504" s="48" t="str">
        <v/>
      </c>
      <c r="F504" s="49">
        <v>0</v>
      </c>
      <c r="G504" s="50">
        <v>0</v>
      </c>
      <c r="H504" s="51">
        <v>0</v>
      </c>
      <c r="I504" s="52">
        <v>45847</v>
      </c>
      <c r="J504" s="53">
        <v>4</v>
      </c>
      <c r="K504" s="54"/>
      <c r="L504" s="54"/>
      <c r="M504" s="54"/>
      <c r="N504" s="54"/>
    </row>
    <row r="505" spans="1:14" s="55" customFormat="1" ht="18.95" customHeight="1">
      <c r="A505" s="45" cm="1">
        <f t="array" ref="A505:J505">IFERROR(IF(ISBLANK(INDEX(_xlfn._xlws.FILTER([1]加工記録２!$D$3:$M$992, [1]加工記録２!$T$3:$T$992=B461), 2)), "", INDEX(_xlfn._xlws.FILTER([1]加工記録２!$D$3:$M$992, [1]加工記録２!$T$3:$T$992=B461), 2)),"")</f>
        <v>45847</v>
      </c>
      <c r="B505" s="56" t="str">
        <v>25G03-01</v>
      </c>
      <c r="C505" s="56" t="str">
        <v/>
      </c>
      <c r="D505" s="56" t="str">
        <v/>
      </c>
      <c r="E505" s="57" t="str">
        <v/>
      </c>
      <c r="F505" s="58" t="str">
        <v>25G03-01</v>
      </c>
      <c r="G505" s="59">
        <v>89</v>
      </c>
      <c r="H505" s="60">
        <v>89</v>
      </c>
      <c r="I505" s="52" t="str">
        <v/>
      </c>
      <c r="J505" s="53" t="str">
        <v/>
      </c>
      <c r="K505" s="54"/>
      <c r="L505" s="54"/>
      <c r="M505" s="54"/>
      <c r="N505" s="54"/>
    </row>
    <row r="506" spans="1:14" s="55" customFormat="1" ht="18.95" customHeight="1">
      <c r="A506" s="45" t="str" cm="1">
        <f t="array" ref="A506:J506">IFERROR(IF(ISBLANK(INDEX(_xlfn._xlws.FILTER([1]加工記録２!$D$3:$M$992, [1]加工記録２!$T$3:$T$992=B461), 3)), "", INDEX(_xlfn._xlws.FILTER([1]加工記録２!$D$3:$M$992, [1]加工記録２!$T$3:$T$992=B461), 3)),"")</f>
        <v/>
      </c>
      <c r="B506" s="56" t="str">
        <v/>
      </c>
      <c r="C506" s="56" t="str">
        <v/>
      </c>
      <c r="D506" s="56" t="str">
        <v/>
      </c>
      <c r="E506" s="57" t="str">
        <v/>
      </c>
      <c r="F506" s="58" t="str">
        <v/>
      </c>
      <c r="G506" s="59" t="str">
        <v/>
      </c>
      <c r="H506" s="60">
        <v>0</v>
      </c>
      <c r="I506" s="52" t="str">
        <v/>
      </c>
      <c r="J506" s="53" t="str">
        <v/>
      </c>
      <c r="K506" s="54"/>
      <c r="L506" s="54"/>
      <c r="M506" s="54"/>
      <c r="N506" s="54"/>
    </row>
    <row r="507" spans="1:14" s="55" customFormat="1" ht="18.95" customHeight="1">
      <c r="A507" s="45" t="str" cm="1">
        <f t="array" ref="A507:J507">IFERROR(IF(ISBLANK(INDEX(_xlfn._xlws.FILTER([1]加工記録２!$D$3:$M$992, [1]加工記録２!$T$3:$T$992=B461), 4)), "", INDEX(_xlfn._xlws.FILTER([1]加工記録２!$D$3:$M$992, [1]加工記録２!$T$3:$T$992=B461), 4)),"")</f>
        <v/>
      </c>
      <c r="B507" s="56" t="str">
        <v/>
      </c>
      <c r="C507" s="56" t="str">
        <v/>
      </c>
      <c r="D507" s="56" t="str">
        <v/>
      </c>
      <c r="E507" s="57" t="str">
        <v/>
      </c>
      <c r="F507" s="58" t="str">
        <v/>
      </c>
      <c r="G507" s="59" t="str">
        <v/>
      </c>
      <c r="H507" s="60">
        <v>0</v>
      </c>
      <c r="I507" s="52" t="str">
        <v/>
      </c>
      <c r="J507" s="53" t="str">
        <v/>
      </c>
      <c r="K507" s="54"/>
      <c r="L507" s="54"/>
      <c r="M507" s="54"/>
      <c r="N507" s="54"/>
    </row>
    <row r="508" spans="1:14" s="55" customFormat="1" ht="18.95" customHeight="1">
      <c r="A508" s="45" t="str" cm="1">
        <f t="array" ref="A508:J508">IFERROR(IF(ISBLANK(INDEX(_xlfn._xlws.FILTER([1]加工記録２!$D$3:$M$992, [1]加工記録２!$T$3:$T$992=B461), 5)), "", INDEX(_xlfn._xlws.FILTER([1]加工記録２!$D$3:$M$992, [1]加工記録２!$T$3:$T$992=B461), 5)),"")</f>
        <v/>
      </c>
      <c r="B508" s="56" t="str">
        <v/>
      </c>
      <c r="C508" s="56" t="str">
        <v/>
      </c>
      <c r="D508" s="56" t="str">
        <v/>
      </c>
      <c r="E508" s="57" t="str">
        <v/>
      </c>
      <c r="F508" s="58" t="str">
        <v/>
      </c>
      <c r="G508" s="59" t="str">
        <v/>
      </c>
      <c r="H508" s="60">
        <v>0</v>
      </c>
      <c r="I508" s="61" t="str">
        <v/>
      </c>
      <c r="J508" s="62" t="str">
        <v/>
      </c>
      <c r="K508" s="54"/>
      <c r="L508" s="54"/>
      <c r="M508" s="54"/>
      <c r="N508" s="54"/>
    </row>
    <row r="509" spans="1:14" s="55" customFormat="1" ht="18.95" customHeight="1">
      <c r="A509" s="45" t="str" cm="1">
        <f t="array" ref="A509:J509">IFERROR(IF(ISBLANK(INDEX(_xlfn._xlws.FILTER([1]加工記録２!$D$3:$M$992, [1]加工記録２!$T$3:$T$992=B461), 6)), "", INDEX(_xlfn._xlws.FILTER([1]加工記録２!$D$3:$M$992, [1]加工記録２!$T$3:$T$992=B461), 6)),"")</f>
        <v/>
      </c>
      <c r="B509" s="56" t="str">
        <v/>
      </c>
      <c r="C509" s="56" t="str">
        <v/>
      </c>
      <c r="D509" s="56" t="str">
        <v/>
      </c>
      <c r="E509" s="57" t="str">
        <v/>
      </c>
      <c r="F509" s="58" t="str">
        <v/>
      </c>
      <c r="G509" s="59" t="str">
        <v/>
      </c>
      <c r="H509" s="63">
        <v>0</v>
      </c>
      <c r="I509" s="64" t="str">
        <v>旧品加工</v>
      </c>
      <c r="J509" s="65" t="str">
        <v/>
      </c>
      <c r="K509" s="54"/>
      <c r="L509" s="54"/>
      <c r="M509" s="54"/>
      <c r="N509" s="54"/>
    </row>
    <row r="510" spans="1:14" s="55" customFormat="1" ht="18.95" customHeight="1">
      <c r="A510" s="45" t="str" cm="1">
        <f t="array" ref="A510:J510">IFERROR(IF(ISBLANK(INDEX(_xlfn._xlws.FILTER([1]加工記録２!$D$3:$M$992, [1]加工記録２!$T$3:$T$992=B461), 7)), "", INDEX(_xlfn._xlws.FILTER([1]加工記録２!$D$3:$M$992, [1]加工記録２!$T$3:$T$992=B461), 7)),"")</f>
        <v/>
      </c>
      <c r="B510" s="56" t="str">
        <v/>
      </c>
      <c r="C510" s="56" t="str">
        <v/>
      </c>
      <c r="D510" s="56" t="str">
        <v/>
      </c>
      <c r="E510" s="57" t="str">
        <v/>
      </c>
      <c r="F510" s="58" t="str">
        <v/>
      </c>
      <c r="G510" s="59" t="str">
        <v/>
      </c>
      <c r="H510" s="63">
        <v>0</v>
      </c>
      <c r="I510" s="66" t="str">
        <v>持出端材</v>
      </c>
      <c r="J510" s="67" t="str">
        <v/>
      </c>
      <c r="K510" s="54"/>
      <c r="L510" s="54"/>
      <c r="M510" s="54"/>
      <c r="N510" s="54"/>
    </row>
    <row r="511" spans="1:14" s="55" customFormat="1" ht="18.95" customHeight="1" thickBot="1">
      <c r="A511" s="68" t="str" cm="1">
        <f t="array" ref="A511:J511">IFERROR(IF(ISBLANK(INDEX(_xlfn._xlws.FILTER([1]加工記録２!$D$3:$M$992, [1]加工記録２!$T$3:$T$992=B461), 8)), "", INDEX(_xlfn._xlws.FILTER([1]加工記録２!$D$3:$M$992, [1]加工記録２!$T$3:$T$992=B461), 8)),"")</f>
        <v/>
      </c>
      <c r="B511" s="69" t="str">
        <v/>
      </c>
      <c r="C511" s="69" t="str">
        <v/>
      </c>
      <c r="D511" s="69" t="str">
        <v/>
      </c>
      <c r="E511" s="70" t="str">
        <v/>
      </c>
      <c r="F511" s="71" t="str">
        <v/>
      </c>
      <c r="G511" s="72" t="str">
        <v/>
      </c>
      <c r="H511" s="73">
        <v>0</v>
      </c>
      <c r="I511" s="74" t="str">
        <v>α端材</v>
      </c>
      <c r="J511" s="75">
        <v>0</v>
      </c>
      <c r="K511" s="54"/>
      <c r="L511" s="54"/>
      <c r="M511" s="54"/>
      <c r="N511" s="54"/>
    </row>
    <row r="512" spans="1:14" ht="13.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6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2"/>
      <c r="B514" s="126" t="s">
        <v>0</v>
      </c>
      <c r="C514" s="90"/>
      <c r="D514" s="90"/>
      <c r="E514" s="12"/>
      <c r="F514" s="12"/>
      <c r="G514" s="12"/>
      <c r="H514" s="12"/>
      <c r="I514" s="12"/>
      <c r="J514" s="12"/>
    </row>
    <row r="515" spans="1:10" ht="14.25" customHeight="1">
      <c r="A515" s="13"/>
      <c r="B515" s="90"/>
      <c r="C515" s="90"/>
      <c r="D515" s="90"/>
      <c r="E515" s="13"/>
      <c r="F515" s="13"/>
      <c r="G515" s="13"/>
      <c r="H515" s="13"/>
      <c r="I515" s="13"/>
      <c r="J515" s="13"/>
    </row>
    <row r="516" spans="1:10" ht="14.25" customHeight="1">
      <c r="A516" s="95" t="s">
        <v>1</v>
      </c>
      <c r="B516" s="95" t="s">
        <v>126</v>
      </c>
      <c r="C516" s="95" t="s">
        <v>3</v>
      </c>
      <c r="D516" s="123">
        <v>1540</v>
      </c>
      <c r="E516" s="95" t="s">
        <v>4</v>
      </c>
      <c r="F516" s="89" t="s">
        <v>127</v>
      </c>
      <c r="G516" s="90"/>
      <c r="H516" s="91"/>
      <c r="I516" s="14" t="s">
        <v>6</v>
      </c>
      <c r="J516" s="14" t="s">
        <v>7</v>
      </c>
    </row>
    <row r="517" spans="1:10" ht="14.25" customHeight="1">
      <c r="A517" s="90"/>
      <c r="B517" s="90"/>
      <c r="C517" s="90"/>
      <c r="D517" s="90"/>
      <c r="E517" s="90"/>
      <c r="F517" s="90"/>
      <c r="G517" s="90"/>
      <c r="H517" s="91"/>
      <c r="I517" s="98"/>
      <c r="J517" s="98"/>
    </row>
    <row r="518" spans="1:10" ht="17.45" customHeight="1">
      <c r="A518" s="104" t="s">
        <v>8</v>
      </c>
      <c r="B518" s="104" t="s">
        <v>128</v>
      </c>
      <c r="E518" s="104" t="s">
        <v>10</v>
      </c>
      <c r="F518" s="112" t="s">
        <v>11</v>
      </c>
      <c r="G518" s="90"/>
      <c r="H518" s="91"/>
      <c r="I518" s="99"/>
      <c r="J518" s="99"/>
    </row>
    <row r="519" spans="1:10" ht="17.45" customHeight="1">
      <c r="A519" s="90"/>
      <c r="B519" s="90"/>
      <c r="E519" s="90"/>
      <c r="F519" s="90"/>
      <c r="G519" s="90"/>
      <c r="H519" s="91"/>
      <c r="I519" s="15"/>
      <c r="J519" s="15"/>
    </row>
    <row r="520" spans="1:10" ht="17.45" customHeight="1">
      <c r="A520" s="104" t="s">
        <v>12</v>
      </c>
      <c r="B520" s="104" t="s">
        <v>129</v>
      </c>
      <c r="E520" s="2" t="s">
        <v>14</v>
      </c>
      <c r="F520" s="113" t="s">
        <v>15</v>
      </c>
      <c r="G520" s="90"/>
      <c r="H520" s="22"/>
    </row>
    <row r="521" spans="1:10" ht="17.45" customHeight="1">
      <c r="A521" s="90"/>
      <c r="B521" s="90"/>
      <c r="E521" s="2" t="s">
        <v>16</v>
      </c>
      <c r="F521" s="22" t="s">
        <v>17</v>
      </c>
      <c r="G521" s="22"/>
      <c r="H521" s="22"/>
    </row>
    <row r="522" spans="1:10" ht="17.45" customHeight="1">
      <c r="A522" s="2" t="s">
        <v>18</v>
      </c>
      <c r="B522" s="4">
        <v>45861</v>
      </c>
      <c r="E522" s="2" t="s">
        <v>19</v>
      </c>
      <c r="F522" s="132">
        <v>16</v>
      </c>
      <c r="G522" s="90"/>
      <c r="H522" s="22"/>
    </row>
    <row r="523" spans="1:10" ht="17.45" customHeight="1">
      <c r="A523" s="2" t="s">
        <v>20</v>
      </c>
      <c r="B523" s="4">
        <v>45861</v>
      </c>
      <c r="E523" s="2" t="s">
        <v>21</v>
      </c>
      <c r="F523" s="22">
        <v>3</v>
      </c>
      <c r="G523" s="139" t="s">
        <v>22</v>
      </c>
      <c r="H523" s="128">
        <v>48</v>
      </c>
      <c r="I523" s="129"/>
      <c r="J523" s="130"/>
    </row>
    <row r="524" spans="1:10" ht="17.45" customHeight="1">
      <c r="A524" s="20"/>
      <c r="B524" s="21"/>
      <c r="C524" s="21"/>
      <c r="D524" s="21"/>
      <c r="E524" s="2" t="s">
        <v>23</v>
      </c>
      <c r="F524" s="22" t="s">
        <v>24</v>
      </c>
      <c r="G524" s="131"/>
      <c r="H524" s="131"/>
      <c r="I524" s="110"/>
      <c r="J524" s="111"/>
    </row>
    <row r="525" spans="1:10" ht="13.5" customHeight="1">
      <c r="A525" s="102" t="s">
        <v>130</v>
      </c>
      <c r="B525" s="90"/>
      <c r="C525" s="90"/>
      <c r="D525" s="21"/>
      <c r="F525" s="3"/>
      <c r="G525" s="103" t="s">
        <v>26</v>
      </c>
      <c r="H525" s="92" t="s">
        <v>27</v>
      </c>
      <c r="I525" s="109" t="s">
        <v>28</v>
      </c>
      <c r="J525" s="91"/>
    </row>
    <row r="526" spans="1:10" ht="13.5" customHeight="1">
      <c r="A526" s="90"/>
      <c r="B526" s="90"/>
      <c r="C526" s="90"/>
      <c r="D526" s="21"/>
      <c r="F526" s="3"/>
      <c r="G526" s="93"/>
      <c r="H526" s="93"/>
      <c r="I526" s="110"/>
      <c r="J526" s="111"/>
    </row>
    <row r="527" spans="1:10" ht="13.5" customHeight="1">
      <c r="A527" s="1" t="s">
        <v>29</v>
      </c>
    </row>
    <row r="528" spans="1:10" ht="63" customHeight="1">
      <c r="A528" s="124"/>
      <c r="B528" s="125"/>
      <c r="C528" s="125"/>
      <c r="D528" s="125"/>
      <c r="E528" s="125"/>
      <c r="F528" s="125"/>
      <c r="G528" s="125"/>
      <c r="H528" s="125"/>
      <c r="I528" s="125"/>
      <c r="J528" s="125"/>
    </row>
    <row r="529" spans="1:10" ht="18.75">
      <c r="A529" s="24" t="s">
        <v>30</v>
      </c>
      <c r="B529" s="17" t="s">
        <v>31</v>
      </c>
      <c r="C529" s="114" t="s">
        <v>32</v>
      </c>
      <c r="D529" s="107"/>
      <c r="E529" s="17" t="s">
        <v>33</v>
      </c>
      <c r="F529" s="114" t="s">
        <v>34</v>
      </c>
      <c r="G529" s="107"/>
      <c r="H529" s="107"/>
      <c r="I529" s="106" t="s">
        <v>35</v>
      </c>
      <c r="J529" s="107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3">
        <v>1</v>
      </c>
      <c r="B531" s="25" t="s">
        <v>36</v>
      </c>
      <c r="C531" s="94" t="s">
        <v>37</v>
      </c>
      <c r="D531" s="90"/>
      <c r="E531" s="25" t="s">
        <v>40</v>
      </c>
      <c r="F531" s="94" t="s">
        <v>41</v>
      </c>
      <c r="G531" s="90"/>
      <c r="H531" s="90"/>
      <c r="I531" s="108"/>
      <c r="J531" s="90"/>
    </row>
    <row r="532" spans="1:10" ht="16.5" customHeight="1">
      <c r="A532" s="23">
        <v>1</v>
      </c>
      <c r="B532" s="26" t="s">
        <v>36</v>
      </c>
      <c r="C532" s="94" t="s">
        <v>37</v>
      </c>
      <c r="D532" s="90"/>
      <c r="E532" s="25" t="s">
        <v>42</v>
      </c>
      <c r="F532" s="94" t="s">
        <v>43</v>
      </c>
      <c r="G532" s="90"/>
      <c r="H532" s="90"/>
      <c r="I532" s="108"/>
      <c r="J532" s="90"/>
    </row>
    <row r="533" spans="1:10" ht="16.5" customHeight="1">
      <c r="A533" s="23"/>
      <c r="B533" s="26"/>
      <c r="C533" s="94"/>
      <c r="D533" s="90"/>
      <c r="E533" s="25"/>
      <c r="F533" s="94"/>
      <c r="G533" s="90"/>
      <c r="H533" s="90"/>
      <c r="I533" s="108"/>
      <c r="J533" s="90"/>
    </row>
    <row r="534" spans="1:10" ht="16.5" customHeight="1">
      <c r="A534" s="23"/>
      <c r="B534" s="26"/>
      <c r="C534" s="94"/>
      <c r="D534" s="90"/>
      <c r="E534" s="25"/>
      <c r="F534" s="94"/>
      <c r="G534" s="90"/>
      <c r="H534" s="90"/>
      <c r="I534" s="108"/>
      <c r="J534" s="90"/>
    </row>
    <row r="535" spans="1:10" ht="16.5" customHeight="1">
      <c r="A535" s="23"/>
      <c r="B535" s="26"/>
      <c r="C535" s="94"/>
      <c r="D535" s="90"/>
      <c r="E535" s="25"/>
      <c r="F535" s="94"/>
      <c r="G535" s="90"/>
      <c r="H535" s="90"/>
      <c r="I535" s="108"/>
      <c r="J535" s="90"/>
    </row>
    <row r="536" spans="1:10" ht="16.5" customHeight="1">
      <c r="A536" s="23"/>
      <c r="B536" s="26"/>
      <c r="C536" s="94"/>
      <c r="D536" s="90"/>
      <c r="E536" s="25"/>
      <c r="F536" s="94"/>
      <c r="G536" s="90"/>
      <c r="H536" s="90"/>
      <c r="I536" s="108"/>
      <c r="J536" s="90"/>
    </row>
    <row r="537" spans="1:10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spans="1:10" ht="18.75">
      <c r="A538" s="100" t="s">
        <v>44</v>
      </c>
      <c r="B538" s="101"/>
      <c r="C538" s="100" t="s">
        <v>45</v>
      </c>
      <c r="D538" s="101"/>
      <c r="E538" s="101"/>
      <c r="F538" s="18" t="s">
        <v>46</v>
      </c>
      <c r="G538" s="100" t="s">
        <v>47</v>
      </c>
      <c r="H538" s="101"/>
      <c r="I538" s="100" t="s">
        <v>48</v>
      </c>
      <c r="J538" s="101"/>
    </row>
    <row r="539" spans="1:10" ht="14.25" customHeight="1">
      <c r="A539" s="8"/>
      <c r="B539" s="19"/>
      <c r="C539" s="127" t="s">
        <v>49</v>
      </c>
      <c r="D539" s="110"/>
      <c r="E539" s="19"/>
      <c r="F539" s="127" t="s">
        <v>29</v>
      </c>
      <c r="G539" s="110"/>
      <c r="H539" s="110"/>
      <c r="I539" s="110"/>
      <c r="J539" s="110"/>
    </row>
    <row r="540" spans="1:10">
      <c r="A540" s="9"/>
      <c r="C540" s="7"/>
      <c r="D540" s="7"/>
      <c r="E540" s="7"/>
    </row>
    <row r="541" spans="1:10" ht="14.25" customHeight="1">
      <c r="A541" s="94" t="s">
        <v>62</v>
      </c>
      <c r="B541" s="90"/>
      <c r="C541" s="94" t="s">
        <v>63</v>
      </c>
      <c r="D541" s="90"/>
      <c r="E541" s="90"/>
      <c r="F541" s="27" t="s">
        <v>52</v>
      </c>
      <c r="G541" s="96">
        <v>48</v>
      </c>
      <c r="H541" s="90"/>
      <c r="I541" s="96">
        <v>3</v>
      </c>
      <c r="J541" s="90"/>
    </row>
    <row r="542" spans="1:10" ht="24.95" customHeight="1">
      <c r="A542" s="105" t="s">
        <v>64</v>
      </c>
      <c r="B542" s="90"/>
      <c r="C542" s="94" t="s">
        <v>11</v>
      </c>
      <c r="D542" s="90"/>
      <c r="E542" s="90"/>
      <c r="F542" s="94"/>
      <c r="G542" s="90"/>
      <c r="H542" s="90"/>
      <c r="I542" s="90"/>
      <c r="J542" s="90"/>
    </row>
    <row r="543" spans="1:10" ht="14.25" customHeight="1">
      <c r="A543" s="94" t="s">
        <v>93</v>
      </c>
      <c r="B543" s="90"/>
      <c r="C543" s="94" t="s">
        <v>94</v>
      </c>
      <c r="D543" s="90"/>
      <c r="E543" s="90"/>
      <c r="F543" s="27" t="s">
        <v>27</v>
      </c>
      <c r="G543" s="96">
        <v>3.024</v>
      </c>
      <c r="H543" s="90"/>
      <c r="I543" s="96">
        <v>0.189</v>
      </c>
      <c r="J543" s="90"/>
    </row>
    <row r="544" spans="1:10" ht="24.95" customHeight="1">
      <c r="A544" s="105" t="s">
        <v>95</v>
      </c>
      <c r="B544" s="90"/>
      <c r="C544" s="94"/>
      <c r="D544" s="90"/>
      <c r="E544" s="90"/>
      <c r="F544" s="94"/>
      <c r="G544" s="90"/>
      <c r="H544" s="90"/>
      <c r="I544" s="90"/>
      <c r="J544" s="90"/>
    </row>
    <row r="545" spans="1:14" ht="14.25" customHeight="1">
      <c r="A545" s="94" t="s">
        <v>81</v>
      </c>
      <c r="B545" s="90"/>
      <c r="C545" s="94" t="s">
        <v>82</v>
      </c>
      <c r="D545" s="90"/>
      <c r="E545" s="90"/>
      <c r="F545" s="27"/>
      <c r="G545" s="96">
        <v>0.24</v>
      </c>
      <c r="H545" s="90"/>
      <c r="I545" s="96">
        <v>1.4999999999999999E-2</v>
      </c>
      <c r="J545" s="90"/>
    </row>
    <row r="546" spans="1:14" ht="24.95" customHeight="1">
      <c r="A546" s="105" t="s">
        <v>83</v>
      </c>
      <c r="B546" s="90"/>
      <c r="C546" s="94" t="s">
        <v>84</v>
      </c>
      <c r="D546" s="90"/>
      <c r="E546" s="90"/>
      <c r="F546" s="94"/>
      <c r="G546" s="90"/>
      <c r="H546" s="90"/>
      <c r="I546" s="90"/>
      <c r="J546" s="90"/>
    </row>
    <row r="547" spans="1:14" ht="14.25" customHeight="1">
      <c r="A547" s="94"/>
      <c r="B547" s="90"/>
      <c r="C547" s="94"/>
      <c r="D547" s="90"/>
      <c r="E547" s="90"/>
      <c r="F547" s="27"/>
      <c r="G547" s="96"/>
      <c r="H547" s="90"/>
      <c r="I547" s="96"/>
      <c r="J547" s="90"/>
    </row>
    <row r="548" spans="1:14" ht="24.95" customHeight="1">
      <c r="A548" s="105"/>
      <c r="B548" s="90"/>
      <c r="C548" s="94"/>
      <c r="D548" s="90"/>
      <c r="E548" s="90"/>
      <c r="F548" s="94"/>
      <c r="G548" s="90"/>
      <c r="H548" s="90"/>
      <c r="I548" s="90"/>
      <c r="J548" s="90"/>
    </row>
    <row r="549" spans="1:14" ht="14.25" customHeight="1">
      <c r="A549" s="94"/>
      <c r="B549" s="90"/>
      <c r="C549" s="94"/>
      <c r="D549" s="90"/>
      <c r="E549" s="90"/>
      <c r="F549" s="27"/>
      <c r="G549" s="96"/>
      <c r="H549" s="90"/>
      <c r="I549" s="96"/>
      <c r="J549" s="90"/>
    </row>
    <row r="550" spans="1:14" ht="24.95" customHeight="1" thickBot="1">
      <c r="A550" s="105"/>
      <c r="B550" s="90"/>
      <c r="C550" s="94"/>
      <c r="D550" s="90"/>
      <c r="E550" s="90"/>
      <c r="F550" s="94"/>
      <c r="G550" s="90"/>
      <c r="H550" s="90"/>
      <c r="I550" s="90"/>
      <c r="J550" s="90"/>
    </row>
    <row r="551" spans="1:14" s="5" customFormat="1" ht="18" customHeight="1">
      <c r="A551" s="159" t="s">
        <v>157</v>
      </c>
      <c r="B551" s="160"/>
      <c r="C551" s="160"/>
      <c r="D551" s="160"/>
      <c r="E551" s="161" t="s">
        <v>158</v>
      </c>
      <c r="F551" s="162"/>
      <c r="G551" s="28" t="s">
        <v>159</v>
      </c>
      <c r="H551" s="133" t="s">
        <v>160</v>
      </c>
      <c r="I551" s="134"/>
      <c r="J551" s="29" t="s">
        <v>161</v>
      </c>
    </row>
    <row r="552" spans="1:14" s="7" customFormat="1" ht="18" customHeight="1">
      <c r="A552" s="135" t="str">
        <f>_xlfn.XLOOKUP(B516,[1]VFDB2!A:A,[1]VFDB2!A:A)</f>
        <v>J1ZAFJB00215400</v>
      </c>
      <c r="B552" s="136"/>
      <c r="C552" s="136"/>
      <c r="D552" s="136"/>
      <c r="E552" s="116" t="str" cm="1">
        <f t="array" ref="E552">IFERROR(IF(ISBLANK(INDEX(_xlfn._xlws.FILTER([1]加工記録２!$C$3:$C$992, [1]加工記録２!$T$3:$T$992=B518), 6)), "", INDEX(_xlfn._xlws.FILTER([1]加工記録２!$C$3:$C$992, [1]加工記録２!$T$3:$T$992=B518), 6)),"")</f>
        <v>灯具-2　L＝1996</v>
      </c>
      <c r="F552" s="117"/>
      <c r="G552" s="118" cm="1">
        <f t="array" ref="G552">IFERROR(IF(ISBLANK(INDEX(_xlfn._xlws.FILTER([1]加工記録２!$C$3:$C$992, [1]加工記録２!$T$3:$T$992=B518), 7)), " ", INDEX(_xlfn._xlws.FILTER([1]加工記録２!$C$3:$C$992, [1]加工記録２!$T$3:$T$992=B518), 7))," ")</f>
        <v>3</v>
      </c>
      <c r="H552" s="76" t="s">
        <v>162</v>
      </c>
      <c r="I552" s="30" cm="1">
        <f t="array" ref="I552:J552">IFERROR(IF(ISBLANK(INDEX(_xlfn._xlws.FILTER([1]加工記録２!$O$3:$P$992, [1]加工記録２!$T$3:$T$992=B518), 1)), "", INDEX(_xlfn._xlws.FILTER([1]加工記録２!$O$3:$P$992, [1]加工記録２!$T$3:$T$992=B518), 1)),"")</f>
        <v>45849</v>
      </c>
      <c r="J552" s="77">
        <v>3</v>
      </c>
    </row>
    <row r="553" spans="1:14" s="5" customFormat="1" ht="18" customHeight="1">
      <c r="A553" s="137"/>
      <c r="B553" s="138"/>
      <c r="C553" s="138"/>
      <c r="D553" s="138"/>
      <c r="E553" s="116"/>
      <c r="F553" s="117"/>
      <c r="G553" s="118"/>
      <c r="H553" s="76" t="s">
        <v>163</v>
      </c>
      <c r="I553" s="78" cm="1">
        <f t="array" ref="I553:J553">IFERROR(IF(ISBLANK(INDEX(_xlfn._xlws.FILTER([1]加工記録２!$O$3:$P$992, [1]加工記録２!$T$3:$T$992=B518), 2)), "", INDEX(_xlfn._xlws.FILTER([1]加工記録２!$O$3:$P$992, [1]加工記録２!$T$3:$T$992=B518), 2)),"")</f>
        <v>48</v>
      </c>
      <c r="J553" s="79">
        <v>13</v>
      </c>
      <c r="K553" s="31"/>
    </row>
    <row r="554" spans="1:14" s="7" customFormat="1" ht="18" customHeight="1">
      <c r="A554" s="119" t="s">
        <v>164</v>
      </c>
      <c r="B554" s="121" t="str">
        <f>_xlfn.XLOOKUP(B516,[1]VFDB2!A:A,[1]VFDB2!J:J)</f>
        <v>-</v>
      </c>
      <c r="C554" s="163" t="s">
        <v>165</v>
      </c>
      <c r="D554" s="165">
        <f>_xlfn.XLOOKUP(B516,[1]VFDB2!A:A,[1]VFDB2!P:P)</f>
        <v>1</v>
      </c>
      <c r="E554" s="116" t="str">
        <f>_xlfn.XLOOKUP(B516,[1]VFDB2!A:A,[1]VFDB2!V:V)</f>
        <v>梱包箱:1996(切詰)</v>
      </c>
      <c r="F554" s="117"/>
      <c r="G554" s="148"/>
      <c r="H554" s="80" t="s">
        <v>166</v>
      </c>
      <c r="I554" s="78" cm="1">
        <f t="array" ref="I554:J554">IFERROR(IF(ISBLANK(INDEX(_xlfn._xlws.FILTER([1]加工記録２!$O$3:$P$992, [1]加工記録２!$T$3:$T$992=B518), 3)), "", INDEX(_xlfn._xlws.FILTER([1]加工記録２!$O$3:$P$992, [1]加工記録２!$T$3:$T$992=B518), 3)),"")</f>
        <v>64</v>
      </c>
      <c r="J554" s="81" t="str">
        <v/>
      </c>
      <c r="K554" s="32"/>
    </row>
    <row r="555" spans="1:14" s="5" customFormat="1" ht="18" customHeight="1">
      <c r="A555" s="120"/>
      <c r="B555" s="122"/>
      <c r="C555" s="164"/>
      <c r="D555" s="166"/>
      <c r="E555" s="116"/>
      <c r="F555" s="117"/>
      <c r="G555" s="148"/>
      <c r="H555" s="80" t="s">
        <v>167</v>
      </c>
      <c r="I555" s="78" cm="1">
        <f t="array" ref="I555:J555">IFERROR(IF(ISBLANK(INDEX(_xlfn._xlws.FILTER([1]加工記録２!$O$3:$P$992, [1]加工記録２!$T$3:$T$992=B518), 4)), "", INDEX(_xlfn._xlws.FILTER([1]加工記録２!$O$3:$P$992, [1]加工記録２!$T$3:$T$992=B518), 4)),"")</f>
        <v>16</v>
      </c>
      <c r="J555" s="82" t="str">
        <v/>
      </c>
      <c r="K555" s="31"/>
    </row>
    <row r="556" spans="1:14" s="7" customFormat="1" ht="18" customHeight="1">
      <c r="A556" s="140" t="s">
        <v>168</v>
      </c>
      <c r="B556" s="142">
        <f>D516</f>
        <v>1540</v>
      </c>
      <c r="C556" s="144" t="s">
        <v>169</v>
      </c>
      <c r="D556" s="146" t="str">
        <f>_xlfn.XLOOKUP(B516,[1]VFDB2!A:A,[1]VFDB2!L:L)</f>
        <v>+2</v>
      </c>
      <c r="E556" s="116" t="str">
        <f>_xlfn.XLOOKUP(B516,[1]VFDB2!A:A,[1]VFDB2!W:W)</f>
        <v>クラフト紙：切詰</v>
      </c>
      <c r="F556" s="117"/>
      <c r="G556" s="148"/>
      <c r="H556" s="80" t="s">
        <v>170</v>
      </c>
      <c r="I556" s="78" cm="1">
        <f t="array" ref="I556:J556">IFERROR(IF(ISBLANK(INDEX(_xlfn._xlws.FILTER([1]加工記録２!$O$3:$P$992, [1]加工記録２!$T$3:$T$992=B518), 5)), "", INDEX(_xlfn._xlws.FILTER([1]加工記録２!$O$3:$P$992, [1]加工記録２!$T$3:$T$992=B518), 5)),"")</f>
        <v>16</v>
      </c>
      <c r="J556" s="83" t="str">
        <v/>
      </c>
      <c r="K556" s="32"/>
    </row>
    <row r="557" spans="1:14" s="5" customFormat="1" ht="18" customHeight="1">
      <c r="A557" s="141"/>
      <c r="B557" s="143"/>
      <c r="C557" s="145"/>
      <c r="D557" s="147"/>
      <c r="E557" s="116"/>
      <c r="F557" s="117"/>
      <c r="G557" s="148"/>
      <c r="H557" s="80" t="s">
        <v>171</v>
      </c>
      <c r="I557" s="78" cm="1">
        <f t="array" ref="I557:J557">IFERROR(IF(ISBLANK(INDEX(_xlfn._xlws.FILTER([1]加工記録２!$O$3:$P$992, [1]加工記録２!$T$3:$T$992=B518), 6)), "", INDEX(_xlfn._xlws.FILTER([1]加工記録２!$O$3:$P$992, [1]加工記録２!$T$3:$T$992=B518), 6)),"")</f>
        <v>0</v>
      </c>
      <c r="J557" s="84" t="str">
        <v/>
      </c>
      <c r="K557" s="31"/>
    </row>
    <row r="558" spans="1:14" s="7" customFormat="1" ht="18" customHeight="1">
      <c r="A558" s="119" t="s">
        <v>172</v>
      </c>
      <c r="B558" s="151" t="str">
        <f>_xlfn.XLOOKUP(B516,[1]VFDB2!A:A,[1]VFDB2!AC:AC)</f>
        <v>換算表確認</v>
      </c>
      <c r="C558" s="153" t="s">
        <v>173</v>
      </c>
      <c r="D558" s="146">
        <f>_xlfn.XLOOKUP(B516,[1]VFDB2!A:A,[1]VFDB2!K:K)</f>
        <v>-2</v>
      </c>
      <c r="E558" s="116" t="str">
        <f>_xlfn.XLOOKUP(B516,[1]VFDB2!A:A,[1]VFDB2!R:R)</f>
        <v>ラベル2枚　長手有　鉢巻１</v>
      </c>
      <c r="F558" s="117"/>
      <c r="G558" s="148"/>
      <c r="H558" s="80" t="s">
        <v>174</v>
      </c>
      <c r="I558" s="78" t="str" cm="1">
        <f t="array" ref="I558:J558">IFERROR(IF(ISBLANK(INDEX(_xlfn._xlws.FILTER([1]加工記録２!$O$3:$P$992, [1]加工記録２!$T$3:$T$992=B518), 7)), "", INDEX(_xlfn._xlws.FILTER([1]加工記録２!$O$3:$P$992, [1]加工記録２!$T$3:$T$992=B518), 7)),"")</f>
        <v>-</v>
      </c>
      <c r="J558" s="85" t="str">
        <v/>
      </c>
      <c r="K558" s="32"/>
    </row>
    <row r="559" spans="1:14" s="5" customFormat="1" ht="18" customHeight="1" thickBot="1">
      <c r="A559" s="150"/>
      <c r="B559" s="152"/>
      <c r="C559" s="154"/>
      <c r="D559" s="155"/>
      <c r="E559" s="156"/>
      <c r="F559" s="157"/>
      <c r="G559" s="158"/>
      <c r="H559" s="86" t="s">
        <v>175</v>
      </c>
      <c r="I559" s="33" t="str" cm="1">
        <f t="array" ref="I559:J559">IFERROR(IF(ISBLANK(INDEX(_xlfn._xlws.FILTER([1]加工記録２!$O$3:$P$992, [1]加工記録２!$T$3:$T$992=B518), 8)), "", INDEX(_xlfn._xlws.FILTER([1]加工記録２!$O$3:$P$992, [1]加工記録２!$T$3:$T$992=B518), 8)),"")</f>
        <v>高森</v>
      </c>
      <c r="J559" s="87">
        <v>16</v>
      </c>
    </row>
    <row r="560" spans="1:14" s="44" customFormat="1" ht="18.95" customHeight="1">
      <c r="A560" s="34" t="s">
        <v>176</v>
      </c>
      <c r="B560" s="35" t="s">
        <v>185</v>
      </c>
      <c r="C560" s="36" t="s">
        <v>177</v>
      </c>
      <c r="D560" s="36" t="s">
        <v>178</v>
      </c>
      <c r="E560" s="37" t="s">
        <v>179</v>
      </c>
      <c r="F560" s="38" t="s">
        <v>180</v>
      </c>
      <c r="G560" s="39" t="s">
        <v>181</v>
      </c>
      <c r="H560" s="40" t="s">
        <v>182</v>
      </c>
      <c r="I560" s="41" t="s">
        <v>183</v>
      </c>
      <c r="J560" s="42" t="s">
        <v>184</v>
      </c>
      <c r="K560" s="43"/>
      <c r="L560" s="43"/>
      <c r="M560" s="43"/>
      <c r="N560" s="43"/>
    </row>
    <row r="561" spans="1:14" s="55" customFormat="1" ht="18.95" customHeight="1">
      <c r="A561" s="88" t="str" cm="1">
        <f t="array" ref="A561:J561">IFERROR(IF(ISBLANK(INDEX(_xlfn._xlws.FILTER([1]加工記録２!$D$3:$M$992, [1]加工記録２!$T$3:$T$992=B518), 1)), "", INDEX(_xlfn._xlws.FILTER([1]加工記録２!$D$3:$M$992, [1]加工記録２!$T$3:$T$992=B518), 1)),"")</f>
        <v/>
      </c>
      <c r="B561" s="46" t="str">
        <v/>
      </c>
      <c r="C561" s="47" t="str">
        <v/>
      </c>
      <c r="D561" s="47" t="str">
        <v/>
      </c>
      <c r="E561" s="48" t="str">
        <v/>
      </c>
      <c r="F561" s="49">
        <v>0</v>
      </c>
      <c r="G561" s="50">
        <v>0</v>
      </c>
      <c r="H561" s="51">
        <v>0</v>
      </c>
      <c r="I561" s="52">
        <v>45849</v>
      </c>
      <c r="J561" s="53">
        <v>3</v>
      </c>
      <c r="K561" s="54"/>
      <c r="L561" s="54"/>
      <c r="M561" s="54"/>
      <c r="N561" s="54"/>
    </row>
    <row r="562" spans="1:14" s="55" customFormat="1" ht="18.95" customHeight="1">
      <c r="A562" s="45" cm="1">
        <f t="array" ref="A562:J562">IFERROR(IF(ISBLANK(INDEX(_xlfn._xlws.FILTER([1]加工記録２!$D$3:$M$992, [1]加工記録２!$T$3:$T$992=B518), 2)), "", INDEX(_xlfn._xlws.FILTER([1]加工記録２!$D$3:$M$992, [1]加工記録２!$T$3:$T$992=B518), 2)),"")</f>
        <v>45849</v>
      </c>
      <c r="B562" s="56" t="str">
        <v>25G03-01</v>
      </c>
      <c r="C562" s="56" t="str">
        <v/>
      </c>
      <c r="D562" s="56" t="str">
        <v/>
      </c>
      <c r="E562" s="57" t="str">
        <v/>
      </c>
      <c r="F562" s="58" t="str">
        <v>25G03-01</v>
      </c>
      <c r="G562" s="59">
        <v>64</v>
      </c>
      <c r="H562" s="60">
        <v>64</v>
      </c>
      <c r="I562" s="52" t="str">
        <v/>
      </c>
      <c r="J562" s="53" t="str">
        <v/>
      </c>
      <c r="K562" s="54"/>
      <c r="L562" s="54"/>
      <c r="M562" s="54"/>
      <c r="N562" s="54"/>
    </row>
    <row r="563" spans="1:14" s="55" customFormat="1" ht="18.95" customHeight="1">
      <c r="A563" s="45" t="str" cm="1">
        <f t="array" ref="A563:J563">IFERROR(IF(ISBLANK(INDEX(_xlfn._xlws.FILTER([1]加工記録２!$D$3:$M$992, [1]加工記録２!$T$3:$T$992=B518), 3)), "", INDEX(_xlfn._xlws.FILTER([1]加工記録２!$D$3:$M$992, [1]加工記録２!$T$3:$T$992=B518), 3)),"")</f>
        <v/>
      </c>
      <c r="B563" s="56" t="str">
        <v/>
      </c>
      <c r="C563" s="56" t="str">
        <v/>
      </c>
      <c r="D563" s="56" t="str">
        <v/>
      </c>
      <c r="E563" s="57" t="str">
        <v/>
      </c>
      <c r="F563" s="58" t="str">
        <v/>
      </c>
      <c r="G563" s="59" t="str">
        <v/>
      </c>
      <c r="H563" s="60">
        <v>0</v>
      </c>
      <c r="I563" s="52" t="str">
        <v/>
      </c>
      <c r="J563" s="53" t="str">
        <v/>
      </c>
      <c r="K563" s="54"/>
      <c r="L563" s="54"/>
      <c r="M563" s="54"/>
      <c r="N563" s="54"/>
    </row>
    <row r="564" spans="1:14" s="55" customFormat="1" ht="18.95" customHeight="1">
      <c r="A564" s="45" t="str" cm="1">
        <f t="array" ref="A564:J564">IFERROR(IF(ISBLANK(INDEX(_xlfn._xlws.FILTER([1]加工記録２!$D$3:$M$992, [1]加工記録２!$T$3:$T$992=B518), 4)), "", INDEX(_xlfn._xlws.FILTER([1]加工記録２!$D$3:$M$992, [1]加工記録２!$T$3:$T$992=B518), 4)),"")</f>
        <v/>
      </c>
      <c r="B564" s="56" t="str">
        <v/>
      </c>
      <c r="C564" s="56" t="str">
        <v/>
      </c>
      <c r="D564" s="56" t="str">
        <v/>
      </c>
      <c r="E564" s="57" t="str">
        <v/>
      </c>
      <c r="F564" s="58" t="str">
        <v/>
      </c>
      <c r="G564" s="59" t="str">
        <v/>
      </c>
      <c r="H564" s="60">
        <v>0</v>
      </c>
      <c r="I564" s="52" t="str">
        <v/>
      </c>
      <c r="J564" s="53" t="str">
        <v/>
      </c>
      <c r="K564" s="54"/>
      <c r="L564" s="54"/>
      <c r="M564" s="54"/>
      <c r="N564" s="54"/>
    </row>
    <row r="565" spans="1:14" s="55" customFormat="1" ht="18.95" customHeight="1">
      <c r="A565" s="45" t="str" cm="1">
        <f t="array" ref="A565:J565">IFERROR(IF(ISBLANK(INDEX(_xlfn._xlws.FILTER([1]加工記録２!$D$3:$M$992, [1]加工記録２!$T$3:$T$992=B518), 5)), "", INDEX(_xlfn._xlws.FILTER([1]加工記録２!$D$3:$M$992, [1]加工記録２!$T$3:$T$992=B518), 5)),"")</f>
        <v/>
      </c>
      <c r="B565" s="56" t="str">
        <v/>
      </c>
      <c r="C565" s="56" t="str">
        <v/>
      </c>
      <c r="D565" s="56" t="str">
        <v/>
      </c>
      <c r="E565" s="57" t="str">
        <v/>
      </c>
      <c r="F565" s="58" t="str">
        <v/>
      </c>
      <c r="G565" s="59" t="str">
        <v/>
      </c>
      <c r="H565" s="60">
        <v>0</v>
      </c>
      <c r="I565" s="61" t="str">
        <v/>
      </c>
      <c r="J565" s="62" t="str">
        <v/>
      </c>
      <c r="K565" s="54"/>
      <c r="L565" s="54"/>
      <c r="M565" s="54"/>
      <c r="N565" s="54"/>
    </row>
    <row r="566" spans="1:14" s="55" customFormat="1" ht="18.95" customHeight="1">
      <c r="A566" s="45" t="str" cm="1">
        <f t="array" ref="A566:J566">IFERROR(IF(ISBLANK(INDEX(_xlfn._xlws.FILTER([1]加工記録２!$D$3:$M$992, [1]加工記録２!$T$3:$T$992=B518), 6)), "", INDEX(_xlfn._xlws.FILTER([1]加工記録２!$D$3:$M$992, [1]加工記録２!$T$3:$T$992=B518), 6)),"")</f>
        <v/>
      </c>
      <c r="B566" s="56" t="str">
        <v/>
      </c>
      <c r="C566" s="56" t="str">
        <v/>
      </c>
      <c r="D566" s="56" t="str">
        <v/>
      </c>
      <c r="E566" s="57" t="str">
        <v/>
      </c>
      <c r="F566" s="58" t="str">
        <v/>
      </c>
      <c r="G566" s="59" t="str">
        <v/>
      </c>
      <c r="H566" s="63">
        <v>0</v>
      </c>
      <c r="I566" s="64" t="str">
        <v>旧品加工</v>
      </c>
      <c r="J566" s="65" t="str">
        <v/>
      </c>
      <c r="K566" s="54"/>
      <c r="L566" s="54"/>
      <c r="M566" s="54"/>
      <c r="N566" s="54"/>
    </row>
    <row r="567" spans="1:14" s="55" customFormat="1" ht="18.95" customHeight="1">
      <c r="A567" s="45" t="str" cm="1">
        <f t="array" ref="A567:J567">IFERROR(IF(ISBLANK(INDEX(_xlfn._xlws.FILTER([1]加工記録２!$D$3:$M$992, [1]加工記録２!$T$3:$T$992=B518), 7)), "", INDEX(_xlfn._xlws.FILTER([1]加工記録２!$D$3:$M$992, [1]加工記録２!$T$3:$T$992=B518), 7)),"")</f>
        <v/>
      </c>
      <c r="B567" s="56" t="str">
        <v/>
      </c>
      <c r="C567" s="56" t="str">
        <v/>
      </c>
      <c r="D567" s="56" t="str">
        <v/>
      </c>
      <c r="E567" s="57" t="str">
        <v/>
      </c>
      <c r="F567" s="58" t="str">
        <v/>
      </c>
      <c r="G567" s="59" t="str">
        <v/>
      </c>
      <c r="H567" s="63">
        <v>0</v>
      </c>
      <c r="I567" s="66" t="str">
        <v>持出端材</v>
      </c>
      <c r="J567" s="67" t="str">
        <v/>
      </c>
      <c r="K567" s="54"/>
      <c r="L567" s="54"/>
      <c r="M567" s="54"/>
      <c r="N567" s="54"/>
    </row>
    <row r="568" spans="1:14" s="55" customFormat="1" ht="18.95" customHeight="1" thickBot="1">
      <c r="A568" s="68" t="str" cm="1">
        <f t="array" ref="A568:J568">IFERROR(IF(ISBLANK(INDEX(_xlfn._xlws.FILTER([1]加工記録２!$D$3:$M$992, [1]加工記録２!$T$3:$T$992=B518), 8)), "", INDEX(_xlfn._xlws.FILTER([1]加工記録２!$D$3:$M$992, [1]加工記録２!$T$3:$T$992=B518), 8)),"")</f>
        <v/>
      </c>
      <c r="B568" s="69" t="str">
        <v/>
      </c>
      <c r="C568" s="69" t="str">
        <v/>
      </c>
      <c r="D568" s="69" t="str">
        <v/>
      </c>
      <c r="E568" s="70" t="str">
        <v/>
      </c>
      <c r="F568" s="71" t="str">
        <v/>
      </c>
      <c r="G568" s="72" t="str">
        <v/>
      </c>
      <c r="H568" s="73">
        <v>0</v>
      </c>
      <c r="I568" s="74" t="str">
        <v>α端材</v>
      </c>
      <c r="J568" s="75">
        <v>0</v>
      </c>
      <c r="K568" s="54"/>
      <c r="L568" s="54"/>
      <c r="M568" s="54"/>
      <c r="N568" s="54"/>
    </row>
    <row r="569" spans="1:14" ht="13.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4" ht="6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2"/>
      <c r="B571" s="126" t="s">
        <v>0</v>
      </c>
      <c r="C571" s="90"/>
      <c r="D571" s="90"/>
      <c r="E571" s="12"/>
      <c r="F571" s="12"/>
      <c r="G571" s="12"/>
      <c r="H571" s="12"/>
      <c r="I571" s="12"/>
      <c r="J571" s="12"/>
    </row>
    <row r="572" spans="1:14" ht="14.25" customHeight="1">
      <c r="A572" s="13"/>
      <c r="B572" s="90"/>
      <c r="C572" s="90"/>
      <c r="D572" s="90"/>
      <c r="E572" s="13"/>
      <c r="F572" s="13"/>
      <c r="G572" s="13"/>
      <c r="H572" s="13"/>
      <c r="I572" s="13"/>
      <c r="J572" s="13"/>
    </row>
    <row r="573" spans="1:14" ht="14.25" customHeight="1">
      <c r="A573" s="95" t="s">
        <v>1</v>
      </c>
      <c r="B573" s="95" t="s">
        <v>131</v>
      </c>
      <c r="C573" s="95" t="s">
        <v>3</v>
      </c>
      <c r="D573" s="123">
        <v>1648</v>
      </c>
      <c r="E573" s="95" t="s">
        <v>4</v>
      </c>
      <c r="F573" s="89" t="s">
        <v>132</v>
      </c>
      <c r="G573" s="90"/>
      <c r="H573" s="91"/>
      <c r="I573" s="14" t="s">
        <v>6</v>
      </c>
      <c r="J573" s="14" t="s">
        <v>7</v>
      </c>
    </row>
    <row r="574" spans="1:14" ht="14.25" customHeight="1">
      <c r="A574" s="90"/>
      <c r="B574" s="90"/>
      <c r="C574" s="90"/>
      <c r="D574" s="90"/>
      <c r="E574" s="90"/>
      <c r="F574" s="90"/>
      <c r="G574" s="90"/>
      <c r="H574" s="91"/>
      <c r="I574" s="98"/>
      <c r="J574" s="98"/>
    </row>
    <row r="575" spans="1:14" ht="17.45" customHeight="1">
      <c r="A575" s="104" t="s">
        <v>8</v>
      </c>
      <c r="B575" s="104" t="s">
        <v>133</v>
      </c>
      <c r="E575" s="104" t="s">
        <v>10</v>
      </c>
      <c r="F575" s="112" t="s">
        <v>11</v>
      </c>
      <c r="G575" s="90"/>
      <c r="H575" s="91"/>
      <c r="I575" s="99"/>
      <c r="J575" s="99"/>
    </row>
    <row r="576" spans="1:14" ht="17.45" customHeight="1">
      <c r="A576" s="90"/>
      <c r="B576" s="90"/>
      <c r="E576" s="90"/>
      <c r="F576" s="90"/>
      <c r="G576" s="90"/>
      <c r="H576" s="91"/>
      <c r="I576" s="15"/>
      <c r="J576" s="15"/>
    </row>
    <row r="577" spans="1:10" ht="17.45" customHeight="1">
      <c r="A577" s="104" t="s">
        <v>12</v>
      </c>
      <c r="B577" s="104" t="s">
        <v>134</v>
      </c>
      <c r="E577" s="2" t="s">
        <v>14</v>
      </c>
      <c r="F577" s="113" t="s">
        <v>15</v>
      </c>
      <c r="G577" s="90"/>
      <c r="H577" s="22"/>
    </row>
    <row r="578" spans="1:10" ht="17.45" customHeight="1">
      <c r="A578" s="90"/>
      <c r="B578" s="90"/>
      <c r="E578" s="2" t="s">
        <v>16</v>
      </c>
      <c r="F578" s="22" t="s">
        <v>17</v>
      </c>
      <c r="G578" s="22"/>
      <c r="H578" s="22"/>
    </row>
    <row r="579" spans="1:10" ht="17.45" customHeight="1">
      <c r="A579" s="2" t="s">
        <v>18</v>
      </c>
      <c r="B579" s="4">
        <v>45861</v>
      </c>
      <c r="E579" s="2" t="s">
        <v>19</v>
      </c>
      <c r="F579" s="132">
        <v>16</v>
      </c>
      <c r="G579" s="90"/>
      <c r="H579" s="22"/>
    </row>
    <row r="580" spans="1:10" ht="17.45" customHeight="1">
      <c r="A580" s="2" t="s">
        <v>20</v>
      </c>
      <c r="B580" s="4">
        <v>45861</v>
      </c>
      <c r="E580" s="2" t="s">
        <v>21</v>
      </c>
      <c r="F580" s="22">
        <v>6</v>
      </c>
      <c r="G580" s="139" t="s">
        <v>22</v>
      </c>
      <c r="H580" s="128">
        <v>96</v>
      </c>
      <c r="I580" s="129"/>
      <c r="J580" s="130"/>
    </row>
    <row r="581" spans="1:10" ht="17.45" customHeight="1">
      <c r="A581" s="20"/>
      <c r="B581" s="21"/>
      <c r="C581" s="21"/>
      <c r="D581" s="21"/>
      <c r="E581" s="2" t="s">
        <v>23</v>
      </c>
      <c r="F581" s="22" t="s">
        <v>24</v>
      </c>
      <c r="G581" s="131"/>
      <c r="H581" s="131"/>
      <c r="I581" s="110"/>
      <c r="J581" s="111"/>
    </row>
    <row r="582" spans="1:10" ht="13.5" customHeight="1">
      <c r="A582" s="102" t="s">
        <v>135</v>
      </c>
      <c r="B582" s="90"/>
      <c r="C582" s="90"/>
      <c r="D582" s="21"/>
      <c r="F582" s="3"/>
      <c r="G582" s="103" t="s">
        <v>26</v>
      </c>
      <c r="H582" s="92" t="s">
        <v>27</v>
      </c>
      <c r="I582" s="109" t="s">
        <v>28</v>
      </c>
      <c r="J582" s="91"/>
    </row>
    <row r="583" spans="1:10" ht="13.5" customHeight="1">
      <c r="A583" s="90"/>
      <c r="B583" s="90"/>
      <c r="C583" s="90"/>
      <c r="D583" s="21"/>
      <c r="F583" s="3"/>
      <c r="G583" s="93"/>
      <c r="H583" s="93"/>
      <c r="I583" s="110"/>
      <c r="J583" s="111"/>
    </row>
    <row r="584" spans="1:10" ht="13.5" customHeight="1">
      <c r="A584" s="1" t="s">
        <v>29</v>
      </c>
    </row>
    <row r="585" spans="1:10" ht="63" customHeight="1">
      <c r="A585" s="124"/>
      <c r="B585" s="125"/>
      <c r="C585" s="125"/>
      <c r="D585" s="125"/>
      <c r="E585" s="125"/>
      <c r="F585" s="125"/>
      <c r="G585" s="125"/>
      <c r="H585" s="125"/>
      <c r="I585" s="125"/>
      <c r="J585" s="125"/>
    </row>
    <row r="586" spans="1:10" ht="18.75">
      <c r="A586" s="24" t="s">
        <v>30</v>
      </c>
      <c r="B586" s="17" t="s">
        <v>31</v>
      </c>
      <c r="C586" s="114" t="s">
        <v>32</v>
      </c>
      <c r="D586" s="107"/>
      <c r="E586" s="17" t="s">
        <v>33</v>
      </c>
      <c r="F586" s="114" t="s">
        <v>34</v>
      </c>
      <c r="G586" s="107"/>
      <c r="H586" s="107"/>
      <c r="I586" s="106" t="s">
        <v>35</v>
      </c>
      <c r="J586" s="107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3">
        <v>1</v>
      </c>
      <c r="B588" s="25" t="s">
        <v>36</v>
      </c>
      <c r="C588" s="94" t="s">
        <v>37</v>
      </c>
      <c r="D588" s="90"/>
      <c r="E588" s="25" t="s">
        <v>40</v>
      </c>
      <c r="F588" s="94" t="s">
        <v>41</v>
      </c>
      <c r="G588" s="90"/>
      <c r="H588" s="90"/>
      <c r="I588" s="108"/>
      <c r="J588" s="90"/>
    </row>
    <row r="589" spans="1:10" ht="16.5" customHeight="1">
      <c r="A589" s="23">
        <v>1</v>
      </c>
      <c r="B589" s="26" t="s">
        <v>36</v>
      </c>
      <c r="C589" s="94" t="s">
        <v>37</v>
      </c>
      <c r="D589" s="90"/>
      <c r="E589" s="25" t="s">
        <v>42</v>
      </c>
      <c r="F589" s="94" t="s">
        <v>43</v>
      </c>
      <c r="G589" s="90"/>
      <c r="H589" s="90"/>
      <c r="I589" s="108"/>
      <c r="J589" s="90"/>
    </row>
    <row r="590" spans="1:10" ht="16.5" customHeight="1">
      <c r="A590" s="23"/>
      <c r="B590" s="26"/>
      <c r="C590" s="94"/>
      <c r="D590" s="90"/>
      <c r="E590" s="25"/>
      <c r="F590" s="94"/>
      <c r="G590" s="90"/>
      <c r="H590" s="90"/>
      <c r="I590" s="108"/>
      <c r="J590" s="90"/>
    </row>
    <row r="591" spans="1:10" ht="16.5" customHeight="1">
      <c r="A591" s="23"/>
      <c r="B591" s="26"/>
      <c r="C591" s="94"/>
      <c r="D591" s="90"/>
      <c r="E591" s="25"/>
      <c r="F591" s="94"/>
      <c r="G591" s="90"/>
      <c r="H591" s="90"/>
      <c r="I591" s="108"/>
      <c r="J591" s="90"/>
    </row>
    <row r="592" spans="1:10" ht="16.5" customHeight="1">
      <c r="A592" s="23"/>
      <c r="B592" s="26"/>
      <c r="C592" s="94"/>
      <c r="D592" s="90"/>
      <c r="E592" s="25"/>
      <c r="F592" s="94"/>
      <c r="G592" s="90"/>
      <c r="H592" s="90"/>
      <c r="I592" s="108"/>
      <c r="J592" s="90"/>
    </row>
    <row r="593" spans="1:10" ht="16.5" customHeight="1">
      <c r="A593" s="23"/>
      <c r="B593" s="26"/>
      <c r="C593" s="94"/>
      <c r="D593" s="90"/>
      <c r="E593" s="25"/>
      <c r="F593" s="94"/>
      <c r="G593" s="90"/>
      <c r="H593" s="90"/>
      <c r="I593" s="108"/>
      <c r="J593" s="90"/>
    </row>
    <row r="594" spans="1:10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spans="1:10" ht="18.75">
      <c r="A595" s="100" t="s">
        <v>44</v>
      </c>
      <c r="B595" s="101"/>
      <c r="C595" s="100" t="s">
        <v>45</v>
      </c>
      <c r="D595" s="101"/>
      <c r="E595" s="101"/>
      <c r="F595" s="18" t="s">
        <v>46</v>
      </c>
      <c r="G595" s="100" t="s">
        <v>47</v>
      </c>
      <c r="H595" s="101"/>
      <c r="I595" s="100" t="s">
        <v>48</v>
      </c>
      <c r="J595" s="101"/>
    </row>
    <row r="596" spans="1:10" ht="14.25" customHeight="1">
      <c r="A596" s="8"/>
      <c r="B596" s="19"/>
      <c r="C596" s="127" t="s">
        <v>49</v>
      </c>
      <c r="D596" s="110"/>
      <c r="E596" s="19"/>
      <c r="F596" s="127" t="s">
        <v>29</v>
      </c>
      <c r="G596" s="110"/>
      <c r="H596" s="110"/>
      <c r="I596" s="110"/>
      <c r="J596" s="110"/>
    </row>
    <row r="597" spans="1:10">
      <c r="A597" s="9"/>
      <c r="C597" s="7"/>
      <c r="D597" s="7"/>
      <c r="E597" s="7"/>
    </row>
    <row r="598" spans="1:10" ht="14.25" customHeight="1">
      <c r="A598" s="94" t="s">
        <v>136</v>
      </c>
      <c r="B598" s="90"/>
      <c r="C598" s="94" t="s">
        <v>137</v>
      </c>
      <c r="D598" s="90"/>
      <c r="E598" s="90"/>
      <c r="F598" s="27" t="s">
        <v>116</v>
      </c>
      <c r="G598" s="96">
        <v>96</v>
      </c>
      <c r="H598" s="90"/>
      <c r="I598" s="96">
        <v>6</v>
      </c>
      <c r="J598" s="90"/>
    </row>
    <row r="599" spans="1:10" ht="24.95" customHeight="1">
      <c r="A599" s="105" t="s">
        <v>138</v>
      </c>
      <c r="B599" s="90"/>
      <c r="C599" s="94" t="s">
        <v>11</v>
      </c>
      <c r="D599" s="90"/>
      <c r="E599" s="90"/>
      <c r="F599" s="94"/>
      <c r="G599" s="90"/>
      <c r="H599" s="90"/>
      <c r="I599" s="90"/>
      <c r="J599" s="90"/>
    </row>
    <row r="600" spans="1:10" ht="14.25" customHeight="1">
      <c r="A600" s="94" t="s">
        <v>93</v>
      </c>
      <c r="B600" s="90"/>
      <c r="C600" s="94" t="s">
        <v>94</v>
      </c>
      <c r="D600" s="90"/>
      <c r="E600" s="90"/>
      <c r="F600" s="27" t="s">
        <v>27</v>
      </c>
      <c r="G600" s="96">
        <v>6.048</v>
      </c>
      <c r="H600" s="90"/>
      <c r="I600" s="96">
        <v>0.378</v>
      </c>
      <c r="J600" s="90"/>
    </row>
    <row r="601" spans="1:10" ht="24.95" customHeight="1">
      <c r="A601" s="105" t="s">
        <v>95</v>
      </c>
      <c r="B601" s="90"/>
      <c r="C601" s="94"/>
      <c r="D601" s="90"/>
      <c r="E601" s="90"/>
      <c r="F601" s="94"/>
      <c r="G601" s="90"/>
      <c r="H601" s="90"/>
      <c r="I601" s="90"/>
      <c r="J601" s="90"/>
    </row>
    <row r="602" spans="1:10" ht="14.25" customHeight="1">
      <c r="A602" s="94" t="s">
        <v>81</v>
      </c>
      <c r="B602" s="90"/>
      <c r="C602" s="94" t="s">
        <v>82</v>
      </c>
      <c r="D602" s="90"/>
      <c r="E602" s="90"/>
      <c r="F602" s="27"/>
      <c r="G602" s="96">
        <v>0.48</v>
      </c>
      <c r="H602" s="90"/>
      <c r="I602" s="96">
        <v>0.03</v>
      </c>
      <c r="J602" s="90"/>
    </row>
    <row r="603" spans="1:10" ht="24.95" customHeight="1">
      <c r="A603" s="105" t="s">
        <v>83</v>
      </c>
      <c r="B603" s="90"/>
      <c r="C603" s="94" t="s">
        <v>84</v>
      </c>
      <c r="D603" s="90"/>
      <c r="E603" s="90"/>
      <c r="F603" s="94"/>
      <c r="G603" s="90"/>
      <c r="H603" s="90"/>
      <c r="I603" s="90"/>
      <c r="J603" s="90"/>
    </row>
    <row r="604" spans="1:10" ht="14.25" customHeight="1">
      <c r="A604" s="94"/>
      <c r="B604" s="90"/>
      <c r="C604" s="94"/>
      <c r="D604" s="90"/>
      <c r="E604" s="90"/>
      <c r="F604" s="27"/>
      <c r="G604" s="96"/>
      <c r="H604" s="90"/>
      <c r="I604" s="96"/>
      <c r="J604" s="90"/>
    </row>
    <row r="605" spans="1:10" ht="24.95" customHeight="1">
      <c r="A605" s="105"/>
      <c r="B605" s="90"/>
      <c r="C605" s="94"/>
      <c r="D605" s="90"/>
      <c r="E605" s="90"/>
      <c r="F605" s="94"/>
      <c r="G605" s="90"/>
      <c r="H605" s="90"/>
      <c r="I605" s="90"/>
      <c r="J605" s="90"/>
    </row>
    <row r="606" spans="1:10" ht="14.25" customHeight="1">
      <c r="A606" s="94"/>
      <c r="B606" s="90"/>
      <c r="C606" s="94"/>
      <c r="D606" s="90"/>
      <c r="E606" s="90"/>
      <c r="F606" s="27"/>
      <c r="G606" s="96"/>
      <c r="H606" s="90"/>
      <c r="I606" s="96"/>
      <c r="J606" s="90"/>
    </row>
    <row r="607" spans="1:10" ht="24.95" customHeight="1" thickBot="1">
      <c r="A607" s="105"/>
      <c r="B607" s="90"/>
      <c r="C607" s="94"/>
      <c r="D607" s="90"/>
      <c r="E607" s="90"/>
      <c r="F607" s="94"/>
      <c r="G607" s="90"/>
      <c r="H607" s="90"/>
      <c r="I607" s="90"/>
      <c r="J607" s="90"/>
    </row>
    <row r="608" spans="1:10" s="5" customFormat="1" ht="18" customHeight="1">
      <c r="A608" s="159" t="s">
        <v>157</v>
      </c>
      <c r="B608" s="160"/>
      <c r="C608" s="160"/>
      <c r="D608" s="160"/>
      <c r="E608" s="161" t="s">
        <v>158</v>
      </c>
      <c r="F608" s="162"/>
      <c r="G608" s="28" t="s">
        <v>159</v>
      </c>
      <c r="H608" s="133" t="s">
        <v>160</v>
      </c>
      <c r="I608" s="134"/>
      <c r="J608" s="29" t="s">
        <v>161</v>
      </c>
    </row>
    <row r="609" spans="1:14" s="7" customFormat="1" ht="18" customHeight="1">
      <c r="A609" s="135" t="str">
        <f>_xlfn.XLOOKUP(B573,[1]VFDB2!A:A,[1]VFDB2!A:A)</f>
        <v>J1ZAFJB00216480</v>
      </c>
      <c r="B609" s="136"/>
      <c r="C609" s="136"/>
      <c r="D609" s="136"/>
      <c r="E609" s="116" t="str" cm="1">
        <f t="array" ref="E609">IFERROR(IF(ISBLANK(INDEX(_xlfn._xlws.FILTER([1]加工記録２!$C$3:$C$992, [1]加工記録２!$T$3:$T$992=B575), 6)), "", INDEX(_xlfn._xlws.FILTER([1]加工記録２!$C$3:$C$992, [1]加工記録２!$T$3:$T$992=B575), 6)),"")</f>
        <v>灯具-1　L=1370</v>
      </c>
      <c r="F609" s="117"/>
      <c r="G609" s="118" cm="1">
        <f t="array" ref="G609">IFERROR(IF(ISBLANK(INDEX(_xlfn._xlws.FILTER([1]加工記録２!$C$3:$C$992, [1]加工記録２!$T$3:$T$992=B575), 7)), " ", INDEX(_xlfn._xlws.FILTER([1]加工記録２!$C$3:$C$992, [1]加工記録２!$T$3:$T$992=B575), 7))," ")</f>
        <v>6</v>
      </c>
      <c r="H609" s="76" t="s">
        <v>162</v>
      </c>
      <c r="I609" s="30" cm="1">
        <f t="array" ref="I609:J609">IFERROR(IF(ISBLANK(INDEX(_xlfn._xlws.FILTER([1]加工記録２!$O$3:$P$992, [1]加工記録２!$T$3:$T$992=B575), 1)), "", INDEX(_xlfn._xlws.FILTER([1]加工記録２!$O$3:$P$992, [1]加工記録２!$T$3:$T$992=B575), 1)),"")</f>
        <v>45848</v>
      </c>
      <c r="J609" s="77">
        <v>1</v>
      </c>
    </row>
    <row r="610" spans="1:14" s="5" customFormat="1" ht="18" customHeight="1">
      <c r="A610" s="137"/>
      <c r="B610" s="138"/>
      <c r="C610" s="138"/>
      <c r="D610" s="138"/>
      <c r="E610" s="116"/>
      <c r="F610" s="117"/>
      <c r="G610" s="118"/>
      <c r="H610" s="76" t="s">
        <v>163</v>
      </c>
      <c r="I610" s="78" cm="1">
        <f t="array" ref="I610:J610">IFERROR(IF(ISBLANK(INDEX(_xlfn._xlws.FILTER([1]加工記録２!$O$3:$P$992, [1]加工記録２!$T$3:$T$992=B575), 2)), "", INDEX(_xlfn._xlws.FILTER([1]加工記録２!$O$3:$P$992, [1]加工記録２!$T$3:$T$992=B575), 2)),"")</f>
        <v>96</v>
      </c>
      <c r="J610" s="79">
        <v>10</v>
      </c>
      <c r="K610" s="31"/>
    </row>
    <row r="611" spans="1:14" s="7" customFormat="1" ht="18" customHeight="1">
      <c r="A611" s="119" t="s">
        <v>164</v>
      </c>
      <c r="B611" s="121" t="str">
        <f>_xlfn.XLOOKUP(B573,[1]VFDB2!A:A,[1]VFDB2!J:J)</f>
        <v>-</v>
      </c>
      <c r="C611" s="163" t="s">
        <v>165</v>
      </c>
      <c r="D611" s="165">
        <f>_xlfn.XLOOKUP(B573,[1]VFDB2!A:A,[1]VFDB2!P:P)</f>
        <v>1</v>
      </c>
      <c r="E611" s="116" t="str">
        <f>_xlfn.XLOOKUP(B573,[1]VFDB2!A:A,[1]VFDB2!V:V)</f>
        <v>梱包箱:1996(切詰)</v>
      </c>
      <c r="F611" s="117"/>
      <c r="G611" s="148"/>
      <c r="H611" s="80" t="s">
        <v>166</v>
      </c>
      <c r="I611" s="78" cm="1">
        <f t="array" ref="I611:J611">IFERROR(IF(ISBLANK(INDEX(_xlfn._xlws.FILTER([1]加工記録２!$O$3:$P$992, [1]加工記録２!$T$3:$T$992=B575), 3)), "", INDEX(_xlfn._xlws.FILTER([1]加工記録２!$O$3:$P$992, [1]加工記録２!$T$3:$T$992=B575), 3)),"")</f>
        <v>107</v>
      </c>
      <c r="J611" s="81" t="str">
        <v/>
      </c>
      <c r="K611" s="32"/>
    </row>
    <row r="612" spans="1:14" s="5" customFormat="1" ht="18" customHeight="1">
      <c r="A612" s="120"/>
      <c r="B612" s="122"/>
      <c r="C612" s="164"/>
      <c r="D612" s="166"/>
      <c r="E612" s="116"/>
      <c r="F612" s="117"/>
      <c r="G612" s="148"/>
      <c r="H612" s="80" t="s">
        <v>167</v>
      </c>
      <c r="I612" s="78" cm="1">
        <f t="array" ref="I612:J612">IFERROR(IF(ISBLANK(INDEX(_xlfn._xlws.FILTER([1]加工記録２!$O$3:$P$992, [1]加工記録２!$T$3:$T$992=B575), 4)), "", INDEX(_xlfn._xlws.FILTER([1]加工記録２!$O$3:$P$992, [1]加工記録２!$T$3:$T$992=B575), 4)),"")</f>
        <v>11</v>
      </c>
      <c r="J612" s="82" t="str">
        <v/>
      </c>
      <c r="K612" s="31"/>
    </row>
    <row r="613" spans="1:14" s="7" customFormat="1" ht="18" customHeight="1">
      <c r="A613" s="140" t="s">
        <v>168</v>
      </c>
      <c r="B613" s="142">
        <f>D573</f>
        <v>1648</v>
      </c>
      <c r="C613" s="144" t="s">
        <v>169</v>
      </c>
      <c r="D613" s="146" t="str">
        <f>_xlfn.XLOOKUP(B573,[1]VFDB2!A:A,[1]VFDB2!L:L)</f>
        <v>+2</v>
      </c>
      <c r="E613" s="116" t="str">
        <f>_xlfn.XLOOKUP(B573,[1]VFDB2!A:A,[1]VFDB2!W:W)</f>
        <v>クラフト紙：切詰</v>
      </c>
      <c r="F613" s="117"/>
      <c r="G613" s="148"/>
      <c r="H613" s="80" t="s">
        <v>170</v>
      </c>
      <c r="I613" s="78" cm="1">
        <f t="array" ref="I613:J613">IFERROR(IF(ISBLANK(INDEX(_xlfn._xlws.FILTER([1]加工記録２!$O$3:$P$992, [1]加工記録２!$T$3:$T$992=B575), 5)), "", INDEX(_xlfn._xlws.FILTER([1]加工記録２!$O$3:$P$992, [1]加工記録２!$T$3:$T$992=B575), 5)),"")</f>
        <v>11</v>
      </c>
      <c r="J613" s="83" t="str">
        <v/>
      </c>
      <c r="K613" s="32"/>
    </row>
    <row r="614" spans="1:14" s="5" customFormat="1" ht="18" customHeight="1">
      <c r="A614" s="141"/>
      <c r="B614" s="143"/>
      <c r="C614" s="145"/>
      <c r="D614" s="147"/>
      <c r="E614" s="116"/>
      <c r="F614" s="117"/>
      <c r="G614" s="148"/>
      <c r="H614" s="80" t="s">
        <v>171</v>
      </c>
      <c r="I614" s="78" cm="1">
        <f t="array" ref="I614:J614">IFERROR(IF(ISBLANK(INDEX(_xlfn._xlws.FILTER([1]加工記録２!$O$3:$P$992, [1]加工記録２!$T$3:$T$992=B575), 6)), "", INDEX(_xlfn._xlws.FILTER([1]加工記録２!$O$3:$P$992, [1]加工記録２!$T$3:$T$992=B575), 6)),"")</f>
        <v>0</v>
      </c>
      <c r="J614" s="84" t="str">
        <v/>
      </c>
      <c r="K614" s="31"/>
    </row>
    <row r="615" spans="1:14" s="7" customFormat="1" ht="18" customHeight="1">
      <c r="A615" s="119" t="s">
        <v>172</v>
      </c>
      <c r="B615" s="151" t="str">
        <f>_xlfn.XLOOKUP(B573,[1]VFDB2!A:A,[1]VFDB2!AC:AC)</f>
        <v>換算表確認</v>
      </c>
      <c r="C615" s="153" t="s">
        <v>173</v>
      </c>
      <c r="D615" s="146">
        <f>_xlfn.XLOOKUP(B573,[1]VFDB2!A:A,[1]VFDB2!K:K)</f>
        <v>-2</v>
      </c>
      <c r="E615" s="116" t="str">
        <f>_xlfn.XLOOKUP(B573,[1]VFDB2!A:A,[1]VFDB2!R:R)</f>
        <v>ラベル2枚　長手有　鉢巻１</v>
      </c>
      <c r="F615" s="117"/>
      <c r="G615" s="148"/>
      <c r="H615" s="80" t="s">
        <v>174</v>
      </c>
      <c r="I615" s="78" t="str" cm="1">
        <f t="array" ref="I615:J615">IFERROR(IF(ISBLANK(INDEX(_xlfn._xlws.FILTER([1]加工記録２!$O$3:$P$992, [1]加工記録２!$T$3:$T$992=B575), 7)), "", INDEX(_xlfn._xlws.FILTER([1]加工記録２!$O$3:$P$992, [1]加工記録２!$T$3:$T$992=B575), 7)),"")</f>
        <v>-</v>
      </c>
      <c r="J615" s="85" t="str">
        <v/>
      </c>
      <c r="K615" s="32"/>
    </row>
    <row r="616" spans="1:14" s="5" customFormat="1" ht="18" customHeight="1" thickBot="1">
      <c r="A616" s="150"/>
      <c r="B616" s="152"/>
      <c r="C616" s="154"/>
      <c r="D616" s="155"/>
      <c r="E616" s="156"/>
      <c r="F616" s="157"/>
      <c r="G616" s="158"/>
      <c r="H616" s="86" t="s">
        <v>175</v>
      </c>
      <c r="I616" s="33" t="str" cm="1">
        <f t="array" ref="I616:J616">IFERROR(IF(ISBLANK(INDEX(_xlfn._xlws.FILTER([1]加工記録２!$O$3:$P$992, [1]加工記録２!$T$3:$T$992=B575), 8)), "", INDEX(_xlfn._xlws.FILTER([1]加工記録２!$O$3:$P$992, [1]加工記録２!$T$3:$T$992=B575), 8)),"")</f>
        <v>高森</v>
      </c>
      <c r="J616" s="87">
        <v>11</v>
      </c>
    </row>
    <row r="617" spans="1:14" s="44" customFormat="1" ht="18.95" customHeight="1">
      <c r="A617" s="34" t="s">
        <v>176</v>
      </c>
      <c r="B617" s="35" t="s">
        <v>185</v>
      </c>
      <c r="C617" s="36" t="s">
        <v>177</v>
      </c>
      <c r="D617" s="36" t="s">
        <v>178</v>
      </c>
      <c r="E617" s="37" t="s">
        <v>179</v>
      </c>
      <c r="F617" s="38" t="s">
        <v>180</v>
      </c>
      <c r="G617" s="39" t="s">
        <v>181</v>
      </c>
      <c r="H617" s="40" t="s">
        <v>182</v>
      </c>
      <c r="I617" s="41" t="s">
        <v>183</v>
      </c>
      <c r="J617" s="42" t="s">
        <v>184</v>
      </c>
      <c r="K617" s="43"/>
      <c r="L617" s="43"/>
      <c r="M617" s="43"/>
      <c r="N617" s="43"/>
    </row>
    <row r="618" spans="1:14" s="55" customFormat="1" ht="18.95" customHeight="1">
      <c r="A618" s="88" cm="1">
        <f t="array" ref="A618:J618">IFERROR(IF(ISBLANK(INDEX(_xlfn._xlws.FILTER([1]加工記録２!$D$3:$M$992, [1]加工記録２!$T$3:$T$992=B575), 1)), "", INDEX(_xlfn._xlws.FILTER([1]加工記録２!$D$3:$M$992, [1]加工記録２!$T$3:$T$992=B575), 1)),"")</f>
        <v>45457</v>
      </c>
      <c r="B618" s="46" t="str">
        <v>24F07-01</v>
      </c>
      <c r="C618" s="47" t="str">
        <v/>
      </c>
      <c r="D618" s="47" t="str">
        <v/>
      </c>
      <c r="E618" s="48" t="str">
        <v/>
      </c>
      <c r="F618" s="49" t="str">
        <v>24F07-01</v>
      </c>
      <c r="G618" s="50">
        <v>9</v>
      </c>
      <c r="H618" s="51">
        <v>9</v>
      </c>
      <c r="I618" s="52">
        <v>45848</v>
      </c>
      <c r="J618" s="53">
        <v>6</v>
      </c>
      <c r="K618" s="54"/>
      <c r="L618" s="54"/>
      <c r="M618" s="54"/>
      <c r="N618" s="54"/>
    </row>
    <row r="619" spans="1:14" s="55" customFormat="1" ht="18.95" customHeight="1">
      <c r="A619" s="45" cm="1">
        <f t="array" ref="A619:J619">IFERROR(IF(ISBLANK(INDEX(_xlfn._xlws.FILTER([1]加工記録２!$D$3:$M$992, [1]加工記録２!$T$3:$T$992=B575), 2)), "", INDEX(_xlfn._xlws.FILTER([1]加工記録２!$D$3:$M$992, [1]加工記録２!$T$3:$T$992=B575), 2)),"")</f>
        <v>45848</v>
      </c>
      <c r="B619" s="56" t="str">
        <v>25G03-01</v>
      </c>
      <c r="C619" s="56" t="str">
        <v/>
      </c>
      <c r="D619" s="56" t="str">
        <v/>
      </c>
      <c r="E619" s="57" t="str">
        <v/>
      </c>
      <c r="F619" s="58" t="str">
        <v>25G03-01</v>
      </c>
      <c r="G619" s="59">
        <v>98</v>
      </c>
      <c r="H619" s="60">
        <v>98</v>
      </c>
      <c r="I619" s="52" t="str">
        <v/>
      </c>
      <c r="J619" s="53" t="str">
        <v/>
      </c>
      <c r="K619" s="54"/>
      <c r="L619" s="54"/>
      <c r="M619" s="54"/>
      <c r="N619" s="54"/>
    </row>
    <row r="620" spans="1:14" s="55" customFormat="1" ht="18.95" customHeight="1">
      <c r="A620" s="45" t="str" cm="1">
        <f t="array" ref="A620:J620">IFERROR(IF(ISBLANK(INDEX(_xlfn._xlws.FILTER([1]加工記録２!$D$3:$M$992, [1]加工記録２!$T$3:$T$992=B575), 3)), "", INDEX(_xlfn._xlws.FILTER([1]加工記録２!$D$3:$M$992, [1]加工記録２!$T$3:$T$992=B575), 3)),"")</f>
        <v/>
      </c>
      <c r="B620" s="56" t="str">
        <v/>
      </c>
      <c r="C620" s="56" t="str">
        <v/>
      </c>
      <c r="D620" s="56" t="str">
        <v/>
      </c>
      <c r="E620" s="57" t="str">
        <v/>
      </c>
      <c r="F620" s="58" t="str">
        <v/>
      </c>
      <c r="G620" s="59" t="str">
        <v/>
      </c>
      <c r="H620" s="60">
        <v>0</v>
      </c>
      <c r="I620" s="52" t="str">
        <v/>
      </c>
      <c r="J620" s="53" t="str">
        <v/>
      </c>
      <c r="K620" s="54"/>
      <c r="L620" s="54"/>
      <c r="M620" s="54"/>
      <c r="N620" s="54"/>
    </row>
    <row r="621" spans="1:14" s="55" customFormat="1" ht="18.95" customHeight="1">
      <c r="A621" s="45" t="str" cm="1">
        <f t="array" ref="A621:J621">IFERROR(IF(ISBLANK(INDEX(_xlfn._xlws.FILTER([1]加工記録２!$D$3:$M$992, [1]加工記録２!$T$3:$T$992=B575), 4)), "", INDEX(_xlfn._xlws.FILTER([1]加工記録２!$D$3:$M$992, [1]加工記録２!$T$3:$T$992=B575), 4)),"")</f>
        <v/>
      </c>
      <c r="B621" s="56" t="str">
        <v/>
      </c>
      <c r="C621" s="56" t="str">
        <v/>
      </c>
      <c r="D621" s="56" t="str">
        <v/>
      </c>
      <c r="E621" s="57" t="str">
        <v/>
      </c>
      <c r="F621" s="58" t="str">
        <v/>
      </c>
      <c r="G621" s="59" t="str">
        <v/>
      </c>
      <c r="H621" s="60">
        <v>0</v>
      </c>
      <c r="I621" s="52" t="str">
        <v/>
      </c>
      <c r="J621" s="53" t="str">
        <v/>
      </c>
      <c r="K621" s="54"/>
      <c r="L621" s="54"/>
      <c r="M621" s="54"/>
      <c r="N621" s="54"/>
    </row>
    <row r="622" spans="1:14" s="55" customFormat="1" ht="18.95" customHeight="1">
      <c r="A622" s="45" t="str" cm="1">
        <f t="array" ref="A622:J622">IFERROR(IF(ISBLANK(INDEX(_xlfn._xlws.FILTER([1]加工記録２!$D$3:$M$992, [1]加工記録２!$T$3:$T$992=B575), 5)), "", INDEX(_xlfn._xlws.FILTER([1]加工記録２!$D$3:$M$992, [1]加工記録２!$T$3:$T$992=B575), 5)),"")</f>
        <v/>
      </c>
      <c r="B622" s="56" t="str">
        <v/>
      </c>
      <c r="C622" s="56" t="str">
        <v/>
      </c>
      <c r="D622" s="56" t="str">
        <v/>
      </c>
      <c r="E622" s="57" t="str">
        <v/>
      </c>
      <c r="F622" s="58" t="str">
        <v/>
      </c>
      <c r="G622" s="59" t="str">
        <v/>
      </c>
      <c r="H622" s="60">
        <v>0</v>
      </c>
      <c r="I622" s="61" t="str">
        <v/>
      </c>
      <c r="J622" s="62" t="str">
        <v/>
      </c>
      <c r="K622" s="54"/>
      <c r="L622" s="54"/>
      <c r="M622" s="54"/>
      <c r="N622" s="54"/>
    </row>
    <row r="623" spans="1:14" s="55" customFormat="1" ht="18.95" customHeight="1">
      <c r="A623" s="45" t="str" cm="1">
        <f t="array" ref="A623:J623">IFERROR(IF(ISBLANK(INDEX(_xlfn._xlws.FILTER([1]加工記録２!$D$3:$M$992, [1]加工記録２!$T$3:$T$992=B575), 6)), "", INDEX(_xlfn._xlws.FILTER([1]加工記録２!$D$3:$M$992, [1]加工記録２!$T$3:$T$992=B575), 6)),"")</f>
        <v/>
      </c>
      <c r="B623" s="56" t="str">
        <v/>
      </c>
      <c r="C623" s="56" t="str">
        <v/>
      </c>
      <c r="D623" s="56" t="str">
        <v/>
      </c>
      <c r="E623" s="57" t="str">
        <v/>
      </c>
      <c r="F623" s="58" t="str">
        <v/>
      </c>
      <c r="G623" s="59" t="str">
        <v/>
      </c>
      <c r="H623" s="63">
        <v>0</v>
      </c>
      <c r="I623" s="64" t="str">
        <v>旧品加工</v>
      </c>
      <c r="J623" s="65">
        <v>9</v>
      </c>
      <c r="K623" s="54"/>
      <c r="L623" s="54"/>
      <c r="M623" s="54"/>
      <c r="N623" s="54"/>
    </row>
    <row r="624" spans="1:14" s="55" customFormat="1" ht="18.95" customHeight="1">
      <c r="A624" s="45" t="str" cm="1">
        <f t="array" ref="A624:J624">IFERROR(IF(ISBLANK(INDEX(_xlfn._xlws.FILTER([1]加工記録２!$D$3:$M$992, [1]加工記録２!$T$3:$T$992=B575), 7)), "", INDEX(_xlfn._xlws.FILTER([1]加工記録２!$D$3:$M$992, [1]加工記録２!$T$3:$T$992=B575), 7)),"")</f>
        <v/>
      </c>
      <c r="B624" s="56" t="str">
        <v/>
      </c>
      <c r="C624" s="56" t="str">
        <v/>
      </c>
      <c r="D624" s="56" t="str">
        <v/>
      </c>
      <c r="E624" s="57" t="str">
        <v/>
      </c>
      <c r="F624" s="58" t="str">
        <v/>
      </c>
      <c r="G624" s="59" t="str">
        <v/>
      </c>
      <c r="H624" s="63">
        <v>0</v>
      </c>
      <c r="I624" s="66" t="str">
        <v>持出端材</v>
      </c>
      <c r="J624" s="67" t="str">
        <v/>
      </c>
      <c r="K624" s="54"/>
      <c r="L624" s="54"/>
      <c r="M624" s="54"/>
      <c r="N624" s="54"/>
    </row>
    <row r="625" spans="1:14" s="55" customFormat="1" ht="18.95" customHeight="1" thickBot="1">
      <c r="A625" s="68" t="str" cm="1">
        <f t="array" ref="A625:J625">IFERROR(IF(ISBLANK(INDEX(_xlfn._xlws.FILTER([1]加工記録２!$D$3:$M$992, [1]加工記録２!$T$3:$T$992=B575), 8)), "", INDEX(_xlfn._xlws.FILTER([1]加工記録２!$D$3:$M$992, [1]加工記録２!$T$3:$T$992=B575), 8)),"")</f>
        <v/>
      </c>
      <c r="B625" s="69" t="str">
        <v/>
      </c>
      <c r="C625" s="69" t="str">
        <v/>
      </c>
      <c r="D625" s="69" t="str">
        <v/>
      </c>
      <c r="E625" s="70" t="str">
        <v/>
      </c>
      <c r="F625" s="71" t="str">
        <v/>
      </c>
      <c r="G625" s="72" t="str">
        <v/>
      </c>
      <c r="H625" s="73">
        <v>0</v>
      </c>
      <c r="I625" s="74" t="str">
        <v>α端材</v>
      </c>
      <c r="J625" s="75">
        <v>0</v>
      </c>
      <c r="K625" s="54"/>
      <c r="L625" s="54"/>
      <c r="M625" s="54"/>
      <c r="N625" s="54"/>
    </row>
    <row r="626" spans="1:14" ht="13.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4" ht="6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2"/>
      <c r="B628" s="126" t="s">
        <v>0</v>
      </c>
      <c r="C628" s="90"/>
      <c r="D628" s="90"/>
      <c r="E628" s="12"/>
      <c r="F628" s="12"/>
      <c r="G628" s="12"/>
      <c r="H628" s="12"/>
      <c r="I628" s="12"/>
      <c r="J628" s="12"/>
    </row>
    <row r="629" spans="1:14" ht="14.25" customHeight="1">
      <c r="A629" s="13"/>
      <c r="B629" s="90"/>
      <c r="C629" s="90"/>
      <c r="D629" s="90"/>
      <c r="E629" s="13"/>
      <c r="F629" s="13"/>
      <c r="G629" s="13"/>
      <c r="H629" s="13"/>
      <c r="I629" s="13"/>
      <c r="J629" s="13"/>
    </row>
    <row r="630" spans="1:14" ht="14.25" customHeight="1">
      <c r="A630" s="95" t="s">
        <v>1</v>
      </c>
      <c r="B630" s="95" t="s">
        <v>139</v>
      </c>
      <c r="C630" s="95" t="s">
        <v>3</v>
      </c>
      <c r="D630" s="123">
        <v>1815</v>
      </c>
      <c r="E630" s="95" t="s">
        <v>4</v>
      </c>
      <c r="F630" s="89" t="s">
        <v>140</v>
      </c>
      <c r="G630" s="90"/>
      <c r="H630" s="91"/>
      <c r="I630" s="14" t="s">
        <v>6</v>
      </c>
      <c r="J630" s="14" t="s">
        <v>7</v>
      </c>
    </row>
    <row r="631" spans="1:14" ht="14.25" customHeight="1">
      <c r="A631" s="90"/>
      <c r="B631" s="90"/>
      <c r="C631" s="90"/>
      <c r="D631" s="90"/>
      <c r="E631" s="90"/>
      <c r="F631" s="90"/>
      <c r="G631" s="90"/>
      <c r="H631" s="91"/>
      <c r="I631" s="98"/>
      <c r="J631" s="98"/>
    </row>
    <row r="632" spans="1:14" ht="17.45" customHeight="1">
      <c r="A632" s="104" t="s">
        <v>8</v>
      </c>
      <c r="B632" s="104" t="s">
        <v>141</v>
      </c>
      <c r="E632" s="104" t="s">
        <v>10</v>
      </c>
      <c r="F632" s="112" t="s">
        <v>11</v>
      </c>
      <c r="G632" s="90"/>
      <c r="H632" s="91"/>
      <c r="I632" s="99"/>
      <c r="J632" s="99"/>
    </row>
    <row r="633" spans="1:14" ht="17.45" customHeight="1">
      <c r="A633" s="90"/>
      <c r="B633" s="90"/>
      <c r="E633" s="90"/>
      <c r="F633" s="90"/>
      <c r="G633" s="90"/>
      <c r="H633" s="91"/>
      <c r="I633" s="15"/>
      <c r="J633" s="15"/>
    </row>
    <row r="634" spans="1:14" ht="17.45" customHeight="1">
      <c r="A634" s="104" t="s">
        <v>12</v>
      </c>
      <c r="B634" s="104" t="s">
        <v>142</v>
      </c>
      <c r="E634" s="2" t="s">
        <v>14</v>
      </c>
      <c r="F634" s="113" t="s">
        <v>15</v>
      </c>
      <c r="G634" s="90"/>
      <c r="H634" s="22"/>
    </row>
    <row r="635" spans="1:14" ht="17.45" customHeight="1">
      <c r="A635" s="90"/>
      <c r="B635" s="90"/>
      <c r="E635" s="2" t="s">
        <v>16</v>
      </c>
      <c r="F635" s="22" t="s">
        <v>17</v>
      </c>
      <c r="G635" s="22"/>
      <c r="H635" s="22"/>
    </row>
    <row r="636" spans="1:14" ht="17.45" customHeight="1">
      <c r="A636" s="2" t="s">
        <v>18</v>
      </c>
      <c r="B636" s="4">
        <v>45861</v>
      </c>
      <c r="E636" s="2" t="s">
        <v>19</v>
      </c>
      <c r="F636" s="132">
        <v>16</v>
      </c>
      <c r="G636" s="90"/>
      <c r="H636" s="22"/>
    </row>
    <row r="637" spans="1:14" ht="17.45" customHeight="1">
      <c r="A637" s="2" t="s">
        <v>20</v>
      </c>
      <c r="B637" s="4">
        <v>45861</v>
      </c>
      <c r="E637" s="2" t="s">
        <v>21</v>
      </c>
      <c r="F637" s="22">
        <v>12</v>
      </c>
      <c r="G637" s="139" t="s">
        <v>22</v>
      </c>
      <c r="H637" s="128">
        <v>192</v>
      </c>
      <c r="I637" s="129"/>
      <c r="J637" s="130"/>
    </row>
    <row r="638" spans="1:14" ht="17.45" customHeight="1">
      <c r="A638" s="20"/>
      <c r="B638" s="21"/>
      <c r="C638" s="21"/>
      <c r="D638" s="21"/>
      <c r="E638" s="2" t="s">
        <v>23</v>
      </c>
      <c r="F638" s="22" t="s">
        <v>24</v>
      </c>
      <c r="G638" s="131"/>
      <c r="H638" s="131"/>
      <c r="I638" s="110"/>
      <c r="J638" s="111"/>
    </row>
    <row r="639" spans="1:14" ht="13.5" customHeight="1">
      <c r="A639" s="102" t="s">
        <v>143</v>
      </c>
      <c r="B639" s="90"/>
      <c r="C639" s="90"/>
      <c r="D639" s="21"/>
      <c r="F639" s="3"/>
      <c r="G639" s="103" t="s">
        <v>26</v>
      </c>
      <c r="H639" s="92" t="s">
        <v>27</v>
      </c>
      <c r="I639" s="109" t="s">
        <v>28</v>
      </c>
      <c r="J639" s="91"/>
    </row>
    <row r="640" spans="1:14" ht="13.5" customHeight="1">
      <c r="A640" s="90"/>
      <c r="B640" s="90"/>
      <c r="C640" s="90"/>
      <c r="D640" s="21"/>
      <c r="F640" s="3"/>
      <c r="G640" s="93"/>
      <c r="H640" s="93"/>
      <c r="I640" s="110"/>
      <c r="J640" s="111"/>
    </row>
    <row r="641" spans="1:10" ht="13.5" customHeight="1">
      <c r="A641" s="1" t="s">
        <v>29</v>
      </c>
    </row>
    <row r="642" spans="1:10" ht="63" customHeight="1">
      <c r="A642" s="124"/>
      <c r="B642" s="125"/>
      <c r="C642" s="125"/>
      <c r="D642" s="125"/>
      <c r="E642" s="125"/>
      <c r="F642" s="125"/>
      <c r="G642" s="125"/>
      <c r="H642" s="125"/>
      <c r="I642" s="125"/>
      <c r="J642" s="125"/>
    </row>
    <row r="643" spans="1:10" ht="18.75">
      <c r="A643" s="24" t="s">
        <v>30</v>
      </c>
      <c r="B643" s="17" t="s">
        <v>31</v>
      </c>
      <c r="C643" s="114" t="s">
        <v>32</v>
      </c>
      <c r="D643" s="107"/>
      <c r="E643" s="17" t="s">
        <v>33</v>
      </c>
      <c r="F643" s="114" t="s">
        <v>34</v>
      </c>
      <c r="G643" s="107"/>
      <c r="H643" s="107"/>
      <c r="I643" s="106" t="s">
        <v>35</v>
      </c>
      <c r="J643" s="107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3">
        <v>1</v>
      </c>
      <c r="B645" s="25" t="s">
        <v>36</v>
      </c>
      <c r="C645" s="94" t="s">
        <v>37</v>
      </c>
      <c r="D645" s="90"/>
      <c r="E645" s="25" t="s">
        <v>40</v>
      </c>
      <c r="F645" s="94" t="s">
        <v>41</v>
      </c>
      <c r="G645" s="90"/>
      <c r="H645" s="90"/>
      <c r="I645" s="108"/>
      <c r="J645" s="90"/>
    </row>
    <row r="646" spans="1:10" ht="16.5" customHeight="1">
      <c r="A646" s="23">
        <v>1</v>
      </c>
      <c r="B646" s="26" t="s">
        <v>36</v>
      </c>
      <c r="C646" s="94" t="s">
        <v>37</v>
      </c>
      <c r="D646" s="90"/>
      <c r="E646" s="25" t="s">
        <v>42</v>
      </c>
      <c r="F646" s="94" t="s">
        <v>43</v>
      </c>
      <c r="G646" s="90"/>
      <c r="H646" s="90"/>
      <c r="I646" s="108"/>
      <c r="J646" s="90"/>
    </row>
    <row r="647" spans="1:10" ht="16.5" customHeight="1">
      <c r="A647" s="23"/>
      <c r="B647" s="26"/>
      <c r="C647" s="94"/>
      <c r="D647" s="90"/>
      <c r="E647" s="25"/>
      <c r="F647" s="94"/>
      <c r="G647" s="90"/>
      <c r="H647" s="90"/>
      <c r="I647" s="108"/>
      <c r="J647" s="90"/>
    </row>
    <row r="648" spans="1:10" ht="16.5" customHeight="1">
      <c r="A648" s="23"/>
      <c r="B648" s="26"/>
      <c r="C648" s="94"/>
      <c r="D648" s="90"/>
      <c r="E648" s="25"/>
      <c r="F648" s="94"/>
      <c r="G648" s="90"/>
      <c r="H648" s="90"/>
      <c r="I648" s="108"/>
      <c r="J648" s="90"/>
    </row>
    <row r="649" spans="1:10" ht="16.5" customHeight="1">
      <c r="A649" s="23"/>
      <c r="B649" s="26"/>
      <c r="C649" s="94"/>
      <c r="D649" s="90"/>
      <c r="E649" s="25"/>
      <c r="F649" s="94"/>
      <c r="G649" s="90"/>
      <c r="H649" s="90"/>
      <c r="I649" s="108"/>
      <c r="J649" s="90"/>
    </row>
    <row r="650" spans="1:10" ht="16.5" customHeight="1">
      <c r="A650" s="23"/>
      <c r="B650" s="26"/>
      <c r="C650" s="94"/>
      <c r="D650" s="90"/>
      <c r="E650" s="25"/>
      <c r="F650" s="94"/>
      <c r="G650" s="90"/>
      <c r="H650" s="90"/>
      <c r="I650" s="108"/>
      <c r="J650" s="90"/>
    </row>
    <row r="651" spans="1:10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spans="1:10" ht="18.75">
      <c r="A652" s="100" t="s">
        <v>44</v>
      </c>
      <c r="B652" s="101"/>
      <c r="C652" s="100" t="s">
        <v>45</v>
      </c>
      <c r="D652" s="101"/>
      <c r="E652" s="101"/>
      <c r="F652" s="18" t="s">
        <v>46</v>
      </c>
      <c r="G652" s="100" t="s">
        <v>47</v>
      </c>
      <c r="H652" s="101"/>
      <c r="I652" s="100" t="s">
        <v>48</v>
      </c>
      <c r="J652" s="101"/>
    </row>
    <row r="653" spans="1:10" ht="14.25" customHeight="1">
      <c r="A653" s="8"/>
      <c r="B653" s="19"/>
      <c r="C653" s="127" t="s">
        <v>49</v>
      </c>
      <c r="D653" s="110"/>
      <c r="E653" s="19"/>
      <c r="F653" s="127" t="s">
        <v>29</v>
      </c>
      <c r="G653" s="110"/>
      <c r="H653" s="110"/>
      <c r="I653" s="110"/>
      <c r="J653" s="110"/>
    </row>
    <row r="654" spans="1:10">
      <c r="A654" s="9"/>
      <c r="C654" s="7"/>
      <c r="D654" s="7"/>
      <c r="E654" s="7"/>
    </row>
    <row r="655" spans="1:10" ht="14.25" customHeight="1">
      <c r="A655" s="94" t="s">
        <v>144</v>
      </c>
      <c r="B655" s="90"/>
      <c r="C655" s="94" t="s">
        <v>145</v>
      </c>
      <c r="D655" s="90"/>
      <c r="E655" s="90"/>
      <c r="F655" s="27" t="s">
        <v>52</v>
      </c>
      <c r="G655" s="96">
        <v>192</v>
      </c>
      <c r="H655" s="90"/>
      <c r="I655" s="96">
        <v>12</v>
      </c>
      <c r="J655" s="90"/>
    </row>
    <row r="656" spans="1:10" ht="24.95" customHeight="1">
      <c r="A656" s="105" t="s">
        <v>146</v>
      </c>
      <c r="B656" s="90"/>
      <c r="C656" s="94" t="s">
        <v>11</v>
      </c>
      <c r="D656" s="90"/>
      <c r="E656" s="90"/>
      <c r="F656" s="94"/>
      <c r="G656" s="90"/>
      <c r="H656" s="90"/>
      <c r="I656" s="90"/>
      <c r="J656" s="90"/>
    </row>
    <row r="657" spans="1:11" ht="14.25" customHeight="1">
      <c r="A657" s="94" t="s">
        <v>93</v>
      </c>
      <c r="B657" s="90"/>
      <c r="C657" s="94" t="s">
        <v>94</v>
      </c>
      <c r="D657" s="90"/>
      <c r="E657" s="90"/>
      <c r="F657" s="27" t="s">
        <v>27</v>
      </c>
      <c r="G657" s="96">
        <v>12.096</v>
      </c>
      <c r="H657" s="90"/>
      <c r="I657" s="96">
        <v>0.75600000000000001</v>
      </c>
      <c r="J657" s="90"/>
    </row>
    <row r="658" spans="1:11" ht="24.95" customHeight="1">
      <c r="A658" s="105" t="s">
        <v>95</v>
      </c>
      <c r="B658" s="90"/>
      <c r="C658" s="94"/>
      <c r="D658" s="90"/>
      <c r="E658" s="90"/>
      <c r="F658" s="94"/>
      <c r="G658" s="90"/>
      <c r="H658" s="90"/>
      <c r="I658" s="90"/>
      <c r="J658" s="90"/>
    </row>
    <row r="659" spans="1:11" ht="14.25" customHeight="1">
      <c r="A659" s="94" t="s">
        <v>81</v>
      </c>
      <c r="B659" s="90"/>
      <c r="C659" s="94" t="s">
        <v>82</v>
      </c>
      <c r="D659" s="90"/>
      <c r="E659" s="90"/>
      <c r="F659" s="27"/>
      <c r="G659" s="96">
        <v>1.1519999999999999</v>
      </c>
      <c r="H659" s="90"/>
      <c r="I659" s="96">
        <v>7.1999999999999995E-2</v>
      </c>
      <c r="J659" s="90"/>
    </row>
    <row r="660" spans="1:11" ht="24.95" customHeight="1">
      <c r="A660" s="105" t="s">
        <v>83</v>
      </c>
      <c r="B660" s="90"/>
      <c r="C660" s="94" t="s">
        <v>84</v>
      </c>
      <c r="D660" s="90"/>
      <c r="E660" s="90"/>
      <c r="F660" s="94"/>
      <c r="G660" s="90"/>
      <c r="H660" s="90"/>
      <c r="I660" s="90"/>
      <c r="J660" s="90"/>
    </row>
    <row r="661" spans="1:11" ht="14.25" customHeight="1">
      <c r="A661" s="94"/>
      <c r="B661" s="90"/>
      <c r="C661" s="94"/>
      <c r="D661" s="90"/>
      <c r="E661" s="90"/>
      <c r="F661" s="27"/>
      <c r="G661" s="96"/>
      <c r="H661" s="90"/>
      <c r="I661" s="96"/>
      <c r="J661" s="90"/>
    </row>
    <row r="662" spans="1:11" ht="24.95" customHeight="1">
      <c r="A662" s="105"/>
      <c r="B662" s="90"/>
      <c r="C662" s="94"/>
      <c r="D662" s="90"/>
      <c r="E662" s="90"/>
      <c r="F662" s="94"/>
      <c r="G662" s="90"/>
      <c r="H662" s="90"/>
      <c r="I662" s="90"/>
      <c r="J662" s="90"/>
    </row>
    <row r="663" spans="1:11" ht="14.25" customHeight="1">
      <c r="A663" s="94"/>
      <c r="B663" s="90"/>
      <c r="C663" s="94"/>
      <c r="D663" s="90"/>
      <c r="E663" s="90"/>
      <c r="F663" s="27"/>
      <c r="G663" s="96"/>
      <c r="H663" s="90"/>
      <c r="I663" s="96"/>
      <c r="J663" s="90"/>
    </row>
    <row r="664" spans="1:11" ht="24.95" customHeight="1" thickBot="1">
      <c r="A664" s="105"/>
      <c r="B664" s="90"/>
      <c r="C664" s="94"/>
      <c r="D664" s="90"/>
      <c r="E664" s="90"/>
      <c r="F664" s="94"/>
      <c r="G664" s="90"/>
      <c r="H664" s="90"/>
      <c r="I664" s="90"/>
      <c r="J664" s="90"/>
    </row>
    <row r="665" spans="1:11" s="5" customFormat="1" ht="18" customHeight="1">
      <c r="A665" s="159" t="s">
        <v>157</v>
      </c>
      <c r="B665" s="160"/>
      <c r="C665" s="160"/>
      <c r="D665" s="160"/>
      <c r="E665" s="161" t="s">
        <v>158</v>
      </c>
      <c r="F665" s="162"/>
      <c r="G665" s="28" t="s">
        <v>159</v>
      </c>
      <c r="H665" s="133" t="s">
        <v>160</v>
      </c>
      <c r="I665" s="134"/>
      <c r="J665" s="29" t="s">
        <v>161</v>
      </c>
    </row>
    <row r="666" spans="1:11" s="7" customFormat="1" ht="18" customHeight="1">
      <c r="A666" s="135" t="str">
        <f>_xlfn.XLOOKUP(B630,[1]VFDB2!A:A,[1]VFDB2!A:A)</f>
        <v>J1ZAFJB00218150</v>
      </c>
      <c r="B666" s="136"/>
      <c r="C666" s="136"/>
      <c r="D666" s="136"/>
      <c r="E666" s="116" t="str" cm="1">
        <f t="array" ref="E666">IFERROR(IF(ISBLANK(INDEX(_xlfn._xlws.FILTER([1]加工記録２!$C$3:$C$992, [1]加工記録２!$T$3:$T$992=B632), 6)), "", INDEX(_xlfn._xlws.FILTER([1]加工記録２!$C$3:$C$992, [1]加工記録２!$T$3:$T$992=B632), 6)),"")</f>
        <v>灯具-2　L＝1996</v>
      </c>
      <c r="F666" s="117"/>
      <c r="G666" s="118" cm="1">
        <f t="array" ref="G666">IFERROR(IF(ISBLANK(INDEX(_xlfn._xlws.FILTER([1]加工記録２!$C$3:$C$992, [1]加工記録２!$T$3:$T$992=B632), 7)), " ", INDEX(_xlfn._xlws.FILTER([1]加工記録２!$C$3:$C$992, [1]加工記録２!$T$3:$T$992=B632), 7))," ")</f>
        <v>9</v>
      </c>
      <c r="H666" s="76" t="s">
        <v>162</v>
      </c>
      <c r="I666" s="30" cm="1">
        <f t="array" ref="I666:J666">IFERROR(IF(ISBLANK(INDEX(_xlfn._xlws.FILTER([1]加工記録２!$O$3:$P$992, [1]加工記録２!$T$3:$T$992=B632), 1)), "", INDEX(_xlfn._xlws.FILTER([1]加工記録２!$O$3:$P$992, [1]加工記録２!$T$3:$T$992=B632), 1)),"")</f>
        <v>45852</v>
      </c>
      <c r="J666" s="77">
        <v>10</v>
      </c>
    </row>
    <row r="667" spans="1:11" s="5" customFormat="1" ht="18" customHeight="1">
      <c r="A667" s="137"/>
      <c r="B667" s="138"/>
      <c r="C667" s="138"/>
      <c r="D667" s="138"/>
      <c r="E667" s="116"/>
      <c r="F667" s="117"/>
      <c r="G667" s="118"/>
      <c r="H667" s="76" t="s">
        <v>163</v>
      </c>
      <c r="I667" s="78" cm="1">
        <f t="array" ref="I667:J667">IFERROR(IF(ISBLANK(INDEX(_xlfn._xlws.FILTER([1]加工記録２!$O$3:$P$992, [1]加工記録２!$T$3:$T$992=B632), 2)), "", INDEX(_xlfn._xlws.FILTER([1]加工記録２!$O$3:$P$992, [1]加工記録２!$T$3:$T$992=B632), 2)),"")</f>
        <v>144</v>
      </c>
      <c r="J667" s="79">
        <v>42</v>
      </c>
      <c r="K667" s="31"/>
    </row>
    <row r="668" spans="1:11" s="7" customFormat="1" ht="18" customHeight="1">
      <c r="A668" s="119" t="s">
        <v>164</v>
      </c>
      <c r="B668" s="121" t="str">
        <f>_xlfn.XLOOKUP(B630,[1]VFDB2!A:A,[1]VFDB2!J:J)</f>
        <v>-</v>
      </c>
      <c r="C668" s="163" t="s">
        <v>165</v>
      </c>
      <c r="D668" s="165">
        <f>_xlfn.XLOOKUP(B630,[1]VFDB2!A:A,[1]VFDB2!P:P)</f>
        <v>1</v>
      </c>
      <c r="E668" s="116" t="str">
        <f>_xlfn.XLOOKUP(B630,[1]VFDB2!A:A,[1]VFDB2!V:V)</f>
        <v>梱包:箱1996　隙間埋め</v>
      </c>
      <c r="F668" s="117"/>
      <c r="G668" s="148"/>
      <c r="H668" s="80" t="s">
        <v>166</v>
      </c>
      <c r="I668" s="78" cm="1">
        <f t="array" ref="I668:J668">IFERROR(IF(ISBLANK(INDEX(_xlfn._xlws.FILTER([1]加工記録２!$O$3:$P$992, [1]加工記録２!$T$3:$T$992=B632), 3)), "", INDEX(_xlfn._xlws.FILTER([1]加工記録２!$O$3:$P$992, [1]加工記録２!$T$3:$T$992=B632), 3)),"")</f>
        <v>196</v>
      </c>
      <c r="J668" s="81" t="str">
        <v/>
      </c>
      <c r="K668" s="32"/>
    </row>
    <row r="669" spans="1:11" s="5" customFormat="1" ht="18" customHeight="1">
      <c r="A669" s="120"/>
      <c r="B669" s="122"/>
      <c r="C669" s="164"/>
      <c r="D669" s="166"/>
      <c r="E669" s="116"/>
      <c r="F669" s="117"/>
      <c r="G669" s="148"/>
      <c r="H669" s="80" t="s">
        <v>167</v>
      </c>
      <c r="I669" s="78" cm="1">
        <f t="array" ref="I669:J669">IFERROR(IF(ISBLANK(INDEX(_xlfn._xlws.FILTER([1]加工記録２!$O$3:$P$992, [1]加工記録２!$T$3:$T$992=B632), 4)), "", INDEX(_xlfn._xlws.FILTER([1]加工記録２!$O$3:$P$992, [1]加工記録２!$T$3:$T$992=B632), 4)),"")</f>
        <v>52</v>
      </c>
      <c r="J669" s="82" t="str">
        <v/>
      </c>
      <c r="K669" s="31"/>
    </row>
    <row r="670" spans="1:11" s="7" customFormat="1" ht="18" customHeight="1">
      <c r="A670" s="140" t="s">
        <v>168</v>
      </c>
      <c r="B670" s="142">
        <f>D630</f>
        <v>1815</v>
      </c>
      <c r="C670" s="144" t="s">
        <v>169</v>
      </c>
      <c r="D670" s="146" t="str">
        <f>_xlfn.XLOOKUP(B630,[1]VFDB2!A:A,[1]VFDB2!L:L)</f>
        <v>+2</v>
      </c>
      <c r="E670" s="116" t="str">
        <f>_xlfn.XLOOKUP(B630,[1]VFDB2!A:A,[1]VFDB2!W:W)</f>
        <v>クラフト紙：1996型</v>
      </c>
      <c r="F670" s="117"/>
      <c r="G670" s="148"/>
      <c r="H670" s="80" t="s">
        <v>170</v>
      </c>
      <c r="I670" s="78" cm="1">
        <f t="array" ref="I670:J670">IFERROR(IF(ISBLANK(INDEX(_xlfn._xlws.FILTER([1]加工記録２!$O$3:$P$992, [1]加工記録２!$T$3:$T$992=B632), 5)), "", INDEX(_xlfn._xlws.FILTER([1]加工記録２!$O$3:$P$992, [1]加工記録２!$T$3:$T$992=B632), 5)),"")</f>
        <v>52</v>
      </c>
      <c r="J670" s="83" t="str">
        <v/>
      </c>
      <c r="K670" s="32"/>
    </row>
    <row r="671" spans="1:11" s="5" customFormat="1" ht="18" customHeight="1">
      <c r="A671" s="141"/>
      <c r="B671" s="143"/>
      <c r="C671" s="145"/>
      <c r="D671" s="147"/>
      <c r="E671" s="116"/>
      <c r="F671" s="117"/>
      <c r="G671" s="148"/>
      <c r="H671" s="80" t="s">
        <v>171</v>
      </c>
      <c r="I671" s="78" cm="1">
        <f t="array" ref="I671:J671">IFERROR(IF(ISBLANK(INDEX(_xlfn._xlws.FILTER([1]加工記録２!$O$3:$P$992, [1]加工記録２!$T$3:$T$992=B632), 6)), "", INDEX(_xlfn._xlws.FILTER([1]加工記録２!$O$3:$P$992, [1]加工記録２!$T$3:$T$992=B632), 6)),"")</f>
        <v>0</v>
      </c>
      <c r="J671" s="84" t="str">
        <v/>
      </c>
      <c r="K671" s="31"/>
    </row>
    <row r="672" spans="1:11" s="7" customFormat="1" ht="18" customHeight="1">
      <c r="A672" s="119" t="s">
        <v>172</v>
      </c>
      <c r="B672" s="151" t="str">
        <f>_xlfn.XLOOKUP(B630,[1]VFDB2!A:A,[1]VFDB2!AC:AC)</f>
        <v>換算表確認</v>
      </c>
      <c r="C672" s="153" t="s">
        <v>173</v>
      </c>
      <c r="D672" s="146">
        <f>_xlfn.XLOOKUP(B630,[1]VFDB2!A:A,[1]VFDB2!K:K)</f>
        <v>-2</v>
      </c>
      <c r="E672" s="116" t="str">
        <f>_xlfn.XLOOKUP(B630,[1]VFDB2!A:A,[1]VFDB2!R:R)</f>
        <v>ラベル2枚　長手有　鉢巻１</v>
      </c>
      <c r="F672" s="117"/>
      <c r="G672" s="148"/>
      <c r="H672" s="80" t="s">
        <v>174</v>
      </c>
      <c r="I672" s="78" t="str" cm="1">
        <f t="array" ref="I672:J672">IFERROR(IF(ISBLANK(INDEX(_xlfn._xlws.FILTER([1]加工記録２!$O$3:$P$992, [1]加工記録２!$T$3:$T$992=B632), 7)), "", INDEX(_xlfn._xlws.FILTER([1]加工記録２!$O$3:$P$992, [1]加工記録２!$T$3:$T$992=B632), 7)),"")</f>
        <v>-</v>
      </c>
      <c r="J672" s="85" t="str">
        <v/>
      </c>
      <c r="K672" s="32"/>
    </row>
    <row r="673" spans="1:14" s="5" customFormat="1" ht="18" customHeight="1" thickBot="1">
      <c r="A673" s="150"/>
      <c r="B673" s="152"/>
      <c r="C673" s="154"/>
      <c r="D673" s="155"/>
      <c r="E673" s="156"/>
      <c r="F673" s="157"/>
      <c r="G673" s="158"/>
      <c r="H673" s="86" t="s">
        <v>175</v>
      </c>
      <c r="I673" s="33" t="str" cm="1">
        <f t="array" ref="I673:J673">IFERROR(IF(ISBLANK(INDEX(_xlfn._xlws.FILTER([1]加工記録２!$O$3:$P$992, [1]加工記録２!$T$3:$T$992=B632), 8)), "", INDEX(_xlfn._xlws.FILTER([1]加工記録２!$O$3:$P$992, [1]加工記録２!$T$3:$T$992=B632), 8)),"")</f>
        <v>高森</v>
      </c>
      <c r="J673" s="87">
        <v>52</v>
      </c>
    </row>
    <row r="674" spans="1:14" s="44" customFormat="1" ht="18.95" customHeight="1">
      <c r="A674" s="34" t="s">
        <v>176</v>
      </c>
      <c r="B674" s="35" t="s">
        <v>185</v>
      </c>
      <c r="C674" s="36" t="s">
        <v>177</v>
      </c>
      <c r="D674" s="36" t="s">
        <v>178</v>
      </c>
      <c r="E674" s="37" t="s">
        <v>179</v>
      </c>
      <c r="F674" s="38" t="s">
        <v>180</v>
      </c>
      <c r="G674" s="39" t="s">
        <v>181</v>
      </c>
      <c r="H674" s="40" t="s">
        <v>182</v>
      </c>
      <c r="I674" s="41" t="s">
        <v>183</v>
      </c>
      <c r="J674" s="42" t="s">
        <v>184</v>
      </c>
      <c r="K674" s="43"/>
      <c r="L674" s="43"/>
      <c r="M674" s="43"/>
      <c r="N674" s="43"/>
    </row>
    <row r="675" spans="1:14" s="55" customFormat="1" ht="18.95" customHeight="1">
      <c r="A675" s="88" t="str" cm="1">
        <f t="array" ref="A675:J675">IFERROR(IF(ISBLANK(INDEX(_xlfn._xlws.FILTER([1]加工記録２!$D$3:$M$992, [1]加工記録２!$T$3:$T$992=B632), 1)), "", INDEX(_xlfn._xlws.FILTER([1]加工記録２!$D$3:$M$992, [1]加工記録２!$T$3:$T$992=B632), 1)),"")</f>
        <v/>
      </c>
      <c r="B675" s="46" t="str">
        <v/>
      </c>
      <c r="C675" s="47" t="str">
        <v/>
      </c>
      <c r="D675" s="47" t="str">
        <v/>
      </c>
      <c r="E675" s="48" t="str">
        <v/>
      </c>
      <c r="F675" s="49">
        <v>0</v>
      </c>
      <c r="G675" s="50">
        <v>0</v>
      </c>
      <c r="H675" s="51">
        <v>0</v>
      </c>
      <c r="I675" s="52">
        <v>45849</v>
      </c>
      <c r="J675" s="53">
        <v>7</v>
      </c>
      <c r="K675" s="54"/>
      <c r="L675" s="54"/>
      <c r="M675" s="54"/>
      <c r="N675" s="54"/>
    </row>
    <row r="676" spans="1:14" s="55" customFormat="1" ht="18.95" customHeight="1">
      <c r="A676" s="45" cm="1">
        <f t="array" ref="A676:J676">IFERROR(IF(ISBLANK(INDEX(_xlfn._xlws.FILTER([1]加工記録２!$D$3:$M$992, [1]加工記録２!$T$3:$T$992=B632), 2)), "", INDEX(_xlfn._xlws.FILTER([1]加工記録２!$D$3:$M$992, [1]加工記録２!$T$3:$T$992=B632), 2)),"")</f>
        <v>45852</v>
      </c>
      <c r="B676" s="56" t="str">
        <v>25G04-01</v>
      </c>
      <c r="C676" s="56" t="str">
        <v/>
      </c>
      <c r="D676" s="56" t="str">
        <v/>
      </c>
      <c r="E676" s="57" t="str">
        <v/>
      </c>
      <c r="F676" s="58" t="str">
        <v>25G04-01</v>
      </c>
      <c r="G676" s="59">
        <v>196</v>
      </c>
      <c r="H676" s="60">
        <v>196</v>
      </c>
      <c r="I676" s="52">
        <v>45852</v>
      </c>
      <c r="J676" s="53">
        <v>2</v>
      </c>
      <c r="K676" s="54"/>
      <c r="L676" s="54"/>
      <c r="M676" s="54"/>
      <c r="N676" s="54"/>
    </row>
    <row r="677" spans="1:14" s="55" customFormat="1" ht="18.95" customHeight="1">
      <c r="A677" s="45" cm="1">
        <f t="array" ref="A677:J677">IFERROR(IF(ISBLANK(INDEX(_xlfn._xlws.FILTER([1]加工記録２!$D$3:$M$992, [1]加工記録２!$T$3:$T$992=B632), 3)), "", INDEX(_xlfn._xlws.FILTER([1]加工記録２!$D$3:$M$992, [1]加工記録２!$T$3:$T$992=B632), 3)),"")</f>
        <v>45849</v>
      </c>
      <c r="B677" s="56" t="str">
        <v>25G04-01</v>
      </c>
      <c r="C677" s="56" t="str">
        <v/>
      </c>
      <c r="D677" s="56" t="str">
        <v/>
      </c>
      <c r="E677" s="57" t="str">
        <v/>
      </c>
      <c r="F677" s="58" t="str">
        <v/>
      </c>
      <c r="G677" s="59" t="str">
        <v/>
      </c>
      <c r="H677" s="60">
        <v>0</v>
      </c>
      <c r="I677" s="52" t="str">
        <v/>
      </c>
      <c r="J677" s="53" t="str">
        <v/>
      </c>
      <c r="K677" s="54"/>
      <c r="L677" s="54"/>
      <c r="M677" s="54"/>
      <c r="N677" s="54"/>
    </row>
    <row r="678" spans="1:14" s="55" customFormat="1" ht="18.95" customHeight="1">
      <c r="A678" s="45" t="str" cm="1">
        <f t="array" ref="A678:J678">IFERROR(IF(ISBLANK(INDEX(_xlfn._xlws.FILTER([1]加工記録２!$D$3:$M$992, [1]加工記録２!$T$3:$T$992=B632), 4)), "", INDEX(_xlfn._xlws.FILTER([1]加工記録２!$D$3:$M$992, [1]加工記録２!$T$3:$T$992=B632), 4)),"")</f>
        <v/>
      </c>
      <c r="B678" s="56" t="str">
        <v/>
      </c>
      <c r="C678" s="56" t="str">
        <v/>
      </c>
      <c r="D678" s="56" t="str">
        <v/>
      </c>
      <c r="E678" s="57" t="str">
        <v/>
      </c>
      <c r="F678" s="58" t="str">
        <v/>
      </c>
      <c r="G678" s="59" t="str">
        <v/>
      </c>
      <c r="H678" s="60">
        <v>0</v>
      </c>
      <c r="I678" s="52" t="str">
        <v/>
      </c>
      <c r="J678" s="53" t="str">
        <v/>
      </c>
      <c r="K678" s="54"/>
      <c r="L678" s="54"/>
      <c r="M678" s="54"/>
      <c r="N678" s="54"/>
    </row>
    <row r="679" spans="1:14" s="55" customFormat="1" ht="18.95" customHeight="1">
      <c r="A679" s="45" t="str" cm="1">
        <f t="array" ref="A679:J679">IFERROR(IF(ISBLANK(INDEX(_xlfn._xlws.FILTER([1]加工記録２!$D$3:$M$992, [1]加工記録２!$T$3:$T$992=B632), 5)), "", INDEX(_xlfn._xlws.FILTER([1]加工記録２!$D$3:$M$992, [1]加工記録２!$T$3:$T$992=B632), 5)),"")</f>
        <v/>
      </c>
      <c r="B679" s="56" t="str">
        <v/>
      </c>
      <c r="C679" s="56" t="str">
        <v/>
      </c>
      <c r="D679" s="56" t="str">
        <v/>
      </c>
      <c r="E679" s="57" t="str">
        <v/>
      </c>
      <c r="F679" s="58" t="str">
        <v/>
      </c>
      <c r="G679" s="59" t="str">
        <v/>
      </c>
      <c r="H679" s="60">
        <v>0</v>
      </c>
      <c r="I679" s="61" t="str">
        <v/>
      </c>
      <c r="J679" s="62" t="str">
        <v/>
      </c>
      <c r="K679" s="54"/>
      <c r="L679" s="54"/>
      <c r="M679" s="54"/>
      <c r="N679" s="54"/>
    </row>
    <row r="680" spans="1:14" s="55" customFormat="1" ht="18.95" customHeight="1">
      <c r="A680" s="45" t="str" cm="1">
        <f t="array" ref="A680:J680">IFERROR(IF(ISBLANK(INDEX(_xlfn._xlws.FILTER([1]加工記録２!$D$3:$M$992, [1]加工記録２!$T$3:$T$992=B632), 6)), "", INDEX(_xlfn._xlws.FILTER([1]加工記録２!$D$3:$M$992, [1]加工記録２!$T$3:$T$992=B632), 6)),"")</f>
        <v/>
      </c>
      <c r="B680" s="56" t="str">
        <v/>
      </c>
      <c r="C680" s="56" t="str">
        <v/>
      </c>
      <c r="D680" s="56" t="str">
        <v/>
      </c>
      <c r="E680" s="57" t="str">
        <v/>
      </c>
      <c r="F680" s="58" t="str">
        <v/>
      </c>
      <c r="G680" s="59" t="str">
        <v/>
      </c>
      <c r="H680" s="63">
        <v>0</v>
      </c>
      <c r="I680" s="64" t="str">
        <v>旧品加工</v>
      </c>
      <c r="J680" s="65" t="str">
        <v/>
      </c>
      <c r="K680" s="54"/>
      <c r="L680" s="54"/>
      <c r="M680" s="54"/>
      <c r="N680" s="54"/>
    </row>
    <row r="681" spans="1:14" s="55" customFormat="1" ht="18.95" customHeight="1">
      <c r="A681" s="45" t="str" cm="1">
        <f t="array" ref="A681:J681">IFERROR(IF(ISBLANK(INDEX(_xlfn._xlws.FILTER([1]加工記録２!$D$3:$M$992, [1]加工記録２!$T$3:$T$992=B632), 7)), "", INDEX(_xlfn._xlws.FILTER([1]加工記録２!$D$3:$M$992, [1]加工記録２!$T$3:$T$992=B632), 7)),"")</f>
        <v/>
      </c>
      <c r="B681" s="56" t="str">
        <v/>
      </c>
      <c r="C681" s="56" t="str">
        <v/>
      </c>
      <c r="D681" s="56" t="str">
        <v/>
      </c>
      <c r="E681" s="57" t="str">
        <v/>
      </c>
      <c r="F681" s="58" t="str">
        <v/>
      </c>
      <c r="G681" s="59" t="str">
        <v/>
      </c>
      <c r="H681" s="63">
        <v>0</v>
      </c>
      <c r="I681" s="66" t="str">
        <v>持出端材</v>
      </c>
      <c r="J681" s="67" t="str">
        <v/>
      </c>
      <c r="K681" s="54"/>
      <c r="L681" s="54"/>
      <c r="M681" s="54"/>
      <c r="N681" s="54"/>
    </row>
    <row r="682" spans="1:14" s="55" customFormat="1" ht="18.95" customHeight="1" thickBot="1">
      <c r="A682" s="68" t="str" cm="1">
        <f t="array" ref="A682:J682">IFERROR(IF(ISBLANK(INDEX(_xlfn._xlws.FILTER([1]加工記録２!$D$3:$M$992, [1]加工記録２!$T$3:$T$992=B632), 8)), "", INDEX(_xlfn._xlws.FILTER([1]加工記録２!$D$3:$M$992, [1]加工記録２!$T$3:$T$992=B632), 8)),"")</f>
        <v/>
      </c>
      <c r="B682" s="69" t="str">
        <v/>
      </c>
      <c r="C682" s="69" t="str">
        <v/>
      </c>
      <c r="D682" s="69" t="str">
        <v/>
      </c>
      <c r="E682" s="70" t="str">
        <v/>
      </c>
      <c r="F682" s="71" t="str">
        <v/>
      </c>
      <c r="G682" s="72" t="str">
        <v/>
      </c>
      <c r="H682" s="73">
        <v>0</v>
      </c>
      <c r="I682" s="74" t="str">
        <v>α端材</v>
      </c>
      <c r="J682" s="75">
        <v>0</v>
      </c>
      <c r="K682" s="54"/>
      <c r="L682" s="54"/>
      <c r="M682" s="54"/>
      <c r="N682" s="54"/>
    </row>
    <row r="683" spans="1:14" ht="13.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4" ht="6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2"/>
      <c r="B685" s="126" t="s">
        <v>0</v>
      </c>
      <c r="C685" s="90"/>
      <c r="D685" s="90"/>
      <c r="E685" s="12"/>
      <c r="F685" s="12"/>
      <c r="G685" s="12"/>
      <c r="H685" s="12"/>
      <c r="I685" s="12"/>
      <c r="J685" s="12"/>
    </row>
    <row r="686" spans="1:14" ht="14.25" customHeight="1">
      <c r="A686" s="13"/>
      <c r="B686" s="90"/>
      <c r="C686" s="90"/>
      <c r="D686" s="90"/>
      <c r="E686" s="13"/>
      <c r="F686" s="13"/>
      <c r="G686" s="13"/>
      <c r="H686" s="13"/>
      <c r="I686" s="13"/>
      <c r="J686" s="13"/>
    </row>
    <row r="687" spans="1:14" ht="14.25" customHeight="1">
      <c r="A687" s="95" t="s">
        <v>1</v>
      </c>
      <c r="B687" s="95" t="s">
        <v>147</v>
      </c>
      <c r="C687" s="95" t="s">
        <v>3</v>
      </c>
      <c r="D687" s="123">
        <v>1966</v>
      </c>
      <c r="E687" s="95" t="s">
        <v>4</v>
      </c>
      <c r="F687" s="89" t="s">
        <v>148</v>
      </c>
      <c r="G687" s="90"/>
      <c r="H687" s="91"/>
      <c r="I687" s="14" t="s">
        <v>6</v>
      </c>
      <c r="J687" s="14" t="s">
        <v>7</v>
      </c>
    </row>
    <row r="688" spans="1:14" ht="14.25" customHeight="1">
      <c r="A688" s="90"/>
      <c r="B688" s="90"/>
      <c r="C688" s="90"/>
      <c r="D688" s="90"/>
      <c r="E688" s="90"/>
      <c r="F688" s="90"/>
      <c r="G688" s="90"/>
      <c r="H688" s="91"/>
      <c r="I688" s="98"/>
      <c r="J688" s="98"/>
    </row>
    <row r="689" spans="1:10" ht="17.45" customHeight="1">
      <c r="A689" s="104" t="s">
        <v>8</v>
      </c>
      <c r="B689" s="104" t="s">
        <v>149</v>
      </c>
      <c r="E689" s="104" t="s">
        <v>10</v>
      </c>
      <c r="F689" s="112" t="s">
        <v>11</v>
      </c>
      <c r="G689" s="90"/>
      <c r="H689" s="91"/>
      <c r="I689" s="99"/>
      <c r="J689" s="99"/>
    </row>
    <row r="690" spans="1:10" ht="17.45" customHeight="1">
      <c r="A690" s="90"/>
      <c r="B690" s="90"/>
      <c r="E690" s="90"/>
      <c r="F690" s="90"/>
      <c r="G690" s="90"/>
      <c r="H690" s="91"/>
      <c r="I690" s="15"/>
      <c r="J690" s="15"/>
    </row>
    <row r="691" spans="1:10" ht="17.45" customHeight="1">
      <c r="A691" s="104" t="s">
        <v>12</v>
      </c>
      <c r="B691" s="104" t="s">
        <v>150</v>
      </c>
      <c r="E691" s="2" t="s">
        <v>14</v>
      </c>
      <c r="F691" s="113" t="s">
        <v>15</v>
      </c>
      <c r="G691" s="90"/>
      <c r="H691" s="22"/>
    </row>
    <row r="692" spans="1:10" ht="17.45" customHeight="1">
      <c r="A692" s="90"/>
      <c r="B692" s="90"/>
      <c r="E692" s="2" t="s">
        <v>16</v>
      </c>
      <c r="F692" s="22" t="s">
        <v>17</v>
      </c>
      <c r="G692" s="22"/>
      <c r="H692" s="22"/>
    </row>
    <row r="693" spans="1:10" ht="17.45" customHeight="1">
      <c r="A693" s="2" t="s">
        <v>18</v>
      </c>
      <c r="B693" s="4">
        <v>45861</v>
      </c>
      <c r="E693" s="2" t="s">
        <v>19</v>
      </c>
      <c r="F693" s="132">
        <v>16</v>
      </c>
      <c r="G693" s="90"/>
      <c r="H693" s="22"/>
    </row>
    <row r="694" spans="1:10" ht="17.45" customHeight="1">
      <c r="A694" s="2" t="s">
        <v>20</v>
      </c>
      <c r="B694" s="4">
        <v>45861</v>
      </c>
      <c r="E694" s="2" t="s">
        <v>21</v>
      </c>
      <c r="F694" s="22">
        <v>6</v>
      </c>
      <c r="G694" s="139" t="s">
        <v>22</v>
      </c>
      <c r="H694" s="128">
        <v>96</v>
      </c>
      <c r="I694" s="129"/>
      <c r="J694" s="130"/>
    </row>
    <row r="695" spans="1:10" ht="17.45" customHeight="1">
      <c r="A695" s="20"/>
      <c r="B695" s="21"/>
      <c r="C695" s="21"/>
      <c r="D695" s="21"/>
      <c r="E695" s="2" t="s">
        <v>23</v>
      </c>
      <c r="F695" s="22" t="s">
        <v>24</v>
      </c>
      <c r="G695" s="131"/>
      <c r="H695" s="131"/>
      <c r="I695" s="110"/>
      <c r="J695" s="111"/>
    </row>
    <row r="696" spans="1:10" ht="13.5" customHeight="1">
      <c r="A696" s="102" t="s">
        <v>151</v>
      </c>
      <c r="B696" s="90"/>
      <c r="C696" s="90"/>
      <c r="D696" s="21"/>
      <c r="F696" s="3"/>
      <c r="G696" s="103" t="s">
        <v>26</v>
      </c>
      <c r="H696" s="92" t="s">
        <v>27</v>
      </c>
      <c r="I696" s="109" t="s">
        <v>28</v>
      </c>
      <c r="J696" s="91"/>
    </row>
    <row r="697" spans="1:10" ht="13.5" customHeight="1">
      <c r="A697" s="90"/>
      <c r="B697" s="90"/>
      <c r="C697" s="90"/>
      <c r="D697" s="21"/>
      <c r="F697" s="3"/>
      <c r="G697" s="93"/>
      <c r="H697" s="93"/>
      <c r="I697" s="110"/>
      <c r="J697" s="111"/>
    </row>
    <row r="698" spans="1:10" ht="13.5" customHeight="1">
      <c r="A698" s="1" t="s">
        <v>29</v>
      </c>
    </row>
    <row r="699" spans="1:10" ht="63" customHeight="1">
      <c r="A699" s="124"/>
      <c r="B699" s="125"/>
      <c r="C699" s="125"/>
      <c r="D699" s="125"/>
      <c r="E699" s="125"/>
      <c r="F699" s="125"/>
      <c r="G699" s="125"/>
      <c r="H699" s="125"/>
      <c r="I699" s="125"/>
      <c r="J699" s="125"/>
    </row>
    <row r="700" spans="1:10" ht="18.75">
      <c r="A700" s="24" t="s">
        <v>30</v>
      </c>
      <c r="B700" s="17" t="s">
        <v>31</v>
      </c>
      <c r="C700" s="114" t="s">
        <v>32</v>
      </c>
      <c r="D700" s="107"/>
      <c r="E700" s="17" t="s">
        <v>33</v>
      </c>
      <c r="F700" s="114" t="s">
        <v>34</v>
      </c>
      <c r="G700" s="107"/>
      <c r="H700" s="107"/>
      <c r="I700" s="106" t="s">
        <v>35</v>
      </c>
      <c r="J700" s="107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3">
        <v>1</v>
      </c>
      <c r="B702" s="25" t="s">
        <v>36</v>
      </c>
      <c r="C702" s="94" t="s">
        <v>37</v>
      </c>
      <c r="D702" s="90"/>
      <c r="E702" s="25" t="s">
        <v>40</v>
      </c>
      <c r="F702" s="94" t="s">
        <v>41</v>
      </c>
      <c r="G702" s="90"/>
      <c r="H702" s="90"/>
      <c r="I702" s="108"/>
      <c r="J702" s="90"/>
    </row>
    <row r="703" spans="1:10" ht="16.5" customHeight="1">
      <c r="A703" s="23">
        <v>1</v>
      </c>
      <c r="B703" s="26" t="s">
        <v>36</v>
      </c>
      <c r="C703" s="94" t="s">
        <v>37</v>
      </c>
      <c r="D703" s="90"/>
      <c r="E703" s="25" t="s">
        <v>42</v>
      </c>
      <c r="F703" s="94" t="s">
        <v>43</v>
      </c>
      <c r="G703" s="90"/>
      <c r="H703" s="90"/>
      <c r="I703" s="108"/>
      <c r="J703" s="90"/>
    </row>
    <row r="704" spans="1:10" ht="16.5" customHeight="1">
      <c r="A704" s="23"/>
      <c r="B704" s="26"/>
      <c r="C704" s="94"/>
      <c r="D704" s="90"/>
      <c r="E704" s="25"/>
      <c r="F704" s="94"/>
      <c r="G704" s="90"/>
      <c r="H704" s="90"/>
      <c r="I704" s="108"/>
      <c r="J704" s="90"/>
    </row>
    <row r="705" spans="1:10" ht="16.5" customHeight="1">
      <c r="A705" s="23"/>
      <c r="B705" s="26"/>
      <c r="C705" s="94"/>
      <c r="D705" s="90"/>
      <c r="E705" s="25"/>
      <c r="F705" s="94"/>
      <c r="G705" s="90"/>
      <c r="H705" s="90"/>
      <c r="I705" s="108"/>
      <c r="J705" s="90"/>
    </row>
    <row r="706" spans="1:10" ht="16.5" customHeight="1">
      <c r="A706" s="23"/>
      <c r="B706" s="26"/>
      <c r="C706" s="94"/>
      <c r="D706" s="90"/>
      <c r="E706" s="25"/>
      <c r="F706" s="94"/>
      <c r="G706" s="90"/>
      <c r="H706" s="90"/>
      <c r="I706" s="108"/>
      <c r="J706" s="90"/>
    </row>
    <row r="707" spans="1:10" ht="16.5" customHeight="1">
      <c r="A707" s="23"/>
      <c r="B707" s="26"/>
      <c r="C707" s="94"/>
      <c r="D707" s="90"/>
      <c r="E707" s="25"/>
      <c r="F707" s="94"/>
      <c r="G707" s="90"/>
      <c r="H707" s="90"/>
      <c r="I707" s="108"/>
      <c r="J707" s="90"/>
    </row>
    <row r="708" spans="1:10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</row>
    <row r="709" spans="1:10" ht="18.75">
      <c r="A709" s="100" t="s">
        <v>44</v>
      </c>
      <c r="B709" s="101"/>
      <c r="C709" s="100" t="s">
        <v>45</v>
      </c>
      <c r="D709" s="101"/>
      <c r="E709" s="101"/>
      <c r="F709" s="18" t="s">
        <v>46</v>
      </c>
      <c r="G709" s="100" t="s">
        <v>47</v>
      </c>
      <c r="H709" s="101"/>
      <c r="I709" s="100" t="s">
        <v>48</v>
      </c>
      <c r="J709" s="101"/>
    </row>
    <row r="710" spans="1:10" ht="14.25" customHeight="1">
      <c r="A710" s="8"/>
      <c r="B710" s="19"/>
      <c r="C710" s="127" t="s">
        <v>49</v>
      </c>
      <c r="D710" s="110"/>
      <c r="E710" s="19"/>
      <c r="F710" s="127" t="s">
        <v>29</v>
      </c>
      <c r="G710" s="110"/>
      <c r="H710" s="110"/>
      <c r="I710" s="110"/>
      <c r="J710" s="110"/>
    </row>
    <row r="711" spans="1:10">
      <c r="A711" s="9"/>
      <c r="C711" s="7"/>
      <c r="D711" s="7"/>
      <c r="E711" s="7"/>
    </row>
    <row r="712" spans="1:10" ht="14.25" customHeight="1">
      <c r="A712" s="94" t="s">
        <v>152</v>
      </c>
      <c r="B712" s="90"/>
      <c r="C712" s="94" t="s">
        <v>153</v>
      </c>
      <c r="D712" s="90"/>
      <c r="E712" s="90"/>
      <c r="F712" s="27" t="s">
        <v>52</v>
      </c>
      <c r="G712" s="96">
        <v>96</v>
      </c>
      <c r="H712" s="90"/>
      <c r="I712" s="96">
        <v>6</v>
      </c>
      <c r="J712" s="90"/>
    </row>
    <row r="713" spans="1:10" ht="24.95" customHeight="1">
      <c r="A713" s="105" t="s">
        <v>154</v>
      </c>
      <c r="B713" s="90"/>
      <c r="C713" s="94" t="s">
        <v>11</v>
      </c>
      <c r="D713" s="90"/>
      <c r="E713" s="90"/>
      <c r="F713" s="94"/>
      <c r="G713" s="90"/>
      <c r="H713" s="90"/>
      <c r="I713" s="90"/>
      <c r="J713" s="90"/>
    </row>
    <row r="714" spans="1:10" ht="14.25" customHeight="1">
      <c r="A714" s="94" t="s">
        <v>93</v>
      </c>
      <c r="B714" s="90"/>
      <c r="C714" s="94" t="s">
        <v>94</v>
      </c>
      <c r="D714" s="90"/>
      <c r="E714" s="90"/>
      <c r="F714" s="27" t="s">
        <v>27</v>
      </c>
      <c r="G714" s="96">
        <v>6.048</v>
      </c>
      <c r="H714" s="90"/>
      <c r="I714" s="96">
        <v>0.378</v>
      </c>
      <c r="J714" s="90"/>
    </row>
    <row r="715" spans="1:10" ht="24.95" customHeight="1">
      <c r="A715" s="105" t="s">
        <v>95</v>
      </c>
      <c r="B715" s="90"/>
      <c r="C715" s="94"/>
      <c r="D715" s="90"/>
      <c r="E715" s="90"/>
      <c r="F715" s="94"/>
      <c r="G715" s="90"/>
      <c r="H715" s="90"/>
      <c r="I715" s="90"/>
      <c r="J715" s="90"/>
    </row>
    <row r="716" spans="1:10" ht="14.25" customHeight="1">
      <c r="A716" s="94" t="s">
        <v>81</v>
      </c>
      <c r="B716" s="90"/>
      <c r="C716" s="94" t="s">
        <v>82</v>
      </c>
      <c r="D716" s="90"/>
      <c r="E716" s="90"/>
      <c r="F716" s="27"/>
      <c r="G716" s="96">
        <v>0.57599999999999996</v>
      </c>
      <c r="H716" s="90"/>
      <c r="I716" s="96">
        <v>3.5999999999999997E-2</v>
      </c>
      <c r="J716" s="90"/>
    </row>
    <row r="717" spans="1:10" ht="24.95" customHeight="1">
      <c r="A717" s="105" t="s">
        <v>83</v>
      </c>
      <c r="B717" s="90"/>
      <c r="C717" s="94" t="s">
        <v>84</v>
      </c>
      <c r="D717" s="90"/>
      <c r="E717" s="90"/>
      <c r="F717" s="94"/>
      <c r="G717" s="90"/>
      <c r="H717" s="90"/>
      <c r="I717" s="90"/>
      <c r="J717" s="90"/>
    </row>
    <row r="718" spans="1:10" ht="14.25" customHeight="1">
      <c r="A718" s="94"/>
      <c r="B718" s="90"/>
      <c r="C718" s="94"/>
      <c r="D718" s="90"/>
      <c r="E718" s="90"/>
      <c r="F718" s="27"/>
      <c r="G718" s="96"/>
      <c r="H718" s="90"/>
      <c r="I718" s="96"/>
      <c r="J718" s="90"/>
    </row>
    <row r="719" spans="1:10" ht="24.95" customHeight="1">
      <c r="A719" s="105"/>
      <c r="B719" s="90"/>
      <c r="C719" s="94"/>
      <c r="D719" s="90"/>
      <c r="E719" s="90"/>
      <c r="F719" s="94"/>
      <c r="G719" s="90"/>
      <c r="H719" s="90"/>
      <c r="I719" s="90"/>
      <c r="J719" s="90"/>
    </row>
    <row r="720" spans="1:10" ht="14.25" customHeight="1">
      <c r="A720" s="94"/>
      <c r="B720" s="90"/>
      <c r="C720" s="94"/>
      <c r="D720" s="90"/>
      <c r="E720" s="90"/>
      <c r="F720" s="27"/>
      <c r="G720" s="96"/>
      <c r="H720" s="90"/>
      <c r="I720" s="96"/>
      <c r="J720" s="90"/>
    </row>
    <row r="721" spans="1:14" ht="24.95" customHeight="1" thickBot="1">
      <c r="A721" s="105"/>
      <c r="B721" s="90"/>
      <c r="C721" s="94"/>
      <c r="D721" s="90"/>
      <c r="E721" s="90"/>
      <c r="F721" s="94"/>
      <c r="G721" s="90"/>
      <c r="H721" s="90"/>
      <c r="I721" s="90"/>
      <c r="J721" s="90"/>
    </row>
    <row r="722" spans="1:14" s="5" customFormat="1" ht="18" customHeight="1">
      <c r="A722" s="159" t="s">
        <v>157</v>
      </c>
      <c r="B722" s="160"/>
      <c r="C722" s="160"/>
      <c r="D722" s="160"/>
      <c r="E722" s="161" t="s">
        <v>158</v>
      </c>
      <c r="F722" s="162"/>
      <c r="G722" s="28" t="s">
        <v>159</v>
      </c>
      <c r="H722" s="133" t="s">
        <v>160</v>
      </c>
      <c r="I722" s="134"/>
      <c r="J722" s="29" t="s">
        <v>161</v>
      </c>
    </row>
    <row r="723" spans="1:14" s="7" customFormat="1" ht="18" customHeight="1">
      <c r="A723" s="135" t="str">
        <f>_xlfn.XLOOKUP(B687,[1]VFDB2!A:A,[1]VFDB2!A:A)</f>
        <v>J1ZAFJB00219660</v>
      </c>
      <c r="B723" s="136"/>
      <c r="C723" s="136"/>
      <c r="D723" s="136"/>
      <c r="E723" s="116" t="str" cm="1">
        <f t="array" ref="E723">IFERROR(IF(ISBLANK(INDEX(_xlfn._xlws.FILTER([1]加工記録２!$C$3:$C$992, [1]加工記録２!$T$3:$T$992=B689), 6)), "", INDEX(_xlfn._xlws.FILTER([1]加工記録２!$C$3:$C$992, [1]加工記録２!$T$3:$T$992=B689), 6)),"")</f>
        <v>灯具-2　L＝1996</v>
      </c>
      <c r="F723" s="117"/>
      <c r="G723" s="118" cm="1">
        <f t="array" ref="G723">IFERROR(IF(ISBLANK(INDEX(_xlfn._xlws.FILTER([1]加工記録２!$C$3:$C$992, [1]加工記録２!$T$3:$T$992=B689), 7)), " ", INDEX(_xlfn._xlws.FILTER([1]加工記録２!$C$3:$C$992, [1]加工記録２!$T$3:$T$992=B689), 7))," ")</f>
        <v>4</v>
      </c>
      <c r="H723" s="76" t="s">
        <v>162</v>
      </c>
      <c r="I723" s="30" cm="1">
        <f t="array" ref="I723:J723">IFERROR(IF(ISBLANK(INDEX(_xlfn._xlws.FILTER([1]加工記録２!$O$3:$P$992, [1]加工記録２!$T$3:$T$992=B689), 1)), "", INDEX(_xlfn._xlws.FILTER([1]加工記録２!$O$3:$P$992, [1]加工記録２!$T$3:$T$992=B689), 1)),"")</f>
        <v>45856</v>
      </c>
      <c r="J723" s="77">
        <v>20</v>
      </c>
    </row>
    <row r="724" spans="1:14" s="5" customFormat="1" ht="18" customHeight="1">
      <c r="A724" s="137"/>
      <c r="B724" s="138"/>
      <c r="C724" s="138"/>
      <c r="D724" s="138"/>
      <c r="E724" s="116"/>
      <c r="F724" s="117"/>
      <c r="G724" s="118"/>
      <c r="H724" s="76" t="s">
        <v>163</v>
      </c>
      <c r="I724" s="78" cm="1">
        <f t="array" ref="I724:J724">IFERROR(IF(ISBLANK(INDEX(_xlfn._xlws.FILTER([1]加工記録２!$O$3:$P$992, [1]加工記録２!$T$3:$T$992=B689), 2)), "", INDEX(_xlfn._xlws.FILTER([1]加工記録２!$O$3:$P$992, [1]加工記録２!$T$3:$T$992=B689), 2)),"")</f>
        <v>64</v>
      </c>
      <c r="J724" s="79">
        <v>5</v>
      </c>
      <c r="K724" s="31"/>
    </row>
    <row r="725" spans="1:14" s="7" customFormat="1" ht="18" customHeight="1">
      <c r="A725" s="119" t="s">
        <v>164</v>
      </c>
      <c r="B725" s="121" t="str">
        <f>_xlfn.XLOOKUP(B687,[1]VFDB2!A:A,[1]VFDB2!J:J)</f>
        <v>-</v>
      </c>
      <c r="C725" s="163" t="s">
        <v>165</v>
      </c>
      <c r="D725" s="165">
        <f>_xlfn.XLOOKUP(B687,[1]VFDB2!A:A,[1]VFDB2!P:P)</f>
        <v>1</v>
      </c>
      <c r="E725" s="116" t="str">
        <f>_xlfn.XLOOKUP(B687,[1]VFDB2!A:A,[1]VFDB2!V:V)</f>
        <v>梱包箱:1996</v>
      </c>
      <c r="F725" s="117"/>
      <c r="G725" s="148"/>
      <c r="H725" s="80" t="s">
        <v>166</v>
      </c>
      <c r="I725" s="78" cm="1">
        <f t="array" ref="I725:J725">IFERROR(IF(ISBLANK(INDEX(_xlfn._xlws.FILTER([1]加工記録２!$O$3:$P$992, [1]加工記録２!$T$3:$T$992=B689), 3)), "", INDEX(_xlfn._xlws.FILTER([1]加工記録２!$O$3:$P$992, [1]加工記録２!$T$3:$T$992=B689), 3)),"")</f>
        <v>89</v>
      </c>
      <c r="J725" s="81" t="str">
        <v/>
      </c>
      <c r="K725" s="32"/>
    </row>
    <row r="726" spans="1:14" s="5" customFormat="1" ht="18" customHeight="1">
      <c r="A726" s="120"/>
      <c r="B726" s="122"/>
      <c r="C726" s="164"/>
      <c r="D726" s="166"/>
      <c r="E726" s="116"/>
      <c r="F726" s="117"/>
      <c r="G726" s="148"/>
      <c r="H726" s="80" t="s">
        <v>167</v>
      </c>
      <c r="I726" s="78" cm="1">
        <f t="array" ref="I726:J726">IFERROR(IF(ISBLANK(INDEX(_xlfn._xlws.FILTER([1]加工記録２!$O$3:$P$992, [1]加工記録２!$T$3:$T$992=B689), 4)), "", INDEX(_xlfn._xlws.FILTER([1]加工記録２!$O$3:$P$992, [1]加工記録２!$T$3:$T$992=B689), 4)),"")</f>
        <v>25</v>
      </c>
      <c r="J726" s="82" t="str">
        <v/>
      </c>
      <c r="K726" s="31"/>
    </row>
    <row r="727" spans="1:14" s="7" customFormat="1" ht="18" customHeight="1">
      <c r="A727" s="140" t="s">
        <v>168</v>
      </c>
      <c r="B727" s="142">
        <f>D687</f>
        <v>1966</v>
      </c>
      <c r="C727" s="144" t="s">
        <v>169</v>
      </c>
      <c r="D727" s="146" t="str">
        <f>_xlfn.XLOOKUP(B687,[1]VFDB2!A:A,[1]VFDB2!L:L)</f>
        <v>+2</v>
      </c>
      <c r="E727" s="116" t="str">
        <f>_xlfn.XLOOKUP(B687,[1]VFDB2!A:A,[1]VFDB2!W:W)</f>
        <v>クラフト紙：1996型</v>
      </c>
      <c r="F727" s="117"/>
      <c r="G727" s="148"/>
      <c r="H727" s="80" t="s">
        <v>170</v>
      </c>
      <c r="I727" s="78" cm="1">
        <f t="array" ref="I727:J727">IFERROR(IF(ISBLANK(INDEX(_xlfn._xlws.FILTER([1]加工記録２!$O$3:$P$992, [1]加工記録２!$T$3:$T$992=B689), 5)), "", INDEX(_xlfn._xlws.FILTER([1]加工記録２!$O$3:$P$992, [1]加工記録２!$T$3:$T$992=B689), 5)),"")</f>
        <v>25</v>
      </c>
      <c r="J727" s="83" t="str">
        <v/>
      </c>
      <c r="K727" s="32"/>
    </row>
    <row r="728" spans="1:14" s="5" customFormat="1" ht="18" customHeight="1">
      <c r="A728" s="141"/>
      <c r="B728" s="143"/>
      <c r="C728" s="145"/>
      <c r="D728" s="147"/>
      <c r="E728" s="116"/>
      <c r="F728" s="117"/>
      <c r="G728" s="148"/>
      <c r="H728" s="80" t="s">
        <v>171</v>
      </c>
      <c r="I728" s="78" cm="1">
        <f t="array" ref="I728:J728">IFERROR(IF(ISBLANK(INDEX(_xlfn._xlws.FILTER([1]加工記録２!$O$3:$P$992, [1]加工記録２!$T$3:$T$992=B689), 6)), "", INDEX(_xlfn._xlws.FILTER([1]加工記録２!$O$3:$P$992, [1]加工記録２!$T$3:$T$992=B689), 6)),"")</f>
        <v>0</v>
      </c>
      <c r="J728" s="84" t="str">
        <v/>
      </c>
      <c r="K728" s="31"/>
    </row>
    <row r="729" spans="1:14" s="7" customFormat="1" ht="18" customHeight="1">
      <c r="A729" s="119" t="s">
        <v>172</v>
      </c>
      <c r="B729" s="151" t="str">
        <f>_xlfn.XLOOKUP(B687,[1]VFDB2!A:A,[1]VFDB2!AC:AC)</f>
        <v>換算表確認</v>
      </c>
      <c r="C729" s="153" t="s">
        <v>173</v>
      </c>
      <c r="D729" s="146">
        <f>_xlfn.XLOOKUP(B687,[1]VFDB2!A:A,[1]VFDB2!K:K)</f>
        <v>-2</v>
      </c>
      <c r="E729" s="116" t="str">
        <f>_xlfn.XLOOKUP(B687,[1]VFDB2!A:A,[1]VFDB2!R:R)</f>
        <v>ラベル2枚　長手有　鉢巻１</v>
      </c>
      <c r="F729" s="117"/>
      <c r="G729" s="148"/>
      <c r="H729" s="80" t="s">
        <v>174</v>
      </c>
      <c r="I729" s="78" t="str" cm="1">
        <f t="array" ref="I729:J729">IFERROR(IF(ISBLANK(INDEX(_xlfn._xlws.FILTER([1]加工記録２!$O$3:$P$992, [1]加工記録２!$T$3:$T$992=B689), 7)), "", INDEX(_xlfn._xlws.FILTER([1]加工記録２!$O$3:$P$992, [1]加工記録２!$T$3:$T$992=B689), 7)),"")</f>
        <v>-</v>
      </c>
      <c r="J729" s="85" t="str">
        <v/>
      </c>
      <c r="K729" s="32"/>
    </row>
    <row r="730" spans="1:14" s="5" customFormat="1" ht="18" customHeight="1" thickBot="1">
      <c r="A730" s="150"/>
      <c r="B730" s="152"/>
      <c r="C730" s="154"/>
      <c r="D730" s="155"/>
      <c r="E730" s="156"/>
      <c r="F730" s="157"/>
      <c r="G730" s="158"/>
      <c r="H730" s="86" t="s">
        <v>175</v>
      </c>
      <c r="I730" s="33" t="str" cm="1">
        <f t="array" ref="I730:J730">IFERROR(IF(ISBLANK(INDEX(_xlfn._xlws.FILTER([1]加工記録２!$O$3:$P$992, [1]加工記録２!$T$3:$T$992=B689), 8)), "", INDEX(_xlfn._xlws.FILTER([1]加工記録２!$O$3:$P$992, [1]加工記録２!$T$3:$T$992=B689), 8)),"")</f>
        <v>高森</v>
      </c>
      <c r="J730" s="87">
        <v>25</v>
      </c>
    </row>
    <row r="731" spans="1:14" s="44" customFormat="1" ht="18.95" customHeight="1">
      <c r="A731" s="34" t="s">
        <v>176</v>
      </c>
      <c r="B731" s="35" t="s">
        <v>185</v>
      </c>
      <c r="C731" s="36" t="s">
        <v>177</v>
      </c>
      <c r="D731" s="36" t="s">
        <v>178</v>
      </c>
      <c r="E731" s="37" t="s">
        <v>179</v>
      </c>
      <c r="F731" s="38" t="s">
        <v>180</v>
      </c>
      <c r="G731" s="39" t="s">
        <v>181</v>
      </c>
      <c r="H731" s="40" t="s">
        <v>182</v>
      </c>
      <c r="I731" s="41" t="s">
        <v>183</v>
      </c>
      <c r="J731" s="42" t="s">
        <v>184</v>
      </c>
      <c r="K731" s="43"/>
      <c r="L731" s="43"/>
      <c r="M731" s="43"/>
      <c r="N731" s="43"/>
    </row>
    <row r="732" spans="1:14" s="55" customFormat="1" ht="18.95" customHeight="1">
      <c r="A732" s="88" cm="1">
        <f t="array" ref="A732:J732">IFERROR(IF(ISBLANK(INDEX(_xlfn._xlws.FILTER([1]加工記録２!$D$3:$M$992, [1]加工記録２!$T$3:$T$992=B689), 1)), "", INDEX(_xlfn._xlws.FILTER([1]加工記録２!$D$3:$M$992, [1]加工記録２!$T$3:$T$992=B689), 1)),"")</f>
        <v>45833</v>
      </c>
      <c r="B732" s="46" t="str">
        <v>25F11-01</v>
      </c>
      <c r="C732" s="47" t="str">
        <v/>
      </c>
      <c r="D732" s="47" t="str">
        <v/>
      </c>
      <c r="E732" s="48" t="str">
        <v/>
      </c>
      <c r="F732" s="49" t="str">
        <v>25F11-01</v>
      </c>
      <c r="G732" s="50">
        <v>3</v>
      </c>
      <c r="H732" s="51">
        <v>3</v>
      </c>
      <c r="I732" s="52">
        <v>45856</v>
      </c>
      <c r="J732" s="53">
        <v>4</v>
      </c>
      <c r="K732" s="54"/>
      <c r="L732" s="54"/>
      <c r="M732" s="54"/>
      <c r="N732" s="54"/>
    </row>
    <row r="733" spans="1:14" s="55" customFormat="1" ht="18.95" customHeight="1">
      <c r="A733" s="45" cm="1">
        <f t="array" ref="A733:J733">IFERROR(IF(ISBLANK(INDEX(_xlfn._xlws.FILTER([1]加工記録２!$D$3:$M$992, [1]加工記録２!$T$3:$T$992=B689), 2)), "", INDEX(_xlfn._xlws.FILTER([1]加工記録２!$D$3:$M$992, [1]加工記録２!$T$3:$T$992=B689), 2)),"")</f>
        <v>45856</v>
      </c>
      <c r="B733" s="56" t="str">
        <v>25G04-01</v>
      </c>
      <c r="C733" s="56" t="str">
        <v/>
      </c>
      <c r="D733" s="56" t="str">
        <v/>
      </c>
      <c r="E733" s="57" t="str">
        <v/>
      </c>
      <c r="F733" s="58" t="str">
        <v>25G04-01</v>
      </c>
      <c r="G733" s="59">
        <v>86</v>
      </c>
      <c r="H733" s="60">
        <v>86</v>
      </c>
      <c r="I733" s="52" t="str">
        <v/>
      </c>
      <c r="J733" s="53" t="str">
        <v/>
      </c>
      <c r="K733" s="54"/>
      <c r="L733" s="54"/>
      <c r="M733" s="54"/>
      <c r="N733" s="54"/>
    </row>
    <row r="734" spans="1:14" s="55" customFormat="1" ht="18.95" customHeight="1">
      <c r="A734" s="45" t="str" cm="1">
        <f t="array" ref="A734:J734">IFERROR(IF(ISBLANK(INDEX(_xlfn._xlws.FILTER([1]加工記録２!$D$3:$M$992, [1]加工記録２!$T$3:$T$992=B689), 3)), "", INDEX(_xlfn._xlws.FILTER([1]加工記録２!$D$3:$M$992, [1]加工記録２!$T$3:$T$992=B689), 3)),"")</f>
        <v/>
      </c>
      <c r="B734" s="56" t="str">
        <v/>
      </c>
      <c r="C734" s="56" t="str">
        <v/>
      </c>
      <c r="D734" s="56" t="str">
        <v/>
      </c>
      <c r="E734" s="57" t="str">
        <v/>
      </c>
      <c r="F734" s="58" t="str">
        <v/>
      </c>
      <c r="G734" s="59" t="str">
        <v/>
      </c>
      <c r="H734" s="60">
        <v>0</v>
      </c>
      <c r="I734" s="52" t="str">
        <v/>
      </c>
      <c r="J734" s="53" t="str">
        <v/>
      </c>
      <c r="K734" s="54"/>
      <c r="L734" s="54"/>
      <c r="M734" s="54"/>
      <c r="N734" s="54"/>
    </row>
    <row r="735" spans="1:14" s="55" customFormat="1" ht="18.95" customHeight="1">
      <c r="A735" s="45" t="str" cm="1">
        <f t="array" ref="A735:J735">IFERROR(IF(ISBLANK(INDEX(_xlfn._xlws.FILTER([1]加工記録２!$D$3:$M$992, [1]加工記録２!$T$3:$T$992=B689), 4)), "", INDEX(_xlfn._xlws.FILTER([1]加工記録２!$D$3:$M$992, [1]加工記録２!$T$3:$T$992=B689), 4)),"")</f>
        <v/>
      </c>
      <c r="B735" s="56" t="str">
        <v/>
      </c>
      <c r="C735" s="56" t="str">
        <v/>
      </c>
      <c r="D735" s="56" t="str">
        <v/>
      </c>
      <c r="E735" s="57" t="str">
        <v/>
      </c>
      <c r="F735" s="58" t="str">
        <v/>
      </c>
      <c r="G735" s="59" t="str">
        <v/>
      </c>
      <c r="H735" s="60">
        <v>0</v>
      </c>
      <c r="I735" s="52" t="str">
        <v/>
      </c>
      <c r="J735" s="53" t="str">
        <v/>
      </c>
      <c r="K735" s="54"/>
      <c r="L735" s="54"/>
      <c r="M735" s="54"/>
      <c r="N735" s="54"/>
    </row>
    <row r="736" spans="1:14" s="55" customFormat="1" ht="18.95" customHeight="1">
      <c r="A736" s="45" t="str" cm="1">
        <f t="array" ref="A736:J736">IFERROR(IF(ISBLANK(INDEX(_xlfn._xlws.FILTER([1]加工記録２!$D$3:$M$992, [1]加工記録２!$T$3:$T$992=B689), 5)), "", INDEX(_xlfn._xlws.FILTER([1]加工記録２!$D$3:$M$992, [1]加工記録２!$T$3:$T$992=B689), 5)),"")</f>
        <v/>
      </c>
      <c r="B736" s="56" t="str">
        <v/>
      </c>
      <c r="C736" s="56" t="str">
        <v/>
      </c>
      <c r="D736" s="56" t="str">
        <v/>
      </c>
      <c r="E736" s="57" t="str">
        <v/>
      </c>
      <c r="F736" s="58" t="str">
        <v/>
      </c>
      <c r="G736" s="59" t="str">
        <v/>
      </c>
      <c r="H736" s="60">
        <v>0</v>
      </c>
      <c r="I736" s="61" t="str">
        <v/>
      </c>
      <c r="J736" s="62" t="str">
        <v/>
      </c>
      <c r="K736" s="54"/>
      <c r="L736" s="54"/>
      <c r="M736" s="54"/>
      <c r="N736" s="54"/>
    </row>
    <row r="737" spans="1:14" s="55" customFormat="1" ht="18.95" customHeight="1">
      <c r="A737" s="45" t="str" cm="1">
        <f t="array" ref="A737:J737">IFERROR(IF(ISBLANK(INDEX(_xlfn._xlws.FILTER([1]加工記録２!$D$3:$M$992, [1]加工記録２!$T$3:$T$992=B689), 6)), "", INDEX(_xlfn._xlws.FILTER([1]加工記録２!$D$3:$M$992, [1]加工記録２!$T$3:$T$992=B689), 6)),"")</f>
        <v/>
      </c>
      <c r="B737" s="56" t="str">
        <v/>
      </c>
      <c r="C737" s="56" t="str">
        <v/>
      </c>
      <c r="D737" s="56" t="str">
        <v/>
      </c>
      <c r="E737" s="57" t="str">
        <v/>
      </c>
      <c r="F737" s="58" t="str">
        <v/>
      </c>
      <c r="G737" s="59" t="str">
        <v/>
      </c>
      <c r="H737" s="63">
        <v>0</v>
      </c>
      <c r="I737" s="64" t="str">
        <v>旧品加工</v>
      </c>
      <c r="J737" s="65">
        <v>3</v>
      </c>
      <c r="K737" s="54"/>
      <c r="L737" s="54"/>
      <c r="M737" s="54"/>
      <c r="N737" s="54"/>
    </row>
    <row r="738" spans="1:14" s="55" customFormat="1" ht="18.95" customHeight="1">
      <c r="A738" s="45" t="str" cm="1">
        <f t="array" ref="A738:J738">IFERROR(IF(ISBLANK(INDEX(_xlfn._xlws.FILTER([1]加工記録２!$D$3:$M$992, [1]加工記録２!$T$3:$T$992=B689), 7)), "", INDEX(_xlfn._xlws.FILTER([1]加工記録２!$D$3:$M$992, [1]加工記録２!$T$3:$T$992=B689), 7)),"")</f>
        <v/>
      </c>
      <c r="B738" s="56" t="str">
        <v/>
      </c>
      <c r="C738" s="56" t="str">
        <v/>
      </c>
      <c r="D738" s="56" t="str">
        <v/>
      </c>
      <c r="E738" s="57" t="str">
        <v/>
      </c>
      <c r="F738" s="58" t="str">
        <v/>
      </c>
      <c r="G738" s="59" t="str">
        <v/>
      </c>
      <c r="H738" s="63">
        <v>0</v>
      </c>
      <c r="I738" s="66" t="str">
        <v>持出端材</v>
      </c>
      <c r="J738" s="67" t="str">
        <v/>
      </c>
      <c r="K738" s="54"/>
      <c r="L738" s="54"/>
      <c r="M738" s="54"/>
      <c r="N738" s="54"/>
    </row>
    <row r="739" spans="1:14" s="55" customFormat="1" ht="18.95" customHeight="1" thickBot="1">
      <c r="A739" s="68" t="str" cm="1">
        <f t="array" ref="A739:J739">IFERROR(IF(ISBLANK(INDEX(_xlfn._xlws.FILTER([1]加工記録２!$D$3:$M$992, [1]加工記録２!$T$3:$T$992=B689), 8)), "", INDEX(_xlfn._xlws.FILTER([1]加工記録２!$D$3:$M$992, [1]加工記録２!$T$3:$T$992=B689), 8)),"")</f>
        <v/>
      </c>
      <c r="B739" s="69" t="str">
        <v/>
      </c>
      <c r="C739" s="69" t="str">
        <v/>
      </c>
      <c r="D739" s="69" t="str">
        <v/>
      </c>
      <c r="E739" s="70" t="str">
        <v/>
      </c>
      <c r="F739" s="71" t="str">
        <v/>
      </c>
      <c r="G739" s="72" t="str">
        <v/>
      </c>
      <c r="H739" s="73">
        <v>0</v>
      </c>
      <c r="I739" s="74" t="str">
        <v>α端材</v>
      </c>
      <c r="J739" s="75">
        <v>0</v>
      </c>
      <c r="K739" s="54"/>
      <c r="L739" s="54"/>
      <c r="M739" s="54"/>
      <c r="N739" s="54"/>
    </row>
    <row r="740" spans="1:14" ht="13.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4" ht="6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</sheetData>
  <mergeCells count="1391">
    <mergeCell ref="A727:A728"/>
    <mergeCell ref="B727:B728"/>
    <mergeCell ref="C727:C728"/>
    <mergeCell ref="D727:D728"/>
    <mergeCell ref="E727:G728"/>
    <mergeCell ref="A729:A730"/>
    <mergeCell ref="B729:B730"/>
    <mergeCell ref="C729:C730"/>
    <mergeCell ref="D729:D730"/>
    <mergeCell ref="E729:G730"/>
    <mergeCell ref="A670:A671"/>
    <mergeCell ref="B670:B671"/>
    <mergeCell ref="C670:C671"/>
    <mergeCell ref="D670:D671"/>
    <mergeCell ref="E670:G671"/>
    <mergeCell ref="A672:A673"/>
    <mergeCell ref="B672:B673"/>
    <mergeCell ref="C672:C673"/>
    <mergeCell ref="D672:D673"/>
    <mergeCell ref="E672:G673"/>
    <mergeCell ref="A722:D722"/>
    <mergeCell ref="E722:F722"/>
    <mergeCell ref="B685:D686"/>
    <mergeCell ref="A721:B721"/>
    <mergeCell ref="A696:C697"/>
    <mergeCell ref="A718:B718"/>
    <mergeCell ref="F721:J721"/>
    <mergeCell ref="C712:E712"/>
    <mergeCell ref="F713:J713"/>
    <mergeCell ref="F715:J715"/>
    <mergeCell ref="C721:E721"/>
    <mergeCell ref="E689:E690"/>
    <mergeCell ref="H722:I722"/>
    <mergeCell ref="A723:D724"/>
    <mergeCell ref="E723:F724"/>
    <mergeCell ref="G723:G724"/>
    <mergeCell ref="A725:A726"/>
    <mergeCell ref="B725:B726"/>
    <mergeCell ref="C725:C726"/>
    <mergeCell ref="D725:D726"/>
    <mergeCell ref="E725:G726"/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65:D665"/>
    <mergeCell ref="E665:F665"/>
    <mergeCell ref="H665:I665"/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I647:J647"/>
    <mergeCell ref="C714:E714"/>
    <mergeCell ref="A556:A557"/>
    <mergeCell ref="B556:B557"/>
    <mergeCell ref="C556:C557"/>
    <mergeCell ref="D556:D557"/>
    <mergeCell ref="E556:G557"/>
    <mergeCell ref="A558:A559"/>
    <mergeCell ref="B558:B559"/>
    <mergeCell ref="C558:C559"/>
    <mergeCell ref="D558:D559"/>
    <mergeCell ref="E558:G559"/>
    <mergeCell ref="A608:D608"/>
    <mergeCell ref="E608:F608"/>
    <mergeCell ref="H608:I608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C591:D591"/>
    <mergeCell ref="F593:H593"/>
    <mergeCell ref="I586:J586"/>
    <mergeCell ref="A573:A574"/>
    <mergeCell ref="I589:J589"/>
    <mergeCell ref="C598:E598"/>
    <mergeCell ref="F590:H590"/>
    <mergeCell ref="A499:A500"/>
    <mergeCell ref="B499:B500"/>
    <mergeCell ref="C499:C500"/>
    <mergeCell ref="D499:D500"/>
    <mergeCell ref="E499:G500"/>
    <mergeCell ref="A501:A502"/>
    <mergeCell ref="B501:B502"/>
    <mergeCell ref="C501:C502"/>
    <mergeCell ref="D501:D502"/>
    <mergeCell ref="E501:G502"/>
    <mergeCell ref="A551:D551"/>
    <mergeCell ref="E551:F551"/>
    <mergeCell ref="H551:I551"/>
    <mergeCell ref="A552:D553"/>
    <mergeCell ref="E552:F553"/>
    <mergeCell ref="G552:G553"/>
    <mergeCell ref="A554:A555"/>
    <mergeCell ref="B554:B555"/>
    <mergeCell ref="C554:C555"/>
    <mergeCell ref="D554:D555"/>
    <mergeCell ref="E554:G555"/>
    <mergeCell ref="F548:J548"/>
    <mergeCell ref="C547:E547"/>
    <mergeCell ref="A550:B550"/>
    <mergeCell ref="I547:J547"/>
    <mergeCell ref="I543:J543"/>
    <mergeCell ref="A442:A443"/>
    <mergeCell ref="B442:B443"/>
    <mergeCell ref="C442:C443"/>
    <mergeCell ref="D442:D443"/>
    <mergeCell ref="E442:G443"/>
    <mergeCell ref="A444:A445"/>
    <mergeCell ref="B444:B445"/>
    <mergeCell ref="C444:C445"/>
    <mergeCell ref="D444:D445"/>
    <mergeCell ref="E444:G445"/>
    <mergeCell ref="A494:D494"/>
    <mergeCell ref="E494:F494"/>
    <mergeCell ref="H494:I494"/>
    <mergeCell ref="A495:D496"/>
    <mergeCell ref="E495:F496"/>
    <mergeCell ref="G495:G496"/>
    <mergeCell ref="A497:A498"/>
    <mergeCell ref="B497:B498"/>
    <mergeCell ref="C497:C498"/>
    <mergeCell ref="D497:D498"/>
    <mergeCell ref="E497:G498"/>
    <mergeCell ref="B461:B462"/>
    <mergeCell ref="F485:J485"/>
    <mergeCell ref="F475:H475"/>
    <mergeCell ref="C472:D472"/>
    <mergeCell ref="I460:I461"/>
    <mergeCell ref="C479:D479"/>
    <mergeCell ref="A487:B487"/>
    <mergeCell ref="G481:H481"/>
    <mergeCell ref="A489:B489"/>
    <mergeCell ref="A491:B491"/>
    <mergeCell ref="H466:J467"/>
    <mergeCell ref="A385:A386"/>
    <mergeCell ref="B385:B386"/>
    <mergeCell ref="C385:C386"/>
    <mergeCell ref="D385:D386"/>
    <mergeCell ref="E385:G386"/>
    <mergeCell ref="A387:A388"/>
    <mergeCell ref="B387:B388"/>
    <mergeCell ref="C387:C388"/>
    <mergeCell ref="D387:D388"/>
    <mergeCell ref="E387:G388"/>
    <mergeCell ref="A437:D437"/>
    <mergeCell ref="E437:F437"/>
    <mergeCell ref="H437:I437"/>
    <mergeCell ref="A438:D439"/>
    <mergeCell ref="E438:F439"/>
    <mergeCell ref="G438:G439"/>
    <mergeCell ref="A440:A441"/>
    <mergeCell ref="B440:B441"/>
    <mergeCell ref="C440:C441"/>
    <mergeCell ref="D440:D441"/>
    <mergeCell ref="E440:G441"/>
    <mergeCell ref="C425:D425"/>
    <mergeCell ref="C427:E427"/>
    <mergeCell ref="H411:H412"/>
    <mergeCell ref="A402:A403"/>
    <mergeCell ref="I431:J431"/>
    <mergeCell ref="C434:E434"/>
    <mergeCell ref="A414:J414"/>
    <mergeCell ref="A328:A329"/>
    <mergeCell ref="B328:B329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A380:D380"/>
    <mergeCell ref="E380:F380"/>
    <mergeCell ref="H380:I380"/>
    <mergeCell ref="A381:D382"/>
    <mergeCell ref="E381:F382"/>
    <mergeCell ref="G381:G382"/>
    <mergeCell ref="A383:A384"/>
    <mergeCell ref="B383:B384"/>
    <mergeCell ref="C383:C384"/>
    <mergeCell ref="D383:D384"/>
    <mergeCell ref="E383:G384"/>
    <mergeCell ref="E347:E348"/>
    <mergeCell ref="I372:J372"/>
    <mergeCell ref="G376:H376"/>
    <mergeCell ref="G352:G353"/>
    <mergeCell ref="A374:B374"/>
    <mergeCell ref="F362:H362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E273:G274"/>
    <mergeCell ref="A323:D323"/>
    <mergeCell ref="E323:F323"/>
    <mergeCell ref="H323:I32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F316:J316"/>
    <mergeCell ref="I310:J310"/>
    <mergeCell ref="C303:D303"/>
    <mergeCell ref="B288:B289"/>
    <mergeCell ref="C320:E320"/>
    <mergeCell ref="G295:G296"/>
    <mergeCell ref="C319:E319"/>
    <mergeCell ref="A216:A217"/>
    <mergeCell ref="B216:B217"/>
    <mergeCell ref="C216:C217"/>
    <mergeCell ref="D216:D217"/>
    <mergeCell ref="E216:G217"/>
    <mergeCell ref="A266:D266"/>
    <mergeCell ref="E266:F266"/>
    <mergeCell ref="H266:I266"/>
    <mergeCell ref="A267:D268"/>
    <mergeCell ref="E267:F268"/>
    <mergeCell ref="G267:G268"/>
    <mergeCell ref="A269:A270"/>
    <mergeCell ref="B269:B270"/>
    <mergeCell ref="C269:C270"/>
    <mergeCell ref="D269:D270"/>
    <mergeCell ref="E269:G270"/>
    <mergeCell ref="G256:H256"/>
    <mergeCell ref="A260:B260"/>
    <mergeCell ref="A240:C241"/>
    <mergeCell ref="C253:E253"/>
    <mergeCell ref="C231:C232"/>
    <mergeCell ref="B231:B232"/>
    <mergeCell ref="D231:D232"/>
    <mergeCell ref="G210:G211"/>
    <mergeCell ref="D174:D175"/>
    <mergeCell ref="A129:J129"/>
    <mergeCell ref="A212:A213"/>
    <mergeCell ref="B212:B213"/>
    <mergeCell ref="C212:C213"/>
    <mergeCell ref="D212:D213"/>
    <mergeCell ref="E212:G213"/>
    <mergeCell ref="G201:H201"/>
    <mergeCell ref="I192:J192"/>
    <mergeCell ref="G196:H196"/>
    <mergeCell ref="A176:A177"/>
    <mergeCell ref="I137:J137"/>
    <mergeCell ref="I135:J135"/>
    <mergeCell ref="C147:E147"/>
    <mergeCell ref="C148:E148"/>
    <mergeCell ref="I190:J190"/>
    <mergeCell ref="C45:C46"/>
    <mergeCell ref="D45:D46"/>
    <mergeCell ref="E45:G46"/>
    <mergeCell ref="A95:D95"/>
    <mergeCell ref="E95:F95"/>
    <mergeCell ref="H95:I95"/>
    <mergeCell ref="A96:D97"/>
    <mergeCell ref="E96:F97"/>
    <mergeCell ref="G96:G97"/>
    <mergeCell ref="F60:H61"/>
    <mergeCell ref="A91:B91"/>
    <mergeCell ref="A72:J72"/>
    <mergeCell ref="A82:B82"/>
    <mergeCell ref="F86:J86"/>
    <mergeCell ref="I75:J75"/>
    <mergeCell ref="E98:G99"/>
    <mergeCell ref="A100:A101"/>
    <mergeCell ref="B100:B101"/>
    <mergeCell ref="C100:C101"/>
    <mergeCell ref="D100:D101"/>
    <mergeCell ref="E100:G101"/>
    <mergeCell ref="A98:A99"/>
    <mergeCell ref="B98:B99"/>
    <mergeCell ref="C98:C99"/>
    <mergeCell ref="D98:D99"/>
    <mergeCell ref="C60:C61"/>
    <mergeCell ref="C73:D73"/>
    <mergeCell ref="F64:G64"/>
    <mergeCell ref="C91:E91"/>
    <mergeCell ref="C92:E92"/>
    <mergeCell ref="C26:D26"/>
    <mergeCell ref="I20:J20"/>
    <mergeCell ref="B575:B576"/>
    <mergeCell ref="B233:B234"/>
    <mergeCell ref="C77:D77"/>
    <mergeCell ref="B347:B348"/>
    <mergeCell ref="F79:H79"/>
    <mergeCell ref="E60:E61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C34:E34"/>
    <mergeCell ref="A262:B262"/>
    <mergeCell ref="C82:E82"/>
    <mergeCell ref="F37:J37"/>
    <mergeCell ref="F136:H136"/>
    <mergeCell ref="J118:J119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G12:G13"/>
    <mergeCell ref="F702:H702"/>
    <mergeCell ref="F248:H248"/>
    <mergeCell ref="C205:E205"/>
    <mergeCell ref="F257:J257"/>
    <mergeCell ref="F704:H704"/>
    <mergeCell ref="A595:B595"/>
    <mergeCell ref="C659:E659"/>
    <mergeCell ref="F428:J428"/>
    <mergeCell ref="C630:C631"/>
    <mergeCell ref="A655:B655"/>
    <mergeCell ref="A657:B657"/>
    <mergeCell ref="C415:D415"/>
    <mergeCell ref="C258:E258"/>
    <mergeCell ref="F417:H417"/>
    <mergeCell ref="F200:J200"/>
    <mergeCell ref="I652:J652"/>
    <mergeCell ref="B577:B578"/>
    <mergeCell ref="A601:B601"/>
    <mergeCell ref="J688:J689"/>
    <mergeCell ref="A661:B661"/>
    <mergeCell ref="F601:J601"/>
    <mergeCell ref="F592:H592"/>
    <mergeCell ref="G657:H657"/>
    <mergeCell ref="B286:D287"/>
    <mergeCell ref="C371:E371"/>
    <mergeCell ref="I592:J592"/>
    <mergeCell ref="H295:J296"/>
    <mergeCell ref="B406:B407"/>
    <mergeCell ref="G25:H25"/>
    <mergeCell ref="I139:J139"/>
    <mergeCell ref="F88:J88"/>
    <mergeCell ref="F18:H18"/>
    <mergeCell ref="A257:B257"/>
    <mergeCell ref="G297:G298"/>
    <mergeCell ref="C321:E321"/>
    <mergeCell ref="C191:D191"/>
    <mergeCell ref="A34:B34"/>
    <mergeCell ref="C261:E261"/>
    <mergeCell ref="I207:J207"/>
    <mergeCell ref="A36:B36"/>
    <mergeCell ref="A370:B370"/>
    <mergeCell ref="B459:B460"/>
    <mergeCell ref="A205:B205"/>
    <mergeCell ref="C311:D311"/>
    <mergeCell ref="G602:H602"/>
    <mergeCell ref="A434:B434"/>
    <mergeCell ref="C661:E661"/>
    <mergeCell ref="G490:H490"/>
    <mergeCell ref="I248:J248"/>
    <mergeCell ref="G604:H604"/>
    <mergeCell ref="G139:H139"/>
    <mergeCell ref="B64:B65"/>
    <mergeCell ref="A582:C583"/>
    <mergeCell ref="H580:J581"/>
    <mergeCell ref="C532:D532"/>
    <mergeCell ref="I247:J247"/>
    <mergeCell ref="A347:A348"/>
    <mergeCell ref="D60:D61"/>
    <mergeCell ref="A349:A350"/>
    <mergeCell ref="C590:D590"/>
    <mergeCell ref="A258:B258"/>
    <mergeCell ref="I649:J649"/>
    <mergeCell ref="I89:J89"/>
    <mergeCell ref="I720:J720"/>
    <mergeCell ref="E687:E688"/>
    <mergeCell ref="C257:E257"/>
    <mergeCell ref="A598:B598"/>
    <mergeCell ref="A433:B433"/>
    <mergeCell ref="E516:E517"/>
    <mergeCell ref="A435:B435"/>
    <mergeCell ref="F360:H360"/>
    <mergeCell ref="G150:H150"/>
    <mergeCell ref="C200:E200"/>
    <mergeCell ref="F546:J546"/>
    <mergeCell ref="I525:J526"/>
    <mergeCell ref="I422:J422"/>
    <mergeCell ref="F717:J717"/>
    <mergeCell ref="F719:J719"/>
    <mergeCell ref="C433:E433"/>
    <mergeCell ref="G696:G697"/>
    <mergeCell ref="C546:E546"/>
    <mergeCell ref="C379:E379"/>
    <mergeCell ref="F705:H705"/>
    <mergeCell ref="F703:H703"/>
    <mergeCell ref="C700:D700"/>
    <mergeCell ref="C492:E492"/>
    <mergeCell ref="C606:E606"/>
    <mergeCell ref="J403:J404"/>
    <mergeCell ref="C260:E260"/>
    <mergeCell ref="F419:H419"/>
    <mergeCell ref="A152:D152"/>
    <mergeCell ref="E152:F152"/>
    <mergeCell ref="C155:C156"/>
    <mergeCell ref="D155:D156"/>
    <mergeCell ref="E155:G156"/>
    <mergeCell ref="C716:E716"/>
    <mergeCell ref="G203:H203"/>
    <mergeCell ref="C259:E259"/>
    <mergeCell ref="G659:H659"/>
    <mergeCell ref="A549:B549"/>
    <mergeCell ref="F474:H474"/>
    <mergeCell ref="G655:H655"/>
    <mergeCell ref="F90:J90"/>
    <mergeCell ref="A102:A103"/>
    <mergeCell ref="B102:B103"/>
    <mergeCell ref="C102:C103"/>
    <mergeCell ref="D102:D103"/>
    <mergeCell ref="E102:G103"/>
    <mergeCell ref="C149:E149"/>
    <mergeCell ref="C140:D140"/>
    <mergeCell ref="F121:G121"/>
    <mergeCell ref="F130:H130"/>
    <mergeCell ref="F132:H132"/>
    <mergeCell ref="F119:H120"/>
    <mergeCell ref="G124:G125"/>
    <mergeCell ref="H126:H127"/>
    <mergeCell ref="C133:D133"/>
    <mergeCell ref="F247:H247"/>
    <mergeCell ref="I532:J532"/>
    <mergeCell ref="F135:H135"/>
    <mergeCell ref="D459:D460"/>
    <mergeCell ref="H124:J125"/>
    <mergeCell ref="B121:B122"/>
    <mergeCell ref="B119:B120"/>
    <mergeCell ref="B157:B158"/>
    <mergeCell ref="C157:C158"/>
    <mergeCell ref="D157:D158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C592:D592"/>
    <mergeCell ref="A371:B371"/>
    <mergeCell ref="F206:J206"/>
    <mergeCell ref="A321:B321"/>
    <mergeCell ref="C36:E36"/>
    <mergeCell ref="C370:E370"/>
    <mergeCell ref="G199:H199"/>
    <mergeCell ref="A547:B547"/>
    <mergeCell ref="A406:A407"/>
    <mergeCell ref="A32:B32"/>
    <mergeCell ref="C367:E367"/>
    <mergeCell ref="F520:G520"/>
    <mergeCell ref="C93:E93"/>
    <mergeCell ref="G36:H36"/>
    <mergeCell ref="C535:D535"/>
    <mergeCell ref="A575:A576"/>
    <mergeCell ref="D3:D4"/>
    <mergeCell ref="A145:B145"/>
    <mergeCell ref="A139:B139"/>
    <mergeCell ref="C94:E94"/>
    <mergeCell ref="C428:E428"/>
    <mergeCell ref="J61:J62"/>
    <mergeCell ref="C86:E86"/>
    <mergeCell ref="G712:H712"/>
    <mergeCell ref="F322:J322"/>
    <mergeCell ref="A543:B543"/>
    <mergeCell ref="F145:J145"/>
    <mergeCell ref="C247:D247"/>
    <mergeCell ref="F632:H633"/>
    <mergeCell ref="B235:B236"/>
    <mergeCell ref="H694:J695"/>
    <mergeCell ref="A545:B545"/>
    <mergeCell ref="F191:H191"/>
    <mergeCell ref="A424:B424"/>
    <mergeCell ref="F647:H647"/>
    <mergeCell ref="A538:B538"/>
    <mergeCell ref="C190:D190"/>
    <mergeCell ref="F349:G349"/>
    <mergeCell ref="F347:H348"/>
    <mergeCell ref="F204:J204"/>
    <mergeCell ref="A200:B200"/>
    <mergeCell ref="C544:E544"/>
    <mergeCell ref="E290:E291"/>
    <mergeCell ref="I591:J591"/>
    <mergeCell ref="A318:B318"/>
    <mergeCell ref="B630:B631"/>
    <mergeCell ref="C201:E201"/>
    <mergeCell ref="C482:D482"/>
    <mergeCell ref="B632:B633"/>
    <mergeCell ref="C203:E203"/>
    <mergeCell ref="C607:E607"/>
    <mergeCell ref="I517:I518"/>
    <mergeCell ref="A607:B607"/>
    <mergeCell ref="C706:D706"/>
    <mergeCell ref="A159:A160"/>
    <mergeCell ref="F22:H22"/>
    <mergeCell ref="I253:J253"/>
    <mergeCell ref="C362:D362"/>
    <mergeCell ref="C25:E25"/>
    <mergeCell ref="I232:I233"/>
    <mergeCell ref="F371:J371"/>
    <mergeCell ref="A142:B142"/>
    <mergeCell ref="I199:J199"/>
    <mergeCell ref="F194:H194"/>
    <mergeCell ref="G435:H435"/>
    <mergeCell ref="A357:J357"/>
    <mergeCell ref="C475:D475"/>
    <mergeCell ref="C304:D304"/>
    <mergeCell ref="F192:H192"/>
    <mergeCell ref="C146:E146"/>
    <mergeCell ref="A256:B256"/>
    <mergeCell ref="F318:J318"/>
    <mergeCell ref="C310:E310"/>
    <mergeCell ref="F180:G180"/>
    <mergeCell ref="I361:J361"/>
    <mergeCell ref="F83:J83"/>
    <mergeCell ref="A471:J471"/>
    <mergeCell ref="I203:J203"/>
    <mergeCell ref="I420:J420"/>
    <mergeCell ref="C79:D79"/>
    <mergeCell ref="A315:B315"/>
    <mergeCell ref="A33:B33"/>
    <mergeCell ref="A35:B35"/>
    <mergeCell ref="I126:J127"/>
    <mergeCell ref="A28:B28"/>
    <mergeCell ref="A30:B30"/>
    <mergeCell ref="I308:J308"/>
    <mergeCell ref="I142:J142"/>
    <mergeCell ref="G378:H378"/>
    <mergeCell ref="G146:H146"/>
    <mergeCell ref="E157:G158"/>
    <mergeCell ref="E3:E4"/>
    <mergeCell ref="F151:J151"/>
    <mergeCell ref="F301:H301"/>
    <mergeCell ref="E5:E6"/>
    <mergeCell ref="G67:G68"/>
    <mergeCell ref="G69:G70"/>
    <mergeCell ref="F596:J596"/>
    <mergeCell ref="G694:G695"/>
    <mergeCell ref="C314:E314"/>
    <mergeCell ref="E233:E234"/>
    <mergeCell ref="F16:H16"/>
    <mergeCell ref="B516:B517"/>
    <mergeCell ref="C307:D307"/>
    <mergeCell ref="F237:G237"/>
    <mergeCell ref="F579:G579"/>
    <mergeCell ref="C534:D534"/>
    <mergeCell ref="F522:G522"/>
    <mergeCell ref="G488:H488"/>
    <mergeCell ref="F94:J94"/>
    <mergeCell ref="I264:J264"/>
    <mergeCell ref="C656:E656"/>
    <mergeCell ref="F693:G693"/>
    <mergeCell ref="C658:E658"/>
    <mergeCell ref="I133:J133"/>
    <mergeCell ref="F314:J314"/>
    <mergeCell ref="C402:C403"/>
    <mergeCell ref="F436:J436"/>
    <mergeCell ref="I598:J598"/>
    <mergeCell ref="A516:A517"/>
    <mergeCell ref="F539:J539"/>
    <mergeCell ref="A265:B265"/>
    <mergeCell ref="F244:H244"/>
    <mergeCell ref="F465:G465"/>
    <mergeCell ref="F645:H645"/>
    <mergeCell ref="F190:H190"/>
    <mergeCell ref="G144:H144"/>
    <mergeCell ref="G600:H600"/>
    <mergeCell ref="I358:J358"/>
    <mergeCell ref="A432:B432"/>
    <mergeCell ref="A642:J642"/>
    <mergeCell ref="C487:E487"/>
    <mergeCell ref="C358:D358"/>
    <mergeCell ref="F246:H246"/>
    <mergeCell ref="F425:J425"/>
    <mergeCell ref="C432:E432"/>
    <mergeCell ref="A603:B603"/>
    <mergeCell ref="I411:J412"/>
    <mergeCell ref="F434:J434"/>
    <mergeCell ref="A149:B149"/>
    <mergeCell ref="A151:B151"/>
    <mergeCell ref="E459:E460"/>
    <mergeCell ref="B159:B160"/>
    <mergeCell ref="C159:C160"/>
    <mergeCell ref="D159:D160"/>
    <mergeCell ref="E159:G160"/>
    <mergeCell ref="A209:D209"/>
    <mergeCell ref="E209:F209"/>
    <mergeCell ref="H209:I209"/>
    <mergeCell ref="A210:D211"/>
    <mergeCell ref="E210:F211"/>
    <mergeCell ref="C18:D18"/>
    <mergeCell ref="F660:J660"/>
    <mergeCell ref="A143:B143"/>
    <mergeCell ref="G126:G127"/>
    <mergeCell ref="I69:J70"/>
    <mergeCell ref="I700:J700"/>
    <mergeCell ref="F534:H534"/>
    <mergeCell ref="F516:H517"/>
    <mergeCell ref="C80:D80"/>
    <mergeCell ref="F263:J263"/>
    <mergeCell ref="C709:E709"/>
    <mergeCell ref="I87:J87"/>
    <mergeCell ref="G652:H652"/>
    <mergeCell ref="C37:E37"/>
    <mergeCell ref="F536:H536"/>
    <mergeCell ref="I418:J418"/>
    <mergeCell ref="F26:J26"/>
    <mergeCell ref="I21:J21"/>
    <mergeCell ref="I23:J23"/>
    <mergeCell ref="A290:A291"/>
    <mergeCell ref="A459:A460"/>
    <mergeCell ref="I709:J709"/>
    <mergeCell ref="I703:J703"/>
    <mergeCell ref="I246:J246"/>
    <mergeCell ref="F123:G123"/>
    <mergeCell ref="A320:B320"/>
    <mergeCell ref="C78:D78"/>
    <mergeCell ref="A314:B314"/>
    <mergeCell ref="I258:J258"/>
    <mergeCell ref="C360:D360"/>
    <mergeCell ref="C705:D705"/>
    <mergeCell ref="H637:J638"/>
    <mergeCell ref="A720:B720"/>
    <mergeCell ref="C478:D478"/>
    <mergeCell ref="F66:G66"/>
    <mergeCell ref="I354:J355"/>
    <mergeCell ref="A713:B713"/>
    <mergeCell ref="A715:B715"/>
    <mergeCell ref="C322:E322"/>
    <mergeCell ref="I374:J374"/>
    <mergeCell ref="I718:J718"/>
    <mergeCell ref="I712:J712"/>
    <mergeCell ref="C713:E713"/>
    <mergeCell ref="C715:E715"/>
    <mergeCell ref="G148:H148"/>
    <mergeCell ref="C660:E660"/>
    <mergeCell ref="D402:D403"/>
    <mergeCell ref="G547:H547"/>
    <mergeCell ref="A630:A631"/>
    <mergeCell ref="A186:J186"/>
    <mergeCell ref="F133:H133"/>
    <mergeCell ref="A461:A462"/>
    <mergeCell ref="D345:D346"/>
    <mergeCell ref="F320:J320"/>
    <mergeCell ref="C424:E424"/>
    <mergeCell ref="G253:H253"/>
    <mergeCell ref="G429:H429"/>
    <mergeCell ref="I187:J187"/>
    <mergeCell ref="A261:B261"/>
    <mergeCell ref="G709:H709"/>
    <mergeCell ref="A699:J699"/>
    <mergeCell ref="A600:B600"/>
    <mergeCell ref="C645:D645"/>
    <mergeCell ref="C602:E602"/>
    <mergeCell ref="F29:J29"/>
    <mergeCell ref="G523:G524"/>
    <mergeCell ref="G637:G638"/>
    <mergeCell ref="I289:I290"/>
    <mergeCell ref="I688:I689"/>
    <mergeCell ref="I150:J150"/>
    <mergeCell ref="E176:E177"/>
    <mergeCell ref="I486:J486"/>
    <mergeCell ref="I582:J583"/>
    <mergeCell ref="C588:D588"/>
    <mergeCell ref="I481:J481"/>
    <mergeCell ref="A411:C412"/>
    <mergeCell ref="I663:J663"/>
    <mergeCell ref="C657:E657"/>
    <mergeCell ref="G468:G469"/>
    <mergeCell ref="I415:J415"/>
    <mergeCell ref="F493:J493"/>
    <mergeCell ref="F649:H649"/>
    <mergeCell ref="C536:D536"/>
    <mergeCell ref="I240:J241"/>
    <mergeCell ref="F418:H418"/>
    <mergeCell ref="A367:B367"/>
    <mergeCell ref="I424:J424"/>
    <mergeCell ref="F197:J197"/>
    <mergeCell ref="A157:A158"/>
    <mergeCell ref="I661:J661"/>
    <mergeCell ref="F176:H177"/>
    <mergeCell ref="G598:H598"/>
    <mergeCell ref="F292:G292"/>
    <mergeCell ref="F202:J202"/>
    <mergeCell ref="I175:I176"/>
    <mergeCell ref="I631:I632"/>
    <mergeCell ref="A3:A4"/>
    <mergeCell ref="I317:J317"/>
    <mergeCell ref="A5:A6"/>
    <mergeCell ref="A86:B86"/>
    <mergeCell ref="H468:H469"/>
    <mergeCell ref="A632:A633"/>
    <mergeCell ref="F459:H460"/>
    <mergeCell ref="I484:J484"/>
    <mergeCell ref="F664:J664"/>
    <mergeCell ref="F658:J658"/>
    <mergeCell ref="A233:A234"/>
    <mergeCell ref="I365:J365"/>
    <mergeCell ref="I25:J25"/>
    <mergeCell ref="C134:D134"/>
    <mergeCell ref="F3:H4"/>
    <mergeCell ref="C76:D76"/>
    <mergeCell ref="F78:H78"/>
    <mergeCell ref="C375:E375"/>
    <mergeCell ref="C489:E489"/>
    <mergeCell ref="F630:H631"/>
    <mergeCell ref="C377:E377"/>
    <mergeCell ref="I541:J541"/>
    <mergeCell ref="C643:D643"/>
    <mergeCell ref="I80:J80"/>
    <mergeCell ref="I378:J378"/>
    <mergeCell ref="F432:J432"/>
    <mergeCell ref="F311:J311"/>
    <mergeCell ref="A243:J243"/>
    <mergeCell ref="A62:A63"/>
    <mergeCell ref="A29:B29"/>
    <mergeCell ref="A64:A65"/>
    <mergeCell ref="A31:B31"/>
    <mergeCell ref="G10:G11"/>
    <mergeCell ref="F700:H700"/>
    <mergeCell ref="J4:J5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A490:B490"/>
    <mergeCell ref="F415:H415"/>
    <mergeCell ref="I477:J477"/>
    <mergeCell ref="G240:G241"/>
    <mergeCell ref="I297:J298"/>
    <mergeCell ref="H181:J182"/>
    <mergeCell ref="I134:J134"/>
    <mergeCell ref="A208:B208"/>
    <mergeCell ref="H12:H13"/>
    <mergeCell ref="H354:H355"/>
    <mergeCell ref="A203:B203"/>
    <mergeCell ref="F643:H643"/>
    <mergeCell ref="I492:J492"/>
    <mergeCell ref="C600:E600"/>
    <mergeCell ref="B178:B179"/>
    <mergeCell ref="A664:B664"/>
    <mergeCell ref="A525:C526"/>
    <mergeCell ref="A639:C640"/>
    <mergeCell ref="I12:J13"/>
    <mergeCell ref="F178:G178"/>
    <mergeCell ref="I643:J643"/>
    <mergeCell ref="G431:H431"/>
    <mergeCell ref="I189:J189"/>
    <mergeCell ref="I645:J645"/>
    <mergeCell ref="F23:H23"/>
    <mergeCell ref="C20:D20"/>
    <mergeCell ref="B176:B177"/>
    <mergeCell ref="I478:J478"/>
    <mergeCell ref="C22:D22"/>
    <mergeCell ref="A264:B264"/>
    <mergeCell ref="I205:J205"/>
    <mergeCell ref="C199:E199"/>
    <mergeCell ref="F358:H358"/>
    <mergeCell ref="C655:E655"/>
    <mergeCell ref="G142:H142"/>
    <mergeCell ref="A404:A405"/>
    <mergeCell ref="I606:J606"/>
    <mergeCell ref="G543:H543"/>
    <mergeCell ref="I301:J301"/>
    <mergeCell ref="A375:B375"/>
    <mergeCell ref="F607:J607"/>
    <mergeCell ref="F77:H77"/>
    <mergeCell ref="A121:A122"/>
    <mergeCell ref="C374:E374"/>
    <mergeCell ref="F533:H533"/>
    <mergeCell ref="C345:C346"/>
    <mergeCell ref="G319:H319"/>
    <mergeCell ref="C265:E265"/>
    <mergeCell ref="B571:D572"/>
    <mergeCell ref="I307:J307"/>
    <mergeCell ref="C32:E32"/>
    <mergeCell ref="A25:B25"/>
    <mergeCell ref="G264:H264"/>
    <mergeCell ref="I22:J22"/>
    <mergeCell ref="A69:C70"/>
    <mergeCell ref="F35:J35"/>
    <mergeCell ref="C422:D422"/>
    <mergeCell ref="F80:H80"/>
    <mergeCell ref="C707:D707"/>
    <mergeCell ref="C550:E550"/>
    <mergeCell ref="A146:B146"/>
    <mergeCell ref="C664:E664"/>
    <mergeCell ref="B402:B403"/>
    <mergeCell ref="I593:J593"/>
    <mergeCell ref="I130:J130"/>
    <mergeCell ref="F233:H234"/>
    <mergeCell ref="J631:J632"/>
    <mergeCell ref="I132:J132"/>
    <mergeCell ref="I588:J588"/>
    <mergeCell ref="A662:B662"/>
    <mergeCell ref="C420:D420"/>
    <mergeCell ref="A199:B199"/>
    <mergeCell ref="F422:H422"/>
    <mergeCell ref="F404:H405"/>
    <mergeCell ref="I590:J590"/>
    <mergeCell ref="A488:B488"/>
    <mergeCell ref="C246:D246"/>
    <mergeCell ref="F134:H134"/>
    <mergeCell ref="C89:E89"/>
    <mergeCell ref="E404:E405"/>
    <mergeCell ref="C431:E431"/>
    <mergeCell ref="F544:J544"/>
    <mergeCell ref="F588:H588"/>
    <mergeCell ref="B457:D458"/>
    <mergeCell ref="A207:B207"/>
    <mergeCell ref="C516:C517"/>
    <mergeCell ref="C197:D197"/>
    <mergeCell ref="C488:E488"/>
    <mergeCell ref="G317:H317"/>
    <mergeCell ref="C646:D646"/>
    <mergeCell ref="C648:D648"/>
    <mergeCell ref="A492:B492"/>
    <mergeCell ref="C703:D703"/>
    <mergeCell ref="I262:J262"/>
    <mergeCell ref="F646:H646"/>
    <mergeCell ref="C301:D301"/>
    <mergeCell ref="H523:J524"/>
    <mergeCell ref="I646:J646"/>
    <mergeCell ref="A263:B263"/>
    <mergeCell ref="A658:B658"/>
    <mergeCell ref="I648:J648"/>
    <mergeCell ref="A214:A215"/>
    <mergeCell ref="B214:B215"/>
    <mergeCell ref="C214:C215"/>
    <mergeCell ref="D214:D215"/>
    <mergeCell ref="E214:G215"/>
    <mergeCell ref="I639:J640"/>
    <mergeCell ref="C663:E663"/>
    <mergeCell ref="F306:H306"/>
    <mergeCell ref="A201:B201"/>
    <mergeCell ref="G580:G581"/>
    <mergeCell ref="C604:E604"/>
    <mergeCell ref="G354:G355"/>
    <mergeCell ref="I435:J435"/>
    <mergeCell ref="G718:H718"/>
    <mergeCell ref="I476:J476"/>
    <mergeCell ref="B628:D629"/>
    <mergeCell ref="C288:C289"/>
    <mergeCell ref="I364:J364"/>
    <mergeCell ref="F656:J656"/>
    <mergeCell ref="F476:H476"/>
    <mergeCell ref="C174:C175"/>
    <mergeCell ref="A709:B709"/>
    <mergeCell ref="C19:D19"/>
    <mergeCell ref="F364:H364"/>
    <mergeCell ref="F478:H478"/>
    <mergeCell ref="F21:H21"/>
    <mergeCell ref="C196:E196"/>
    <mergeCell ref="C318:E318"/>
    <mergeCell ref="C477:D477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C531:D531"/>
    <mergeCell ref="C264:E264"/>
    <mergeCell ref="C533:D533"/>
    <mergeCell ref="A354:C355"/>
    <mergeCell ref="C376:E376"/>
    <mergeCell ref="F535:H535"/>
    <mergeCell ref="C378:E378"/>
    <mergeCell ref="F20:H20"/>
    <mergeCell ref="A714:B714"/>
    <mergeCell ref="A716:B716"/>
    <mergeCell ref="A259:B259"/>
    <mergeCell ref="A253:B253"/>
    <mergeCell ref="A481:B481"/>
    <mergeCell ref="C150:E150"/>
    <mergeCell ref="C144:E144"/>
    <mergeCell ref="A378:B378"/>
    <mergeCell ref="C250:D250"/>
    <mergeCell ref="F143:J143"/>
    <mergeCell ref="F290:H291"/>
    <mergeCell ref="B172:D173"/>
    <mergeCell ref="I362:J362"/>
    <mergeCell ref="A436:B436"/>
    <mergeCell ref="C710:D710"/>
    <mergeCell ref="F573:H574"/>
    <mergeCell ref="A541:B541"/>
    <mergeCell ref="F189:H189"/>
    <mergeCell ref="C476:D476"/>
    <mergeCell ref="D516:D517"/>
    <mergeCell ref="A656:B656"/>
    <mergeCell ref="C308:D308"/>
    <mergeCell ref="F345:H346"/>
    <mergeCell ref="A544:B544"/>
    <mergeCell ref="F377:J377"/>
    <mergeCell ref="H409:J410"/>
    <mergeCell ref="E231:E232"/>
    <mergeCell ref="C601:E601"/>
    <mergeCell ref="C207:E207"/>
    <mergeCell ref="A712:B712"/>
    <mergeCell ref="A689:A690"/>
    <mergeCell ref="C529:D529"/>
    <mergeCell ref="C21:D21"/>
    <mergeCell ref="G486:H486"/>
    <mergeCell ref="C23:D23"/>
    <mergeCell ref="C652:E652"/>
    <mergeCell ref="G720:H720"/>
    <mergeCell ref="H240:H241"/>
    <mergeCell ref="I363:J363"/>
    <mergeCell ref="B345:B346"/>
    <mergeCell ref="A431:B431"/>
    <mergeCell ref="F482:J482"/>
    <mergeCell ref="F75:H75"/>
    <mergeCell ref="I78:J78"/>
    <mergeCell ref="F586:H586"/>
    <mergeCell ref="C541:E541"/>
    <mergeCell ref="G370:H370"/>
    <mergeCell ref="E402:E403"/>
    <mergeCell ref="I136:J136"/>
    <mergeCell ref="B117:B118"/>
    <mergeCell ref="B115:D116"/>
    <mergeCell ref="F691:G691"/>
    <mergeCell ref="F288:H289"/>
    <mergeCell ref="C474:D474"/>
    <mergeCell ref="C317:E317"/>
    <mergeCell ref="G207:H207"/>
    <mergeCell ref="C647:D647"/>
    <mergeCell ref="F208:J208"/>
    <mergeCell ref="A429:B429"/>
    <mergeCell ref="C418:D418"/>
    <mergeCell ref="I76:J76"/>
    <mergeCell ref="F368:J368"/>
    <mergeCell ref="A663:B663"/>
    <mergeCell ref="F307:H307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F9:G9"/>
    <mergeCell ref="A542:B542"/>
    <mergeCell ref="H238:J239"/>
    <mergeCell ref="I529:J529"/>
    <mergeCell ref="J574:J575"/>
    <mergeCell ref="G91:H91"/>
    <mergeCell ref="G87:H87"/>
    <mergeCell ref="C90:E90"/>
    <mergeCell ref="F5:H6"/>
    <mergeCell ref="G89:H89"/>
    <mergeCell ref="B5:B6"/>
    <mergeCell ref="F33:J33"/>
    <mergeCell ref="F542:J542"/>
    <mergeCell ref="C481:E481"/>
    <mergeCell ref="C543:E543"/>
    <mergeCell ref="G372:H372"/>
    <mergeCell ref="J232:J233"/>
    <mergeCell ref="I545:J545"/>
    <mergeCell ref="I82:J82"/>
    <mergeCell ref="I538:J538"/>
    <mergeCell ref="F479:H479"/>
    <mergeCell ref="G34:H34"/>
    <mergeCell ref="F259:J259"/>
    <mergeCell ref="F706:H706"/>
    <mergeCell ref="C33:E33"/>
    <mergeCell ref="C549:E549"/>
    <mergeCell ref="F261:J261"/>
    <mergeCell ref="G492:H492"/>
    <mergeCell ref="C35:E35"/>
    <mergeCell ref="F254:J254"/>
    <mergeCell ref="F430:J430"/>
    <mergeCell ref="B62:B63"/>
    <mergeCell ref="H352:J353"/>
    <mergeCell ref="F193:H193"/>
    <mergeCell ref="F305:H305"/>
    <mergeCell ref="I367:J367"/>
    <mergeCell ref="F518:H519"/>
    <mergeCell ref="F529:H529"/>
    <mergeCell ref="J175:J176"/>
    <mergeCell ref="F303:H303"/>
    <mergeCell ref="A196:B196"/>
    <mergeCell ref="C117:C118"/>
    <mergeCell ref="G321:H321"/>
    <mergeCell ref="B634:B635"/>
    <mergeCell ref="I704:J704"/>
    <mergeCell ref="I602:J602"/>
    <mergeCell ref="G181:G182"/>
    <mergeCell ref="I61:I62"/>
    <mergeCell ref="F420:H420"/>
    <mergeCell ref="G82:H82"/>
    <mergeCell ref="F605:J605"/>
    <mergeCell ref="B60:B61"/>
    <mergeCell ref="C589:D589"/>
    <mergeCell ref="I714:J714"/>
    <mergeCell ref="I251:J251"/>
    <mergeCell ref="A659:B659"/>
    <mergeCell ref="C417:D417"/>
    <mergeCell ref="I716:J716"/>
    <mergeCell ref="A652:B652"/>
    <mergeCell ref="C262:E262"/>
    <mergeCell ref="G466:G467"/>
    <mergeCell ref="F421:H421"/>
    <mergeCell ref="F73:H73"/>
    <mergeCell ref="A687:A688"/>
    <mergeCell ref="C662:E662"/>
    <mergeCell ref="I696:J697"/>
    <mergeCell ref="C603:E603"/>
    <mergeCell ref="A316:B316"/>
    <mergeCell ref="I403:I404"/>
    <mergeCell ref="A313:B313"/>
    <mergeCell ref="F140:J140"/>
    <mergeCell ref="A528:J528"/>
    <mergeCell ref="I600:J600"/>
    <mergeCell ref="F532:H532"/>
    <mergeCell ref="F117:H118"/>
    <mergeCell ref="A310:B310"/>
    <mergeCell ref="I595:J595"/>
    <mergeCell ref="A206:B206"/>
    <mergeCell ref="I193:J193"/>
    <mergeCell ref="C593:D593"/>
    <mergeCell ref="G716:H716"/>
    <mergeCell ref="G367:H367"/>
    <mergeCell ref="C365:D365"/>
    <mergeCell ref="C548:E548"/>
    <mergeCell ref="C364:D364"/>
    <mergeCell ref="C718:E718"/>
    <mergeCell ref="G205:H205"/>
    <mergeCell ref="C720:E720"/>
    <mergeCell ref="G549:H549"/>
    <mergeCell ref="C263:E263"/>
    <mergeCell ref="G663:H663"/>
    <mergeCell ref="I315:J315"/>
    <mergeCell ref="A372:B372"/>
    <mergeCell ref="I429:J429"/>
    <mergeCell ref="F603:J603"/>
    <mergeCell ref="E632:E633"/>
    <mergeCell ref="G262:H262"/>
    <mergeCell ref="C316:E316"/>
    <mergeCell ref="F375:J375"/>
    <mergeCell ref="G606:H606"/>
    <mergeCell ref="D687:D688"/>
    <mergeCell ref="I707:J707"/>
    <mergeCell ref="C687:C688"/>
    <mergeCell ref="C208:E208"/>
    <mergeCell ref="F707:H707"/>
    <mergeCell ref="F550:J550"/>
    <mergeCell ref="G260:H260"/>
    <mergeCell ref="F710:J710"/>
    <mergeCell ref="F662:J662"/>
    <mergeCell ref="G595:H595"/>
    <mergeCell ref="A231:A232"/>
    <mergeCell ref="F589:H589"/>
    <mergeCell ref="E345:E346"/>
    <mergeCell ref="A486:B486"/>
    <mergeCell ref="C542:E542"/>
    <mergeCell ref="B520:B521"/>
    <mergeCell ref="A717:B717"/>
    <mergeCell ref="I28:J28"/>
    <mergeCell ref="F406:G406"/>
    <mergeCell ref="C29:E29"/>
    <mergeCell ref="G409:G410"/>
    <mergeCell ref="F76:H76"/>
    <mergeCell ref="C31:E31"/>
    <mergeCell ref="C373:E373"/>
    <mergeCell ref="E575:E576"/>
    <mergeCell ref="G661:H661"/>
    <mergeCell ref="E117:E118"/>
    <mergeCell ref="F265:J265"/>
    <mergeCell ref="I304:J304"/>
    <mergeCell ref="B292:B293"/>
    <mergeCell ref="F599:J599"/>
    <mergeCell ref="I427:J427"/>
    <mergeCell ref="I306:J306"/>
    <mergeCell ref="E288:E289"/>
    <mergeCell ref="C429:E429"/>
    <mergeCell ref="G258:H258"/>
    <mergeCell ref="C599:E599"/>
    <mergeCell ref="A204:B204"/>
    <mergeCell ref="G427:H427"/>
    <mergeCell ref="C435:E435"/>
    <mergeCell ref="I533:J533"/>
    <mergeCell ref="C538:E538"/>
    <mergeCell ref="C490:E490"/>
    <mergeCell ref="A660:B660"/>
    <mergeCell ref="H639:H640"/>
    <mergeCell ref="I659:J659"/>
    <mergeCell ref="F249:H249"/>
    <mergeCell ref="I604:J604"/>
    <mergeCell ref="B518:B519"/>
    <mergeCell ref="I19:J19"/>
    <mergeCell ref="B7:B8"/>
    <mergeCell ref="A93:B93"/>
    <mergeCell ref="I319:J319"/>
    <mergeCell ref="C586:D586"/>
    <mergeCell ref="F7:G7"/>
    <mergeCell ref="A634:A635"/>
    <mergeCell ref="C596:D596"/>
    <mergeCell ref="F373:J373"/>
    <mergeCell ref="F634:G634"/>
    <mergeCell ref="E62:E63"/>
    <mergeCell ref="F187:H187"/>
    <mergeCell ref="I249:J249"/>
    <mergeCell ref="G32:H32"/>
    <mergeCell ref="J289:J290"/>
    <mergeCell ref="H67:J68"/>
    <mergeCell ref="A430:B430"/>
    <mergeCell ref="I91:J91"/>
    <mergeCell ref="I85:J85"/>
    <mergeCell ref="I93:J93"/>
    <mergeCell ref="E119:E120"/>
    <mergeCell ref="C249:D249"/>
    <mergeCell ref="F408:G408"/>
    <mergeCell ref="I531:J531"/>
    <mergeCell ref="A605:B605"/>
    <mergeCell ref="C363:D363"/>
    <mergeCell ref="F251:H251"/>
    <mergeCell ref="I419:J419"/>
    <mergeCell ref="C87:E87"/>
    <mergeCell ref="I474:J474"/>
    <mergeCell ref="A548:B548"/>
    <mergeCell ref="A427:B427"/>
    <mergeCell ref="A15:J15"/>
    <mergeCell ref="E630:E631"/>
    <mergeCell ref="I475:J475"/>
    <mergeCell ref="C192:D192"/>
    <mergeCell ref="A428:B428"/>
    <mergeCell ref="I183:J184"/>
    <mergeCell ref="F351:G351"/>
    <mergeCell ref="B174:B175"/>
    <mergeCell ref="C194:D194"/>
    <mergeCell ref="I201:J201"/>
    <mergeCell ref="C650:D650"/>
    <mergeCell ref="C493:E493"/>
    <mergeCell ref="C485:E485"/>
    <mergeCell ref="C189:D189"/>
    <mergeCell ref="F648:H648"/>
    <mergeCell ref="I196:J196"/>
    <mergeCell ref="I148:J148"/>
    <mergeCell ref="F477:H477"/>
    <mergeCell ref="A585:J585"/>
    <mergeCell ref="C130:D130"/>
    <mergeCell ref="G433:H433"/>
    <mergeCell ref="I191:J191"/>
    <mergeCell ref="I536:J536"/>
    <mergeCell ref="H152:I152"/>
    <mergeCell ref="A153:D154"/>
    <mergeCell ref="C142:E142"/>
    <mergeCell ref="A178:A179"/>
    <mergeCell ref="B573:B574"/>
    <mergeCell ref="B349:B350"/>
    <mergeCell ref="C193:D193"/>
    <mergeCell ref="B463:B464"/>
    <mergeCell ref="I376:J376"/>
    <mergeCell ref="A12:C13"/>
    <mergeCell ref="A373:B373"/>
    <mergeCell ref="F19:H19"/>
    <mergeCell ref="C491:E491"/>
    <mergeCell ref="I655:J655"/>
    <mergeCell ref="F650:H650"/>
    <mergeCell ref="F379:J379"/>
    <mergeCell ref="C605:E605"/>
    <mergeCell ref="I657:J657"/>
    <mergeCell ref="I194:J194"/>
    <mergeCell ref="C305:D305"/>
    <mergeCell ref="I650:J650"/>
    <mergeCell ref="E518:E519"/>
    <mergeCell ref="F174:H175"/>
    <mergeCell ref="I433:J433"/>
    <mergeCell ref="A288:A289"/>
    <mergeCell ref="A202:B202"/>
    <mergeCell ref="A297:C298"/>
    <mergeCell ref="C361:D361"/>
    <mergeCell ref="C204:E204"/>
    <mergeCell ref="F363:H363"/>
    <mergeCell ref="F92:J92"/>
    <mergeCell ref="C206:E206"/>
    <mergeCell ref="A117:A118"/>
    <mergeCell ref="I370:J370"/>
    <mergeCell ref="F365:H365"/>
    <mergeCell ref="I34:J34"/>
    <mergeCell ref="I36:J36"/>
    <mergeCell ref="C16:D16"/>
    <mergeCell ref="I260:J260"/>
    <mergeCell ref="C187:D187"/>
    <mergeCell ref="C368:D368"/>
    <mergeCell ref="H10:J11"/>
    <mergeCell ref="I32:J32"/>
    <mergeCell ref="I305:J305"/>
    <mergeCell ref="A37:B37"/>
    <mergeCell ref="C137:D137"/>
    <mergeCell ref="A379:B379"/>
    <mergeCell ref="F636:G636"/>
    <mergeCell ref="A493:B493"/>
    <mergeCell ref="F575:H576"/>
    <mergeCell ref="H183:H184"/>
    <mergeCell ref="C132:D132"/>
    <mergeCell ref="C313:E313"/>
    <mergeCell ref="F472:H472"/>
    <mergeCell ref="C315:E315"/>
    <mergeCell ref="A518:A519"/>
    <mergeCell ref="A92:B92"/>
    <mergeCell ref="G714:H714"/>
    <mergeCell ref="I472:J472"/>
    <mergeCell ref="F653:J653"/>
    <mergeCell ref="A546:B546"/>
    <mergeCell ref="B343:D344"/>
    <mergeCell ref="F294:G294"/>
    <mergeCell ref="I417:J417"/>
    <mergeCell ref="F137:H137"/>
    <mergeCell ref="C653:D653"/>
    <mergeCell ref="F689:H690"/>
    <mergeCell ref="C136:D136"/>
    <mergeCell ref="C436:E436"/>
    <mergeCell ref="H525:H526"/>
    <mergeCell ref="I705:J705"/>
    <mergeCell ref="B400:D401"/>
    <mergeCell ref="A577:A578"/>
    <mergeCell ref="A719:B719"/>
    <mergeCell ref="I534:J534"/>
    <mergeCell ref="C484:E484"/>
    <mergeCell ref="G313:H313"/>
    <mergeCell ref="C486:E486"/>
    <mergeCell ref="I77:J77"/>
    <mergeCell ref="A292:A293"/>
    <mergeCell ref="B687:B688"/>
    <mergeCell ref="G93:H93"/>
    <mergeCell ref="C717:E717"/>
    <mergeCell ref="B691:B692"/>
    <mergeCell ref="C719:E719"/>
    <mergeCell ref="B514:D515"/>
    <mergeCell ref="I250:J250"/>
    <mergeCell ref="I706:J706"/>
    <mergeCell ref="C85:E85"/>
    <mergeCell ref="C83:D83"/>
    <mergeCell ref="C419:D419"/>
    <mergeCell ref="A319:B319"/>
    <mergeCell ref="B689:B690"/>
    <mergeCell ref="A520:A521"/>
    <mergeCell ref="I360:J360"/>
    <mergeCell ref="A94:B94"/>
    <mergeCell ref="I702:J702"/>
    <mergeCell ref="A691:A692"/>
    <mergeCell ref="A148:B148"/>
    <mergeCell ref="D117:D118"/>
    <mergeCell ref="H696:H697"/>
    <mergeCell ref="C649:D649"/>
    <mergeCell ref="F591:H591"/>
    <mergeCell ref="D630:D631"/>
    <mergeCell ref="C139:E139"/>
    <mergeCell ref="G28:H28"/>
    <mergeCell ref="J346:J347"/>
    <mergeCell ref="G30:H30"/>
    <mergeCell ref="H582:H583"/>
    <mergeCell ref="I303:J303"/>
    <mergeCell ref="A377:B377"/>
    <mergeCell ref="C135:D135"/>
    <mergeCell ref="C28:E28"/>
    <mergeCell ref="C30:E30"/>
    <mergeCell ref="I79:J79"/>
    <mergeCell ref="G315:H315"/>
    <mergeCell ref="I73:J73"/>
    <mergeCell ref="A147:B147"/>
    <mergeCell ref="G538:H538"/>
    <mergeCell ref="G411:G412"/>
    <mergeCell ref="A150:B150"/>
    <mergeCell ref="A144:B144"/>
    <mergeCell ref="I30:J30"/>
    <mergeCell ref="I488:J488"/>
    <mergeCell ref="I490:J490"/>
    <mergeCell ref="A345:A346"/>
    <mergeCell ref="E153:F154"/>
    <mergeCell ref="G153:G154"/>
    <mergeCell ref="A155:A156"/>
    <mergeCell ref="B155:B156"/>
    <mergeCell ref="C202:E202"/>
    <mergeCell ref="F361:H361"/>
    <mergeCell ref="G582:G583"/>
    <mergeCell ref="D573:D574"/>
    <mergeCell ref="F489:J489"/>
    <mergeCell ref="A300:J300"/>
    <mergeCell ref="G310:H310"/>
    <mergeCell ref="F491:J491"/>
    <mergeCell ref="C573:C574"/>
    <mergeCell ref="F463:G463"/>
    <mergeCell ref="I346:I347"/>
    <mergeCell ref="I146:J146"/>
    <mergeCell ref="I479:J479"/>
    <mergeCell ref="A119:A120"/>
    <mergeCell ref="I118:I119"/>
    <mergeCell ref="I321:J321"/>
    <mergeCell ref="I574:I575"/>
    <mergeCell ref="I313:J313"/>
    <mergeCell ref="G484:H484"/>
    <mergeCell ref="I549:J549"/>
    <mergeCell ref="C421:D421"/>
    <mergeCell ref="C372:E372"/>
    <mergeCell ref="G183:G184"/>
    <mergeCell ref="F531:H531"/>
    <mergeCell ref="A484:B484"/>
    <mergeCell ref="C244:D244"/>
    <mergeCell ref="C306:D306"/>
    <mergeCell ref="F308:H308"/>
    <mergeCell ref="F487:J487"/>
    <mergeCell ref="A485:B485"/>
    <mergeCell ref="D288:D289"/>
    <mergeCell ref="J517:J518"/>
    <mergeCell ref="F235:G235"/>
    <mergeCell ref="A126:C127"/>
    <mergeCell ref="E461:E462"/>
    <mergeCell ref="C145:E145"/>
    <mergeCell ref="A322:B322"/>
    <mergeCell ref="G545:H545"/>
    <mergeCell ref="F149:J149"/>
    <mergeCell ref="F687:H688"/>
    <mergeCell ref="H297:H298"/>
    <mergeCell ref="A602:B602"/>
    <mergeCell ref="A60:A61"/>
    <mergeCell ref="C459:C460"/>
    <mergeCell ref="G374:H374"/>
    <mergeCell ref="C545:E545"/>
    <mergeCell ref="C88:E88"/>
    <mergeCell ref="F31:J31"/>
    <mergeCell ref="I4:I5"/>
    <mergeCell ref="C595:E595"/>
    <mergeCell ref="G424:H424"/>
    <mergeCell ref="C702:D702"/>
    <mergeCell ref="A604:B604"/>
    <mergeCell ref="C704:D704"/>
    <mergeCell ref="F250:H250"/>
    <mergeCell ref="A183:C184"/>
    <mergeCell ref="F304:H304"/>
    <mergeCell ref="G525:G526"/>
    <mergeCell ref="G639:G640"/>
    <mergeCell ref="A7:A8"/>
    <mergeCell ref="A88:B88"/>
    <mergeCell ref="A463:A464"/>
    <mergeCell ref="A606:B606"/>
    <mergeCell ref="I16:J16"/>
    <mergeCell ref="A90:B90"/>
    <mergeCell ref="I18:J18"/>
    <mergeCell ref="A85:B85"/>
    <mergeCell ref="I468:J469"/>
    <mergeCell ref="C151:E151"/>
    <mergeCell ref="F62:H63"/>
    <mergeCell ref="J460:J461"/>
  </mergeCells>
  <phoneticPr fontId="2"/>
  <conditionalFormatting sqref="D50:D55">
    <cfRule type="cellIs" dxfId="38" priority="3" operator="equal">
      <formula>$D49</formula>
    </cfRule>
  </conditionalFormatting>
  <conditionalFormatting sqref="D107:D112">
    <cfRule type="cellIs" dxfId="37" priority="6" operator="equal">
      <formula>$D106</formula>
    </cfRule>
  </conditionalFormatting>
  <conditionalFormatting sqref="D164:D169">
    <cfRule type="cellIs" dxfId="36" priority="9" operator="equal">
      <formula>$D163</formula>
    </cfRule>
  </conditionalFormatting>
  <conditionalFormatting sqref="D221:D226">
    <cfRule type="cellIs" dxfId="35" priority="12" operator="equal">
      <formula>$D220</formula>
    </cfRule>
  </conditionalFormatting>
  <conditionalFormatting sqref="D278:D283">
    <cfRule type="cellIs" dxfId="34" priority="15" operator="equal">
      <formula>$D277</formula>
    </cfRule>
  </conditionalFormatting>
  <conditionalFormatting sqref="D335:D340">
    <cfRule type="cellIs" dxfId="33" priority="18" operator="equal">
      <formula>$D334</formula>
    </cfRule>
  </conditionalFormatting>
  <conditionalFormatting sqref="D392:D397">
    <cfRule type="cellIs" dxfId="32" priority="21" operator="equal">
      <formula>$D391</formula>
    </cfRule>
  </conditionalFormatting>
  <conditionalFormatting sqref="D449:D454">
    <cfRule type="cellIs" dxfId="31" priority="24" operator="equal">
      <formula>$D448</formula>
    </cfRule>
  </conditionalFormatting>
  <conditionalFormatting sqref="D506:D511">
    <cfRule type="cellIs" dxfId="30" priority="27" operator="equal">
      <formula>$D505</formula>
    </cfRule>
  </conditionalFormatting>
  <conditionalFormatting sqref="D563:D568">
    <cfRule type="cellIs" dxfId="29" priority="30" operator="equal">
      <formula>$D562</formula>
    </cfRule>
  </conditionalFormatting>
  <conditionalFormatting sqref="D620:D625">
    <cfRule type="cellIs" dxfId="28" priority="33" operator="equal">
      <formula>$D619</formula>
    </cfRule>
  </conditionalFormatting>
  <conditionalFormatting sqref="D677:D682">
    <cfRule type="cellIs" dxfId="27" priority="36" operator="equal">
      <formula>$D676</formula>
    </cfRule>
  </conditionalFormatting>
  <conditionalFormatting sqref="D734:D739">
    <cfRule type="cellIs" dxfId="26" priority="39" operator="equal">
      <formula>$D733</formula>
    </cfRule>
  </conditionalFormatting>
  <conditionalFormatting sqref="I39">
    <cfRule type="cellIs" dxfId="25" priority="1" operator="lessThan">
      <formula>45658</formula>
    </cfRule>
  </conditionalFormatting>
  <conditionalFormatting sqref="I96">
    <cfRule type="cellIs" dxfId="24" priority="4" operator="lessThan">
      <formula>45658</formula>
    </cfRule>
  </conditionalFormatting>
  <conditionalFormatting sqref="I153">
    <cfRule type="cellIs" dxfId="23" priority="7" operator="lessThan">
      <formula>45658</formula>
    </cfRule>
  </conditionalFormatting>
  <conditionalFormatting sqref="I210">
    <cfRule type="cellIs" dxfId="22" priority="10" operator="lessThan">
      <formula>45658</formula>
    </cfRule>
  </conditionalFormatting>
  <conditionalFormatting sqref="I267">
    <cfRule type="cellIs" dxfId="21" priority="13" operator="lessThan">
      <formula>45658</formula>
    </cfRule>
  </conditionalFormatting>
  <conditionalFormatting sqref="I324">
    <cfRule type="cellIs" dxfId="20" priority="16" operator="lessThan">
      <formula>45658</formula>
    </cfRule>
  </conditionalFormatting>
  <conditionalFormatting sqref="I381">
    <cfRule type="cellIs" dxfId="19" priority="19" operator="lessThan">
      <formula>45658</formula>
    </cfRule>
  </conditionalFormatting>
  <conditionalFormatting sqref="I438">
    <cfRule type="cellIs" dxfId="18" priority="22" operator="lessThan">
      <formula>45658</formula>
    </cfRule>
  </conditionalFormatting>
  <conditionalFormatting sqref="I495">
    <cfRule type="cellIs" dxfId="17" priority="25" operator="lessThan">
      <formula>45658</formula>
    </cfRule>
  </conditionalFormatting>
  <conditionalFormatting sqref="I552">
    <cfRule type="cellIs" dxfId="16" priority="28" operator="lessThan">
      <formula>45658</formula>
    </cfRule>
  </conditionalFormatting>
  <conditionalFormatting sqref="I609">
    <cfRule type="cellIs" dxfId="15" priority="31" operator="lessThan">
      <formula>45658</formula>
    </cfRule>
  </conditionalFormatting>
  <conditionalFormatting sqref="I666">
    <cfRule type="cellIs" dxfId="14" priority="34" operator="lessThan">
      <formula>45658</formula>
    </cfRule>
  </conditionalFormatting>
  <conditionalFormatting sqref="I723">
    <cfRule type="cellIs" dxfId="13" priority="37" operator="lessThan">
      <formula>45658</formula>
    </cfRule>
  </conditionalFormatting>
  <conditionalFormatting sqref="J46">
    <cfRule type="cellIs" dxfId="12" priority="2" operator="equal">
      <formula>0</formula>
    </cfRule>
  </conditionalFormatting>
  <conditionalFormatting sqref="J103">
    <cfRule type="cellIs" dxfId="11" priority="5" operator="equal">
      <formula>0</formula>
    </cfRule>
  </conditionalFormatting>
  <conditionalFormatting sqref="J160">
    <cfRule type="cellIs" dxfId="10" priority="8" operator="equal">
      <formula>0</formula>
    </cfRule>
  </conditionalFormatting>
  <conditionalFormatting sqref="J217">
    <cfRule type="cellIs" dxfId="9" priority="11" operator="equal">
      <formula>0</formula>
    </cfRule>
  </conditionalFormatting>
  <conditionalFormatting sqref="J274">
    <cfRule type="cellIs" dxfId="8" priority="14" operator="equal">
      <formula>0</formula>
    </cfRule>
  </conditionalFormatting>
  <conditionalFormatting sqref="J331">
    <cfRule type="cellIs" dxfId="7" priority="17" operator="equal">
      <formula>0</formula>
    </cfRule>
  </conditionalFormatting>
  <conditionalFormatting sqref="J388">
    <cfRule type="cellIs" dxfId="6" priority="20" operator="equal">
      <formula>0</formula>
    </cfRule>
  </conditionalFormatting>
  <conditionalFormatting sqref="J445">
    <cfRule type="cellIs" dxfId="5" priority="23" operator="equal">
      <formula>0</formula>
    </cfRule>
  </conditionalFormatting>
  <conditionalFormatting sqref="J502">
    <cfRule type="cellIs" dxfId="4" priority="26" operator="equal">
      <formula>0</formula>
    </cfRule>
  </conditionalFormatting>
  <conditionalFormatting sqref="J559">
    <cfRule type="cellIs" dxfId="3" priority="29" operator="equal">
      <formula>0</formula>
    </cfRule>
  </conditionalFormatting>
  <conditionalFormatting sqref="J616">
    <cfRule type="cellIs" dxfId="2" priority="32" operator="equal">
      <formula>0</formula>
    </cfRule>
  </conditionalFormatting>
  <conditionalFormatting sqref="J673">
    <cfRule type="cellIs" dxfId="1" priority="35" operator="equal">
      <formula>0</formula>
    </cfRule>
  </conditionalFormatting>
  <conditionalFormatting sqref="J730">
    <cfRule type="cellIs" dxfId="0" priority="38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2" manualBreakCount="12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2025-07-18T05:03:17Z</cp:lastPrinted>
  <dcterms:created xsi:type="dcterms:W3CDTF">2024-07-11T02:08:33Z</dcterms:created>
  <dcterms:modified xsi:type="dcterms:W3CDTF">2025-07-18T07:46:10Z</dcterms:modified>
</cp:coreProperties>
</file>