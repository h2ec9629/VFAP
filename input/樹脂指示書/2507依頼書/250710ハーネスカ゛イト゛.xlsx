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D58BB785-8EF2-45DE-9FF0-BC165E9D6B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2" i="1" l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I102" i="1" a="1"/>
  <c r="I102" i="1" s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 a="1"/>
  <c r="I97" i="1" s="1"/>
  <c r="I96" i="1" a="1"/>
  <c r="I96" i="1" s="1"/>
  <c r="G96" i="1" a="1"/>
  <c r="G96" i="1" s="1"/>
  <c r="E96" i="1" a="1"/>
  <c r="E96" i="1" s="1"/>
  <c r="A96" i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<sst xmlns="http://schemas.openxmlformats.org/spreadsheetml/2006/main" count="178" uniqueCount="91">
  <si>
    <t>検査梱包指示書</t>
  </si>
  <si>
    <t>品目番号</t>
  </si>
  <si>
    <t>J1EAZZB03102750</t>
  </si>
  <si>
    <t>Ｌ寸</t>
  </si>
  <si>
    <t>名称</t>
  </si>
  <si>
    <t>ﾊｰﾈｽｶﾞｲﾄﾞ部材</t>
  </si>
  <si>
    <t>上長</t>
  </si>
  <si>
    <t>係員</t>
  </si>
  <si>
    <t>製造指図№</t>
  </si>
  <si>
    <t>000000000005316</t>
  </si>
  <si>
    <t>原料名</t>
  </si>
  <si>
    <t>(J1VB275)</t>
  </si>
  <si>
    <t>発注明細№</t>
  </si>
  <si>
    <t>000000000772696</t>
  </si>
  <si>
    <t>色　名</t>
  </si>
  <si>
    <t>ｸﾞﾚｰ</t>
  </si>
  <si>
    <t>製品Grp</t>
  </si>
  <si>
    <t>J1EA</t>
  </si>
  <si>
    <t>開始日</t>
  </si>
  <si>
    <t>入り数</t>
  </si>
  <si>
    <t>終了日</t>
  </si>
  <si>
    <t>梱包数</t>
  </si>
  <si>
    <t>指示数量</t>
  </si>
  <si>
    <t>金　型</t>
  </si>
  <si>
    <t>4219</t>
  </si>
  <si>
    <t>*J1EAZZB03102750*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</si>
  <si>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</si>
  <si>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</si>
  <si>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</si>
  <si>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</si>
  <si>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</si>
  <si>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</si>
  <si>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</si>
  <si>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</si>
  <si>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</si>
  <si>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</si>
  <si>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</si>
  <si>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</si>
  <si>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</si>
  <si>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</si>
  <si>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</si>
  <si>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</si>
  <si>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</si>
  <si>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</si>
  <si>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</si>
  <si>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</si>
  <si>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</si>
  <si>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</si>
  <si>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J1EAZZA03114800</t>
  </si>
  <si>
    <t>@ﾊｰﾈｽｶﾞｲﾄﾞ部材</t>
  </si>
  <si>
    <t>*J1EAZZA03114800*</t>
  </si>
  <si>
    <t>J7DH0050</t>
  </si>
  <si>
    <t>S-11</t>
  </si>
  <si>
    <t>*J7DH0050*</t>
  </si>
  <si>
    <t>000000000005317</t>
  </si>
  <si>
    <t>000000000772697</t>
  </si>
  <si>
    <t>J7DH0050</t>
    <phoneticPr fontId="2"/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</si>
  <si>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</si>
  <si>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</si>
  <si>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</si>
  <si>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</si>
  <si>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</si>
  <si>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</si>
  <si>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</si>
  <si>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</si>
  <si>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</si>
  <si>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</si>
  <si>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</si>
  <si>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</si>
  <si>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</si>
  <si>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</si>
  <si>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</si>
  <si>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</si>
  <si>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</si>
  <si>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</si>
  <si>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</si>
  <si>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</si>
  <si>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基材Lot</t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</si>
  <si>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</si>
  <si>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</si>
  <si>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</si>
  <si>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</si>
  <si>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</si>
  <si>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</si>
  <si>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</si>
  <si>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</si>
  <si>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製品名</t>
    <phoneticPr fontId="1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</si>
  <si>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1"/>
  </si>
  <si>
    <t>使用数</t>
    <rPh sb="0" eb="2">
      <t>シヨウ</t>
    </rPh>
    <rPh sb="2" eb="3">
      <t>スウ</t>
    </rPh>
    <phoneticPr fontId="1"/>
  </si>
  <si>
    <t>加工内容</t>
    <rPh sb="0" eb="2">
      <t>カコウ</t>
    </rPh>
    <rPh sb="2" eb="4">
      <t>ナイヨウ</t>
    </rPh>
    <phoneticPr fontId="1"/>
  </si>
  <si>
    <t>不良内訳</t>
    <rPh sb="0" eb="2">
      <t>フリョウ</t>
    </rPh>
    <rPh sb="2" eb="4">
      <t>ウチワケ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</si>
</sst>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yy\,mm\,dd"/>
    <numFmt numFmtId="192" formatCode="#&quot;箱&quot;"/>
    <numFmt numFmtId="193" formatCode="&quot;合計 &quot;#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2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5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13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20" xfId="0" applyFont="1" applyFill="1" applyBorder="1" applyAlignment="1">
      <alignment horizontal="center" vertical="center"/>
    </xf>
    <xf numFmtId="49" fontId="6" fillId="4" borderId="20" xfId="1" applyNumberFormat="1" applyFont="1" applyFill="1" applyBorder="1" applyAlignment="1">
      <alignment horizontal="center" vertical="center" shrinkToFit="1"/>
    </xf>
    <xf numFmtId="179" fontId="19" fillId="0" borderId="24" xfId="0" applyNumberFormat="1" applyFont="1" applyBorder="1" applyAlignment="1">
      <alignment horizontal="left" vertical="center"/>
    </xf>
    <xf numFmtId="49" fontId="21" fillId="0" borderId="0" xfId="1" applyNumberFormat="1" applyFont="1" applyAlignment="1">
      <alignment horizontal="left" vertical="center" shrinkToFit="1"/>
    </xf>
    <xf numFmtId="0" fontId="19" fillId="0" borderId="24" xfId="0" applyFont="1" applyBorder="1" applyAlignment="1">
      <alignment horizontal="left" vertical="center" wrapText="1"/>
    </xf>
    <xf numFmtId="49" fontId="23" fillId="0" borderId="0" xfId="1" applyNumberFormat="1" applyFont="1" applyAlignment="1">
      <alignment horizontal="left" vertical="center" shrinkToFit="1"/>
    </xf>
    <xf numFmtId="0" fontId="19" fillId="0" borderId="35" xfId="0" applyFont="1" applyBorder="1" applyAlignment="1">
      <alignment horizontal="left" vertical="center" wrapText="1"/>
    </xf>
    <xf numFmtId="179" fontId="25" fillId="0" borderId="33" xfId="1" applyNumberFormat="1" applyFont="1" applyBorder="1" applyAlignment="1">
      <alignment horizontal="center" vertical="center" shrinkToFit="1"/>
    </xf>
    <xf numFmtId="0" fontId="26" fillId="6" borderId="18" xfId="0" applyFont="1" applyFill="1" applyBorder="1" applyAlignment="1">
      <alignment horizontal="center" vertical="center"/>
    </xf>
    <xf numFmtId="49" fontId="26" fillId="6" borderId="19" xfId="1" applyNumberFormat="1" applyFont="1" applyFill="1" applyBorder="1" applyAlignment="1">
      <alignment vertical="center" shrinkToFit="1"/>
    </xf>
    <xf numFmtId="49" fontId="26" fillId="6" borderId="19" xfId="1" applyNumberFormat="1" applyFont="1" applyFill="1" applyBorder="1" applyAlignment="1">
      <alignment horizontal="center" vertical="center" shrinkToFit="1"/>
    </xf>
    <xf numFmtId="49" fontId="26" fillId="6" borderId="20" xfId="0" applyNumberFormat="1" applyFont="1" applyFill="1" applyBorder="1" applyAlignment="1">
      <alignment horizontal="center" vertical="center" shrinkToFit="1"/>
    </xf>
    <xf numFmtId="0" fontId="26" fillId="2" borderId="18" xfId="0" applyFont="1" applyFill="1" applyBorder="1">
      <alignment vertical="center"/>
    </xf>
    <xf numFmtId="49" fontId="26" fillId="2" borderId="19" xfId="0" applyNumberFormat="1" applyFont="1" applyFill="1" applyBorder="1" applyAlignment="1">
      <alignment horizontal="center" vertical="center" shrinkToFit="1"/>
    </xf>
    <xf numFmtId="49" fontId="26" fillId="2" borderId="20" xfId="0" applyNumberFormat="1" applyFont="1" applyFill="1" applyBorder="1" applyAlignment="1">
      <alignment horizontal="center" vertical="center" shrinkToFit="1"/>
    </xf>
    <xf numFmtId="0" fontId="27" fillId="3" borderId="36" xfId="0" applyFont="1" applyFill="1" applyBorder="1" applyAlignment="1">
      <alignment horizontal="center" vertical="center"/>
    </xf>
    <xf numFmtId="0" fontId="27" fillId="3" borderId="37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0" borderId="22" xfId="0" applyNumberFormat="1" applyFont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8" xfId="0" applyFont="1" applyFill="1" applyBorder="1" applyAlignment="1">
      <alignment horizontal="center" vertical="center"/>
    </xf>
    <xf numFmtId="189" fontId="15" fillId="4" borderId="39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3" xfId="0" applyNumberFormat="1" applyFont="1" applyFill="1" applyBorder="1" applyAlignment="1">
      <alignment horizontal="center" vertical="center"/>
    </xf>
    <xf numFmtId="191" fontId="15" fillId="0" borderId="22" xfId="0" applyNumberFormat="1" applyFont="1" applyBorder="1" applyAlignment="1">
      <alignment horizontal="center" vertical="center"/>
    </xf>
    <xf numFmtId="192" fontId="15" fillId="0" borderId="23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0" fontId="15" fillId="0" borderId="2" xfId="0" applyFont="1" applyBorder="1" applyAlignment="1">
      <alignment horizontal="center" vertical="center"/>
    </xf>
    <xf numFmtId="189" fontId="15" fillId="0" borderId="23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3" xfId="0" applyNumberFormat="1" applyFont="1" applyBorder="1" applyAlignment="1">
      <alignment horizontal="center" vertical="center"/>
    </xf>
    <xf numFmtId="191" fontId="15" fillId="0" borderId="26" xfId="0" applyNumberFormat="1" applyFont="1" applyBorder="1" applyAlignment="1">
      <alignment horizontal="center" vertical="center"/>
    </xf>
    <xf numFmtId="192" fontId="15" fillId="0" borderId="40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1" fontId="14" fillId="0" borderId="26" xfId="0" applyNumberFormat="1" applyFont="1" applyBorder="1" applyAlignment="1">
      <alignment horizontal="center" vertical="center"/>
    </xf>
    <xf numFmtId="192" fontId="14" fillId="0" borderId="40" xfId="0" applyNumberFormat="1" applyFont="1" applyBorder="1" applyAlignment="1">
      <alignment horizontal="center" vertical="center"/>
    </xf>
    <xf numFmtId="191" fontId="14" fillId="5" borderId="26" xfId="0" applyNumberFormat="1" applyFont="1" applyFill="1" applyBorder="1" applyAlignment="1">
      <alignment horizontal="center" vertical="center"/>
    </xf>
    <xf numFmtId="192" fontId="14" fillId="5" borderId="40" xfId="0" applyNumberFormat="1" applyFont="1" applyFill="1" applyBorder="1" applyAlignment="1">
      <alignment horizontal="center" vertical="center"/>
    </xf>
    <xf numFmtId="181" fontId="15" fillId="0" borderId="32" xfId="0" applyNumberFormat="1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89" fontId="15" fillId="0" borderId="34" xfId="0" applyNumberFormat="1" applyFont="1" applyBorder="1" applyAlignment="1">
      <alignment horizontal="center" vertical="center"/>
    </xf>
    <xf numFmtId="179" fontId="15" fillId="0" borderId="32" xfId="0" applyNumberFormat="1" applyFont="1" applyBorder="1" applyAlignment="1">
      <alignment horizontal="center" vertical="center"/>
    </xf>
    <xf numFmtId="179" fontId="15" fillId="0" borderId="33" xfId="0" applyNumberFormat="1" applyFont="1" applyBorder="1" applyAlignment="1">
      <alignment horizontal="center" vertical="center"/>
    </xf>
    <xf numFmtId="179" fontId="15" fillId="0" borderId="41" xfId="0" applyNumberFormat="1" applyFont="1" applyBorder="1" applyAlignment="1">
      <alignment horizontal="center" vertical="center"/>
    </xf>
    <xf numFmtId="191" fontId="14" fillId="5" borderId="32" xfId="0" applyNumberFormat="1" applyFont="1" applyFill="1" applyBorder="1" applyAlignment="1">
      <alignment horizontal="center" vertical="center"/>
    </xf>
    <xf numFmtId="192" fontId="14" fillId="5" borderId="34" xfId="0" applyNumberFormat="1" applyFont="1" applyFill="1" applyBorder="1" applyAlignment="1">
      <alignment horizontal="center" vertical="center"/>
    </xf>
    <xf numFmtId="179" fontId="20" fillId="0" borderId="2" xfId="1" applyNumberFormat="1" applyFont="1" applyBorder="1" applyAlignment="1">
      <alignment horizontal="center" vertical="center" shrinkToFit="1"/>
    </xf>
    <xf numFmtId="182" fontId="19" fillId="5" borderId="2" xfId="0" applyNumberFormat="1" applyFont="1" applyFill="1" applyBorder="1" applyAlignment="1">
      <alignment horizontal="left" vertical="center" shrinkToFit="1"/>
    </xf>
    <xf numFmtId="183" fontId="19" fillId="5" borderId="2" xfId="0" applyNumberFormat="1" applyFont="1" applyFill="1" applyBorder="1" applyAlignment="1">
      <alignment horizontal="left" vertical="center" shrinkToFit="1"/>
    </xf>
    <xf numFmtId="184" fontId="19" fillId="5" borderId="2" xfId="0" applyNumberFormat="1" applyFont="1" applyFill="1" applyBorder="1" applyAlignment="1">
      <alignment horizontal="left" vertical="center" shrinkToFit="1"/>
    </xf>
    <xf numFmtId="185" fontId="19" fillId="5" borderId="2" xfId="0" applyNumberFormat="1" applyFont="1" applyFill="1" applyBorder="1" applyAlignment="1">
      <alignment horizontal="left" vertical="center" shrinkToFit="1"/>
    </xf>
    <xf numFmtId="187" fontId="19" fillId="5" borderId="2" xfId="0" applyNumberFormat="1" applyFont="1" applyFill="1" applyBorder="1" applyAlignment="1">
      <alignment horizontal="left" vertical="center" shrinkToFit="1"/>
    </xf>
    <xf numFmtId="188" fontId="19" fillId="5" borderId="2" xfId="0" applyNumberFormat="1" applyFont="1" applyFill="1" applyBorder="1" applyAlignment="1">
      <alignment horizontal="left" vertical="center" shrinkToFit="1"/>
    </xf>
    <xf numFmtId="190" fontId="19" fillId="5" borderId="2" xfId="0" applyNumberFormat="1" applyFont="1" applyFill="1" applyBorder="1" applyAlignment="1">
      <alignment horizontal="left" vertical="center" shrinkToFit="1"/>
    </xf>
    <xf numFmtId="193" fontId="19" fillId="5" borderId="2" xfId="0" applyNumberFormat="1" applyFont="1" applyFill="1" applyBorder="1" applyAlignment="1">
      <alignment horizontal="center" vertical="center"/>
    </xf>
    <xf numFmtId="181" fontId="20" fillId="0" borderId="2" xfId="1" applyNumberFormat="1" applyFont="1" applyBorder="1" applyAlignment="1">
      <alignment horizontal="center" vertical="center" shrinkToFit="1"/>
    </xf>
    <xf numFmtId="49" fontId="9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" fillId="0" borderId="0" xfId="1" applyNumberFormat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0" fontId="12" fillId="0" borderId="0" xfId="0" applyFont="1">
      <alignment vertical="center"/>
    </xf>
    <xf numFmtId="49" fontId="4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0" fontId="0" fillId="0" borderId="16" xfId="0" applyBorder="1" applyAlignment="1"/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0" fontId="0" fillId="0" borderId="10" xfId="0" applyBorder="1" applyAlignment="1"/>
    <xf numFmtId="0" fontId="0" fillId="0" borderId="12" xfId="0" applyBorder="1" applyAlignment="1"/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0" fillId="0" borderId="4" xfId="1" applyNumberFormat="1" applyFont="1" applyBorder="1" applyAlignment="1">
      <alignment horizontal="left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4" fillId="2" borderId="26" xfId="1" applyNumberFormat="1" applyFont="1" applyFill="1" applyBorder="1" applyAlignment="1">
      <alignment horizontal="center" vertical="center" shrinkToFit="1"/>
    </xf>
    <xf numFmtId="49" fontId="14" fillId="2" borderId="28" xfId="1" applyNumberFormat="1" applyFont="1" applyFill="1" applyBorder="1" applyAlignment="1">
      <alignment horizontal="center" vertical="center" shrinkToFit="1"/>
    </xf>
    <xf numFmtId="0" fontId="14" fillId="2" borderId="1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10" xfId="1" applyNumberFormat="1" applyFont="1" applyBorder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0" fontId="1" fillId="0" borderId="0" xfId="0" applyFont="1">
      <alignment vertical="center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0" fillId="0" borderId="15" xfId="0" applyBorder="1" applyAlignment="1"/>
    <xf numFmtId="49" fontId="11" fillId="0" borderId="6" xfId="1" applyNumberFormat="1" applyFont="1" applyBorder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0" fontId="22" fillId="0" borderId="14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3" xfId="0" applyNumberFormat="1" applyFont="1" applyFill="1" applyBorder="1" applyAlignment="1">
      <alignment horizontal="left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7" xfId="0" applyNumberFormat="1" applyFont="1" applyFill="1" applyBorder="1" applyAlignment="1">
      <alignment horizontal="center" vertical="center"/>
    </xf>
    <xf numFmtId="49" fontId="24" fillId="2" borderId="16" xfId="0" applyNumberFormat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30" xfId="0" applyNumberFormat="1" applyFont="1" applyBorder="1" applyAlignment="1">
      <alignment horizontal="center" vertical="center"/>
    </xf>
    <xf numFmtId="49" fontId="24" fillId="2" borderId="27" xfId="1" applyNumberFormat="1" applyFont="1" applyFill="1" applyBorder="1" applyAlignment="1">
      <alignment horizontal="center" vertical="center" shrinkToFit="1"/>
    </xf>
    <xf numFmtId="49" fontId="24" fillId="2" borderId="31" xfId="1" applyNumberFormat="1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/>
    </xf>
    <xf numFmtId="179" fontId="17" fillId="5" borderId="32" xfId="0" applyNumberFormat="1" applyFont="1" applyFill="1" applyBorder="1" applyAlignment="1">
      <alignment horizontal="left" vertical="center" shrinkToFit="1"/>
    </xf>
    <xf numFmtId="179" fontId="17" fillId="5" borderId="33" xfId="0" applyNumberFormat="1" applyFont="1" applyFill="1" applyBorder="1" applyAlignment="1">
      <alignment horizontal="left" vertical="center" shrinkToFit="1"/>
    </xf>
    <xf numFmtId="179" fontId="17" fillId="5" borderId="34" xfId="0" applyNumberFormat="1" applyFont="1" applyFill="1" applyBorder="1" applyAlignment="1">
      <alignment horizontal="left" vertical="center" shrinkToFit="1"/>
    </xf>
    <xf numFmtId="49" fontId="7" fillId="0" borderId="0" xfId="1" applyNumberFormat="1" applyFont="1" applyAlignment="1">
      <alignment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1" xfId="1" applyFont="1" applyBorder="1" applyAlignment="1">
      <alignment horizontal="left" vertical="center" shrinkToFit="1"/>
    </xf>
    <xf numFmtId="0" fontId="16" fillId="0" borderId="14" xfId="1" applyFont="1" applyBorder="1" applyAlignment="1">
      <alignment horizontal="left" vertical="center" shrinkToFit="1"/>
    </xf>
    <xf numFmtId="0" fontId="16" fillId="0" borderId="25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80" fontId="18" fillId="0" borderId="23" xfId="1" applyNumberFormat="1" applyFont="1" applyBorder="1" applyAlignment="1">
      <alignment horizontal="center" vertical="center" shrinkToFit="1"/>
    </xf>
    <xf numFmtId="0" fontId="14" fillId="2" borderId="28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7" xfId="1" applyNumberFormat="1" applyFont="1" applyFill="1" applyBorder="1" applyAlignment="1">
      <alignment horizontal="center" vertical="center" shrinkToFit="1"/>
    </xf>
    <xf numFmtId="49" fontId="14" fillId="2" borderId="16" xfId="1" applyNumberFormat="1" applyFont="1" applyFill="1" applyBorder="1" applyAlignment="1">
      <alignment horizontal="center" vertical="center" shrinkToFit="1"/>
    </xf>
  </cellXfs>
  <cellStyles count="2">
    <cellStyle name="標準" xfId="0" builtinId="0"/>
    <cellStyle name="標準 2" xfId="1" xr:uid="{00000000-0005-0000-0000-000001000000}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152401</xdr:colOff>
      <xdr:row>3</xdr:row>
      <xdr:rowOff>57151</xdr:rowOff>
    </xdr:from>
    <xdr:to>
      <xdr:col>9</xdr:col>
      <xdr:colOff>609601</xdr:colOff>
      <xdr:row>5</xdr:row>
      <xdr:rowOff>114301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FB7B794-390A-CEBC-C509-F4CC8E221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6" y="600076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60</xdr:row>
      <xdr:rowOff>85725</xdr:rowOff>
    </xdr:from>
    <xdr:to>
      <xdr:col>9</xdr:col>
      <xdr:colOff>619125</xdr:colOff>
      <xdr:row>62</xdr:row>
      <xdr:rowOff>133350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A78AADC-AD83-A6C6-C6FF-C0B8BD0F9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1385887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60</xdr:row>
      <xdr:rowOff>95250</xdr:rowOff>
    </xdr:from>
    <xdr:to>
      <xdr:col>8</xdr:col>
      <xdr:colOff>619125</xdr:colOff>
      <xdr:row>62</xdr:row>
      <xdr:rowOff>123825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08A2F31-F223-C0C4-6011-AEE370137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0" y="13868400"/>
          <a:ext cx="428625" cy="428625"/>
        </a:xfrm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3</xdr:row>
      <xdr:rowOff>114300</xdr:rowOff>
    </xdr:from>
    <xdr:to>
      <xdr:col>8</xdr:col>
      <xdr:colOff>628650</xdr:colOff>
      <xdr:row>5</xdr:row>
      <xdr:rowOff>142875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F0DECB7-5C6D-4BEA-9143-82DA3B190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15275" y="657225"/>
          <a:ext cx="428625" cy="4286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2507.xlsm" TargetMode="External"/><Relationship Id="rId1" Type="http://schemas.openxmlformats.org/officeDocument/2006/relationships/externalLinkPath" Target="/Users/&#40658;&#37096;&#24037;&#26989;&#65293;&#65328;&#65315;/Desktop/sgt250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納品明細書"/>
      <sheetName val="指図書"/>
      <sheetName val="依頼書保管"/>
      <sheetName val="請求"/>
      <sheetName val="VFDB2"/>
      <sheetName val="温度換算"/>
      <sheetName val="網戸日程"/>
      <sheetName val="棚卸"/>
      <sheetName val="加工記録表"/>
    </sheetNames>
    <sheetDataSet>
      <sheetData sheetId="0"/>
      <sheetData sheetId="1"/>
      <sheetData sheetId="2">
        <row r="3">
          <cell r="C3" t="str">
            <v>8FL281304 4810　L=297</v>
          </cell>
          <cell r="D3">
            <v>45818</v>
          </cell>
          <cell r="E3" t="str">
            <v>25E27-09</v>
          </cell>
          <cell r="I3" t="str">
            <v>25E27-09</v>
          </cell>
          <cell r="J3">
            <v>12</v>
          </cell>
          <cell r="K3">
            <v>2</v>
          </cell>
          <cell r="L3">
            <v>45835</v>
          </cell>
          <cell r="M3">
            <v>3</v>
          </cell>
          <cell r="O3">
            <v>45835</v>
          </cell>
          <cell r="T3" t="str">
            <v>000000000004402</v>
          </cell>
        </row>
        <row r="4">
          <cell r="D4">
            <v>45834</v>
          </cell>
          <cell r="E4" t="str">
            <v>25E28-10</v>
          </cell>
          <cell r="F4">
            <v>26</v>
          </cell>
          <cell r="G4">
            <v>297.12</v>
          </cell>
          <cell r="H4">
            <v>297</v>
          </cell>
          <cell r="I4" t="str">
            <v>25E28-10</v>
          </cell>
          <cell r="J4">
            <v>198</v>
          </cell>
          <cell r="K4">
            <v>33</v>
          </cell>
          <cell r="O4">
            <v>300</v>
          </cell>
          <cell r="T4" t="str">
            <v>000000000004402</v>
          </cell>
        </row>
        <row r="5">
          <cell r="C5">
            <v>300</v>
          </cell>
          <cell r="D5">
            <v>45834</v>
          </cell>
          <cell r="E5" t="str">
            <v>25E28-10</v>
          </cell>
          <cell r="F5">
            <v>26</v>
          </cell>
          <cell r="G5">
            <v>297.12</v>
          </cell>
          <cell r="H5">
            <v>297.33</v>
          </cell>
          <cell r="K5">
            <v>0</v>
          </cell>
          <cell r="O5">
            <v>35</v>
          </cell>
          <cell r="T5" t="str">
            <v>000000000004402</v>
          </cell>
        </row>
        <row r="6">
          <cell r="G6" t="str">
            <v/>
          </cell>
          <cell r="K6">
            <v>0</v>
          </cell>
          <cell r="O6">
            <v>1</v>
          </cell>
          <cell r="T6" t="str">
            <v>000000000004402</v>
          </cell>
        </row>
        <row r="7">
          <cell r="C7">
            <v>6</v>
          </cell>
          <cell r="G7" t="str">
            <v/>
          </cell>
          <cell r="K7">
            <v>0</v>
          </cell>
          <cell r="O7">
            <v>1</v>
          </cell>
          <cell r="T7" t="str">
            <v>000000000004402</v>
          </cell>
        </row>
        <row r="8">
          <cell r="C8" t="str">
            <v>LED-A300</v>
          </cell>
          <cell r="G8" t="str">
            <v/>
          </cell>
          <cell r="K8">
            <v>0</v>
          </cell>
          <cell r="L8" t="str">
            <v>旧品加工</v>
          </cell>
          <cell r="M8">
            <v>12</v>
          </cell>
          <cell r="O8">
            <v>95</v>
          </cell>
          <cell r="T8" t="str">
            <v>000000000004402</v>
          </cell>
        </row>
        <row r="9">
          <cell r="C9">
            <v>3</v>
          </cell>
          <cell r="G9" t="str">
            <v/>
          </cell>
          <cell r="K9">
            <v>0</v>
          </cell>
          <cell r="L9" t="str">
            <v>持出端材</v>
          </cell>
          <cell r="M9">
            <v>95</v>
          </cell>
          <cell r="O9" t="str">
            <v>水野</v>
          </cell>
          <cell r="P9">
            <v>1</v>
          </cell>
          <cell r="T9" t="str">
            <v>000000000004402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 t="str">
            <v>高森</v>
          </cell>
          <cell r="P10">
            <v>1</v>
          </cell>
          <cell r="T10" t="str">
            <v>000000000004402</v>
          </cell>
        </row>
        <row r="11">
          <cell r="C11" t="str">
            <v>8FL281304 4810　L=297</v>
          </cell>
          <cell r="I11">
            <v>0</v>
          </cell>
          <cell r="J11">
            <v>0</v>
          </cell>
          <cell r="K11">
            <v>0</v>
          </cell>
          <cell r="L11">
            <v>45835</v>
          </cell>
          <cell r="M11">
            <v>3</v>
          </cell>
          <cell r="O11">
            <v>45835</v>
          </cell>
          <cell r="P11">
            <v>5</v>
          </cell>
          <cell r="T11" t="str">
            <v>000000000004401</v>
          </cell>
        </row>
        <row r="12">
          <cell r="D12">
            <v>45834</v>
          </cell>
          <cell r="E12" t="str">
            <v>25E28-10</v>
          </cell>
          <cell r="F12">
            <v>26</v>
          </cell>
          <cell r="G12">
            <v>297.12</v>
          </cell>
          <cell r="H12">
            <v>297.32</v>
          </cell>
          <cell r="I12" t="str">
            <v>25E28-10</v>
          </cell>
          <cell r="J12">
            <v>306</v>
          </cell>
          <cell r="K12">
            <v>51</v>
          </cell>
          <cell r="O12">
            <v>300</v>
          </cell>
          <cell r="T12" t="str">
            <v>000000000004401</v>
          </cell>
        </row>
        <row r="13">
          <cell r="C13">
            <v>300</v>
          </cell>
          <cell r="D13">
            <v>45834</v>
          </cell>
          <cell r="E13" t="str">
            <v>25E28-10</v>
          </cell>
          <cell r="F13">
            <v>26</v>
          </cell>
          <cell r="G13">
            <v>297.12</v>
          </cell>
          <cell r="H13">
            <v>297.27999999999997</v>
          </cell>
          <cell r="K13">
            <v>0</v>
          </cell>
          <cell r="O13">
            <v>51</v>
          </cell>
          <cell r="T13" t="str">
            <v>000000000004401</v>
          </cell>
        </row>
        <row r="14">
          <cell r="D14">
            <v>45835</v>
          </cell>
          <cell r="E14" t="str">
            <v>25E28-10</v>
          </cell>
          <cell r="F14">
            <v>24</v>
          </cell>
          <cell r="G14">
            <v>297.08</v>
          </cell>
          <cell r="H14">
            <v>297.24</v>
          </cell>
          <cell r="K14">
            <v>0</v>
          </cell>
          <cell r="O14">
            <v>1</v>
          </cell>
          <cell r="T14" t="str">
            <v>000000000004401</v>
          </cell>
        </row>
        <row r="15">
          <cell r="C15">
            <v>6</v>
          </cell>
          <cell r="D15">
            <v>45835</v>
          </cell>
          <cell r="E15" t="str">
            <v>25E28-10</v>
          </cell>
          <cell r="F15">
            <v>24</v>
          </cell>
          <cell r="G15">
            <v>297.08</v>
          </cell>
          <cell r="H15">
            <v>297.5</v>
          </cell>
          <cell r="K15">
            <v>0</v>
          </cell>
          <cell r="O15">
            <v>5</v>
          </cell>
          <cell r="T15" t="str">
            <v>000000000004401</v>
          </cell>
        </row>
        <row r="16">
          <cell r="C16" t="str">
            <v>LED-A300</v>
          </cell>
          <cell r="G16" t="str">
            <v/>
          </cell>
          <cell r="K16">
            <v>0</v>
          </cell>
          <cell r="L16" t="str">
            <v>旧品加工</v>
          </cell>
          <cell r="O16">
            <v>0</v>
          </cell>
          <cell r="T16" t="str">
            <v>000000000004401</v>
          </cell>
        </row>
        <row r="17">
          <cell r="C17">
            <v>3</v>
          </cell>
          <cell r="G17" t="str">
            <v/>
          </cell>
          <cell r="K17">
            <v>0</v>
          </cell>
          <cell r="L17" t="str">
            <v>持出端材</v>
          </cell>
          <cell r="O17" t="str">
            <v>水野</v>
          </cell>
          <cell r="T17" t="str">
            <v>000000000004401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0</v>
          </cell>
          <cell r="O18" t="str">
            <v>高森</v>
          </cell>
          <cell r="P18">
            <v>5</v>
          </cell>
          <cell r="T18" t="str">
            <v>000000000004401</v>
          </cell>
        </row>
        <row r="19">
          <cell r="C19" t="str">
            <v>8FL281304 6110　L=1478</v>
          </cell>
          <cell r="D19">
            <v>45814</v>
          </cell>
          <cell r="E19" t="str">
            <v>25E27-09</v>
          </cell>
          <cell r="I19" t="str">
            <v>25E27-09</v>
          </cell>
          <cell r="J19">
            <v>5</v>
          </cell>
          <cell r="K19">
            <v>5</v>
          </cell>
          <cell r="L19">
            <v>45835</v>
          </cell>
          <cell r="M19">
            <v>2</v>
          </cell>
          <cell r="O19">
            <v>45835</v>
          </cell>
          <cell r="P19">
            <v>1</v>
          </cell>
          <cell r="T19" t="str">
            <v>000000000004406</v>
          </cell>
        </row>
        <row r="20">
          <cell r="D20">
            <v>45835</v>
          </cell>
          <cell r="E20" t="str">
            <v>25E28-10</v>
          </cell>
          <cell r="F20">
            <v>24</v>
          </cell>
          <cell r="G20">
            <v>1478.38</v>
          </cell>
          <cell r="H20">
            <v>1478.33</v>
          </cell>
          <cell r="I20" t="str">
            <v>25E28-10</v>
          </cell>
          <cell r="J20">
            <v>147</v>
          </cell>
          <cell r="K20">
            <v>147</v>
          </cell>
          <cell r="O20">
            <v>200</v>
          </cell>
          <cell r="T20" t="str">
            <v>000000000004406</v>
          </cell>
        </row>
        <row r="21">
          <cell r="C21">
            <v>200</v>
          </cell>
          <cell r="D21">
            <v>45835</v>
          </cell>
          <cell r="E21" t="str">
            <v>25E29-11</v>
          </cell>
          <cell r="F21">
            <v>26</v>
          </cell>
          <cell r="G21">
            <v>1478.58</v>
          </cell>
          <cell r="H21">
            <v>1478.63</v>
          </cell>
          <cell r="I21" t="str">
            <v>25E29-11</v>
          </cell>
          <cell r="J21">
            <v>48</v>
          </cell>
          <cell r="K21">
            <v>48</v>
          </cell>
          <cell r="O21">
            <v>201</v>
          </cell>
          <cell r="T21" t="str">
            <v>000000000004406</v>
          </cell>
        </row>
        <row r="22">
          <cell r="G22" t="str">
            <v/>
          </cell>
          <cell r="K22">
            <v>0</v>
          </cell>
          <cell r="O22">
            <v>1</v>
          </cell>
          <cell r="T22" t="str">
            <v>000000000004406</v>
          </cell>
        </row>
        <row r="23">
          <cell r="C23">
            <v>1</v>
          </cell>
          <cell r="G23" t="str">
            <v/>
          </cell>
          <cell r="K23">
            <v>0</v>
          </cell>
          <cell r="O23">
            <v>1</v>
          </cell>
          <cell r="T23" t="str">
            <v>000000000004406</v>
          </cell>
        </row>
        <row r="24">
          <cell r="C24" t="str">
            <v>LED-A1478</v>
          </cell>
          <cell r="G24" t="str">
            <v/>
          </cell>
          <cell r="K24">
            <v>0</v>
          </cell>
          <cell r="L24" t="str">
            <v>旧品加工</v>
          </cell>
          <cell r="M24">
            <v>5</v>
          </cell>
          <cell r="O24">
            <v>0</v>
          </cell>
          <cell r="T24" t="str">
            <v>000000000004406</v>
          </cell>
        </row>
        <row r="25">
          <cell r="C25">
            <v>2</v>
          </cell>
          <cell r="G25" t="str">
            <v/>
          </cell>
          <cell r="K25">
            <v>0</v>
          </cell>
          <cell r="L25" t="str">
            <v>持出端材</v>
          </cell>
          <cell r="O25" t="str">
            <v>水野</v>
          </cell>
          <cell r="T25" t="str">
            <v>000000000004406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 t="str">
            <v>高森</v>
          </cell>
          <cell r="P26">
            <v>1</v>
          </cell>
          <cell r="T26" t="str">
            <v>000000000004406</v>
          </cell>
        </row>
        <row r="27">
          <cell r="C27" t="str">
            <v>8FL281304 6110　L=1478</v>
          </cell>
          <cell r="I27">
            <v>0</v>
          </cell>
          <cell r="J27">
            <v>0</v>
          </cell>
          <cell r="K27">
            <v>0</v>
          </cell>
          <cell r="L27">
            <v>45835</v>
          </cell>
          <cell r="M27">
            <v>3</v>
          </cell>
          <cell r="O27">
            <v>45838</v>
          </cell>
          <cell r="P27">
            <v>4</v>
          </cell>
          <cell r="T27" t="str">
            <v>000000000004405</v>
          </cell>
        </row>
        <row r="28">
          <cell r="D28">
            <v>45835</v>
          </cell>
          <cell r="E28" t="str">
            <v>25E29-11</v>
          </cell>
          <cell r="F28">
            <v>26</v>
          </cell>
          <cell r="G28">
            <v>1478.58</v>
          </cell>
          <cell r="H28">
            <v>1478.61</v>
          </cell>
          <cell r="I28" t="str">
            <v>25E29-11</v>
          </cell>
          <cell r="J28">
            <v>604</v>
          </cell>
          <cell r="K28">
            <v>604</v>
          </cell>
          <cell r="L28">
            <v>45838</v>
          </cell>
          <cell r="M28">
            <v>3</v>
          </cell>
          <cell r="O28">
            <v>600</v>
          </cell>
          <cell r="T28" t="str">
            <v>000000000004405</v>
          </cell>
        </row>
        <row r="29">
          <cell r="C29">
            <v>600</v>
          </cell>
          <cell r="D29">
            <v>45835</v>
          </cell>
          <cell r="E29" t="str">
            <v>25E29-11</v>
          </cell>
          <cell r="F29">
            <v>28</v>
          </cell>
          <cell r="G29">
            <v>1478.77</v>
          </cell>
          <cell r="H29">
            <v>1478.56</v>
          </cell>
          <cell r="K29">
            <v>0</v>
          </cell>
          <cell r="O29">
            <v>604</v>
          </cell>
          <cell r="T29" t="str">
            <v>000000000004405</v>
          </cell>
        </row>
        <row r="30">
          <cell r="G30" t="str">
            <v/>
          </cell>
          <cell r="K30">
            <v>0</v>
          </cell>
          <cell r="O30">
            <v>4</v>
          </cell>
          <cell r="T30" t="str">
            <v>000000000004405</v>
          </cell>
        </row>
        <row r="31">
          <cell r="C31">
            <v>1</v>
          </cell>
          <cell r="G31" t="str">
            <v/>
          </cell>
          <cell r="K31">
            <v>0</v>
          </cell>
          <cell r="O31">
            <v>4</v>
          </cell>
          <cell r="T31" t="str">
            <v>000000000004405</v>
          </cell>
        </row>
        <row r="32">
          <cell r="C32" t="str">
            <v>LED-A1478</v>
          </cell>
          <cell r="G32" t="str">
            <v/>
          </cell>
          <cell r="K32">
            <v>0</v>
          </cell>
          <cell r="L32" t="str">
            <v>旧品加工</v>
          </cell>
          <cell r="O32">
            <v>0</v>
          </cell>
          <cell r="T32" t="str">
            <v>000000000004405</v>
          </cell>
        </row>
        <row r="33">
          <cell r="C33">
            <v>6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水野</v>
          </cell>
          <cell r="T33" t="str">
            <v>000000000004405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0</v>
          </cell>
          <cell r="O34" t="str">
            <v>高森</v>
          </cell>
          <cell r="P34">
            <v>4</v>
          </cell>
          <cell r="T34" t="str">
            <v>000000000004405</v>
          </cell>
        </row>
        <row r="35">
          <cell r="C35" t="str">
            <v>8FL281304 5010　L=888</v>
          </cell>
          <cell r="D35">
            <v>45821</v>
          </cell>
          <cell r="E35" t="str">
            <v>25E28-10</v>
          </cell>
          <cell r="I35" t="str">
            <v>25E28-10</v>
          </cell>
          <cell r="J35">
            <v>0</v>
          </cell>
          <cell r="K35">
            <v>0</v>
          </cell>
          <cell r="L35">
            <v>45838</v>
          </cell>
          <cell r="M35">
            <v>6</v>
          </cell>
          <cell r="O35">
            <v>45838</v>
          </cell>
          <cell r="P35">
            <v>3</v>
          </cell>
          <cell r="T35" t="str">
            <v>000000000004404</v>
          </cell>
        </row>
        <row r="36">
          <cell r="D36">
            <v>45835</v>
          </cell>
          <cell r="E36" t="str">
            <v>25E29-11</v>
          </cell>
          <cell r="F36">
            <v>28</v>
          </cell>
          <cell r="G36">
            <v>888.46</v>
          </cell>
          <cell r="H36">
            <v>888.37</v>
          </cell>
          <cell r="I36" t="str">
            <v>25E29-11</v>
          </cell>
          <cell r="J36">
            <v>288</v>
          </cell>
          <cell r="K36">
            <v>144</v>
          </cell>
          <cell r="O36">
            <v>600</v>
          </cell>
          <cell r="T36" t="str">
            <v>000000000004404</v>
          </cell>
        </row>
        <row r="37">
          <cell r="C37">
            <v>600</v>
          </cell>
          <cell r="D37">
            <v>45835</v>
          </cell>
          <cell r="E37" t="str">
            <v>25E30-12</v>
          </cell>
          <cell r="F37">
            <v>28</v>
          </cell>
          <cell r="G37">
            <v>888.46</v>
          </cell>
          <cell r="H37">
            <v>888.73</v>
          </cell>
          <cell r="I37" t="str">
            <v>25E30-12</v>
          </cell>
          <cell r="J37">
            <v>314</v>
          </cell>
          <cell r="K37">
            <v>157</v>
          </cell>
          <cell r="O37">
            <v>302</v>
          </cell>
          <cell r="T37" t="str">
            <v>000000000004404</v>
          </cell>
        </row>
        <row r="38">
          <cell r="D38">
            <v>45838</v>
          </cell>
          <cell r="E38" t="str">
            <v>25E30-12</v>
          </cell>
          <cell r="F38">
            <v>28</v>
          </cell>
          <cell r="G38">
            <v>888.46</v>
          </cell>
          <cell r="H38">
            <v>888.42</v>
          </cell>
          <cell r="K38">
            <v>0</v>
          </cell>
          <cell r="O38">
            <v>2</v>
          </cell>
          <cell r="T38" t="str">
            <v>000000000004404</v>
          </cell>
        </row>
        <row r="39">
          <cell r="C39">
            <v>2</v>
          </cell>
          <cell r="D39">
            <v>45838</v>
          </cell>
          <cell r="E39" t="str">
            <v>25E30-12</v>
          </cell>
          <cell r="F39">
            <v>32</v>
          </cell>
          <cell r="G39">
            <v>888.69</v>
          </cell>
          <cell r="H39">
            <v>888.62</v>
          </cell>
          <cell r="K39">
            <v>0</v>
          </cell>
          <cell r="O39">
            <v>3</v>
          </cell>
          <cell r="T39" t="str">
            <v>000000000004404</v>
          </cell>
        </row>
        <row r="40">
          <cell r="C40" t="str">
            <v>LED-A888</v>
          </cell>
          <cell r="G40" t="str">
            <v/>
          </cell>
          <cell r="K40">
            <v>0</v>
          </cell>
          <cell r="L40" t="str">
            <v>旧品加工</v>
          </cell>
          <cell r="O40">
            <v>0</v>
          </cell>
          <cell r="T40" t="str">
            <v>000000000004404</v>
          </cell>
        </row>
        <row r="41">
          <cell r="C41">
            <v>6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水野</v>
          </cell>
          <cell r="T41" t="str">
            <v>000000000004404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0</v>
          </cell>
          <cell r="O42" t="str">
            <v>高森</v>
          </cell>
          <cell r="P42">
            <v>3</v>
          </cell>
          <cell r="T42" t="str">
            <v>000000000004404</v>
          </cell>
        </row>
        <row r="43">
          <cell r="C43" t="str">
            <v>8FL281304 5010　L=888</v>
          </cell>
          <cell r="I43">
            <v>0</v>
          </cell>
          <cell r="J43">
            <v>0</v>
          </cell>
          <cell r="K43">
            <v>0</v>
          </cell>
          <cell r="L43">
            <v>45839</v>
          </cell>
          <cell r="M43">
            <v>7</v>
          </cell>
          <cell r="O43">
            <v>45839</v>
          </cell>
          <cell r="P43">
            <v>5</v>
          </cell>
          <cell r="T43" t="str">
            <v>000000000004403</v>
          </cell>
        </row>
        <row r="44">
          <cell r="D44">
            <v>45838</v>
          </cell>
          <cell r="E44" t="str">
            <v>25E30-12</v>
          </cell>
          <cell r="F44">
            <v>32</v>
          </cell>
          <cell r="G44">
            <v>888.69</v>
          </cell>
          <cell r="H44">
            <v>888.6</v>
          </cell>
          <cell r="I44" t="str">
            <v>25E30-12</v>
          </cell>
          <cell r="J44">
            <v>706</v>
          </cell>
          <cell r="K44">
            <v>353</v>
          </cell>
          <cell r="O44">
            <v>700</v>
          </cell>
          <cell r="T44" t="str">
            <v>000000000004403</v>
          </cell>
        </row>
        <row r="45">
          <cell r="C45">
            <v>700</v>
          </cell>
          <cell r="D45">
            <v>45839</v>
          </cell>
          <cell r="E45" t="str">
            <v>25E30-12</v>
          </cell>
          <cell r="F45">
            <v>26</v>
          </cell>
          <cell r="G45">
            <v>888.35</v>
          </cell>
          <cell r="H45">
            <v>888.65</v>
          </cell>
          <cell r="K45">
            <v>0</v>
          </cell>
          <cell r="O45">
            <v>353</v>
          </cell>
          <cell r="T45" t="str">
            <v>000000000004403</v>
          </cell>
        </row>
        <row r="46">
          <cell r="D46">
            <v>45839</v>
          </cell>
          <cell r="E46" t="str">
            <v>25E30-12</v>
          </cell>
          <cell r="F46">
            <v>26</v>
          </cell>
          <cell r="G46">
            <v>888.35</v>
          </cell>
          <cell r="H46">
            <v>888.64</v>
          </cell>
          <cell r="K46">
            <v>0</v>
          </cell>
          <cell r="O46">
            <v>3</v>
          </cell>
          <cell r="T46" t="str">
            <v>000000000004403</v>
          </cell>
        </row>
        <row r="47">
          <cell r="C47">
            <v>2</v>
          </cell>
          <cell r="G47" t="str">
            <v/>
          </cell>
          <cell r="K47">
            <v>0</v>
          </cell>
          <cell r="O47">
            <v>5</v>
          </cell>
          <cell r="T47" t="str">
            <v>000000000004403</v>
          </cell>
        </row>
        <row r="48">
          <cell r="C48" t="str">
            <v>LED-A888</v>
          </cell>
          <cell r="G48" t="str">
            <v/>
          </cell>
          <cell r="K48">
            <v>0</v>
          </cell>
          <cell r="L48" t="str">
            <v>旧品加工</v>
          </cell>
          <cell r="O48">
            <v>0</v>
          </cell>
          <cell r="T48" t="str">
            <v>000000000004403</v>
          </cell>
        </row>
        <row r="49">
          <cell r="C49">
            <v>7</v>
          </cell>
          <cell r="G49" t="str">
            <v/>
          </cell>
          <cell r="K49">
            <v>0</v>
          </cell>
          <cell r="L49" t="str">
            <v>持出端材</v>
          </cell>
          <cell r="O49" t="str">
            <v>水野</v>
          </cell>
          <cell r="T49" t="str">
            <v>000000000004403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0</v>
          </cell>
          <cell r="O50" t="str">
            <v>高森</v>
          </cell>
          <cell r="P50">
            <v>5</v>
          </cell>
          <cell r="T50" t="str">
            <v>000000000004403</v>
          </cell>
        </row>
        <row r="51">
          <cell r="C51" t="str">
            <v>MDP-688A L4　L=2570</v>
          </cell>
          <cell r="I51">
            <v>0</v>
          </cell>
          <cell r="J51">
            <v>0</v>
          </cell>
          <cell r="K51">
            <v>0</v>
          </cell>
          <cell r="L51">
            <v>45839</v>
          </cell>
          <cell r="M51">
            <v>3</v>
          </cell>
          <cell r="O51">
            <v>45839</v>
          </cell>
          <cell r="T51" t="str">
            <v>000000000004826</v>
          </cell>
        </row>
        <row r="52">
          <cell r="D52">
            <v>45839</v>
          </cell>
          <cell r="E52" t="str">
            <v>25C31B</v>
          </cell>
          <cell r="G52">
            <v>2570</v>
          </cell>
          <cell r="H52">
            <v>2571.1999999999998</v>
          </cell>
          <cell r="I52" t="str">
            <v>25C31B</v>
          </cell>
          <cell r="J52">
            <v>150</v>
          </cell>
          <cell r="K52">
            <v>150</v>
          </cell>
          <cell r="O52">
            <v>150</v>
          </cell>
          <cell r="T52" t="str">
            <v>000000000004826</v>
          </cell>
        </row>
        <row r="53">
          <cell r="C53">
            <v>150</v>
          </cell>
          <cell r="D53">
            <v>45839</v>
          </cell>
          <cell r="E53" t="str">
            <v>25C31B</v>
          </cell>
          <cell r="G53">
            <v>2570</v>
          </cell>
          <cell r="H53">
            <v>2571.1999999999998</v>
          </cell>
          <cell r="K53">
            <v>0</v>
          </cell>
          <cell r="O53">
            <v>150</v>
          </cell>
          <cell r="T53" t="str">
            <v>000000000004826</v>
          </cell>
        </row>
        <row r="54">
          <cell r="G54">
            <v>2570</v>
          </cell>
          <cell r="K54">
            <v>0</v>
          </cell>
          <cell r="O54">
            <v>0</v>
          </cell>
          <cell r="T54" t="str">
            <v>000000000004826</v>
          </cell>
        </row>
        <row r="55">
          <cell r="C55">
            <v>1</v>
          </cell>
          <cell r="G55">
            <v>2570</v>
          </cell>
          <cell r="K55">
            <v>0</v>
          </cell>
          <cell r="O55">
            <v>0</v>
          </cell>
          <cell r="T55" t="str">
            <v>000000000004826</v>
          </cell>
        </row>
        <row r="56">
          <cell r="C56" t="str">
            <v>基材梱包箱</v>
          </cell>
          <cell r="G56">
            <v>2570</v>
          </cell>
          <cell r="K56">
            <v>0</v>
          </cell>
          <cell r="L56" t="str">
            <v>旧品加工</v>
          </cell>
          <cell r="O56">
            <v>0</v>
          </cell>
          <cell r="T56" t="str">
            <v>000000000004826</v>
          </cell>
        </row>
        <row r="57">
          <cell r="C57">
            <v>3</v>
          </cell>
          <cell r="G57">
            <v>2570</v>
          </cell>
          <cell r="K57">
            <v>0</v>
          </cell>
          <cell r="L57" t="str">
            <v>持出端材</v>
          </cell>
          <cell r="O57" t="str">
            <v>水野</v>
          </cell>
          <cell r="T57" t="str">
            <v>000000000004826</v>
          </cell>
        </row>
        <row r="58">
          <cell r="G58">
            <v>2570</v>
          </cell>
          <cell r="K58">
            <v>0</v>
          </cell>
          <cell r="L58" t="str">
            <v>α端材</v>
          </cell>
          <cell r="M58">
            <v>0</v>
          </cell>
          <cell r="O58" t="str">
            <v>富田</v>
          </cell>
          <cell r="P58">
            <v>0</v>
          </cell>
          <cell r="T58" t="str">
            <v>000000000004826</v>
          </cell>
        </row>
        <row r="59">
          <cell r="C59" t="str">
            <v>8FL281304 5010　L=888</v>
          </cell>
          <cell r="I59">
            <v>0</v>
          </cell>
          <cell r="J59">
            <v>0</v>
          </cell>
          <cell r="K59">
            <v>0</v>
          </cell>
          <cell r="L59">
            <v>45842</v>
          </cell>
          <cell r="M59">
            <v>1</v>
          </cell>
          <cell r="O59">
            <v>45842</v>
          </cell>
          <cell r="P59">
            <v>2</v>
          </cell>
          <cell r="T59" t="str">
            <v>000000000005124</v>
          </cell>
        </row>
        <row r="60">
          <cell r="D60">
            <v>45842</v>
          </cell>
          <cell r="E60" t="str">
            <v>25E30-12</v>
          </cell>
          <cell r="F60">
            <v>30</v>
          </cell>
          <cell r="G60">
            <v>888.58</v>
          </cell>
          <cell r="H60">
            <v>888.4</v>
          </cell>
          <cell r="I60" t="str">
            <v>25E30-12</v>
          </cell>
          <cell r="J60">
            <v>102</v>
          </cell>
          <cell r="K60">
            <v>51</v>
          </cell>
          <cell r="O60">
            <v>100</v>
          </cell>
          <cell r="T60" t="str">
            <v>000000000005124</v>
          </cell>
        </row>
        <row r="61">
          <cell r="C61">
            <v>100</v>
          </cell>
          <cell r="D61">
            <v>45842</v>
          </cell>
          <cell r="E61" t="str">
            <v>25E30-12</v>
          </cell>
          <cell r="F61">
            <v>30</v>
          </cell>
          <cell r="G61">
            <v>888.58</v>
          </cell>
          <cell r="H61">
            <v>888.56</v>
          </cell>
          <cell r="K61">
            <v>0</v>
          </cell>
          <cell r="O61">
            <v>51</v>
          </cell>
          <cell r="T61" t="str">
            <v>000000000005124</v>
          </cell>
        </row>
        <row r="62">
          <cell r="G62" t="str">
            <v/>
          </cell>
          <cell r="K62">
            <v>0</v>
          </cell>
          <cell r="O62">
            <v>1</v>
          </cell>
          <cell r="T62" t="str">
            <v>000000000005124</v>
          </cell>
        </row>
        <row r="63">
          <cell r="C63">
            <v>2</v>
          </cell>
          <cell r="G63" t="str">
            <v/>
          </cell>
          <cell r="K63">
            <v>0</v>
          </cell>
          <cell r="O63">
            <v>2</v>
          </cell>
          <cell r="T63" t="str">
            <v>000000000005124</v>
          </cell>
        </row>
        <row r="64">
          <cell r="C64" t="str">
            <v>LED-A888</v>
          </cell>
          <cell r="G64" t="str">
            <v/>
          </cell>
          <cell r="K64">
            <v>0</v>
          </cell>
          <cell r="L64" t="str">
            <v>旧品加工</v>
          </cell>
          <cell r="O64">
            <v>0</v>
          </cell>
          <cell r="T64" t="str">
            <v>000000000005124</v>
          </cell>
        </row>
        <row r="65">
          <cell r="C65">
            <v>1</v>
          </cell>
          <cell r="G65" t="str">
            <v/>
          </cell>
          <cell r="K65">
            <v>0</v>
          </cell>
          <cell r="L65" t="str">
            <v>持出端材</v>
          </cell>
          <cell r="O65" t="str">
            <v>水野</v>
          </cell>
          <cell r="T65" t="str">
            <v>000000000005124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高森</v>
          </cell>
          <cell r="P66">
            <v>2</v>
          </cell>
          <cell r="T66" t="str">
            <v>000000000005124</v>
          </cell>
        </row>
        <row r="67">
          <cell r="C67" t="str">
            <v>灯具カバーPC IN 2140　L=547</v>
          </cell>
          <cell r="D67">
            <v>45825</v>
          </cell>
          <cell r="E67" t="str">
            <v>25F10-01</v>
          </cell>
          <cell r="I67" t="str">
            <v>25F10-01</v>
          </cell>
          <cell r="J67">
            <v>1</v>
          </cell>
          <cell r="K67">
            <v>1</v>
          </cell>
          <cell r="L67">
            <v>45845</v>
          </cell>
          <cell r="M67">
            <v>10</v>
          </cell>
          <cell r="O67">
            <v>45845</v>
          </cell>
          <cell r="T67" t="str">
            <v>000000000004913</v>
          </cell>
        </row>
        <row r="68">
          <cell r="D68">
            <v>45845</v>
          </cell>
          <cell r="E68" t="str">
            <v>25G01-01</v>
          </cell>
          <cell r="G68" t="str">
            <v/>
          </cell>
          <cell r="I68" t="str">
            <v>25G01-01</v>
          </cell>
          <cell r="J68">
            <v>193</v>
          </cell>
          <cell r="K68">
            <v>193</v>
          </cell>
          <cell r="O68">
            <v>160</v>
          </cell>
          <cell r="P68">
            <v>9</v>
          </cell>
          <cell r="T68" t="str">
            <v>000000000004913</v>
          </cell>
        </row>
        <row r="69">
          <cell r="C69">
            <v>160</v>
          </cell>
          <cell r="G69" t="str">
            <v/>
          </cell>
          <cell r="K69">
            <v>0</v>
          </cell>
          <cell r="O69">
            <v>194</v>
          </cell>
          <cell r="P69">
            <v>25</v>
          </cell>
          <cell r="T69" t="str">
            <v>000000000004913</v>
          </cell>
        </row>
        <row r="70">
          <cell r="G70" t="str">
            <v/>
          </cell>
          <cell r="K70">
            <v>0</v>
          </cell>
          <cell r="O70">
            <v>34</v>
          </cell>
          <cell r="T70" t="str">
            <v>000000000004913</v>
          </cell>
        </row>
        <row r="71">
          <cell r="C71">
            <v>1</v>
          </cell>
          <cell r="G71" t="str">
            <v/>
          </cell>
          <cell r="K71">
            <v>0</v>
          </cell>
          <cell r="O71">
            <v>34</v>
          </cell>
          <cell r="T71" t="str">
            <v>000000000004913</v>
          </cell>
        </row>
        <row r="72">
          <cell r="C72" t="str">
            <v>灯具-1　L=1370</v>
          </cell>
          <cell r="G72" t="str">
            <v/>
          </cell>
          <cell r="K72">
            <v>0</v>
          </cell>
          <cell r="L72" t="str">
            <v>旧品加工</v>
          </cell>
          <cell r="M72">
            <v>1</v>
          </cell>
          <cell r="O72">
            <v>0</v>
          </cell>
          <cell r="T72" t="str">
            <v>000000000004913</v>
          </cell>
        </row>
        <row r="73">
          <cell r="C73">
            <v>5</v>
          </cell>
          <cell r="G73" t="str">
            <v/>
          </cell>
          <cell r="K73">
            <v>0</v>
          </cell>
          <cell r="L73" t="str">
            <v>持出端材</v>
          </cell>
          <cell r="O73" t="str">
            <v>-</v>
          </cell>
          <cell r="T73" t="str">
            <v>000000000004913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0</v>
          </cell>
          <cell r="O74" t="str">
            <v>富田</v>
          </cell>
          <cell r="P74">
            <v>34</v>
          </cell>
          <cell r="T74" t="str">
            <v>000000000004913</v>
          </cell>
        </row>
        <row r="75">
          <cell r="C75" t="str">
            <v>灯具カバーPC IN 2090　L=840</v>
          </cell>
          <cell r="D75">
            <v>45827</v>
          </cell>
          <cell r="E75" t="str">
            <v>25F10-01</v>
          </cell>
          <cell r="I75" t="str">
            <v>25F10-01</v>
          </cell>
          <cell r="J75">
            <v>2</v>
          </cell>
          <cell r="K75">
            <v>2</v>
          </cell>
          <cell r="L75">
            <v>45845</v>
          </cell>
          <cell r="M75">
            <v>8</v>
          </cell>
          <cell r="O75">
            <v>45845</v>
          </cell>
          <cell r="P75">
            <v>8</v>
          </cell>
          <cell r="T75" t="str">
            <v>000000000004914</v>
          </cell>
        </row>
        <row r="76">
          <cell r="D76">
            <v>45845</v>
          </cell>
          <cell r="E76" t="str">
            <v>25F02-01</v>
          </cell>
          <cell r="G76" t="str">
            <v/>
          </cell>
          <cell r="I76" t="str">
            <v>25F02-01</v>
          </cell>
          <cell r="J76">
            <v>191</v>
          </cell>
          <cell r="K76">
            <v>191</v>
          </cell>
          <cell r="O76">
            <v>128</v>
          </cell>
          <cell r="P76">
            <v>57</v>
          </cell>
          <cell r="T76" t="str">
            <v>000000000004914</v>
          </cell>
        </row>
        <row r="77">
          <cell r="C77">
            <v>128</v>
          </cell>
          <cell r="G77" t="str">
            <v/>
          </cell>
          <cell r="K77">
            <v>0</v>
          </cell>
          <cell r="O77">
            <v>193</v>
          </cell>
          <cell r="T77" t="str">
            <v>000000000004914</v>
          </cell>
        </row>
        <row r="78">
          <cell r="G78" t="str">
            <v/>
          </cell>
          <cell r="K78">
            <v>0</v>
          </cell>
          <cell r="O78">
            <v>65</v>
          </cell>
          <cell r="T78" t="str">
            <v>000000000004914</v>
          </cell>
        </row>
        <row r="79">
          <cell r="C79">
            <v>1</v>
          </cell>
          <cell r="G79" t="str">
            <v/>
          </cell>
          <cell r="K79">
            <v>0</v>
          </cell>
          <cell r="O79">
            <v>65</v>
          </cell>
          <cell r="T79" t="str">
            <v>000000000004914</v>
          </cell>
        </row>
        <row r="80">
          <cell r="C80" t="str">
            <v>灯具-2　L＝1996</v>
          </cell>
          <cell r="G80" t="str">
            <v/>
          </cell>
          <cell r="K80">
            <v>0</v>
          </cell>
          <cell r="L80" t="str">
            <v>旧品加工</v>
          </cell>
          <cell r="M80">
            <v>2</v>
          </cell>
          <cell r="O80">
            <v>0</v>
          </cell>
          <cell r="T80" t="str">
            <v>000000000004914</v>
          </cell>
        </row>
        <row r="81">
          <cell r="C81">
            <v>4</v>
          </cell>
          <cell r="G81" t="str">
            <v/>
          </cell>
          <cell r="K81">
            <v>0</v>
          </cell>
          <cell r="L81" t="str">
            <v>持出端材</v>
          </cell>
          <cell r="O81" t="str">
            <v>-</v>
          </cell>
          <cell r="T81" t="str">
            <v>000000000004914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富田</v>
          </cell>
          <cell r="P82">
            <v>65</v>
          </cell>
          <cell r="T82" t="str">
            <v>000000000004914</v>
          </cell>
        </row>
        <row r="83">
          <cell r="C83" t="str">
            <v>灯具カバーPC IN 2050　L=1183.5</v>
          </cell>
          <cell r="D83">
            <v>45811</v>
          </cell>
          <cell r="E83" t="str">
            <v>25E20-02</v>
          </cell>
          <cell r="I83" t="str">
            <v>25E20-02</v>
          </cell>
          <cell r="J83">
            <v>13</v>
          </cell>
          <cell r="K83">
            <v>13</v>
          </cell>
          <cell r="L83">
            <v>45846</v>
          </cell>
          <cell r="M83">
            <v>11</v>
          </cell>
          <cell r="O83">
            <v>45846</v>
          </cell>
          <cell r="P83">
            <v>6</v>
          </cell>
          <cell r="T83" t="str">
            <v>000000000004916</v>
          </cell>
        </row>
        <row r="84">
          <cell r="D84">
            <v>45846</v>
          </cell>
          <cell r="E84" t="str">
            <v>25G02-01</v>
          </cell>
          <cell r="G84" t="str">
            <v/>
          </cell>
          <cell r="I84" t="str">
            <v>25G02-01</v>
          </cell>
          <cell r="J84">
            <v>200</v>
          </cell>
          <cell r="K84">
            <v>200</v>
          </cell>
          <cell r="O84">
            <v>176</v>
          </cell>
          <cell r="P84">
            <v>31</v>
          </cell>
          <cell r="T84" t="str">
            <v>000000000004916</v>
          </cell>
        </row>
        <row r="85">
          <cell r="C85">
            <v>176</v>
          </cell>
          <cell r="G85" t="str">
            <v/>
          </cell>
          <cell r="K85">
            <v>0</v>
          </cell>
          <cell r="O85">
            <v>213</v>
          </cell>
          <cell r="T85" t="str">
            <v>000000000004916</v>
          </cell>
        </row>
        <row r="86">
          <cell r="G86" t="str">
            <v/>
          </cell>
          <cell r="K86">
            <v>0</v>
          </cell>
          <cell r="O86">
            <v>37</v>
          </cell>
          <cell r="T86" t="str">
            <v>000000000004916</v>
          </cell>
        </row>
        <row r="87">
          <cell r="C87">
            <v>1</v>
          </cell>
          <cell r="G87" t="str">
            <v/>
          </cell>
          <cell r="K87">
            <v>0</v>
          </cell>
          <cell r="O87">
            <v>37</v>
          </cell>
          <cell r="T87" t="str">
            <v>000000000004916</v>
          </cell>
        </row>
        <row r="88">
          <cell r="C88" t="str">
            <v>灯具-1　L=1370</v>
          </cell>
          <cell r="G88" t="str">
            <v/>
          </cell>
          <cell r="K88">
            <v>0</v>
          </cell>
          <cell r="L88" t="str">
            <v>旧品加工</v>
          </cell>
          <cell r="M88">
            <v>13</v>
          </cell>
          <cell r="O88">
            <v>0</v>
          </cell>
          <cell r="T88" t="str">
            <v>000000000004916</v>
          </cell>
        </row>
        <row r="89">
          <cell r="C89">
            <v>11</v>
          </cell>
          <cell r="G89" t="str">
            <v/>
          </cell>
          <cell r="K89">
            <v>0</v>
          </cell>
          <cell r="L89" t="str">
            <v>持出端材</v>
          </cell>
          <cell r="O89" t="str">
            <v>-</v>
          </cell>
          <cell r="T89" t="str">
            <v>000000000004916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O90" t="str">
            <v>高森</v>
          </cell>
          <cell r="P90">
            <v>37</v>
          </cell>
          <cell r="T90" t="str">
            <v>000000000004916</v>
          </cell>
        </row>
        <row r="91">
          <cell r="C91" t="str">
            <v>灯具カバーPC IN 2060　L=1258.5</v>
          </cell>
          <cell r="I91">
            <v>0</v>
          </cell>
          <cell r="J91">
            <v>0</v>
          </cell>
          <cell r="K91">
            <v>0</v>
          </cell>
          <cell r="L91">
            <v>45847</v>
          </cell>
          <cell r="M91">
            <v>4</v>
          </cell>
          <cell r="O91">
            <v>45847</v>
          </cell>
          <cell r="P91">
            <v>4</v>
          </cell>
          <cell r="T91" t="str">
            <v>000000000004918</v>
          </cell>
        </row>
        <row r="92">
          <cell r="D92">
            <v>45847</v>
          </cell>
          <cell r="E92" t="str">
            <v>25G03-01</v>
          </cell>
          <cell r="G92" t="str">
            <v/>
          </cell>
          <cell r="I92" t="str">
            <v>25G03-01</v>
          </cell>
          <cell r="J92">
            <v>89</v>
          </cell>
          <cell r="K92">
            <v>89</v>
          </cell>
          <cell r="O92">
            <v>64</v>
          </cell>
          <cell r="P92">
            <v>21</v>
          </cell>
          <cell r="T92" t="str">
            <v>000000000004918</v>
          </cell>
        </row>
        <row r="93">
          <cell r="C93">
            <v>64</v>
          </cell>
          <cell r="G93" t="str">
            <v/>
          </cell>
          <cell r="K93">
            <v>0</v>
          </cell>
          <cell r="O93">
            <v>89</v>
          </cell>
          <cell r="T93" t="str">
            <v>000000000004918</v>
          </cell>
        </row>
        <row r="94">
          <cell r="G94" t="str">
            <v/>
          </cell>
          <cell r="K94">
            <v>0</v>
          </cell>
          <cell r="O94">
            <v>25</v>
          </cell>
          <cell r="T94" t="str">
            <v>000000000004918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25</v>
          </cell>
          <cell r="T95" t="str">
            <v>000000000004918</v>
          </cell>
        </row>
        <row r="96">
          <cell r="C96" t="str">
            <v>灯具-1　L=1370</v>
          </cell>
          <cell r="G96" t="str">
            <v/>
          </cell>
          <cell r="K96">
            <v>0</v>
          </cell>
          <cell r="L96" t="str">
            <v>旧品加工</v>
          </cell>
          <cell r="O96">
            <v>0</v>
          </cell>
          <cell r="T96" t="str">
            <v>000000000004918</v>
          </cell>
        </row>
        <row r="97">
          <cell r="C97">
            <v>4</v>
          </cell>
          <cell r="G97" t="str">
            <v/>
          </cell>
          <cell r="K97">
            <v>0</v>
          </cell>
          <cell r="L97" t="str">
            <v>持出端材</v>
          </cell>
          <cell r="O97" t="str">
            <v>-</v>
          </cell>
          <cell r="T97" t="str">
            <v>000000000004918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O98" t="str">
            <v>高森</v>
          </cell>
          <cell r="P98">
            <v>25</v>
          </cell>
          <cell r="T98" t="str">
            <v>000000000004918</v>
          </cell>
        </row>
        <row r="99">
          <cell r="C99" t="str">
            <v>灯具カバーPC IN 2500　L=1238</v>
          </cell>
          <cell r="D99">
            <v>45821</v>
          </cell>
          <cell r="E99" t="str">
            <v>24F06-01</v>
          </cell>
          <cell r="I99" t="str">
            <v>24F06-01</v>
          </cell>
          <cell r="J99">
            <v>10</v>
          </cell>
          <cell r="K99">
            <v>10</v>
          </cell>
          <cell r="L99">
            <v>45847</v>
          </cell>
          <cell r="M99">
            <v>5</v>
          </cell>
          <cell r="O99">
            <v>45847</v>
          </cell>
          <cell r="P99">
            <v>2</v>
          </cell>
          <cell r="T99" t="str">
            <v>000000000004917</v>
          </cell>
        </row>
        <row r="100">
          <cell r="D100">
            <v>45847</v>
          </cell>
          <cell r="E100" t="str">
            <v>25G03-01</v>
          </cell>
          <cell r="G100" t="str">
            <v/>
          </cell>
          <cell r="I100" t="str">
            <v>25G03-01</v>
          </cell>
          <cell r="J100">
            <v>92</v>
          </cell>
          <cell r="K100">
            <v>92</v>
          </cell>
          <cell r="O100">
            <v>80</v>
          </cell>
          <cell r="P100">
            <v>19</v>
          </cell>
          <cell r="T100" t="str">
            <v>000000000004917</v>
          </cell>
        </row>
        <row r="101">
          <cell r="C101">
            <v>80</v>
          </cell>
          <cell r="G101" t="str">
            <v/>
          </cell>
          <cell r="K101">
            <v>0</v>
          </cell>
          <cell r="O101">
            <v>102</v>
          </cell>
          <cell r="T101" t="str">
            <v>000000000004917</v>
          </cell>
        </row>
        <row r="102">
          <cell r="G102" t="str">
            <v/>
          </cell>
          <cell r="K102">
            <v>0</v>
          </cell>
          <cell r="O102">
            <v>22</v>
          </cell>
          <cell r="T102" t="str">
            <v>000000000004917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22</v>
          </cell>
          <cell r="T103" t="str">
            <v>000000000004917</v>
          </cell>
        </row>
        <row r="104">
          <cell r="C104" t="str">
            <v>灯具-1　L=1370</v>
          </cell>
          <cell r="G104" t="str">
            <v/>
          </cell>
          <cell r="K104">
            <v>0</v>
          </cell>
          <cell r="L104" t="str">
            <v>旧品加工</v>
          </cell>
          <cell r="M104">
            <v>10</v>
          </cell>
          <cell r="O104">
            <v>0</v>
          </cell>
          <cell r="T104" t="str">
            <v>000000000004917</v>
          </cell>
        </row>
        <row r="105">
          <cell r="C105">
            <v>5</v>
          </cell>
          <cell r="G105" t="str">
            <v/>
          </cell>
          <cell r="K105">
            <v>0</v>
          </cell>
          <cell r="L105" t="str">
            <v>持出端材</v>
          </cell>
          <cell r="O105" t="str">
            <v>-</v>
          </cell>
          <cell r="P105">
            <v>1</v>
          </cell>
          <cell r="T105" t="str">
            <v>000000000004917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0</v>
          </cell>
          <cell r="O106" t="str">
            <v>高森</v>
          </cell>
          <cell r="P106">
            <v>22</v>
          </cell>
          <cell r="T106" t="str">
            <v>000000000004917</v>
          </cell>
        </row>
        <row r="107">
          <cell r="C107" t="str">
            <v>灯具カバーPC IN 2130　L=908</v>
          </cell>
          <cell r="D107">
            <v>45826</v>
          </cell>
          <cell r="E107" t="str">
            <v>25F10-01</v>
          </cell>
          <cell r="I107" t="str">
            <v>25F10-01</v>
          </cell>
          <cell r="J107">
            <v>2</v>
          </cell>
          <cell r="K107">
            <v>2</v>
          </cell>
          <cell r="L107">
            <v>45847</v>
          </cell>
          <cell r="M107">
            <v>13</v>
          </cell>
          <cell r="O107">
            <v>45848</v>
          </cell>
          <cell r="P107">
            <v>4</v>
          </cell>
          <cell r="T107" t="str">
            <v>000000000004915</v>
          </cell>
        </row>
        <row r="108">
          <cell r="D108">
            <v>45847</v>
          </cell>
          <cell r="E108" t="str">
            <v>25G03-02</v>
          </cell>
          <cell r="G108" t="str">
            <v/>
          </cell>
          <cell r="I108" t="str">
            <v>25G03-02</v>
          </cell>
          <cell r="J108">
            <v>200</v>
          </cell>
          <cell r="K108">
            <v>200</v>
          </cell>
          <cell r="L108">
            <v>45848</v>
          </cell>
          <cell r="M108">
            <v>6</v>
          </cell>
          <cell r="O108">
            <v>304</v>
          </cell>
          <cell r="P108">
            <v>93</v>
          </cell>
          <cell r="T108" t="str">
            <v>000000000004915</v>
          </cell>
        </row>
        <row r="109">
          <cell r="C109">
            <v>304</v>
          </cell>
          <cell r="D109">
            <v>45848</v>
          </cell>
          <cell r="E109" t="str">
            <v>25G02-01</v>
          </cell>
          <cell r="G109" t="str">
            <v/>
          </cell>
          <cell r="I109" t="str">
            <v>25G02-01</v>
          </cell>
          <cell r="J109">
            <v>199</v>
          </cell>
          <cell r="K109">
            <v>199</v>
          </cell>
          <cell r="O109">
            <v>401</v>
          </cell>
          <cell r="T109" t="str">
            <v>000000000004915</v>
          </cell>
        </row>
        <row r="110">
          <cell r="G110" t="str">
            <v/>
          </cell>
          <cell r="K110">
            <v>0</v>
          </cell>
          <cell r="O110">
            <v>97</v>
          </cell>
          <cell r="T110" t="str">
            <v>000000000004915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97</v>
          </cell>
          <cell r="T111" t="str">
            <v>000000000004915</v>
          </cell>
        </row>
        <row r="112">
          <cell r="C112" t="str">
            <v>灯具-1　L=1370</v>
          </cell>
          <cell r="G112" t="str">
            <v/>
          </cell>
          <cell r="K112">
            <v>0</v>
          </cell>
          <cell r="L112" t="str">
            <v>旧品加工</v>
          </cell>
          <cell r="M112">
            <v>2</v>
          </cell>
          <cell r="O112">
            <v>0</v>
          </cell>
          <cell r="T112" t="str">
            <v>000000000004915</v>
          </cell>
        </row>
        <row r="113">
          <cell r="C113">
            <v>19</v>
          </cell>
          <cell r="G113" t="str">
            <v/>
          </cell>
          <cell r="K113">
            <v>0</v>
          </cell>
          <cell r="L113" t="str">
            <v>持出端材</v>
          </cell>
          <cell r="O113" t="str">
            <v>-</v>
          </cell>
          <cell r="T113" t="str">
            <v>000000000004915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 t="str">
            <v>高森</v>
          </cell>
          <cell r="P114">
            <v>97</v>
          </cell>
          <cell r="T114" t="str">
            <v>000000000004915</v>
          </cell>
        </row>
        <row r="115">
          <cell r="C115" t="str">
            <v>灯具カバーPC IN 2470　L=1648</v>
          </cell>
          <cell r="D115">
            <v>45457</v>
          </cell>
          <cell r="E115" t="str">
            <v>24F07-01</v>
          </cell>
          <cell r="I115" t="str">
            <v>24F07-01</v>
          </cell>
          <cell r="J115">
            <v>9</v>
          </cell>
          <cell r="K115">
            <v>9</v>
          </cell>
          <cell r="L115">
            <v>45848</v>
          </cell>
          <cell r="M115">
            <v>6</v>
          </cell>
          <cell r="O115">
            <v>45848</v>
          </cell>
          <cell r="P115">
            <v>1</v>
          </cell>
          <cell r="T115" t="str">
            <v>000000000004920</v>
          </cell>
        </row>
        <row r="116">
          <cell r="D116">
            <v>45848</v>
          </cell>
          <cell r="E116" t="str">
            <v>25G03-01</v>
          </cell>
          <cell r="G116" t="str">
            <v/>
          </cell>
          <cell r="I116" t="str">
            <v>25G03-01</v>
          </cell>
          <cell r="J116">
            <v>98</v>
          </cell>
          <cell r="K116">
            <v>98</v>
          </cell>
          <cell r="O116">
            <v>96</v>
          </cell>
          <cell r="P116">
            <v>10</v>
          </cell>
          <cell r="T116" t="str">
            <v>000000000004920</v>
          </cell>
        </row>
        <row r="117">
          <cell r="C117">
            <v>96</v>
          </cell>
          <cell r="G117" t="str">
            <v/>
          </cell>
          <cell r="K117">
            <v>0</v>
          </cell>
          <cell r="O117">
            <v>107</v>
          </cell>
          <cell r="T117" t="str">
            <v>000000000004920</v>
          </cell>
        </row>
        <row r="118">
          <cell r="G118" t="str">
            <v/>
          </cell>
          <cell r="K118">
            <v>0</v>
          </cell>
          <cell r="O118">
            <v>11</v>
          </cell>
          <cell r="T118" t="str">
            <v>000000000004920</v>
          </cell>
        </row>
        <row r="119">
          <cell r="C119">
            <v>1</v>
          </cell>
          <cell r="G119" t="str">
            <v/>
          </cell>
          <cell r="K119">
            <v>0</v>
          </cell>
          <cell r="O119">
            <v>11</v>
          </cell>
          <cell r="T119" t="str">
            <v>000000000004920</v>
          </cell>
        </row>
        <row r="120">
          <cell r="C120" t="str">
            <v>灯具-1　L=1370</v>
          </cell>
          <cell r="G120" t="str">
            <v/>
          </cell>
          <cell r="K120">
            <v>0</v>
          </cell>
          <cell r="L120" t="str">
            <v>旧品加工</v>
          </cell>
          <cell r="M120">
            <v>9</v>
          </cell>
          <cell r="O120">
            <v>0</v>
          </cell>
          <cell r="T120" t="str">
            <v>000000000004920</v>
          </cell>
        </row>
        <row r="121">
          <cell r="C121">
            <v>6</v>
          </cell>
          <cell r="G121" t="str">
            <v/>
          </cell>
          <cell r="K121">
            <v>0</v>
          </cell>
          <cell r="L121" t="str">
            <v>持出端材</v>
          </cell>
          <cell r="O121" t="str">
            <v>-</v>
          </cell>
          <cell r="T121" t="str">
            <v>000000000004920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0</v>
          </cell>
          <cell r="O122" t="str">
            <v>高森</v>
          </cell>
          <cell r="P122">
            <v>11</v>
          </cell>
          <cell r="T122" t="str">
            <v>000000000004920</v>
          </cell>
        </row>
        <row r="123">
          <cell r="C123" t="str">
            <v>灯具カバーPC IN 2080　L=1540</v>
          </cell>
          <cell r="I123">
            <v>0</v>
          </cell>
          <cell r="J123">
            <v>0</v>
          </cell>
          <cell r="K123">
            <v>0</v>
          </cell>
          <cell r="L123">
            <v>45849</v>
          </cell>
          <cell r="M123">
            <v>3</v>
          </cell>
          <cell r="O123">
            <v>45849</v>
          </cell>
          <cell r="P123">
            <v>3</v>
          </cell>
          <cell r="T123" t="str">
            <v>000000000004919</v>
          </cell>
        </row>
        <row r="124">
          <cell r="D124">
            <v>45849</v>
          </cell>
          <cell r="E124" t="str">
            <v>25G03-01</v>
          </cell>
          <cell r="G124" t="str">
            <v/>
          </cell>
          <cell r="I124" t="str">
            <v>25G03-01</v>
          </cell>
          <cell r="J124">
            <v>64</v>
          </cell>
          <cell r="K124">
            <v>64</v>
          </cell>
          <cell r="O124">
            <v>48</v>
          </cell>
          <cell r="P124">
            <v>13</v>
          </cell>
          <cell r="T124" t="str">
            <v>000000000004919</v>
          </cell>
        </row>
        <row r="125">
          <cell r="C125">
            <v>48</v>
          </cell>
          <cell r="G125" t="str">
            <v/>
          </cell>
          <cell r="K125">
            <v>0</v>
          </cell>
          <cell r="O125">
            <v>64</v>
          </cell>
          <cell r="T125" t="str">
            <v>000000000004919</v>
          </cell>
        </row>
        <row r="126">
          <cell r="G126" t="str">
            <v/>
          </cell>
          <cell r="K126">
            <v>0</v>
          </cell>
          <cell r="O126">
            <v>16</v>
          </cell>
          <cell r="T126" t="str">
            <v>000000000004919</v>
          </cell>
        </row>
        <row r="127">
          <cell r="C127">
            <v>1</v>
          </cell>
          <cell r="G127" t="str">
            <v/>
          </cell>
          <cell r="K127">
            <v>0</v>
          </cell>
          <cell r="O127">
            <v>16</v>
          </cell>
          <cell r="T127" t="str">
            <v>000000000004919</v>
          </cell>
        </row>
        <row r="128">
          <cell r="C128" t="str">
            <v>灯具-2　L＝1996</v>
          </cell>
          <cell r="G128" t="str">
            <v/>
          </cell>
          <cell r="K128">
            <v>0</v>
          </cell>
          <cell r="L128" t="str">
            <v>旧品加工</v>
          </cell>
          <cell r="O128">
            <v>0</v>
          </cell>
          <cell r="T128" t="str">
            <v>000000000004919</v>
          </cell>
        </row>
        <row r="129">
          <cell r="C129">
            <v>3</v>
          </cell>
          <cell r="G129" t="str">
            <v/>
          </cell>
          <cell r="K129">
            <v>0</v>
          </cell>
          <cell r="L129" t="str">
            <v>持出端材</v>
          </cell>
          <cell r="O129" t="str">
            <v>-</v>
          </cell>
          <cell r="T129" t="str">
            <v>000000000004919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0</v>
          </cell>
          <cell r="O130" t="str">
            <v>高森</v>
          </cell>
          <cell r="P130">
            <v>16</v>
          </cell>
          <cell r="T130" t="str">
            <v>000000000004919</v>
          </cell>
        </row>
        <row r="131">
          <cell r="C131" t="str">
            <v>灯具カバーPC  　2180    L=1309.5</v>
          </cell>
          <cell r="I131">
            <v>0</v>
          </cell>
          <cell r="J131">
            <v>0</v>
          </cell>
          <cell r="K131">
            <v>0</v>
          </cell>
          <cell r="L131">
            <v>45849</v>
          </cell>
          <cell r="M131">
            <v>10</v>
          </cell>
          <cell r="O131">
            <v>45849</v>
          </cell>
          <cell r="T131" t="str">
            <v>000000000004912</v>
          </cell>
        </row>
        <row r="132">
          <cell r="D132">
            <v>45849</v>
          </cell>
          <cell r="E132" t="str">
            <v>25G03-01</v>
          </cell>
          <cell r="F132">
            <v>28</v>
          </cell>
          <cell r="G132">
            <v>1310.2</v>
          </cell>
          <cell r="H132">
            <v>1310.67</v>
          </cell>
          <cell r="I132" t="str">
            <v>25G03-01</v>
          </cell>
          <cell r="J132">
            <v>20</v>
          </cell>
          <cell r="K132">
            <v>20</v>
          </cell>
          <cell r="O132">
            <v>20</v>
          </cell>
          <cell r="T132" t="str">
            <v>000000000004912</v>
          </cell>
        </row>
        <row r="133">
          <cell r="C133">
            <v>20</v>
          </cell>
          <cell r="D133">
            <v>45849</v>
          </cell>
          <cell r="E133" t="str">
            <v>25G03-01</v>
          </cell>
          <cell r="F133">
            <v>28</v>
          </cell>
          <cell r="G133">
            <v>1310.2</v>
          </cell>
          <cell r="H133">
            <v>1310.78</v>
          </cell>
          <cell r="K133">
            <v>0</v>
          </cell>
          <cell r="O133">
            <v>20</v>
          </cell>
          <cell r="T133" t="str">
            <v>000000000004912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000000000004912</v>
          </cell>
        </row>
        <row r="135">
          <cell r="C135">
            <v>1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000000000004912</v>
          </cell>
        </row>
        <row r="136">
          <cell r="C136" t="str">
            <v>H型ジョイナー</v>
          </cell>
          <cell r="G136" t="str">
            <v/>
          </cell>
          <cell r="K136">
            <v>0</v>
          </cell>
          <cell r="L136" t="str">
            <v>旧品加工</v>
          </cell>
          <cell r="O136">
            <v>0</v>
          </cell>
          <cell r="T136" t="str">
            <v>000000000004912</v>
          </cell>
        </row>
        <row r="137">
          <cell r="C137">
            <v>10</v>
          </cell>
          <cell r="G137" t="str">
            <v/>
          </cell>
          <cell r="K137">
            <v>0</v>
          </cell>
          <cell r="L137" t="str">
            <v>持出端材</v>
          </cell>
          <cell r="O137" t="str">
            <v>水野</v>
          </cell>
          <cell r="T137" t="str">
            <v>000000000004912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 t="str">
            <v>高森</v>
          </cell>
          <cell r="P138">
            <v>0</v>
          </cell>
          <cell r="T138" t="str">
            <v>000000000004912</v>
          </cell>
        </row>
        <row r="139">
          <cell r="C139" t="str">
            <v>灯具カバーPC  　2170    L=1279</v>
          </cell>
          <cell r="I139">
            <v>0</v>
          </cell>
          <cell r="J139">
            <v>0</v>
          </cell>
          <cell r="K139">
            <v>0</v>
          </cell>
          <cell r="L139">
            <v>45849</v>
          </cell>
          <cell r="M139">
            <v>10</v>
          </cell>
          <cell r="O139">
            <v>45849</v>
          </cell>
          <cell r="T139" t="str">
            <v>000000000004911</v>
          </cell>
        </row>
        <row r="140">
          <cell r="D140">
            <v>45849</v>
          </cell>
          <cell r="E140" t="str">
            <v>25G03-01</v>
          </cell>
          <cell r="F140">
            <v>28</v>
          </cell>
          <cell r="G140">
            <v>1279.7</v>
          </cell>
          <cell r="H140">
            <v>1280.1300000000001</v>
          </cell>
          <cell r="I140" t="str">
            <v>25G03-01</v>
          </cell>
          <cell r="J140">
            <v>15</v>
          </cell>
          <cell r="K140">
            <v>15</v>
          </cell>
          <cell r="O140">
            <v>20</v>
          </cell>
          <cell r="P140">
            <v>4</v>
          </cell>
          <cell r="T140" t="str">
            <v>000000000004911</v>
          </cell>
        </row>
        <row r="141">
          <cell r="C141">
            <v>20</v>
          </cell>
          <cell r="D141">
            <v>45849</v>
          </cell>
          <cell r="E141" t="str">
            <v>25G03-01</v>
          </cell>
          <cell r="F141">
            <v>28</v>
          </cell>
          <cell r="G141">
            <v>1279.7</v>
          </cell>
          <cell r="K141">
            <v>0</v>
          </cell>
          <cell r="O141">
            <v>15</v>
          </cell>
          <cell r="T141" t="str">
            <v>000000000004911</v>
          </cell>
        </row>
        <row r="142">
          <cell r="G142" t="str">
            <v/>
          </cell>
          <cell r="K142">
            <v>0</v>
          </cell>
          <cell r="O142">
            <v>4</v>
          </cell>
          <cell r="T142" t="str">
            <v>000000000004911</v>
          </cell>
        </row>
        <row r="143">
          <cell r="C143">
            <v>1</v>
          </cell>
          <cell r="G143" t="str">
            <v/>
          </cell>
          <cell r="K143">
            <v>0</v>
          </cell>
          <cell r="O143">
            <v>4</v>
          </cell>
          <cell r="T143" t="str">
            <v>000000000004911</v>
          </cell>
        </row>
        <row r="144">
          <cell r="C144" t="str">
            <v>H型ジョイナー</v>
          </cell>
          <cell r="G144" t="str">
            <v/>
          </cell>
          <cell r="K144">
            <v>0</v>
          </cell>
          <cell r="L144" t="str">
            <v>旧品加工</v>
          </cell>
          <cell r="O144">
            <v>9</v>
          </cell>
          <cell r="T144" t="str">
            <v>000000000004911</v>
          </cell>
        </row>
        <row r="145">
          <cell r="C145">
            <v>10</v>
          </cell>
          <cell r="G145" t="str">
            <v/>
          </cell>
          <cell r="K145">
            <v>0</v>
          </cell>
          <cell r="L145" t="str">
            <v>持出端材</v>
          </cell>
          <cell r="M145">
            <v>9</v>
          </cell>
          <cell r="O145" t="str">
            <v>水野</v>
          </cell>
          <cell r="T145" t="str">
            <v>000000000004911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0</v>
          </cell>
          <cell r="O146" t="str">
            <v>高森</v>
          </cell>
          <cell r="P146">
            <v>4</v>
          </cell>
          <cell r="T146" t="str">
            <v>000000000004911</v>
          </cell>
        </row>
        <row r="147">
          <cell r="C147" t="str">
            <v>灯具カバーPC  　2160    L=613.3</v>
          </cell>
          <cell r="I147">
            <v>0</v>
          </cell>
          <cell r="J147">
            <v>0</v>
          </cell>
          <cell r="K147">
            <v>0</v>
          </cell>
          <cell r="L147">
            <v>45846</v>
          </cell>
          <cell r="M147">
            <v>10</v>
          </cell>
          <cell r="O147">
            <v>45846</v>
          </cell>
          <cell r="T147" t="str">
            <v>000000000004910</v>
          </cell>
        </row>
        <row r="148">
          <cell r="D148">
            <v>45846</v>
          </cell>
          <cell r="E148" t="str">
            <v>25G02-01</v>
          </cell>
          <cell r="F148">
            <v>28</v>
          </cell>
          <cell r="G148">
            <v>613.70000000000005</v>
          </cell>
          <cell r="H148">
            <v>613.45000000000005</v>
          </cell>
          <cell r="I148" t="str">
            <v>25G02-01</v>
          </cell>
          <cell r="J148">
            <v>0</v>
          </cell>
          <cell r="K148">
            <v>0</v>
          </cell>
          <cell r="O148">
            <v>20</v>
          </cell>
          <cell r="T148" t="str">
            <v>000000000004910</v>
          </cell>
        </row>
        <row r="149">
          <cell r="C149">
            <v>20</v>
          </cell>
          <cell r="D149">
            <v>45846</v>
          </cell>
          <cell r="E149" t="str">
            <v>25G02-01</v>
          </cell>
          <cell r="F149">
            <v>28</v>
          </cell>
          <cell r="G149">
            <v>613.70000000000005</v>
          </cell>
          <cell r="H149">
            <v>613.29999999999995</v>
          </cell>
          <cell r="K149">
            <v>0</v>
          </cell>
          <cell r="O149">
            <v>0</v>
          </cell>
          <cell r="T149" t="str">
            <v>000000000004910</v>
          </cell>
        </row>
        <row r="150">
          <cell r="G150" t="str">
            <v/>
          </cell>
          <cell r="K150">
            <v>0</v>
          </cell>
          <cell r="O150">
            <v>0</v>
          </cell>
          <cell r="T150" t="str">
            <v>000000000004910</v>
          </cell>
        </row>
        <row r="151">
          <cell r="C151">
            <v>2</v>
          </cell>
          <cell r="G151" t="str">
            <v/>
          </cell>
          <cell r="K151">
            <v>0</v>
          </cell>
          <cell r="O151">
            <v>0</v>
          </cell>
          <cell r="T151" t="str">
            <v>000000000004910</v>
          </cell>
        </row>
        <row r="152">
          <cell r="C152" t="str">
            <v>H型ジョイナー端材</v>
          </cell>
          <cell r="G152" t="str">
            <v/>
          </cell>
          <cell r="K152">
            <v>0</v>
          </cell>
          <cell r="L152" t="str">
            <v>旧品加工</v>
          </cell>
          <cell r="O152">
            <v>20</v>
          </cell>
          <cell r="T152" t="str">
            <v>000000000004910</v>
          </cell>
        </row>
        <row r="153">
          <cell r="C153">
            <v>0</v>
          </cell>
          <cell r="G153" t="str">
            <v/>
          </cell>
          <cell r="K153">
            <v>0</v>
          </cell>
          <cell r="L153" t="str">
            <v>持出端材</v>
          </cell>
          <cell r="M153">
            <v>20</v>
          </cell>
          <cell r="O153" t="str">
            <v>水野</v>
          </cell>
          <cell r="T153" t="str">
            <v>000000000004910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 t="str">
            <v>高森</v>
          </cell>
          <cell r="P154">
            <v>0</v>
          </cell>
          <cell r="T154" t="str">
            <v>000000000004910</v>
          </cell>
        </row>
        <row r="155">
          <cell r="C155" t="str">
            <v>灯具カバーPC IN 2110　L=1815</v>
          </cell>
          <cell r="I155">
            <v>0</v>
          </cell>
          <cell r="J155">
            <v>0</v>
          </cell>
          <cell r="K155">
            <v>0</v>
          </cell>
          <cell r="L155">
            <v>45849</v>
          </cell>
          <cell r="M155">
            <v>7</v>
          </cell>
          <cell r="O155">
            <v>45852</v>
          </cell>
          <cell r="P155">
            <v>10</v>
          </cell>
          <cell r="T155" t="str">
            <v>000000000004921</v>
          </cell>
        </row>
        <row r="156">
          <cell r="D156">
            <v>45852</v>
          </cell>
          <cell r="E156" t="str">
            <v>25G04-01</v>
          </cell>
          <cell r="G156" t="str">
            <v/>
          </cell>
          <cell r="I156" t="str">
            <v>25G04-01</v>
          </cell>
          <cell r="J156">
            <v>196</v>
          </cell>
          <cell r="K156">
            <v>196</v>
          </cell>
          <cell r="L156">
            <v>45852</v>
          </cell>
          <cell r="M156">
            <v>2</v>
          </cell>
          <cell r="O156">
            <v>144</v>
          </cell>
          <cell r="P156">
            <v>42</v>
          </cell>
          <cell r="T156" t="str">
            <v>000000000004921</v>
          </cell>
        </row>
        <row r="157">
          <cell r="C157">
            <v>144</v>
          </cell>
          <cell r="D157">
            <v>45849</v>
          </cell>
          <cell r="E157" t="str">
            <v>25G04-01</v>
          </cell>
          <cell r="G157" t="str">
            <v/>
          </cell>
          <cell r="K157">
            <v>0</v>
          </cell>
          <cell r="O157">
            <v>196</v>
          </cell>
          <cell r="T157" t="str">
            <v>000000000004921</v>
          </cell>
        </row>
        <row r="158">
          <cell r="G158" t="str">
            <v/>
          </cell>
          <cell r="K158">
            <v>0</v>
          </cell>
          <cell r="O158">
            <v>52</v>
          </cell>
          <cell r="T158" t="str">
            <v>000000000004921</v>
          </cell>
        </row>
        <row r="159">
          <cell r="C159">
            <v>1</v>
          </cell>
          <cell r="G159" t="str">
            <v/>
          </cell>
          <cell r="K159">
            <v>0</v>
          </cell>
          <cell r="O159">
            <v>52</v>
          </cell>
          <cell r="T159" t="str">
            <v>000000000004921</v>
          </cell>
        </row>
        <row r="160">
          <cell r="C160" t="str">
            <v>灯具-2　L＝1996</v>
          </cell>
          <cell r="G160" t="str">
            <v/>
          </cell>
          <cell r="K160">
            <v>0</v>
          </cell>
          <cell r="L160" t="str">
            <v>旧品加工</v>
          </cell>
          <cell r="O160">
            <v>0</v>
          </cell>
          <cell r="T160" t="str">
            <v>000000000004921</v>
          </cell>
        </row>
        <row r="161">
          <cell r="C161">
            <v>9</v>
          </cell>
          <cell r="G161" t="str">
            <v/>
          </cell>
          <cell r="K161">
            <v>0</v>
          </cell>
          <cell r="L161" t="str">
            <v>持出端材</v>
          </cell>
          <cell r="O161" t="str">
            <v>-</v>
          </cell>
          <cell r="T161" t="str">
            <v>000000000004921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 t="str">
            <v>高森</v>
          </cell>
          <cell r="P162">
            <v>52</v>
          </cell>
          <cell r="T162" t="str">
            <v>000000000004921</v>
          </cell>
        </row>
        <row r="163">
          <cell r="C163" t="str">
            <v>8FL281304 5010　L=888</v>
          </cell>
          <cell r="D163">
            <v>45842</v>
          </cell>
          <cell r="E163" t="str">
            <v>25E30-12</v>
          </cell>
          <cell r="I163" t="str">
            <v>25E30-12</v>
          </cell>
          <cell r="J163">
            <v>478</v>
          </cell>
          <cell r="K163">
            <v>239</v>
          </cell>
          <cell r="L163">
            <v>45842</v>
          </cell>
          <cell r="M163">
            <v>4</v>
          </cell>
          <cell r="O163">
            <v>45853</v>
          </cell>
          <cell r="P163">
            <v>7</v>
          </cell>
          <cell r="T163" t="str">
            <v>000000000005125</v>
          </cell>
        </row>
        <row r="164">
          <cell r="D164">
            <v>45852</v>
          </cell>
          <cell r="E164" t="str">
            <v>25G08-01</v>
          </cell>
          <cell r="F164">
            <v>30</v>
          </cell>
          <cell r="G164">
            <v>888.58</v>
          </cell>
          <cell r="H164">
            <v>888.57</v>
          </cell>
          <cell r="I164" t="str">
            <v>25G08-01</v>
          </cell>
          <cell r="J164">
            <v>1536</v>
          </cell>
          <cell r="K164">
            <v>768</v>
          </cell>
          <cell r="L164">
            <v>45852</v>
          </cell>
          <cell r="M164">
            <v>10</v>
          </cell>
          <cell r="O164">
            <v>2000</v>
          </cell>
          <cell r="T164" t="str">
            <v>000000000005125</v>
          </cell>
        </row>
        <row r="165">
          <cell r="C165">
            <v>2000</v>
          </cell>
          <cell r="D165">
            <v>45852</v>
          </cell>
          <cell r="E165" t="str">
            <v>25G08-01</v>
          </cell>
          <cell r="F165">
            <v>32</v>
          </cell>
          <cell r="G165">
            <v>888.69</v>
          </cell>
          <cell r="H165">
            <v>888.78</v>
          </cell>
          <cell r="K165">
            <v>0</v>
          </cell>
          <cell r="L165">
            <v>45853</v>
          </cell>
          <cell r="M165">
            <v>6</v>
          </cell>
          <cell r="O165">
            <v>1007</v>
          </cell>
          <cell r="T165" t="str">
            <v>000000000005125</v>
          </cell>
        </row>
        <row r="166">
          <cell r="D166">
            <v>45852</v>
          </cell>
          <cell r="E166" t="str">
            <v>25G08-01</v>
          </cell>
          <cell r="F166">
            <v>32</v>
          </cell>
          <cell r="G166">
            <v>888.69</v>
          </cell>
          <cell r="H166">
            <v>888.84</v>
          </cell>
          <cell r="K166">
            <v>0</v>
          </cell>
          <cell r="O166">
            <v>7</v>
          </cell>
          <cell r="T166" t="str">
            <v>000000000005125</v>
          </cell>
        </row>
        <row r="167">
          <cell r="C167">
            <v>2</v>
          </cell>
          <cell r="D167">
            <v>45852</v>
          </cell>
          <cell r="E167" t="str">
            <v>25G08-01</v>
          </cell>
          <cell r="F167">
            <v>30</v>
          </cell>
          <cell r="G167">
            <v>888.58</v>
          </cell>
          <cell r="H167">
            <v>888.82</v>
          </cell>
          <cell r="K167">
            <v>0</v>
          </cell>
          <cell r="O167">
            <v>14</v>
          </cell>
          <cell r="T167" t="str">
            <v>000000000005125</v>
          </cell>
        </row>
        <row r="168">
          <cell r="C168" t="str">
            <v>LED-A888</v>
          </cell>
          <cell r="D168">
            <v>45852</v>
          </cell>
          <cell r="E168" t="str">
            <v>25G08-01</v>
          </cell>
          <cell r="F168">
            <v>30</v>
          </cell>
          <cell r="G168">
            <v>888.58</v>
          </cell>
          <cell r="H168">
            <v>888.7</v>
          </cell>
          <cell r="K168">
            <v>0</v>
          </cell>
          <cell r="L168" t="str">
            <v>旧品加工</v>
          </cell>
          <cell r="M168">
            <v>478</v>
          </cell>
          <cell r="O168">
            <v>0</v>
          </cell>
          <cell r="T168" t="str">
            <v>000000000005125</v>
          </cell>
        </row>
        <row r="169">
          <cell r="C169">
            <v>20</v>
          </cell>
          <cell r="G169" t="str">
            <v/>
          </cell>
          <cell r="K169">
            <v>0</v>
          </cell>
          <cell r="L169" t="str">
            <v>持出端材</v>
          </cell>
          <cell r="O169" t="str">
            <v>水野・富田</v>
          </cell>
          <cell r="P169">
            <v>7</v>
          </cell>
          <cell r="T169" t="str">
            <v>000000000005125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O170" t="str">
            <v>高森・上野</v>
          </cell>
          <cell r="P170">
            <v>14</v>
          </cell>
          <cell r="T170" t="str">
            <v>000000000005125</v>
          </cell>
        </row>
        <row r="171">
          <cell r="C171" t="str">
            <v>8FL281304 5010　L=888</v>
          </cell>
          <cell r="I171">
            <v>0</v>
          </cell>
          <cell r="J171">
            <v>0</v>
          </cell>
          <cell r="K171">
            <v>0</v>
          </cell>
          <cell r="L171">
            <v>45853</v>
          </cell>
          <cell r="M171">
            <v>3</v>
          </cell>
          <cell r="O171">
            <v>45853</v>
          </cell>
          <cell r="P171">
            <v>2</v>
          </cell>
          <cell r="T171" t="str">
            <v>000000000005126</v>
          </cell>
        </row>
        <row r="172">
          <cell r="D172">
            <v>45852</v>
          </cell>
          <cell r="E172" t="str">
            <v>25G08-01</v>
          </cell>
          <cell r="F172">
            <v>30</v>
          </cell>
          <cell r="G172">
            <v>888.58</v>
          </cell>
          <cell r="H172">
            <v>888.72</v>
          </cell>
          <cell r="I172" t="str">
            <v>25G08-01</v>
          </cell>
          <cell r="J172">
            <v>64</v>
          </cell>
          <cell r="K172">
            <v>32</v>
          </cell>
          <cell r="O172">
            <v>300</v>
          </cell>
          <cell r="T172" t="str">
            <v>000000000005126</v>
          </cell>
        </row>
        <row r="173">
          <cell r="C173">
            <v>300</v>
          </cell>
          <cell r="D173">
            <v>45852</v>
          </cell>
          <cell r="E173" t="str">
            <v>25G09-02</v>
          </cell>
          <cell r="F173">
            <v>30</v>
          </cell>
          <cell r="G173">
            <v>888.58</v>
          </cell>
          <cell r="H173">
            <v>888.71</v>
          </cell>
          <cell r="I173" t="str">
            <v>25G09-02</v>
          </cell>
          <cell r="J173">
            <v>238</v>
          </cell>
          <cell r="K173">
            <v>119</v>
          </cell>
          <cell r="O173">
            <v>151</v>
          </cell>
          <cell r="T173" t="str">
            <v>000000000005126</v>
          </cell>
        </row>
        <row r="174">
          <cell r="G174" t="str">
            <v/>
          </cell>
          <cell r="K174">
            <v>0</v>
          </cell>
          <cell r="O174">
            <v>1</v>
          </cell>
          <cell r="T174" t="str">
            <v>000000000005126</v>
          </cell>
        </row>
        <row r="175">
          <cell r="C175">
            <v>2</v>
          </cell>
          <cell r="G175" t="str">
            <v/>
          </cell>
          <cell r="K175">
            <v>0</v>
          </cell>
          <cell r="O175">
            <v>2</v>
          </cell>
          <cell r="T175" t="str">
            <v>000000000005126</v>
          </cell>
        </row>
        <row r="176">
          <cell r="C176" t="str">
            <v>LED-A888</v>
          </cell>
          <cell r="G176" t="str">
            <v/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000000000005126</v>
          </cell>
        </row>
        <row r="177">
          <cell r="C177">
            <v>3</v>
          </cell>
          <cell r="G177" t="str">
            <v/>
          </cell>
          <cell r="K177">
            <v>0</v>
          </cell>
          <cell r="L177" t="str">
            <v>持出端材</v>
          </cell>
          <cell r="O177" t="str">
            <v>水野</v>
          </cell>
          <cell r="T177" t="str">
            <v>000000000005126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O178" t="str">
            <v>高森</v>
          </cell>
          <cell r="P178">
            <v>2</v>
          </cell>
          <cell r="T178" t="str">
            <v>000000000005126</v>
          </cell>
        </row>
        <row r="179">
          <cell r="C179" t="str">
            <v>PK-59827 L=700</v>
          </cell>
          <cell r="D179">
            <v>45804</v>
          </cell>
          <cell r="E179" t="str">
            <v>25E16</v>
          </cell>
          <cell r="I179" t="str">
            <v>25E16</v>
          </cell>
          <cell r="J179">
            <v>20</v>
          </cell>
          <cell r="K179">
            <v>10</v>
          </cell>
          <cell r="L179">
            <v>45853</v>
          </cell>
          <cell r="M179">
            <v>8</v>
          </cell>
          <cell r="O179">
            <v>45854</v>
          </cell>
          <cell r="P179">
            <v>36</v>
          </cell>
          <cell r="T179" t="str">
            <v>000000000005204</v>
          </cell>
        </row>
        <row r="180">
          <cell r="D180">
            <v>45853</v>
          </cell>
          <cell r="E180" t="str">
            <v>25G04</v>
          </cell>
          <cell r="F180">
            <v>27</v>
          </cell>
          <cell r="G180">
            <v>700.2</v>
          </cell>
          <cell r="H180">
            <v>700.22</v>
          </cell>
          <cell r="I180" t="str">
            <v>25G04</v>
          </cell>
          <cell r="J180">
            <v>560</v>
          </cell>
          <cell r="K180">
            <v>280</v>
          </cell>
          <cell r="L180">
            <v>45854</v>
          </cell>
          <cell r="M180">
            <v>23</v>
          </cell>
          <cell r="O180">
            <v>1054</v>
          </cell>
          <cell r="P180">
            <v>3</v>
          </cell>
          <cell r="T180" t="str">
            <v>000000000005204</v>
          </cell>
        </row>
        <row r="181">
          <cell r="C181">
            <v>1054</v>
          </cell>
          <cell r="D181">
            <v>45853</v>
          </cell>
          <cell r="E181" t="str">
            <v>25G04</v>
          </cell>
          <cell r="F181">
            <v>27</v>
          </cell>
          <cell r="G181">
            <v>700.2</v>
          </cell>
          <cell r="H181">
            <v>700.24</v>
          </cell>
          <cell r="I181" t="str">
            <v>25G08</v>
          </cell>
          <cell r="J181">
            <v>522</v>
          </cell>
          <cell r="K181">
            <v>261</v>
          </cell>
          <cell r="O181">
            <v>551</v>
          </cell>
          <cell r="T181" t="str">
            <v>000000000005204</v>
          </cell>
        </row>
        <row r="182">
          <cell r="D182">
            <v>45853</v>
          </cell>
          <cell r="E182" t="str">
            <v>25G04</v>
          </cell>
          <cell r="F182">
            <v>27</v>
          </cell>
          <cell r="G182">
            <v>700.2</v>
          </cell>
          <cell r="H182">
            <v>700.19</v>
          </cell>
          <cell r="K182">
            <v>0</v>
          </cell>
          <cell r="O182">
            <v>24</v>
          </cell>
          <cell r="T182" t="str">
            <v>000000000005204</v>
          </cell>
        </row>
        <row r="183">
          <cell r="C183">
            <v>2</v>
          </cell>
          <cell r="D183">
            <v>45853</v>
          </cell>
          <cell r="E183" t="str">
            <v>25G08</v>
          </cell>
          <cell r="F183">
            <v>27</v>
          </cell>
          <cell r="G183">
            <v>700.2</v>
          </cell>
          <cell r="H183">
            <v>700.26</v>
          </cell>
          <cell r="K183">
            <v>0</v>
          </cell>
          <cell r="O183">
            <v>47</v>
          </cell>
          <cell r="T183" t="str">
            <v>000000000005204</v>
          </cell>
        </row>
        <row r="184">
          <cell r="C184" t="str">
            <v>PK-59827 L=700用</v>
          </cell>
          <cell r="D184">
            <v>45853</v>
          </cell>
          <cell r="E184" t="str">
            <v>25G08</v>
          </cell>
          <cell r="F184">
            <v>27</v>
          </cell>
          <cell r="G184">
            <v>700.2</v>
          </cell>
          <cell r="H184">
            <v>700.25</v>
          </cell>
          <cell r="K184">
            <v>0</v>
          </cell>
          <cell r="L184" t="str">
            <v>旧品加工</v>
          </cell>
          <cell r="M184">
            <v>20</v>
          </cell>
          <cell r="O184">
            <v>0</v>
          </cell>
          <cell r="T184" t="str">
            <v>000000000005204</v>
          </cell>
        </row>
        <row r="185">
          <cell r="C185">
            <v>31</v>
          </cell>
          <cell r="D185">
            <v>45854</v>
          </cell>
          <cell r="E185" t="str">
            <v>25G08</v>
          </cell>
          <cell r="F185">
            <v>27</v>
          </cell>
          <cell r="G185">
            <v>700.2</v>
          </cell>
          <cell r="H185">
            <v>700.27</v>
          </cell>
          <cell r="K185">
            <v>0</v>
          </cell>
          <cell r="L185" t="str">
            <v>持出端材</v>
          </cell>
          <cell r="O185" t="str">
            <v>富田・水野</v>
          </cell>
          <cell r="P185">
            <v>8</v>
          </cell>
          <cell r="T185" t="str">
            <v>000000000005204</v>
          </cell>
        </row>
        <row r="186">
          <cell r="D186">
            <v>45854</v>
          </cell>
          <cell r="E186" t="str">
            <v>25G08</v>
          </cell>
          <cell r="F186">
            <v>27</v>
          </cell>
          <cell r="G186">
            <v>700.2</v>
          </cell>
          <cell r="H186">
            <v>700.21</v>
          </cell>
          <cell r="K186">
            <v>0</v>
          </cell>
          <cell r="L186" t="str">
            <v>α端材</v>
          </cell>
          <cell r="M186">
            <v>0</v>
          </cell>
          <cell r="O186" t="str">
            <v>高森・上野</v>
          </cell>
          <cell r="P186">
            <v>47</v>
          </cell>
          <cell r="T186" t="str">
            <v>000000000005204</v>
          </cell>
        </row>
        <row r="187">
          <cell r="C187" t="str">
            <v>PK-59827 L=500</v>
          </cell>
          <cell r="D187">
            <v>45832</v>
          </cell>
          <cell r="E187" t="str">
            <v>25F11</v>
          </cell>
          <cell r="I187" t="str">
            <v>25F11</v>
          </cell>
          <cell r="J187">
            <v>33</v>
          </cell>
          <cell r="K187">
            <v>11</v>
          </cell>
          <cell r="L187">
            <v>45855</v>
          </cell>
          <cell r="M187">
            <v>15</v>
          </cell>
          <cell r="O187">
            <v>45855</v>
          </cell>
          <cell r="P187">
            <v>11</v>
          </cell>
          <cell r="T187" t="str">
            <v>000000000005203</v>
          </cell>
        </row>
        <row r="188">
          <cell r="D188">
            <v>45854</v>
          </cell>
          <cell r="E188" t="str">
            <v>25G09</v>
          </cell>
          <cell r="F188">
            <v>27</v>
          </cell>
          <cell r="G188">
            <v>500.14</v>
          </cell>
          <cell r="H188">
            <v>500.21</v>
          </cell>
          <cell r="I188" t="str">
            <v>25G09</v>
          </cell>
          <cell r="J188">
            <v>498</v>
          </cell>
          <cell r="K188">
            <v>166</v>
          </cell>
          <cell r="O188">
            <v>510</v>
          </cell>
          <cell r="P188">
            <v>4</v>
          </cell>
          <cell r="T188" t="str">
            <v>000000000005203</v>
          </cell>
        </row>
        <row r="189">
          <cell r="C189">
            <v>510</v>
          </cell>
          <cell r="D189">
            <v>45854</v>
          </cell>
          <cell r="E189" t="str">
            <v>25G09</v>
          </cell>
          <cell r="F189">
            <v>27</v>
          </cell>
          <cell r="G189">
            <v>500.14</v>
          </cell>
          <cell r="H189">
            <v>500.21</v>
          </cell>
          <cell r="K189">
            <v>0</v>
          </cell>
          <cell r="O189">
            <v>177</v>
          </cell>
          <cell r="T189" t="str">
            <v>000000000005203</v>
          </cell>
        </row>
        <row r="190">
          <cell r="D190">
            <v>45854</v>
          </cell>
          <cell r="E190" t="str">
            <v>25G09</v>
          </cell>
          <cell r="F190">
            <v>27</v>
          </cell>
          <cell r="G190">
            <v>500.14</v>
          </cell>
          <cell r="H190">
            <v>500.2</v>
          </cell>
          <cell r="K190">
            <v>0</v>
          </cell>
          <cell r="O190">
            <v>7</v>
          </cell>
          <cell r="T190" t="str">
            <v>000000000005203</v>
          </cell>
        </row>
        <row r="191">
          <cell r="C191">
            <v>3</v>
          </cell>
          <cell r="D191">
            <v>45854</v>
          </cell>
          <cell r="E191" t="str">
            <v>25G09</v>
          </cell>
          <cell r="F191">
            <v>27</v>
          </cell>
          <cell r="G191">
            <v>500.14</v>
          </cell>
          <cell r="H191">
            <v>500.36</v>
          </cell>
          <cell r="K191">
            <v>0</v>
          </cell>
          <cell r="O191">
            <v>21</v>
          </cell>
          <cell r="T191" t="str">
            <v>000000000005203</v>
          </cell>
        </row>
        <row r="192">
          <cell r="C192" t="str">
            <v>PK-59827 L=500用</v>
          </cell>
          <cell r="G192" t="str">
            <v/>
          </cell>
          <cell r="K192">
            <v>0</v>
          </cell>
          <cell r="L192" t="str">
            <v>旧品加工</v>
          </cell>
          <cell r="M192">
            <v>33</v>
          </cell>
          <cell r="O192">
            <v>0</v>
          </cell>
          <cell r="T192" t="str">
            <v>000000000005203</v>
          </cell>
        </row>
        <row r="193">
          <cell r="C193">
            <v>15</v>
          </cell>
          <cell r="G193" t="str">
            <v/>
          </cell>
          <cell r="K193">
            <v>0</v>
          </cell>
          <cell r="L193" t="str">
            <v>持出端材</v>
          </cell>
          <cell r="O193" t="str">
            <v>富田・水野</v>
          </cell>
          <cell r="P193">
            <v>6</v>
          </cell>
          <cell r="T193" t="str">
            <v>000000000005203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O194" t="str">
            <v>高森</v>
          </cell>
          <cell r="P194">
            <v>21</v>
          </cell>
          <cell r="T194" t="str">
            <v>000000000005203</v>
          </cell>
        </row>
        <row r="195">
          <cell r="C195" t="str">
            <v>照明ｶﾊﾞｰS15　L=550</v>
          </cell>
          <cell r="I195">
            <v>0</v>
          </cell>
          <cell r="J195">
            <v>0</v>
          </cell>
          <cell r="K195">
            <v>0</v>
          </cell>
          <cell r="L195">
            <v>45854</v>
          </cell>
          <cell r="M195">
            <v>10</v>
          </cell>
          <cell r="O195">
            <v>45854</v>
          </cell>
          <cell r="T195" t="str">
            <v>000000000005183</v>
          </cell>
        </row>
        <row r="196">
          <cell r="D196">
            <v>45854</v>
          </cell>
          <cell r="E196" t="str">
            <v>25A16B 1</v>
          </cell>
          <cell r="F196">
            <v>28</v>
          </cell>
          <cell r="G196">
            <v>550.29999999999995</v>
          </cell>
          <cell r="H196">
            <v>550.41999999999996</v>
          </cell>
          <cell r="I196" t="str">
            <v>25A16B 1</v>
          </cell>
          <cell r="J196">
            <v>147</v>
          </cell>
          <cell r="K196">
            <v>49</v>
          </cell>
          <cell r="O196">
            <v>500</v>
          </cell>
          <cell r="T196" t="str">
            <v>000000000005183</v>
          </cell>
        </row>
        <row r="197">
          <cell r="C197">
            <v>500</v>
          </cell>
          <cell r="D197">
            <v>45854</v>
          </cell>
          <cell r="E197" t="str">
            <v>25A16B 2</v>
          </cell>
          <cell r="G197" t="str">
            <v/>
          </cell>
          <cell r="I197" t="str">
            <v>25A16B 2</v>
          </cell>
          <cell r="J197">
            <v>150</v>
          </cell>
          <cell r="K197">
            <v>50</v>
          </cell>
          <cell r="O197">
            <v>167</v>
          </cell>
          <cell r="T197" t="str">
            <v>000000000005183</v>
          </cell>
        </row>
        <row r="198">
          <cell r="D198">
            <v>45854</v>
          </cell>
          <cell r="E198" t="str">
            <v>25A16B 3</v>
          </cell>
          <cell r="G198" t="str">
            <v/>
          </cell>
          <cell r="I198" t="str">
            <v>25A16B 3</v>
          </cell>
          <cell r="J198">
            <v>150</v>
          </cell>
          <cell r="K198">
            <v>50</v>
          </cell>
          <cell r="O198">
            <v>0</v>
          </cell>
          <cell r="T198" t="str">
            <v>000000000005183</v>
          </cell>
        </row>
        <row r="199">
          <cell r="C199">
            <v>3</v>
          </cell>
          <cell r="D199">
            <v>45854</v>
          </cell>
          <cell r="E199" t="str">
            <v>25A16B 4</v>
          </cell>
          <cell r="F199">
            <v>28</v>
          </cell>
          <cell r="G199">
            <v>550.29999999999995</v>
          </cell>
          <cell r="H199">
            <v>550.51</v>
          </cell>
          <cell r="I199" t="str">
            <v>25A16B 4</v>
          </cell>
          <cell r="J199">
            <v>54</v>
          </cell>
          <cell r="K199">
            <v>18</v>
          </cell>
          <cell r="O199">
            <v>0</v>
          </cell>
          <cell r="T199" t="str">
            <v>000000000005183</v>
          </cell>
        </row>
        <row r="200">
          <cell r="C200" t="str">
            <v>基材梱包箱</v>
          </cell>
          <cell r="G200" t="str">
            <v/>
          </cell>
          <cell r="K200">
            <v>0</v>
          </cell>
          <cell r="L200" t="str">
            <v>旧品加工</v>
          </cell>
          <cell r="O200">
            <v>0</v>
          </cell>
          <cell r="T200" t="str">
            <v>000000000005183</v>
          </cell>
        </row>
        <row r="201">
          <cell r="C201">
            <v>10</v>
          </cell>
          <cell r="G201" t="str">
            <v/>
          </cell>
          <cell r="K201">
            <v>0</v>
          </cell>
          <cell r="L201" t="str">
            <v>持出端材</v>
          </cell>
          <cell r="O201" t="str">
            <v>富田・水野</v>
          </cell>
          <cell r="T201" t="str">
            <v>000000000005183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O202" t="str">
            <v>-</v>
          </cell>
          <cell r="P202">
            <v>0</v>
          </cell>
          <cell r="T202" t="str">
            <v>000000000005183</v>
          </cell>
        </row>
        <row r="203">
          <cell r="C203" t="str">
            <v>採光ルーバーパネルB　L=1996</v>
          </cell>
          <cell r="D203">
            <v>45667</v>
          </cell>
          <cell r="E203" t="str">
            <v>25A07-03</v>
          </cell>
          <cell r="I203" t="str">
            <v>25A07-03</v>
          </cell>
          <cell r="J203">
            <v>34</v>
          </cell>
          <cell r="K203">
            <v>34</v>
          </cell>
          <cell r="L203">
            <v>45860</v>
          </cell>
          <cell r="M203">
            <v>1</v>
          </cell>
          <cell r="O203">
            <v>45860</v>
          </cell>
          <cell r="T203" t="str">
            <v>000000000005329</v>
          </cell>
        </row>
        <row r="204">
          <cell r="D204">
            <v>45856</v>
          </cell>
          <cell r="E204" t="str">
            <v>25G16-01</v>
          </cell>
          <cell r="F204">
            <v>30</v>
          </cell>
          <cell r="G204">
            <v>1998.3</v>
          </cell>
          <cell r="H204">
            <v>1998.3</v>
          </cell>
          <cell r="I204" t="str">
            <v>25G16-01</v>
          </cell>
          <cell r="J204">
            <v>8</v>
          </cell>
          <cell r="K204">
            <v>8</v>
          </cell>
          <cell r="O204">
            <v>42</v>
          </cell>
          <cell r="T204" t="str">
            <v>000000000005329</v>
          </cell>
        </row>
        <row r="205">
          <cell r="C205">
            <v>42</v>
          </cell>
          <cell r="D205">
            <v>45856</v>
          </cell>
          <cell r="E205" t="str">
            <v>25G16-01</v>
          </cell>
          <cell r="F205">
            <v>30</v>
          </cell>
          <cell r="G205">
            <v>1998.3</v>
          </cell>
          <cell r="H205">
            <v>1998.3</v>
          </cell>
          <cell r="K205">
            <v>0</v>
          </cell>
          <cell r="O205">
            <v>42</v>
          </cell>
          <cell r="T205" t="str">
            <v>000000000005329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000000000005329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0</v>
          </cell>
          <cell r="T207" t="str">
            <v>000000000005329</v>
          </cell>
        </row>
        <row r="208">
          <cell r="C208" t="str">
            <v>上-1</v>
          </cell>
          <cell r="G208" t="str">
            <v/>
          </cell>
          <cell r="K208">
            <v>0</v>
          </cell>
          <cell r="L208" t="str">
            <v>旧品加工</v>
          </cell>
          <cell r="M208">
            <v>34</v>
          </cell>
          <cell r="O208">
            <v>0</v>
          </cell>
          <cell r="T208" t="str">
            <v>000000000005329</v>
          </cell>
        </row>
        <row r="209">
          <cell r="C209">
            <v>1</v>
          </cell>
          <cell r="G209" t="str">
            <v/>
          </cell>
          <cell r="K209">
            <v>0</v>
          </cell>
          <cell r="L209" t="str">
            <v>持出端材</v>
          </cell>
          <cell r="O209" t="str">
            <v>富田・水野</v>
          </cell>
          <cell r="T209" t="str">
            <v>000000000005329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O210" t="str">
            <v>上野</v>
          </cell>
          <cell r="P210">
            <v>0</v>
          </cell>
          <cell r="T210" t="str">
            <v>000000000005329</v>
          </cell>
        </row>
        <row r="211">
          <cell r="C211" t="str">
            <v>採光ルーバーパネルB　L=1996</v>
          </cell>
          <cell r="I211">
            <v>0</v>
          </cell>
          <cell r="J211">
            <v>0</v>
          </cell>
          <cell r="K211">
            <v>0</v>
          </cell>
          <cell r="L211">
            <v>45860</v>
          </cell>
          <cell r="M211">
            <v>2</v>
          </cell>
          <cell r="O211">
            <v>45860</v>
          </cell>
          <cell r="T211" t="str">
            <v>000000000005330-1</v>
          </cell>
        </row>
        <row r="212">
          <cell r="D212">
            <v>45860</v>
          </cell>
          <cell r="E212" t="str">
            <v>25G16-01</v>
          </cell>
          <cell r="F212">
            <v>28</v>
          </cell>
          <cell r="G212">
            <v>1998.04</v>
          </cell>
          <cell r="H212">
            <v>1998.1</v>
          </cell>
          <cell r="I212" t="str">
            <v>25G16-01</v>
          </cell>
          <cell r="J212">
            <v>96</v>
          </cell>
          <cell r="K212">
            <v>96</v>
          </cell>
          <cell r="O212">
            <v>84</v>
          </cell>
          <cell r="P212">
            <v>11</v>
          </cell>
          <cell r="T212" t="str">
            <v>000000000005330-1</v>
          </cell>
        </row>
        <row r="213">
          <cell r="C213">
            <v>84</v>
          </cell>
          <cell r="D213">
            <v>45860</v>
          </cell>
          <cell r="E213" t="str">
            <v>25G16-01</v>
          </cell>
          <cell r="F213">
            <v>28</v>
          </cell>
          <cell r="G213">
            <v>1998.04</v>
          </cell>
          <cell r="H213">
            <v>1998</v>
          </cell>
          <cell r="K213">
            <v>0</v>
          </cell>
          <cell r="O213">
            <v>96</v>
          </cell>
          <cell r="T213" t="str">
            <v>000000000005330-1</v>
          </cell>
        </row>
        <row r="214">
          <cell r="G214" t="str">
            <v/>
          </cell>
          <cell r="K214">
            <v>0</v>
          </cell>
          <cell r="O214">
            <v>12</v>
          </cell>
          <cell r="T214" t="str">
            <v>000000000005330-1</v>
          </cell>
        </row>
        <row r="215">
          <cell r="C215">
            <v>1</v>
          </cell>
          <cell r="G215" t="str">
            <v/>
          </cell>
          <cell r="K215">
            <v>0</v>
          </cell>
          <cell r="O215">
            <v>12</v>
          </cell>
          <cell r="T215" t="str">
            <v>000000000005330-1</v>
          </cell>
        </row>
        <row r="216">
          <cell r="C216" t="str">
            <v>上-1</v>
          </cell>
          <cell r="G216" t="str">
            <v/>
          </cell>
          <cell r="K216">
            <v>0</v>
          </cell>
          <cell r="L216" t="str">
            <v>旧品加工</v>
          </cell>
          <cell r="O216">
            <v>0</v>
          </cell>
          <cell r="T216" t="str">
            <v>000000000005330-1</v>
          </cell>
        </row>
        <row r="217">
          <cell r="C217">
            <v>2</v>
          </cell>
          <cell r="G217" t="str">
            <v/>
          </cell>
          <cell r="K217">
            <v>0</v>
          </cell>
          <cell r="L217" t="str">
            <v>持出端材</v>
          </cell>
          <cell r="O217" t="str">
            <v>富田・水野</v>
          </cell>
          <cell r="P217">
            <v>1</v>
          </cell>
          <cell r="T217" t="str">
            <v>000000000005330-1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O218" t="str">
            <v>上野</v>
          </cell>
          <cell r="P218">
            <v>12</v>
          </cell>
          <cell r="T218" t="str">
            <v>000000000005330-1</v>
          </cell>
        </row>
        <row r="219">
          <cell r="C219" t="str">
            <v>灯具カバーPC IN 2070　L=1966</v>
          </cell>
          <cell r="D219">
            <v>45833</v>
          </cell>
          <cell r="E219" t="str">
            <v>25F11-01</v>
          </cell>
          <cell r="I219" t="str">
            <v>25F11-01</v>
          </cell>
          <cell r="J219">
            <v>3</v>
          </cell>
          <cell r="K219">
            <v>3</v>
          </cell>
          <cell r="L219">
            <v>45856</v>
          </cell>
          <cell r="M219">
            <v>4</v>
          </cell>
          <cell r="O219">
            <v>45856</v>
          </cell>
          <cell r="P219">
            <v>20</v>
          </cell>
          <cell r="T219" t="str">
            <v>000000000004922</v>
          </cell>
        </row>
        <row r="220">
          <cell r="D220">
            <v>45856</v>
          </cell>
          <cell r="E220" t="str">
            <v>25G04-01</v>
          </cell>
          <cell r="G220" t="str">
            <v/>
          </cell>
          <cell r="I220" t="str">
            <v>25G04-01</v>
          </cell>
          <cell r="J220">
            <v>86</v>
          </cell>
          <cell r="K220">
            <v>86</v>
          </cell>
          <cell r="O220">
            <v>64</v>
          </cell>
          <cell r="P220">
            <v>5</v>
          </cell>
          <cell r="T220" t="str">
            <v>000000000004922</v>
          </cell>
        </row>
        <row r="221">
          <cell r="C221">
            <v>64</v>
          </cell>
          <cell r="G221" t="str">
            <v/>
          </cell>
          <cell r="K221">
            <v>0</v>
          </cell>
          <cell r="O221">
            <v>89</v>
          </cell>
          <cell r="T221" t="str">
            <v>000000000004922</v>
          </cell>
        </row>
        <row r="222">
          <cell r="G222" t="str">
            <v/>
          </cell>
          <cell r="K222">
            <v>0</v>
          </cell>
          <cell r="O222">
            <v>25</v>
          </cell>
          <cell r="T222" t="str">
            <v>000000000004922</v>
          </cell>
        </row>
        <row r="223">
          <cell r="C223">
            <v>1</v>
          </cell>
          <cell r="G223" t="str">
            <v/>
          </cell>
          <cell r="K223">
            <v>0</v>
          </cell>
          <cell r="O223">
            <v>25</v>
          </cell>
          <cell r="T223" t="str">
            <v>000000000004922</v>
          </cell>
        </row>
        <row r="224">
          <cell r="C224" t="str">
            <v>灯具-2　L＝1996</v>
          </cell>
          <cell r="G224" t="str">
            <v/>
          </cell>
          <cell r="K224">
            <v>0</v>
          </cell>
          <cell r="L224" t="str">
            <v>旧品加工</v>
          </cell>
          <cell r="M224">
            <v>3</v>
          </cell>
          <cell r="O224">
            <v>0</v>
          </cell>
          <cell r="T224" t="str">
            <v>000000000004922</v>
          </cell>
        </row>
        <row r="225">
          <cell r="C225">
            <v>4</v>
          </cell>
          <cell r="G225" t="str">
            <v/>
          </cell>
          <cell r="K225">
            <v>0</v>
          </cell>
          <cell r="L225" t="str">
            <v>持出端材</v>
          </cell>
          <cell r="O225" t="str">
            <v>-</v>
          </cell>
          <cell r="T225" t="str">
            <v>000000000004922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O226" t="str">
            <v>高森</v>
          </cell>
          <cell r="P226">
            <v>25</v>
          </cell>
          <cell r="T226" t="str">
            <v>000000000004922</v>
          </cell>
        </row>
        <row r="227">
          <cell r="C227" t="str">
            <v>ハーネスガイド部材　L=275</v>
          </cell>
          <cell r="I227">
            <v>0</v>
          </cell>
          <cell r="J227">
            <v>0</v>
          </cell>
          <cell r="K227">
            <v>0</v>
          </cell>
          <cell r="L227">
            <v>45860</v>
          </cell>
          <cell r="M227">
            <v>1</v>
          </cell>
          <cell r="O227">
            <v>45860</v>
          </cell>
          <cell r="T227" t="str">
            <v>000000000005316</v>
          </cell>
        </row>
        <row r="228">
          <cell r="D228">
            <v>45860</v>
          </cell>
          <cell r="E228" t="str">
            <v>25G17B</v>
          </cell>
          <cell r="G228">
            <v>275</v>
          </cell>
          <cell r="H228">
            <v>276.02</v>
          </cell>
          <cell r="I228" t="str">
            <v>25G17B</v>
          </cell>
          <cell r="J228">
            <v>400</v>
          </cell>
          <cell r="K228">
            <v>80</v>
          </cell>
          <cell r="O228">
            <v>400</v>
          </cell>
          <cell r="T228" t="str">
            <v>000000000005316</v>
          </cell>
        </row>
        <row r="229">
          <cell r="C229">
            <v>400</v>
          </cell>
          <cell r="G229">
            <v>275</v>
          </cell>
          <cell r="H229">
            <v>276.01</v>
          </cell>
          <cell r="K229">
            <v>0</v>
          </cell>
          <cell r="O229">
            <v>80</v>
          </cell>
          <cell r="T229" t="str">
            <v>000000000005316</v>
          </cell>
        </row>
        <row r="230">
          <cell r="G230">
            <v>275</v>
          </cell>
          <cell r="K230">
            <v>0</v>
          </cell>
          <cell r="O230">
            <v>0</v>
          </cell>
          <cell r="T230" t="str">
            <v>000000000005316</v>
          </cell>
        </row>
        <row r="231">
          <cell r="C231">
            <v>5</v>
          </cell>
          <cell r="G231">
            <v>275</v>
          </cell>
          <cell r="K231">
            <v>0</v>
          </cell>
          <cell r="O231">
            <v>0</v>
          </cell>
          <cell r="T231" t="str">
            <v>000000000005316</v>
          </cell>
        </row>
        <row r="232">
          <cell r="C232" t="str">
            <v>S-11</v>
          </cell>
          <cell r="G232">
            <v>275</v>
          </cell>
          <cell r="K232">
            <v>0</v>
          </cell>
          <cell r="L232" t="str">
            <v>旧品加工</v>
          </cell>
          <cell r="O232">
            <v>0</v>
          </cell>
          <cell r="T232" t="str">
            <v>000000000005316</v>
          </cell>
        </row>
        <row r="233">
          <cell r="C233">
            <v>1</v>
          </cell>
          <cell r="G233">
            <v>275</v>
          </cell>
          <cell r="K233">
            <v>0</v>
          </cell>
          <cell r="L233" t="str">
            <v>持出端材</v>
          </cell>
          <cell r="O233" t="str">
            <v>富田</v>
          </cell>
          <cell r="T233" t="str">
            <v>000000000005316</v>
          </cell>
        </row>
        <row r="234">
          <cell r="G234">
            <v>275</v>
          </cell>
          <cell r="K234">
            <v>0</v>
          </cell>
          <cell r="L234" t="str">
            <v>α端材</v>
          </cell>
          <cell r="M234">
            <v>0</v>
          </cell>
          <cell r="O234" t="str">
            <v>-</v>
          </cell>
          <cell r="P234">
            <v>0</v>
          </cell>
          <cell r="T234" t="str">
            <v>000000000005316</v>
          </cell>
        </row>
        <row r="235">
          <cell r="C235" t="str">
            <v>ハーネスガイド部材　L=275</v>
          </cell>
          <cell r="I235">
            <v>0</v>
          </cell>
          <cell r="J235">
            <v>0</v>
          </cell>
          <cell r="K235">
            <v>0</v>
          </cell>
          <cell r="L235">
            <v>45860</v>
          </cell>
          <cell r="M235">
            <v>5</v>
          </cell>
          <cell r="O235">
            <v>45860</v>
          </cell>
          <cell r="T235" t="str">
            <v>000000000005317</v>
          </cell>
        </row>
        <row r="236">
          <cell r="D236">
            <v>45860</v>
          </cell>
          <cell r="E236" t="str">
            <v>25G17B</v>
          </cell>
          <cell r="G236">
            <v>275</v>
          </cell>
          <cell r="H236">
            <v>276.01</v>
          </cell>
          <cell r="I236" t="str">
            <v>25G17B</v>
          </cell>
          <cell r="J236">
            <v>1200</v>
          </cell>
          <cell r="K236">
            <v>240</v>
          </cell>
          <cell r="O236">
            <v>2000</v>
          </cell>
          <cell r="T236" t="str">
            <v>000000000005317</v>
          </cell>
        </row>
        <row r="237">
          <cell r="C237">
            <v>2000</v>
          </cell>
          <cell r="D237">
            <v>45860</v>
          </cell>
          <cell r="E237" t="str">
            <v>25G16B</v>
          </cell>
          <cell r="G237">
            <v>275</v>
          </cell>
          <cell r="H237">
            <v>275.93</v>
          </cell>
          <cell r="I237" t="str">
            <v>25G16B</v>
          </cell>
          <cell r="J237">
            <v>800</v>
          </cell>
          <cell r="K237">
            <v>160</v>
          </cell>
          <cell r="O237">
            <v>400</v>
          </cell>
          <cell r="T237" t="str">
            <v>000000000005317</v>
          </cell>
        </row>
        <row r="238">
          <cell r="G238">
            <v>275</v>
          </cell>
          <cell r="K238">
            <v>0</v>
          </cell>
          <cell r="O238">
            <v>0</v>
          </cell>
          <cell r="T238" t="str">
            <v>000000000005317</v>
          </cell>
        </row>
        <row r="239">
          <cell r="C239">
            <v>5</v>
          </cell>
          <cell r="G239">
            <v>275</v>
          </cell>
          <cell r="K239">
            <v>0</v>
          </cell>
          <cell r="O239">
            <v>0</v>
          </cell>
          <cell r="T239" t="str">
            <v>000000000005317</v>
          </cell>
        </row>
        <row r="240">
          <cell r="C240" t="str">
            <v>S-11</v>
          </cell>
          <cell r="G240">
            <v>275</v>
          </cell>
          <cell r="K240">
            <v>0</v>
          </cell>
          <cell r="L240" t="str">
            <v>旧品加工</v>
          </cell>
          <cell r="O240">
            <v>0</v>
          </cell>
          <cell r="T240" t="str">
            <v>000000000005317</v>
          </cell>
        </row>
        <row r="241">
          <cell r="C241">
            <v>5</v>
          </cell>
          <cell r="G241">
            <v>275</v>
          </cell>
          <cell r="K241">
            <v>0</v>
          </cell>
          <cell r="L241" t="str">
            <v>持出端材</v>
          </cell>
          <cell r="O241" t="str">
            <v>富田・水野</v>
          </cell>
          <cell r="T241" t="str">
            <v>000000000005317</v>
          </cell>
        </row>
        <row r="242">
          <cell r="G242">
            <v>275</v>
          </cell>
          <cell r="K242">
            <v>0</v>
          </cell>
          <cell r="L242" t="str">
            <v>α端材</v>
          </cell>
          <cell r="M242">
            <v>0</v>
          </cell>
          <cell r="O242" t="str">
            <v>-</v>
          </cell>
          <cell r="P242">
            <v>0</v>
          </cell>
          <cell r="T242" t="str">
            <v>000000000005317</v>
          </cell>
        </row>
        <row r="243">
          <cell r="C243" t="str">
            <v>8FL281304 6110　L=1478</v>
          </cell>
          <cell r="I243">
            <v>0</v>
          </cell>
          <cell r="J243">
            <v>0</v>
          </cell>
          <cell r="K243">
            <v>0</v>
          </cell>
          <cell r="O243">
            <v>0</v>
          </cell>
          <cell r="T243" t="str">
            <v>000000000005129</v>
          </cell>
        </row>
        <row r="244">
          <cell r="G244" t="str">
            <v/>
          </cell>
          <cell r="I244" t="str">
            <v/>
          </cell>
          <cell r="K244">
            <v>0</v>
          </cell>
          <cell r="O244">
            <v>0</v>
          </cell>
          <cell r="T244" t="str">
            <v>000000000005129</v>
          </cell>
        </row>
        <row r="245">
          <cell r="C245">
            <v>900</v>
          </cell>
          <cell r="G245" t="str">
            <v/>
          </cell>
          <cell r="K245">
            <v>0</v>
          </cell>
          <cell r="O245">
            <v>0</v>
          </cell>
          <cell r="T245" t="str">
            <v>000000000005129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000000000005129</v>
          </cell>
        </row>
        <row r="247">
          <cell r="C247">
            <v>1</v>
          </cell>
          <cell r="G247" t="str">
            <v/>
          </cell>
          <cell r="K247">
            <v>0</v>
          </cell>
          <cell r="O247">
            <v>0</v>
          </cell>
          <cell r="T247" t="str">
            <v>000000000005129</v>
          </cell>
        </row>
        <row r="248">
          <cell r="C248" t="str">
            <v>LED-A1478</v>
          </cell>
          <cell r="G248" t="str">
            <v/>
          </cell>
          <cell r="K248">
            <v>0</v>
          </cell>
          <cell r="L248" t="str">
            <v>旧品加工</v>
          </cell>
          <cell r="O248">
            <v>0</v>
          </cell>
          <cell r="T248" t="str">
            <v>000000000005129</v>
          </cell>
        </row>
        <row r="249">
          <cell r="C249">
            <v>0</v>
          </cell>
          <cell r="G249" t="str">
            <v/>
          </cell>
          <cell r="K249">
            <v>0</v>
          </cell>
          <cell r="L249" t="str">
            <v>持出端材</v>
          </cell>
          <cell r="T249" t="str">
            <v>000000000005129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P250">
            <v>0</v>
          </cell>
          <cell r="T250" t="str">
            <v>000000000005129</v>
          </cell>
        </row>
        <row r="251">
          <cell r="C251" t="str">
            <v>8FL281304 4910　L=592</v>
          </cell>
          <cell r="I251">
            <v>0</v>
          </cell>
          <cell r="J251">
            <v>0</v>
          </cell>
          <cell r="K251">
            <v>0</v>
          </cell>
          <cell r="O251">
            <v>0</v>
          </cell>
          <cell r="T251" t="str">
            <v>000000000005121</v>
          </cell>
        </row>
        <row r="252">
          <cell r="G252" t="str">
            <v/>
          </cell>
          <cell r="I252" t="str">
            <v/>
          </cell>
          <cell r="K252">
            <v>0</v>
          </cell>
          <cell r="O252">
            <v>0</v>
          </cell>
          <cell r="T252" t="str">
            <v>000000000005121</v>
          </cell>
        </row>
        <row r="253">
          <cell r="C253">
            <v>300</v>
          </cell>
          <cell r="G253" t="str">
            <v/>
          </cell>
          <cell r="K253">
            <v>0</v>
          </cell>
          <cell r="O253">
            <v>0</v>
          </cell>
          <cell r="T253" t="str">
            <v>000000000005121</v>
          </cell>
        </row>
        <row r="254">
          <cell r="G254" t="str">
            <v/>
          </cell>
          <cell r="K254">
            <v>0</v>
          </cell>
          <cell r="O254">
            <v>0</v>
          </cell>
          <cell r="T254" t="str">
            <v>000000000005121</v>
          </cell>
        </row>
        <row r="255">
          <cell r="C255">
            <v>3</v>
          </cell>
          <cell r="G255" t="str">
            <v/>
          </cell>
          <cell r="K255">
            <v>0</v>
          </cell>
          <cell r="O255">
            <v>0</v>
          </cell>
          <cell r="T255" t="str">
            <v>000000000005121</v>
          </cell>
        </row>
        <row r="256">
          <cell r="C256" t="str">
            <v>LED-A592</v>
          </cell>
          <cell r="G256" t="str">
            <v/>
          </cell>
          <cell r="K256">
            <v>0</v>
          </cell>
          <cell r="L256" t="str">
            <v>旧品加工</v>
          </cell>
          <cell r="O256">
            <v>0</v>
          </cell>
          <cell r="T256" t="str">
            <v>000000000005121</v>
          </cell>
        </row>
        <row r="257">
          <cell r="C257">
            <v>0</v>
          </cell>
          <cell r="G257" t="str">
            <v/>
          </cell>
          <cell r="K257">
            <v>0</v>
          </cell>
          <cell r="L257" t="str">
            <v>持出端材</v>
          </cell>
          <cell r="T257" t="str">
            <v>000000000005121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P258">
            <v>0</v>
          </cell>
          <cell r="T258" t="str">
            <v>000000000005121</v>
          </cell>
        </row>
        <row r="259">
          <cell r="C259" t="str">
            <v>8FL281304 4810　L=297</v>
          </cell>
          <cell r="D259">
            <v>45835</v>
          </cell>
          <cell r="E259" t="str">
            <v>25E29-10</v>
          </cell>
          <cell r="I259" t="str">
            <v>25E29-10</v>
          </cell>
          <cell r="J259">
            <v>18</v>
          </cell>
          <cell r="K259">
            <v>3</v>
          </cell>
          <cell r="L259">
            <v>45856</v>
          </cell>
          <cell r="M259">
            <v>1</v>
          </cell>
          <cell r="O259">
            <v>45856</v>
          </cell>
          <cell r="T259" t="str">
            <v>000000000005117</v>
          </cell>
        </row>
        <row r="260">
          <cell r="G260" t="str">
            <v/>
          </cell>
          <cell r="I260" t="str">
            <v/>
          </cell>
          <cell r="K260">
            <v>0</v>
          </cell>
          <cell r="O260">
            <v>100</v>
          </cell>
          <cell r="T260" t="str">
            <v>000000000005117</v>
          </cell>
        </row>
        <row r="261">
          <cell r="C261">
            <v>100</v>
          </cell>
          <cell r="G261" t="str">
            <v/>
          </cell>
          <cell r="K261">
            <v>0</v>
          </cell>
          <cell r="O261">
            <v>3</v>
          </cell>
          <cell r="T261" t="str">
            <v>000000000005117</v>
          </cell>
        </row>
        <row r="262">
          <cell r="G262" t="str">
            <v/>
          </cell>
          <cell r="K262">
            <v>0</v>
          </cell>
          <cell r="O262">
            <v>0</v>
          </cell>
          <cell r="T262" t="str">
            <v>000000000005117</v>
          </cell>
        </row>
        <row r="263">
          <cell r="C263">
            <v>6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000000000005117</v>
          </cell>
        </row>
        <row r="264">
          <cell r="C264" t="str">
            <v>LED-A300</v>
          </cell>
          <cell r="G264" t="str">
            <v/>
          </cell>
          <cell r="K264">
            <v>0</v>
          </cell>
          <cell r="L264" t="str">
            <v>旧品加工</v>
          </cell>
          <cell r="M264">
            <v>22</v>
          </cell>
          <cell r="O264">
            <v>82</v>
          </cell>
          <cell r="T264" t="str">
            <v>000000000005117</v>
          </cell>
        </row>
        <row r="265">
          <cell r="C265">
            <v>1</v>
          </cell>
          <cell r="G265" t="str">
            <v/>
          </cell>
          <cell r="K265">
            <v>0</v>
          </cell>
          <cell r="L265" t="str">
            <v>持出端材</v>
          </cell>
          <cell r="M265">
            <v>78</v>
          </cell>
          <cell r="T265" t="str">
            <v>000000000005117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4</v>
          </cell>
          <cell r="P266">
            <v>0</v>
          </cell>
          <cell r="T266" t="str">
            <v>000000000005117</v>
          </cell>
        </row>
        <row r="267">
          <cell r="C267" t="str">
            <v>8FL281304 4810　L=297</v>
          </cell>
          <cell r="D267">
            <v>45835</v>
          </cell>
          <cell r="E267" t="str">
            <v>25E29-10</v>
          </cell>
          <cell r="I267" t="str">
            <v>25E29-10</v>
          </cell>
          <cell r="J267">
            <v>6</v>
          </cell>
          <cell r="K267">
            <v>1</v>
          </cell>
          <cell r="L267">
            <v>45856</v>
          </cell>
          <cell r="M267">
            <v>3</v>
          </cell>
          <cell r="O267">
            <v>45856</v>
          </cell>
          <cell r="T267" t="str">
            <v>000000000005118</v>
          </cell>
        </row>
        <row r="268">
          <cell r="D268">
            <v>45856</v>
          </cell>
          <cell r="E268" t="str">
            <v>25G09-02</v>
          </cell>
          <cell r="G268" t="str">
            <v/>
          </cell>
          <cell r="I268" t="str">
            <v>25G09-02</v>
          </cell>
          <cell r="J268">
            <v>294</v>
          </cell>
          <cell r="K268">
            <v>49</v>
          </cell>
          <cell r="O268">
            <v>300</v>
          </cell>
          <cell r="T268" t="str">
            <v>000000000005118</v>
          </cell>
        </row>
        <row r="269">
          <cell r="C269">
            <v>300</v>
          </cell>
          <cell r="G269" t="str">
            <v/>
          </cell>
          <cell r="K269">
            <v>0</v>
          </cell>
          <cell r="O269">
            <v>50</v>
          </cell>
          <cell r="T269" t="str">
            <v>000000000005118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000000000005118</v>
          </cell>
        </row>
        <row r="271">
          <cell r="C271">
            <v>6</v>
          </cell>
          <cell r="G271" t="str">
            <v/>
          </cell>
          <cell r="K271">
            <v>0</v>
          </cell>
          <cell r="O271">
            <v>0</v>
          </cell>
          <cell r="T271" t="str">
            <v>000000000005118</v>
          </cell>
        </row>
        <row r="272">
          <cell r="C272" t="str">
            <v>LED-A300</v>
          </cell>
          <cell r="G272" t="str">
            <v/>
          </cell>
          <cell r="K272">
            <v>0</v>
          </cell>
          <cell r="L272" t="str">
            <v>旧品加工</v>
          </cell>
          <cell r="M272">
            <v>8</v>
          </cell>
          <cell r="O272">
            <v>2</v>
          </cell>
          <cell r="T272" t="str">
            <v>000000000005118</v>
          </cell>
        </row>
        <row r="273">
          <cell r="C273">
            <v>3</v>
          </cell>
          <cell r="G273" t="str">
            <v/>
          </cell>
          <cell r="K273">
            <v>0</v>
          </cell>
          <cell r="L273" t="str">
            <v>持出端材</v>
          </cell>
          <cell r="T273" t="str">
            <v>000000000005118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M274">
            <v>2</v>
          </cell>
          <cell r="P274">
            <v>0</v>
          </cell>
          <cell r="T274" t="str">
            <v>000000000005118</v>
          </cell>
        </row>
        <row r="275">
          <cell r="C275" t="str">
            <v>8FL281304 4810　L=297</v>
          </cell>
          <cell r="I275">
            <v>0</v>
          </cell>
          <cell r="J275">
            <v>0</v>
          </cell>
          <cell r="K275">
            <v>0</v>
          </cell>
          <cell r="O275">
            <v>0</v>
          </cell>
          <cell r="T275" t="str">
            <v>000000000005119</v>
          </cell>
        </row>
        <row r="276">
          <cell r="G276" t="str">
            <v/>
          </cell>
          <cell r="I276" t="str">
            <v/>
          </cell>
          <cell r="K276">
            <v>0</v>
          </cell>
          <cell r="O276">
            <v>0</v>
          </cell>
          <cell r="T276" t="str">
            <v>000000000005119</v>
          </cell>
        </row>
        <row r="277">
          <cell r="C277">
            <v>300</v>
          </cell>
          <cell r="G277" t="str">
            <v/>
          </cell>
          <cell r="K277">
            <v>0</v>
          </cell>
          <cell r="O277">
            <v>0</v>
          </cell>
          <cell r="T277" t="str">
            <v>000000000005119</v>
          </cell>
        </row>
        <row r="278">
          <cell r="G278" t="str">
            <v/>
          </cell>
          <cell r="K278">
            <v>0</v>
          </cell>
          <cell r="O278">
            <v>0</v>
          </cell>
          <cell r="T278" t="str">
            <v>000000000005119</v>
          </cell>
        </row>
        <row r="279">
          <cell r="C279">
            <v>6</v>
          </cell>
          <cell r="G279" t="str">
            <v/>
          </cell>
          <cell r="K279">
            <v>0</v>
          </cell>
          <cell r="O279">
            <v>0</v>
          </cell>
          <cell r="T279" t="str">
            <v>000000000005119</v>
          </cell>
        </row>
        <row r="280">
          <cell r="C280" t="str">
            <v>LED-A300</v>
          </cell>
          <cell r="G280" t="str">
            <v/>
          </cell>
          <cell r="K280">
            <v>0</v>
          </cell>
          <cell r="L280" t="str">
            <v>旧品加工</v>
          </cell>
          <cell r="O280">
            <v>0</v>
          </cell>
          <cell r="T280" t="str">
            <v>000000000005119</v>
          </cell>
        </row>
        <row r="281">
          <cell r="C281">
            <v>0</v>
          </cell>
          <cell r="G281" t="str">
            <v/>
          </cell>
          <cell r="K281">
            <v>0</v>
          </cell>
          <cell r="L281" t="str">
            <v>持出端材</v>
          </cell>
          <cell r="T281" t="str">
            <v>000000000005119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P282">
            <v>0</v>
          </cell>
          <cell r="T282" t="str">
            <v>000000000005119</v>
          </cell>
        </row>
        <row r="283">
          <cell r="C283" t="str">
            <v>8FL281304 5010　L=888</v>
          </cell>
          <cell r="I283">
            <v>0</v>
          </cell>
          <cell r="J283">
            <v>0</v>
          </cell>
          <cell r="K283">
            <v>0</v>
          </cell>
          <cell r="O283">
            <v>0</v>
          </cell>
          <cell r="T283" t="str">
            <v>000000000005127</v>
          </cell>
        </row>
        <row r="284">
          <cell r="G284" t="str">
            <v/>
          </cell>
          <cell r="I284" t="str">
            <v/>
          </cell>
          <cell r="K284">
            <v>0</v>
          </cell>
          <cell r="O284">
            <v>0</v>
          </cell>
          <cell r="T284" t="str">
            <v>000000000005127</v>
          </cell>
        </row>
        <row r="285">
          <cell r="C285">
            <v>2000</v>
          </cell>
          <cell r="G285" t="str">
            <v/>
          </cell>
          <cell r="K285">
            <v>0</v>
          </cell>
          <cell r="O285">
            <v>0</v>
          </cell>
          <cell r="T285" t="str">
            <v>000000000005127</v>
          </cell>
        </row>
        <row r="286">
          <cell r="G286" t="str">
            <v/>
          </cell>
          <cell r="K286">
            <v>0</v>
          </cell>
          <cell r="O286">
            <v>0</v>
          </cell>
          <cell r="T286" t="str">
            <v>000000000005127</v>
          </cell>
        </row>
        <row r="287">
          <cell r="C287">
            <v>2</v>
          </cell>
          <cell r="G287" t="str">
            <v/>
          </cell>
          <cell r="K287">
            <v>0</v>
          </cell>
          <cell r="O287">
            <v>0</v>
          </cell>
          <cell r="T287" t="str">
            <v>000000000005127</v>
          </cell>
        </row>
        <row r="288">
          <cell r="C288" t="str">
            <v>LED-A888</v>
          </cell>
          <cell r="G288" t="str">
            <v/>
          </cell>
          <cell r="K288">
            <v>0</v>
          </cell>
          <cell r="L288" t="str">
            <v>旧品加工</v>
          </cell>
          <cell r="O288">
            <v>0</v>
          </cell>
          <cell r="T288" t="str">
            <v>000000000005127</v>
          </cell>
        </row>
        <row r="289">
          <cell r="C289">
            <v>0</v>
          </cell>
          <cell r="G289" t="str">
            <v/>
          </cell>
          <cell r="K289">
            <v>0</v>
          </cell>
          <cell r="L289" t="str">
            <v>持出端材</v>
          </cell>
          <cell r="T289" t="str">
            <v>000000000005127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P290">
            <v>0</v>
          </cell>
          <cell r="T290" t="str">
            <v>000000000005127</v>
          </cell>
        </row>
        <row r="291">
          <cell r="C291" t="str">
            <v>8FL281304 5010　L=888</v>
          </cell>
          <cell r="I291">
            <v>0</v>
          </cell>
          <cell r="J291">
            <v>0</v>
          </cell>
          <cell r="K291">
            <v>0</v>
          </cell>
          <cell r="O291">
            <v>0</v>
          </cell>
          <cell r="T291" t="str">
            <v>000000000005128</v>
          </cell>
        </row>
        <row r="292">
          <cell r="G292" t="str">
            <v/>
          </cell>
          <cell r="I292" t="str">
            <v/>
          </cell>
          <cell r="K292">
            <v>0</v>
          </cell>
          <cell r="O292">
            <v>0</v>
          </cell>
          <cell r="T292" t="str">
            <v>000000000005128</v>
          </cell>
        </row>
        <row r="293">
          <cell r="C293">
            <v>1900</v>
          </cell>
          <cell r="G293" t="str">
            <v/>
          </cell>
          <cell r="K293">
            <v>0</v>
          </cell>
          <cell r="O293">
            <v>0</v>
          </cell>
          <cell r="T293" t="str">
            <v>000000000005128</v>
          </cell>
        </row>
        <row r="294">
          <cell r="G294" t="str">
            <v/>
          </cell>
          <cell r="K294">
            <v>0</v>
          </cell>
          <cell r="O294">
            <v>0</v>
          </cell>
          <cell r="T294" t="str">
            <v>000000000005128</v>
          </cell>
        </row>
        <row r="295">
          <cell r="C295">
            <v>2</v>
          </cell>
          <cell r="G295" t="str">
            <v/>
          </cell>
          <cell r="K295">
            <v>0</v>
          </cell>
          <cell r="O295">
            <v>0</v>
          </cell>
          <cell r="T295" t="str">
            <v>000000000005128</v>
          </cell>
        </row>
        <row r="296">
          <cell r="C296" t="str">
            <v>LED-A888</v>
          </cell>
          <cell r="G296" t="str">
            <v/>
          </cell>
          <cell r="K296">
            <v>0</v>
          </cell>
          <cell r="L296" t="str">
            <v>旧品加工</v>
          </cell>
          <cell r="O296">
            <v>0</v>
          </cell>
          <cell r="T296" t="str">
            <v>000000000005128</v>
          </cell>
        </row>
        <row r="297">
          <cell r="C297">
            <v>0</v>
          </cell>
          <cell r="G297" t="str">
            <v/>
          </cell>
          <cell r="K297">
            <v>0</v>
          </cell>
          <cell r="L297" t="str">
            <v>持出端材</v>
          </cell>
          <cell r="T297" t="str">
            <v>000000000005128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P298">
            <v>0</v>
          </cell>
          <cell r="T298" t="str">
            <v>000000000005128</v>
          </cell>
        </row>
        <row r="299">
          <cell r="C299" t="str">
            <v>8FL281304 8310　L=748</v>
          </cell>
          <cell r="I299">
            <v>0</v>
          </cell>
          <cell r="J299">
            <v>0</v>
          </cell>
          <cell r="K299">
            <v>0</v>
          </cell>
          <cell r="O299">
            <v>0</v>
          </cell>
          <cell r="T299" t="str">
            <v>000000000005123</v>
          </cell>
        </row>
        <row r="300">
          <cell r="G300" t="str">
            <v/>
          </cell>
          <cell r="I300" t="str">
            <v/>
          </cell>
          <cell r="K300">
            <v>0</v>
          </cell>
          <cell r="O300">
            <v>0</v>
          </cell>
          <cell r="T300" t="str">
            <v>000000000005123</v>
          </cell>
        </row>
        <row r="301">
          <cell r="C301">
            <v>200</v>
          </cell>
          <cell r="G301" t="str">
            <v/>
          </cell>
          <cell r="K301">
            <v>0</v>
          </cell>
          <cell r="O301">
            <v>0</v>
          </cell>
          <cell r="T301" t="str">
            <v>000000000005123</v>
          </cell>
        </row>
        <row r="302">
          <cell r="G302" t="str">
            <v/>
          </cell>
          <cell r="K302">
            <v>0</v>
          </cell>
          <cell r="O302">
            <v>0</v>
          </cell>
          <cell r="T302" t="str">
            <v>000000000005123</v>
          </cell>
        </row>
        <row r="303">
          <cell r="C303">
            <v>2</v>
          </cell>
          <cell r="G303" t="str">
            <v/>
          </cell>
          <cell r="K303">
            <v>0</v>
          </cell>
          <cell r="O303">
            <v>0</v>
          </cell>
          <cell r="T303" t="str">
            <v>000000000005123</v>
          </cell>
        </row>
        <row r="304">
          <cell r="C304" t="str">
            <v>LED-A888</v>
          </cell>
          <cell r="G304" t="str">
            <v/>
          </cell>
          <cell r="K304">
            <v>0</v>
          </cell>
          <cell r="L304" t="str">
            <v>旧品加工</v>
          </cell>
          <cell r="O304">
            <v>0</v>
          </cell>
          <cell r="T304" t="str">
            <v>000000000005123</v>
          </cell>
        </row>
        <row r="305">
          <cell r="C305">
            <v>0</v>
          </cell>
          <cell r="G305" t="str">
            <v/>
          </cell>
          <cell r="K305">
            <v>0</v>
          </cell>
          <cell r="L305" t="str">
            <v>持出端材</v>
          </cell>
          <cell r="T305" t="str">
            <v>000000000005123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0</v>
          </cell>
          <cell r="P306">
            <v>0</v>
          </cell>
          <cell r="T306" t="str">
            <v>000000000005123</v>
          </cell>
        </row>
        <row r="307">
          <cell r="C307" t="str">
            <v>8FL281304 4910　L=592</v>
          </cell>
          <cell r="I307">
            <v>0</v>
          </cell>
          <cell r="J307">
            <v>0</v>
          </cell>
          <cell r="K307">
            <v>0</v>
          </cell>
          <cell r="O307">
            <v>0</v>
          </cell>
          <cell r="T307" t="str">
            <v>000000000005122</v>
          </cell>
        </row>
        <row r="308">
          <cell r="G308" t="str">
            <v/>
          </cell>
          <cell r="I308" t="str">
            <v/>
          </cell>
          <cell r="K308">
            <v>0</v>
          </cell>
          <cell r="O308">
            <v>0</v>
          </cell>
          <cell r="T308" t="str">
            <v>000000000005122</v>
          </cell>
        </row>
        <row r="309">
          <cell r="C309">
            <v>100</v>
          </cell>
          <cell r="G309" t="str">
            <v/>
          </cell>
          <cell r="K309">
            <v>0</v>
          </cell>
          <cell r="O309">
            <v>0</v>
          </cell>
          <cell r="T309" t="str">
            <v>000000000005122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000000000005122</v>
          </cell>
        </row>
        <row r="311">
          <cell r="C311">
            <v>3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000000000005122</v>
          </cell>
        </row>
        <row r="312">
          <cell r="C312" t="str">
            <v>LED-A592</v>
          </cell>
          <cell r="G312" t="str">
            <v/>
          </cell>
          <cell r="K312">
            <v>0</v>
          </cell>
          <cell r="L312" t="str">
            <v>旧品加工</v>
          </cell>
          <cell r="O312">
            <v>0</v>
          </cell>
          <cell r="T312" t="str">
            <v>000000000005122</v>
          </cell>
        </row>
        <row r="313">
          <cell r="C313">
            <v>0</v>
          </cell>
          <cell r="G313" t="str">
            <v/>
          </cell>
          <cell r="K313">
            <v>0</v>
          </cell>
          <cell r="L313" t="str">
            <v>持出端材</v>
          </cell>
          <cell r="T313" t="str">
            <v>000000000005122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P314">
            <v>0</v>
          </cell>
          <cell r="T314" t="str">
            <v>000000000005122</v>
          </cell>
        </row>
        <row r="315">
          <cell r="C315" t="str">
            <v>8FL281304 8110　L=444</v>
          </cell>
          <cell r="I315">
            <v>0</v>
          </cell>
          <cell r="J315">
            <v>0</v>
          </cell>
          <cell r="K315">
            <v>0</v>
          </cell>
          <cell r="O315">
            <v>0</v>
          </cell>
          <cell r="T315" t="str">
            <v>000000000005120</v>
          </cell>
        </row>
        <row r="316">
          <cell r="G316" t="str">
            <v/>
          </cell>
          <cell r="I316" t="str">
            <v/>
          </cell>
          <cell r="K316">
            <v>0</v>
          </cell>
          <cell r="O316">
            <v>0</v>
          </cell>
          <cell r="T316" t="str">
            <v>000000000005120</v>
          </cell>
        </row>
        <row r="317">
          <cell r="C317">
            <v>100</v>
          </cell>
          <cell r="G317" t="str">
            <v/>
          </cell>
          <cell r="K317">
            <v>0</v>
          </cell>
          <cell r="O317">
            <v>0</v>
          </cell>
          <cell r="T317" t="str">
            <v>000000000005120</v>
          </cell>
        </row>
        <row r="318">
          <cell r="G318" t="str">
            <v/>
          </cell>
          <cell r="K318">
            <v>0</v>
          </cell>
          <cell r="O318">
            <v>0</v>
          </cell>
          <cell r="T318" t="str">
            <v>000000000005120</v>
          </cell>
        </row>
        <row r="319">
          <cell r="C319">
            <v>4</v>
          </cell>
          <cell r="G319" t="str">
            <v/>
          </cell>
          <cell r="K319">
            <v>0</v>
          </cell>
          <cell r="O319">
            <v>0</v>
          </cell>
          <cell r="T319" t="str">
            <v>000000000005120</v>
          </cell>
        </row>
        <row r="320">
          <cell r="C320" t="str">
            <v>LED-A444</v>
          </cell>
          <cell r="G320" t="str">
            <v/>
          </cell>
          <cell r="K320">
            <v>0</v>
          </cell>
          <cell r="L320" t="str">
            <v>旧品加工</v>
          </cell>
          <cell r="O320">
            <v>0</v>
          </cell>
          <cell r="T320" t="str">
            <v>000000000005120</v>
          </cell>
        </row>
        <row r="321">
          <cell r="C321">
            <v>0</v>
          </cell>
          <cell r="G321" t="str">
            <v/>
          </cell>
          <cell r="K321">
            <v>0</v>
          </cell>
          <cell r="L321" t="str">
            <v>持出端材</v>
          </cell>
          <cell r="T321" t="str">
            <v>000000000005120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0</v>
          </cell>
          <cell r="P322">
            <v>0</v>
          </cell>
          <cell r="T322" t="str">
            <v>000000000005120</v>
          </cell>
        </row>
        <row r="323">
          <cell r="C323" t="str">
            <v>採光ルーバーパネルB　L=1996</v>
          </cell>
          <cell r="I323">
            <v>0</v>
          </cell>
          <cell r="J323">
            <v>0</v>
          </cell>
          <cell r="K323">
            <v>0</v>
          </cell>
          <cell r="O323">
            <v>0</v>
          </cell>
          <cell r="T323" t="str">
            <v>000000000005330-2</v>
          </cell>
        </row>
        <row r="324">
          <cell r="G324" t="str">
            <v/>
          </cell>
          <cell r="I324" t="str">
            <v/>
          </cell>
          <cell r="K324">
            <v>0</v>
          </cell>
          <cell r="O324">
            <v>0</v>
          </cell>
          <cell r="T324" t="str">
            <v>000000000005330-2</v>
          </cell>
        </row>
        <row r="325">
          <cell r="C325">
            <v>756</v>
          </cell>
          <cell r="G325" t="str">
            <v/>
          </cell>
          <cell r="K325">
            <v>0</v>
          </cell>
          <cell r="O325">
            <v>0</v>
          </cell>
          <cell r="T325" t="str">
            <v>000000000005330-2</v>
          </cell>
        </row>
        <row r="326">
          <cell r="G326" t="str">
            <v/>
          </cell>
          <cell r="K326">
            <v>0</v>
          </cell>
          <cell r="O326">
            <v>0</v>
          </cell>
          <cell r="T326" t="str">
            <v>000000000005330-2</v>
          </cell>
        </row>
        <row r="327">
          <cell r="C327">
            <v>1</v>
          </cell>
          <cell r="G327" t="str">
            <v/>
          </cell>
          <cell r="K327">
            <v>0</v>
          </cell>
          <cell r="O327">
            <v>0</v>
          </cell>
          <cell r="T327" t="str">
            <v>000000000005330-2</v>
          </cell>
        </row>
        <row r="328">
          <cell r="C328" t="str">
            <v>上-1</v>
          </cell>
          <cell r="G328" t="str">
            <v/>
          </cell>
          <cell r="K328">
            <v>0</v>
          </cell>
          <cell r="L328" t="str">
            <v>旧品加工</v>
          </cell>
          <cell r="O328">
            <v>0</v>
          </cell>
          <cell r="T328" t="str">
            <v>000000000005330-2</v>
          </cell>
        </row>
        <row r="329">
          <cell r="C329">
            <v>0</v>
          </cell>
          <cell r="G329" t="str">
            <v/>
          </cell>
          <cell r="K329">
            <v>0</v>
          </cell>
          <cell r="L329" t="str">
            <v>持出端材</v>
          </cell>
          <cell r="T329" t="str">
            <v>000000000005330-2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0</v>
          </cell>
          <cell r="P330">
            <v>0</v>
          </cell>
          <cell r="T330" t="str">
            <v>000000000005330-2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B1" t="str">
            <v>品名</v>
          </cell>
        </row>
        <row r="2">
          <cell r="A2" t="str">
            <v>J1JAZZB05412100</v>
          </cell>
          <cell r="B2" t="str">
            <v>黒板灯ﾌﾟﾘｽﾞﾑｶﾊﾞｰ　L=1210</v>
          </cell>
        </row>
        <row r="3">
          <cell r="A3" t="str">
            <v>J1JAZZB07012100</v>
          </cell>
          <cell r="B3" t="str">
            <v>ｺﾝﾌｫｰﾄ用ﾌﾟﾘｽﾞﾑｶﾊﾞｰL1210</v>
          </cell>
        </row>
        <row r="4">
          <cell r="A4" t="str">
            <v>J1JAZZB10802970</v>
          </cell>
          <cell r="B4" t="str">
            <v>8FL281304 4810　L=297</v>
          </cell>
        </row>
        <row r="5">
          <cell r="A5" t="str">
            <v>J1JAZZB10804440</v>
          </cell>
          <cell r="B5" t="str">
            <v>8FL281304 8110　L=444</v>
          </cell>
        </row>
        <row r="6">
          <cell r="A6" t="str">
            <v>J1JAZZB10805920</v>
          </cell>
          <cell r="B6" t="str">
            <v>8FL281304 4910　L=592</v>
          </cell>
        </row>
        <row r="7">
          <cell r="A7" t="str">
            <v>J1JAZZB10807480</v>
          </cell>
          <cell r="B7" t="str">
            <v>8FL281304 8310　L=748</v>
          </cell>
        </row>
        <row r="8">
          <cell r="A8" t="str">
            <v>J1JAZZB10808880</v>
          </cell>
          <cell r="B8" t="str">
            <v>8FL281304 5010　L=888</v>
          </cell>
        </row>
        <row r="9">
          <cell r="A9" t="str">
            <v>J1JAZZB10811830</v>
          </cell>
          <cell r="B9" t="str">
            <v>8FL281304 5110　L=1183</v>
          </cell>
        </row>
        <row r="10">
          <cell r="A10" t="str">
            <v>J1JAZZB10813290</v>
          </cell>
          <cell r="B10" t="str">
            <v>8FL281304 8010　L=1329</v>
          </cell>
        </row>
        <row r="11">
          <cell r="A11" t="str">
            <v>J1JAZZB10814780</v>
          </cell>
          <cell r="B11" t="str">
            <v>8FL281304 6110　L=1478</v>
          </cell>
        </row>
        <row r="12">
          <cell r="A12" t="str">
            <v>J1JAZZB11805920</v>
          </cell>
          <cell r="B12" t="str">
            <v>8FL281304 4920　L=592　クリア</v>
          </cell>
        </row>
        <row r="13">
          <cell r="A13" t="str">
            <v>J1JAZZB11808880</v>
          </cell>
          <cell r="B13" t="str">
            <v>8FL281304 5020　L=888　クリア</v>
          </cell>
        </row>
        <row r="14">
          <cell r="A14" t="str">
            <v>J1JAZZB11811830</v>
          </cell>
          <cell r="B14" t="str">
            <v>8FL281304 5120　L=1183　クリア</v>
          </cell>
        </row>
        <row r="15">
          <cell r="A15" t="str">
            <v>J1JAZZB11814780</v>
          </cell>
          <cell r="B15" t="str">
            <v>8FL281304 6120　L=1478　クリア</v>
          </cell>
        </row>
        <row r="16">
          <cell r="A16" t="str">
            <v>J1JAZZB05605540</v>
          </cell>
          <cell r="B16" t="str">
            <v>ランプシェード　SL-600</v>
          </cell>
        </row>
        <row r="17">
          <cell r="A17" t="str">
            <v>J1JAZZB11411920</v>
          </cell>
          <cell r="B17" t="str">
            <v>NNN33000W</v>
          </cell>
        </row>
        <row r="18">
          <cell r="A18" t="str">
            <v>J1JAZZB11311920</v>
          </cell>
          <cell r="B18" t="str">
            <v>NNN35000W</v>
          </cell>
        </row>
        <row r="19">
          <cell r="A19" t="str">
            <v>J1JAZZB12514780</v>
          </cell>
          <cell r="B19" t="str">
            <v>NNN36500-3</v>
          </cell>
        </row>
        <row r="20">
          <cell r="A20" t="str">
            <v>J1JAZZB12511870</v>
          </cell>
          <cell r="B20" t="str">
            <v>NNN36500-3-2</v>
          </cell>
        </row>
        <row r="21">
          <cell r="A21" t="str">
            <v>J1JAZZB12508870</v>
          </cell>
          <cell r="B21" t="str">
            <v>NNN36500-3-3</v>
          </cell>
        </row>
        <row r="22">
          <cell r="A22" t="str">
            <v>J1JAZZB12505960</v>
          </cell>
          <cell r="B22" t="str">
            <v>NNN36500-3-4</v>
          </cell>
        </row>
        <row r="23">
          <cell r="A23" t="str">
            <v>J1ZAFJB00219660</v>
          </cell>
          <cell r="B23" t="str">
            <v>灯具カバーPC IN 2070　L=1966</v>
          </cell>
        </row>
        <row r="24">
          <cell r="A24" t="str">
            <v>J1ZAFJB00219230</v>
          </cell>
          <cell r="B24" t="str">
            <v>灯具カバーPC IN 2100　L=1923</v>
          </cell>
        </row>
        <row r="25">
          <cell r="A25" t="str">
            <v>J1ZAFJB00218150</v>
          </cell>
          <cell r="B25" t="str">
            <v>灯具カバーPC IN 2110　L=1815</v>
          </cell>
        </row>
        <row r="26">
          <cell r="A26" t="str">
            <v>J1ZAFJB00215400</v>
          </cell>
          <cell r="B26" t="str">
            <v>灯具カバーPC IN 2080　L=1540</v>
          </cell>
        </row>
        <row r="27">
          <cell r="A27" t="str">
            <v>J1ZAFJB00212585</v>
          </cell>
          <cell r="B27" t="str">
            <v>灯具カバーPC IN 2060　L=1258.5</v>
          </cell>
        </row>
        <row r="28">
          <cell r="A28" t="str">
            <v>J1ZAFJB00211835</v>
          </cell>
          <cell r="B28" t="str">
            <v>灯具カバーPC IN 2050　L=1183.5</v>
          </cell>
        </row>
        <row r="29">
          <cell r="A29" t="str">
            <v>J1ZAFJB00209080</v>
          </cell>
          <cell r="B29" t="str">
            <v>灯具カバーPC IN 2130　L=908</v>
          </cell>
        </row>
        <row r="30">
          <cell r="A30" t="str">
            <v>J1ZAFJB00208400</v>
          </cell>
          <cell r="B30" t="str">
            <v>灯具カバーPC IN 2090　L=840</v>
          </cell>
        </row>
        <row r="31">
          <cell r="A31" t="str">
            <v>J1ZAFJB00205470</v>
          </cell>
          <cell r="B31" t="str">
            <v>灯具カバーPC IN 2140　L=547</v>
          </cell>
        </row>
        <row r="32">
          <cell r="A32" t="str">
            <v>J1ZAFJB00212640</v>
          </cell>
          <cell r="B32" t="str">
            <v>灯具カバーPC IN 2490　L=1264</v>
          </cell>
        </row>
        <row r="33">
          <cell r="A33" t="str">
            <v>J1ZAFJB00212380</v>
          </cell>
          <cell r="B33" t="str">
            <v>灯具カバーPC IN 2500　L=1238</v>
          </cell>
        </row>
        <row r="34">
          <cell r="A34" t="str">
            <v>J1ZAFJB00212910</v>
          </cell>
          <cell r="B34" t="str">
            <v>灯具カバーPC IN 2460　L=1291</v>
          </cell>
        </row>
        <row r="35">
          <cell r="A35" t="str">
            <v>J1ZAFJB00216480</v>
          </cell>
          <cell r="B35" t="str">
            <v>灯具カバーPC IN 2470　L=1648</v>
          </cell>
        </row>
        <row r="36">
          <cell r="A36" t="str">
            <v>J1ZAFJB00209540</v>
          </cell>
          <cell r="B36" t="str">
            <v>灯具カバーPC IN 2480　L=954</v>
          </cell>
        </row>
        <row r="37">
          <cell r="A37" t="str">
            <v>J1ZAFJB00113340</v>
          </cell>
          <cell r="B37" t="str">
            <v>灯具カバーPC  　7520    L=1334</v>
          </cell>
        </row>
        <row r="38">
          <cell r="A38" t="str">
            <v>J1ZAFJB00113095</v>
          </cell>
          <cell r="B38" t="str">
            <v>灯具カバーPC  　2180    L=1309.5</v>
          </cell>
        </row>
        <row r="39">
          <cell r="A39" t="str">
            <v>J1ZAFJB00112790</v>
          </cell>
          <cell r="B39" t="str">
            <v>灯具カバーPC  　2170    L=1279</v>
          </cell>
        </row>
        <row r="40">
          <cell r="A40" t="str">
            <v>J1ZAFJB00112400</v>
          </cell>
          <cell r="B40" t="str">
            <v>灯具カバーPC  　2190    L=1240</v>
          </cell>
        </row>
        <row r="41">
          <cell r="A41" t="str">
            <v>J1ZAFJB00106133</v>
          </cell>
          <cell r="B41" t="str">
            <v>灯具カバーPC  　2160    L=613.3</v>
          </cell>
        </row>
        <row r="42">
          <cell r="A42" t="str">
            <v>J1ZAFJB00105650</v>
          </cell>
          <cell r="B42" t="str">
            <v>灯具カバーPC  　7530    L=565</v>
          </cell>
        </row>
        <row r="43">
          <cell r="A43" t="str">
            <v>J1ZAFJB00102218</v>
          </cell>
          <cell r="B43" t="str">
            <v>灯具カバーPC  　2200    L=221.8</v>
          </cell>
        </row>
        <row r="44">
          <cell r="A44" t="str">
            <v>zz002</v>
          </cell>
          <cell r="B44" t="str">
            <v>灯具カバーPC  　特注　 L=669</v>
          </cell>
        </row>
        <row r="45">
          <cell r="A45" t="str">
            <v>zz001</v>
          </cell>
          <cell r="B45" t="str">
            <v>灯具カバーPC  　特注　 L=503</v>
          </cell>
        </row>
        <row r="46">
          <cell r="A46" t="str">
            <v>J1JAPAB00319960</v>
          </cell>
          <cell r="B46" t="str">
            <v>採光ルーバーパネルA　L=1996</v>
          </cell>
        </row>
        <row r="47">
          <cell r="A47" t="str">
            <v>J1JAPAB00419960</v>
          </cell>
          <cell r="B47" t="str">
            <v>採光ルーバーパネルB　L=1996</v>
          </cell>
        </row>
        <row r="48">
          <cell r="A48" t="str">
            <v>J1AKZYB00205000</v>
          </cell>
          <cell r="B48" t="str">
            <v>PK-59827 L=500</v>
          </cell>
        </row>
        <row r="49">
          <cell r="A49" t="str">
            <v>J1AKZYB00207000</v>
          </cell>
          <cell r="B49" t="str">
            <v>PK-59827 L=700</v>
          </cell>
        </row>
        <row r="50">
          <cell r="A50" t="str">
            <v>J1EAZZB03102750</v>
          </cell>
          <cell r="B50" t="str">
            <v>ハーネスガイド部材　L=275</v>
          </cell>
        </row>
        <row r="51">
          <cell r="A51" t="str">
            <v>J1AAEDB00825740</v>
          </cell>
          <cell r="B51" t="str">
            <v>MDP-689B L4　L=2574</v>
          </cell>
        </row>
        <row r="52">
          <cell r="A52" t="str">
            <v>J1AAEDB02825740</v>
          </cell>
          <cell r="B52" t="str">
            <v>MDPQ-689B L4 　L=2574　　</v>
          </cell>
        </row>
        <row r="53">
          <cell r="A53" t="str">
            <v>J1AAEDB00816080</v>
          </cell>
          <cell r="B53" t="str">
            <v>MDP-689B L1　L=1608</v>
          </cell>
        </row>
        <row r="54">
          <cell r="A54" t="str">
            <v>J1AAEDB00816620</v>
          </cell>
          <cell r="B54" t="str">
            <v>MDP-689B L2　L=1662</v>
          </cell>
        </row>
        <row r="55">
          <cell r="A55" t="str">
            <v>J1AAEDB02816080</v>
          </cell>
          <cell r="B55" t="str">
            <v>MDPQ-689B L1　L=1608</v>
          </cell>
        </row>
        <row r="56">
          <cell r="A56" t="str">
            <v>J1AAEDB02816620</v>
          </cell>
          <cell r="B56" t="str">
            <v>MDPQ-689B L2　L=1662</v>
          </cell>
        </row>
        <row r="57">
          <cell r="A57" t="str">
            <v>J1AAEDB01716040</v>
          </cell>
          <cell r="B57" t="str">
            <v>MDP-688A L1　L=1604</v>
          </cell>
        </row>
        <row r="58">
          <cell r="A58" t="str">
            <v>J1AAEDB01716580</v>
          </cell>
          <cell r="B58" t="str">
            <v>MDP-688A L2　L=1658</v>
          </cell>
        </row>
        <row r="59">
          <cell r="A59" t="str">
            <v>J1AAEDB02516040</v>
          </cell>
          <cell r="B59" t="str">
            <v>MDPQ-688A L1　L=1604</v>
          </cell>
        </row>
        <row r="60">
          <cell r="A60" t="str">
            <v>J1AAEDB02516580</v>
          </cell>
          <cell r="B60" t="str">
            <v>MDPQ-688A L2　L=1658</v>
          </cell>
        </row>
        <row r="61">
          <cell r="A61" t="str">
            <v>J1AAEZB00705860</v>
          </cell>
          <cell r="B61" t="str">
            <v>SRG-60D　L=586</v>
          </cell>
        </row>
        <row r="62">
          <cell r="A62" t="str">
            <v>J1AAEZB00708860</v>
          </cell>
          <cell r="B62" t="str">
            <v>SRG-90D　L=860</v>
          </cell>
        </row>
        <row r="63">
          <cell r="A63" t="str">
            <v>J1AAEZB00805860</v>
          </cell>
          <cell r="B63" t="str">
            <v>SRG-60U　L=586</v>
          </cell>
        </row>
        <row r="64">
          <cell r="A64" t="str">
            <v>J1AAEZB00808860</v>
          </cell>
          <cell r="B64" t="str">
            <v>SRG-90U　L=860</v>
          </cell>
        </row>
        <row r="65">
          <cell r="A65" t="str">
            <v>J1DAEZB00203000</v>
          </cell>
          <cell r="B65" t="str">
            <v>ﾃﾝｹﾝｺｳ(上)　L=300</v>
          </cell>
        </row>
        <row r="66">
          <cell r="A66" t="str">
            <v>J1DAEZB00204980</v>
          </cell>
          <cell r="B66" t="str">
            <v>ﾃﾝｹﾝｺｳ(上)　L=498</v>
          </cell>
        </row>
        <row r="67">
          <cell r="A67" t="str">
            <v>J1DAEZB00211680</v>
          </cell>
          <cell r="B67" t="str">
            <v>ﾃﾝｹﾝｺｳ(上)　L=1168</v>
          </cell>
        </row>
        <row r="68">
          <cell r="A68" t="str">
            <v>J1EAFZB02008740</v>
          </cell>
          <cell r="B68" t="str">
            <v>ﾏｴｶﾊﾞｰ(17F09810A)　L=874</v>
          </cell>
        </row>
        <row r="69">
          <cell r="A69" t="str">
            <v>J1EAFZB02011840</v>
          </cell>
          <cell r="B69" t="str">
            <v>ﾏｴｶﾊﾞｰ(17F09810B)　L=1184</v>
          </cell>
        </row>
        <row r="70">
          <cell r="A70" t="str">
            <v>J1EAFZB02014940</v>
          </cell>
          <cell r="B70" t="str">
            <v>ﾏｴｶﾊﾞｰ(17F09810C)　L=1494</v>
          </cell>
        </row>
        <row r="71">
          <cell r="A71" t="str">
            <v>J1AAEDB01725700</v>
          </cell>
          <cell r="B71" t="str">
            <v>MDP-688A L4　L=2570</v>
          </cell>
        </row>
        <row r="72">
          <cell r="A72" t="str">
            <v>J1AAEDB02525700</v>
          </cell>
          <cell r="B72" t="str">
            <v>MDPQ-688A L4　L=2570</v>
          </cell>
        </row>
        <row r="73">
          <cell r="A73" t="str">
            <v>J1DAFZB00105500</v>
          </cell>
          <cell r="B73" t="str">
            <v>照明ｶﾊﾞｰS15　L=550</v>
          </cell>
        </row>
        <row r="74">
          <cell r="A74" t="str">
            <v>J1DAFZB00105604</v>
          </cell>
          <cell r="B74" t="str">
            <v>照明ｶﾊﾞｰS　L=560.4</v>
          </cell>
        </row>
        <row r="75">
          <cell r="A75" t="str">
            <v>J1DAFZB00108200</v>
          </cell>
          <cell r="B75" t="str">
            <v>照明ｶﾊﾞｰL15　L=820</v>
          </cell>
        </row>
        <row r="76">
          <cell r="A76" t="str">
            <v>J1DAFZB00108304</v>
          </cell>
          <cell r="B76" t="str">
            <v>照明ｶﾊﾞｰL　L=830.4</v>
          </cell>
        </row>
        <row r="77">
          <cell r="A77" t="str">
            <v>J1ECZZB00110180</v>
          </cell>
          <cell r="B77" t="str">
            <v>L型ｱﾝｸﾞﾙ　P-VH-A　L=1018</v>
          </cell>
        </row>
        <row r="78">
          <cell r="A78" t="str">
            <v>J1ECZZB00105300</v>
          </cell>
          <cell r="B78" t="str">
            <v>L型ｱﾝｸﾞﾙ　P-VH-C　L=530</v>
          </cell>
        </row>
        <row r="79">
          <cell r="A79" t="str">
            <v>J1ECZZB00106000</v>
          </cell>
          <cell r="B79" t="str">
            <v>L型ｱﾝｸﾞﾙ　P-VH-E　L=600</v>
          </cell>
        </row>
        <row r="80">
          <cell r="A80" t="str">
            <v>J1ECZZB00105200</v>
          </cell>
          <cell r="B80" t="str">
            <v>L型ｱﾝｸﾞﾙ　P-VH-42D　L=520</v>
          </cell>
        </row>
        <row r="81">
          <cell r="A81" t="str">
            <v>J1ECZZB00106900</v>
          </cell>
          <cell r="B81" t="str">
            <v>L型ｱﾝｸﾞﾙ　P-VH-56D　L=690</v>
          </cell>
        </row>
        <row r="82">
          <cell r="A82" t="str">
            <v>J1ECZZB00104200</v>
          </cell>
          <cell r="B82" t="str">
            <v>L型ｱﾝｸﾞﾙ　WT-28B　L=420</v>
          </cell>
        </row>
        <row r="83">
          <cell r="A83" t="str">
            <v>J1ECZZB00105900</v>
          </cell>
          <cell r="B83" t="str">
            <v>L型ｱﾝｸﾞﾙ　WT-42B　L=590</v>
          </cell>
        </row>
        <row r="84">
          <cell r="A84" t="str">
            <v>J1ECZZB00107600</v>
          </cell>
          <cell r="B84" t="str">
            <v>L型ｱﾝｸﾞﾙ　WT-56B　L=760</v>
          </cell>
        </row>
        <row r="85">
          <cell r="A85" t="str">
            <v>J1AAFAB01107305</v>
          </cell>
          <cell r="B85" t="str">
            <v>GA-770 BK(BD)　L=730.5</v>
          </cell>
        </row>
        <row r="86">
          <cell r="A86" t="str">
            <v>J1AAFAB01107455</v>
          </cell>
          <cell r="B86" t="str">
            <v>GA-770 BK(BD)　L=745.5</v>
          </cell>
        </row>
        <row r="87">
          <cell r="A87" t="str">
            <v>J1AAFAB01207305</v>
          </cell>
          <cell r="B87" t="str">
            <v>GA-770 BR　L=730.5</v>
          </cell>
        </row>
        <row r="88">
          <cell r="A88" t="str">
            <v>J1AAFAB01207455</v>
          </cell>
          <cell r="B88" t="str">
            <v>GA-770 BR　L=745.5</v>
          </cell>
        </row>
        <row r="89">
          <cell r="A89" t="str">
            <v>J1AAFAB02204090</v>
          </cell>
          <cell r="B89" t="str">
            <v>WD3104A KC L=409</v>
          </cell>
        </row>
        <row r="90">
          <cell r="A90" t="str">
            <v>J1AAFAB02205005</v>
          </cell>
          <cell r="B90" t="str">
            <v>WD3104A KC　L=500.5</v>
          </cell>
        </row>
        <row r="91">
          <cell r="A91" t="str">
            <v>J1AAFAB02304090</v>
          </cell>
          <cell r="B91" t="str">
            <v>WD3104A BK　L=409</v>
          </cell>
        </row>
        <row r="92">
          <cell r="A92" t="str">
            <v>J1AAFAB02305005</v>
          </cell>
          <cell r="B92" t="str">
            <v>WD3104A BR(BK)　L=500.5</v>
          </cell>
        </row>
        <row r="93">
          <cell r="A93" t="str">
            <v>J1AAFAB02309000</v>
          </cell>
          <cell r="B93" t="str">
            <v>WD3104A BR(BK)　L=900</v>
          </cell>
        </row>
        <row r="94">
          <cell r="A94" t="str">
            <v>J1AAFAB02306890</v>
          </cell>
          <cell r="B94" t="str">
            <v>WD3104A BR(BK)　L=689</v>
          </cell>
        </row>
        <row r="95">
          <cell r="A95" t="str">
            <v>J1ZFAAB00203360</v>
          </cell>
          <cell r="B95" t="str">
            <v>GA9344/PYTB554K　L=336</v>
          </cell>
        </row>
        <row r="96">
          <cell r="A96" t="str">
            <v>J1ZFAAB00203860</v>
          </cell>
          <cell r="B96" t="str">
            <v>GA9344/PYTB554K　L=386</v>
          </cell>
        </row>
        <row r="97">
          <cell r="A97" t="str">
            <v>J1HFHBB01407100</v>
          </cell>
          <cell r="B97" t="str">
            <v>ｼﾞｮｲﾝﾄﾁｭ-ﾌﾞ5号　L=710</v>
          </cell>
        </row>
        <row r="98">
          <cell r="A98" t="str">
            <v>J1HFHBB01603400</v>
          </cell>
          <cell r="B98" t="str">
            <v>ｼﾞｮｲﾝﾄﾁｭ-ﾌﾞ2号　L=340</v>
          </cell>
        </row>
        <row r="99">
          <cell r="A99" t="str">
            <v>J1HFHBB01704200</v>
          </cell>
          <cell r="B99" t="str">
            <v>ｼﾞｮｲﾝﾄﾁｭ-ﾌﾞ3号　L=420</v>
          </cell>
        </row>
        <row r="100">
          <cell r="A100" t="str">
            <v>J1HFHBB01802500</v>
          </cell>
          <cell r="B100" t="str">
            <v>ｼﾞｮｲﾝﾄﾁｭ-ﾌﾞ1号　L=250</v>
          </cell>
        </row>
        <row r="101">
          <cell r="A101" t="str">
            <v>J1AKACB01901980</v>
          </cell>
          <cell r="B101" t="str">
            <v>991HDP　198</v>
          </cell>
        </row>
        <row r="102">
          <cell r="A102" t="str">
            <v>J1AKACB02002640</v>
          </cell>
          <cell r="B102" t="str">
            <v>991GPK　264</v>
          </cell>
        </row>
        <row r="103">
          <cell r="A103" t="str">
            <v>J1AKACB02002680</v>
          </cell>
          <cell r="B103" t="str">
            <v>991GPK　268</v>
          </cell>
        </row>
        <row r="104">
          <cell r="A104" t="str">
            <v>J1AKACB02004140</v>
          </cell>
          <cell r="B104" t="str">
            <v>991GPK　414</v>
          </cell>
        </row>
        <row r="105">
          <cell r="A105" t="str">
            <v>J1AKACB02004180</v>
          </cell>
          <cell r="B105" t="str">
            <v>991GPK　418</v>
          </cell>
        </row>
        <row r="106">
          <cell r="A106" t="str">
            <v>J1AKACB02005650</v>
          </cell>
          <cell r="B106" t="str">
            <v>991GPK　565</v>
          </cell>
        </row>
        <row r="107">
          <cell r="A107" t="str">
            <v>J1AKACB02005680</v>
          </cell>
          <cell r="B107" t="str">
            <v>991GPK　568</v>
          </cell>
        </row>
        <row r="108">
          <cell r="A108" t="str">
            <v>J1AKACB02007150</v>
          </cell>
          <cell r="B108" t="str">
            <v>991GPK　715</v>
          </cell>
        </row>
        <row r="109">
          <cell r="A109" t="str">
            <v>J1AKACB02007180</v>
          </cell>
          <cell r="B109" t="str">
            <v>991GPK　718</v>
          </cell>
        </row>
        <row r="110">
          <cell r="A110" t="str">
            <v>J1AKACB02008650</v>
          </cell>
          <cell r="B110" t="str">
            <v>991GPK　865</v>
          </cell>
        </row>
        <row r="111">
          <cell r="A111" t="str">
            <v>J1AKACB02008680</v>
          </cell>
          <cell r="B111" t="str">
            <v>991GPK　868</v>
          </cell>
        </row>
        <row r="112">
          <cell r="A112" t="str">
            <v>J1AKACB02010150</v>
          </cell>
          <cell r="B112" t="str">
            <v>991GPK　1015</v>
          </cell>
        </row>
        <row r="113">
          <cell r="A113" t="str">
            <v>J1AKACB02010180</v>
          </cell>
          <cell r="B113" t="str">
            <v>991GPK　1018</v>
          </cell>
        </row>
        <row r="114">
          <cell r="A114" t="str">
            <v>J1AKACB03502640</v>
          </cell>
          <cell r="B114" t="str">
            <v>752GPSB　265</v>
          </cell>
        </row>
        <row r="115">
          <cell r="A115" t="str">
            <v>J1AKACB03504140</v>
          </cell>
          <cell r="B115" t="str">
            <v>752GPSB　415</v>
          </cell>
        </row>
        <row r="116">
          <cell r="A116" t="str">
            <v>J1AKACB03505640</v>
          </cell>
          <cell r="B116" t="str">
            <v>752GPSB　565</v>
          </cell>
        </row>
        <row r="117">
          <cell r="A117" t="str">
            <v>J1AKACB03506640</v>
          </cell>
          <cell r="B117" t="str">
            <v>752GPSB　665</v>
          </cell>
        </row>
        <row r="118">
          <cell r="A118" t="str">
            <v>J1AKACB03507140</v>
          </cell>
          <cell r="B118" t="str">
            <v>752GPSB　715</v>
          </cell>
        </row>
        <row r="119">
          <cell r="A119" t="str">
            <v>J1AKACB03508640</v>
          </cell>
          <cell r="B119" t="str">
            <v>752GPSB　865</v>
          </cell>
        </row>
        <row r="120">
          <cell r="A120" t="str">
            <v>J1EKACB10604140</v>
          </cell>
          <cell r="B120" t="str">
            <v>003GPDG　414</v>
          </cell>
        </row>
        <row r="121">
          <cell r="A121" t="str">
            <v>J1EKACB20305190</v>
          </cell>
          <cell r="B121" t="str">
            <v>002EGAW　519</v>
          </cell>
        </row>
        <row r="122">
          <cell r="A122" t="str">
            <v>J1EKACB20306310</v>
          </cell>
          <cell r="B122" t="str">
            <v>002EGAW　631</v>
          </cell>
        </row>
        <row r="123">
          <cell r="A123" t="str">
            <v>J1EKACB01302040</v>
          </cell>
          <cell r="B123" t="str">
            <v>002EGDG　204</v>
          </cell>
        </row>
        <row r="124">
          <cell r="A124" t="str">
            <v>J1EKACB20802690</v>
          </cell>
          <cell r="B124" t="str">
            <v>051GPW　269(ｽﾀ)　</v>
          </cell>
        </row>
        <row r="125">
          <cell r="A125" t="str">
            <v>J1EKACB20804190</v>
          </cell>
          <cell r="B125" t="str">
            <v>051GPW　419(ｽﾀ)</v>
          </cell>
        </row>
        <row r="126">
          <cell r="A126" t="str">
            <v>J1EKACB20805670</v>
          </cell>
          <cell r="B126" t="str">
            <v>051GPW　567(ｽﾀ)</v>
          </cell>
        </row>
        <row r="127">
          <cell r="A127" t="str">
            <v>J1EKACB20805690</v>
          </cell>
          <cell r="B127" t="str">
            <v>051GPW　569</v>
          </cell>
        </row>
        <row r="128">
          <cell r="A128" t="str">
            <v>J1EKACB20807150</v>
          </cell>
          <cell r="B128" t="str">
            <v>051GPW　715</v>
          </cell>
        </row>
        <row r="129">
          <cell r="A129" t="str">
            <v>J1EKACB20807190</v>
          </cell>
          <cell r="B129" t="str">
            <v>051GPW　719</v>
          </cell>
        </row>
        <row r="130">
          <cell r="A130" t="str">
            <v>J1EKACB20808680</v>
          </cell>
          <cell r="B130" t="str">
            <v>051GPW　868</v>
          </cell>
        </row>
        <row r="131">
          <cell r="A131" t="str">
            <v>J1EKACB20810140</v>
          </cell>
          <cell r="B131" t="str">
            <v>051GPW　1014</v>
          </cell>
        </row>
        <row r="132">
          <cell r="A132" t="str">
            <v>J1EKACB20810180</v>
          </cell>
          <cell r="B132" t="str">
            <v>051GPW　1018</v>
          </cell>
        </row>
        <row r="133">
          <cell r="A133" t="str">
            <v>J1EKACB20811640</v>
          </cell>
          <cell r="B133" t="str">
            <v>051GPW　1164</v>
          </cell>
        </row>
        <row r="134">
          <cell r="A134" t="str">
            <v>J1EKACB22204150</v>
          </cell>
          <cell r="B134" t="str">
            <v>001EGAW　415</v>
          </cell>
        </row>
        <row r="135">
          <cell r="A135" t="str">
            <v>J1EKACB22205080</v>
          </cell>
          <cell r="B135" t="str">
            <v>001EGAW　508</v>
          </cell>
        </row>
        <row r="136">
          <cell r="A136" t="str">
            <v>J1EKACB22205650</v>
          </cell>
          <cell r="B136" t="str">
            <v>001EGAW　565</v>
          </cell>
        </row>
        <row r="137">
          <cell r="A137" t="str">
            <v>J1EKACB22206330</v>
          </cell>
          <cell r="B137" t="str">
            <v>001EGAW　633</v>
          </cell>
        </row>
        <row r="138">
          <cell r="A138" t="str">
            <v>J1EKACB22206520</v>
          </cell>
          <cell r="B138" t="str">
            <v>001EGAW　652</v>
          </cell>
        </row>
        <row r="139">
          <cell r="A139" t="str">
            <v>J1EKACB22206650</v>
          </cell>
          <cell r="B139" t="str">
            <v>001EGAW　665</v>
          </cell>
        </row>
        <row r="140">
          <cell r="A140" t="str">
            <v>J1EKACB22207150</v>
          </cell>
          <cell r="B140" t="str">
            <v>001EGAW　715</v>
          </cell>
        </row>
        <row r="141">
          <cell r="A141" t="str">
            <v>J1AAFAB01299999</v>
          </cell>
          <cell r="B141" t="str">
            <v>GA-770 (特注)BR</v>
          </cell>
        </row>
        <row r="142">
          <cell r="A142" t="str">
            <v>J1AAFAB01199999</v>
          </cell>
          <cell r="B142" t="str">
            <v>GA-770 (特注)BK</v>
          </cell>
        </row>
        <row r="143">
          <cell r="A143" t="str">
            <v>J1AAZDB00301000</v>
          </cell>
          <cell r="B143" t="str">
            <v>BMPU-245　L=100</v>
          </cell>
        </row>
        <row r="144">
          <cell r="A144" t="str">
            <v>J1AAZDB00501000</v>
          </cell>
          <cell r="B144" t="str">
            <v>PRPU-418　L=100</v>
          </cell>
        </row>
        <row r="145">
          <cell r="A145" t="str">
            <v>J1AZLDB00122810</v>
          </cell>
          <cell r="B145" t="str">
            <v>QDNT-284A L2　L=2281</v>
          </cell>
        </row>
        <row r="146">
          <cell r="A146" t="str">
            <v>J1AZLDB00123150</v>
          </cell>
          <cell r="B146" t="str">
            <v>QDNT-284A L1　L=2315</v>
          </cell>
        </row>
        <row r="147">
          <cell r="A147" t="str">
            <v>J1AZLDB00123980</v>
          </cell>
          <cell r="B147" t="str">
            <v>QDNT-284A LT　L=2398</v>
          </cell>
        </row>
        <row r="148">
          <cell r="A148" t="str">
            <v>J1AZLDB00127400</v>
          </cell>
          <cell r="B148" t="str">
            <v>QDNT-284A LT2　L=2740</v>
          </cell>
        </row>
        <row r="149">
          <cell r="A149" t="str">
            <v>J1AZLDB00422660</v>
          </cell>
          <cell r="B149" t="str">
            <v>DHCT-147 L1　L=2266</v>
          </cell>
        </row>
        <row r="150">
          <cell r="A150" t="str">
            <v>J1AZLDB00422975</v>
          </cell>
          <cell r="B150" t="str">
            <v>DHCT-147 L3　L=2297.5</v>
          </cell>
        </row>
        <row r="151">
          <cell r="A151" t="str">
            <v>J1AZLDB00522670</v>
          </cell>
          <cell r="B151" t="str">
            <v>DHCT-136　L=2267</v>
          </cell>
        </row>
        <row r="152">
          <cell r="A152" t="str">
            <v>J1AZLDB00522985</v>
          </cell>
          <cell r="B152" t="str">
            <v>DHCT-136 L1　L=2298.5</v>
          </cell>
        </row>
        <row r="153">
          <cell r="A153" t="str">
            <v>J1AZLDB00719940</v>
          </cell>
          <cell r="B153" t="str">
            <v>DHCT-328RL1　L=1994</v>
          </cell>
        </row>
        <row r="154">
          <cell r="A154" t="str">
            <v>J1AZLDB00800790</v>
          </cell>
          <cell r="B154" t="str">
            <v>DHCT-329L1　L=79</v>
          </cell>
        </row>
        <row r="155">
          <cell r="A155" t="str">
            <v>J1AZLDB00901030</v>
          </cell>
          <cell r="B155" t="str">
            <v>DHCT-329L2　L=103</v>
          </cell>
        </row>
        <row r="156">
          <cell r="A156" t="str">
            <v>J1AZLDB01719950</v>
          </cell>
          <cell r="B156" t="str">
            <v>DHCT-397 L1　L=1995</v>
          </cell>
        </row>
        <row r="157">
          <cell r="A157" t="str">
            <v>J1AZLDB01818880</v>
          </cell>
          <cell r="B157" t="str">
            <v>DHCT-397 LL2　L=1888</v>
          </cell>
        </row>
        <row r="158">
          <cell r="A158" t="str">
            <v>J1AZLDB01900860</v>
          </cell>
          <cell r="B158" t="str">
            <v>DHCT-398　L=86</v>
          </cell>
        </row>
        <row r="159">
          <cell r="A159" t="str">
            <v>J1AZLDB02023080</v>
          </cell>
          <cell r="B159" t="str">
            <v>DHCT-409 L1　L=2308</v>
          </cell>
        </row>
        <row r="160">
          <cell r="A160" t="str">
            <v>J1AZLDB02118880</v>
          </cell>
          <cell r="B160" t="str">
            <v>DHCT-397 RL2　L=1888</v>
          </cell>
        </row>
        <row r="161">
          <cell r="A161" t="str">
            <v>J1AZLDB02600990</v>
          </cell>
          <cell r="B161" t="str">
            <v>DHCT-548L3　L=99</v>
          </cell>
        </row>
        <row r="162">
          <cell r="A162" t="str">
            <v>J1AZLDB02601075</v>
          </cell>
          <cell r="B162" t="str">
            <v>DHCT-548L1　L=107.5</v>
          </cell>
        </row>
        <row r="163">
          <cell r="A163" t="str">
            <v>J1AZLDB02601235</v>
          </cell>
          <cell r="B163" t="str">
            <v>DHCT-548L4　L=123.5</v>
          </cell>
        </row>
        <row r="164">
          <cell r="A164" t="str">
            <v>J1AZLDB02601320</v>
          </cell>
          <cell r="B164" t="str">
            <v>DHCT-548L2　L=132</v>
          </cell>
        </row>
        <row r="165">
          <cell r="A165" t="str">
            <v>J1AZLDB02603340</v>
          </cell>
          <cell r="B165" t="str">
            <v>DHCT-547L1　L=334</v>
          </cell>
        </row>
        <row r="166">
          <cell r="A166" t="str">
            <v>J1AZLDB02603460</v>
          </cell>
          <cell r="B166" t="str">
            <v>DHCT-547L2　L=346</v>
          </cell>
        </row>
        <row r="167">
          <cell r="A167" t="str">
            <v>J1AZLDB02702240</v>
          </cell>
          <cell r="B167" t="str">
            <v>DHCT-691 L1　L=224</v>
          </cell>
        </row>
        <row r="168">
          <cell r="A168" t="str">
            <v>J1AZLDB00523605</v>
          </cell>
          <cell r="B168" t="str">
            <v>DHDT-186　L=2360.5</v>
          </cell>
        </row>
        <row r="169">
          <cell r="A169" t="str">
            <v>J1AZLDB03201160</v>
          </cell>
          <cell r="B169" t="str">
            <v>QDQT-509 L1　L=116</v>
          </cell>
        </row>
        <row r="170">
          <cell r="A170" t="str">
            <v>J1AZLDB03202380</v>
          </cell>
          <cell r="B170" t="str">
            <v>QDQT-509 L2　L=238</v>
          </cell>
        </row>
        <row r="171">
          <cell r="A171" t="str">
            <v>J1AZLDB03300780</v>
          </cell>
          <cell r="B171" t="str">
            <v>QDQT-515 L3   L=78  　　</v>
          </cell>
        </row>
        <row r="172">
          <cell r="A172" t="str">
            <v>J1AZLDB03301280</v>
          </cell>
          <cell r="B172" t="str">
            <v>QDQT-515 L2   L=128     　　</v>
          </cell>
        </row>
        <row r="173">
          <cell r="A173" t="str">
            <v>J1AZLDB03305440</v>
          </cell>
          <cell r="B173" t="str">
            <v>QDQT-515 L1　L=544　</v>
          </cell>
        </row>
        <row r="174">
          <cell r="A174" t="str">
            <v>J1EAZDB00102000</v>
          </cell>
          <cell r="B174" t="str">
            <v>QDN-487　L=200</v>
          </cell>
        </row>
        <row r="175">
          <cell r="A175" t="str">
            <v>J4AAMWB01504140</v>
          </cell>
          <cell r="B175" t="str">
            <v>AM-O-0744-KC1　L=414</v>
          </cell>
        </row>
        <row r="176">
          <cell r="A176" t="str">
            <v>J4AAMWB02707690</v>
          </cell>
          <cell r="B176" t="str">
            <v>AM-O-0807-KC1　L=769</v>
          </cell>
        </row>
        <row r="177">
          <cell r="A177" t="str">
            <v>J1AEFZB00205250</v>
          </cell>
          <cell r="B177" t="str">
            <v>脚ﾊﾟｲﾌﾟPVC　L=525</v>
          </cell>
        </row>
        <row r="178">
          <cell r="A178" t="str">
            <v>J1AEFZB00205750</v>
          </cell>
          <cell r="B178" t="str">
            <v>脚ﾊﾟｲﾌﾟPVC　L=575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"/>
  <sheetViews>
    <sheetView tabSelected="1" topLeftCell="A19" workbookViewId="0">
      <selection activeCell="F110" sqref="F110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2"/>
      <c r="B1" s="88" t="s">
        <v>0</v>
      </c>
      <c r="C1" s="89"/>
      <c r="D1" s="89"/>
      <c r="E1" s="12"/>
      <c r="F1" s="12"/>
      <c r="G1" s="12"/>
      <c r="H1" s="12"/>
      <c r="I1" s="12"/>
      <c r="J1" s="12"/>
    </row>
    <row r="2" spans="1:10" ht="14.25" customHeight="1" thickTop="1">
      <c r="A2" s="13"/>
      <c r="B2" s="89"/>
      <c r="C2" s="89"/>
      <c r="D2" s="89"/>
      <c r="E2" s="13"/>
      <c r="F2" s="13"/>
      <c r="G2" s="13"/>
      <c r="H2" s="13"/>
      <c r="I2" s="13"/>
      <c r="J2" s="13"/>
    </row>
    <row r="3" spans="1:10" ht="14.25" customHeight="1">
      <c r="A3" s="97" t="s">
        <v>1</v>
      </c>
      <c r="B3" s="97" t="s">
        <v>2</v>
      </c>
      <c r="C3" s="97" t="s">
        <v>3</v>
      </c>
      <c r="D3" s="128">
        <v>275</v>
      </c>
      <c r="E3" s="97" t="s">
        <v>4</v>
      </c>
      <c r="F3" s="107" t="s">
        <v>5</v>
      </c>
      <c r="G3" s="89"/>
      <c r="H3" s="102"/>
      <c r="I3" s="14" t="s">
        <v>6</v>
      </c>
      <c r="J3" s="14" t="s">
        <v>7</v>
      </c>
    </row>
    <row r="4" spans="1:10" ht="14.25" customHeight="1">
      <c r="A4" s="89"/>
      <c r="B4" s="89"/>
      <c r="C4" s="89"/>
      <c r="D4" s="89"/>
      <c r="E4" s="89"/>
      <c r="F4" s="89"/>
      <c r="G4" s="89"/>
      <c r="H4" s="102"/>
      <c r="I4" s="105"/>
      <c r="J4" s="105"/>
    </row>
    <row r="5" spans="1:10" ht="17.45" customHeight="1">
      <c r="A5" s="98" t="s">
        <v>8</v>
      </c>
      <c r="B5" s="98" t="s">
        <v>9</v>
      </c>
      <c r="E5" s="98" t="s">
        <v>10</v>
      </c>
      <c r="F5" s="131" t="s">
        <v>11</v>
      </c>
      <c r="G5" s="89"/>
      <c r="H5" s="102"/>
      <c r="I5" s="106"/>
      <c r="J5" s="106"/>
    </row>
    <row r="6" spans="1:10" ht="17.45" customHeight="1">
      <c r="A6" s="89"/>
      <c r="B6" s="89"/>
      <c r="E6" s="89"/>
      <c r="F6" s="89"/>
      <c r="G6" s="89"/>
      <c r="H6" s="102"/>
      <c r="I6" s="15"/>
      <c r="J6" s="15"/>
    </row>
    <row r="7" spans="1:10" ht="17.45" customHeight="1">
      <c r="A7" s="98" t="s">
        <v>12</v>
      </c>
      <c r="B7" s="98" t="s">
        <v>13</v>
      </c>
      <c r="E7" s="2" t="s">
        <v>14</v>
      </c>
      <c r="F7" s="130" t="s">
        <v>15</v>
      </c>
      <c r="G7" s="89"/>
      <c r="H7" s="22"/>
    </row>
    <row r="8" spans="1:10" ht="17.45" customHeight="1">
      <c r="A8" s="89"/>
      <c r="B8" s="89"/>
      <c r="E8" s="2" t="s">
        <v>16</v>
      </c>
      <c r="F8" s="22" t="s">
        <v>17</v>
      </c>
      <c r="G8" s="22"/>
      <c r="H8" s="22"/>
    </row>
    <row r="9" spans="1:10" ht="17.45" customHeight="1">
      <c r="A9" s="2" t="s">
        <v>18</v>
      </c>
      <c r="B9" s="4">
        <v>45866</v>
      </c>
      <c r="E9" s="2" t="s">
        <v>19</v>
      </c>
      <c r="F9" s="108">
        <v>400</v>
      </c>
      <c r="G9" s="89"/>
      <c r="H9" s="22"/>
    </row>
    <row r="10" spans="1:10" ht="17.45" customHeight="1">
      <c r="A10" s="2" t="s">
        <v>20</v>
      </c>
      <c r="B10" s="4">
        <v>45866</v>
      </c>
      <c r="E10" s="2" t="s">
        <v>21</v>
      </c>
      <c r="F10" s="22">
        <v>1</v>
      </c>
      <c r="G10" s="99" t="s">
        <v>22</v>
      </c>
      <c r="H10" s="124">
        <v>400</v>
      </c>
      <c r="I10" s="125"/>
      <c r="J10" s="126"/>
    </row>
    <row r="11" spans="1:10" ht="17.45" customHeight="1">
      <c r="A11" s="20"/>
      <c r="B11" s="21"/>
      <c r="C11" s="21"/>
      <c r="D11" s="21"/>
      <c r="E11" s="2" t="s">
        <v>23</v>
      </c>
      <c r="F11" s="22" t="s">
        <v>24</v>
      </c>
      <c r="G11" s="100"/>
      <c r="H11" s="100"/>
      <c r="I11" s="103"/>
      <c r="J11" s="104"/>
    </row>
    <row r="12" spans="1:10" ht="13.5" customHeight="1">
      <c r="A12" s="153" t="s">
        <v>25</v>
      </c>
      <c r="B12" s="89"/>
      <c r="C12" s="89"/>
      <c r="D12" s="21"/>
      <c r="F12" s="3"/>
      <c r="G12" s="93" t="s">
        <v>26</v>
      </c>
      <c r="H12" s="127" t="s">
        <v>27</v>
      </c>
      <c r="I12" s="101" t="s">
        <v>28</v>
      </c>
      <c r="J12" s="102"/>
    </row>
    <row r="13" spans="1:10" ht="13.5" customHeight="1">
      <c r="A13" s="89"/>
      <c r="B13" s="89"/>
      <c r="C13" s="89"/>
      <c r="D13" s="21"/>
      <c r="F13" s="3"/>
      <c r="G13" s="94"/>
      <c r="H13" s="94"/>
      <c r="I13" s="103"/>
      <c r="J13" s="104"/>
    </row>
    <row r="14" spans="1:10" ht="13.5" customHeight="1">
      <c r="A14" s="1" t="s">
        <v>29</v>
      </c>
    </row>
    <row r="15" spans="1:10" ht="63" customHeight="1" thickBot="1">
      <c r="A15" s="121"/>
      <c r="B15" s="122"/>
      <c r="C15" s="122"/>
      <c r="D15" s="122"/>
      <c r="E15" s="122"/>
      <c r="F15" s="122"/>
      <c r="G15" s="122"/>
      <c r="H15" s="122"/>
      <c r="I15" s="122"/>
      <c r="J15" s="122"/>
    </row>
    <row r="16" spans="1:10" ht="18.75">
      <c r="A16" s="24" t="s">
        <v>30</v>
      </c>
      <c r="B16" s="17" t="s">
        <v>31</v>
      </c>
      <c r="C16" s="118" t="s">
        <v>32</v>
      </c>
      <c r="D16" s="119"/>
      <c r="E16" s="17" t="s">
        <v>33</v>
      </c>
      <c r="F16" s="118" t="s">
        <v>34</v>
      </c>
      <c r="G16" s="119"/>
      <c r="H16" s="119"/>
      <c r="I16" s="129" t="s">
        <v>35</v>
      </c>
      <c r="J16" s="119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3">
        <v>1</v>
      </c>
      <c r="B18" s="25" t="s">
        <v>36</v>
      </c>
      <c r="C18" s="95" t="s">
        <v>37</v>
      </c>
      <c r="D18" s="91"/>
      <c r="E18" s="25" t="s">
        <v>38</v>
      </c>
      <c r="F18" s="95" t="s">
        <v>39</v>
      </c>
      <c r="G18" s="91"/>
      <c r="H18" s="91"/>
      <c r="I18" s="90"/>
      <c r="J18" s="91"/>
    </row>
    <row r="19" spans="1:10" s="7" customFormat="1" ht="16.5" customHeight="1">
      <c r="A19" s="23">
        <v>1</v>
      </c>
      <c r="B19" s="26" t="s">
        <v>36</v>
      </c>
      <c r="C19" s="95" t="s">
        <v>37</v>
      </c>
      <c r="D19" s="91"/>
      <c r="E19" s="25" t="s">
        <v>40</v>
      </c>
      <c r="F19" s="95" t="s">
        <v>41</v>
      </c>
      <c r="G19" s="91"/>
      <c r="H19" s="91"/>
      <c r="I19" s="90"/>
      <c r="J19" s="91"/>
    </row>
    <row r="20" spans="1:10" s="7" customFormat="1" ht="16.5" customHeight="1">
      <c r="A20" s="23"/>
      <c r="B20" s="26"/>
      <c r="C20" s="95"/>
      <c r="D20" s="91"/>
      <c r="E20" s="25"/>
      <c r="F20" s="95"/>
      <c r="G20" s="91"/>
      <c r="H20" s="91"/>
      <c r="I20" s="90"/>
      <c r="J20" s="91"/>
    </row>
    <row r="21" spans="1:10" s="7" customFormat="1" ht="16.5" customHeight="1">
      <c r="A21" s="23"/>
      <c r="B21" s="26"/>
      <c r="C21" s="95"/>
      <c r="D21" s="91"/>
      <c r="E21" s="25"/>
      <c r="F21" s="95"/>
      <c r="G21" s="91"/>
      <c r="H21" s="91"/>
      <c r="I21" s="90"/>
      <c r="J21" s="91"/>
    </row>
    <row r="22" spans="1:10" s="7" customFormat="1" ht="16.5" customHeight="1">
      <c r="A22" s="23"/>
      <c r="B22" s="26"/>
      <c r="C22" s="95"/>
      <c r="D22" s="91"/>
      <c r="E22" s="25"/>
      <c r="F22" s="95"/>
      <c r="G22" s="91"/>
      <c r="H22" s="91"/>
      <c r="I22" s="90"/>
      <c r="J22" s="91"/>
    </row>
    <row r="23" spans="1:10" s="7" customFormat="1" ht="16.5" customHeight="1">
      <c r="A23" s="23"/>
      <c r="B23" s="26"/>
      <c r="C23" s="95"/>
      <c r="D23" s="91"/>
      <c r="E23" s="25"/>
      <c r="F23" s="95"/>
      <c r="G23" s="91"/>
      <c r="H23" s="91"/>
      <c r="I23" s="90"/>
      <c r="J23" s="91"/>
    </row>
    <row r="24" spans="1:10" ht="16.5" customHeight="1" thickBot="1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 ht="18.75">
      <c r="A25" s="110" t="s">
        <v>42</v>
      </c>
      <c r="B25" s="111"/>
      <c r="C25" s="110" t="s">
        <v>43</v>
      </c>
      <c r="D25" s="111"/>
      <c r="E25" s="111"/>
      <c r="F25" s="18" t="s">
        <v>44</v>
      </c>
      <c r="G25" s="110" t="s">
        <v>45</v>
      </c>
      <c r="H25" s="111"/>
      <c r="I25" s="110" t="s">
        <v>46</v>
      </c>
      <c r="J25" s="111"/>
    </row>
    <row r="26" spans="1:10" ht="14.25" customHeight="1">
      <c r="A26" s="8"/>
      <c r="B26" s="19"/>
      <c r="C26" s="120" t="s">
        <v>47</v>
      </c>
      <c r="D26" s="103"/>
      <c r="E26" s="19"/>
      <c r="F26" s="120" t="s">
        <v>29</v>
      </c>
      <c r="G26" s="103"/>
      <c r="H26" s="103"/>
      <c r="I26" s="103"/>
      <c r="J26" s="103"/>
    </row>
    <row r="27" spans="1:10">
      <c r="A27" s="9"/>
      <c r="C27" s="7"/>
      <c r="D27" s="7"/>
      <c r="E27" s="7"/>
    </row>
    <row r="28" spans="1:10" s="5" customFormat="1" ht="14.25" customHeight="1">
      <c r="A28" s="95" t="s">
        <v>48</v>
      </c>
      <c r="B28" s="96"/>
      <c r="C28" s="95" t="s">
        <v>49</v>
      </c>
      <c r="D28" s="96"/>
      <c r="E28" s="96"/>
      <c r="F28" s="27" t="s">
        <v>27</v>
      </c>
      <c r="G28" s="92">
        <v>80</v>
      </c>
      <c r="H28" s="96"/>
      <c r="I28" s="92">
        <v>0.2</v>
      </c>
      <c r="J28" s="96"/>
    </row>
    <row r="29" spans="1:10" s="7" customFormat="1" ht="24.95" customHeight="1">
      <c r="A29" s="109" t="s">
        <v>50</v>
      </c>
      <c r="B29" s="91"/>
      <c r="C29" s="95" t="s">
        <v>11</v>
      </c>
      <c r="D29" s="91"/>
      <c r="E29" s="91"/>
      <c r="F29" s="95"/>
      <c r="G29" s="91"/>
      <c r="H29" s="91"/>
      <c r="I29" s="91"/>
      <c r="J29" s="91"/>
    </row>
    <row r="30" spans="1:10" s="5" customFormat="1" ht="14.25" customHeight="1">
      <c r="A30" s="95" t="s">
        <v>51</v>
      </c>
      <c r="B30" s="96"/>
      <c r="C30" s="95" t="s">
        <v>52</v>
      </c>
      <c r="D30" s="96"/>
      <c r="E30" s="96"/>
      <c r="F30" s="27" t="s">
        <v>27</v>
      </c>
      <c r="G30" s="92">
        <v>1.2</v>
      </c>
      <c r="H30" s="96"/>
      <c r="I30" s="92">
        <v>3.0000000000000001E-3</v>
      </c>
      <c r="J30" s="96"/>
    </row>
    <row r="31" spans="1:10" s="7" customFormat="1" ht="24.95" customHeight="1">
      <c r="A31" s="109" t="s">
        <v>53</v>
      </c>
      <c r="B31" s="91"/>
      <c r="C31" s="95"/>
      <c r="D31" s="91"/>
      <c r="E31" s="91"/>
      <c r="F31" s="95"/>
      <c r="G31" s="91"/>
      <c r="H31" s="91"/>
      <c r="I31" s="91"/>
      <c r="J31" s="91"/>
    </row>
    <row r="32" spans="1:10" s="5" customFormat="1" ht="14.25" customHeight="1">
      <c r="A32" s="95"/>
      <c r="B32" s="96"/>
      <c r="C32" s="95"/>
      <c r="D32" s="96"/>
      <c r="E32" s="96"/>
      <c r="F32" s="27"/>
      <c r="G32" s="92"/>
      <c r="H32" s="96"/>
      <c r="I32" s="92"/>
      <c r="J32" s="96"/>
    </row>
    <row r="33" spans="1:14" s="7" customFormat="1" ht="24.95" customHeight="1">
      <c r="A33" s="109"/>
      <c r="B33" s="91"/>
      <c r="C33" s="95"/>
      <c r="D33" s="91"/>
      <c r="E33" s="91"/>
      <c r="F33" s="95"/>
      <c r="G33" s="91"/>
      <c r="H33" s="91"/>
      <c r="I33" s="91"/>
      <c r="J33" s="91"/>
    </row>
    <row r="34" spans="1:14" s="5" customFormat="1" ht="14.25" customHeight="1">
      <c r="A34" s="95"/>
      <c r="B34" s="96"/>
      <c r="C34" s="95"/>
      <c r="D34" s="96"/>
      <c r="E34" s="96"/>
      <c r="F34" s="27"/>
      <c r="G34" s="92"/>
      <c r="H34" s="96"/>
      <c r="I34" s="92"/>
      <c r="J34" s="96"/>
    </row>
    <row r="35" spans="1:14" s="7" customFormat="1" ht="24.95" customHeight="1">
      <c r="A35" s="109"/>
      <c r="B35" s="91"/>
      <c r="C35" s="95"/>
      <c r="D35" s="91"/>
      <c r="E35" s="91"/>
      <c r="F35" s="95"/>
      <c r="G35" s="91"/>
      <c r="H35" s="91"/>
      <c r="I35" s="91"/>
      <c r="J35" s="91"/>
    </row>
    <row r="36" spans="1:14" s="5" customFormat="1" ht="14.25" customHeight="1">
      <c r="A36" s="95"/>
      <c r="B36" s="96"/>
      <c r="C36" s="95"/>
      <c r="D36" s="96"/>
      <c r="E36" s="96"/>
      <c r="F36" s="27"/>
      <c r="G36" s="92"/>
      <c r="H36" s="96"/>
      <c r="I36" s="92"/>
      <c r="J36" s="96"/>
    </row>
    <row r="37" spans="1:14" s="7" customFormat="1" ht="24.95" customHeight="1" thickBot="1">
      <c r="A37" s="109"/>
      <c r="B37" s="91"/>
      <c r="C37" s="95"/>
      <c r="D37" s="91"/>
      <c r="E37" s="91"/>
      <c r="F37" s="95"/>
      <c r="G37" s="91"/>
      <c r="H37" s="91"/>
      <c r="I37" s="91"/>
      <c r="J37" s="91"/>
    </row>
    <row r="38" spans="1:14" s="5" customFormat="1" ht="18" customHeight="1">
      <c r="A38" s="114" t="s">
        <v>86</v>
      </c>
      <c r="B38" s="115"/>
      <c r="C38" s="115"/>
      <c r="D38" s="115"/>
      <c r="E38" s="116" t="s">
        <v>87</v>
      </c>
      <c r="F38" s="117"/>
      <c r="G38" s="28" t="s">
        <v>88</v>
      </c>
      <c r="H38" s="154" t="s">
        <v>89</v>
      </c>
      <c r="I38" s="154"/>
      <c r="J38" s="29" t="s">
        <v>90</v>
      </c>
    </row>
    <row r="39" spans="1:14" s="7" customFormat="1" ht="18" customHeight="1">
      <c r="A39" s="155" t="str">
        <f>_xlfn.XLOOKUP(B3,[1]VFDB2!A:A,[1]VFDB2!B:B)</f>
        <v>ハーネスガイド部材　L=275</v>
      </c>
      <c r="B39" s="156"/>
      <c r="C39" s="156"/>
      <c r="D39" s="156"/>
      <c r="E39" s="134" t="str" cm="1">
        <f t="array" ref="E39">IFERROR(IF(ISBLANK(INDEX(_xlfn._xlws.FILTER([1]加工記録２!$C$3:$C$992, [1]加工記録２!$T$3:$T$992=B5), 6)), "", INDEX(_xlfn._xlws.FILTER([1]加工記録２!$C$3:$C$992, [1]加工記録２!$T$3:$T$992=B5), 6)),"")</f>
        <v>S-11</v>
      </c>
      <c r="F39" s="135"/>
      <c r="G39" s="159" cm="1">
        <f t="array" ref="G39">IFERROR(IF(ISBLANK(INDEX(_xlfn._xlws.FILTER([1]加工記録２!$C$3:$C$992, [1]加工記録２!$T$3:$T$992=B5), 7)), " ", INDEX(_xlfn._xlws.FILTER([1]加工記録２!$C$3:$C$992, [1]加工記録２!$T$3:$T$992=B5), 7))," ")</f>
        <v>1</v>
      </c>
      <c r="H39" s="30" t="s">
        <v>62</v>
      </c>
      <c r="I39" s="87" cm="1">
        <f t="array" ref="I39:J39">IFERROR(IF(ISBLANK(INDEX(_xlfn._xlws.FILTER([1]加工記録２!$O$3:$P$992, [1]加工記録２!$T$3:$T$992=B5), 1)), "", INDEX(_xlfn._xlws.FILTER([1]加工記録２!$O$3:$P$992, [1]加工記録２!$T$3:$T$992=B5), 1)),"")</f>
        <v>45860</v>
      </c>
      <c r="J39" s="79" t="str">
        <v/>
      </c>
    </row>
    <row r="40" spans="1:14" s="5" customFormat="1" ht="18" customHeight="1">
      <c r="A40" s="157"/>
      <c r="B40" s="158"/>
      <c r="C40" s="158"/>
      <c r="D40" s="158"/>
      <c r="E40" s="134"/>
      <c r="F40" s="135"/>
      <c r="G40" s="159"/>
      <c r="H40" s="30" t="s">
        <v>63</v>
      </c>
      <c r="I40" s="78" cm="1">
        <f t="array" ref="I40:J40">IFERROR(IF(ISBLANK(INDEX(_xlfn._xlws.FILTER([1]加工記録２!$O$3:$P$992, [1]加工記録２!$T$3:$T$992=B5), 2)), "", INDEX(_xlfn._xlws.FILTER([1]加工記録２!$O$3:$P$992, [1]加工記録２!$T$3:$T$992=B5), 2)),"")</f>
        <v>400</v>
      </c>
      <c r="J40" s="80" t="str">
        <v/>
      </c>
      <c r="K40" s="31"/>
    </row>
    <row r="41" spans="1:14" s="7" customFormat="1" ht="18" customHeight="1">
      <c r="A41" s="143" t="s">
        <v>64</v>
      </c>
      <c r="B41" s="161" t="str">
        <f>_xlfn.XLOOKUP(B3,[1]!#REF!,[1]!#REF!,,)</f>
        <v>-</v>
      </c>
      <c r="C41" s="163" t="s">
        <v>65</v>
      </c>
      <c r="D41" s="132">
        <f>_xlfn.XLOOKUP(B3,[1]!#REF!,[1]!#REF!,,)</f>
        <v>5</v>
      </c>
      <c r="E41" s="134">
        <f>_xlfn.XLOOKUP(B3,[1]!#REF!,[1]!#REF!,,)</f>
        <v>0</v>
      </c>
      <c r="F41" s="135"/>
      <c r="G41" s="136"/>
      <c r="H41" s="32" t="s">
        <v>66</v>
      </c>
      <c r="I41" s="78" cm="1">
        <f t="array" ref="I41:J41">IFERROR(IF(ISBLANK(INDEX(_xlfn._xlws.FILTER([1]加工記録２!$O$3:$P$992, [1]加工記録２!$T$3:$T$992=B5), 3)), "", INDEX(_xlfn._xlws.FILTER([1]加工記録２!$O$3:$P$992, [1]加工記録２!$T$3:$T$992=B5), 3)),"")</f>
        <v>80</v>
      </c>
      <c r="J41" s="81" t="str">
        <v/>
      </c>
      <c r="K41" s="33"/>
    </row>
    <row r="42" spans="1:14" s="5" customFormat="1" ht="18" customHeight="1">
      <c r="A42" s="160"/>
      <c r="B42" s="162"/>
      <c r="C42" s="164"/>
      <c r="D42" s="133"/>
      <c r="E42" s="134"/>
      <c r="F42" s="135"/>
      <c r="G42" s="136"/>
      <c r="H42" s="32" t="s">
        <v>67</v>
      </c>
      <c r="I42" s="78" cm="1">
        <f t="array" ref="I42:J42">IFERROR(IF(ISBLANK(INDEX(_xlfn._xlws.FILTER([1]加工記録２!$O$3:$P$992, [1]加工記録２!$T$3:$T$992=B5), 4)), "", INDEX(_xlfn._xlws.FILTER([1]加工記録２!$O$3:$P$992, [1]加工記録２!$T$3:$T$992=B5), 4)),"")</f>
        <v>0</v>
      </c>
      <c r="J42" s="82" t="str">
        <v/>
      </c>
      <c r="K42" s="31"/>
    </row>
    <row r="43" spans="1:14" s="7" customFormat="1" ht="18" customHeight="1">
      <c r="A43" s="112" t="s">
        <v>68</v>
      </c>
      <c r="B43" s="137">
        <f>D3</f>
        <v>275</v>
      </c>
      <c r="C43" s="139" t="s">
        <v>69</v>
      </c>
      <c r="D43" s="141" t="str">
        <f>_xlfn.XLOOKUP(B3,[1]!#REF!,[1]!#REF!,,)</f>
        <v>+1.5</v>
      </c>
      <c r="E43" s="134">
        <f>_xlfn.XLOOKUP(B3,[1]!#REF!,[1]!#REF!,,)</f>
        <v>0</v>
      </c>
      <c r="F43" s="135"/>
      <c r="G43" s="136"/>
      <c r="H43" s="32" t="s">
        <v>70</v>
      </c>
      <c r="I43" s="78" cm="1">
        <f t="array" ref="I43:J43">IFERROR(IF(ISBLANK(INDEX(_xlfn._xlws.FILTER([1]加工記録２!$O$3:$P$992, [1]加工記録２!$T$3:$T$992=B5), 5)), "", INDEX(_xlfn._xlws.FILTER([1]加工記録２!$O$3:$P$992, [1]加工記録２!$T$3:$T$992=B5), 5)),"")</f>
        <v>0</v>
      </c>
      <c r="J43" s="83" t="str">
        <v/>
      </c>
      <c r="K43" s="33"/>
    </row>
    <row r="44" spans="1:14" s="5" customFormat="1" ht="18" customHeight="1">
      <c r="A44" s="113"/>
      <c r="B44" s="138"/>
      <c r="C44" s="140"/>
      <c r="D44" s="142"/>
      <c r="E44" s="134"/>
      <c r="F44" s="135"/>
      <c r="G44" s="136"/>
      <c r="H44" s="32" t="s">
        <v>71</v>
      </c>
      <c r="I44" s="78" cm="1">
        <f t="array" ref="I44:J44">IFERROR(IF(ISBLANK(INDEX(_xlfn._xlws.FILTER([1]加工記録２!$O$3:$P$992, [1]加工記録２!$T$3:$T$992=B5), 6)), "", INDEX(_xlfn._xlws.FILTER([1]加工記録２!$O$3:$P$992, [1]加工記録２!$T$3:$T$992=B5), 6)),"")</f>
        <v>0</v>
      </c>
      <c r="J44" s="84" t="str">
        <v/>
      </c>
      <c r="K44" s="31"/>
    </row>
    <row r="45" spans="1:14" s="7" customFormat="1" ht="18" customHeight="1">
      <c r="A45" s="143" t="s">
        <v>72</v>
      </c>
      <c r="B45" s="145">
        <f>_xlfn.XLOOKUP(B3,[1]!#REF!,[1]!#REF!,,)</f>
        <v>276</v>
      </c>
      <c r="C45" s="147" t="s">
        <v>73</v>
      </c>
      <c r="D45" s="141">
        <f>_xlfn.XLOOKUP(B3,[1]!#REF!,[1]!#REF!,,)</f>
        <v>-0.5</v>
      </c>
      <c r="E45" s="134" t="str">
        <f>_xlfn.XLOOKUP(B3,[1]!#REF!,[1]!#REF!,,)</f>
        <v>ラベル２枚　長手有　鉢無</v>
      </c>
      <c r="F45" s="135"/>
      <c r="G45" s="136"/>
      <c r="H45" s="32" t="s">
        <v>74</v>
      </c>
      <c r="I45" s="78" t="str" cm="1">
        <f t="array" ref="I45:J45">IFERROR(IF(ISBLANK(INDEX(_xlfn._xlws.FILTER([1]加工記録２!$O$3:$P$992, [1]加工記録２!$T$3:$T$992=B5), 7)), "", INDEX(_xlfn._xlws.FILTER([1]加工記録２!$O$3:$P$992, [1]加工記録２!$T$3:$T$992=B5), 7)),"")</f>
        <v>富田</v>
      </c>
      <c r="J45" s="85" t="str">
        <v/>
      </c>
      <c r="K45" s="33"/>
    </row>
    <row r="46" spans="1:14" s="5" customFormat="1" ht="18" customHeight="1" thickBot="1">
      <c r="A46" s="144"/>
      <c r="B46" s="146"/>
      <c r="C46" s="148"/>
      <c r="D46" s="149"/>
      <c r="E46" s="150"/>
      <c r="F46" s="151"/>
      <c r="G46" s="152"/>
      <c r="H46" s="34" t="s">
        <v>75</v>
      </c>
      <c r="I46" s="35" t="str" cm="1">
        <f t="array" ref="I46:J46">IFERROR(IF(ISBLANK(INDEX(_xlfn._xlws.FILTER([1]加工記録２!$O$3:$P$992, [1]加工記録２!$T$3:$T$992=B5), 8)), "", INDEX(_xlfn._xlws.FILTER([1]加工記録２!$O$3:$P$992, [1]加工記録２!$T$3:$T$992=B5), 8)),"")</f>
        <v>-</v>
      </c>
      <c r="J46" s="86">
        <v>0</v>
      </c>
    </row>
    <row r="47" spans="1:14" s="46" customFormat="1" ht="18.95" customHeight="1">
      <c r="A47" s="36" t="s">
        <v>76</v>
      </c>
      <c r="B47" s="37" t="s">
        <v>77</v>
      </c>
      <c r="C47" s="38" t="s">
        <v>78</v>
      </c>
      <c r="D47" s="38" t="s">
        <v>79</v>
      </c>
      <c r="E47" s="39" t="s">
        <v>80</v>
      </c>
      <c r="F47" s="40" t="s">
        <v>81</v>
      </c>
      <c r="G47" s="41" t="s">
        <v>82</v>
      </c>
      <c r="H47" s="42" t="s">
        <v>83</v>
      </c>
      <c r="I47" s="43" t="s">
        <v>84</v>
      </c>
      <c r="J47" s="44" t="s">
        <v>85</v>
      </c>
      <c r="K47" s="45"/>
      <c r="L47" s="45"/>
      <c r="M47" s="45"/>
      <c r="N47" s="45"/>
    </row>
    <row r="48" spans="1:14" s="57" customFormat="1" ht="18.95" customHeight="1">
      <c r="A48" s="47" t="str" cm="1">
        <f t="array" ref="A48:J48">IFERROR(IF(ISBLANK(INDEX(_xlfn._xlws.FILTER([1]加工記録２!$D$3:$M$992, [1]加工記録２!$T$3:$T$992=B5), 1)), "", INDEX(_xlfn._xlws.FILTER([1]加工記録２!$D$3:$M$992, [1]加工記録２!$T$3:$T$992=B5), 1)),"")</f>
        <v/>
      </c>
      <c r="B48" s="48" t="str">
        <v/>
      </c>
      <c r="C48" s="49" t="str">
        <v/>
      </c>
      <c r="D48" s="49" t="str">
        <v/>
      </c>
      <c r="E48" s="50" t="str">
        <v/>
      </c>
      <c r="F48" s="51">
        <v>0</v>
      </c>
      <c r="G48" s="52">
        <v>0</v>
      </c>
      <c r="H48" s="53">
        <v>0</v>
      </c>
      <c r="I48" s="54">
        <v>45860</v>
      </c>
      <c r="J48" s="55">
        <v>1</v>
      </c>
      <c r="K48" s="56"/>
      <c r="L48" s="56"/>
      <c r="M48" s="56"/>
      <c r="N48" s="56"/>
    </row>
    <row r="49" spans="1:14" s="57" customFormat="1" ht="18.95" customHeight="1">
      <c r="A49" s="47" cm="1">
        <f t="array" ref="A49:J49">IFERROR(IF(ISBLANK(INDEX(_xlfn._xlws.FILTER([1]加工記録２!$D$3:$M$992, [1]加工記録２!$T$3:$T$992=B5), 2)), "", INDEX(_xlfn._xlws.FILTER([1]加工記録２!$D$3:$M$992, [1]加工記録２!$T$3:$T$992=B5), 2)),"")</f>
        <v>45860</v>
      </c>
      <c r="B49" s="58" t="str">
        <v>25G17B</v>
      </c>
      <c r="C49" s="58" t="str">
        <v/>
      </c>
      <c r="D49" s="58">
        <v>275</v>
      </c>
      <c r="E49" s="59">
        <v>276.02</v>
      </c>
      <c r="F49" s="60" t="str">
        <v>25G17B</v>
      </c>
      <c r="G49" s="61">
        <v>400</v>
      </c>
      <c r="H49" s="62">
        <v>80</v>
      </c>
      <c r="I49" s="54" t="str">
        <v/>
      </c>
      <c r="J49" s="55" t="str">
        <v/>
      </c>
      <c r="K49" s="56"/>
      <c r="L49" s="56"/>
      <c r="M49" s="56"/>
      <c r="N49" s="56"/>
    </row>
    <row r="50" spans="1:14" s="57" customFormat="1" ht="18.95" customHeight="1">
      <c r="A50" s="47" t="str" cm="1">
        <f t="array" ref="A50:J50">IFERROR(IF(ISBLANK(INDEX(_xlfn._xlws.FILTER([1]加工記録２!$D$3:$M$992, [1]加工記録２!$T$3:$T$992=B5), 3)), "", INDEX(_xlfn._xlws.FILTER([1]加工記録２!$D$3:$M$992, [1]加工記録２!$T$3:$T$992=B5), 3)),"")</f>
        <v/>
      </c>
      <c r="B50" s="58" t="str">
        <v/>
      </c>
      <c r="C50" s="58" t="str">
        <v/>
      </c>
      <c r="D50" s="58">
        <v>275</v>
      </c>
      <c r="E50" s="59">
        <v>276.01</v>
      </c>
      <c r="F50" s="60" t="str">
        <v/>
      </c>
      <c r="G50" s="61" t="str">
        <v/>
      </c>
      <c r="H50" s="62">
        <v>0</v>
      </c>
      <c r="I50" s="54" t="str">
        <v/>
      </c>
      <c r="J50" s="55" t="str">
        <v/>
      </c>
      <c r="K50" s="56"/>
      <c r="L50" s="56"/>
      <c r="M50" s="56"/>
      <c r="N50" s="56"/>
    </row>
    <row r="51" spans="1:14" s="57" customFormat="1" ht="18.95" customHeight="1">
      <c r="A51" s="47" t="str" cm="1">
        <f t="array" ref="A51:J51">IFERROR(IF(ISBLANK(INDEX(_xlfn._xlws.FILTER([1]加工記録２!$D$3:$M$992, [1]加工記録２!$T$3:$T$992=B5), 4)), "", INDEX(_xlfn._xlws.FILTER([1]加工記録２!$D$3:$M$992, [1]加工記録２!$T$3:$T$992=B5), 4)),"")</f>
        <v/>
      </c>
      <c r="B51" s="58" t="str">
        <v/>
      </c>
      <c r="C51" s="58" t="str">
        <v/>
      </c>
      <c r="D51" s="58">
        <v>275</v>
      </c>
      <c r="E51" s="59" t="str">
        <v/>
      </c>
      <c r="F51" s="60" t="str">
        <v/>
      </c>
      <c r="G51" s="61" t="str">
        <v/>
      </c>
      <c r="H51" s="62">
        <v>0</v>
      </c>
      <c r="I51" s="54" t="str">
        <v/>
      </c>
      <c r="J51" s="55" t="str">
        <v/>
      </c>
      <c r="K51" s="56"/>
      <c r="L51" s="56"/>
      <c r="M51" s="56"/>
      <c r="N51" s="56"/>
    </row>
    <row r="52" spans="1:14" s="57" customFormat="1" ht="18.95" customHeight="1">
      <c r="A52" s="47" t="str" cm="1">
        <f t="array" ref="A52:J52">IFERROR(IF(ISBLANK(INDEX(_xlfn._xlws.FILTER([1]加工記録２!$D$3:$M$992, [1]加工記録２!$T$3:$T$992=B5), 5)), "", INDEX(_xlfn._xlws.FILTER([1]加工記録２!$D$3:$M$992, [1]加工記録２!$T$3:$T$992=B5), 5)),"")</f>
        <v/>
      </c>
      <c r="B52" s="58" t="str">
        <v/>
      </c>
      <c r="C52" s="58" t="str">
        <v/>
      </c>
      <c r="D52" s="58">
        <v>275</v>
      </c>
      <c r="E52" s="59" t="str">
        <v/>
      </c>
      <c r="F52" s="60" t="str">
        <v/>
      </c>
      <c r="G52" s="61" t="str">
        <v/>
      </c>
      <c r="H52" s="62">
        <v>0</v>
      </c>
      <c r="I52" s="63" t="str">
        <v/>
      </c>
      <c r="J52" s="64" t="str">
        <v/>
      </c>
      <c r="K52" s="56"/>
      <c r="L52" s="56"/>
      <c r="M52" s="56"/>
      <c r="N52" s="56"/>
    </row>
    <row r="53" spans="1:14" s="57" customFormat="1" ht="18.95" customHeight="1">
      <c r="A53" s="47" t="str" cm="1">
        <f t="array" ref="A53:J53">IFERROR(IF(ISBLANK(INDEX(_xlfn._xlws.FILTER([1]加工記録２!$D$3:$M$992, [1]加工記録２!$T$3:$T$992=B5), 6)), "", INDEX(_xlfn._xlws.FILTER([1]加工記録２!$D$3:$M$992, [1]加工記録２!$T$3:$T$992=B5), 6)),"")</f>
        <v/>
      </c>
      <c r="B53" s="58" t="str">
        <v/>
      </c>
      <c r="C53" s="58" t="str">
        <v/>
      </c>
      <c r="D53" s="58">
        <v>275</v>
      </c>
      <c r="E53" s="59" t="str">
        <v/>
      </c>
      <c r="F53" s="60" t="str">
        <v/>
      </c>
      <c r="G53" s="61" t="str">
        <v/>
      </c>
      <c r="H53" s="65">
        <v>0</v>
      </c>
      <c r="I53" s="66" t="str">
        <v>旧品加工</v>
      </c>
      <c r="J53" s="67" t="str">
        <v/>
      </c>
      <c r="K53" s="56"/>
      <c r="L53" s="56"/>
      <c r="M53" s="56"/>
      <c r="N53" s="56"/>
    </row>
    <row r="54" spans="1:14" s="57" customFormat="1" ht="18.95" customHeight="1">
      <c r="A54" s="47" t="str" cm="1">
        <f t="array" ref="A54:J54">IFERROR(IF(ISBLANK(INDEX(_xlfn._xlws.FILTER([1]加工記録２!$D$3:$M$992, [1]加工記録２!$T$3:$T$992=B5), 7)), "", INDEX(_xlfn._xlws.FILTER([1]加工記録２!$D$3:$M$992, [1]加工記録２!$T$3:$T$992=B5), 7)),"")</f>
        <v/>
      </c>
      <c r="B54" s="58" t="str">
        <v/>
      </c>
      <c r="C54" s="58" t="str">
        <v/>
      </c>
      <c r="D54" s="58">
        <v>275</v>
      </c>
      <c r="E54" s="59" t="str">
        <v/>
      </c>
      <c r="F54" s="60" t="str">
        <v/>
      </c>
      <c r="G54" s="61" t="str">
        <v/>
      </c>
      <c r="H54" s="65">
        <v>0</v>
      </c>
      <c r="I54" s="68" t="str">
        <v>持出端材</v>
      </c>
      <c r="J54" s="69" t="str">
        <v/>
      </c>
      <c r="K54" s="56"/>
      <c r="L54" s="56"/>
      <c r="M54" s="56"/>
      <c r="N54" s="56"/>
    </row>
    <row r="55" spans="1:14" s="57" customFormat="1" ht="18.95" customHeight="1" thickBot="1">
      <c r="A55" s="70" t="str" cm="1">
        <f t="array" ref="A55:J55">IFERROR(IF(ISBLANK(INDEX(_xlfn._xlws.FILTER([1]加工記録２!$D$3:$M$992, [1]加工記録２!$T$3:$T$992=B5), 8)), "", INDEX(_xlfn._xlws.FILTER([1]加工記録２!$D$3:$M$992, [1]加工記録２!$T$3:$T$992=B5), 8)),"")</f>
        <v/>
      </c>
      <c r="B55" s="71" t="str">
        <v/>
      </c>
      <c r="C55" s="71" t="str">
        <v/>
      </c>
      <c r="D55" s="71">
        <v>275</v>
      </c>
      <c r="E55" s="72" t="str">
        <v/>
      </c>
      <c r="F55" s="73" t="str">
        <v/>
      </c>
      <c r="G55" s="74" t="str">
        <v/>
      </c>
      <c r="H55" s="75">
        <v>0</v>
      </c>
      <c r="I55" s="76" t="str">
        <v>α端材</v>
      </c>
      <c r="J55" s="77">
        <v>0</v>
      </c>
      <c r="K55" s="56"/>
      <c r="L55" s="56"/>
      <c r="M55" s="56"/>
      <c r="N55" s="56"/>
    </row>
    <row r="56" spans="1:14" ht="13.5" customHeight="1" thickBot="1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2"/>
      <c r="B58" s="88" t="s">
        <v>0</v>
      </c>
      <c r="C58" s="89"/>
      <c r="D58" s="89"/>
      <c r="E58" s="12"/>
      <c r="F58" s="12"/>
      <c r="G58" s="12"/>
      <c r="H58" s="12"/>
      <c r="I58" s="12"/>
      <c r="J58" s="12"/>
    </row>
    <row r="59" spans="1:14" ht="14.25" customHeight="1">
      <c r="A59" s="13"/>
      <c r="B59" s="89"/>
      <c r="C59" s="89"/>
      <c r="D59" s="89"/>
      <c r="E59" s="13"/>
      <c r="F59" s="13"/>
      <c r="G59" s="13"/>
      <c r="H59" s="13"/>
      <c r="I59" s="13"/>
      <c r="J59" s="13"/>
    </row>
    <row r="60" spans="1:14" ht="14.25" customHeight="1">
      <c r="A60" s="97" t="s">
        <v>1</v>
      </c>
      <c r="B60" s="97" t="s">
        <v>2</v>
      </c>
      <c r="C60" s="97" t="s">
        <v>3</v>
      </c>
      <c r="D60" s="128">
        <v>275</v>
      </c>
      <c r="E60" s="97" t="s">
        <v>4</v>
      </c>
      <c r="F60" s="107" t="s">
        <v>5</v>
      </c>
      <c r="G60" s="89"/>
      <c r="H60" s="102"/>
      <c r="I60" s="14" t="s">
        <v>6</v>
      </c>
      <c r="J60" s="14" t="s">
        <v>7</v>
      </c>
    </row>
    <row r="61" spans="1:14" ht="14.25" customHeight="1">
      <c r="A61" s="89"/>
      <c r="B61" s="89"/>
      <c r="C61" s="89"/>
      <c r="D61" s="89"/>
      <c r="E61" s="89"/>
      <c r="F61" s="89"/>
      <c r="G61" s="89"/>
      <c r="H61" s="102"/>
      <c r="I61" s="105"/>
      <c r="J61" s="105"/>
    </row>
    <row r="62" spans="1:14" ht="17.45" customHeight="1">
      <c r="A62" s="98" t="s">
        <v>8</v>
      </c>
      <c r="B62" s="98" t="s">
        <v>54</v>
      </c>
      <c r="E62" s="98" t="s">
        <v>10</v>
      </c>
      <c r="F62" s="131" t="s">
        <v>11</v>
      </c>
      <c r="G62" s="89"/>
      <c r="H62" s="102"/>
      <c r="I62" s="106"/>
      <c r="J62" s="106"/>
    </row>
    <row r="63" spans="1:14" ht="17.45" customHeight="1">
      <c r="A63" s="89"/>
      <c r="B63" s="89"/>
      <c r="E63" s="89"/>
      <c r="F63" s="89"/>
      <c r="G63" s="89"/>
      <c r="H63" s="102"/>
      <c r="I63" s="15"/>
      <c r="J63" s="15"/>
    </row>
    <row r="64" spans="1:14" ht="17.45" customHeight="1">
      <c r="A64" s="98" t="s">
        <v>12</v>
      </c>
      <c r="B64" s="98" t="s">
        <v>55</v>
      </c>
      <c r="E64" s="2" t="s">
        <v>14</v>
      </c>
      <c r="F64" s="130" t="s">
        <v>15</v>
      </c>
      <c r="G64" s="89"/>
      <c r="H64" s="22"/>
    </row>
    <row r="65" spans="1:10" ht="17.45" customHeight="1">
      <c r="A65" s="89"/>
      <c r="B65" s="89"/>
      <c r="E65" s="2" t="s">
        <v>16</v>
      </c>
      <c r="F65" s="22" t="s">
        <v>17</v>
      </c>
      <c r="G65" s="22"/>
      <c r="H65" s="22"/>
    </row>
    <row r="66" spans="1:10" ht="17.45" customHeight="1">
      <c r="A66" s="2" t="s">
        <v>18</v>
      </c>
      <c r="B66" s="4">
        <v>45868</v>
      </c>
      <c r="E66" s="2" t="s">
        <v>19</v>
      </c>
      <c r="F66" s="108">
        <v>400</v>
      </c>
      <c r="G66" s="89"/>
      <c r="H66" s="22"/>
    </row>
    <row r="67" spans="1:10" ht="17.45" customHeight="1">
      <c r="A67" s="2" t="s">
        <v>20</v>
      </c>
      <c r="B67" s="4">
        <v>45868</v>
      </c>
      <c r="E67" s="2" t="s">
        <v>21</v>
      </c>
      <c r="F67" s="22">
        <v>5</v>
      </c>
      <c r="G67" s="99" t="s">
        <v>22</v>
      </c>
      <c r="H67" s="124">
        <v>2000</v>
      </c>
      <c r="I67" s="125"/>
      <c r="J67" s="126"/>
    </row>
    <row r="68" spans="1:10" ht="17.45" customHeight="1">
      <c r="A68" s="20"/>
      <c r="B68" s="21"/>
      <c r="C68" s="21"/>
      <c r="D68" s="21"/>
      <c r="E68" s="2" t="s">
        <v>23</v>
      </c>
      <c r="F68" s="22" t="s">
        <v>24</v>
      </c>
      <c r="G68" s="100"/>
      <c r="H68" s="100"/>
      <c r="I68" s="103"/>
      <c r="J68" s="104"/>
    </row>
    <row r="69" spans="1:10" ht="13.5" customHeight="1">
      <c r="A69" s="153" t="s">
        <v>25</v>
      </c>
      <c r="B69" s="89"/>
      <c r="C69" s="89"/>
      <c r="D69" s="21"/>
      <c r="F69" s="3"/>
      <c r="G69" s="93" t="s">
        <v>26</v>
      </c>
      <c r="H69" s="127" t="s">
        <v>27</v>
      </c>
      <c r="I69" s="101" t="s">
        <v>28</v>
      </c>
      <c r="J69" s="102"/>
    </row>
    <row r="70" spans="1:10" ht="13.5" customHeight="1">
      <c r="A70" s="89"/>
      <c r="B70" s="89"/>
      <c r="C70" s="89"/>
      <c r="D70" s="21"/>
      <c r="F70" s="3"/>
      <c r="G70" s="94"/>
      <c r="H70" s="94"/>
      <c r="I70" s="103"/>
      <c r="J70" s="104"/>
    </row>
    <row r="71" spans="1:10" ht="13.5" customHeight="1">
      <c r="A71" s="1" t="s">
        <v>29</v>
      </c>
    </row>
    <row r="72" spans="1:10" ht="63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</row>
    <row r="73" spans="1:10" ht="18.75">
      <c r="A73" s="24" t="s">
        <v>30</v>
      </c>
      <c r="B73" s="17" t="s">
        <v>31</v>
      </c>
      <c r="C73" s="118" t="s">
        <v>32</v>
      </c>
      <c r="D73" s="119"/>
      <c r="E73" s="17" t="s">
        <v>33</v>
      </c>
      <c r="F73" s="118" t="s">
        <v>34</v>
      </c>
      <c r="G73" s="119"/>
      <c r="H73" s="119"/>
      <c r="I73" s="129" t="s">
        <v>35</v>
      </c>
      <c r="J73" s="119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3">
        <v>1</v>
      </c>
      <c r="B75" s="25" t="s">
        <v>36</v>
      </c>
      <c r="C75" s="95" t="s">
        <v>37</v>
      </c>
      <c r="D75" s="89"/>
      <c r="E75" s="25" t="s">
        <v>38</v>
      </c>
      <c r="F75" s="95" t="s">
        <v>39</v>
      </c>
      <c r="G75" s="89"/>
      <c r="H75" s="89"/>
      <c r="I75" s="90"/>
      <c r="J75" s="89"/>
    </row>
    <row r="76" spans="1:10" ht="16.5" customHeight="1">
      <c r="A76" s="23">
        <v>1</v>
      </c>
      <c r="B76" s="26" t="s">
        <v>36</v>
      </c>
      <c r="C76" s="95" t="s">
        <v>37</v>
      </c>
      <c r="D76" s="89"/>
      <c r="E76" s="25" t="s">
        <v>40</v>
      </c>
      <c r="F76" s="95" t="s">
        <v>41</v>
      </c>
      <c r="G76" s="89"/>
      <c r="H76" s="89"/>
      <c r="I76" s="90"/>
      <c r="J76" s="89"/>
    </row>
    <row r="77" spans="1:10" ht="16.5" customHeight="1">
      <c r="A77" s="23"/>
      <c r="B77" s="26"/>
      <c r="C77" s="95"/>
      <c r="D77" s="89"/>
      <c r="E77" s="25"/>
      <c r="F77" s="95"/>
      <c r="G77" s="89"/>
      <c r="H77" s="89"/>
      <c r="I77" s="90"/>
      <c r="J77" s="89"/>
    </row>
    <row r="78" spans="1:10" ht="16.5" customHeight="1">
      <c r="A78" s="23"/>
      <c r="B78" s="26"/>
      <c r="C78" s="95"/>
      <c r="D78" s="89"/>
      <c r="E78" s="25"/>
      <c r="F78" s="95"/>
      <c r="G78" s="89"/>
      <c r="H78" s="89"/>
      <c r="I78" s="90"/>
      <c r="J78" s="89"/>
    </row>
    <row r="79" spans="1:10" ht="16.5" customHeight="1">
      <c r="A79" s="23"/>
      <c r="B79" s="26"/>
      <c r="C79" s="95"/>
      <c r="D79" s="89"/>
      <c r="E79" s="25"/>
      <c r="F79" s="95"/>
      <c r="G79" s="89"/>
      <c r="H79" s="89"/>
      <c r="I79" s="90"/>
      <c r="J79" s="89"/>
    </row>
    <row r="80" spans="1:10" ht="16.5" customHeight="1">
      <c r="A80" s="23"/>
      <c r="B80" s="26"/>
      <c r="C80" s="95"/>
      <c r="D80" s="89"/>
      <c r="E80" s="25"/>
      <c r="F80" s="95"/>
      <c r="G80" s="89"/>
      <c r="H80" s="89"/>
      <c r="I80" s="90"/>
      <c r="J80" s="89"/>
    </row>
    <row r="81" spans="1:10" ht="16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 spans="1:10" ht="18.75">
      <c r="A82" s="110" t="s">
        <v>42</v>
      </c>
      <c r="B82" s="111"/>
      <c r="C82" s="110" t="s">
        <v>43</v>
      </c>
      <c r="D82" s="111"/>
      <c r="E82" s="111"/>
      <c r="F82" s="18" t="s">
        <v>44</v>
      </c>
      <c r="G82" s="110" t="s">
        <v>45</v>
      </c>
      <c r="H82" s="111"/>
      <c r="I82" s="110" t="s">
        <v>46</v>
      </c>
      <c r="J82" s="111"/>
    </row>
    <row r="83" spans="1:10" ht="14.25" customHeight="1">
      <c r="A83" s="8"/>
      <c r="B83" s="19"/>
      <c r="C83" s="120" t="s">
        <v>47</v>
      </c>
      <c r="D83" s="103"/>
      <c r="E83" s="19"/>
      <c r="F83" s="120" t="s">
        <v>29</v>
      </c>
      <c r="G83" s="103"/>
      <c r="H83" s="103"/>
      <c r="I83" s="103"/>
      <c r="J83" s="103"/>
    </row>
    <row r="84" spans="1:10">
      <c r="A84" s="9"/>
      <c r="C84" s="7"/>
      <c r="D84" s="7"/>
      <c r="E84" s="7"/>
    </row>
    <row r="85" spans="1:10" ht="14.25" customHeight="1">
      <c r="A85" s="95" t="s">
        <v>48</v>
      </c>
      <c r="B85" s="89"/>
      <c r="C85" s="95" t="s">
        <v>49</v>
      </c>
      <c r="D85" s="89"/>
      <c r="E85" s="89"/>
      <c r="F85" s="27" t="s">
        <v>27</v>
      </c>
      <c r="G85" s="92">
        <v>400</v>
      </c>
      <c r="H85" s="89"/>
      <c r="I85" s="92">
        <v>1</v>
      </c>
      <c r="J85" s="89"/>
    </row>
    <row r="86" spans="1:10" ht="24.95" customHeight="1">
      <c r="A86" s="109" t="s">
        <v>50</v>
      </c>
      <c r="B86" s="89"/>
      <c r="C86" s="95" t="s">
        <v>11</v>
      </c>
      <c r="D86" s="89"/>
      <c r="E86" s="89"/>
      <c r="F86" s="95"/>
      <c r="G86" s="89"/>
      <c r="H86" s="89"/>
      <c r="I86" s="89"/>
      <c r="J86" s="89"/>
    </row>
    <row r="87" spans="1:10" ht="14.25" customHeight="1">
      <c r="A87" s="123" t="s">
        <v>56</v>
      </c>
      <c r="B87" s="89"/>
      <c r="C87" s="95" t="s">
        <v>52</v>
      </c>
      <c r="D87" s="89"/>
      <c r="E87" s="89"/>
      <c r="F87" s="27" t="s">
        <v>27</v>
      </c>
      <c r="G87" s="92">
        <v>6</v>
      </c>
      <c r="H87" s="89"/>
      <c r="I87" s="92">
        <v>1.4999999999999999E-2</v>
      </c>
      <c r="J87" s="89"/>
    </row>
    <row r="88" spans="1:10" ht="24.95" customHeight="1">
      <c r="A88" s="109" t="s">
        <v>53</v>
      </c>
      <c r="B88" s="89"/>
      <c r="C88" s="95"/>
      <c r="D88" s="89"/>
      <c r="E88" s="89"/>
      <c r="F88" s="95"/>
      <c r="G88" s="89"/>
      <c r="H88" s="89"/>
      <c r="I88" s="89"/>
      <c r="J88" s="89"/>
    </row>
    <row r="89" spans="1:10" ht="14.25" customHeight="1">
      <c r="A89" s="95"/>
      <c r="B89" s="89"/>
      <c r="C89" s="95"/>
      <c r="D89" s="89"/>
      <c r="E89" s="89"/>
      <c r="F89" s="27"/>
      <c r="G89" s="92"/>
      <c r="H89" s="89"/>
      <c r="I89" s="92"/>
      <c r="J89" s="89"/>
    </row>
    <row r="90" spans="1:10" ht="24.95" customHeight="1">
      <c r="A90" s="109"/>
      <c r="B90" s="89"/>
      <c r="C90" s="95"/>
      <c r="D90" s="89"/>
      <c r="E90" s="89"/>
      <c r="F90" s="95"/>
      <c r="G90" s="89"/>
      <c r="H90" s="89"/>
      <c r="I90" s="89"/>
      <c r="J90" s="89"/>
    </row>
    <row r="91" spans="1:10" ht="14.25" customHeight="1">
      <c r="A91" s="95"/>
      <c r="B91" s="89"/>
      <c r="C91" s="95"/>
      <c r="D91" s="89"/>
      <c r="E91" s="89"/>
      <c r="F91" s="27"/>
      <c r="G91" s="92"/>
      <c r="H91" s="89"/>
      <c r="I91" s="92"/>
      <c r="J91" s="89"/>
    </row>
    <row r="92" spans="1:10" ht="24.95" customHeight="1">
      <c r="A92" s="109"/>
      <c r="B92" s="89"/>
      <c r="C92" s="95"/>
      <c r="D92" s="89"/>
      <c r="E92" s="89"/>
      <c r="F92" s="95"/>
      <c r="G92" s="89"/>
      <c r="H92" s="89"/>
      <c r="I92" s="89"/>
      <c r="J92" s="89"/>
    </row>
    <row r="93" spans="1:10" ht="14.25" customHeight="1">
      <c r="A93" s="95"/>
      <c r="B93" s="89"/>
      <c r="C93" s="95"/>
      <c r="D93" s="89"/>
      <c r="E93" s="89"/>
      <c r="F93" s="27"/>
      <c r="G93" s="92"/>
      <c r="H93" s="89"/>
      <c r="I93" s="92"/>
      <c r="J93" s="89"/>
    </row>
    <row r="94" spans="1:10" ht="24.95" customHeight="1" thickBot="1">
      <c r="A94" s="109"/>
      <c r="B94" s="89"/>
      <c r="C94" s="95"/>
      <c r="D94" s="89"/>
      <c r="E94" s="89"/>
      <c r="F94" s="95"/>
      <c r="G94" s="89"/>
      <c r="H94" s="89"/>
      <c r="I94" s="89"/>
      <c r="J94" s="89"/>
    </row>
    <row r="95" spans="1:10" s="5" customFormat="1" ht="18" customHeight="1">
      <c r="A95" s="114" t="s">
        <v>57</v>
      </c>
      <c r="B95" s="115"/>
      <c r="C95" s="115"/>
      <c r="D95" s="115"/>
      <c r="E95" s="116" t="s">
        <v>58</v>
      </c>
      <c r="F95" s="117"/>
      <c r="G95" s="28" t="s">
        <v>59</v>
      </c>
      <c r="H95" s="154" t="s">
        <v>60</v>
      </c>
      <c r="I95" s="154"/>
      <c r="J95" s="29" t="s">
        <v>61</v>
      </c>
    </row>
    <row r="96" spans="1:10" s="7" customFormat="1" ht="18" customHeight="1">
      <c r="A96" s="155" t="str">
        <f>_xlfn.XLOOKUP(B60,[1]VFDB2!A:A,[1]VFDB2!B:B)</f>
        <v>ハーネスガイド部材　L=275</v>
      </c>
      <c r="B96" s="156"/>
      <c r="C96" s="156"/>
      <c r="D96" s="156"/>
      <c r="E96" s="134" t="str" cm="1">
        <f t="array" ref="E96">IFERROR(IF(ISBLANK(INDEX(_xlfn._xlws.FILTER([1]加工記録２!$C$3:$C$992, [1]加工記録２!$T$3:$T$992=B62), 6)), "", INDEX(_xlfn._xlws.FILTER([1]加工記録２!$C$3:$C$992, [1]加工記録２!$T$3:$T$992=B62), 6)),"")</f>
        <v>S-11</v>
      </c>
      <c r="F96" s="135"/>
      <c r="G96" s="159" cm="1">
        <f t="array" ref="G96">IFERROR(IF(ISBLANK(INDEX(_xlfn._xlws.FILTER([1]加工記録２!$C$3:$C$992, [1]加工記録２!$T$3:$T$992=B62), 7)), " ", INDEX(_xlfn._xlws.FILTER([1]加工記録２!$C$3:$C$992, [1]加工記録２!$T$3:$T$992=B62), 7))," ")</f>
        <v>5</v>
      </c>
      <c r="H96" s="30" t="s">
        <v>62</v>
      </c>
      <c r="I96" s="87" cm="1">
        <f t="array" ref="I96:J96">IFERROR(IF(ISBLANK(INDEX(_xlfn._xlws.FILTER([1]加工記録２!$O$3:$P$992, [1]加工記録２!$T$3:$T$992=B62), 1)), "", INDEX(_xlfn._xlws.FILTER([1]加工記録２!$O$3:$P$992, [1]加工記録２!$T$3:$T$992=B62), 1)),"")</f>
        <v>45860</v>
      </c>
      <c r="J96" s="79" t="str">
        <v/>
      </c>
    </row>
    <row r="97" spans="1:14" s="5" customFormat="1" ht="18" customHeight="1">
      <c r="A97" s="157"/>
      <c r="B97" s="158"/>
      <c r="C97" s="158"/>
      <c r="D97" s="158"/>
      <c r="E97" s="134"/>
      <c r="F97" s="135"/>
      <c r="G97" s="159"/>
      <c r="H97" s="30" t="s">
        <v>63</v>
      </c>
      <c r="I97" s="78" cm="1">
        <f t="array" ref="I97:J97">IFERROR(IF(ISBLANK(INDEX(_xlfn._xlws.FILTER([1]加工記録２!$O$3:$P$992, [1]加工記録２!$T$3:$T$992=B62), 2)), "", INDEX(_xlfn._xlws.FILTER([1]加工記録２!$O$3:$P$992, [1]加工記録２!$T$3:$T$992=B62), 2)),"")</f>
        <v>2000</v>
      </c>
      <c r="J97" s="80" t="str">
        <v/>
      </c>
      <c r="K97" s="31"/>
    </row>
    <row r="98" spans="1:14" s="7" customFormat="1" ht="18" customHeight="1">
      <c r="A98" s="143" t="s">
        <v>64</v>
      </c>
      <c r="B98" s="161" t="str">
        <f>_xlfn.XLOOKUP(B60,[1]!#REF!,[1]!#REF!,,)</f>
        <v>-</v>
      </c>
      <c r="C98" s="163" t="s">
        <v>65</v>
      </c>
      <c r="D98" s="132">
        <f>_xlfn.XLOOKUP(B60,[1]!#REF!,[1]!#REF!,,)</f>
        <v>5</v>
      </c>
      <c r="E98" s="134">
        <f>_xlfn.XLOOKUP(B60,[1]!#REF!,[1]!#REF!,,)</f>
        <v>0</v>
      </c>
      <c r="F98" s="135"/>
      <c r="G98" s="136"/>
      <c r="H98" s="32" t="s">
        <v>66</v>
      </c>
      <c r="I98" s="78" cm="1">
        <f t="array" ref="I98:J98">IFERROR(IF(ISBLANK(INDEX(_xlfn._xlws.FILTER([1]加工記録２!$O$3:$P$992, [1]加工記録２!$T$3:$T$992=B62), 3)), "", INDEX(_xlfn._xlws.FILTER([1]加工記録２!$O$3:$P$992, [1]加工記録２!$T$3:$T$992=B62), 3)),"")</f>
        <v>400</v>
      </c>
      <c r="J98" s="81" t="str">
        <v/>
      </c>
      <c r="K98" s="33"/>
    </row>
    <row r="99" spans="1:14" s="5" customFormat="1" ht="18" customHeight="1">
      <c r="A99" s="160"/>
      <c r="B99" s="162"/>
      <c r="C99" s="164"/>
      <c r="D99" s="133"/>
      <c r="E99" s="134"/>
      <c r="F99" s="135"/>
      <c r="G99" s="136"/>
      <c r="H99" s="32" t="s">
        <v>67</v>
      </c>
      <c r="I99" s="78" cm="1">
        <f t="array" ref="I99:J99">IFERROR(IF(ISBLANK(INDEX(_xlfn._xlws.FILTER([1]加工記録２!$O$3:$P$992, [1]加工記録２!$T$3:$T$992=B62), 4)), "", INDEX(_xlfn._xlws.FILTER([1]加工記録２!$O$3:$P$992, [1]加工記録２!$T$3:$T$992=B62), 4)),"")</f>
        <v>0</v>
      </c>
      <c r="J99" s="82" t="str">
        <v/>
      </c>
      <c r="K99" s="31"/>
    </row>
    <row r="100" spans="1:14" s="7" customFormat="1" ht="18" customHeight="1">
      <c r="A100" s="112" t="s">
        <v>68</v>
      </c>
      <c r="B100" s="137">
        <f>D60</f>
        <v>275</v>
      </c>
      <c r="C100" s="139" t="s">
        <v>69</v>
      </c>
      <c r="D100" s="141" t="str">
        <f>_xlfn.XLOOKUP(B60,[1]!#REF!,[1]!#REF!,,)</f>
        <v>+1.5</v>
      </c>
      <c r="E100" s="134">
        <f>_xlfn.XLOOKUP(B60,[1]!#REF!,[1]!#REF!,,)</f>
        <v>0</v>
      </c>
      <c r="F100" s="135"/>
      <c r="G100" s="136"/>
      <c r="H100" s="32" t="s">
        <v>70</v>
      </c>
      <c r="I100" s="78" cm="1">
        <f t="array" ref="I100:J100">IFERROR(IF(ISBLANK(INDEX(_xlfn._xlws.FILTER([1]加工記録２!$O$3:$P$992, [1]加工記録２!$T$3:$T$992=B62), 5)), "", INDEX(_xlfn._xlws.FILTER([1]加工記録２!$O$3:$P$992, [1]加工記録２!$T$3:$T$992=B62), 5)),"")</f>
        <v>0</v>
      </c>
      <c r="J100" s="83" t="str">
        <v/>
      </c>
      <c r="K100" s="33"/>
    </row>
    <row r="101" spans="1:14" s="5" customFormat="1" ht="18" customHeight="1">
      <c r="A101" s="113"/>
      <c r="B101" s="138"/>
      <c r="C101" s="140"/>
      <c r="D101" s="142"/>
      <c r="E101" s="134"/>
      <c r="F101" s="135"/>
      <c r="G101" s="136"/>
      <c r="H101" s="32" t="s">
        <v>71</v>
      </c>
      <c r="I101" s="78" cm="1">
        <f t="array" ref="I101:J101">IFERROR(IF(ISBLANK(INDEX(_xlfn._xlws.FILTER([1]加工記録２!$O$3:$P$992, [1]加工記録２!$T$3:$T$992=B62), 6)), "", INDEX(_xlfn._xlws.FILTER([1]加工記録２!$O$3:$P$992, [1]加工記録２!$T$3:$T$992=B62), 6)),"")</f>
        <v>0</v>
      </c>
      <c r="J101" s="84" t="str">
        <v/>
      </c>
      <c r="K101" s="31"/>
    </row>
    <row r="102" spans="1:14" s="7" customFormat="1" ht="18" customHeight="1">
      <c r="A102" s="143" t="s">
        <v>72</v>
      </c>
      <c r="B102" s="145">
        <f>_xlfn.XLOOKUP(B60,[1]!#REF!,[1]!#REF!,,)</f>
        <v>276</v>
      </c>
      <c r="C102" s="147" t="s">
        <v>73</v>
      </c>
      <c r="D102" s="141">
        <f>_xlfn.XLOOKUP(B60,[1]!#REF!,[1]!#REF!,,)</f>
        <v>-0.5</v>
      </c>
      <c r="E102" s="134" t="str">
        <f>_xlfn.XLOOKUP(B60,[1]!#REF!,[1]!#REF!,,)</f>
        <v>ラベル２枚　長手有　鉢無</v>
      </c>
      <c r="F102" s="135"/>
      <c r="G102" s="136"/>
      <c r="H102" s="32" t="s">
        <v>74</v>
      </c>
      <c r="I102" s="78" t="str" cm="1">
        <f t="array" ref="I102:J102">IFERROR(IF(ISBLANK(INDEX(_xlfn._xlws.FILTER([1]加工記録２!$O$3:$P$992, [1]加工記録２!$T$3:$T$992=B62), 7)), "", INDEX(_xlfn._xlws.FILTER([1]加工記録２!$O$3:$P$992, [1]加工記録２!$T$3:$T$992=B62), 7)),"")</f>
        <v>富田・水野</v>
      </c>
      <c r="J102" s="85" t="str">
        <v/>
      </c>
      <c r="K102" s="33"/>
    </row>
    <row r="103" spans="1:14" s="5" customFormat="1" ht="18" customHeight="1" thickBot="1">
      <c r="A103" s="144"/>
      <c r="B103" s="146"/>
      <c r="C103" s="148"/>
      <c r="D103" s="149"/>
      <c r="E103" s="150"/>
      <c r="F103" s="151"/>
      <c r="G103" s="152"/>
      <c r="H103" s="34" t="s">
        <v>75</v>
      </c>
      <c r="I103" s="35" t="str" cm="1">
        <f t="array" ref="I103:J103">IFERROR(IF(ISBLANK(INDEX(_xlfn._xlws.FILTER([1]加工記録２!$O$3:$P$992, [1]加工記録２!$T$3:$T$992=B62), 8)), "", INDEX(_xlfn._xlws.FILTER([1]加工記録２!$O$3:$P$992, [1]加工記録２!$T$3:$T$992=B62), 8)),"")</f>
        <v>-</v>
      </c>
      <c r="J103" s="86">
        <v>0</v>
      </c>
    </row>
    <row r="104" spans="1:14" s="46" customFormat="1" ht="18.95" customHeight="1">
      <c r="A104" s="36" t="s">
        <v>76</v>
      </c>
      <c r="B104" s="37" t="s">
        <v>77</v>
      </c>
      <c r="C104" s="38" t="s">
        <v>78</v>
      </c>
      <c r="D104" s="38" t="s">
        <v>79</v>
      </c>
      <c r="E104" s="39" t="s">
        <v>80</v>
      </c>
      <c r="F104" s="40" t="s">
        <v>81</v>
      </c>
      <c r="G104" s="41" t="s">
        <v>82</v>
      </c>
      <c r="H104" s="42" t="s">
        <v>83</v>
      </c>
      <c r="I104" s="43" t="s">
        <v>84</v>
      </c>
      <c r="J104" s="44" t="s">
        <v>85</v>
      </c>
      <c r="K104" s="45"/>
      <c r="L104" s="45"/>
      <c r="M104" s="45"/>
      <c r="N104" s="45"/>
    </row>
    <row r="105" spans="1:14" s="57" customFormat="1" ht="18.95" customHeight="1">
      <c r="A105" s="47" t="str" cm="1">
        <f t="array" ref="A105:J105">IFERROR(IF(ISBLANK(INDEX(_xlfn._xlws.FILTER([1]加工記録２!$D$3:$M$992, [1]加工記録２!$T$3:$T$992=B62), 1)), "", INDEX(_xlfn._xlws.FILTER([1]加工記録２!$D$3:$M$992, [1]加工記録２!$T$3:$T$992=B62), 1)),"")</f>
        <v/>
      </c>
      <c r="B105" s="48" t="str">
        <v/>
      </c>
      <c r="C105" s="49" t="str">
        <v/>
      </c>
      <c r="D105" s="49" t="str">
        <v/>
      </c>
      <c r="E105" s="50" t="str">
        <v/>
      </c>
      <c r="F105" s="51">
        <v>0</v>
      </c>
      <c r="G105" s="52">
        <v>0</v>
      </c>
      <c r="H105" s="53">
        <v>0</v>
      </c>
      <c r="I105" s="54">
        <v>45860</v>
      </c>
      <c r="J105" s="55">
        <v>5</v>
      </c>
      <c r="K105" s="56"/>
      <c r="L105" s="56"/>
      <c r="M105" s="56"/>
      <c r="N105" s="56"/>
    </row>
    <row r="106" spans="1:14" s="57" customFormat="1" ht="18.95" customHeight="1">
      <c r="A106" s="47" cm="1">
        <f t="array" ref="A106:J106">IFERROR(IF(ISBLANK(INDEX(_xlfn._xlws.FILTER([1]加工記録２!$D$3:$M$992, [1]加工記録２!$T$3:$T$992=B62), 2)), "", INDEX(_xlfn._xlws.FILTER([1]加工記録２!$D$3:$M$992, [1]加工記録２!$T$3:$T$992=B62), 2)),"")</f>
        <v>45860</v>
      </c>
      <c r="B106" s="58" t="str">
        <v>25G17B</v>
      </c>
      <c r="C106" s="58" t="str">
        <v/>
      </c>
      <c r="D106" s="58">
        <v>275</v>
      </c>
      <c r="E106" s="59">
        <v>276.01</v>
      </c>
      <c r="F106" s="60" t="str">
        <v>25G17B</v>
      </c>
      <c r="G106" s="61">
        <v>1200</v>
      </c>
      <c r="H106" s="62">
        <v>240</v>
      </c>
      <c r="I106" s="54" t="str">
        <v/>
      </c>
      <c r="J106" s="55" t="str">
        <v/>
      </c>
      <c r="K106" s="56"/>
      <c r="L106" s="56"/>
      <c r="M106" s="56"/>
      <c r="N106" s="56"/>
    </row>
    <row r="107" spans="1:14" s="57" customFormat="1" ht="18.95" customHeight="1">
      <c r="A107" s="47" cm="1">
        <f t="array" ref="A107:J107">IFERROR(IF(ISBLANK(INDEX(_xlfn._xlws.FILTER([1]加工記録２!$D$3:$M$992, [1]加工記録２!$T$3:$T$992=B62), 3)), "", INDEX(_xlfn._xlws.FILTER([1]加工記録２!$D$3:$M$992, [1]加工記録２!$T$3:$T$992=B62), 3)),"")</f>
        <v>45860</v>
      </c>
      <c r="B107" s="58" t="str">
        <v>25G16B</v>
      </c>
      <c r="C107" s="58" t="str">
        <v/>
      </c>
      <c r="D107" s="58">
        <v>275</v>
      </c>
      <c r="E107" s="59">
        <v>275.93</v>
      </c>
      <c r="F107" s="60" t="str">
        <v>25G16B</v>
      </c>
      <c r="G107" s="61">
        <v>800</v>
      </c>
      <c r="H107" s="62">
        <v>160</v>
      </c>
      <c r="I107" s="54" t="str">
        <v/>
      </c>
      <c r="J107" s="55" t="str">
        <v/>
      </c>
      <c r="K107" s="56"/>
      <c r="L107" s="56"/>
      <c r="M107" s="56"/>
      <c r="N107" s="56"/>
    </row>
    <row r="108" spans="1:14" s="57" customFormat="1" ht="18.95" customHeight="1">
      <c r="A108" s="47" t="str" cm="1">
        <f t="array" ref="A108:J108">IFERROR(IF(ISBLANK(INDEX(_xlfn._xlws.FILTER([1]加工記録２!$D$3:$M$992, [1]加工記録２!$T$3:$T$992=B62), 4)), "", INDEX(_xlfn._xlws.FILTER([1]加工記録２!$D$3:$M$992, [1]加工記録２!$T$3:$T$992=B62), 4)),"")</f>
        <v/>
      </c>
      <c r="B108" s="58" t="str">
        <v/>
      </c>
      <c r="C108" s="58" t="str">
        <v/>
      </c>
      <c r="D108" s="58">
        <v>275</v>
      </c>
      <c r="E108" s="59" t="str">
        <v/>
      </c>
      <c r="F108" s="60" t="str">
        <v/>
      </c>
      <c r="G108" s="61" t="str">
        <v/>
      </c>
      <c r="H108" s="62">
        <v>0</v>
      </c>
      <c r="I108" s="54" t="str">
        <v/>
      </c>
      <c r="J108" s="55" t="str">
        <v/>
      </c>
      <c r="K108" s="56"/>
      <c r="L108" s="56"/>
      <c r="M108" s="56"/>
      <c r="N108" s="56"/>
    </row>
    <row r="109" spans="1:14" s="57" customFormat="1" ht="18.95" customHeight="1">
      <c r="A109" s="47" t="str" cm="1">
        <f t="array" ref="A109:J109">IFERROR(IF(ISBLANK(INDEX(_xlfn._xlws.FILTER([1]加工記録２!$D$3:$M$992, [1]加工記録２!$T$3:$T$992=B62), 5)), "", INDEX(_xlfn._xlws.FILTER([1]加工記録２!$D$3:$M$992, [1]加工記録２!$T$3:$T$992=B62), 5)),"")</f>
        <v/>
      </c>
      <c r="B109" s="58" t="str">
        <v/>
      </c>
      <c r="C109" s="58" t="str">
        <v/>
      </c>
      <c r="D109" s="58">
        <v>275</v>
      </c>
      <c r="E109" s="59" t="str">
        <v/>
      </c>
      <c r="F109" s="60" t="str">
        <v/>
      </c>
      <c r="G109" s="61" t="str">
        <v/>
      </c>
      <c r="H109" s="62">
        <v>0</v>
      </c>
      <c r="I109" s="63" t="str">
        <v/>
      </c>
      <c r="J109" s="64" t="str">
        <v/>
      </c>
      <c r="K109" s="56"/>
      <c r="L109" s="56"/>
      <c r="M109" s="56"/>
      <c r="N109" s="56"/>
    </row>
    <row r="110" spans="1:14" s="57" customFormat="1" ht="18.95" customHeight="1">
      <c r="A110" s="47" t="str" cm="1">
        <f t="array" ref="A110:J110">IFERROR(IF(ISBLANK(INDEX(_xlfn._xlws.FILTER([1]加工記録２!$D$3:$M$992, [1]加工記録２!$T$3:$T$992=B62), 6)), "", INDEX(_xlfn._xlws.FILTER([1]加工記録２!$D$3:$M$992, [1]加工記録２!$T$3:$T$992=B62), 6)),"")</f>
        <v/>
      </c>
      <c r="B110" s="58" t="str">
        <v/>
      </c>
      <c r="C110" s="58" t="str">
        <v/>
      </c>
      <c r="D110" s="58">
        <v>275</v>
      </c>
      <c r="E110" s="59" t="str">
        <v/>
      </c>
      <c r="F110" s="60" t="str">
        <v/>
      </c>
      <c r="G110" s="61" t="str">
        <v/>
      </c>
      <c r="H110" s="65">
        <v>0</v>
      </c>
      <c r="I110" s="66" t="str">
        <v>旧品加工</v>
      </c>
      <c r="J110" s="67" t="str">
        <v/>
      </c>
      <c r="K110" s="56"/>
      <c r="L110" s="56"/>
      <c r="M110" s="56"/>
      <c r="N110" s="56"/>
    </row>
    <row r="111" spans="1:14" s="57" customFormat="1" ht="18.95" customHeight="1">
      <c r="A111" s="47" t="str" cm="1">
        <f t="array" ref="A111:J111">IFERROR(IF(ISBLANK(INDEX(_xlfn._xlws.FILTER([1]加工記録２!$D$3:$M$992, [1]加工記録２!$T$3:$T$992=B62), 7)), "", INDEX(_xlfn._xlws.FILTER([1]加工記録２!$D$3:$M$992, [1]加工記録２!$T$3:$T$992=B62), 7)),"")</f>
        <v/>
      </c>
      <c r="B111" s="58" t="str">
        <v/>
      </c>
      <c r="C111" s="58" t="str">
        <v/>
      </c>
      <c r="D111" s="58">
        <v>275</v>
      </c>
      <c r="E111" s="59" t="str">
        <v/>
      </c>
      <c r="F111" s="60" t="str">
        <v/>
      </c>
      <c r="G111" s="61" t="str">
        <v/>
      </c>
      <c r="H111" s="65">
        <v>0</v>
      </c>
      <c r="I111" s="68" t="str">
        <v>持出端材</v>
      </c>
      <c r="J111" s="69" t="str">
        <v/>
      </c>
      <c r="K111" s="56"/>
      <c r="L111" s="56"/>
      <c r="M111" s="56"/>
      <c r="N111" s="56"/>
    </row>
    <row r="112" spans="1:14" s="57" customFormat="1" ht="18.95" customHeight="1" thickBot="1">
      <c r="A112" s="70" t="str" cm="1">
        <f t="array" ref="A112:J112">IFERROR(IF(ISBLANK(INDEX(_xlfn._xlws.FILTER([1]加工記録２!$D$3:$M$992, [1]加工記録２!$T$3:$T$992=B62), 8)), "", INDEX(_xlfn._xlws.FILTER([1]加工記録２!$D$3:$M$992, [1]加工記録２!$T$3:$T$992=B62), 8)),"")</f>
        <v/>
      </c>
      <c r="B112" s="71" t="str">
        <v/>
      </c>
      <c r="C112" s="71" t="str">
        <v/>
      </c>
      <c r="D112" s="71">
        <v>275</v>
      </c>
      <c r="E112" s="72" t="str">
        <v/>
      </c>
      <c r="F112" s="73" t="str">
        <v/>
      </c>
      <c r="G112" s="74" t="str">
        <v/>
      </c>
      <c r="H112" s="75">
        <v>0</v>
      </c>
      <c r="I112" s="76" t="str">
        <v>α端材</v>
      </c>
      <c r="J112" s="77">
        <v>0</v>
      </c>
      <c r="K112" s="56"/>
      <c r="L112" s="56"/>
      <c r="M112" s="56"/>
      <c r="N112" s="56"/>
    </row>
    <row r="113" spans="1:10" ht="18.95" customHeight="1" thickBo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 ht="18.95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</sheetData>
  <mergeCells count="214">
    <mergeCell ref="A95:D95"/>
    <mergeCell ref="E95:F95"/>
    <mergeCell ref="H95:I95"/>
    <mergeCell ref="A96:D97"/>
    <mergeCell ref="E96:F97"/>
    <mergeCell ref="G96:G97"/>
    <mergeCell ref="A98:A99"/>
    <mergeCell ref="B98:B99"/>
    <mergeCell ref="C98:C99"/>
    <mergeCell ref="D98:D99"/>
    <mergeCell ref="E98:G99"/>
    <mergeCell ref="A102:A103"/>
    <mergeCell ref="B102:B103"/>
    <mergeCell ref="C102:C103"/>
    <mergeCell ref="D102:D103"/>
    <mergeCell ref="E102:G103"/>
    <mergeCell ref="A100:A101"/>
    <mergeCell ref="B100:B101"/>
    <mergeCell ref="C100:C101"/>
    <mergeCell ref="D100:D101"/>
    <mergeCell ref="E100:G101"/>
    <mergeCell ref="F5:H6"/>
    <mergeCell ref="A32:B32"/>
    <mergeCell ref="A36:B36"/>
    <mergeCell ref="F20:H20"/>
    <mergeCell ref="H38:I38"/>
    <mergeCell ref="A39:D40"/>
    <mergeCell ref="E39:F40"/>
    <mergeCell ref="G39:G40"/>
    <mergeCell ref="A41:A42"/>
    <mergeCell ref="B41:B42"/>
    <mergeCell ref="C41:C42"/>
    <mergeCell ref="A3:A4"/>
    <mergeCell ref="F86:J86"/>
    <mergeCell ref="G28:H28"/>
    <mergeCell ref="I75:J75"/>
    <mergeCell ref="I22:J22"/>
    <mergeCell ref="I28:J28"/>
    <mergeCell ref="C82:E82"/>
    <mergeCell ref="G93:H93"/>
    <mergeCell ref="A69:C70"/>
    <mergeCell ref="I93:J93"/>
    <mergeCell ref="A5:A6"/>
    <mergeCell ref="A86:B86"/>
    <mergeCell ref="G30:H30"/>
    <mergeCell ref="I4:I5"/>
    <mergeCell ref="I36:J36"/>
    <mergeCell ref="C90:E90"/>
    <mergeCell ref="G82:H82"/>
    <mergeCell ref="A64:A65"/>
    <mergeCell ref="C29:E29"/>
    <mergeCell ref="A31:B31"/>
    <mergeCell ref="F73:H73"/>
    <mergeCell ref="C86:E86"/>
    <mergeCell ref="A12:C13"/>
    <mergeCell ref="B5:B6"/>
    <mergeCell ref="E45:G46"/>
    <mergeCell ref="F90:J90"/>
    <mergeCell ref="A93:B93"/>
    <mergeCell ref="I78:J78"/>
    <mergeCell ref="D60:D61"/>
    <mergeCell ref="C16:D16"/>
    <mergeCell ref="A25:B25"/>
    <mergeCell ref="I85:J85"/>
    <mergeCell ref="F94:J94"/>
    <mergeCell ref="A62:A63"/>
    <mergeCell ref="F19:H19"/>
    <mergeCell ref="A29:B29"/>
    <mergeCell ref="C21:D21"/>
    <mergeCell ref="C37:E37"/>
    <mergeCell ref="C35:E35"/>
    <mergeCell ref="F64:G64"/>
    <mergeCell ref="I21:J21"/>
    <mergeCell ref="C28:E28"/>
    <mergeCell ref="G32:H32"/>
    <mergeCell ref="H67:J68"/>
    <mergeCell ref="C26:D26"/>
    <mergeCell ref="D41:D42"/>
    <mergeCell ref="E41:G42"/>
    <mergeCell ref="C32:E32"/>
    <mergeCell ref="B58:D59"/>
    <mergeCell ref="C60:C61"/>
    <mergeCell ref="A35:B35"/>
    <mergeCell ref="C34:E34"/>
    <mergeCell ref="A33:B33"/>
    <mergeCell ref="I34:J34"/>
    <mergeCell ref="B43:B44"/>
    <mergeCell ref="C43:C44"/>
    <mergeCell ref="D43:D44"/>
    <mergeCell ref="E43:G44"/>
    <mergeCell ref="A45:A46"/>
    <mergeCell ref="B45:B46"/>
    <mergeCell ref="C45:C46"/>
    <mergeCell ref="D45:D46"/>
    <mergeCell ref="F88:J88"/>
    <mergeCell ref="C75:D75"/>
    <mergeCell ref="C22:D22"/>
    <mergeCell ref="C80:D80"/>
    <mergeCell ref="F26:J26"/>
    <mergeCell ref="H12:H13"/>
    <mergeCell ref="C87:E87"/>
    <mergeCell ref="F9:G9"/>
    <mergeCell ref="I82:J82"/>
    <mergeCell ref="C33:E33"/>
    <mergeCell ref="G25:H25"/>
    <mergeCell ref="I19:J19"/>
    <mergeCell ref="C88:E88"/>
    <mergeCell ref="I23:J23"/>
    <mergeCell ref="C30:E30"/>
    <mergeCell ref="C23:D23"/>
    <mergeCell ref="I79:J79"/>
    <mergeCell ref="E62:E63"/>
    <mergeCell ref="F16:H16"/>
    <mergeCell ref="I73:J73"/>
    <mergeCell ref="F37:J37"/>
    <mergeCell ref="J61:J62"/>
    <mergeCell ref="E60:E61"/>
    <mergeCell ref="F62:H63"/>
    <mergeCell ref="A37:B37"/>
    <mergeCell ref="D3:D4"/>
    <mergeCell ref="A15:J15"/>
    <mergeCell ref="F21:H21"/>
    <mergeCell ref="C25:E25"/>
    <mergeCell ref="C85:E85"/>
    <mergeCell ref="I30:J30"/>
    <mergeCell ref="C83:D83"/>
    <mergeCell ref="A30:B30"/>
    <mergeCell ref="F31:J31"/>
    <mergeCell ref="A7:A8"/>
    <mergeCell ref="G10:G11"/>
    <mergeCell ref="F22:H22"/>
    <mergeCell ref="I16:J16"/>
    <mergeCell ref="I25:J25"/>
    <mergeCell ref="F18:H18"/>
    <mergeCell ref="C31:E31"/>
    <mergeCell ref="F7:G7"/>
    <mergeCell ref="F23:H23"/>
    <mergeCell ref="C20:D20"/>
    <mergeCell ref="C78:D78"/>
    <mergeCell ref="C36:E36"/>
    <mergeCell ref="I69:J70"/>
    <mergeCell ref="C18:D18"/>
    <mergeCell ref="G91:H91"/>
    <mergeCell ref="A92:B92"/>
    <mergeCell ref="A90:B90"/>
    <mergeCell ref="C91:E91"/>
    <mergeCell ref="A88:B88"/>
    <mergeCell ref="F60:H61"/>
    <mergeCell ref="C79:D79"/>
    <mergeCell ref="C73:D73"/>
    <mergeCell ref="F83:J83"/>
    <mergeCell ref="I76:J76"/>
    <mergeCell ref="F78:H78"/>
    <mergeCell ref="I61:I62"/>
    <mergeCell ref="F76:H76"/>
    <mergeCell ref="G69:G70"/>
    <mergeCell ref="A72:J72"/>
    <mergeCell ref="A91:B91"/>
    <mergeCell ref="C89:E89"/>
    <mergeCell ref="G89:H89"/>
    <mergeCell ref="C76:D76"/>
    <mergeCell ref="A85:B85"/>
    <mergeCell ref="B64:B65"/>
    <mergeCell ref="I80:J80"/>
    <mergeCell ref="A87:B87"/>
    <mergeCell ref="H69:H70"/>
    <mergeCell ref="C94:E94"/>
    <mergeCell ref="A89:B89"/>
    <mergeCell ref="F35:J35"/>
    <mergeCell ref="F77:H77"/>
    <mergeCell ref="F66:G66"/>
    <mergeCell ref="A94:B94"/>
    <mergeCell ref="C92:E92"/>
    <mergeCell ref="I77:J77"/>
    <mergeCell ref="I89:J89"/>
    <mergeCell ref="F79:H79"/>
    <mergeCell ref="G87:H87"/>
    <mergeCell ref="I87:J87"/>
    <mergeCell ref="I91:J91"/>
    <mergeCell ref="B62:B63"/>
    <mergeCell ref="F80:H80"/>
    <mergeCell ref="A82:B82"/>
    <mergeCell ref="A60:A61"/>
    <mergeCell ref="C93:E93"/>
    <mergeCell ref="F75:H75"/>
    <mergeCell ref="A43:A44"/>
    <mergeCell ref="G36:H36"/>
    <mergeCell ref="A38:D38"/>
    <mergeCell ref="E38:F38"/>
    <mergeCell ref="F92:J92"/>
    <mergeCell ref="B1:D2"/>
    <mergeCell ref="I20:J20"/>
    <mergeCell ref="G85:H85"/>
    <mergeCell ref="G12:G13"/>
    <mergeCell ref="C19:D19"/>
    <mergeCell ref="A28:B28"/>
    <mergeCell ref="C3:C4"/>
    <mergeCell ref="E3:E4"/>
    <mergeCell ref="B7:B8"/>
    <mergeCell ref="A34:B34"/>
    <mergeCell ref="C77:D77"/>
    <mergeCell ref="E5:E6"/>
    <mergeCell ref="G67:G68"/>
    <mergeCell ref="F29:J29"/>
    <mergeCell ref="I12:J13"/>
    <mergeCell ref="J4:J5"/>
    <mergeCell ref="F33:J33"/>
    <mergeCell ref="F3:H4"/>
    <mergeCell ref="I18:J18"/>
    <mergeCell ref="G34:H34"/>
    <mergeCell ref="B3:B4"/>
    <mergeCell ref="H10:J11"/>
    <mergeCell ref="I32:J32"/>
    <mergeCell ref="B60:B61"/>
  </mergeCells>
  <phoneticPr fontId="2"/>
  <conditionalFormatting sqref="D50:D55">
    <cfRule type="cellIs" dxfId="5" priority="6" operator="equal">
      <formula>$D49</formula>
    </cfRule>
  </conditionalFormatting>
  <conditionalFormatting sqref="D107:D112">
    <cfRule type="cellIs" dxfId="4" priority="3" operator="equal">
      <formula>$D106</formula>
    </cfRule>
  </conditionalFormatting>
  <conditionalFormatting sqref="I39">
    <cfRule type="cellIs" dxfId="3" priority="4" operator="lessThan">
      <formula>45658</formula>
    </cfRule>
  </conditionalFormatting>
  <conditionalFormatting sqref="I96">
    <cfRule type="cellIs" dxfId="2" priority="1" operator="lessThan">
      <formula>45658</formula>
    </cfRule>
  </conditionalFormatting>
  <conditionalFormatting sqref="J46">
    <cfRule type="cellIs" dxfId="1" priority="5" operator="equal">
      <formula>0</formula>
    </cfRule>
  </conditionalFormatting>
  <conditionalFormatting sqref="J103">
    <cfRule type="cellIs" dxfId="0" priority="2" operator="equal">
      <formula>0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" manualBreakCount="1">
    <brk id="5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2025-07-15T02:51:42Z</cp:lastPrinted>
  <dcterms:created xsi:type="dcterms:W3CDTF">2024-07-11T02:08:33Z</dcterms:created>
  <dcterms:modified xsi:type="dcterms:W3CDTF">2025-07-22T07:00:31Z</dcterms:modified>
</cp:coreProperties>
</file>