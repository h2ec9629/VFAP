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658FC8FD-F20F-491B-A15F-30CC2A366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A39" i="1"/>
  <c r="J4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<sst xmlns="http://schemas.openxmlformats.org/spreadsheetml/2006/main" count="88" uniqueCount="84">
  <si>
    <t>検査梱包指示書</t>
  </si>
  <si>
    <t>品目番号</t>
  </si>
  <si>
    <t>J1DAFZB00105500</t>
  </si>
  <si>
    <t>Ｌ寸</t>
  </si>
  <si>
    <t>名称</t>
  </si>
  <si>
    <t>照明ｶﾊﾞｰS15</t>
  </si>
  <si>
    <t>上長</t>
  </si>
  <si>
    <t>係員</t>
  </si>
  <si>
    <t>製造指図№</t>
  </si>
  <si>
    <t>000000000009943</t>
  </si>
  <si>
    <t>原料名</t>
  </si>
  <si>
    <t>(J6VG005)</t>
  </si>
  <si>
    <t>発注明細№</t>
  </si>
  <si>
    <t>000000000811536</t>
  </si>
  <si>
    <t>色　名</t>
  </si>
  <si>
    <t>乳白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</si>
  <si>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</si>
  <si>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</si>
  <si>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</si>
  <si>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</si>
  <si>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</si>
  <si>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</si>
  <si>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</si>
  <si>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</si>
  <si>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4171</t>
  </si>
  <si>
    <t>*J1DAFZB00105500*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</si>
  <si>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</si>
  <si>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</si>
  <si>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</si>
  <si>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</si>
  <si>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</si>
  <si>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</si>
  <si>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</si>
  <si>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</si>
  <si>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</si>
  <si>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</si>
  <si>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</si>
  <si>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</si>
  <si>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</si>
  <si>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</si>
  <si>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</si>
  <si>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</si>
  <si>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</si>
  <si>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</si>
  <si>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</si>
  <si>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</si>
  <si>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</si>
  <si>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</si>
  <si>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J1DAFZA00117200</t>
  </si>
  <si>
    <t>@照明ｶﾊﾞｰ</t>
  </si>
  <si>
    <t>V3W04</t>
  </si>
  <si>
    <t>*J1DAFZA00117200*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</si>
  <si>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</si>
  <si>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</si>
  <si>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</si>
  <si>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</si>
  <si>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</si>
  <si>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</si>
  <si>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</si>
  <si>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</si>
  <si>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</si>
  <si>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</si>
  <si>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</si>
  <si>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</si>
  <si>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</si>
  <si>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</si>
  <si>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</si>
  <si>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</si>
  <si>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</si>
  <si>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</si>
  <si>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</si>
  <si>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</si>
  <si>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</si>
  <si>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</si>
  <si>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</si>
  <si>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</si>
  <si>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</si>
  <si>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</si>
  <si>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</si>
  <si>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</si>
  <si>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</si>
  <si>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</si>
  <si>
    <t>-</t>
    <phoneticPr fontId="2"/>
  </si>
  <si>
    <t>基材梱包箱使用</t>
    <rPh sb="5" eb="7">
      <t>シヨウ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</si>
</sst>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m/d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m/d"/>
    <numFmt numFmtId="193" formatCode="yy\,mm\,dd"/>
    <numFmt numFmtId="194" formatCode="#&quot;箱&quot;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21" fillId="5" borderId="22" xfId="0" applyNumberFormat="1" applyFont="1" applyFill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21" fillId="5" borderId="22" xfId="0" applyNumberFormat="1" applyFont="1" applyFill="1" applyBorder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21" fillId="5" borderId="22" xfId="0" applyNumberFormat="1" applyFont="1" applyFill="1" applyBorder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185" fontId="21" fillId="5" borderId="22" xfId="0" applyNumberFormat="1" applyFont="1" applyFill="1" applyBorder="1" applyAlignment="1">
      <alignment horizontal="left" vertical="center" shrinkToFit="1"/>
    </xf>
    <xf numFmtId="187" fontId="21" fillId="5" borderId="22" xfId="0" applyNumberFormat="1" applyFont="1" applyFill="1" applyBorder="1" applyAlignment="1">
      <alignment horizontal="left" vertical="center" shrinkToFit="1"/>
    </xf>
    <xf numFmtId="188" fontId="21" fillId="5" borderId="22" xfId="0" applyNumberFormat="1" applyFont="1" applyFill="1" applyBorder="1" applyAlignment="1">
      <alignment horizontal="left" vertical="center" shrinkToFit="1"/>
    </xf>
    <xf numFmtId="190" fontId="21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1" fontId="21" fillId="5" borderId="32" xfId="0" applyNumberFormat="1" applyFont="1" applyFill="1" applyBorder="1" applyAlignment="1">
      <alignment horizontal="left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2" fontId="30" fillId="4" borderId="21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189" fontId="30" fillId="4" borderId="36" xfId="0" applyNumberFormat="1" applyFont="1" applyFill="1" applyBorder="1" applyAlignment="1">
      <alignment horizontal="center" vertical="center"/>
    </xf>
    <xf numFmtId="179" fontId="30" fillId="4" borderId="21" xfId="0" applyNumberFormat="1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179" fontId="30" fillId="4" borderId="22" xfId="0" applyNumberFormat="1" applyFont="1" applyFill="1" applyBorder="1" applyAlignment="1">
      <alignment horizontal="center" vertical="center"/>
    </xf>
    <xf numFmtId="193" fontId="30" fillId="0" borderId="21" xfId="0" applyNumberFormat="1" applyFont="1" applyBorder="1" applyAlignment="1">
      <alignment horizontal="center" vertical="center"/>
    </xf>
    <xf numFmtId="194" fontId="30" fillId="0" borderId="22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49" fontId="32" fillId="0" borderId="0" xfId="0" applyNumberFormat="1" applyFont="1" applyAlignment="1">
      <alignment vertical="top" shrinkToFit="1"/>
    </xf>
    <xf numFmtId="0" fontId="30" fillId="0" borderId="2" xfId="0" applyFont="1" applyBorder="1" applyAlignment="1">
      <alignment horizontal="center" vertical="center"/>
    </xf>
    <xf numFmtId="195" fontId="30" fillId="0" borderId="2" xfId="0" applyNumberFormat="1" applyFont="1" applyBorder="1" applyAlignment="1">
      <alignment horizontal="center" vertical="center"/>
    </xf>
    <xf numFmtId="195" fontId="30" fillId="0" borderId="22" xfId="0" applyNumberFormat="1" applyFont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193" fontId="30" fillId="0" borderId="24" xfId="0" applyNumberFormat="1" applyFont="1" applyBorder="1" applyAlignment="1">
      <alignment horizontal="center" vertical="center"/>
    </xf>
    <xf numFmtId="194" fontId="30" fillId="0" borderId="37" xfId="0" applyNumberFormat="1" applyFont="1" applyBorder="1" applyAlignment="1">
      <alignment horizontal="center" vertical="center"/>
    </xf>
    <xf numFmtId="192" fontId="30" fillId="4" borderId="30" xfId="0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95" fontId="30" fillId="0" borderId="31" xfId="0" applyNumberFormat="1" applyFont="1" applyBorder="1" applyAlignment="1">
      <alignment horizontal="center" vertical="center"/>
    </xf>
    <xf numFmtId="195" fontId="30" fillId="0" borderId="32" xfId="0" applyNumberFormat="1" applyFont="1" applyBorder="1" applyAlignment="1">
      <alignment horizontal="center" vertical="center"/>
    </xf>
    <xf numFmtId="179" fontId="30" fillId="0" borderId="30" xfId="0" applyNumberFormat="1" applyFont="1" applyBorder="1" applyAlignment="1">
      <alignment horizontal="center" vertical="center"/>
    </xf>
    <xf numFmtId="179" fontId="30" fillId="0" borderId="31" xfId="0" applyNumberFormat="1" applyFont="1" applyBorder="1" applyAlignment="1">
      <alignment horizontal="center" vertical="center"/>
    </xf>
    <xf numFmtId="179" fontId="30" fillId="0" borderId="32" xfId="0" applyNumberFormat="1" applyFont="1" applyBorder="1" applyAlignment="1">
      <alignment horizontal="center" vertical="center"/>
    </xf>
    <xf numFmtId="193" fontId="19" fillId="4" borderId="38" xfId="0" applyNumberFormat="1" applyFont="1" applyFill="1" applyBorder="1" applyAlignment="1">
      <alignment horizontal="center" vertical="center"/>
    </xf>
    <xf numFmtId="196" fontId="30" fillId="0" borderId="39" xfId="0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5" fillId="2" borderId="25" xfId="1" applyNumberFormat="1" applyFont="1" applyFill="1" applyBorder="1" applyAlignment="1">
      <alignment horizontal="center" vertical="center" shrinkToFit="1"/>
    </xf>
    <xf numFmtId="49" fontId="25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3" fillId="0" borderId="13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5" fillId="2" borderId="25" xfId="0" applyNumberFormat="1" applyFont="1" applyFill="1" applyBorder="1" applyAlignment="1">
      <alignment horizontal="center" vertical="center"/>
    </xf>
    <xf numFmtId="49" fontId="25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180976</xdr:colOff>
      <xdr:row>3</xdr:row>
      <xdr:rowOff>114301</xdr:rowOff>
    </xdr:from>
    <xdr:to>
      <xdr:col>9</xdr:col>
      <xdr:colOff>600076</xdr:colOff>
      <xdr:row>5</xdr:row>
      <xdr:rowOff>133351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5CB3842-B389-0146-4D9F-5CE4438A9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1" y="657226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114301</xdr:colOff>
      <xdr:row>3</xdr:row>
      <xdr:rowOff>66676</xdr:rowOff>
    </xdr:from>
    <xdr:to>
      <xdr:col>8</xdr:col>
      <xdr:colOff>590551</xdr:colOff>
      <xdr:row>5</xdr:row>
      <xdr:rowOff>142876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C9913D-40EE-A920-E164-5EC8C6E98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1" y="609601"/>
          <a:ext cx="476250" cy="476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2.xlsm" TargetMode="External"/><Relationship Id="rId1" Type="http://schemas.openxmlformats.org/officeDocument/2006/relationships/externalLinkPath" Target="/Users/user/Desktop/sgt25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I3">
            <v>0</v>
          </cell>
          <cell r="K3">
            <v>0</v>
          </cell>
          <cell r="L3">
            <v>45987</v>
          </cell>
          <cell r="M3">
            <v>5</v>
          </cell>
          <cell r="O3">
            <v>45988</v>
          </cell>
          <cell r="P3">
            <v>4</v>
          </cell>
          <cell r="T3" t="str">
            <v>000000000009311</v>
          </cell>
        </row>
        <row r="4">
          <cell r="D4">
            <v>45986</v>
          </cell>
          <cell r="E4" t="str">
            <v>25K09-05</v>
          </cell>
          <cell r="F4">
            <v>20</v>
          </cell>
          <cell r="G4">
            <v>1997</v>
          </cell>
          <cell r="H4">
            <v>1997.2</v>
          </cell>
          <cell r="I4" t="str">
            <v>25K09-05</v>
          </cell>
          <cell r="J4">
            <v>300</v>
          </cell>
          <cell r="K4">
            <v>300</v>
          </cell>
          <cell r="L4">
            <v>45988</v>
          </cell>
          <cell r="M4">
            <v>7</v>
          </cell>
          <cell r="O4">
            <v>504</v>
          </cell>
          <cell r="P4">
            <v>80</v>
          </cell>
          <cell r="T4" t="str">
            <v>000000000009311</v>
          </cell>
        </row>
        <row r="5">
          <cell r="D5">
            <v>45986</v>
          </cell>
          <cell r="E5" t="str">
            <v>25K09-05</v>
          </cell>
          <cell r="F5">
            <v>20</v>
          </cell>
          <cell r="G5">
            <v>1997</v>
          </cell>
          <cell r="H5">
            <v>1997.2</v>
          </cell>
          <cell r="I5" t="str">
            <v>25K10-06</v>
          </cell>
          <cell r="J5">
            <v>292</v>
          </cell>
          <cell r="K5">
            <v>292</v>
          </cell>
          <cell r="O5">
            <v>592</v>
          </cell>
          <cell r="P5">
            <v>4</v>
          </cell>
          <cell r="T5" t="str">
            <v>000000000009311</v>
          </cell>
        </row>
        <row r="6">
          <cell r="D6">
            <v>45987</v>
          </cell>
          <cell r="E6" t="str">
            <v>25K10-06</v>
          </cell>
          <cell r="F6">
            <v>20</v>
          </cell>
          <cell r="G6">
            <v>1997</v>
          </cell>
          <cell r="H6">
            <v>1997</v>
          </cell>
          <cell r="K6">
            <v>0</v>
          </cell>
          <cell r="O6">
            <v>88</v>
          </cell>
          <cell r="T6" t="str">
            <v>000000000009311</v>
          </cell>
        </row>
        <row r="7">
          <cell r="D7">
            <v>45987</v>
          </cell>
          <cell r="E7" t="str">
            <v>25K10-06</v>
          </cell>
          <cell r="F7">
            <v>20</v>
          </cell>
          <cell r="G7">
            <v>1997</v>
          </cell>
          <cell r="H7">
            <v>1997.3</v>
          </cell>
          <cell r="K7">
            <v>0</v>
          </cell>
          <cell r="O7">
            <v>88</v>
          </cell>
          <cell r="T7" t="str">
            <v>000000000009311</v>
          </cell>
        </row>
        <row r="8">
          <cell r="G8" t="str">
            <v/>
          </cell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T8" t="str">
            <v>000000000009311</v>
          </cell>
        </row>
        <row r="9">
          <cell r="G9" t="str">
            <v/>
          </cell>
          <cell r="K9">
            <v>0</v>
          </cell>
          <cell r="L9" t="str">
            <v>検査</v>
          </cell>
          <cell r="M9" t="str">
            <v>T</v>
          </cell>
          <cell r="T9" t="str">
            <v>000000000009311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O10">
            <v>0</v>
          </cell>
          <cell r="P10">
            <v>88</v>
          </cell>
          <cell r="T10" t="str">
            <v>000000000009311</v>
          </cell>
        </row>
        <row r="11">
          <cell r="I11">
            <v>0</v>
          </cell>
          <cell r="K11" t="e">
            <v>#VALUE!</v>
          </cell>
          <cell r="L11">
            <v>45989</v>
          </cell>
          <cell r="M11">
            <v>1</v>
          </cell>
          <cell r="O11">
            <v>45989</v>
          </cell>
          <cell r="T11" t="str">
            <v>000000000009857</v>
          </cell>
        </row>
        <row r="12">
          <cell r="D12">
            <v>45989</v>
          </cell>
          <cell r="E12" t="str">
            <v>22L27B</v>
          </cell>
          <cell r="G12" t="str">
            <v/>
          </cell>
          <cell r="H12">
            <v>734.77</v>
          </cell>
          <cell r="I12" t="str">
            <v>22L27B</v>
          </cell>
          <cell r="J12">
            <v>6</v>
          </cell>
          <cell r="K12">
            <v>3</v>
          </cell>
          <cell r="O12">
            <v>6</v>
          </cell>
          <cell r="T12" t="str">
            <v>000000000009857</v>
          </cell>
        </row>
        <row r="13">
          <cell r="D13">
            <v>45989</v>
          </cell>
          <cell r="E13" t="str">
            <v>22L27B</v>
          </cell>
          <cell r="G13" t="str">
            <v/>
          </cell>
          <cell r="H13">
            <v>734.8</v>
          </cell>
          <cell r="K13" t="e">
            <v>#VALUE!</v>
          </cell>
          <cell r="O13">
            <v>3</v>
          </cell>
          <cell r="T13" t="str">
            <v>000000000009857</v>
          </cell>
        </row>
        <row r="14">
          <cell r="G14" t="str">
            <v/>
          </cell>
          <cell r="K14" t="e">
            <v>#VALUE!</v>
          </cell>
          <cell r="O14" t="str">
            <v/>
          </cell>
          <cell r="T14" t="str">
            <v>000000000009857</v>
          </cell>
        </row>
        <row r="15">
          <cell r="G15" t="str">
            <v/>
          </cell>
          <cell r="K15" t="e">
            <v>#VALUE!</v>
          </cell>
          <cell r="O15">
            <v>0</v>
          </cell>
          <cell r="T15" t="str">
            <v>000000000009857</v>
          </cell>
        </row>
        <row r="16">
          <cell r="G16" t="str">
            <v/>
          </cell>
          <cell r="K16" t="e">
            <v>#VALUE!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000000000009857</v>
          </cell>
        </row>
        <row r="17">
          <cell r="G17" t="str">
            <v/>
          </cell>
          <cell r="K17" t="e">
            <v>#VALUE!</v>
          </cell>
          <cell r="L17" t="str">
            <v>検査</v>
          </cell>
          <cell r="M17" t="str">
            <v>M</v>
          </cell>
          <cell r="T17" t="str">
            <v>000000000009857</v>
          </cell>
        </row>
        <row r="18">
          <cell r="G18" t="str">
            <v/>
          </cell>
          <cell r="K18" t="e">
            <v>#VALUE!</v>
          </cell>
          <cell r="L18" t="str">
            <v>α端材</v>
          </cell>
          <cell r="O18">
            <v>0</v>
          </cell>
          <cell r="P18">
            <v>0</v>
          </cell>
          <cell r="T18" t="str">
            <v>000000000009857</v>
          </cell>
        </row>
        <row r="19">
          <cell r="D19">
            <v>45987</v>
          </cell>
          <cell r="E19" t="str">
            <v>25J23-09</v>
          </cell>
          <cell r="I19" t="str">
            <v>25J23-09</v>
          </cell>
          <cell r="J19">
            <v>2</v>
          </cell>
          <cell r="K19">
            <v>1</v>
          </cell>
          <cell r="L19">
            <v>45989</v>
          </cell>
          <cell r="M19">
            <v>3</v>
          </cell>
          <cell r="O19">
            <v>45993</v>
          </cell>
          <cell r="P19">
            <v>9</v>
          </cell>
          <cell r="T19" t="str">
            <v>000000000009234</v>
          </cell>
        </row>
        <row r="20">
          <cell r="D20">
            <v>45988</v>
          </cell>
          <cell r="E20" t="str">
            <v>25J23-09</v>
          </cell>
          <cell r="F20">
            <v>20</v>
          </cell>
          <cell r="G20">
            <v>1478</v>
          </cell>
          <cell r="H20">
            <v>888.14</v>
          </cell>
          <cell r="I20" t="str">
            <v>25J23-09</v>
          </cell>
          <cell r="J20">
            <v>712</v>
          </cell>
          <cell r="K20">
            <v>356</v>
          </cell>
          <cell r="L20">
            <v>45992</v>
          </cell>
          <cell r="M20">
            <v>10</v>
          </cell>
          <cell r="O20">
            <v>2000</v>
          </cell>
          <cell r="T20" t="str">
            <v>000000000009234</v>
          </cell>
        </row>
        <row r="21">
          <cell r="D21">
            <v>45988</v>
          </cell>
          <cell r="E21" t="str">
            <v>25J23-09</v>
          </cell>
          <cell r="F21">
            <v>18</v>
          </cell>
          <cell r="G21">
            <v>1477.81</v>
          </cell>
          <cell r="H21">
            <v>888.17</v>
          </cell>
          <cell r="I21" t="str">
            <v>25J23-10</v>
          </cell>
          <cell r="J21">
            <v>1298</v>
          </cell>
          <cell r="K21">
            <v>649</v>
          </cell>
          <cell r="L21">
            <v>45993</v>
          </cell>
          <cell r="M21">
            <v>7</v>
          </cell>
          <cell r="O21">
            <v>2012</v>
          </cell>
          <cell r="P21">
            <v>2</v>
          </cell>
          <cell r="T21" t="str">
            <v>000000000009234</v>
          </cell>
        </row>
        <row r="22">
          <cell r="D22">
            <v>45989</v>
          </cell>
          <cell r="E22" t="str">
            <v>25J23-09</v>
          </cell>
          <cell r="F22">
            <v>20</v>
          </cell>
          <cell r="G22">
            <v>1478</v>
          </cell>
          <cell r="H22">
            <v>888.22</v>
          </cell>
          <cell r="K22">
            <v>0</v>
          </cell>
          <cell r="O22">
            <v>12</v>
          </cell>
          <cell r="T22" t="str">
            <v>000000000009234</v>
          </cell>
        </row>
        <row r="23">
          <cell r="D23">
            <v>45989</v>
          </cell>
          <cell r="E23" t="str">
            <v>25J23-10</v>
          </cell>
          <cell r="F23">
            <v>20</v>
          </cell>
          <cell r="G23">
            <v>1478</v>
          </cell>
          <cell r="H23">
            <v>888.21</v>
          </cell>
          <cell r="K23">
            <v>0</v>
          </cell>
          <cell r="O23">
            <v>12</v>
          </cell>
          <cell r="T23" t="str">
            <v>000000000009234</v>
          </cell>
        </row>
        <row r="24">
          <cell r="D24">
            <v>45989</v>
          </cell>
          <cell r="E24" t="str">
            <v>25J23-10</v>
          </cell>
          <cell r="F24">
            <v>20</v>
          </cell>
          <cell r="G24">
            <v>1478</v>
          </cell>
          <cell r="H24">
            <v>888.19</v>
          </cell>
          <cell r="K24">
            <v>0</v>
          </cell>
          <cell r="L24" t="str">
            <v>切断</v>
          </cell>
          <cell r="M24" t="str">
            <v>m</v>
          </cell>
          <cell r="O24">
            <v>1</v>
          </cell>
          <cell r="T24" t="str">
            <v>000000000009234</v>
          </cell>
        </row>
        <row r="25">
          <cell r="D25">
            <v>45992</v>
          </cell>
          <cell r="E25" t="str">
            <v>25J23-10</v>
          </cell>
          <cell r="F25">
            <v>22</v>
          </cell>
          <cell r="G25">
            <v>1478.19</v>
          </cell>
          <cell r="H25">
            <v>888.18</v>
          </cell>
          <cell r="K25">
            <v>0</v>
          </cell>
          <cell r="L25" t="str">
            <v>検査</v>
          </cell>
          <cell r="M25" t="str">
            <v>t</v>
          </cell>
          <cell r="P25">
            <v>1</v>
          </cell>
          <cell r="T25" t="str">
            <v>000000000009234</v>
          </cell>
        </row>
        <row r="26">
          <cell r="D26">
            <v>45992</v>
          </cell>
          <cell r="E26" t="str">
            <v>25J23-10</v>
          </cell>
          <cell r="F26">
            <v>22</v>
          </cell>
          <cell r="G26">
            <v>1478.19</v>
          </cell>
          <cell r="H26">
            <v>888.1</v>
          </cell>
          <cell r="K26">
            <v>0</v>
          </cell>
          <cell r="L26" t="str">
            <v>α端材</v>
          </cell>
          <cell r="O26">
            <v>1</v>
          </cell>
          <cell r="P26">
            <v>12</v>
          </cell>
          <cell r="T26" t="str">
            <v>000000000009234</v>
          </cell>
        </row>
        <row r="27">
          <cell r="D27">
            <v>45978</v>
          </cell>
          <cell r="E27" t="str">
            <v>25J21-07</v>
          </cell>
          <cell r="I27" t="str">
            <v>25J21-07</v>
          </cell>
          <cell r="J27">
            <v>5</v>
          </cell>
          <cell r="K27">
            <v>5</v>
          </cell>
          <cell r="L27">
            <v>45979</v>
          </cell>
          <cell r="M27">
            <v>3</v>
          </cell>
          <cell r="O27">
            <v>45979</v>
          </cell>
          <cell r="P27">
            <v>3</v>
          </cell>
          <cell r="T27" t="str">
            <v>000000000009237</v>
          </cell>
        </row>
        <row r="28">
          <cell r="D28">
            <v>45988</v>
          </cell>
          <cell r="E28" t="str">
            <v>25J23-09</v>
          </cell>
          <cell r="F28">
            <v>20</v>
          </cell>
          <cell r="G28">
            <v>888</v>
          </cell>
          <cell r="H28">
            <v>1478.18</v>
          </cell>
          <cell r="I28" t="str">
            <v>25J23-09</v>
          </cell>
          <cell r="J28">
            <v>300</v>
          </cell>
          <cell r="K28">
            <v>300</v>
          </cell>
          <cell r="O28">
            <v>300</v>
          </cell>
          <cell r="T28" t="str">
            <v>000000000009237</v>
          </cell>
        </row>
        <row r="29">
          <cell r="D29">
            <v>45988</v>
          </cell>
          <cell r="E29" t="str">
            <v>25J23-09</v>
          </cell>
          <cell r="F29">
            <v>20</v>
          </cell>
          <cell r="G29">
            <v>888</v>
          </cell>
          <cell r="H29">
            <v>1478.23</v>
          </cell>
          <cell r="K29">
            <v>0</v>
          </cell>
          <cell r="O29">
            <v>153</v>
          </cell>
          <cell r="P29">
            <v>1</v>
          </cell>
          <cell r="T29" t="str">
            <v>000000000009237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000000000009237</v>
          </cell>
        </row>
        <row r="31">
          <cell r="G31" t="str">
            <v/>
          </cell>
          <cell r="K31">
            <v>0</v>
          </cell>
          <cell r="O31">
            <v>5</v>
          </cell>
          <cell r="T31" t="str">
            <v>000000000009237</v>
          </cell>
        </row>
        <row r="32">
          <cell r="G32" t="str">
            <v/>
          </cell>
          <cell r="K32">
            <v>0</v>
          </cell>
          <cell r="L32" t="str">
            <v>切断</v>
          </cell>
          <cell r="M32" t="str">
            <v>m</v>
          </cell>
          <cell r="O32">
            <v>-5</v>
          </cell>
          <cell r="T32" t="str">
            <v>000000000009237</v>
          </cell>
        </row>
        <row r="33">
          <cell r="G33" t="str">
            <v/>
          </cell>
          <cell r="K33">
            <v>0</v>
          </cell>
          <cell r="L33" t="str">
            <v>検査</v>
          </cell>
          <cell r="M33" t="str">
            <v>t</v>
          </cell>
          <cell r="P33">
            <v>1</v>
          </cell>
          <cell r="T33" t="str">
            <v>000000000009237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O34">
            <v>-5</v>
          </cell>
          <cell r="P34">
            <v>5</v>
          </cell>
          <cell r="T34" t="str">
            <v>000000000009237</v>
          </cell>
        </row>
        <row r="35">
          <cell r="D35">
            <v>45967</v>
          </cell>
          <cell r="E35" t="str">
            <v>25J20-06</v>
          </cell>
          <cell r="I35" t="str">
            <v>25J20-06</v>
          </cell>
          <cell r="J35">
            <v>6</v>
          </cell>
          <cell r="K35">
            <v>2</v>
          </cell>
          <cell r="L35">
            <v>45994</v>
          </cell>
          <cell r="M35">
            <v>3</v>
          </cell>
          <cell r="O35">
            <v>45994</v>
          </cell>
          <cell r="T35" t="str">
            <v>000000000009231</v>
          </cell>
        </row>
        <row r="36">
          <cell r="D36">
            <v>45992</v>
          </cell>
          <cell r="E36" t="str">
            <v>25J23-10</v>
          </cell>
          <cell r="F36">
            <v>20</v>
          </cell>
          <cell r="G36">
            <v>592</v>
          </cell>
          <cell r="H36">
            <v>591.6</v>
          </cell>
          <cell r="I36" t="str">
            <v>25J23-10</v>
          </cell>
          <cell r="J36">
            <v>295</v>
          </cell>
          <cell r="K36">
            <v>99</v>
          </cell>
          <cell r="O36">
            <v>300</v>
          </cell>
          <cell r="T36" t="str">
            <v>000000000009231</v>
          </cell>
        </row>
        <row r="37">
          <cell r="D37">
            <v>45992</v>
          </cell>
          <cell r="E37" t="str">
            <v>25J23-10</v>
          </cell>
          <cell r="F37">
            <v>20</v>
          </cell>
          <cell r="G37">
            <v>592</v>
          </cell>
          <cell r="H37">
            <v>591.71</v>
          </cell>
          <cell r="K37">
            <v>0</v>
          </cell>
          <cell r="O37">
            <v>101</v>
          </cell>
          <cell r="T37" t="str">
            <v>000000000009231</v>
          </cell>
        </row>
        <row r="38">
          <cell r="D38">
            <v>45993</v>
          </cell>
          <cell r="E38" t="str">
            <v>25J23-10</v>
          </cell>
          <cell r="F38">
            <v>20</v>
          </cell>
          <cell r="G38">
            <v>592</v>
          </cell>
          <cell r="H38">
            <v>591.44000000000005</v>
          </cell>
          <cell r="K38">
            <v>0</v>
          </cell>
          <cell r="O38">
            <v>1</v>
          </cell>
          <cell r="T38" t="str">
            <v>000000000009231</v>
          </cell>
        </row>
        <row r="39">
          <cell r="D39">
            <v>45993</v>
          </cell>
          <cell r="E39" t="str">
            <v>25J23-10</v>
          </cell>
          <cell r="F39">
            <v>20</v>
          </cell>
          <cell r="G39">
            <v>592</v>
          </cell>
          <cell r="H39">
            <v>591.44000000000005</v>
          </cell>
          <cell r="K39">
            <v>0</v>
          </cell>
          <cell r="O39">
            <v>1</v>
          </cell>
          <cell r="T39" t="str">
            <v>000000000009231</v>
          </cell>
        </row>
        <row r="40">
          <cell r="G40" t="str">
            <v/>
          </cell>
          <cell r="K40">
            <v>0</v>
          </cell>
          <cell r="L40" t="str">
            <v>切断</v>
          </cell>
          <cell r="M40" t="str">
            <v>m</v>
          </cell>
          <cell r="O40">
            <v>0</v>
          </cell>
          <cell r="T40" t="str">
            <v>000000000009231</v>
          </cell>
        </row>
        <row r="41">
          <cell r="G41" t="str">
            <v/>
          </cell>
          <cell r="K41">
            <v>0</v>
          </cell>
          <cell r="L41" t="str">
            <v>検査</v>
          </cell>
          <cell r="M41" t="str">
            <v>t</v>
          </cell>
          <cell r="P41">
            <v>1</v>
          </cell>
          <cell r="T41" t="str">
            <v>000000000009231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O42">
            <v>0</v>
          </cell>
          <cell r="P42">
            <v>1</v>
          </cell>
          <cell r="T42" t="str">
            <v>000000000009231</v>
          </cell>
        </row>
        <row r="43">
          <cell r="D43">
            <v>45967</v>
          </cell>
          <cell r="E43" t="str">
            <v>25J20-06</v>
          </cell>
          <cell r="I43" t="str">
            <v xml:space="preserve"> </v>
          </cell>
          <cell r="J43">
            <v>18</v>
          </cell>
          <cell r="K43">
            <v>3</v>
          </cell>
          <cell r="L43">
            <v>45994</v>
          </cell>
          <cell r="M43">
            <v>3</v>
          </cell>
          <cell r="O43">
            <v>45994</v>
          </cell>
          <cell r="P43">
            <v>1</v>
          </cell>
          <cell r="T43" t="str">
            <v>000000000009230</v>
          </cell>
        </row>
        <row r="44">
          <cell r="D44">
            <v>45993</v>
          </cell>
          <cell r="E44" t="str">
            <v>25J23-10</v>
          </cell>
          <cell r="F44">
            <v>20</v>
          </cell>
          <cell r="G44">
            <v>297</v>
          </cell>
          <cell r="H44">
            <v>297.02999999999997</v>
          </cell>
          <cell r="I44" t="str">
            <v>25J23-10</v>
          </cell>
          <cell r="J44">
            <v>286</v>
          </cell>
          <cell r="K44">
            <v>48</v>
          </cell>
          <cell r="O44">
            <v>300</v>
          </cell>
          <cell r="T44" t="str">
            <v>000000000009230</v>
          </cell>
        </row>
        <row r="45">
          <cell r="D45">
            <v>45993</v>
          </cell>
          <cell r="E45" t="str">
            <v>25J23-10</v>
          </cell>
          <cell r="F45">
            <v>20</v>
          </cell>
          <cell r="G45">
            <v>297</v>
          </cell>
          <cell r="H45">
            <v>297.19</v>
          </cell>
          <cell r="K45">
            <v>0</v>
          </cell>
          <cell r="O45">
            <v>51</v>
          </cell>
          <cell r="T45" t="str">
            <v>000000000009230</v>
          </cell>
        </row>
        <row r="46">
          <cell r="G46" t="str">
            <v/>
          </cell>
          <cell r="K46">
            <v>0</v>
          </cell>
          <cell r="O46">
            <v>1</v>
          </cell>
          <cell r="T46" t="str">
            <v>000000000009230</v>
          </cell>
        </row>
        <row r="47">
          <cell r="G47" t="str">
            <v/>
          </cell>
          <cell r="K47">
            <v>0</v>
          </cell>
          <cell r="O47">
            <v>4</v>
          </cell>
          <cell r="T47" t="str">
            <v>000000000009230</v>
          </cell>
        </row>
        <row r="48">
          <cell r="G48" t="str">
            <v/>
          </cell>
          <cell r="K48">
            <v>0</v>
          </cell>
          <cell r="L48" t="str">
            <v>切断</v>
          </cell>
          <cell r="M48" t="str">
            <v>m</v>
          </cell>
          <cell r="O48">
            <v>116</v>
          </cell>
          <cell r="T48" t="str">
            <v>000000000009230</v>
          </cell>
        </row>
        <row r="49">
          <cell r="G49" t="str">
            <v/>
          </cell>
          <cell r="K49">
            <v>0</v>
          </cell>
          <cell r="L49" t="str">
            <v>検査</v>
          </cell>
          <cell r="M49" t="str">
            <v>t</v>
          </cell>
          <cell r="P49">
            <v>3</v>
          </cell>
          <cell r="T49" t="str">
            <v>000000000009230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O50">
            <v>0</v>
          </cell>
          <cell r="P50">
            <v>4</v>
          </cell>
          <cell r="T50" t="str">
            <v>000000000009230</v>
          </cell>
        </row>
        <row r="51">
          <cell r="I51">
            <v>0</v>
          </cell>
          <cell r="K51">
            <v>0</v>
          </cell>
          <cell r="L51">
            <v>45995</v>
          </cell>
          <cell r="M51">
            <v>2</v>
          </cell>
          <cell r="O51">
            <v>45996</v>
          </cell>
          <cell r="T51" t="str">
            <v>000000000008890</v>
          </cell>
        </row>
        <row r="52">
          <cell r="D52">
            <v>45994</v>
          </cell>
          <cell r="E52" t="str">
            <v>25K20B　69</v>
          </cell>
          <cell r="F52">
            <v>24</v>
          </cell>
          <cell r="G52">
            <v>554.1</v>
          </cell>
          <cell r="H52">
            <v>554.30999999999995</v>
          </cell>
          <cell r="I52" t="str">
            <v>25K20B　69</v>
          </cell>
          <cell r="J52">
            <v>300</v>
          </cell>
          <cell r="K52">
            <v>150</v>
          </cell>
          <cell r="L52">
            <v>45996</v>
          </cell>
          <cell r="M52">
            <v>2</v>
          </cell>
          <cell r="O52">
            <v>1200</v>
          </cell>
          <cell r="P52">
            <v>1</v>
          </cell>
          <cell r="T52" t="str">
            <v>000000000008890</v>
          </cell>
        </row>
        <row r="53">
          <cell r="D53">
            <v>45994</v>
          </cell>
          <cell r="E53" t="str">
            <v>25K20B　69</v>
          </cell>
          <cell r="F53">
            <v>20</v>
          </cell>
          <cell r="G53">
            <v>554</v>
          </cell>
          <cell r="H53">
            <v>554.23</v>
          </cell>
          <cell r="I53" t="str">
            <v>25K20B　70</v>
          </cell>
          <cell r="J53">
            <v>300</v>
          </cell>
          <cell r="K53">
            <v>150</v>
          </cell>
          <cell r="O53">
            <v>656</v>
          </cell>
          <cell r="T53" t="str">
            <v>000000000008890</v>
          </cell>
        </row>
        <row r="54">
          <cell r="D54">
            <v>45994</v>
          </cell>
          <cell r="E54" t="str">
            <v>25K20B　70</v>
          </cell>
          <cell r="F54">
            <v>20</v>
          </cell>
          <cell r="G54">
            <v>554</v>
          </cell>
          <cell r="H54">
            <v>554.30999999999995</v>
          </cell>
          <cell r="I54" t="str">
            <v>25K20B　71</v>
          </cell>
          <cell r="J54">
            <v>300</v>
          </cell>
          <cell r="K54">
            <v>150</v>
          </cell>
          <cell r="O54">
            <v>56</v>
          </cell>
          <cell r="P54">
            <v>111</v>
          </cell>
          <cell r="T54" t="str">
            <v>000000000008890</v>
          </cell>
        </row>
        <row r="55">
          <cell r="D55">
            <v>45994</v>
          </cell>
          <cell r="E55" t="str">
            <v>25K20B　71</v>
          </cell>
          <cell r="F55">
            <v>20</v>
          </cell>
          <cell r="G55">
            <v>554</v>
          </cell>
          <cell r="H55">
            <v>554.29999999999995</v>
          </cell>
          <cell r="I55" t="str">
            <v>25K20B　72</v>
          </cell>
          <cell r="J55">
            <v>300</v>
          </cell>
          <cell r="K55">
            <v>150</v>
          </cell>
          <cell r="O55">
            <v>112</v>
          </cell>
          <cell r="T55" t="str">
            <v>000000000008890</v>
          </cell>
        </row>
        <row r="56">
          <cell r="D56">
            <v>45994</v>
          </cell>
          <cell r="E56" t="str">
            <v>25K20B　72</v>
          </cell>
          <cell r="F56">
            <v>18</v>
          </cell>
          <cell r="G56">
            <v>553.9</v>
          </cell>
          <cell r="H56">
            <v>554.26</v>
          </cell>
          <cell r="I56" t="str">
            <v>25K20B　68</v>
          </cell>
          <cell r="J56">
            <v>112</v>
          </cell>
          <cell r="K56">
            <v>56</v>
          </cell>
          <cell r="L56" t="str">
            <v>切断</v>
          </cell>
          <cell r="M56" t="str">
            <v>c/m</v>
          </cell>
          <cell r="O56">
            <v>0</v>
          </cell>
          <cell r="T56" t="str">
            <v>000000000008890</v>
          </cell>
        </row>
        <row r="57">
          <cell r="D57">
            <v>45996</v>
          </cell>
          <cell r="E57" t="str">
            <v>25K20B　68</v>
          </cell>
          <cell r="F57">
            <v>16</v>
          </cell>
          <cell r="G57">
            <v>553.9</v>
          </cell>
          <cell r="H57">
            <v>554.26</v>
          </cell>
          <cell r="K57">
            <v>0</v>
          </cell>
          <cell r="L57" t="str">
            <v>検査</v>
          </cell>
          <cell r="M57" t="str">
            <v>t</v>
          </cell>
          <cell r="T57" t="str">
            <v>000000000008890</v>
          </cell>
        </row>
        <row r="58">
          <cell r="D58">
            <v>45996</v>
          </cell>
          <cell r="E58" t="str">
            <v>25K20B　68</v>
          </cell>
          <cell r="F58">
            <v>18</v>
          </cell>
          <cell r="G58">
            <v>553.9</v>
          </cell>
          <cell r="H58">
            <v>554.1</v>
          </cell>
          <cell r="K58">
            <v>0</v>
          </cell>
          <cell r="L58" t="str">
            <v>α端材</v>
          </cell>
          <cell r="O58">
            <v>0</v>
          </cell>
          <cell r="P58">
            <v>112</v>
          </cell>
          <cell r="T58" t="str">
            <v>000000000008890</v>
          </cell>
        </row>
        <row r="59">
          <cell r="I59">
            <v>0</v>
          </cell>
          <cell r="K59">
            <v>0</v>
          </cell>
          <cell r="L59">
            <v>45993</v>
          </cell>
          <cell r="M59">
            <v>10</v>
          </cell>
          <cell r="O59">
            <v>45993</v>
          </cell>
          <cell r="T59" t="str">
            <v>000000000009943</v>
          </cell>
        </row>
        <row r="60">
          <cell r="D60">
            <v>45993</v>
          </cell>
          <cell r="E60" t="str">
            <v>25A17A</v>
          </cell>
          <cell r="F60">
            <v>20</v>
          </cell>
          <cell r="G60">
            <v>550</v>
          </cell>
          <cell r="H60">
            <v>549.9</v>
          </cell>
          <cell r="I60" t="str">
            <v>25A17A</v>
          </cell>
          <cell r="J60">
            <v>480</v>
          </cell>
          <cell r="K60">
            <v>160</v>
          </cell>
          <cell r="O60">
            <v>500</v>
          </cell>
          <cell r="T60" t="str">
            <v>000000000009943</v>
          </cell>
        </row>
        <row r="61">
          <cell r="D61">
            <v>45993</v>
          </cell>
          <cell r="E61" t="str">
            <v>004H19</v>
          </cell>
          <cell r="F61">
            <v>18</v>
          </cell>
          <cell r="G61">
            <v>549.9</v>
          </cell>
          <cell r="H61">
            <v>549.9</v>
          </cell>
          <cell r="I61" t="str">
            <v>004H19</v>
          </cell>
          <cell r="J61">
            <v>20</v>
          </cell>
          <cell r="K61">
            <v>7</v>
          </cell>
          <cell r="O61">
            <v>167</v>
          </cell>
          <cell r="T61" t="str">
            <v>000000000009943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000000000009943</v>
          </cell>
        </row>
        <row r="63">
          <cell r="G63" t="str">
            <v/>
          </cell>
          <cell r="K63">
            <v>0</v>
          </cell>
          <cell r="O63">
            <v>0</v>
          </cell>
          <cell r="T63" t="str">
            <v>000000000009943</v>
          </cell>
        </row>
        <row r="64">
          <cell r="G64" t="str">
            <v/>
          </cell>
          <cell r="K64">
            <v>0</v>
          </cell>
          <cell r="L64" t="str">
            <v>切断</v>
          </cell>
          <cell r="M64" t="str">
            <v>m</v>
          </cell>
          <cell r="O64">
            <v>0</v>
          </cell>
          <cell r="T64" t="str">
            <v>000000000009943</v>
          </cell>
        </row>
        <row r="65">
          <cell r="G65" t="str">
            <v/>
          </cell>
          <cell r="K65">
            <v>0</v>
          </cell>
          <cell r="L65" t="str">
            <v>検査</v>
          </cell>
          <cell r="M65" t="str">
            <v>m</v>
          </cell>
          <cell r="T65" t="str">
            <v>000000000009943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O66">
            <v>0</v>
          </cell>
          <cell r="P66">
            <v>0</v>
          </cell>
          <cell r="T66" t="str">
            <v>000000000009943</v>
          </cell>
        </row>
        <row r="67">
          <cell r="I67">
            <v>0</v>
          </cell>
          <cell r="K67">
            <v>0</v>
          </cell>
          <cell r="O67">
            <v>0</v>
          </cell>
          <cell r="T67" t="str">
            <v>000000000009641</v>
          </cell>
        </row>
        <row r="68">
          <cell r="G68" t="str">
            <v/>
          </cell>
          <cell r="I68" t="str">
            <v/>
          </cell>
          <cell r="K68">
            <v>0</v>
          </cell>
          <cell r="O68">
            <v>0</v>
          </cell>
          <cell r="T68" t="str">
            <v>000000000009641</v>
          </cell>
        </row>
        <row r="69">
          <cell r="G69" t="str">
            <v/>
          </cell>
          <cell r="K69">
            <v>0</v>
          </cell>
          <cell r="O69">
            <v>0</v>
          </cell>
          <cell r="T69" t="str">
            <v>000000000009641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000000000009641</v>
          </cell>
        </row>
        <row r="71">
          <cell r="G71" t="str">
            <v/>
          </cell>
          <cell r="K71">
            <v>0</v>
          </cell>
          <cell r="O71">
            <v>0</v>
          </cell>
          <cell r="T71" t="str">
            <v>000000000009641</v>
          </cell>
        </row>
        <row r="72">
          <cell r="G72" t="str">
            <v/>
          </cell>
          <cell r="K72">
            <v>0</v>
          </cell>
          <cell r="L72" t="str">
            <v>切断</v>
          </cell>
          <cell r="O72">
            <v>0</v>
          </cell>
          <cell r="T72" t="str">
            <v>000000000009641</v>
          </cell>
        </row>
        <row r="73">
          <cell r="G73" t="str">
            <v/>
          </cell>
          <cell r="K73">
            <v>0</v>
          </cell>
          <cell r="L73" t="str">
            <v>検査</v>
          </cell>
          <cell r="T73" t="str">
            <v>000000000009641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O74">
            <v>0</v>
          </cell>
          <cell r="P74">
            <v>0</v>
          </cell>
          <cell r="T74" t="str">
            <v>000000000009641</v>
          </cell>
        </row>
        <row r="75">
          <cell r="I75">
            <v>0</v>
          </cell>
          <cell r="K75">
            <v>0</v>
          </cell>
          <cell r="O75">
            <v>0</v>
          </cell>
          <cell r="T75" t="str">
            <v>000000000009639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000000000009639</v>
          </cell>
        </row>
        <row r="77">
          <cell r="G77" t="str">
            <v/>
          </cell>
          <cell r="K77">
            <v>0</v>
          </cell>
          <cell r="O77">
            <v>0</v>
          </cell>
          <cell r="T77" t="str">
            <v>000000000009639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000000000009639</v>
          </cell>
        </row>
        <row r="79">
          <cell r="G79" t="str">
            <v/>
          </cell>
          <cell r="K79">
            <v>0</v>
          </cell>
          <cell r="O79">
            <v>0</v>
          </cell>
          <cell r="T79" t="str">
            <v>000000000009639</v>
          </cell>
        </row>
        <row r="80">
          <cell r="G80" t="str">
            <v/>
          </cell>
          <cell r="K80">
            <v>0</v>
          </cell>
          <cell r="L80" t="str">
            <v>切断</v>
          </cell>
          <cell r="O80">
            <v>0</v>
          </cell>
          <cell r="T80" t="str">
            <v>000000000009639</v>
          </cell>
        </row>
        <row r="81">
          <cell r="G81" t="str">
            <v/>
          </cell>
          <cell r="K81">
            <v>0</v>
          </cell>
          <cell r="L81" t="str">
            <v>検査</v>
          </cell>
          <cell r="T81" t="str">
            <v>000000000009639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O82">
            <v>0</v>
          </cell>
          <cell r="P82">
            <v>0</v>
          </cell>
          <cell r="T82" t="str">
            <v>000000000009639</v>
          </cell>
        </row>
        <row r="83">
          <cell r="I83">
            <v>0</v>
          </cell>
          <cell r="K83">
            <v>0</v>
          </cell>
          <cell r="O83">
            <v>0</v>
          </cell>
          <cell r="T83" t="str">
            <v>000000000009642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000000000009642</v>
          </cell>
        </row>
        <row r="85">
          <cell r="G85" t="str">
            <v/>
          </cell>
          <cell r="K85">
            <v>0</v>
          </cell>
          <cell r="O85">
            <v>0</v>
          </cell>
          <cell r="T85" t="str">
            <v>000000000009642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000000000009642</v>
          </cell>
        </row>
        <row r="87">
          <cell r="G87" t="str">
            <v/>
          </cell>
          <cell r="K87">
            <v>0</v>
          </cell>
          <cell r="O87">
            <v>0</v>
          </cell>
          <cell r="T87" t="str">
            <v>000000000009642</v>
          </cell>
        </row>
        <row r="88">
          <cell r="G88" t="str">
            <v/>
          </cell>
          <cell r="K88">
            <v>0</v>
          </cell>
          <cell r="L88" t="str">
            <v>切断</v>
          </cell>
          <cell r="O88">
            <v>0</v>
          </cell>
          <cell r="T88" t="str">
            <v>000000000009642</v>
          </cell>
        </row>
        <row r="89">
          <cell r="G89" t="str">
            <v/>
          </cell>
          <cell r="K89">
            <v>0</v>
          </cell>
          <cell r="L89" t="str">
            <v>検査</v>
          </cell>
          <cell r="T89" t="str">
            <v>000000000009642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O90">
            <v>0</v>
          </cell>
          <cell r="P90">
            <v>0</v>
          </cell>
          <cell r="T90" t="str">
            <v>000000000009642</v>
          </cell>
        </row>
        <row r="91">
          <cell r="I91">
            <v>0</v>
          </cell>
          <cell r="K91">
            <v>0</v>
          </cell>
          <cell r="O91">
            <v>0</v>
          </cell>
          <cell r="T91" t="str">
            <v>000000000009636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000000000009636</v>
          </cell>
        </row>
        <row r="93">
          <cell r="G93" t="str">
            <v/>
          </cell>
          <cell r="K93">
            <v>0</v>
          </cell>
          <cell r="O93">
            <v>0</v>
          </cell>
          <cell r="T93" t="str">
            <v>000000000009636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000000000009636</v>
          </cell>
        </row>
        <row r="95">
          <cell r="G95" t="str">
            <v/>
          </cell>
          <cell r="K95">
            <v>0</v>
          </cell>
          <cell r="O95">
            <v>0</v>
          </cell>
          <cell r="T95" t="str">
            <v>000000000009636</v>
          </cell>
        </row>
        <row r="96">
          <cell r="G96" t="str">
            <v/>
          </cell>
          <cell r="K96">
            <v>0</v>
          </cell>
          <cell r="L96" t="str">
            <v>切断</v>
          </cell>
          <cell r="O96">
            <v>0</v>
          </cell>
          <cell r="T96" t="str">
            <v>000000000009636</v>
          </cell>
        </row>
        <row r="97">
          <cell r="G97" t="str">
            <v/>
          </cell>
          <cell r="K97">
            <v>0</v>
          </cell>
          <cell r="L97" t="str">
            <v>検査</v>
          </cell>
          <cell r="T97" t="str">
            <v>000000000009636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O98">
            <v>0</v>
          </cell>
          <cell r="P98">
            <v>0</v>
          </cell>
          <cell r="T98" t="str">
            <v>000000000009636</v>
          </cell>
        </row>
        <row r="99">
          <cell r="I99">
            <v>0</v>
          </cell>
          <cell r="K99">
            <v>0</v>
          </cell>
          <cell r="O99">
            <v>0</v>
          </cell>
          <cell r="T99" t="str">
            <v>000000000009637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000000000009637</v>
          </cell>
        </row>
        <row r="101">
          <cell r="G101" t="str">
            <v/>
          </cell>
          <cell r="K101">
            <v>0</v>
          </cell>
          <cell r="O101">
            <v>0</v>
          </cell>
          <cell r="T101" t="str">
            <v>000000000009637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000000000009637</v>
          </cell>
        </row>
        <row r="103">
          <cell r="G103" t="str">
            <v/>
          </cell>
          <cell r="K103">
            <v>0</v>
          </cell>
          <cell r="O103">
            <v>0</v>
          </cell>
          <cell r="T103" t="str">
            <v>000000000009637</v>
          </cell>
        </row>
        <row r="104">
          <cell r="G104" t="str">
            <v/>
          </cell>
          <cell r="K104">
            <v>0</v>
          </cell>
          <cell r="L104" t="str">
            <v>切断</v>
          </cell>
          <cell r="O104">
            <v>0</v>
          </cell>
          <cell r="T104" t="str">
            <v>000000000009637</v>
          </cell>
        </row>
        <row r="105">
          <cell r="G105" t="str">
            <v/>
          </cell>
          <cell r="K105">
            <v>0</v>
          </cell>
          <cell r="L105" t="str">
            <v>検査</v>
          </cell>
          <cell r="T105" t="str">
            <v>000000000009637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O106">
            <v>0</v>
          </cell>
          <cell r="P106">
            <v>0</v>
          </cell>
          <cell r="T106" t="str">
            <v>000000000009637</v>
          </cell>
        </row>
        <row r="107">
          <cell r="I107">
            <v>0</v>
          </cell>
          <cell r="K107">
            <v>0</v>
          </cell>
          <cell r="O107">
            <v>0</v>
          </cell>
          <cell r="T107" t="str">
            <v>000000000009643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000000000009643</v>
          </cell>
        </row>
        <row r="109">
          <cell r="G109" t="str">
            <v/>
          </cell>
          <cell r="K109">
            <v>0</v>
          </cell>
          <cell r="O109">
            <v>0</v>
          </cell>
          <cell r="T109" t="str">
            <v>000000000009643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000000000009643</v>
          </cell>
        </row>
        <row r="111">
          <cell r="G111" t="str">
            <v/>
          </cell>
          <cell r="K111">
            <v>0</v>
          </cell>
          <cell r="O111">
            <v>0</v>
          </cell>
          <cell r="T111" t="str">
            <v>000000000009643</v>
          </cell>
        </row>
        <row r="112">
          <cell r="G112" t="str">
            <v/>
          </cell>
          <cell r="K112">
            <v>0</v>
          </cell>
          <cell r="L112" t="str">
            <v>切断</v>
          </cell>
          <cell r="O112">
            <v>0</v>
          </cell>
          <cell r="T112" t="str">
            <v>000000000009643</v>
          </cell>
        </row>
        <row r="113">
          <cell r="G113" t="str">
            <v/>
          </cell>
          <cell r="K113">
            <v>0</v>
          </cell>
          <cell r="L113" t="str">
            <v>検査</v>
          </cell>
          <cell r="T113" t="str">
            <v>000000000009643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O114">
            <v>0</v>
          </cell>
          <cell r="P114">
            <v>0</v>
          </cell>
          <cell r="T114" t="str">
            <v>000000000009643</v>
          </cell>
        </row>
        <row r="115">
          <cell r="I115">
            <v>0</v>
          </cell>
          <cell r="K115">
            <v>0</v>
          </cell>
          <cell r="O115">
            <v>0</v>
          </cell>
          <cell r="T115" t="str">
            <v>000000000009640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000000000009640</v>
          </cell>
        </row>
        <row r="117">
          <cell r="G117" t="str">
            <v/>
          </cell>
          <cell r="K117">
            <v>0</v>
          </cell>
          <cell r="O117">
            <v>0</v>
          </cell>
          <cell r="T117" t="str">
            <v>000000000009640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000000000009640</v>
          </cell>
        </row>
        <row r="119">
          <cell r="G119" t="str">
            <v/>
          </cell>
          <cell r="K119">
            <v>0</v>
          </cell>
          <cell r="O119">
            <v>0</v>
          </cell>
          <cell r="T119" t="str">
            <v>000000000009640</v>
          </cell>
        </row>
        <row r="120"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000000000009640</v>
          </cell>
        </row>
        <row r="121">
          <cell r="G121" t="str">
            <v/>
          </cell>
          <cell r="K121">
            <v>0</v>
          </cell>
          <cell r="L121" t="str">
            <v>検査</v>
          </cell>
          <cell r="T121" t="str">
            <v>000000000009640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O122">
            <v>0</v>
          </cell>
          <cell r="P122">
            <v>0</v>
          </cell>
          <cell r="T122" t="str">
            <v>000000000009640</v>
          </cell>
        </row>
        <row r="123">
          <cell r="I123">
            <v>0</v>
          </cell>
          <cell r="K123">
            <v>0</v>
          </cell>
          <cell r="O123">
            <v>0</v>
          </cell>
          <cell r="T123" t="str">
            <v>000000000009638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000000000009638</v>
          </cell>
        </row>
        <row r="125">
          <cell r="G125" t="str">
            <v/>
          </cell>
          <cell r="K125">
            <v>0</v>
          </cell>
          <cell r="O125">
            <v>0</v>
          </cell>
          <cell r="T125" t="str">
            <v>000000000009638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000000000009638</v>
          </cell>
        </row>
        <row r="127">
          <cell r="G127" t="str">
            <v/>
          </cell>
          <cell r="K127">
            <v>0</v>
          </cell>
          <cell r="O127">
            <v>0</v>
          </cell>
          <cell r="T127" t="str">
            <v>000000000009638</v>
          </cell>
        </row>
        <row r="128"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000000000009638</v>
          </cell>
        </row>
        <row r="129">
          <cell r="G129" t="str">
            <v/>
          </cell>
          <cell r="K129">
            <v>0</v>
          </cell>
          <cell r="L129" t="str">
            <v>検査</v>
          </cell>
          <cell r="T129" t="str">
            <v>000000000009638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O130">
            <v>0</v>
          </cell>
          <cell r="P130">
            <v>0</v>
          </cell>
          <cell r="T130" t="str">
            <v>000000000009638</v>
          </cell>
        </row>
        <row r="131">
          <cell r="I131">
            <v>0</v>
          </cell>
          <cell r="K131">
            <v>0</v>
          </cell>
          <cell r="O131">
            <v>0</v>
          </cell>
          <cell r="T131" t="str">
            <v>000000000009635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000000000009635</v>
          </cell>
        </row>
        <row r="133">
          <cell r="G133" t="str">
            <v/>
          </cell>
          <cell r="K133">
            <v>0</v>
          </cell>
          <cell r="O133">
            <v>0</v>
          </cell>
          <cell r="T133" t="str">
            <v>000000000009635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000000000009635</v>
          </cell>
        </row>
        <row r="135">
          <cell r="G135" t="str">
            <v/>
          </cell>
          <cell r="K135">
            <v>0</v>
          </cell>
          <cell r="O135">
            <v>0</v>
          </cell>
          <cell r="T135" t="str">
            <v>000000000009635</v>
          </cell>
        </row>
        <row r="136">
          <cell r="G136" t="str">
            <v/>
          </cell>
          <cell r="K136">
            <v>0</v>
          </cell>
          <cell r="L136" t="str">
            <v>切断</v>
          </cell>
          <cell r="O136">
            <v>0</v>
          </cell>
          <cell r="T136" t="str">
            <v>000000000009635</v>
          </cell>
        </row>
        <row r="137">
          <cell r="G137" t="str">
            <v/>
          </cell>
          <cell r="K137">
            <v>0</v>
          </cell>
          <cell r="L137" t="str">
            <v>検査</v>
          </cell>
          <cell r="T137" t="str">
            <v>000000000009635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O138">
            <v>0</v>
          </cell>
          <cell r="P138">
            <v>0</v>
          </cell>
          <cell r="T138" t="str">
            <v>000000000009635</v>
          </cell>
        </row>
        <row r="139">
          <cell r="I139">
            <v>0</v>
          </cell>
          <cell r="K139">
            <v>0</v>
          </cell>
          <cell r="O139">
            <v>0</v>
          </cell>
          <cell r="T139" t="str">
            <v>000000000009643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000000000009643</v>
          </cell>
        </row>
        <row r="141">
          <cell r="G141" t="str">
            <v/>
          </cell>
          <cell r="K141">
            <v>0</v>
          </cell>
          <cell r="O141">
            <v>0</v>
          </cell>
          <cell r="T141" t="str">
            <v>000000000009643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000000000009643</v>
          </cell>
        </row>
        <row r="143">
          <cell r="G143" t="str">
            <v/>
          </cell>
          <cell r="K143">
            <v>0</v>
          </cell>
          <cell r="O143">
            <v>0</v>
          </cell>
          <cell r="T143" t="str">
            <v>000000000009643</v>
          </cell>
        </row>
        <row r="144">
          <cell r="G144" t="str">
            <v/>
          </cell>
          <cell r="K144">
            <v>0</v>
          </cell>
          <cell r="L144" t="str">
            <v>切断</v>
          </cell>
          <cell r="O144">
            <v>0</v>
          </cell>
          <cell r="T144" t="str">
            <v>000000000009643</v>
          </cell>
        </row>
        <row r="145">
          <cell r="G145" t="str">
            <v/>
          </cell>
          <cell r="K145">
            <v>0</v>
          </cell>
          <cell r="L145" t="str">
            <v>検査</v>
          </cell>
          <cell r="T145" t="str">
            <v>000000000009643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O146">
            <v>0</v>
          </cell>
          <cell r="P146">
            <v>0</v>
          </cell>
          <cell r="T146" t="str">
            <v>000000000009643</v>
          </cell>
        </row>
        <row r="147">
          <cell r="I147">
            <v>0</v>
          </cell>
          <cell r="K147">
            <v>0</v>
          </cell>
          <cell r="O147">
            <v>0</v>
          </cell>
          <cell r="T147" t="str">
            <v>000000000009641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000000000009641</v>
          </cell>
        </row>
        <row r="149">
          <cell r="G149" t="str">
            <v/>
          </cell>
          <cell r="K149">
            <v>0</v>
          </cell>
          <cell r="O149">
            <v>0</v>
          </cell>
          <cell r="T149" t="str">
            <v>000000000009641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000000000009641</v>
          </cell>
        </row>
        <row r="151">
          <cell r="G151" t="str">
            <v/>
          </cell>
          <cell r="K151">
            <v>0</v>
          </cell>
          <cell r="O151">
            <v>0</v>
          </cell>
          <cell r="T151" t="str">
            <v>000000000009641</v>
          </cell>
        </row>
        <row r="152">
          <cell r="G152" t="str">
            <v/>
          </cell>
          <cell r="K152">
            <v>0</v>
          </cell>
          <cell r="L152" t="str">
            <v>切断</v>
          </cell>
          <cell r="O152">
            <v>0</v>
          </cell>
          <cell r="T152" t="str">
            <v>000000000009641</v>
          </cell>
        </row>
        <row r="153">
          <cell r="G153" t="str">
            <v/>
          </cell>
          <cell r="K153">
            <v>0</v>
          </cell>
          <cell r="L153" t="str">
            <v>検査</v>
          </cell>
          <cell r="T153" t="str">
            <v>000000000009641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O154">
            <v>0</v>
          </cell>
          <cell r="P154">
            <v>0</v>
          </cell>
          <cell r="T154" t="str">
            <v>000000000009641</v>
          </cell>
        </row>
        <row r="155">
          <cell r="I155">
            <v>0</v>
          </cell>
          <cell r="K155">
            <v>0</v>
          </cell>
          <cell r="O155">
            <v>0</v>
          </cell>
          <cell r="T155" t="str">
            <v>000000000010001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000000000010001</v>
          </cell>
        </row>
        <row r="157">
          <cell r="G157" t="str">
            <v/>
          </cell>
          <cell r="K157">
            <v>0</v>
          </cell>
          <cell r="O157">
            <v>0</v>
          </cell>
          <cell r="T157" t="str">
            <v>000000000010001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000000000010001</v>
          </cell>
        </row>
        <row r="159">
          <cell r="G159" t="str">
            <v/>
          </cell>
          <cell r="K159">
            <v>0</v>
          </cell>
          <cell r="O159">
            <v>0</v>
          </cell>
          <cell r="T159" t="str">
            <v>000000000010001</v>
          </cell>
        </row>
        <row r="160">
          <cell r="G160" t="str">
            <v/>
          </cell>
          <cell r="K160">
            <v>0</v>
          </cell>
          <cell r="L160" t="str">
            <v>切断</v>
          </cell>
          <cell r="O160">
            <v>0</v>
          </cell>
          <cell r="T160" t="str">
            <v>000000000010001</v>
          </cell>
        </row>
        <row r="161">
          <cell r="G161" t="str">
            <v/>
          </cell>
          <cell r="K161">
            <v>0</v>
          </cell>
          <cell r="L161" t="str">
            <v>検査</v>
          </cell>
          <cell r="T161" t="str">
            <v>000000000010001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O162">
            <v>0</v>
          </cell>
          <cell r="P162">
            <v>0</v>
          </cell>
          <cell r="T162" t="str">
            <v>000000000010001</v>
          </cell>
        </row>
        <row r="163">
          <cell r="I163">
            <v>0</v>
          </cell>
          <cell r="K163">
            <v>0</v>
          </cell>
          <cell r="O163">
            <v>0</v>
          </cell>
          <cell r="T163" t="str">
            <v>000000000009999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000000000009999</v>
          </cell>
        </row>
        <row r="165">
          <cell r="G165" t="str">
            <v/>
          </cell>
          <cell r="K165">
            <v>0</v>
          </cell>
          <cell r="O165">
            <v>0</v>
          </cell>
          <cell r="T165" t="str">
            <v>000000000009999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000000000009999</v>
          </cell>
        </row>
        <row r="167">
          <cell r="G167" t="str">
            <v/>
          </cell>
          <cell r="K167">
            <v>0</v>
          </cell>
          <cell r="O167">
            <v>0</v>
          </cell>
          <cell r="T167" t="str">
            <v>000000000009999</v>
          </cell>
        </row>
        <row r="168">
          <cell r="G168" t="str">
            <v/>
          </cell>
          <cell r="K168">
            <v>0</v>
          </cell>
          <cell r="L168" t="str">
            <v>切断</v>
          </cell>
          <cell r="O168">
            <v>0</v>
          </cell>
          <cell r="T168" t="str">
            <v>000000000009999</v>
          </cell>
        </row>
        <row r="169">
          <cell r="G169" t="str">
            <v/>
          </cell>
          <cell r="K169">
            <v>0</v>
          </cell>
          <cell r="L169" t="str">
            <v>検査</v>
          </cell>
          <cell r="T169" t="str">
            <v>000000000009999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O170">
            <v>0</v>
          </cell>
          <cell r="P170">
            <v>0</v>
          </cell>
          <cell r="T170" t="str">
            <v>000000000009999</v>
          </cell>
        </row>
        <row r="171">
          <cell r="I171">
            <v>0</v>
          </cell>
          <cell r="K171">
            <v>0</v>
          </cell>
          <cell r="O171">
            <v>0</v>
          </cell>
          <cell r="T171" t="str">
            <v>000000000009996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000000000009996</v>
          </cell>
        </row>
        <row r="173">
          <cell r="G173" t="str">
            <v/>
          </cell>
          <cell r="K173">
            <v>0</v>
          </cell>
          <cell r="O173">
            <v>0</v>
          </cell>
          <cell r="T173" t="str">
            <v>000000000009996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000000000009996</v>
          </cell>
        </row>
        <row r="175">
          <cell r="G175" t="str">
            <v/>
          </cell>
          <cell r="K175">
            <v>0</v>
          </cell>
          <cell r="O175">
            <v>0</v>
          </cell>
          <cell r="T175" t="str">
            <v>000000000009996</v>
          </cell>
        </row>
        <row r="176">
          <cell r="G176" t="str">
            <v/>
          </cell>
          <cell r="K176">
            <v>0</v>
          </cell>
          <cell r="L176" t="str">
            <v>切断</v>
          </cell>
          <cell r="O176">
            <v>0</v>
          </cell>
          <cell r="T176" t="str">
            <v>000000000009996</v>
          </cell>
        </row>
        <row r="177">
          <cell r="G177" t="str">
            <v/>
          </cell>
          <cell r="K177">
            <v>0</v>
          </cell>
          <cell r="L177" t="str">
            <v>検査</v>
          </cell>
          <cell r="T177" t="str">
            <v>000000000009996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O178">
            <v>0</v>
          </cell>
          <cell r="P178">
            <v>0</v>
          </cell>
          <cell r="T178" t="str">
            <v>000000000009996</v>
          </cell>
        </row>
        <row r="179">
          <cell r="I179">
            <v>0</v>
          </cell>
          <cell r="K179">
            <v>0</v>
          </cell>
          <cell r="O179">
            <v>0</v>
          </cell>
          <cell r="T179" t="str">
            <v>000000000009997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000000000009997</v>
          </cell>
        </row>
        <row r="181">
          <cell r="G181" t="str">
            <v/>
          </cell>
          <cell r="K181">
            <v>0</v>
          </cell>
          <cell r="O181">
            <v>0</v>
          </cell>
          <cell r="T181" t="str">
            <v>000000000009997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000000000009997</v>
          </cell>
        </row>
        <row r="183">
          <cell r="G183" t="str">
            <v/>
          </cell>
          <cell r="K183">
            <v>0</v>
          </cell>
          <cell r="O183">
            <v>0</v>
          </cell>
          <cell r="T183" t="str">
            <v>000000000009997</v>
          </cell>
        </row>
        <row r="184"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000000000009997</v>
          </cell>
        </row>
        <row r="185">
          <cell r="G185" t="str">
            <v/>
          </cell>
          <cell r="K185">
            <v>0</v>
          </cell>
          <cell r="L185" t="str">
            <v>検査</v>
          </cell>
          <cell r="T185" t="str">
            <v>000000000009997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O186">
            <v>0</v>
          </cell>
          <cell r="P186">
            <v>0</v>
          </cell>
          <cell r="T186" t="str">
            <v>000000000009997</v>
          </cell>
        </row>
        <row r="187">
          <cell r="I187">
            <v>0</v>
          </cell>
          <cell r="K187">
            <v>0</v>
          </cell>
          <cell r="O187">
            <v>0</v>
          </cell>
          <cell r="T187" t="str">
            <v>000000000009998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000000000009998</v>
          </cell>
        </row>
        <row r="189">
          <cell r="G189" t="str">
            <v/>
          </cell>
          <cell r="K189">
            <v>0</v>
          </cell>
          <cell r="O189">
            <v>0</v>
          </cell>
          <cell r="T189" t="str">
            <v>000000000009998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000000000009998</v>
          </cell>
        </row>
        <row r="191">
          <cell r="G191" t="str">
            <v/>
          </cell>
          <cell r="K191">
            <v>0</v>
          </cell>
          <cell r="O191">
            <v>0</v>
          </cell>
          <cell r="T191" t="str">
            <v>000000000009998</v>
          </cell>
        </row>
        <row r="192"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000000000009998</v>
          </cell>
        </row>
        <row r="193">
          <cell r="G193" t="str">
            <v/>
          </cell>
          <cell r="K193">
            <v>0</v>
          </cell>
          <cell r="L193" t="str">
            <v>検査</v>
          </cell>
          <cell r="T193" t="str">
            <v>000000000009998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O194">
            <v>0</v>
          </cell>
          <cell r="P194">
            <v>0</v>
          </cell>
          <cell r="T194" t="str">
            <v>000000000009998</v>
          </cell>
        </row>
        <row r="195">
          <cell r="I195">
            <v>0</v>
          </cell>
          <cell r="K195">
            <v>0</v>
          </cell>
          <cell r="O195">
            <v>0</v>
          </cell>
          <cell r="T195" t="str">
            <v>000000000010006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000000000010006</v>
          </cell>
        </row>
        <row r="197">
          <cell r="G197" t="str">
            <v/>
          </cell>
          <cell r="K197">
            <v>0</v>
          </cell>
          <cell r="O197">
            <v>0</v>
          </cell>
          <cell r="T197" t="str">
            <v>000000000010006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000000000010006</v>
          </cell>
        </row>
        <row r="199">
          <cell r="G199" t="str">
            <v/>
          </cell>
          <cell r="K199">
            <v>0</v>
          </cell>
          <cell r="O199">
            <v>0</v>
          </cell>
          <cell r="T199" t="str">
            <v>000000000010006</v>
          </cell>
        </row>
        <row r="200">
          <cell r="G200" t="str">
            <v/>
          </cell>
          <cell r="K200">
            <v>0</v>
          </cell>
          <cell r="L200" t="str">
            <v>切断</v>
          </cell>
          <cell r="O200">
            <v>0</v>
          </cell>
          <cell r="T200" t="str">
            <v>000000000010006</v>
          </cell>
        </row>
        <row r="201">
          <cell r="G201" t="str">
            <v/>
          </cell>
          <cell r="K201">
            <v>0</v>
          </cell>
          <cell r="L201" t="str">
            <v>検査</v>
          </cell>
          <cell r="T201" t="str">
            <v>000000000010006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O202">
            <v>0</v>
          </cell>
          <cell r="P202">
            <v>0</v>
          </cell>
          <cell r="T202" t="str">
            <v>000000000010006</v>
          </cell>
        </row>
        <row r="203">
          <cell r="I203">
            <v>0</v>
          </cell>
          <cell r="K203">
            <v>0</v>
          </cell>
          <cell r="O203">
            <v>0</v>
          </cell>
          <cell r="T203" t="str">
            <v>000000000010003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000000000010003</v>
          </cell>
        </row>
        <row r="205">
          <cell r="G205" t="str">
            <v/>
          </cell>
          <cell r="K205">
            <v>0</v>
          </cell>
          <cell r="O205">
            <v>0</v>
          </cell>
          <cell r="T205" t="str">
            <v>000000000010003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000000000010003</v>
          </cell>
        </row>
        <row r="207">
          <cell r="G207" t="str">
            <v/>
          </cell>
          <cell r="K207">
            <v>0</v>
          </cell>
          <cell r="O207">
            <v>0</v>
          </cell>
          <cell r="T207" t="str">
            <v>000000000010003</v>
          </cell>
        </row>
        <row r="208"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000000000010003</v>
          </cell>
        </row>
        <row r="209">
          <cell r="G209" t="str">
            <v/>
          </cell>
          <cell r="K209">
            <v>0</v>
          </cell>
          <cell r="L209" t="str">
            <v>検査</v>
          </cell>
          <cell r="T209" t="str">
            <v>000000000010003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O210">
            <v>0</v>
          </cell>
          <cell r="P210">
            <v>0</v>
          </cell>
          <cell r="T210" t="str">
            <v>000000000010003</v>
          </cell>
        </row>
        <row r="211">
          <cell r="I211">
            <v>0</v>
          </cell>
          <cell r="K211">
            <v>0</v>
          </cell>
          <cell r="O211">
            <v>0</v>
          </cell>
          <cell r="T211" t="str">
            <v>000000000010004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000000000010004</v>
          </cell>
        </row>
        <row r="213">
          <cell r="G213" t="str">
            <v/>
          </cell>
          <cell r="K213">
            <v>0</v>
          </cell>
          <cell r="O213">
            <v>0</v>
          </cell>
          <cell r="T213" t="str">
            <v>000000000010004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000000000010004</v>
          </cell>
        </row>
        <row r="215">
          <cell r="G215" t="str">
            <v/>
          </cell>
          <cell r="K215">
            <v>0</v>
          </cell>
          <cell r="O215">
            <v>0</v>
          </cell>
          <cell r="T215" t="str">
            <v>000000000010004</v>
          </cell>
        </row>
        <row r="216"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000000000010004</v>
          </cell>
        </row>
        <row r="217">
          <cell r="G217" t="str">
            <v/>
          </cell>
          <cell r="K217">
            <v>0</v>
          </cell>
          <cell r="L217" t="str">
            <v>検査</v>
          </cell>
          <cell r="T217" t="str">
            <v>000000000010004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O218">
            <v>0</v>
          </cell>
          <cell r="P218">
            <v>0</v>
          </cell>
          <cell r="T218" t="str">
            <v>000000000010004</v>
          </cell>
        </row>
        <row r="219">
          <cell r="I219">
            <v>0</v>
          </cell>
          <cell r="K219">
            <v>0</v>
          </cell>
          <cell r="O219">
            <v>0</v>
          </cell>
          <cell r="T219" t="str">
            <v>000000000010005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000000000010005</v>
          </cell>
        </row>
        <row r="221">
          <cell r="G221" t="str">
            <v/>
          </cell>
          <cell r="K221">
            <v>0</v>
          </cell>
          <cell r="O221">
            <v>0</v>
          </cell>
          <cell r="T221" t="str">
            <v>000000000010005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000000000010005</v>
          </cell>
        </row>
        <row r="223">
          <cell r="G223" t="str">
            <v/>
          </cell>
          <cell r="K223">
            <v>0</v>
          </cell>
          <cell r="O223">
            <v>0</v>
          </cell>
          <cell r="T223" t="str">
            <v>000000000010005</v>
          </cell>
        </row>
        <row r="224">
          <cell r="G224" t="str">
            <v/>
          </cell>
          <cell r="K224">
            <v>0</v>
          </cell>
          <cell r="L224" t="str">
            <v>切断</v>
          </cell>
          <cell r="O224">
            <v>0</v>
          </cell>
          <cell r="T224" t="str">
            <v>000000000010005</v>
          </cell>
        </row>
        <row r="225">
          <cell r="G225" t="str">
            <v/>
          </cell>
          <cell r="K225">
            <v>0</v>
          </cell>
          <cell r="L225" t="str">
            <v>検査</v>
          </cell>
          <cell r="T225" t="str">
            <v>000000000010005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O226">
            <v>0</v>
          </cell>
          <cell r="P226">
            <v>0</v>
          </cell>
          <cell r="T226" t="str">
            <v>000000000010005</v>
          </cell>
        </row>
        <row r="227">
          <cell r="I227">
            <v>0</v>
          </cell>
          <cell r="K227">
            <v>0</v>
          </cell>
          <cell r="O227">
            <v>0</v>
          </cell>
          <cell r="T227" t="str">
            <v>000000000010000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000000000010000</v>
          </cell>
        </row>
        <row r="229">
          <cell r="G229" t="str">
            <v/>
          </cell>
          <cell r="K229">
            <v>0</v>
          </cell>
          <cell r="O229">
            <v>0</v>
          </cell>
          <cell r="T229" t="str">
            <v>000000000010000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000000000010000</v>
          </cell>
        </row>
        <row r="231">
          <cell r="G231" t="str">
            <v/>
          </cell>
          <cell r="K231">
            <v>0</v>
          </cell>
          <cell r="O231">
            <v>0</v>
          </cell>
          <cell r="T231" t="str">
            <v>000000000010000</v>
          </cell>
        </row>
        <row r="232">
          <cell r="G232" t="str">
            <v/>
          </cell>
          <cell r="K232">
            <v>0</v>
          </cell>
          <cell r="L232" t="str">
            <v>切断</v>
          </cell>
          <cell r="O232">
            <v>0</v>
          </cell>
          <cell r="T232" t="str">
            <v>000000000010000</v>
          </cell>
        </row>
        <row r="233">
          <cell r="G233" t="str">
            <v/>
          </cell>
          <cell r="K233">
            <v>0</v>
          </cell>
          <cell r="L233" t="str">
            <v>検査</v>
          </cell>
          <cell r="T233" t="str">
            <v>000000000010000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O234">
            <v>0</v>
          </cell>
          <cell r="P234">
            <v>0</v>
          </cell>
          <cell r="T234" t="str">
            <v>000000000010000</v>
          </cell>
        </row>
        <row r="235">
          <cell r="I235">
            <v>0</v>
          </cell>
          <cell r="K235" t="e">
            <v>#DIV/0!</v>
          </cell>
          <cell r="O235">
            <v>0</v>
          </cell>
          <cell r="T235" t="str">
            <v/>
          </cell>
        </row>
        <row r="236">
          <cell r="G236" t="str">
            <v/>
          </cell>
          <cell r="I236" t="str">
            <v/>
          </cell>
          <cell r="K236" t="e">
            <v>#DIV/0!</v>
          </cell>
          <cell r="O236">
            <v>0</v>
          </cell>
          <cell r="T236" t="str">
            <v/>
          </cell>
        </row>
        <row r="237">
          <cell r="G237" t="str">
            <v/>
          </cell>
          <cell r="K237" t="e">
            <v>#DIV/0!</v>
          </cell>
          <cell r="O237" t="str">
            <v/>
          </cell>
          <cell r="T237" t="str">
            <v/>
          </cell>
        </row>
        <row r="238">
          <cell r="G238" t="str">
            <v/>
          </cell>
          <cell r="K238" t="e">
            <v>#DIV/0!</v>
          </cell>
          <cell r="O238" t="str">
            <v/>
          </cell>
          <cell r="T238" t="str">
            <v/>
          </cell>
        </row>
        <row r="239">
          <cell r="G239" t="str">
            <v/>
          </cell>
          <cell r="K239" t="e">
            <v>#DIV/0!</v>
          </cell>
          <cell r="O239">
            <v>0</v>
          </cell>
          <cell r="T239" t="str">
            <v/>
          </cell>
        </row>
        <row r="240">
          <cell r="G240" t="str">
            <v/>
          </cell>
          <cell r="K240" t="e">
            <v>#DIV/0!</v>
          </cell>
          <cell r="L240" t="str">
            <v>切断</v>
          </cell>
          <cell r="O240" t="e">
            <v>#DIV/0!</v>
          </cell>
          <cell r="T240" t="str">
            <v/>
          </cell>
        </row>
        <row r="241">
          <cell r="G241" t="str">
            <v/>
          </cell>
          <cell r="K241" t="e">
            <v>#DIV/0!</v>
          </cell>
          <cell r="L241" t="str">
            <v>検査</v>
          </cell>
          <cell r="T241" t="str">
            <v/>
          </cell>
        </row>
        <row r="242">
          <cell r="G242" t="str">
            <v/>
          </cell>
          <cell r="K242" t="e">
            <v>#DIV/0!</v>
          </cell>
          <cell r="L242" t="str">
            <v>α端材</v>
          </cell>
          <cell r="O242" t="e">
            <v>#DIV/0!</v>
          </cell>
          <cell r="P242">
            <v>0</v>
          </cell>
          <cell r="T242" t="str">
            <v/>
          </cell>
        </row>
        <row r="243">
          <cell r="I243">
            <v>0</v>
          </cell>
          <cell r="K243">
            <v>0</v>
          </cell>
          <cell r="O243">
            <v>0</v>
          </cell>
          <cell r="T243" t="str">
            <v>000000000010002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000000000010002</v>
          </cell>
        </row>
        <row r="245">
          <cell r="G245" t="str">
            <v/>
          </cell>
          <cell r="K245">
            <v>0</v>
          </cell>
          <cell r="O245">
            <v>0</v>
          </cell>
          <cell r="T245" t="str">
            <v>000000000010002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000000000010002</v>
          </cell>
        </row>
        <row r="247">
          <cell r="G247" t="str">
            <v/>
          </cell>
          <cell r="K247">
            <v>0</v>
          </cell>
          <cell r="O247">
            <v>0</v>
          </cell>
          <cell r="T247" t="str">
            <v>000000000010002</v>
          </cell>
        </row>
        <row r="248">
          <cell r="G248" t="str">
            <v/>
          </cell>
          <cell r="K248">
            <v>0</v>
          </cell>
          <cell r="L248" t="str">
            <v>切断</v>
          </cell>
          <cell r="O248">
            <v>0</v>
          </cell>
          <cell r="T248" t="str">
            <v>000000000010002</v>
          </cell>
        </row>
        <row r="249">
          <cell r="G249" t="str">
            <v/>
          </cell>
          <cell r="K249">
            <v>0</v>
          </cell>
          <cell r="L249" t="str">
            <v>検査</v>
          </cell>
          <cell r="T249" t="str">
            <v>000000000010002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O250">
            <v>0</v>
          </cell>
          <cell r="P250">
            <v>0</v>
          </cell>
          <cell r="T250" t="str">
            <v>000000000010002</v>
          </cell>
        </row>
        <row r="251">
          <cell r="I251">
            <v>0</v>
          </cell>
          <cell r="K251">
            <v>0</v>
          </cell>
          <cell r="O251">
            <v>0</v>
          </cell>
          <cell r="T251" t="str">
            <v>000000000009999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000000000009999</v>
          </cell>
        </row>
        <row r="253">
          <cell r="G253" t="str">
            <v/>
          </cell>
          <cell r="K253">
            <v>0</v>
          </cell>
          <cell r="O253">
            <v>0</v>
          </cell>
          <cell r="T253" t="str">
            <v>000000000009999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000000000009999</v>
          </cell>
        </row>
        <row r="255">
          <cell r="G255" t="str">
            <v/>
          </cell>
          <cell r="K255">
            <v>0</v>
          </cell>
          <cell r="O255">
            <v>0</v>
          </cell>
          <cell r="T255" t="str">
            <v>000000000009999</v>
          </cell>
        </row>
        <row r="256">
          <cell r="G256" t="str">
            <v/>
          </cell>
          <cell r="K256">
            <v>0</v>
          </cell>
          <cell r="L256" t="str">
            <v>切断</v>
          </cell>
          <cell r="O256">
            <v>0</v>
          </cell>
          <cell r="T256" t="str">
            <v>000000000009999</v>
          </cell>
        </row>
        <row r="257">
          <cell r="G257" t="str">
            <v/>
          </cell>
          <cell r="K257">
            <v>0</v>
          </cell>
          <cell r="L257" t="str">
            <v>検査</v>
          </cell>
          <cell r="T257" t="str">
            <v>000000000009999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O258">
            <v>0</v>
          </cell>
          <cell r="P258">
            <v>0</v>
          </cell>
          <cell r="T258" t="str">
            <v>000000000009999</v>
          </cell>
        </row>
        <row r="259">
          <cell r="I259">
            <v>0</v>
          </cell>
          <cell r="K259">
            <v>0</v>
          </cell>
          <cell r="O259">
            <v>0</v>
          </cell>
          <cell r="T259" t="str">
            <v>000000000008708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000000000008708</v>
          </cell>
        </row>
        <row r="261">
          <cell r="G261" t="str">
            <v/>
          </cell>
          <cell r="K261">
            <v>0</v>
          </cell>
          <cell r="O261">
            <v>0</v>
          </cell>
          <cell r="T261" t="str">
            <v>000000000008708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000000000008708</v>
          </cell>
        </row>
        <row r="263">
          <cell r="G263" t="str">
            <v/>
          </cell>
          <cell r="K263">
            <v>0</v>
          </cell>
          <cell r="O263">
            <v>0</v>
          </cell>
          <cell r="T263" t="str">
            <v>000000000008708</v>
          </cell>
        </row>
        <row r="264">
          <cell r="G264" t="str">
            <v/>
          </cell>
          <cell r="K264">
            <v>0</v>
          </cell>
          <cell r="L264" t="str">
            <v>切断</v>
          </cell>
          <cell r="O264">
            <v>0</v>
          </cell>
          <cell r="T264" t="str">
            <v>000000000008708</v>
          </cell>
        </row>
        <row r="265">
          <cell r="G265" t="str">
            <v/>
          </cell>
          <cell r="K265">
            <v>0</v>
          </cell>
          <cell r="L265" t="str">
            <v>検査</v>
          </cell>
          <cell r="T265" t="str">
            <v>000000000008708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O266">
            <v>0</v>
          </cell>
          <cell r="P266">
            <v>0</v>
          </cell>
          <cell r="T266" t="str">
            <v>000000000008708</v>
          </cell>
        </row>
        <row r="267">
          <cell r="I267">
            <v>0</v>
          </cell>
          <cell r="K267">
            <v>0</v>
          </cell>
          <cell r="O267">
            <v>0</v>
          </cell>
          <cell r="T267" t="str">
            <v>000000000008707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000000000008707</v>
          </cell>
        </row>
        <row r="269">
          <cell r="G269" t="str">
            <v/>
          </cell>
          <cell r="K269">
            <v>0</v>
          </cell>
          <cell r="O269">
            <v>0</v>
          </cell>
          <cell r="T269" t="str">
            <v>000000000008707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000000000008707</v>
          </cell>
        </row>
        <row r="271">
          <cell r="G271" t="str">
            <v/>
          </cell>
          <cell r="K271">
            <v>0</v>
          </cell>
          <cell r="O271">
            <v>0</v>
          </cell>
          <cell r="T271" t="str">
            <v>000000000008707</v>
          </cell>
        </row>
        <row r="272">
          <cell r="G272" t="str">
            <v/>
          </cell>
          <cell r="K272">
            <v>0</v>
          </cell>
          <cell r="L272" t="str">
            <v>切断</v>
          </cell>
          <cell r="O272">
            <v>0</v>
          </cell>
          <cell r="T272" t="str">
            <v>000000000008707</v>
          </cell>
        </row>
        <row r="273">
          <cell r="G273" t="str">
            <v/>
          </cell>
          <cell r="K273">
            <v>0</v>
          </cell>
          <cell r="L273" t="str">
            <v>検査</v>
          </cell>
          <cell r="T273" t="str">
            <v>000000000008707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O274">
            <v>0</v>
          </cell>
          <cell r="P274">
            <v>0</v>
          </cell>
          <cell r="T274" t="str">
            <v>000000000008707</v>
          </cell>
        </row>
        <row r="275">
          <cell r="I275">
            <v>0</v>
          </cell>
          <cell r="K275">
            <v>0</v>
          </cell>
          <cell r="O275">
            <v>0</v>
          </cell>
          <cell r="T275" t="str">
            <v>000000000008711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000000000008711</v>
          </cell>
        </row>
        <row r="277">
          <cell r="G277" t="str">
            <v/>
          </cell>
          <cell r="K277">
            <v>0</v>
          </cell>
          <cell r="O277">
            <v>0</v>
          </cell>
          <cell r="T277" t="str">
            <v>000000000008711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000000000008711</v>
          </cell>
        </row>
        <row r="279">
          <cell r="G279" t="str">
            <v/>
          </cell>
          <cell r="K279">
            <v>0</v>
          </cell>
          <cell r="O279">
            <v>0</v>
          </cell>
          <cell r="T279" t="str">
            <v>000000000008711</v>
          </cell>
        </row>
        <row r="280">
          <cell r="G280" t="str">
            <v/>
          </cell>
          <cell r="K280">
            <v>0</v>
          </cell>
          <cell r="L280" t="str">
            <v>切断</v>
          </cell>
          <cell r="O280">
            <v>0</v>
          </cell>
          <cell r="T280" t="str">
            <v>000000000008711</v>
          </cell>
        </row>
        <row r="281">
          <cell r="G281" t="str">
            <v/>
          </cell>
          <cell r="K281">
            <v>0</v>
          </cell>
          <cell r="L281" t="str">
            <v>検査</v>
          </cell>
          <cell r="T281" t="str">
            <v>000000000008711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O282">
            <v>0</v>
          </cell>
          <cell r="P282">
            <v>0</v>
          </cell>
          <cell r="T282" t="str">
            <v>000000000008711</v>
          </cell>
        </row>
        <row r="283">
          <cell r="I283">
            <v>0</v>
          </cell>
          <cell r="K283">
            <v>0</v>
          </cell>
          <cell r="O283">
            <v>0</v>
          </cell>
          <cell r="T283" t="str">
            <v>000000000008855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000000000008855</v>
          </cell>
        </row>
        <row r="285">
          <cell r="G285" t="str">
            <v/>
          </cell>
          <cell r="K285">
            <v>0</v>
          </cell>
          <cell r="O285">
            <v>0</v>
          </cell>
          <cell r="T285" t="str">
            <v>000000000008855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000000000008855</v>
          </cell>
        </row>
        <row r="287">
          <cell r="G287" t="str">
            <v/>
          </cell>
          <cell r="K287">
            <v>0</v>
          </cell>
          <cell r="O287">
            <v>0</v>
          </cell>
          <cell r="T287" t="str">
            <v>000000000008855</v>
          </cell>
        </row>
        <row r="288">
          <cell r="G288" t="str">
            <v/>
          </cell>
          <cell r="K288">
            <v>0</v>
          </cell>
          <cell r="L288" t="str">
            <v>切断</v>
          </cell>
          <cell r="O288">
            <v>0</v>
          </cell>
          <cell r="T288" t="str">
            <v>000000000008855</v>
          </cell>
        </row>
        <row r="289">
          <cell r="G289" t="str">
            <v/>
          </cell>
          <cell r="K289">
            <v>0</v>
          </cell>
          <cell r="L289" t="str">
            <v>検査</v>
          </cell>
          <cell r="T289" t="str">
            <v>000000000008855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O290">
            <v>0</v>
          </cell>
          <cell r="P290">
            <v>0</v>
          </cell>
          <cell r="T290" t="str">
            <v>000000000008855</v>
          </cell>
        </row>
        <row r="291">
          <cell r="I291">
            <v>0</v>
          </cell>
          <cell r="K291">
            <v>0</v>
          </cell>
          <cell r="O291">
            <v>0</v>
          </cell>
          <cell r="T291" t="str">
            <v>000000000009310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000000000009310</v>
          </cell>
        </row>
        <row r="293">
          <cell r="G293" t="str">
            <v/>
          </cell>
          <cell r="K293">
            <v>0</v>
          </cell>
          <cell r="O293">
            <v>0</v>
          </cell>
          <cell r="T293" t="str">
            <v>000000000009310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000000000009310</v>
          </cell>
        </row>
        <row r="295">
          <cell r="G295" t="str">
            <v/>
          </cell>
          <cell r="K295">
            <v>0</v>
          </cell>
          <cell r="O295">
            <v>0</v>
          </cell>
          <cell r="T295" t="str">
            <v>000000000009310</v>
          </cell>
        </row>
        <row r="296">
          <cell r="G296" t="str">
            <v/>
          </cell>
          <cell r="K296">
            <v>0</v>
          </cell>
          <cell r="L296" t="str">
            <v>切断</v>
          </cell>
          <cell r="O296">
            <v>0</v>
          </cell>
          <cell r="T296" t="str">
            <v>000000000009310</v>
          </cell>
        </row>
        <row r="297">
          <cell r="G297" t="str">
            <v/>
          </cell>
          <cell r="K297">
            <v>0</v>
          </cell>
          <cell r="L297" t="str">
            <v>検査</v>
          </cell>
          <cell r="T297" t="str">
            <v>000000000009310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O298">
            <v>0</v>
          </cell>
          <cell r="P298">
            <v>0</v>
          </cell>
          <cell r="T298" t="str">
            <v>000000000009310</v>
          </cell>
        </row>
        <row r="299">
          <cell r="I299">
            <v>0</v>
          </cell>
          <cell r="K299">
            <v>0</v>
          </cell>
          <cell r="O299">
            <v>0</v>
          </cell>
          <cell r="T299" t="str">
            <v>000000000009233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000000000009233</v>
          </cell>
        </row>
        <row r="301">
          <cell r="G301" t="str">
            <v/>
          </cell>
          <cell r="K301">
            <v>0</v>
          </cell>
          <cell r="O301">
            <v>0</v>
          </cell>
          <cell r="T301" t="str">
            <v>000000000009233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000000000009233</v>
          </cell>
        </row>
        <row r="303">
          <cell r="G303" t="str">
            <v/>
          </cell>
          <cell r="K303">
            <v>0</v>
          </cell>
          <cell r="O303">
            <v>0</v>
          </cell>
          <cell r="T303" t="str">
            <v>000000000009233</v>
          </cell>
        </row>
        <row r="304">
          <cell r="G304" t="str">
            <v/>
          </cell>
          <cell r="K304">
            <v>0</v>
          </cell>
          <cell r="L304" t="str">
            <v>切断</v>
          </cell>
          <cell r="O304">
            <v>0</v>
          </cell>
          <cell r="T304" t="str">
            <v>000000000009233</v>
          </cell>
        </row>
        <row r="305">
          <cell r="G305" t="str">
            <v/>
          </cell>
          <cell r="K305">
            <v>0</v>
          </cell>
          <cell r="L305" t="str">
            <v>検査</v>
          </cell>
          <cell r="T305" t="str">
            <v>000000000009233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O306">
            <v>0</v>
          </cell>
          <cell r="P306">
            <v>0</v>
          </cell>
          <cell r="T306" t="str">
            <v>000000000009233</v>
          </cell>
        </row>
        <row r="307">
          <cell r="I307">
            <v>0</v>
          </cell>
          <cell r="K307">
            <v>0</v>
          </cell>
          <cell r="O307">
            <v>0</v>
          </cell>
          <cell r="T307" t="str">
            <v>000000000009236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000000000009236</v>
          </cell>
        </row>
        <row r="309">
          <cell r="G309" t="str">
            <v/>
          </cell>
          <cell r="K309">
            <v>0</v>
          </cell>
          <cell r="O309">
            <v>0</v>
          </cell>
          <cell r="T309" t="str">
            <v>000000000009236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000000000009236</v>
          </cell>
        </row>
        <row r="311">
          <cell r="G311" t="str">
            <v/>
          </cell>
          <cell r="K311">
            <v>0</v>
          </cell>
          <cell r="O311">
            <v>0</v>
          </cell>
          <cell r="T311" t="str">
            <v>000000000009236</v>
          </cell>
        </row>
        <row r="312">
          <cell r="G312" t="str">
            <v/>
          </cell>
          <cell r="K312">
            <v>0</v>
          </cell>
          <cell r="L312" t="str">
            <v>切断</v>
          </cell>
          <cell r="O312">
            <v>0</v>
          </cell>
          <cell r="T312" t="str">
            <v>000000000009236</v>
          </cell>
        </row>
        <row r="313">
          <cell r="G313" t="str">
            <v/>
          </cell>
          <cell r="K313">
            <v>0</v>
          </cell>
          <cell r="L313" t="str">
            <v>検査</v>
          </cell>
          <cell r="T313" t="str">
            <v>000000000009236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O314">
            <v>0</v>
          </cell>
          <cell r="P314">
            <v>0</v>
          </cell>
          <cell r="T314" t="str">
            <v>000000000009236</v>
          </cell>
        </row>
        <row r="315">
          <cell r="I315">
            <v>0</v>
          </cell>
          <cell r="K315">
            <v>0</v>
          </cell>
          <cell r="O315">
            <v>0</v>
          </cell>
          <cell r="T315" t="str">
            <v>000000000009235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000000000009235</v>
          </cell>
        </row>
        <row r="317">
          <cell r="G317" t="str">
            <v/>
          </cell>
          <cell r="K317">
            <v>0</v>
          </cell>
          <cell r="O317">
            <v>0</v>
          </cell>
          <cell r="T317" t="str">
            <v>000000000009235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000000000009235</v>
          </cell>
        </row>
        <row r="319">
          <cell r="G319" t="str">
            <v/>
          </cell>
          <cell r="K319">
            <v>0</v>
          </cell>
          <cell r="O319">
            <v>0</v>
          </cell>
          <cell r="T319" t="str">
            <v>000000000009235</v>
          </cell>
        </row>
        <row r="320">
          <cell r="G320" t="str">
            <v/>
          </cell>
          <cell r="K320">
            <v>0</v>
          </cell>
          <cell r="L320" t="str">
            <v>切断</v>
          </cell>
          <cell r="O320">
            <v>0</v>
          </cell>
          <cell r="T320" t="str">
            <v>000000000009235</v>
          </cell>
        </row>
        <row r="321">
          <cell r="G321" t="str">
            <v/>
          </cell>
          <cell r="K321">
            <v>0</v>
          </cell>
          <cell r="L321" t="str">
            <v>検査</v>
          </cell>
          <cell r="T321" t="str">
            <v>000000000009235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O322">
            <v>0</v>
          </cell>
          <cell r="P322">
            <v>0</v>
          </cell>
          <cell r="T322" t="str">
            <v>000000000009235</v>
          </cell>
        </row>
        <row r="323">
          <cell r="I323">
            <v>0</v>
          </cell>
          <cell r="K323">
            <v>0</v>
          </cell>
          <cell r="O323">
            <v>0</v>
          </cell>
          <cell r="T323" t="str">
            <v>000000000009232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000000000009232</v>
          </cell>
        </row>
        <row r="325">
          <cell r="G325" t="str">
            <v/>
          </cell>
          <cell r="K325">
            <v>0</v>
          </cell>
          <cell r="O325">
            <v>0</v>
          </cell>
          <cell r="T325" t="str">
            <v>000000000009232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000000000009232</v>
          </cell>
        </row>
        <row r="327">
          <cell r="G327" t="str">
            <v/>
          </cell>
          <cell r="K327">
            <v>0</v>
          </cell>
          <cell r="O327">
            <v>0</v>
          </cell>
          <cell r="T327" t="str">
            <v>000000000009232</v>
          </cell>
        </row>
        <row r="328">
          <cell r="G328" t="str">
            <v/>
          </cell>
          <cell r="K328">
            <v>0</v>
          </cell>
          <cell r="L328" t="str">
            <v>切断</v>
          </cell>
          <cell r="O328">
            <v>0</v>
          </cell>
          <cell r="T328" t="str">
            <v>000000000009232</v>
          </cell>
        </row>
        <row r="329">
          <cell r="G329" t="str">
            <v/>
          </cell>
          <cell r="K329">
            <v>0</v>
          </cell>
          <cell r="L329" t="str">
            <v>検査</v>
          </cell>
          <cell r="T329" t="str">
            <v>000000000009232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O330">
            <v>0</v>
          </cell>
          <cell r="P330">
            <v>0</v>
          </cell>
          <cell r="T330" t="str">
            <v>000000000009232</v>
          </cell>
        </row>
        <row r="331">
          <cell r="I331">
            <v>0</v>
          </cell>
          <cell r="K331">
            <v>0</v>
          </cell>
          <cell r="O331">
            <v>0</v>
          </cell>
          <cell r="T331" t="str">
            <v>000000000009311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000000000009311</v>
          </cell>
        </row>
        <row r="333">
          <cell r="G333" t="str">
            <v/>
          </cell>
          <cell r="K333">
            <v>0</v>
          </cell>
          <cell r="O333">
            <v>0</v>
          </cell>
          <cell r="T333" t="str">
            <v>000000000009311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000000000009311</v>
          </cell>
        </row>
        <row r="335">
          <cell r="G335" t="str">
            <v/>
          </cell>
          <cell r="K335">
            <v>0</v>
          </cell>
          <cell r="O335">
            <v>0</v>
          </cell>
          <cell r="T335" t="str">
            <v>000000000009311</v>
          </cell>
        </row>
        <row r="336">
          <cell r="G336" t="str">
            <v/>
          </cell>
          <cell r="K336">
            <v>0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G337" t="str">
            <v/>
          </cell>
          <cell r="K337">
            <v>0</v>
          </cell>
          <cell r="L337" t="str">
            <v>検査</v>
          </cell>
          <cell r="T337" t="str">
            <v>000000000009311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I339">
            <v>0</v>
          </cell>
          <cell r="K339">
            <v>0</v>
          </cell>
          <cell r="O339">
            <v>0</v>
          </cell>
          <cell r="T339" t="str">
            <v>000000000009857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000000000009857</v>
          </cell>
        </row>
        <row r="341">
          <cell r="G341" t="str">
            <v/>
          </cell>
          <cell r="K341">
            <v>0</v>
          </cell>
          <cell r="O341">
            <v>0</v>
          </cell>
          <cell r="T341" t="str">
            <v>000000000009857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000000000009857</v>
          </cell>
        </row>
        <row r="343">
          <cell r="G343" t="str">
            <v/>
          </cell>
          <cell r="K343">
            <v>0</v>
          </cell>
          <cell r="O343">
            <v>0</v>
          </cell>
          <cell r="T343" t="str">
            <v>000000000009857</v>
          </cell>
        </row>
        <row r="344">
          <cell r="G344" t="str">
            <v/>
          </cell>
          <cell r="K344">
            <v>0</v>
          </cell>
          <cell r="L344" t="str">
            <v>切断</v>
          </cell>
          <cell r="O344">
            <v>0</v>
          </cell>
          <cell r="T344" t="str">
            <v>000000000009857</v>
          </cell>
        </row>
        <row r="345">
          <cell r="G345" t="str">
            <v/>
          </cell>
          <cell r="K345">
            <v>0</v>
          </cell>
          <cell r="L345" t="str">
            <v>検査</v>
          </cell>
          <cell r="T345" t="str">
            <v>000000000009857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O346">
            <v>0</v>
          </cell>
          <cell r="P346">
            <v>0</v>
          </cell>
          <cell r="T346" t="str">
            <v>000000000009857</v>
          </cell>
        </row>
        <row r="347">
          <cell r="I347">
            <v>0</v>
          </cell>
          <cell r="K347">
            <v>0</v>
          </cell>
          <cell r="O347">
            <v>0</v>
          </cell>
          <cell r="T347" t="str">
            <v>000000000008890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000000000008890</v>
          </cell>
        </row>
        <row r="349">
          <cell r="G349" t="str">
            <v/>
          </cell>
          <cell r="K349">
            <v>0</v>
          </cell>
          <cell r="O349">
            <v>0</v>
          </cell>
          <cell r="T349" t="str">
            <v>000000000008890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000000000008890</v>
          </cell>
        </row>
        <row r="351">
          <cell r="G351" t="str">
            <v/>
          </cell>
          <cell r="K351">
            <v>0</v>
          </cell>
          <cell r="O351">
            <v>0</v>
          </cell>
          <cell r="T351" t="str">
            <v>000000000008890</v>
          </cell>
        </row>
        <row r="352">
          <cell r="G352" t="str">
            <v/>
          </cell>
          <cell r="K352">
            <v>0</v>
          </cell>
          <cell r="L352" t="str">
            <v>切断</v>
          </cell>
          <cell r="O352">
            <v>0</v>
          </cell>
          <cell r="T352" t="str">
            <v>000000000008890</v>
          </cell>
        </row>
        <row r="353">
          <cell r="G353" t="str">
            <v/>
          </cell>
          <cell r="K353">
            <v>0</v>
          </cell>
          <cell r="L353" t="str">
            <v>検査</v>
          </cell>
          <cell r="T353" t="str">
            <v>000000000008890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O354">
            <v>0</v>
          </cell>
          <cell r="P354">
            <v>0</v>
          </cell>
          <cell r="T354" t="str">
            <v>000000000008890</v>
          </cell>
        </row>
        <row r="355">
          <cell r="I355">
            <v>0</v>
          </cell>
          <cell r="K355">
            <v>0</v>
          </cell>
          <cell r="O355">
            <v>0</v>
          </cell>
          <cell r="T355" t="str">
            <v>000000000009237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T356" t="str">
            <v>000000000009237</v>
          </cell>
        </row>
        <row r="357">
          <cell r="G357" t="str">
            <v/>
          </cell>
          <cell r="K357">
            <v>0</v>
          </cell>
          <cell r="O357">
            <v>0</v>
          </cell>
          <cell r="T357" t="str">
            <v>000000000009237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000000000009237</v>
          </cell>
        </row>
        <row r="359">
          <cell r="G359" t="str">
            <v/>
          </cell>
          <cell r="K359">
            <v>0</v>
          </cell>
          <cell r="O359">
            <v>0</v>
          </cell>
          <cell r="T359" t="str">
            <v>000000000009237</v>
          </cell>
        </row>
        <row r="360">
          <cell r="G360" t="str">
            <v/>
          </cell>
          <cell r="K360">
            <v>0</v>
          </cell>
          <cell r="L360" t="str">
            <v>切断</v>
          </cell>
          <cell r="O360">
            <v>0</v>
          </cell>
          <cell r="T360" t="str">
            <v>000000000009237</v>
          </cell>
        </row>
        <row r="361">
          <cell r="G361" t="str">
            <v/>
          </cell>
          <cell r="K361">
            <v>0</v>
          </cell>
          <cell r="L361" t="str">
            <v>検査</v>
          </cell>
          <cell r="T361" t="str">
            <v>000000000009237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O362">
            <v>0</v>
          </cell>
          <cell r="P362">
            <v>0</v>
          </cell>
          <cell r="T362" t="str">
            <v>000000000009237</v>
          </cell>
        </row>
        <row r="363">
          <cell r="I363">
            <v>0</v>
          </cell>
          <cell r="K363">
            <v>0</v>
          </cell>
          <cell r="O363">
            <v>0</v>
          </cell>
          <cell r="T363" t="str">
            <v>000000000009230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000000000009230</v>
          </cell>
        </row>
        <row r="365">
          <cell r="G365" t="str">
            <v/>
          </cell>
          <cell r="K365">
            <v>0</v>
          </cell>
          <cell r="O365">
            <v>0</v>
          </cell>
          <cell r="T365" t="str">
            <v>000000000009230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000000000009230</v>
          </cell>
        </row>
        <row r="367">
          <cell r="G367" t="str">
            <v/>
          </cell>
          <cell r="K367">
            <v>0</v>
          </cell>
          <cell r="O367">
            <v>0</v>
          </cell>
          <cell r="T367" t="str">
            <v>000000000009230</v>
          </cell>
        </row>
        <row r="368">
          <cell r="G368" t="str">
            <v/>
          </cell>
          <cell r="K368">
            <v>0</v>
          </cell>
          <cell r="L368" t="str">
            <v>切断</v>
          </cell>
          <cell r="O368">
            <v>0</v>
          </cell>
          <cell r="T368" t="str">
            <v>000000000009230</v>
          </cell>
        </row>
        <row r="369">
          <cell r="G369" t="str">
            <v/>
          </cell>
          <cell r="K369">
            <v>0</v>
          </cell>
          <cell r="L369" t="str">
            <v>検査</v>
          </cell>
          <cell r="T369" t="str">
            <v>000000000009230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O370">
            <v>0</v>
          </cell>
          <cell r="P370">
            <v>0</v>
          </cell>
          <cell r="T370" t="str">
            <v>000000000009230</v>
          </cell>
        </row>
        <row r="371">
          <cell r="I371">
            <v>0</v>
          </cell>
          <cell r="K371">
            <v>0</v>
          </cell>
          <cell r="O371">
            <v>0</v>
          </cell>
          <cell r="T371" t="str">
            <v>000000000009231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000000000009231</v>
          </cell>
        </row>
        <row r="373">
          <cell r="G373" t="str">
            <v/>
          </cell>
          <cell r="K373">
            <v>0</v>
          </cell>
          <cell r="O373">
            <v>0</v>
          </cell>
          <cell r="T373" t="str">
            <v>000000000009231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000000000009231</v>
          </cell>
        </row>
        <row r="375">
          <cell r="G375" t="str">
            <v/>
          </cell>
          <cell r="K375">
            <v>0</v>
          </cell>
          <cell r="O375">
            <v>0</v>
          </cell>
          <cell r="T375" t="str">
            <v>000000000009231</v>
          </cell>
        </row>
        <row r="376">
          <cell r="G376" t="str">
            <v/>
          </cell>
          <cell r="K376">
            <v>0</v>
          </cell>
          <cell r="L376" t="str">
            <v>切断</v>
          </cell>
          <cell r="O376">
            <v>0</v>
          </cell>
          <cell r="T376" t="str">
            <v>000000000009231</v>
          </cell>
        </row>
        <row r="377">
          <cell r="G377" t="str">
            <v/>
          </cell>
          <cell r="K377">
            <v>0</v>
          </cell>
          <cell r="L377" t="str">
            <v>検査</v>
          </cell>
          <cell r="T377" t="str">
            <v>000000000009231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O378">
            <v>0</v>
          </cell>
          <cell r="P378">
            <v>0</v>
          </cell>
          <cell r="T378" t="str">
            <v>000000000009231</v>
          </cell>
        </row>
        <row r="379">
          <cell r="I379">
            <v>0</v>
          </cell>
          <cell r="K379">
            <v>0</v>
          </cell>
          <cell r="O379">
            <v>0</v>
          </cell>
          <cell r="T379" t="str">
            <v>000000000009234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 t="e">
            <v>#DIV/0!</v>
          </cell>
          <cell r="T380" t="str">
            <v>000000000009234</v>
          </cell>
        </row>
        <row r="381">
          <cell r="G381" t="str">
            <v/>
          </cell>
          <cell r="K381">
            <v>0</v>
          </cell>
          <cell r="O381" t="str">
            <v/>
          </cell>
          <cell r="T381" t="str">
            <v>000000000009234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000000000009234</v>
          </cell>
        </row>
        <row r="383">
          <cell r="G383" t="str">
            <v/>
          </cell>
          <cell r="K383">
            <v>0</v>
          </cell>
          <cell r="O383">
            <v>0</v>
          </cell>
          <cell r="T383" t="str">
            <v>000000000009234</v>
          </cell>
        </row>
        <row r="384">
          <cell r="G384" t="str">
            <v/>
          </cell>
          <cell r="K384">
            <v>0</v>
          </cell>
          <cell r="L384" t="str">
            <v>切断</v>
          </cell>
          <cell r="O384">
            <v>0</v>
          </cell>
          <cell r="T384" t="str">
            <v>000000000009234</v>
          </cell>
        </row>
        <row r="385">
          <cell r="G385" t="str">
            <v/>
          </cell>
          <cell r="K385">
            <v>0</v>
          </cell>
          <cell r="L385" t="str">
            <v>検査</v>
          </cell>
          <cell r="T385" t="str">
            <v>000000000009234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 t="e">
            <v>#DIV/0!</v>
          </cell>
          <cell r="O386">
            <v>0</v>
          </cell>
          <cell r="P386">
            <v>0</v>
          </cell>
          <cell r="T386" t="str">
            <v>000000000009234</v>
          </cell>
        </row>
        <row r="387">
          <cell r="I387">
            <v>0</v>
          </cell>
          <cell r="K387">
            <v>0</v>
          </cell>
          <cell r="O387">
            <v>0</v>
          </cell>
          <cell r="T387" t="str">
            <v/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/>
          </cell>
        </row>
        <row r="389">
          <cell r="G389" t="str">
            <v/>
          </cell>
          <cell r="K389">
            <v>0</v>
          </cell>
          <cell r="O389">
            <v>0</v>
          </cell>
          <cell r="T389" t="str">
            <v/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/>
          </cell>
        </row>
        <row r="391">
          <cell r="G391" t="str">
            <v/>
          </cell>
          <cell r="K391">
            <v>0</v>
          </cell>
          <cell r="O391">
            <v>0</v>
          </cell>
          <cell r="T391" t="str">
            <v/>
          </cell>
        </row>
        <row r="392">
          <cell r="G392" t="str">
            <v/>
          </cell>
          <cell r="K392">
            <v>0</v>
          </cell>
          <cell r="L392" t="str">
            <v>切断</v>
          </cell>
          <cell r="O392">
            <v>0</v>
          </cell>
          <cell r="T392" t="str">
            <v/>
          </cell>
        </row>
        <row r="393">
          <cell r="G393" t="str">
            <v/>
          </cell>
          <cell r="K393">
            <v>0</v>
          </cell>
          <cell r="L393" t="str">
            <v>検査</v>
          </cell>
          <cell r="T393" t="str">
            <v/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O394">
            <v>0</v>
          </cell>
          <cell r="P394">
            <v>0</v>
          </cell>
          <cell r="T394" t="str">
            <v/>
          </cell>
        </row>
        <row r="395">
          <cell r="I395">
            <v>0</v>
          </cell>
          <cell r="K395">
            <v>0</v>
          </cell>
          <cell r="O395">
            <v>0</v>
          </cell>
          <cell r="T395" t="str">
            <v>000000000009642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000000000009642</v>
          </cell>
        </row>
        <row r="397">
          <cell r="G397" t="str">
            <v/>
          </cell>
          <cell r="K397">
            <v>0</v>
          </cell>
          <cell r="O397">
            <v>0</v>
          </cell>
          <cell r="T397" t="str">
            <v>000000000009642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000000000009642</v>
          </cell>
        </row>
        <row r="399">
          <cell r="G399" t="str">
            <v/>
          </cell>
          <cell r="K399">
            <v>0</v>
          </cell>
          <cell r="O399">
            <v>0</v>
          </cell>
          <cell r="T399" t="str">
            <v>000000000009642</v>
          </cell>
        </row>
        <row r="400">
          <cell r="G400" t="str">
            <v/>
          </cell>
          <cell r="K400">
            <v>0</v>
          </cell>
          <cell r="L400" t="str">
            <v>切断</v>
          </cell>
          <cell r="O400">
            <v>0</v>
          </cell>
          <cell r="T400" t="str">
            <v>000000000009642</v>
          </cell>
        </row>
        <row r="401">
          <cell r="G401" t="str">
            <v/>
          </cell>
          <cell r="K401">
            <v>0</v>
          </cell>
          <cell r="L401" t="str">
            <v>検査</v>
          </cell>
          <cell r="T401" t="str">
            <v>000000000009642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O402">
            <v>0</v>
          </cell>
          <cell r="P402">
            <v>0</v>
          </cell>
          <cell r="T402" t="str">
            <v>000000000009642</v>
          </cell>
        </row>
        <row r="403">
          <cell r="I403">
            <v>0</v>
          </cell>
          <cell r="K403">
            <v>0</v>
          </cell>
          <cell r="O403">
            <v>0</v>
          </cell>
          <cell r="T403" t="str">
            <v>000000000009639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000000000009639</v>
          </cell>
        </row>
        <row r="405">
          <cell r="G405" t="str">
            <v/>
          </cell>
          <cell r="K405">
            <v>0</v>
          </cell>
          <cell r="O405">
            <v>0</v>
          </cell>
          <cell r="T405" t="str">
            <v>000000000009639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000000000009639</v>
          </cell>
        </row>
        <row r="407">
          <cell r="G407" t="str">
            <v/>
          </cell>
          <cell r="K407">
            <v>0</v>
          </cell>
          <cell r="O407">
            <v>0</v>
          </cell>
          <cell r="T407" t="str">
            <v>000000000009639</v>
          </cell>
        </row>
        <row r="408">
          <cell r="G408" t="str">
            <v/>
          </cell>
          <cell r="K408">
            <v>0</v>
          </cell>
          <cell r="L408" t="str">
            <v>切断</v>
          </cell>
          <cell r="O408">
            <v>0</v>
          </cell>
          <cell r="T408" t="str">
            <v>000000000009639</v>
          </cell>
        </row>
        <row r="409">
          <cell r="G409" t="str">
            <v/>
          </cell>
          <cell r="K409">
            <v>0</v>
          </cell>
          <cell r="L409" t="str">
            <v>検査</v>
          </cell>
          <cell r="T409" t="str">
            <v>000000000009639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O410">
            <v>0</v>
          </cell>
          <cell r="P410">
            <v>0</v>
          </cell>
          <cell r="T410" t="str">
            <v>000000000009639</v>
          </cell>
        </row>
        <row r="411">
          <cell r="I411">
            <v>0</v>
          </cell>
          <cell r="K411">
            <v>0</v>
          </cell>
          <cell r="O411">
            <v>0</v>
          </cell>
          <cell r="T411" t="str">
            <v>000000000009640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000000000009640</v>
          </cell>
        </row>
        <row r="413">
          <cell r="G413" t="str">
            <v/>
          </cell>
          <cell r="K413">
            <v>0</v>
          </cell>
          <cell r="O413">
            <v>0</v>
          </cell>
          <cell r="T413" t="str">
            <v>000000000009640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000000000009640</v>
          </cell>
        </row>
        <row r="415">
          <cell r="G415" t="str">
            <v/>
          </cell>
          <cell r="K415">
            <v>0</v>
          </cell>
          <cell r="O415">
            <v>0</v>
          </cell>
          <cell r="T415" t="str">
            <v>000000000009640</v>
          </cell>
        </row>
        <row r="416">
          <cell r="G416" t="str">
            <v/>
          </cell>
          <cell r="K416">
            <v>0</v>
          </cell>
          <cell r="L416" t="str">
            <v>切断</v>
          </cell>
          <cell r="O416">
            <v>0</v>
          </cell>
          <cell r="T416" t="str">
            <v>000000000009640</v>
          </cell>
        </row>
        <row r="417">
          <cell r="G417" t="str">
            <v/>
          </cell>
          <cell r="K417">
            <v>0</v>
          </cell>
          <cell r="L417" t="str">
            <v>検査</v>
          </cell>
          <cell r="T417" t="str">
            <v>000000000009640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O418">
            <v>0</v>
          </cell>
          <cell r="P418">
            <v>0</v>
          </cell>
          <cell r="T418" t="str">
            <v>000000000009640</v>
          </cell>
        </row>
        <row r="419">
          <cell r="I419">
            <v>0</v>
          </cell>
          <cell r="K419">
            <v>0</v>
          </cell>
          <cell r="O419">
            <v>0</v>
          </cell>
          <cell r="T419" t="str">
            <v>000000000009643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000000000009643</v>
          </cell>
        </row>
        <row r="421">
          <cell r="G421" t="str">
            <v/>
          </cell>
          <cell r="K421">
            <v>0</v>
          </cell>
          <cell r="O421">
            <v>0</v>
          </cell>
          <cell r="T421" t="str">
            <v>000000000009643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000000000009643</v>
          </cell>
        </row>
        <row r="423">
          <cell r="G423" t="str">
            <v/>
          </cell>
          <cell r="K423">
            <v>0</v>
          </cell>
          <cell r="O423">
            <v>0</v>
          </cell>
          <cell r="T423" t="str">
            <v>000000000009643</v>
          </cell>
        </row>
        <row r="424">
          <cell r="G424" t="str">
            <v/>
          </cell>
          <cell r="K424">
            <v>0</v>
          </cell>
          <cell r="L424" t="str">
            <v>切断</v>
          </cell>
          <cell r="O424">
            <v>0</v>
          </cell>
          <cell r="T424" t="str">
            <v>000000000009643</v>
          </cell>
        </row>
        <row r="425">
          <cell r="G425" t="str">
            <v/>
          </cell>
          <cell r="K425">
            <v>0</v>
          </cell>
          <cell r="L425" t="str">
            <v>検査</v>
          </cell>
          <cell r="T425" t="str">
            <v>000000000009643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O426">
            <v>0</v>
          </cell>
          <cell r="P426">
            <v>0</v>
          </cell>
          <cell r="T426" t="str">
            <v>000000000009643</v>
          </cell>
        </row>
        <row r="427">
          <cell r="I427">
            <v>0</v>
          </cell>
          <cell r="K427">
            <v>0</v>
          </cell>
          <cell r="O427">
            <v>0</v>
          </cell>
          <cell r="T427" t="str">
            <v>000000000009643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000000000009643</v>
          </cell>
        </row>
        <row r="429">
          <cell r="G429" t="str">
            <v/>
          </cell>
          <cell r="K429">
            <v>0</v>
          </cell>
          <cell r="O429">
            <v>0</v>
          </cell>
          <cell r="T429" t="str">
            <v>000000000009643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000000000009643</v>
          </cell>
        </row>
        <row r="431">
          <cell r="G431" t="str">
            <v/>
          </cell>
          <cell r="K431">
            <v>0</v>
          </cell>
          <cell r="O431">
            <v>0</v>
          </cell>
          <cell r="T431" t="str">
            <v>000000000009643</v>
          </cell>
        </row>
        <row r="432">
          <cell r="G432" t="str">
            <v/>
          </cell>
          <cell r="K432">
            <v>0</v>
          </cell>
          <cell r="L432" t="str">
            <v>切断</v>
          </cell>
          <cell r="O432">
            <v>0</v>
          </cell>
          <cell r="T432" t="str">
            <v>000000000009643</v>
          </cell>
        </row>
        <row r="433">
          <cell r="G433" t="str">
            <v/>
          </cell>
          <cell r="K433">
            <v>0</v>
          </cell>
          <cell r="L433" t="str">
            <v>検査</v>
          </cell>
          <cell r="T433" t="str">
            <v>000000000009643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O434">
            <v>0</v>
          </cell>
          <cell r="P434">
            <v>0</v>
          </cell>
          <cell r="T434" t="str">
            <v>000000000009643</v>
          </cell>
        </row>
        <row r="435">
          <cell r="I435">
            <v>0</v>
          </cell>
          <cell r="K435">
            <v>0</v>
          </cell>
          <cell r="O435">
            <v>0</v>
          </cell>
          <cell r="T435" t="str">
            <v>000000000009641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000000000009641</v>
          </cell>
        </row>
        <row r="437">
          <cell r="G437" t="str">
            <v/>
          </cell>
          <cell r="K437">
            <v>0</v>
          </cell>
          <cell r="O437">
            <v>0</v>
          </cell>
          <cell r="T437" t="str">
            <v>000000000009641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000000000009641</v>
          </cell>
        </row>
        <row r="439">
          <cell r="G439" t="str">
            <v/>
          </cell>
          <cell r="K439">
            <v>0</v>
          </cell>
          <cell r="O439">
            <v>0</v>
          </cell>
          <cell r="T439" t="str">
            <v>000000000009641</v>
          </cell>
        </row>
        <row r="440">
          <cell r="G440" t="str">
            <v/>
          </cell>
          <cell r="K440">
            <v>0</v>
          </cell>
          <cell r="L440" t="str">
            <v>切断</v>
          </cell>
          <cell r="O440">
            <v>0</v>
          </cell>
          <cell r="T440" t="str">
            <v>000000000009641</v>
          </cell>
        </row>
        <row r="441">
          <cell r="G441" t="str">
            <v/>
          </cell>
          <cell r="K441">
            <v>0</v>
          </cell>
          <cell r="L441" t="str">
            <v>検査</v>
          </cell>
          <cell r="T441" t="str">
            <v>000000000009641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O442">
            <v>0</v>
          </cell>
          <cell r="P442">
            <v>0</v>
          </cell>
          <cell r="T442" t="str">
            <v>000000000009641</v>
          </cell>
        </row>
        <row r="443">
          <cell r="I443">
            <v>0</v>
          </cell>
          <cell r="K443">
            <v>0</v>
          </cell>
          <cell r="O443">
            <v>0</v>
          </cell>
          <cell r="T443" t="str">
            <v>000000000009636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000000000009636</v>
          </cell>
        </row>
        <row r="445">
          <cell r="G445" t="str">
            <v/>
          </cell>
          <cell r="K445">
            <v>0</v>
          </cell>
          <cell r="O445">
            <v>0</v>
          </cell>
          <cell r="T445" t="str">
            <v>000000000009636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000000000009636</v>
          </cell>
        </row>
        <row r="447">
          <cell r="G447" t="str">
            <v/>
          </cell>
          <cell r="K447">
            <v>0</v>
          </cell>
          <cell r="O447">
            <v>0</v>
          </cell>
          <cell r="T447" t="str">
            <v>000000000009636</v>
          </cell>
        </row>
        <row r="448">
          <cell r="G448" t="str">
            <v/>
          </cell>
          <cell r="K448">
            <v>0</v>
          </cell>
          <cell r="L448" t="str">
            <v>切断</v>
          </cell>
          <cell r="O448">
            <v>0</v>
          </cell>
          <cell r="T448" t="str">
            <v>000000000009636</v>
          </cell>
        </row>
        <row r="449">
          <cell r="G449" t="str">
            <v/>
          </cell>
          <cell r="K449">
            <v>0</v>
          </cell>
          <cell r="L449" t="str">
            <v>検査</v>
          </cell>
          <cell r="T449" t="str">
            <v>000000000009636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O450">
            <v>0</v>
          </cell>
          <cell r="P450">
            <v>0</v>
          </cell>
          <cell r="T450" t="str">
            <v>000000000009636</v>
          </cell>
        </row>
        <row r="451">
          <cell r="I451">
            <v>0</v>
          </cell>
          <cell r="K451">
            <v>0</v>
          </cell>
          <cell r="O451">
            <v>0</v>
          </cell>
          <cell r="T451" t="str">
            <v>000000000009637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000000000009637</v>
          </cell>
        </row>
        <row r="453">
          <cell r="G453" t="str">
            <v/>
          </cell>
          <cell r="K453">
            <v>0</v>
          </cell>
          <cell r="O453">
            <v>0</v>
          </cell>
          <cell r="T453" t="str">
            <v>000000000009637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000000000009637</v>
          </cell>
        </row>
        <row r="455">
          <cell r="G455" t="str">
            <v/>
          </cell>
          <cell r="K455">
            <v>0</v>
          </cell>
          <cell r="O455">
            <v>0</v>
          </cell>
          <cell r="T455" t="str">
            <v>000000000009637</v>
          </cell>
        </row>
        <row r="456">
          <cell r="G456" t="str">
            <v/>
          </cell>
          <cell r="K456">
            <v>0</v>
          </cell>
          <cell r="L456" t="str">
            <v>切断</v>
          </cell>
          <cell r="O456">
            <v>0</v>
          </cell>
          <cell r="T456" t="str">
            <v>000000000009637</v>
          </cell>
        </row>
        <row r="457">
          <cell r="G457" t="str">
            <v/>
          </cell>
          <cell r="K457">
            <v>0</v>
          </cell>
          <cell r="L457" t="str">
            <v>検査</v>
          </cell>
          <cell r="T457" t="str">
            <v>000000000009637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O458">
            <v>0</v>
          </cell>
          <cell r="P458">
            <v>0</v>
          </cell>
          <cell r="T458" t="str">
            <v>000000000009637</v>
          </cell>
        </row>
        <row r="459">
          <cell r="I459">
            <v>0</v>
          </cell>
          <cell r="K459">
            <v>0</v>
          </cell>
          <cell r="O459">
            <v>0</v>
          </cell>
          <cell r="T459" t="str">
            <v>000000000009635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000000000009635</v>
          </cell>
        </row>
        <row r="461">
          <cell r="G461" t="str">
            <v/>
          </cell>
          <cell r="K461">
            <v>0</v>
          </cell>
          <cell r="O461">
            <v>0</v>
          </cell>
          <cell r="T461" t="str">
            <v>000000000009635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000000000009635</v>
          </cell>
        </row>
        <row r="463">
          <cell r="G463" t="str">
            <v/>
          </cell>
          <cell r="K463">
            <v>0</v>
          </cell>
          <cell r="O463">
            <v>0</v>
          </cell>
          <cell r="T463" t="str">
            <v>000000000009635</v>
          </cell>
        </row>
        <row r="464">
          <cell r="G464" t="str">
            <v/>
          </cell>
          <cell r="K464">
            <v>0</v>
          </cell>
          <cell r="L464" t="str">
            <v>切断</v>
          </cell>
          <cell r="O464">
            <v>0</v>
          </cell>
          <cell r="T464" t="str">
            <v>000000000009635</v>
          </cell>
        </row>
        <row r="465">
          <cell r="G465" t="str">
            <v/>
          </cell>
          <cell r="K465">
            <v>0</v>
          </cell>
          <cell r="L465" t="str">
            <v>検査</v>
          </cell>
          <cell r="T465" t="str">
            <v>000000000009635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O466">
            <v>0</v>
          </cell>
          <cell r="P466">
            <v>0</v>
          </cell>
          <cell r="T466" t="str">
            <v>000000000009635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30" workbookViewId="0">
      <selection activeCell="E41" sqref="E41:G42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11" t="s">
        <v>0</v>
      </c>
      <c r="C1" s="86"/>
      <c r="D1" s="8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6"/>
      <c r="C2" s="86"/>
      <c r="D2" s="86"/>
      <c r="E2" s="12"/>
      <c r="F2" s="12"/>
      <c r="G2" s="12"/>
      <c r="H2" s="12"/>
      <c r="I2" s="12"/>
      <c r="J2" s="12"/>
    </row>
    <row r="3" spans="1:10" ht="14.25" customHeight="1">
      <c r="A3" s="95" t="s">
        <v>1</v>
      </c>
      <c r="B3" s="95" t="s">
        <v>2</v>
      </c>
      <c r="C3" s="95" t="s">
        <v>3</v>
      </c>
      <c r="D3" s="117">
        <v>550</v>
      </c>
      <c r="E3" s="95" t="s">
        <v>4</v>
      </c>
      <c r="F3" s="120" t="s">
        <v>5</v>
      </c>
      <c r="G3" s="86"/>
      <c r="H3" s="89"/>
      <c r="I3" s="13" t="s">
        <v>6</v>
      </c>
      <c r="J3" s="13" t="s">
        <v>7</v>
      </c>
    </row>
    <row r="4" spans="1:10" ht="14.25" customHeight="1">
      <c r="A4" s="86"/>
      <c r="B4" s="86"/>
      <c r="C4" s="86"/>
      <c r="D4" s="86"/>
      <c r="E4" s="86"/>
      <c r="F4" s="86"/>
      <c r="G4" s="86"/>
      <c r="H4" s="89"/>
      <c r="I4" s="100"/>
      <c r="J4" s="100"/>
    </row>
    <row r="5" spans="1:10" ht="17.45" customHeight="1">
      <c r="A5" s="85" t="s">
        <v>8</v>
      </c>
      <c r="B5" s="85" t="s">
        <v>9</v>
      </c>
      <c r="E5" s="85" t="s">
        <v>10</v>
      </c>
      <c r="F5" s="92" t="s">
        <v>11</v>
      </c>
      <c r="G5" s="86"/>
      <c r="H5" s="89"/>
      <c r="I5" s="101"/>
      <c r="J5" s="101"/>
    </row>
    <row r="6" spans="1:10" ht="17.45" customHeight="1">
      <c r="A6" s="86"/>
      <c r="B6" s="86"/>
      <c r="E6" s="86"/>
      <c r="F6" s="86"/>
      <c r="G6" s="86"/>
      <c r="H6" s="89"/>
      <c r="I6" s="14"/>
      <c r="J6" s="14"/>
    </row>
    <row r="7" spans="1:10" ht="17.45" customHeight="1">
      <c r="A7" s="85" t="s">
        <v>12</v>
      </c>
      <c r="B7" s="85" t="s">
        <v>13</v>
      </c>
      <c r="E7" s="2" t="s">
        <v>14</v>
      </c>
      <c r="F7" s="110" t="s">
        <v>15</v>
      </c>
      <c r="G7" s="86"/>
      <c r="H7" s="21"/>
    </row>
    <row r="8" spans="1:10" ht="17.45" customHeight="1">
      <c r="A8" s="86"/>
      <c r="B8" s="86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46015</v>
      </c>
      <c r="E9" s="2" t="s">
        <v>19</v>
      </c>
      <c r="F9" s="132">
        <v>50</v>
      </c>
      <c r="G9" s="86"/>
      <c r="H9" s="21"/>
    </row>
    <row r="10" spans="1:10" ht="17.45" customHeight="1">
      <c r="A10" s="2" t="s">
        <v>20</v>
      </c>
      <c r="B10" s="4">
        <v>46015</v>
      </c>
      <c r="E10" s="2" t="s">
        <v>21</v>
      </c>
      <c r="F10" s="21">
        <v>10</v>
      </c>
      <c r="G10" s="103" t="s">
        <v>22</v>
      </c>
      <c r="H10" s="114">
        <v>500</v>
      </c>
      <c r="I10" s="115"/>
      <c r="J10" s="11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04"/>
      <c r="H11" s="104"/>
      <c r="I11" s="90"/>
      <c r="J11" s="91"/>
    </row>
    <row r="12" spans="1:10" ht="13.5" customHeight="1">
      <c r="A12" s="102" t="s">
        <v>25</v>
      </c>
      <c r="B12" s="86"/>
      <c r="C12" s="86"/>
      <c r="D12" s="20"/>
      <c r="F12" s="3"/>
      <c r="G12" s="112" t="s">
        <v>26</v>
      </c>
      <c r="H12" s="131" t="s">
        <v>27</v>
      </c>
      <c r="I12" s="88" t="s">
        <v>28</v>
      </c>
      <c r="J12" s="89"/>
    </row>
    <row r="13" spans="1:10" ht="13.5" customHeight="1">
      <c r="A13" s="86"/>
      <c r="B13" s="86"/>
      <c r="C13" s="86"/>
      <c r="D13" s="20"/>
      <c r="F13" s="3"/>
      <c r="G13" s="113"/>
      <c r="H13" s="113"/>
      <c r="I13" s="90"/>
      <c r="J13" s="91"/>
    </row>
    <row r="14" spans="1:10" ht="13.5" customHeight="1">
      <c r="A14" s="1" t="s">
        <v>29</v>
      </c>
    </row>
    <row r="15" spans="1:10" ht="63" customHeight="1" thickBot="1">
      <c r="A15" s="118"/>
      <c r="B15" s="119"/>
      <c r="C15" s="119"/>
      <c r="D15" s="119"/>
      <c r="E15" s="119"/>
      <c r="F15" s="119"/>
      <c r="G15" s="119"/>
      <c r="H15" s="119"/>
      <c r="I15" s="119"/>
      <c r="J15" s="119"/>
    </row>
    <row r="16" spans="1:10" ht="18.75">
      <c r="A16" s="23" t="s">
        <v>30</v>
      </c>
      <c r="B16" s="16" t="s">
        <v>31</v>
      </c>
      <c r="C16" s="107" t="s">
        <v>32</v>
      </c>
      <c r="D16" s="108"/>
      <c r="E16" s="16" t="s">
        <v>33</v>
      </c>
      <c r="F16" s="107" t="s">
        <v>34</v>
      </c>
      <c r="G16" s="108"/>
      <c r="H16" s="108"/>
      <c r="I16" s="109" t="s">
        <v>35</v>
      </c>
      <c r="J16" s="10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87" t="s">
        <v>37</v>
      </c>
      <c r="D18" s="84"/>
      <c r="E18" s="24" t="s">
        <v>38</v>
      </c>
      <c r="F18" s="87" t="s">
        <v>39</v>
      </c>
      <c r="G18" s="84"/>
      <c r="H18" s="84"/>
      <c r="I18" s="99"/>
      <c r="J18" s="84"/>
    </row>
    <row r="19" spans="1:10" s="7" customFormat="1" ht="16.5" customHeight="1">
      <c r="A19" s="22">
        <v>1</v>
      </c>
      <c r="B19" s="25" t="s">
        <v>36</v>
      </c>
      <c r="C19" s="87" t="s">
        <v>37</v>
      </c>
      <c r="D19" s="84"/>
      <c r="E19" s="24" t="s">
        <v>40</v>
      </c>
      <c r="F19" s="87" t="s">
        <v>41</v>
      </c>
      <c r="G19" s="84"/>
      <c r="H19" s="84"/>
      <c r="I19" s="99"/>
      <c r="J19" s="84"/>
    </row>
    <row r="20" spans="1:10" s="7" customFormat="1" ht="16.5" customHeight="1">
      <c r="A20" s="22"/>
      <c r="B20" s="25"/>
      <c r="C20" s="87"/>
      <c r="D20" s="84"/>
      <c r="E20" s="24"/>
      <c r="F20" s="87"/>
      <c r="G20" s="84"/>
      <c r="H20" s="84"/>
      <c r="I20" s="99"/>
      <c r="J20" s="84"/>
    </row>
    <row r="21" spans="1:10" s="7" customFormat="1" ht="16.5" customHeight="1">
      <c r="A21" s="22"/>
      <c r="B21" s="25"/>
      <c r="C21" s="87"/>
      <c r="D21" s="84"/>
      <c r="E21" s="24"/>
      <c r="F21" s="87"/>
      <c r="G21" s="84"/>
      <c r="H21" s="84"/>
      <c r="I21" s="99"/>
      <c r="J21" s="84"/>
    </row>
    <row r="22" spans="1:10" s="7" customFormat="1" ht="16.5" customHeight="1">
      <c r="A22" s="22"/>
      <c r="B22" s="25"/>
      <c r="C22" s="87"/>
      <c r="D22" s="84"/>
      <c r="E22" s="24"/>
      <c r="F22" s="87"/>
      <c r="G22" s="84"/>
      <c r="H22" s="84"/>
      <c r="I22" s="99"/>
      <c r="J22" s="84"/>
    </row>
    <row r="23" spans="1:10" s="7" customFormat="1" ht="16.5" customHeight="1">
      <c r="A23" s="22"/>
      <c r="B23" s="25"/>
      <c r="C23" s="87"/>
      <c r="D23" s="84"/>
      <c r="E23" s="24"/>
      <c r="F23" s="87"/>
      <c r="G23" s="84"/>
      <c r="H23" s="84"/>
      <c r="I23" s="99"/>
      <c r="J23" s="84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96" t="s">
        <v>42</v>
      </c>
      <c r="B25" s="97"/>
      <c r="C25" s="96" t="s">
        <v>43</v>
      </c>
      <c r="D25" s="97"/>
      <c r="E25" s="97"/>
      <c r="F25" s="17" t="s">
        <v>44</v>
      </c>
      <c r="G25" s="96" t="s">
        <v>45</v>
      </c>
      <c r="H25" s="97"/>
      <c r="I25" s="96" t="s">
        <v>46</v>
      </c>
      <c r="J25" s="97"/>
    </row>
    <row r="26" spans="1:10" ht="14.25" customHeight="1">
      <c r="A26" s="8"/>
      <c r="B26" s="18"/>
      <c r="C26" s="98" t="s">
        <v>47</v>
      </c>
      <c r="D26" s="90"/>
      <c r="E26" s="18"/>
      <c r="F26" s="98" t="s">
        <v>29</v>
      </c>
      <c r="G26" s="90"/>
      <c r="H26" s="90"/>
      <c r="I26" s="90"/>
      <c r="J26" s="90"/>
    </row>
    <row r="27" spans="1:10">
      <c r="A27" s="9"/>
      <c r="C27" s="7"/>
      <c r="D27" s="7"/>
      <c r="E27" s="7"/>
    </row>
    <row r="28" spans="1:10" s="5" customFormat="1" ht="14.25" customHeight="1">
      <c r="A28" s="87" t="s">
        <v>48</v>
      </c>
      <c r="B28" s="94"/>
      <c r="C28" s="87" t="s">
        <v>49</v>
      </c>
      <c r="D28" s="94"/>
      <c r="E28" s="94"/>
      <c r="F28" s="26" t="s">
        <v>50</v>
      </c>
      <c r="G28" s="93">
        <v>166.5</v>
      </c>
      <c r="H28" s="94"/>
      <c r="I28" s="93">
        <v>3.33</v>
      </c>
      <c r="J28" s="94"/>
    </row>
    <row r="29" spans="1:10" s="7" customFormat="1" ht="24.95" customHeight="1">
      <c r="A29" s="83" t="s">
        <v>51</v>
      </c>
      <c r="B29" s="84"/>
      <c r="C29" s="87" t="s">
        <v>11</v>
      </c>
      <c r="D29" s="84"/>
      <c r="E29" s="84"/>
      <c r="F29" s="87"/>
      <c r="G29" s="84"/>
      <c r="H29" s="84"/>
      <c r="I29" s="84"/>
      <c r="J29" s="84"/>
    </row>
    <row r="30" spans="1:10" s="5" customFormat="1" ht="14.25" customHeight="1">
      <c r="A30" s="87"/>
      <c r="B30" s="94"/>
      <c r="C30" s="87"/>
      <c r="D30" s="94"/>
      <c r="E30" s="94"/>
      <c r="F30" s="26"/>
      <c r="G30" s="93"/>
      <c r="H30" s="94"/>
      <c r="I30" s="93"/>
      <c r="J30" s="94"/>
    </row>
    <row r="31" spans="1:10" s="7" customFormat="1" ht="24.95" customHeight="1">
      <c r="A31" s="83"/>
      <c r="B31" s="84"/>
      <c r="C31" s="87"/>
      <c r="D31" s="84"/>
      <c r="E31" s="84"/>
      <c r="F31" s="87"/>
      <c r="G31" s="84"/>
      <c r="H31" s="84"/>
      <c r="I31" s="84"/>
      <c r="J31" s="84"/>
    </row>
    <row r="32" spans="1:10" s="5" customFormat="1" ht="14.25" customHeight="1">
      <c r="A32" s="87"/>
      <c r="B32" s="94"/>
      <c r="C32" s="87"/>
      <c r="D32" s="94"/>
      <c r="E32" s="94"/>
      <c r="F32" s="26"/>
      <c r="G32" s="93"/>
      <c r="H32" s="94"/>
      <c r="I32" s="93"/>
      <c r="J32" s="94"/>
    </row>
    <row r="33" spans="1:14" s="7" customFormat="1" ht="24.95" customHeight="1">
      <c r="A33" s="83"/>
      <c r="B33" s="84"/>
      <c r="C33" s="87"/>
      <c r="D33" s="84"/>
      <c r="E33" s="84"/>
      <c r="F33" s="87"/>
      <c r="G33" s="84"/>
      <c r="H33" s="84"/>
      <c r="I33" s="84"/>
      <c r="J33" s="84"/>
    </row>
    <row r="34" spans="1:14" s="5" customFormat="1" ht="14.25" customHeight="1">
      <c r="A34" s="87"/>
      <c r="B34" s="94"/>
      <c r="C34" s="87"/>
      <c r="D34" s="94"/>
      <c r="E34" s="94"/>
      <c r="F34" s="26"/>
      <c r="G34" s="93"/>
      <c r="H34" s="94"/>
      <c r="I34" s="93"/>
      <c r="J34" s="94"/>
    </row>
    <row r="35" spans="1:14" s="7" customFormat="1" ht="24.95" customHeight="1">
      <c r="A35" s="83"/>
      <c r="B35" s="84"/>
      <c r="C35" s="87"/>
      <c r="D35" s="84"/>
      <c r="E35" s="84"/>
      <c r="F35" s="87"/>
      <c r="G35" s="84"/>
      <c r="H35" s="84"/>
      <c r="I35" s="84"/>
      <c r="J35" s="84"/>
    </row>
    <row r="36" spans="1:14" s="5" customFormat="1" ht="14.25" customHeight="1">
      <c r="A36" s="87"/>
      <c r="B36" s="94"/>
      <c r="C36" s="87"/>
      <c r="D36" s="94"/>
      <c r="E36" s="94"/>
      <c r="F36" s="26"/>
      <c r="G36" s="93"/>
      <c r="H36" s="94"/>
      <c r="I36" s="93"/>
      <c r="J36" s="94"/>
    </row>
    <row r="37" spans="1:14" s="7" customFormat="1" ht="24.95" customHeight="1" thickBot="1">
      <c r="A37" s="83"/>
      <c r="B37" s="84"/>
      <c r="C37" s="87"/>
      <c r="D37" s="84"/>
      <c r="E37" s="84"/>
      <c r="F37" s="87"/>
      <c r="G37" s="84"/>
      <c r="H37" s="84"/>
      <c r="I37" s="84"/>
      <c r="J37" s="84"/>
    </row>
    <row r="38" spans="1:14" s="5" customFormat="1" ht="18" customHeight="1">
      <c r="A38" s="105" t="s">
        <v>52</v>
      </c>
      <c r="B38" s="106"/>
      <c r="C38" s="106"/>
      <c r="D38" s="106"/>
      <c r="E38" s="121" t="s">
        <v>53</v>
      </c>
      <c r="F38" s="122"/>
      <c r="G38" s="27" t="s">
        <v>54</v>
      </c>
      <c r="H38" s="123" t="s">
        <v>55</v>
      </c>
      <c r="I38" s="124"/>
      <c r="J38" s="28" t="s">
        <v>56</v>
      </c>
    </row>
    <row r="39" spans="1:14" s="7" customFormat="1" ht="18" customHeight="1">
      <c r="A39" s="125" t="str">
        <f>_xlfn.XLOOKUP(B3,[1]VFDB2!A:A,[1]VFDB2!B:B)</f>
        <v>照明ｶﾊﾞｰS15　L=550</v>
      </c>
      <c r="B39" s="126"/>
      <c r="C39" s="126"/>
      <c r="D39" s="126"/>
      <c r="E39" s="129" t="s">
        <v>83</v>
      </c>
      <c r="F39" s="130"/>
      <c r="G39" s="133" t="s">
        <v>82</v>
      </c>
      <c r="H39" s="29" t="s">
        <v>57</v>
      </c>
      <c r="I39" s="30" cm="1">
        <f t="array" ref="I39:J39">IFERROR(IF(ISBLANK(INDEX(_xlfn._xlws.FILTER([1]加工記録２!$O$3:$P$999564, [1]加工記録２!$T$3:$T$999564=B5), 1)), "", INDEX(_xlfn._xlws.FILTER([1]加工記録２!$O$3:$P$999564, [1]加工記録２!$T$3:$T$999564=B5), 1)),"")</f>
        <v>45993</v>
      </c>
      <c r="J39" s="31" t="str">
        <v/>
      </c>
    </row>
    <row r="40" spans="1:14" s="5" customFormat="1" ht="18" customHeight="1">
      <c r="A40" s="127"/>
      <c r="B40" s="128"/>
      <c r="C40" s="128"/>
      <c r="D40" s="128"/>
      <c r="E40" s="129"/>
      <c r="F40" s="130"/>
      <c r="G40" s="133"/>
      <c r="H40" s="29" t="s">
        <v>58</v>
      </c>
      <c r="I40" s="32" cm="1">
        <f t="array" ref="I40:J40">IFERROR(IF(ISBLANK(INDEX(_xlfn._xlws.FILTER([1]加工記録２!$O$3:$P$999564, [1]加工記録２!$T$3:$T$999564=B5), 2)), "", INDEX(_xlfn._xlws.FILTER([1]加工記録２!$O$3:$P$999564, [1]加工記録２!$T$3:$T$999564=B5), 2)),"")</f>
        <v>500</v>
      </c>
      <c r="J40" s="33" t="str">
        <v/>
      </c>
      <c r="K40" s="34"/>
    </row>
    <row r="41" spans="1:14" s="7" customFormat="1" ht="18" customHeight="1">
      <c r="A41" s="134" t="s">
        <v>59</v>
      </c>
      <c r="B41" s="147" t="str">
        <f>_xlfn.XLOOKUP(B3,[1]VFDB2!A:A,[1]VFDB2!J:J)</f>
        <v>〇</v>
      </c>
      <c r="C41" s="149" t="s">
        <v>60</v>
      </c>
      <c r="D41" s="151">
        <f>_xlfn.XLOOKUP(B3,[1]VFDB2!A:A,[1]VFDB2!P:P)</f>
        <v>3</v>
      </c>
      <c r="E41" s="129">
        <f>_xlfn.XLOOKUP(B3,[1]VFDB2!A:A,[1]VFDB2!V:V)</f>
        <v>0</v>
      </c>
      <c r="F41" s="130"/>
      <c r="G41" s="142"/>
      <c r="H41" s="35" t="s">
        <v>61</v>
      </c>
      <c r="I41" s="32" cm="1">
        <f t="array" ref="I41:J41">IFERROR(IF(ISBLANK(INDEX(_xlfn._xlws.FILTER([1]加工記録２!$O$3:$P$999564, [1]加工記録２!$T$3:$T$999564=B5), 3)), "", INDEX(_xlfn._xlws.FILTER([1]加工記録２!$O$3:$P$999564, [1]加工記録２!$T$3:$T$999564=B5), 3)),"")</f>
        <v>167</v>
      </c>
      <c r="J41" s="36" t="str">
        <v/>
      </c>
      <c r="K41" s="37"/>
    </row>
    <row r="42" spans="1:14" s="5" customFormat="1" ht="18" customHeight="1">
      <c r="A42" s="146"/>
      <c r="B42" s="148"/>
      <c r="C42" s="150"/>
      <c r="D42" s="152"/>
      <c r="E42" s="129"/>
      <c r="F42" s="130"/>
      <c r="G42" s="142"/>
      <c r="H42" s="35" t="s">
        <v>62</v>
      </c>
      <c r="I42" s="32" cm="1">
        <f t="array" ref="I42:J42">IFERROR(IF(ISBLANK(INDEX(_xlfn._xlws.FILTER([1]加工記録２!$O$3:$P$999564, [1]加工記録２!$T$3:$T$999564=B5), 4)), "", INDEX(_xlfn._xlws.FILTER([1]加工記録２!$O$3:$P$999564, [1]加工記録２!$T$3:$T$999564=B5), 4)),"")</f>
        <v>0</v>
      </c>
      <c r="J42" s="38" t="str">
        <v/>
      </c>
      <c r="K42" s="34"/>
    </row>
    <row r="43" spans="1:14" s="7" customFormat="1" ht="18" customHeight="1">
      <c r="A43" s="153" t="s">
        <v>63</v>
      </c>
      <c r="B43" s="155">
        <f>D3</f>
        <v>550</v>
      </c>
      <c r="C43" s="157" t="s">
        <v>64</v>
      </c>
      <c r="D43" s="140" t="str">
        <f>_xlfn.XLOOKUP(B3,[1]VFDB2!A:A,[1]VFDB2!L:L)</f>
        <v>+1</v>
      </c>
      <c r="E43" s="129">
        <f>_xlfn.XLOOKUP(B3,[1]VFDB2!A:A,[1]VFDB2!W:W)</f>
        <v>0</v>
      </c>
      <c r="F43" s="130"/>
      <c r="G43" s="142"/>
      <c r="H43" s="35" t="s">
        <v>65</v>
      </c>
      <c r="I43" s="32" cm="1">
        <f t="array" ref="I43:J43">IFERROR(IF(ISBLANK(INDEX(_xlfn._xlws.FILTER([1]加工記録２!$O$3:$P$999564, [1]加工記録２!$T$3:$T$999564=B5), 5)), "", INDEX(_xlfn._xlws.FILTER([1]加工記録２!$O$3:$P$999564, [1]加工記録２!$T$3:$T$999564=B5), 5)),"")</f>
        <v>0</v>
      </c>
      <c r="J43" s="39" t="str">
        <v/>
      </c>
      <c r="K43" s="37"/>
    </row>
    <row r="44" spans="1:14" s="5" customFormat="1" ht="18" customHeight="1">
      <c r="A44" s="154"/>
      <c r="B44" s="156"/>
      <c r="C44" s="158"/>
      <c r="D44" s="159"/>
      <c r="E44" s="129"/>
      <c r="F44" s="130"/>
      <c r="G44" s="142"/>
      <c r="H44" s="35" t="s">
        <v>66</v>
      </c>
      <c r="I44" s="32" cm="1">
        <f t="array" ref="I44:J44">IFERROR(IF(ISBLANK(INDEX(_xlfn._xlws.FILTER([1]加工記録２!$O$3:$P$999564, [1]加工記録２!$T$3:$T$999564=B5), 6)), "", INDEX(_xlfn._xlws.FILTER([1]加工記録２!$O$3:$P$999564, [1]加工記録２!$T$3:$T$999564=B5), 6)),"")</f>
        <v>0</v>
      </c>
      <c r="J44" s="40" t="str">
        <v/>
      </c>
      <c r="K44" s="34"/>
    </row>
    <row r="45" spans="1:14" s="7" customFormat="1" ht="18" customHeight="1">
      <c r="A45" s="134" t="s">
        <v>67</v>
      </c>
      <c r="B45" s="136" t="str">
        <f>_xlfn.XLOOKUP(B3,[1]VFDB2!A:A,[1]VFDB2!AC:AC)</f>
        <v>換算表確認</v>
      </c>
      <c r="C45" s="138" t="s">
        <v>68</v>
      </c>
      <c r="D45" s="140">
        <f>_xlfn.XLOOKUP(B3,[1]VFDB2!A:A,[1]VFDB2!K:K)</f>
        <v>-1</v>
      </c>
      <c r="E45" s="129" t="str">
        <f>_xlfn.XLOOKUP(B3,[1]VFDB2!A:A,[1]VFDB2!R:R)</f>
        <v>ラベル２枚　長手有　鉢巻無</v>
      </c>
      <c r="F45" s="130"/>
      <c r="G45" s="142"/>
      <c r="H45" s="35" t="s">
        <v>69</v>
      </c>
      <c r="I45" s="32" t="str" cm="1">
        <f t="array" ref="I45">IFERROR(IF(ISBLANK(INDEX(_xlfn._xlws.FILTER([1]加工記録２!$M$3:$M$999564, [1]加工記録２!$T$3:$T$999564=B5), 6)), "", INDEX(_xlfn._xlws.FILTER([1]加工記録２!$M$3:$M$999564, [1]加工記録２!$T$3:$T$999564=B5), 6)),"")</f>
        <v>m</v>
      </c>
      <c r="J45" s="41" t="str" cm="1">
        <f t="array" ref="J45">IFERROR(IF(ISBLANK(INDEX(_xlfn._xlws.FILTER([1]加工記録２!$P$3:$P$999564, [1]加工記録２!$T$3:$T$999564=B5), 7)), "", INDEX(_xlfn._xlws.FILTER([1]加工記録２!$P$3:$P$999564, [1]加工記録２!$T$3:$T$999564=B5), 7)),"")</f>
        <v/>
      </c>
      <c r="K45" s="37"/>
    </row>
    <row r="46" spans="1:14" s="5" customFormat="1" ht="18" customHeight="1" thickBot="1">
      <c r="A46" s="135"/>
      <c r="B46" s="137"/>
      <c r="C46" s="139"/>
      <c r="D46" s="141"/>
      <c r="E46" s="143"/>
      <c r="F46" s="144"/>
      <c r="G46" s="145"/>
      <c r="H46" s="42" t="s">
        <v>70</v>
      </c>
      <c r="I46" s="32" t="str" cm="1">
        <f t="array" ref="I46">IFERROR(IF(ISBLANK(INDEX(_xlfn._xlws.FILTER([1]加工記録２!$M$3:$M$999564, [1]加工記録２!$T$3:$T$999564=B5), 7)), "", INDEX(_xlfn._xlws.FILTER([1]加工記録２!$M$3:$M$999564, [1]加工記録２!$T$3:$T$999564=B5), 7)),"")</f>
        <v>m</v>
      </c>
      <c r="J46" s="43">
        <f>SUM(J39:J45)</f>
        <v>0</v>
      </c>
    </row>
    <row r="47" spans="1:14" s="54" customFormat="1" ht="18.95" customHeight="1">
      <c r="A47" s="44" t="s">
        <v>71</v>
      </c>
      <c r="B47" s="45" t="s">
        <v>72</v>
      </c>
      <c r="C47" s="46" t="s">
        <v>73</v>
      </c>
      <c r="D47" s="46" t="s">
        <v>74</v>
      </c>
      <c r="E47" s="47" t="s">
        <v>75</v>
      </c>
      <c r="F47" s="48" t="s">
        <v>76</v>
      </c>
      <c r="G47" s="49" t="s">
        <v>77</v>
      </c>
      <c r="H47" s="50" t="s">
        <v>78</v>
      </c>
      <c r="I47" s="51" t="s">
        <v>79</v>
      </c>
      <c r="J47" s="52" t="s">
        <v>80</v>
      </c>
      <c r="K47" s="53"/>
      <c r="L47" s="53"/>
      <c r="M47" s="53"/>
      <c r="N47" s="53"/>
    </row>
    <row r="48" spans="1:14" s="65" customFormat="1" ht="18.95" customHeight="1">
      <c r="A48" s="55" t="str" cm="1">
        <f t="array" ref="A48:J48">IFERROR(IF(ISBLANK(INDEX(_xlfn._xlws.FILTER([1]加工記録２!$D$3:$M$999564, [1]加工記録２!$T$3:$T$999564=B5), 1)), "", INDEX(_xlfn._xlws.FILTER([1]加工記録２!$D$3:$M$999564, [1]加工記録２!$T$3:$T$999564=B5), 1)),"")</f>
        <v/>
      </c>
      <c r="B48" s="56" t="str">
        <v/>
      </c>
      <c r="C48" s="57" t="str">
        <v/>
      </c>
      <c r="D48" s="57" t="str">
        <v/>
      </c>
      <c r="E48" s="58" t="str">
        <v/>
      </c>
      <c r="F48" s="59">
        <v>0</v>
      </c>
      <c r="G48" s="60" t="str">
        <v/>
      </c>
      <c r="H48" s="61">
        <v>0</v>
      </c>
      <c r="I48" s="62">
        <v>45993</v>
      </c>
      <c r="J48" s="63">
        <v>10</v>
      </c>
      <c r="K48" s="64"/>
      <c r="L48" s="64"/>
      <c r="M48" s="64"/>
      <c r="N48" s="64"/>
    </row>
    <row r="49" spans="1:14" s="65" customFormat="1" ht="18.95" customHeight="1">
      <c r="A49" s="55" cm="1">
        <f t="array" ref="A49:J49">IFERROR(IF(ISBLANK(INDEX(_xlfn._xlws.FILTER([1]加工記録２!$D$3:$M$999564, [1]加工記録２!$T$3:$T$999564=B5), 2)), "", INDEX(_xlfn._xlws.FILTER([1]加工記録２!$D$3:$M$999564, [1]加工記録２!$T$3:$T$999564=B5), 2)),"")</f>
        <v>45993</v>
      </c>
      <c r="B49" s="66" t="str">
        <v>25A17A</v>
      </c>
      <c r="C49" s="66">
        <v>20</v>
      </c>
      <c r="D49" s="67">
        <v>550</v>
      </c>
      <c r="E49" s="68">
        <v>549.9</v>
      </c>
      <c r="F49" s="69" t="str">
        <v>25A17A</v>
      </c>
      <c r="G49" s="70">
        <v>480</v>
      </c>
      <c r="H49" s="71">
        <v>160</v>
      </c>
      <c r="I49" s="62" t="str">
        <v/>
      </c>
      <c r="J49" s="63" t="str">
        <v/>
      </c>
      <c r="K49" s="64"/>
      <c r="L49" s="64"/>
      <c r="M49" s="64"/>
      <c r="N49" s="64"/>
    </row>
    <row r="50" spans="1:14" s="65" customFormat="1" ht="18.95" customHeight="1">
      <c r="A50" s="55" cm="1">
        <f t="array" ref="A50:J50">IFERROR(IF(ISBLANK(INDEX(_xlfn._xlws.FILTER([1]加工記録２!$D$3:$M$999564, [1]加工記録２!$T$3:$T$999564=B5), 3)), "", INDEX(_xlfn._xlws.FILTER([1]加工記録２!$D$3:$M$999564, [1]加工記録２!$T$3:$T$999564=B5), 3)),"")</f>
        <v>45993</v>
      </c>
      <c r="B50" s="66" t="str">
        <v>004H19</v>
      </c>
      <c r="C50" s="66">
        <v>18</v>
      </c>
      <c r="D50" s="67">
        <v>549.9</v>
      </c>
      <c r="E50" s="68">
        <v>549.9</v>
      </c>
      <c r="F50" s="69" t="str">
        <v>004H19</v>
      </c>
      <c r="G50" s="70">
        <v>20</v>
      </c>
      <c r="H50" s="71">
        <v>7</v>
      </c>
      <c r="I50" s="62" t="str">
        <v/>
      </c>
      <c r="J50" s="63" t="str">
        <v/>
      </c>
      <c r="K50" s="64"/>
      <c r="L50" s="64"/>
      <c r="M50" s="64"/>
      <c r="N50" s="64"/>
    </row>
    <row r="51" spans="1:14" s="65" customFormat="1" ht="18.95" customHeight="1">
      <c r="A51" s="55" t="str" cm="1">
        <f t="array" ref="A51:J51">IFERROR(IF(ISBLANK(INDEX(_xlfn._xlws.FILTER([1]加工記録２!$D$3:$M$999564, [1]加工記録２!$T$3:$T$999564=B5), 4)), "", INDEX(_xlfn._xlws.FILTER([1]加工記録２!$D$3:$M$999564, [1]加工記録２!$T$3:$T$999564=B5),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>
        <v>0</v>
      </c>
      <c r="I51" s="62" t="str">
        <v/>
      </c>
      <c r="J51" s="63" t="str">
        <v/>
      </c>
      <c r="K51" s="64"/>
      <c r="L51" s="64"/>
      <c r="M51" s="64"/>
      <c r="N51" s="64"/>
    </row>
    <row r="52" spans="1:14" s="65" customFormat="1" ht="18.95" customHeight="1">
      <c r="A52" s="55" t="str" cm="1">
        <f t="array" ref="A52:J52">IFERROR(IF(ISBLANK(INDEX(_xlfn._xlws.FILTER([1]加工記録２!$D$3:$M$999564, [1]加工記録２!$T$3:$T$999564=B5), 5)), "", INDEX(_xlfn._xlws.FILTER([1]加工記録２!$D$3:$M$999564, [1]加工記録２!$T$3:$T$999564=B5),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64"/>
      <c r="L52" s="64"/>
      <c r="M52" s="64"/>
      <c r="N52" s="64"/>
    </row>
    <row r="53" spans="1:14" s="65" customFormat="1" ht="18.95" customHeight="1">
      <c r="A53" s="55" t="str" cm="1">
        <f t="array" ref="A53:H53">IFERROR(IF(ISBLANK(INDEX(_xlfn._xlws.FILTER([1]加工記録２!$D$3:$K$999564, [1]加工記録２!$T$3:$T$999564=B5), 6)), "", INDEX(_xlfn._xlws.FILTER([1]加工記録２!$D$3:$K$999564, [1]加工記録２!$T$3:$T$999564=B5),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>
        <v>0</v>
      </c>
      <c r="I53" s="72"/>
      <c r="J53" s="73"/>
      <c r="K53" s="64"/>
      <c r="L53" s="64"/>
      <c r="M53" s="64"/>
      <c r="N53" s="64"/>
    </row>
    <row r="54" spans="1:14" s="65" customFormat="1" ht="18.95" customHeight="1" thickBot="1">
      <c r="A54" s="55" t="str" cm="1">
        <f t="array" ref="A54:H54">IFERROR(IF(ISBLANK(INDEX(_xlfn._xlws.FILTER([1]加工記録２!$D$3:$K$999564, [1]加工記録２!$T$3:$T$999564=B5), 7)), "", INDEX(_xlfn._xlws.FILTER([1]加工記録２!$D$3:$K$999564, [1]加工記録２!$T$3:$T$999564=B5),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64"/>
      <c r="L54" s="64"/>
      <c r="M54" s="64"/>
      <c r="N54" s="64"/>
    </row>
    <row r="55" spans="1:14" s="65" customFormat="1" ht="18.95" customHeight="1" thickBot="1">
      <c r="A55" s="74" t="str" cm="1">
        <f t="array" ref="A55:H55">IFERROR(IF(ISBLANK(INDEX(_xlfn._xlws.FILTER([1]加工記録２!$D$3:$K$999564, [1]加工記録２!$T$3:$T$999564=B5), 8)), "", INDEX(_xlfn._xlws.FILTER([1]加工記録２!$D$3:$K$999564, [1]加工記録２!$T$3:$T$999564=B5),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 t="s">
        <v>81</v>
      </c>
      <c r="J55" s="82"/>
      <c r="K55" s="64"/>
      <c r="L55" s="64"/>
      <c r="M55" s="64"/>
      <c r="N55" s="64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A38:D38"/>
    <mergeCell ref="C16:D16"/>
    <mergeCell ref="I16:J16"/>
    <mergeCell ref="I25:J25"/>
    <mergeCell ref="F33:J33"/>
    <mergeCell ref="I18:J18"/>
    <mergeCell ref="F7:G7"/>
    <mergeCell ref="F23:H23"/>
    <mergeCell ref="C20:D20"/>
    <mergeCell ref="C22:D22"/>
    <mergeCell ref="F26:J26"/>
    <mergeCell ref="I21:J21"/>
    <mergeCell ref="C28:E28"/>
    <mergeCell ref="C21:D21"/>
    <mergeCell ref="I23:J23"/>
    <mergeCell ref="C30:E30"/>
    <mergeCell ref="C23:D23"/>
    <mergeCell ref="F16:H16"/>
    <mergeCell ref="E38:F38"/>
    <mergeCell ref="H38:I38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12:J13"/>
    <mergeCell ref="F5:H6"/>
    <mergeCell ref="G32:H32"/>
    <mergeCell ref="C3:C4"/>
    <mergeCell ref="G25:H25"/>
    <mergeCell ref="E3:E4"/>
    <mergeCell ref="F18:H18"/>
    <mergeCell ref="F22:H22"/>
  </mergeCells>
  <phoneticPr fontId="2"/>
  <conditionalFormatting sqref="D50:D55">
    <cfRule type="cellIs" dxfId="1" priority="2" operator="equal">
      <formula>$D49</formula>
    </cfRule>
  </conditionalFormatting>
  <conditionalFormatting sqref="I39:I46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2025-12-02T05:09:19Z</cp:lastPrinted>
  <dcterms:created xsi:type="dcterms:W3CDTF">2024-07-11T02:08:33Z</dcterms:created>
  <dcterms:modified xsi:type="dcterms:W3CDTF">2025-12-05T02:46:31Z</dcterms:modified>
</cp:coreProperties>
</file>