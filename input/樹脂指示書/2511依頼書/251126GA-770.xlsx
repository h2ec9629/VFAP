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20C5E742-043E-4C62-ACEC-F997855DF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E39" i="1" a="1"/>
  <c r="E39" i="1" s="1"/>
  <c r="A39" i="1"/>
  <c r="J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<sst xmlns="http://schemas.openxmlformats.org/spreadsheetml/2006/main" count="87" uniqueCount="82">
  <si>
    <t>検査梱包指示書</t>
  </si>
  <si>
    <t>品目番号</t>
  </si>
  <si>
    <t>J1AAFAB01299999</t>
  </si>
  <si>
    <t>名称</t>
  </si>
  <si>
    <t>上長</t>
  </si>
  <si>
    <t>係員</t>
  </si>
  <si>
    <t>製造指図№</t>
  </si>
  <si>
    <t>000000000009857</t>
  </si>
  <si>
    <t>原料名</t>
  </si>
  <si>
    <t>J1VR256D</t>
  </si>
  <si>
    <t>発注明細№</t>
  </si>
  <si>
    <t>000000000810982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</si>
  <si>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</si>
  <si>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</si>
  <si>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</si>
  <si>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</si>
  <si>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</si>
  <si>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</si>
  <si>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</si>
  <si>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</si>
  <si>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</si>
  <si>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</si>
  <si>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</si>
  <si>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</si>
  <si>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</si>
  <si>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</si>
  <si>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</si>
  <si>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</si>
  <si>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</si>
  <si>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</si>
  <si>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</si>
  <si>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</si>
  <si>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</si>
  <si>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</si>
  <si>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</si>
  <si>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</si>
  <si>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</si>
  <si>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</si>
  <si>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</si>
  <si>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</si>
  <si>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</si>
  <si>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</si>
  <si>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</si>
  <si>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</si>
  <si>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</si>
  <si>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</si>
  <si>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</si>
  <si>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</si>
  <si>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</si>
  <si>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</si>
  <si>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</si>
  <si>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</si>
  <si>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</si>
  <si>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</si>
  <si>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</si>
  <si>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</si>
  <si>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</si>
  <si>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</si>
  <si>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</si>
  <si>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</si>
  <si>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</si>
  <si>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</si>
  <si>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</si>
  <si>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</si>
  <si>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</si>
  <si>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</si>
  <si>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</si>
  <si>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</si>
  <si>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</si>
  <si>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</si>
  <si>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</si>
  <si>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</si>
  <si>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</si>
  <si>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</si>
  <si>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</si>
  <si>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</si>
  <si>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</si>
  <si>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</si>
  <si>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</si>
  <si>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</si>
  <si>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</si>
  <si>
    <t>GA-770 (特注)BR L=735.5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</si>
</sst>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133351</xdr:colOff>
      <xdr:row>3</xdr:row>
      <xdr:rowOff>57151</xdr:rowOff>
    </xdr:from>
    <xdr:to>
      <xdr:col>9</xdr:col>
      <xdr:colOff>628651</xdr:colOff>
      <xdr:row>5</xdr:row>
      <xdr:rowOff>152401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36482A8-66DD-6EBF-2688-6791BFE8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6" y="600076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142876</xdr:colOff>
      <xdr:row>3</xdr:row>
      <xdr:rowOff>57151</xdr:rowOff>
    </xdr:from>
    <xdr:to>
      <xdr:col>8</xdr:col>
      <xdr:colOff>619126</xdr:colOff>
      <xdr:row>5</xdr:row>
      <xdr:rowOff>133351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C008063-9B09-888A-9997-574970EF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6" y="600076"/>
          <a:ext cx="476250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K3">
            <v>0</v>
          </cell>
          <cell r="L3">
            <v>45987</v>
          </cell>
          <cell r="M3">
            <v>6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1996</v>
          </cell>
          <cell r="H4">
            <v>1997.2</v>
          </cell>
          <cell r="I4" t="str">
            <v/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546</v>
          </cell>
          <cell r="P4">
            <v>38</v>
          </cell>
          <cell r="T4" t="str">
            <v>000000000009311</v>
          </cell>
        </row>
        <row r="5">
          <cell r="C5">
            <v>546</v>
          </cell>
          <cell r="D5">
            <v>45986</v>
          </cell>
          <cell r="E5" t="str">
            <v>25K09-05</v>
          </cell>
          <cell r="F5">
            <v>20</v>
          </cell>
          <cell r="G5">
            <v>1996</v>
          </cell>
          <cell r="H5">
            <v>1997.2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1996</v>
          </cell>
          <cell r="H6">
            <v>1997</v>
          </cell>
          <cell r="K6">
            <v>0</v>
          </cell>
          <cell r="O6">
            <v>46</v>
          </cell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1996</v>
          </cell>
          <cell r="H7">
            <v>1997.3</v>
          </cell>
          <cell r="K7">
            <v>0</v>
          </cell>
          <cell r="O7">
            <v>46</v>
          </cell>
          <cell r="T7" t="str">
            <v>000000000009311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46</v>
          </cell>
          <cell r="T10" t="str">
            <v>000000000009311</v>
          </cell>
        </row>
        <row r="11">
          <cell r="C11" t="str">
            <v>GA-770 (特注)BR</v>
          </cell>
          <cell r="I11">
            <v>0</v>
          </cell>
          <cell r="K11">
            <v>0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O12">
            <v>6</v>
          </cell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>
            <v>0</v>
          </cell>
          <cell r="O13">
            <v>3</v>
          </cell>
          <cell r="T13" t="str">
            <v>000000000009857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000000000009857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0</v>
          </cell>
          <cell r="T15" t="str">
            <v>000000000009857</v>
          </cell>
        </row>
        <row r="16">
          <cell r="C16" t="str">
            <v>SB-246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000000000009857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照明ｶﾊﾞｰS15　L=550</v>
          </cell>
          <cell r="I19">
            <v>0</v>
          </cell>
          <cell r="K19">
            <v>0</v>
          </cell>
          <cell r="O19">
            <v>0</v>
          </cell>
          <cell r="T19" t="str">
            <v>000000000009943</v>
          </cell>
        </row>
        <row r="20">
          <cell r="G20" t="str">
            <v/>
          </cell>
          <cell r="I20" t="str">
            <v/>
          </cell>
          <cell r="K20">
            <v>0</v>
          </cell>
          <cell r="O20">
            <v>0</v>
          </cell>
          <cell r="T20" t="str">
            <v>000000000009943</v>
          </cell>
        </row>
        <row r="21">
          <cell r="C21">
            <v>500</v>
          </cell>
          <cell r="G21" t="str">
            <v/>
          </cell>
          <cell r="K21">
            <v>0</v>
          </cell>
          <cell r="O21">
            <v>0</v>
          </cell>
          <cell r="T21" t="str">
            <v>000000000009943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000000000009943</v>
          </cell>
        </row>
        <row r="23">
          <cell r="C23">
            <v>3</v>
          </cell>
          <cell r="G23" t="str">
            <v/>
          </cell>
          <cell r="K23">
            <v>0</v>
          </cell>
          <cell r="O23">
            <v>0</v>
          </cell>
          <cell r="T23" t="str">
            <v>000000000009943</v>
          </cell>
        </row>
        <row r="24">
          <cell r="C24" t="str">
            <v>基材梱包箱</v>
          </cell>
          <cell r="G24" t="str">
            <v/>
          </cell>
          <cell r="K24">
            <v>0</v>
          </cell>
          <cell r="L24" t="str">
            <v>切断</v>
          </cell>
          <cell r="O24">
            <v>0</v>
          </cell>
          <cell r="T24" t="str">
            <v>000000000009943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T25" t="str">
            <v>000000000009943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0</v>
          </cell>
          <cell r="T26" t="str">
            <v>000000000009943</v>
          </cell>
        </row>
        <row r="27">
          <cell r="C27" t="str">
            <v>8FL281304 6110　L=1478</v>
          </cell>
          <cell r="I27">
            <v>0</v>
          </cell>
          <cell r="K27">
            <v>0</v>
          </cell>
          <cell r="O27">
            <v>0</v>
          </cell>
          <cell r="T27" t="str">
            <v>000000000009237</v>
          </cell>
        </row>
        <row r="28">
          <cell r="G28" t="str">
            <v/>
          </cell>
          <cell r="I28" t="str">
            <v/>
          </cell>
          <cell r="K28">
            <v>0</v>
          </cell>
          <cell r="O28">
            <v>0</v>
          </cell>
          <cell r="T28" t="str">
            <v>000000000009237</v>
          </cell>
        </row>
        <row r="29">
          <cell r="C29">
            <v>300</v>
          </cell>
          <cell r="G29" t="str">
            <v/>
          </cell>
          <cell r="K29">
            <v>0</v>
          </cell>
          <cell r="O29">
            <v>0</v>
          </cell>
          <cell r="T29" t="str">
            <v>000000000009237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000000000009237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0</v>
          </cell>
          <cell r="T31" t="str">
            <v>000000000009237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切断</v>
          </cell>
          <cell r="O32">
            <v>0</v>
          </cell>
          <cell r="T32" t="str">
            <v>000000000009237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T33" t="str">
            <v>000000000009237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0</v>
          </cell>
          <cell r="T34" t="str">
            <v>000000000009237</v>
          </cell>
        </row>
        <row r="35">
          <cell r="C35" t="str">
            <v>8FL281304 5010　L=888</v>
          </cell>
          <cell r="I35">
            <v>0</v>
          </cell>
          <cell r="K35">
            <v>0</v>
          </cell>
          <cell r="O35">
            <v>0</v>
          </cell>
          <cell r="T35" t="str">
            <v>000000000009234</v>
          </cell>
        </row>
        <row r="36">
          <cell r="G36" t="str">
            <v/>
          </cell>
          <cell r="I36" t="str">
            <v/>
          </cell>
          <cell r="K36">
            <v>0</v>
          </cell>
          <cell r="O36">
            <v>0</v>
          </cell>
          <cell r="T36" t="str">
            <v>000000000009234</v>
          </cell>
        </row>
        <row r="37">
          <cell r="C37">
            <v>2000</v>
          </cell>
          <cell r="G37" t="str">
            <v/>
          </cell>
          <cell r="K37">
            <v>0</v>
          </cell>
          <cell r="O37">
            <v>0</v>
          </cell>
          <cell r="T37" t="str">
            <v>000000000009234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000000000009234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0</v>
          </cell>
          <cell r="T39" t="str">
            <v>000000000009234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切断</v>
          </cell>
          <cell r="O40">
            <v>0</v>
          </cell>
          <cell r="T40" t="str">
            <v>000000000009234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T41" t="str">
            <v>000000000009234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0</v>
          </cell>
          <cell r="T42" t="str">
            <v>000000000009234</v>
          </cell>
        </row>
        <row r="43">
          <cell r="C43" t="str">
            <v>8FL281304 4910　L=592</v>
          </cell>
          <cell r="I43">
            <v>0</v>
          </cell>
          <cell r="K43">
            <v>0</v>
          </cell>
          <cell r="O43">
            <v>0</v>
          </cell>
          <cell r="T43" t="str">
            <v>000000000009231</v>
          </cell>
        </row>
        <row r="44">
          <cell r="G44" t="str">
            <v/>
          </cell>
          <cell r="I44" t="str">
            <v/>
          </cell>
          <cell r="K44">
            <v>0</v>
          </cell>
          <cell r="O44">
            <v>0</v>
          </cell>
          <cell r="T44" t="str">
            <v>000000000009231</v>
          </cell>
        </row>
        <row r="45">
          <cell r="C45">
            <v>300</v>
          </cell>
          <cell r="G45" t="str">
            <v/>
          </cell>
          <cell r="K45">
            <v>0</v>
          </cell>
          <cell r="O45">
            <v>0</v>
          </cell>
          <cell r="T45" t="str">
            <v>000000000009231</v>
          </cell>
        </row>
        <row r="46">
          <cell r="G46" t="str">
            <v/>
          </cell>
          <cell r="K46">
            <v>0</v>
          </cell>
          <cell r="O46">
            <v>0</v>
          </cell>
          <cell r="T46" t="str">
            <v>000000000009231</v>
          </cell>
        </row>
        <row r="47">
          <cell r="C47">
            <v>3</v>
          </cell>
          <cell r="G47" t="str">
            <v/>
          </cell>
          <cell r="K47">
            <v>0</v>
          </cell>
          <cell r="O47">
            <v>0</v>
          </cell>
          <cell r="T47" t="str">
            <v>000000000009231</v>
          </cell>
        </row>
        <row r="48">
          <cell r="C48" t="str">
            <v>LED-A592</v>
          </cell>
          <cell r="G48" t="str">
            <v/>
          </cell>
          <cell r="K48">
            <v>0</v>
          </cell>
          <cell r="L48" t="str">
            <v>切断</v>
          </cell>
          <cell r="O48">
            <v>0</v>
          </cell>
          <cell r="T48" t="str">
            <v>000000000009231</v>
          </cell>
        </row>
        <row r="49">
          <cell r="C49">
            <v>1</v>
          </cell>
          <cell r="G49" t="str">
            <v/>
          </cell>
          <cell r="K49">
            <v>0</v>
          </cell>
          <cell r="L49" t="str">
            <v>検査</v>
          </cell>
          <cell r="T49" t="str">
            <v>000000000009231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0</v>
          </cell>
          <cell r="T50" t="str">
            <v>000000000009231</v>
          </cell>
        </row>
        <row r="51">
          <cell r="C51" t="str">
            <v>8FL281304 4810　L=297</v>
          </cell>
          <cell r="I51">
            <v>0</v>
          </cell>
          <cell r="K51">
            <v>0</v>
          </cell>
          <cell r="O51">
            <v>0</v>
          </cell>
          <cell r="T51" t="str">
            <v>000000000009230</v>
          </cell>
        </row>
        <row r="52">
          <cell r="G52" t="str">
            <v/>
          </cell>
          <cell r="I52" t="str">
            <v/>
          </cell>
          <cell r="K52">
            <v>0</v>
          </cell>
          <cell r="O52">
            <v>0</v>
          </cell>
          <cell r="T52" t="str">
            <v>000000000009230</v>
          </cell>
        </row>
        <row r="53">
          <cell r="C53">
            <v>300</v>
          </cell>
          <cell r="G53" t="str">
            <v/>
          </cell>
          <cell r="K53">
            <v>0</v>
          </cell>
          <cell r="O53">
            <v>0</v>
          </cell>
          <cell r="T53" t="str">
            <v>000000000009230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000000000009230</v>
          </cell>
        </row>
        <row r="55">
          <cell r="C55">
            <v>6</v>
          </cell>
          <cell r="G55" t="str">
            <v/>
          </cell>
          <cell r="K55">
            <v>0</v>
          </cell>
          <cell r="O55">
            <v>0</v>
          </cell>
          <cell r="T55" t="str">
            <v>000000000009230</v>
          </cell>
        </row>
        <row r="56">
          <cell r="C56" t="str">
            <v>LED-A300</v>
          </cell>
          <cell r="G56" t="str">
            <v/>
          </cell>
          <cell r="K56">
            <v>0</v>
          </cell>
          <cell r="L56" t="str">
            <v>切断</v>
          </cell>
          <cell r="O56">
            <v>0</v>
          </cell>
          <cell r="T56" t="str">
            <v>000000000009230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T57" t="str">
            <v>000000000009230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000000000009230</v>
          </cell>
        </row>
        <row r="59">
          <cell r="C59" t="str">
            <v>ランプシェード　SL-600</v>
          </cell>
          <cell r="I59">
            <v>0</v>
          </cell>
          <cell r="K59">
            <v>0</v>
          </cell>
          <cell r="O59">
            <v>0</v>
          </cell>
          <cell r="T59" t="str">
            <v>000000000008890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000000000008890</v>
          </cell>
        </row>
        <row r="61">
          <cell r="C61">
            <v>1200</v>
          </cell>
          <cell r="G61" t="str">
            <v/>
          </cell>
          <cell r="K61">
            <v>0</v>
          </cell>
          <cell r="O61">
            <v>0</v>
          </cell>
          <cell r="T61" t="str">
            <v>000000000008890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000000000008890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0</v>
          </cell>
          <cell r="T63" t="str">
            <v>000000000008890</v>
          </cell>
        </row>
        <row r="64"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000000000008890</v>
          </cell>
        </row>
        <row r="65">
          <cell r="C65">
            <v>5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000000000008890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000000000008890</v>
          </cell>
        </row>
        <row r="67">
          <cell r="C67">
            <v>46000</v>
          </cell>
          <cell r="I67">
            <v>0</v>
          </cell>
          <cell r="K67" t="e">
            <v>#DIV/0!</v>
          </cell>
          <cell r="O67">
            <v>0</v>
          </cell>
          <cell r="T67" t="str">
            <v/>
          </cell>
        </row>
        <row r="68">
          <cell r="G68" t="str">
            <v/>
          </cell>
          <cell r="I68" t="str">
            <v/>
          </cell>
          <cell r="K68" t="e">
            <v>#DIV/0!</v>
          </cell>
          <cell r="O68">
            <v>0</v>
          </cell>
          <cell r="T68" t="str">
            <v/>
          </cell>
        </row>
        <row r="69">
          <cell r="C69" t="str">
            <v>-</v>
          </cell>
          <cell r="G69" t="str">
            <v/>
          </cell>
          <cell r="K69" t="e">
            <v>#DIV/0!</v>
          </cell>
          <cell r="O69" t="str">
            <v/>
          </cell>
          <cell r="T69" t="str">
            <v/>
          </cell>
        </row>
        <row r="70">
          <cell r="G70" t="str">
            <v/>
          </cell>
          <cell r="K70" t="e">
            <v>#DIV/0!</v>
          </cell>
          <cell r="O70" t="str">
            <v/>
          </cell>
          <cell r="T70" t="str">
            <v/>
          </cell>
        </row>
        <row r="71">
          <cell r="G71" t="str">
            <v/>
          </cell>
          <cell r="K71" t="e">
            <v>#DIV/0!</v>
          </cell>
          <cell r="O71">
            <v>0</v>
          </cell>
          <cell r="T71" t="str">
            <v/>
          </cell>
        </row>
        <row r="72">
          <cell r="G72" t="str">
            <v/>
          </cell>
          <cell r="K72" t="e">
            <v>#DIV/0!</v>
          </cell>
          <cell r="L72" t="str">
            <v>切断</v>
          </cell>
          <cell r="O72" t="e">
            <v>#DIV/0!</v>
          </cell>
          <cell r="T72" t="str">
            <v/>
          </cell>
        </row>
        <row r="73">
          <cell r="C73">
            <v>10</v>
          </cell>
          <cell r="G73" t="str">
            <v/>
          </cell>
          <cell r="K73" t="e">
            <v>#DIV/0!</v>
          </cell>
          <cell r="L73" t="str">
            <v>検査</v>
          </cell>
          <cell r="T73" t="str">
            <v/>
          </cell>
        </row>
        <row r="74">
          <cell r="G74" t="str">
            <v/>
          </cell>
          <cell r="K74" t="e">
            <v>#DIV/0!</v>
          </cell>
          <cell r="L74" t="str">
            <v>α端材</v>
          </cell>
          <cell r="O74" t="e">
            <v>#DIV/0!</v>
          </cell>
          <cell r="P74">
            <v>0</v>
          </cell>
          <cell r="T74" t="str">
            <v/>
          </cell>
        </row>
        <row r="75">
          <cell r="C75" t="str">
            <v>灯具カバーPC IN 2110　L=1815</v>
          </cell>
          <cell r="I75">
            <v>0</v>
          </cell>
          <cell r="K75">
            <v>0</v>
          </cell>
          <cell r="O75">
            <v>0</v>
          </cell>
          <cell r="T75" t="str">
            <v>000000000009641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000000000009641</v>
          </cell>
        </row>
        <row r="77">
          <cell r="C77">
            <v>200</v>
          </cell>
          <cell r="G77" t="str">
            <v/>
          </cell>
          <cell r="K77">
            <v>0</v>
          </cell>
          <cell r="O77">
            <v>0</v>
          </cell>
          <cell r="T77" t="str">
            <v>000000000009641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000000000009641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000000000009641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000000000009641</v>
          </cell>
        </row>
        <row r="81">
          <cell r="C81">
            <v>6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000000000009641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000000000009641</v>
          </cell>
        </row>
        <row r="83">
          <cell r="C83" t="str">
            <v>灯具カバーPC IN 2100　L=1923</v>
          </cell>
          <cell r="I83">
            <v>0</v>
          </cell>
          <cell r="K83">
            <v>0</v>
          </cell>
          <cell r="O83">
            <v>0</v>
          </cell>
          <cell r="T83" t="str">
            <v>000000000009642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000000000009642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000000000009642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000000000009642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000000000009642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000000000009642</v>
          </cell>
        </row>
        <row r="89">
          <cell r="C89">
            <v>8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000000000009642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000000000009642</v>
          </cell>
        </row>
        <row r="91">
          <cell r="C91" t="str">
            <v>灯具カバーPC IN 2060　L=1258.5</v>
          </cell>
          <cell r="I91">
            <v>0</v>
          </cell>
          <cell r="K91">
            <v>0</v>
          </cell>
          <cell r="O91">
            <v>0</v>
          </cell>
          <cell r="T91" t="str">
            <v>000000000009639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000000000009639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000000000009639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000000000009639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000000000009639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000000000009639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000000000009639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000000000009639</v>
          </cell>
        </row>
        <row r="99">
          <cell r="C99" t="str">
            <v>灯具カバーPC IN 2090　L=840</v>
          </cell>
          <cell r="I99">
            <v>0</v>
          </cell>
          <cell r="K99">
            <v>0</v>
          </cell>
          <cell r="O99">
            <v>0</v>
          </cell>
          <cell r="T99" t="str">
            <v>000000000009636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000000000009636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000000000009636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000000000009636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000000000009636</v>
          </cell>
        </row>
        <row r="104">
          <cell r="C104" t="str">
            <v>灯具-3　L=970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000000000009636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000000000009636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000000000009636</v>
          </cell>
        </row>
        <row r="107">
          <cell r="C107" t="str">
            <v>灯具カバーPC IN 2130　L=908</v>
          </cell>
          <cell r="I107">
            <v>0</v>
          </cell>
          <cell r="K107">
            <v>0</v>
          </cell>
          <cell r="O107">
            <v>0</v>
          </cell>
          <cell r="T107" t="str">
            <v>000000000009637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000000000009637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000000000009637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000000000009637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000000000009637</v>
          </cell>
        </row>
        <row r="112">
          <cell r="C112" t="str">
            <v>灯具-3　L=970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000000000009637</v>
          </cell>
        </row>
        <row r="113">
          <cell r="C113">
            <v>2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000000000009637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000000000009637</v>
          </cell>
        </row>
        <row r="115">
          <cell r="C115" t="str">
            <v>灯具カバーPC IN 2070　L=1966</v>
          </cell>
          <cell r="I115">
            <v>0</v>
          </cell>
          <cell r="K115">
            <v>0</v>
          </cell>
          <cell r="O115">
            <v>0</v>
          </cell>
          <cell r="T115" t="str">
            <v>000000000009643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000000000009643</v>
          </cell>
        </row>
        <row r="117">
          <cell r="C117">
            <v>200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000000000009643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000000000009643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000000000009643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000000000009643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000000000009643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000000000009643</v>
          </cell>
        </row>
        <row r="123">
          <cell r="C123" t="str">
            <v>灯具カバーPC IN 2140　L=547</v>
          </cell>
          <cell r="I123">
            <v>0</v>
          </cell>
          <cell r="K123">
            <v>0</v>
          </cell>
          <cell r="O123">
            <v>0</v>
          </cell>
          <cell r="T123" t="str">
            <v>000000000009635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000000000009635</v>
          </cell>
        </row>
        <row r="125">
          <cell r="C125">
            <v>192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000000000009635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000000000009635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000000000009635</v>
          </cell>
        </row>
        <row r="128">
          <cell r="C128" t="str">
            <v>灯具-1　L=1370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000000000009635</v>
          </cell>
        </row>
        <row r="129">
          <cell r="C129">
            <v>2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000000000009635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000000000009635</v>
          </cell>
        </row>
        <row r="131">
          <cell r="C131" t="str">
            <v>灯具カバーPC IN 2050　L=1183.5</v>
          </cell>
          <cell r="I131">
            <v>0</v>
          </cell>
          <cell r="K131">
            <v>0</v>
          </cell>
          <cell r="O131">
            <v>0</v>
          </cell>
          <cell r="T131" t="str">
            <v>000000000009638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000000000009638</v>
          </cell>
        </row>
        <row r="133">
          <cell r="C133">
            <v>192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000000000009638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000000000009638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000000000009638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000000000009638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000000000009638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000000000009638</v>
          </cell>
        </row>
        <row r="139">
          <cell r="C139" t="str">
            <v>灯具カバーPC IN 2080　L=1540</v>
          </cell>
          <cell r="I139">
            <v>0</v>
          </cell>
          <cell r="K139">
            <v>0</v>
          </cell>
          <cell r="O139">
            <v>0</v>
          </cell>
          <cell r="T139" t="str">
            <v>000000000009640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000000000009640</v>
          </cell>
        </row>
        <row r="141">
          <cell r="C141">
            <v>96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000000000009640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000000000009640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000000000009640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000000000009640</v>
          </cell>
        </row>
        <row r="145">
          <cell r="C145">
            <v>20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000000000009640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000000000009640</v>
          </cell>
        </row>
        <row r="147">
          <cell r="C147" t="str">
            <v>灯具カバーPC IN 2070　L=1966</v>
          </cell>
          <cell r="I147">
            <v>0</v>
          </cell>
          <cell r="K147">
            <v>0</v>
          </cell>
          <cell r="O147">
            <v>0</v>
          </cell>
          <cell r="T147" t="str">
            <v>000000000009643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000000000009643</v>
          </cell>
        </row>
        <row r="149">
          <cell r="C149">
            <v>200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000000000009643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000000000009643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000000000009643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000000000009643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000000000009643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000000000009643</v>
          </cell>
        </row>
        <row r="155">
          <cell r="C155" t="str">
            <v>灯具カバーPC IN 2110　L=1815</v>
          </cell>
          <cell r="I155">
            <v>0</v>
          </cell>
          <cell r="K155">
            <v>0</v>
          </cell>
          <cell r="O155">
            <v>0</v>
          </cell>
          <cell r="T155" t="str">
            <v>000000000009641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000000000009641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000000000009641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000000000009641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000000000009641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000000000009641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000000000009641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000000000009641</v>
          </cell>
        </row>
        <row r="163">
          <cell r="C163" t="str">
            <v>8FL281304 6110　L=1478</v>
          </cell>
          <cell r="I163">
            <v>0</v>
          </cell>
          <cell r="K163">
            <v>0</v>
          </cell>
          <cell r="O163">
            <v>0</v>
          </cell>
          <cell r="T163" t="str">
            <v>000000000010006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000000000010006</v>
          </cell>
        </row>
        <row r="165">
          <cell r="C165">
            <v>800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000000000010006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000000000010006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000000000010006</v>
          </cell>
        </row>
        <row r="168">
          <cell r="C168" t="str">
            <v>LED-A1478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000000000010006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000000000010006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000000000010006</v>
          </cell>
        </row>
        <row r="171">
          <cell r="C171" t="str">
            <v>8FL281304 5010　L=888</v>
          </cell>
          <cell r="I171">
            <v>0</v>
          </cell>
          <cell r="K171">
            <v>0</v>
          </cell>
          <cell r="O171">
            <v>0</v>
          </cell>
          <cell r="T171" t="str">
            <v>000000000010003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000000000010003</v>
          </cell>
        </row>
        <row r="173">
          <cell r="C173">
            <v>2000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000000000010003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000000000010003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000000000010003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000000000010003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000000000010003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000000000010003</v>
          </cell>
        </row>
        <row r="179">
          <cell r="C179" t="str">
            <v>8FL281304 5010　L=888</v>
          </cell>
          <cell r="I179">
            <v>0</v>
          </cell>
          <cell r="K179">
            <v>0</v>
          </cell>
          <cell r="O179">
            <v>0</v>
          </cell>
          <cell r="T179" t="str">
            <v>000000000010004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000000000010004</v>
          </cell>
        </row>
        <row r="181">
          <cell r="C181">
            <v>900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000000000010004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000000000010004</v>
          </cell>
        </row>
        <row r="183">
          <cell r="C183">
            <v>2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000000000010004</v>
          </cell>
        </row>
        <row r="184">
          <cell r="C184" t="str">
            <v>LED-A888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000000000010004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000000000010004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000000000010004</v>
          </cell>
        </row>
        <row r="187">
          <cell r="C187" t="str">
            <v>8FL281304 5010　L=888</v>
          </cell>
          <cell r="I187">
            <v>0</v>
          </cell>
          <cell r="K187">
            <v>0</v>
          </cell>
          <cell r="O187">
            <v>0</v>
          </cell>
          <cell r="T187" t="str">
            <v>000000000010005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000000000010005</v>
          </cell>
        </row>
        <row r="189">
          <cell r="C189">
            <v>1000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000000000010005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000000000010005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000000000010005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000000000010005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000000000010005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000000000010005</v>
          </cell>
        </row>
        <row r="195">
          <cell r="C195" t="str">
            <v>8FL281304 4910　L=592</v>
          </cell>
          <cell r="I195">
            <v>0</v>
          </cell>
          <cell r="K195">
            <v>0</v>
          </cell>
          <cell r="O195">
            <v>0</v>
          </cell>
          <cell r="T195" t="str">
            <v>000000000010000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000000000010000</v>
          </cell>
        </row>
        <row r="197">
          <cell r="C197">
            <v>100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000000000010000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000000000010000</v>
          </cell>
        </row>
        <row r="199">
          <cell r="C199">
            <v>3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000000000010000</v>
          </cell>
        </row>
        <row r="200">
          <cell r="C200" t="str">
            <v>LED-A592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000000000010000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000000000010000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000000000010000</v>
          </cell>
        </row>
        <row r="203">
          <cell r="C203" t="str">
            <v>8FL281304 4810　L=297</v>
          </cell>
          <cell r="I203">
            <v>0</v>
          </cell>
          <cell r="K203">
            <v>0</v>
          </cell>
          <cell r="O203">
            <v>0</v>
          </cell>
          <cell r="T203" t="str">
            <v>000000000009997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000000000009997</v>
          </cell>
        </row>
        <row r="205">
          <cell r="C205">
            <v>300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000000000009997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000000000009997</v>
          </cell>
        </row>
        <row r="207">
          <cell r="C207">
            <v>6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000000000009997</v>
          </cell>
        </row>
        <row r="208">
          <cell r="C208" t="str">
            <v>LED-A300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000000000009997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000000000009997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000000000009997</v>
          </cell>
        </row>
        <row r="211">
          <cell r="C211" t="str">
            <v>8FL281304 4810　L=297</v>
          </cell>
          <cell r="I211">
            <v>0</v>
          </cell>
          <cell r="K211">
            <v>0</v>
          </cell>
          <cell r="O211">
            <v>0</v>
          </cell>
          <cell r="T211" t="str">
            <v>000000000009998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000000000009998</v>
          </cell>
        </row>
        <row r="213">
          <cell r="C213">
            <v>200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000000000009998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000000000009998</v>
          </cell>
        </row>
        <row r="215">
          <cell r="C215">
            <v>6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000000000009998</v>
          </cell>
        </row>
        <row r="216">
          <cell r="C216" t="str">
            <v>LED-A300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000000000009998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000000000009998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000000000009998</v>
          </cell>
        </row>
        <row r="219">
          <cell r="C219">
            <v>46006</v>
          </cell>
          <cell r="I219">
            <v>0</v>
          </cell>
          <cell r="K219" t="e">
            <v>#DIV/0!</v>
          </cell>
          <cell r="O219">
            <v>0</v>
          </cell>
          <cell r="T219" t="str">
            <v/>
          </cell>
        </row>
        <row r="220">
          <cell r="G220" t="str">
            <v/>
          </cell>
          <cell r="I220" t="str">
            <v/>
          </cell>
          <cell r="K220" t="e">
            <v>#DIV/0!</v>
          </cell>
          <cell r="O220">
            <v>0</v>
          </cell>
          <cell r="T220" t="str">
            <v/>
          </cell>
        </row>
        <row r="221">
          <cell r="C221" t="str">
            <v>-</v>
          </cell>
          <cell r="G221" t="str">
            <v/>
          </cell>
          <cell r="K221" t="e">
            <v>#DIV/0!</v>
          </cell>
          <cell r="O221" t="str">
            <v/>
          </cell>
          <cell r="T221" t="str">
            <v/>
          </cell>
        </row>
        <row r="222">
          <cell r="G222" t="str">
            <v/>
          </cell>
          <cell r="K222" t="e">
            <v>#DIV/0!</v>
          </cell>
          <cell r="O222" t="str">
            <v/>
          </cell>
          <cell r="T222" t="str">
            <v/>
          </cell>
        </row>
        <row r="223">
          <cell r="G223" t="str">
            <v/>
          </cell>
          <cell r="K223" t="e">
            <v>#DIV/0!</v>
          </cell>
          <cell r="O223">
            <v>0</v>
          </cell>
          <cell r="T223" t="str">
            <v/>
          </cell>
        </row>
        <row r="224">
          <cell r="G224" t="str">
            <v/>
          </cell>
          <cell r="K224" t="e">
            <v>#DIV/0!</v>
          </cell>
          <cell r="L224" t="str">
            <v>切断</v>
          </cell>
          <cell r="O224" t="e">
            <v>#DIV/0!</v>
          </cell>
          <cell r="T224" t="str">
            <v/>
          </cell>
        </row>
        <row r="225">
          <cell r="C225" t="e">
            <v>#N/A</v>
          </cell>
          <cell r="G225" t="str">
            <v/>
          </cell>
          <cell r="K225" t="e">
            <v>#DIV/0!</v>
          </cell>
          <cell r="L225" t="str">
            <v>検査</v>
          </cell>
          <cell r="T225" t="str">
            <v/>
          </cell>
        </row>
        <row r="226">
          <cell r="G226" t="str">
            <v/>
          </cell>
          <cell r="K226" t="e">
            <v>#DIV/0!</v>
          </cell>
          <cell r="L226" t="str">
            <v>α端材</v>
          </cell>
          <cell r="O226" t="e">
            <v>#DIV/0!</v>
          </cell>
          <cell r="P226">
            <v>0</v>
          </cell>
          <cell r="T226" t="str">
            <v/>
          </cell>
        </row>
        <row r="227">
          <cell r="C227" t="str">
            <v>8FL281304 5010　L=888</v>
          </cell>
          <cell r="I227">
            <v>0</v>
          </cell>
          <cell r="K227">
            <v>0</v>
          </cell>
          <cell r="O227">
            <v>0</v>
          </cell>
          <cell r="T227" t="str">
            <v>000000000010002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000000000010002</v>
          </cell>
        </row>
        <row r="229">
          <cell r="C229">
            <v>2800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000000000010002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000000000010002</v>
          </cell>
        </row>
        <row r="231">
          <cell r="C231">
            <v>2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000000000010002</v>
          </cell>
        </row>
        <row r="232">
          <cell r="C232" t="str">
            <v>LED-A888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000000000010002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000000000010002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000000000010002</v>
          </cell>
        </row>
        <row r="235">
          <cell r="C235" t="str">
            <v>8FL281304 8310　L=748</v>
          </cell>
          <cell r="I235">
            <v>0</v>
          </cell>
          <cell r="K235">
            <v>0</v>
          </cell>
          <cell r="O235">
            <v>0</v>
          </cell>
          <cell r="T235" t="str">
            <v>000000000010001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000000000010001</v>
          </cell>
        </row>
        <row r="237">
          <cell r="C237">
            <v>200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000000000010001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000000000010001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000000000010001</v>
          </cell>
        </row>
        <row r="240">
          <cell r="C240" t="str">
            <v>LED-A888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000000000010001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000000000010001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O242">
            <v>0</v>
          </cell>
          <cell r="P242">
            <v>0</v>
          </cell>
          <cell r="T242" t="str">
            <v>000000000010001</v>
          </cell>
        </row>
        <row r="243">
          <cell r="C243" t="str">
            <v>8FL281304 4910　L=592</v>
          </cell>
          <cell r="I243">
            <v>0</v>
          </cell>
          <cell r="K243">
            <v>0</v>
          </cell>
          <cell r="O243">
            <v>0</v>
          </cell>
          <cell r="T243" t="str">
            <v>000000000009999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000000000009999</v>
          </cell>
        </row>
        <row r="245">
          <cell r="C245">
            <v>200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000000000009999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000000000009999</v>
          </cell>
        </row>
        <row r="247">
          <cell r="C247">
            <v>3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000000000009999</v>
          </cell>
        </row>
        <row r="248">
          <cell r="C248" t="str">
            <v>LED-A592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000000000009999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000000000009999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000000000009999</v>
          </cell>
        </row>
        <row r="251">
          <cell r="C251" t="str">
            <v>8FL281304 4810　L=297</v>
          </cell>
          <cell r="I251">
            <v>0</v>
          </cell>
          <cell r="K251">
            <v>0</v>
          </cell>
          <cell r="O251">
            <v>0</v>
          </cell>
          <cell r="T251" t="str">
            <v>000000000009996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000000000009996</v>
          </cell>
        </row>
        <row r="253">
          <cell r="C253">
            <v>300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000000000009996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000000000009996</v>
          </cell>
        </row>
        <row r="255">
          <cell r="C255">
            <v>6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000000000009996</v>
          </cell>
        </row>
        <row r="256">
          <cell r="C256" t="str">
            <v>LED-A300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000000000009996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000000000009996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000000000009996</v>
          </cell>
        </row>
        <row r="259">
          <cell r="C259" t="str">
            <v>灯具カバーPC IN 2060　L=1258.5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80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灯具カバーPC IN 2050　L=1183.5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160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灯具カバーPC IN 2110　L=1815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176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灯具-2　L＝1996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504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採光ルーバーパネルA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224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8FL281304 5010　L=888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1000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8FL281304 5010　L=888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600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8FL281304 5010　L=888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8FL281304 8310　L=748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546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GA-770 (特注)BR</v>
          </cell>
          <cell r="I339">
            <v>0</v>
          </cell>
          <cell r="K339">
            <v>0</v>
          </cell>
          <cell r="O339">
            <v>0</v>
          </cell>
          <cell r="T339" t="str">
            <v>000000000009857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000000000009857</v>
          </cell>
        </row>
        <row r="341">
          <cell r="C341">
            <v>6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000000000009857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000000000009857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000000000009857</v>
          </cell>
        </row>
        <row r="344">
          <cell r="C344" t="str">
            <v>SB-246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000000000009857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000000000009857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ランプシェード　SL-600</v>
          </cell>
          <cell r="I347">
            <v>0</v>
          </cell>
          <cell r="K347">
            <v>0</v>
          </cell>
          <cell r="O347">
            <v>0</v>
          </cell>
          <cell r="T347" t="str">
            <v>000000000008890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000000000008890</v>
          </cell>
        </row>
        <row r="349">
          <cell r="C349">
            <v>1200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000000000008890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000000000008890</v>
          </cell>
        </row>
        <row r="351">
          <cell r="C351">
            <v>2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000000000008890</v>
          </cell>
        </row>
        <row r="352"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000000000008890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000000000008890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8FL281304 6110　L=1478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T356" t="str">
            <v>000000000009237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C360" t="str">
            <v>LED-A1478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8FL281304 4810　L=297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300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6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LED-A300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8FL281304 4910　L=592</v>
          </cell>
          <cell r="I371">
            <v>0</v>
          </cell>
          <cell r="K371">
            <v>0</v>
          </cell>
          <cell r="O371">
            <v>0</v>
          </cell>
          <cell r="T371" t="str">
            <v>000000000009231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000000000009231</v>
          </cell>
        </row>
        <row r="373">
          <cell r="C373">
            <v>300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000000000009231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000000000009231</v>
          </cell>
        </row>
        <row r="375">
          <cell r="C375">
            <v>3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000000000009231</v>
          </cell>
        </row>
        <row r="376">
          <cell r="C376" t="str">
            <v>LED-A592</v>
          </cell>
          <cell r="G376" t="str">
            <v/>
          </cell>
          <cell r="K376">
            <v>0</v>
          </cell>
          <cell r="L376" t="str">
            <v>切断</v>
          </cell>
          <cell r="O376">
            <v>0</v>
          </cell>
          <cell r="T376" t="str">
            <v>000000000009231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検査</v>
          </cell>
          <cell r="T377" t="str">
            <v>000000000009231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8FL281304 5010　L=888</v>
          </cell>
          <cell r="I379">
            <v>0</v>
          </cell>
          <cell r="K379">
            <v>0</v>
          </cell>
          <cell r="O379">
            <v>0</v>
          </cell>
          <cell r="T379" t="str">
            <v>000000000009234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 t="e">
            <v>#DIV/0!</v>
          </cell>
          <cell r="T380" t="str">
            <v>000000000009234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 t="str">
            <v/>
          </cell>
          <cell r="T381" t="str">
            <v>000000000009234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000000000009234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000000000009234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切断</v>
          </cell>
          <cell r="O384">
            <v>0</v>
          </cell>
          <cell r="T384" t="str">
            <v>000000000009234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検査</v>
          </cell>
          <cell r="T385" t="str">
            <v>000000000009234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 t="e">
            <v>#DIV/0!</v>
          </cell>
          <cell r="O386">
            <v>0</v>
          </cell>
          <cell r="P386">
            <v>0</v>
          </cell>
          <cell r="T386" t="str">
            <v>000000000009234</v>
          </cell>
        </row>
        <row r="387">
          <cell r="C387">
            <v>46000</v>
          </cell>
          <cell r="I387">
            <v>0</v>
          </cell>
          <cell r="K387" t="e">
            <v>#DIV/0!</v>
          </cell>
          <cell r="O387">
            <v>0</v>
          </cell>
          <cell r="T387" t="str">
            <v/>
          </cell>
        </row>
        <row r="388">
          <cell r="G388" t="str">
            <v/>
          </cell>
          <cell r="I388" t="str">
            <v/>
          </cell>
          <cell r="K388" t="e">
            <v>#DIV/0!</v>
          </cell>
          <cell r="O388">
            <v>0</v>
          </cell>
          <cell r="T388" t="str">
            <v/>
          </cell>
        </row>
        <row r="389">
          <cell r="C389" t="str">
            <v>-</v>
          </cell>
          <cell r="G389" t="str">
            <v/>
          </cell>
          <cell r="K389" t="e">
            <v>#DIV/0!</v>
          </cell>
          <cell r="O389" t="str">
            <v/>
          </cell>
          <cell r="T389" t="str">
            <v/>
          </cell>
        </row>
        <row r="390">
          <cell r="G390" t="str">
            <v/>
          </cell>
          <cell r="K390" t="e">
            <v>#DIV/0!</v>
          </cell>
          <cell r="O390" t="str">
            <v/>
          </cell>
          <cell r="T390" t="str">
            <v/>
          </cell>
        </row>
        <row r="391">
          <cell r="G391" t="str">
            <v/>
          </cell>
          <cell r="K391" t="e">
            <v>#DIV/0!</v>
          </cell>
          <cell r="O391">
            <v>0</v>
          </cell>
          <cell r="T391" t="str">
            <v/>
          </cell>
        </row>
        <row r="392">
          <cell r="G392" t="str">
            <v/>
          </cell>
          <cell r="K392" t="e">
            <v>#DIV/0!</v>
          </cell>
          <cell r="L392" t="str">
            <v>切断</v>
          </cell>
          <cell r="O392" t="e">
            <v>#DIV/0!</v>
          </cell>
          <cell r="T392" t="str">
            <v/>
          </cell>
        </row>
        <row r="393">
          <cell r="C393" t="e">
            <v>#N/A</v>
          </cell>
          <cell r="G393" t="str">
            <v/>
          </cell>
          <cell r="K393" t="e">
            <v>#DIV/0!</v>
          </cell>
          <cell r="L393" t="str">
            <v>検査</v>
          </cell>
          <cell r="T393" t="str">
            <v/>
          </cell>
        </row>
        <row r="394">
          <cell r="G394" t="str">
            <v/>
          </cell>
          <cell r="K394" t="e">
            <v>#DIV/0!</v>
          </cell>
          <cell r="L394" t="str">
            <v>α端材</v>
          </cell>
          <cell r="O394" t="e">
            <v>#DIV/0!</v>
          </cell>
          <cell r="P394">
            <v>0</v>
          </cell>
          <cell r="T394" t="str">
            <v/>
          </cell>
        </row>
        <row r="395">
          <cell r="C395" t="str">
            <v>灯具カバーPC IN 2100　L=1923</v>
          </cell>
          <cell r="I395">
            <v>0</v>
          </cell>
          <cell r="K395">
            <v>0</v>
          </cell>
          <cell r="O395">
            <v>0</v>
          </cell>
          <cell r="T395" t="str">
            <v>000000000009642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000000000009642</v>
          </cell>
        </row>
        <row r="397">
          <cell r="C397">
            <v>192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000000000009642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000000000009642</v>
          </cell>
        </row>
        <row r="399">
          <cell r="C399">
            <v>1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000000000009642</v>
          </cell>
        </row>
        <row r="400">
          <cell r="C400" t="str">
            <v>灯具-2　L＝1996</v>
          </cell>
          <cell r="G400" t="str">
            <v/>
          </cell>
          <cell r="K400">
            <v>0</v>
          </cell>
          <cell r="L400" t="str">
            <v>切断</v>
          </cell>
          <cell r="O400">
            <v>0</v>
          </cell>
          <cell r="T400" t="str">
            <v>000000000009642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検査</v>
          </cell>
          <cell r="T401" t="str">
            <v>000000000009642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灯具カバーPC IN 2060　L=1258.5</v>
          </cell>
          <cell r="I403">
            <v>0</v>
          </cell>
          <cell r="K403">
            <v>0</v>
          </cell>
          <cell r="O403">
            <v>0</v>
          </cell>
          <cell r="T403" t="str">
            <v>000000000009639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000000000009639</v>
          </cell>
        </row>
        <row r="405">
          <cell r="C405">
            <v>192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000000000009639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000000000009639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000000000009639</v>
          </cell>
        </row>
        <row r="408">
          <cell r="C408" t="str">
            <v>灯具-1　L=1370</v>
          </cell>
          <cell r="G408" t="str">
            <v/>
          </cell>
          <cell r="K408">
            <v>0</v>
          </cell>
          <cell r="L408" t="str">
            <v>切断</v>
          </cell>
          <cell r="O408">
            <v>0</v>
          </cell>
          <cell r="T408" t="str">
            <v>000000000009639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検査</v>
          </cell>
          <cell r="T409" t="str">
            <v>000000000009639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灯具カバーPC IN 2080　L=1540</v>
          </cell>
          <cell r="I411">
            <v>0</v>
          </cell>
          <cell r="K411">
            <v>0</v>
          </cell>
          <cell r="O411">
            <v>0</v>
          </cell>
          <cell r="T411" t="str">
            <v>000000000009640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000000000009640</v>
          </cell>
        </row>
        <row r="413">
          <cell r="C413">
            <v>96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000000000009640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000000000009640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000000000009640</v>
          </cell>
        </row>
        <row r="416">
          <cell r="C416" t="str">
            <v>灯具-2　L＝1996</v>
          </cell>
          <cell r="G416" t="str">
            <v/>
          </cell>
          <cell r="K416">
            <v>0</v>
          </cell>
          <cell r="L416" t="str">
            <v>切断</v>
          </cell>
          <cell r="O416">
            <v>0</v>
          </cell>
          <cell r="T416" t="str">
            <v>000000000009640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検査</v>
          </cell>
          <cell r="T417" t="str">
            <v>000000000009640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灯具カバーPC IN 2070　L=1966</v>
          </cell>
          <cell r="I419">
            <v>0</v>
          </cell>
          <cell r="K419">
            <v>0</v>
          </cell>
          <cell r="O419">
            <v>0</v>
          </cell>
          <cell r="T419" t="str">
            <v>000000000009643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000000000009643</v>
          </cell>
        </row>
        <row r="421">
          <cell r="C421">
            <v>192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000000000009643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000000000009643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検査</v>
          </cell>
          <cell r="T425" t="str">
            <v>000000000009643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2070　L=1966</v>
          </cell>
          <cell r="I427">
            <v>0</v>
          </cell>
          <cell r="K427">
            <v>0</v>
          </cell>
          <cell r="O427">
            <v>0</v>
          </cell>
          <cell r="T427" t="str">
            <v>000000000009643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000000000009643</v>
          </cell>
        </row>
        <row r="429">
          <cell r="C429">
            <v>208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000000000009643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000000000009643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000000000009643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切断</v>
          </cell>
          <cell r="O432">
            <v>0</v>
          </cell>
          <cell r="T432" t="str">
            <v>000000000009643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検査</v>
          </cell>
          <cell r="T433" t="str">
            <v>000000000009643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灯具カバーPC IN 2110　L=1815</v>
          </cell>
          <cell r="I435">
            <v>0</v>
          </cell>
          <cell r="K435">
            <v>0</v>
          </cell>
          <cell r="O435">
            <v>0</v>
          </cell>
          <cell r="T435" t="str">
            <v>000000000009641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000000000009641</v>
          </cell>
        </row>
        <row r="437">
          <cell r="C437">
            <v>400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000000000009641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000000000009641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000000000009641</v>
          </cell>
        </row>
        <row r="440">
          <cell r="C440" t="str">
            <v>灯具-2　L＝1996</v>
          </cell>
          <cell r="G440" t="str">
            <v/>
          </cell>
          <cell r="K440">
            <v>0</v>
          </cell>
          <cell r="L440" t="str">
            <v>切断</v>
          </cell>
          <cell r="O440">
            <v>0</v>
          </cell>
          <cell r="T440" t="str">
            <v>000000000009641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検査</v>
          </cell>
          <cell r="T441" t="str">
            <v>000000000009641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灯具カバーPC IN 2090　L=840</v>
          </cell>
          <cell r="I443">
            <v>0</v>
          </cell>
          <cell r="K443">
            <v>0</v>
          </cell>
          <cell r="O443">
            <v>0</v>
          </cell>
          <cell r="T443" t="str">
            <v>000000000009636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000000000009636</v>
          </cell>
        </row>
        <row r="445">
          <cell r="C445">
            <v>192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000000000009636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000000000009636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000000000009636</v>
          </cell>
        </row>
        <row r="448">
          <cell r="C448" t="str">
            <v>灯具-3　L=970</v>
          </cell>
          <cell r="G448" t="str">
            <v/>
          </cell>
          <cell r="K448">
            <v>0</v>
          </cell>
          <cell r="L448" t="str">
            <v>切断</v>
          </cell>
          <cell r="O448">
            <v>0</v>
          </cell>
          <cell r="T448" t="str">
            <v>000000000009636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検査</v>
          </cell>
          <cell r="T449" t="str">
            <v>000000000009636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灯具カバーPC IN 2130　L=908</v>
          </cell>
          <cell r="I451">
            <v>0</v>
          </cell>
          <cell r="K451">
            <v>0</v>
          </cell>
          <cell r="O451">
            <v>0</v>
          </cell>
          <cell r="T451" t="str">
            <v>000000000009637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000000000009637</v>
          </cell>
        </row>
        <row r="453">
          <cell r="C453">
            <v>192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000000000009637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000000000009637</v>
          </cell>
        </row>
        <row r="455">
          <cell r="C455">
            <v>1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000000000009637</v>
          </cell>
        </row>
        <row r="456">
          <cell r="C456" t="str">
            <v>灯具-3　L=970</v>
          </cell>
          <cell r="G456" t="str">
            <v/>
          </cell>
          <cell r="K456">
            <v>0</v>
          </cell>
          <cell r="L456" t="str">
            <v>切断</v>
          </cell>
          <cell r="O456">
            <v>0</v>
          </cell>
          <cell r="T456" t="str">
            <v>000000000009637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検査</v>
          </cell>
          <cell r="T457" t="str">
            <v>000000000009637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灯具カバーPC IN 2140　L=547</v>
          </cell>
          <cell r="I459">
            <v>0</v>
          </cell>
          <cell r="K459">
            <v>0</v>
          </cell>
          <cell r="O459">
            <v>0</v>
          </cell>
          <cell r="T459" t="str">
            <v>000000000009635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000000000009635</v>
          </cell>
        </row>
        <row r="461">
          <cell r="C461">
            <v>192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000000000009635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000000000009635</v>
          </cell>
        </row>
        <row r="463">
          <cell r="C463">
            <v>1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000000000009635</v>
          </cell>
        </row>
        <row r="464">
          <cell r="C464" t="str">
            <v>灯具-1　L=1370</v>
          </cell>
          <cell r="G464" t="str">
            <v/>
          </cell>
          <cell r="K464">
            <v>0</v>
          </cell>
          <cell r="L464" t="str">
            <v>切断</v>
          </cell>
          <cell r="O464">
            <v>0</v>
          </cell>
          <cell r="T464" t="str">
            <v>000000000009635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検査</v>
          </cell>
          <cell r="T465" t="str">
            <v>000000000009635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O466">
            <v>0</v>
          </cell>
          <cell r="P466">
            <v>0</v>
          </cell>
          <cell r="T466" t="str">
            <v>000000000009635</v>
          </cell>
        </row>
        <row r="467">
          <cell r="C467" t="str">
            <v>灯具カバーPC IN 2050　L=1183.5</v>
          </cell>
          <cell r="T467" t="str">
            <v>000000000009638</v>
          </cell>
        </row>
        <row r="468">
          <cell r="T468" t="str">
            <v>000000000009638</v>
          </cell>
        </row>
        <row r="469">
          <cell r="C469">
            <v>192</v>
          </cell>
          <cell r="T469" t="str">
            <v>000000000009638</v>
          </cell>
        </row>
        <row r="470">
          <cell r="T470" t="str">
            <v>000000000009638</v>
          </cell>
        </row>
        <row r="471">
          <cell r="C471">
            <v>1</v>
          </cell>
          <cell r="T471" t="str">
            <v>000000000009638</v>
          </cell>
        </row>
        <row r="472">
          <cell r="C472" t="str">
            <v>灯具-1　L=1370</v>
          </cell>
          <cell r="T472" t="str">
            <v>000000000009638</v>
          </cell>
        </row>
        <row r="473">
          <cell r="T473" t="str">
            <v>000000000009638</v>
          </cell>
        </row>
        <row r="474">
          <cell r="T474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1" workbookViewId="0">
      <selection activeCell="AD40" sqref="AD4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6" t="s">
        <v>0</v>
      </c>
      <c r="C1" s="118"/>
      <c r="D1" s="11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8"/>
      <c r="C2" s="118"/>
      <c r="D2" s="118"/>
      <c r="E2" s="12"/>
      <c r="F2" s="12"/>
      <c r="G2" s="12"/>
      <c r="H2" s="12"/>
      <c r="I2" s="12"/>
      <c r="J2" s="12"/>
    </row>
    <row r="3" spans="1:10" ht="14.25" customHeight="1">
      <c r="A3" s="131" t="s">
        <v>1</v>
      </c>
      <c r="B3" s="131" t="s">
        <v>2</v>
      </c>
      <c r="C3" s="131"/>
      <c r="D3" s="138"/>
      <c r="E3" s="131" t="s">
        <v>3</v>
      </c>
      <c r="F3" s="143" t="s">
        <v>81</v>
      </c>
      <c r="G3" s="118"/>
      <c r="H3" s="144"/>
      <c r="I3" s="13" t="s">
        <v>4</v>
      </c>
      <c r="J3" s="13" t="s">
        <v>5</v>
      </c>
    </row>
    <row r="4" spans="1:10" ht="14.25" customHeight="1">
      <c r="A4" s="118"/>
      <c r="B4" s="118"/>
      <c r="C4" s="118"/>
      <c r="D4" s="118"/>
      <c r="E4" s="118"/>
      <c r="F4" s="118"/>
      <c r="G4" s="118"/>
      <c r="H4" s="144"/>
      <c r="I4" s="141"/>
      <c r="J4" s="141"/>
    </row>
    <row r="5" spans="1:10" ht="17.45" customHeight="1">
      <c r="A5" s="121" t="s">
        <v>6</v>
      </c>
      <c r="B5" s="121" t="s">
        <v>7</v>
      </c>
      <c r="E5" s="121" t="s">
        <v>8</v>
      </c>
      <c r="F5" s="159" t="s">
        <v>9</v>
      </c>
      <c r="G5" s="118"/>
      <c r="H5" s="144"/>
      <c r="I5" s="142"/>
      <c r="J5" s="142"/>
    </row>
    <row r="6" spans="1:10" ht="17.45" customHeight="1">
      <c r="A6" s="118"/>
      <c r="B6" s="118"/>
      <c r="E6" s="118"/>
      <c r="F6" s="118"/>
      <c r="G6" s="118"/>
      <c r="H6" s="144"/>
      <c r="I6" s="14"/>
      <c r="J6" s="14"/>
    </row>
    <row r="7" spans="1:10" ht="17.45" customHeight="1">
      <c r="A7" s="121" t="s">
        <v>10</v>
      </c>
      <c r="B7" s="121" t="s">
        <v>11</v>
      </c>
      <c r="E7" s="2" t="s">
        <v>12</v>
      </c>
      <c r="F7" s="150" t="s">
        <v>13</v>
      </c>
      <c r="G7" s="118"/>
      <c r="H7" s="21"/>
    </row>
    <row r="8" spans="1:10" ht="17.45" customHeight="1">
      <c r="A8" s="118"/>
      <c r="B8" s="118"/>
      <c r="E8" s="2" t="s">
        <v>14</v>
      </c>
      <c r="F8" s="21" t="s">
        <v>15</v>
      </c>
      <c r="G8" s="21"/>
      <c r="H8" s="21"/>
    </row>
    <row r="9" spans="1:10" ht="17.45" customHeight="1">
      <c r="A9" s="2" t="s">
        <v>16</v>
      </c>
      <c r="B9" s="4">
        <v>45993</v>
      </c>
      <c r="E9" s="2" t="s">
        <v>17</v>
      </c>
      <c r="F9" s="117">
        <v>1</v>
      </c>
      <c r="G9" s="118"/>
      <c r="H9" s="21"/>
    </row>
    <row r="10" spans="1:10" ht="17.45" customHeight="1">
      <c r="A10" s="2" t="s">
        <v>18</v>
      </c>
      <c r="B10" s="4">
        <v>45993</v>
      </c>
      <c r="E10" s="2" t="s">
        <v>19</v>
      </c>
      <c r="F10" s="21">
        <v>6</v>
      </c>
      <c r="G10" s="157" t="s">
        <v>20</v>
      </c>
      <c r="H10" s="132">
        <v>6</v>
      </c>
      <c r="I10" s="133"/>
      <c r="J10" s="134"/>
    </row>
    <row r="11" spans="1:10" ht="17.45" customHeight="1">
      <c r="A11" s="19"/>
      <c r="B11" s="20"/>
      <c r="C11" s="20"/>
      <c r="D11" s="20"/>
      <c r="E11" s="2"/>
      <c r="F11" s="21"/>
      <c r="G11" s="135"/>
      <c r="H11" s="135"/>
      <c r="I11" s="136"/>
      <c r="J11" s="137"/>
    </row>
    <row r="12" spans="1:10" ht="13.5" customHeight="1">
      <c r="A12" s="156" t="s">
        <v>21</v>
      </c>
      <c r="B12" s="118"/>
      <c r="C12" s="118"/>
      <c r="D12" s="20"/>
      <c r="F12" s="3"/>
      <c r="G12" s="128" t="s">
        <v>22</v>
      </c>
      <c r="H12" s="115" t="s">
        <v>23</v>
      </c>
      <c r="I12" s="158" t="s">
        <v>24</v>
      </c>
      <c r="J12" s="144"/>
    </row>
    <row r="13" spans="1:10" ht="13.5" customHeight="1">
      <c r="A13" s="118"/>
      <c r="B13" s="118"/>
      <c r="C13" s="118"/>
      <c r="D13" s="20"/>
      <c r="F13" s="3"/>
      <c r="G13" s="116"/>
      <c r="H13" s="116"/>
      <c r="I13" s="136"/>
      <c r="J13" s="137"/>
    </row>
    <row r="14" spans="1:10" ht="13.5" customHeight="1">
      <c r="A14" s="1" t="s">
        <v>25</v>
      </c>
    </row>
    <row r="15" spans="1:10" ht="63" customHeight="1" thickBot="1">
      <c r="A15" s="139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8.75">
      <c r="A16" s="23" t="s">
        <v>26</v>
      </c>
      <c r="B16" s="16" t="s">
        <v>27</v>
      </c>
      <c r="C16" s="147" t="s">
        <v>28</v>
      </c>
      <c r="D16" s="148"/>
      <c r="E16" s="16" t="s">
        <v>29</v>
      </c>
      <c r="F16" s="147" t="s">
        <v>30</v>
      </c>
      <c r="G16" s="148"/>
      <c r="H16" s="148"/>
      <c r="I16" s="149" t="s">
        <v>31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32</v>
      </c>
      <c r="C18" s="119" t="s">
        <v>33</v>
      </c>
      <c r="D18" s="120"/>
      <c r="E18" s="24" t="s">
        <v>34</v>
      </c>
      <c r="F18" s="119" t="s">
        <v>35</v>
      </c>
      <c r="G18" s="120"/>
      <c r="H18" s="120"/>
      <c r="I18" s="127"/>
      <c r="J18" s="120"/>
    </row>
    <row r="19" spans="1:10" s="7" customFormat="1" ht="16.5" customHeight="1">
      <c r="A19" s="22">
        <v>1</v>
      </c>
      <c r="B19" s="25" t="s">
        <v>32</v>
      </c>
      <c r="C19" s="119" t="s">
        <v>33</v>
      </c>
      <c r="D19" s="120"/>
      <c r="E19" s="24" t="s">
        <v>36</v>
      </c>
      <c r="F19" s="119" t="s">
        <v>37</v>
      </c>
      <c r="G19" s="120"/>
      <c r="H19" s="120"/>
      <c r="I19" s="127"/>
      <c r="J19" s="120"/>
    </row>
    <row r="20" spans="1:10" s="7" customFormat="1" ht="16.5" customHeight="1">
      <c r="A20" s="22"/>
      <c r="B20" s="25"/>
      <c r="C20" s="119"/>
      <c r="D20" s="120"/>
      <c r="E20" s="24"/>
      <c r="F20" s="119"/>
      <c r="G20" s="120"/>
      <c r="H20" s="120"/>
      <c r="I20" s="127"/>
      <c r="J20" s="120"/>
    </row>
    <row r="21" spans="1:10" s="7" customFormat="1" ht="16.5" customHeight="1">
      <c r="A21" s="22"/>
      <c r="B21" s="25"/>
      <c r="C21" s="119"/>
      <c r="D21" s="120"/>
      <c r="E21" s="24"/>
      <c r="F21" s="119"/>
      <c r="G21" s="120"/>
      <c r="H21" s="120"/>
      <c r="I21" s="127"/>
      <c r="J21" s="120"/>
    </row>
    <row r="22" spans="1:10" s="7" customFormat="1" ht="16.5" customHeight="1">
      <c r="A22" s="22"/>
      <c r="B22" s="25"/>
      <c r="C22" s="119"/>
      <c r="D22" s="120"/>
      <c r="E22" s="24"/>
      <c r="F22" s="119"/>
      <c r="G22" s="120"/>
      <c r="H22" s="120"/>
      <c r="I22" s="127"/>
      <c r="J22" s="120"/>
    </row>
    <row r="23" spans="1:10" s="7" customFormat="1" ht="16.5" customHeight="1">
      <c r="A23" s="22"/>
      <c r="B23" s="25"/>
      <c r="C23" s="119"/>
      <c r="D23" s="120"/>
      <c r="E23" s="24"/>
      <c r="F23" s="119"/>
      <c r="G23" s="120"/>
      <c r="H23" s="120"/>
      <c r="I23" s="127"/>
      <c r="J23" s="12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9" t="s">
        <v>38</v>
      </c>
      <c r="B25" s="130"/>
      <c r="C25" s="129" t="s">
        <v>39</v>
      </c>
      <c r="D25" s="130"/>
      <c r="E25" s="130"/>
      <c r="F25" s="17" t="s">
        <v>40</v>
      </c>
      <c r="G25" s="129" t="s">
        <v>41</v>
      </c>
      <c r="H25" s="130"/>
      <c r="I25" s="129" t="s">
        <v>42</v>
      </c>
      <c r="J25" s="130"/>
    </row>
    <row r="26" spans="1:10" ht="14.25" customHeight="1">
      <c r="A26" s="8"/>
      <c r="B26" s="18"/>
      <c r="C26" s="151" t="s">
        <v>43</v>
      </c>
      <c r="D26" s="136"/>
      <c r="E26" s="18"/>
      <c r="F26" s="151" t="s">
        <v>25</v>
      </c>
      <c r="G26" s="136"/>
      <c r="H26" s="136"/>
      <c r="I26" s="136"/>
      <c r="J26" s="136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44</v>
      </c>
      <c r="B28" s="122"/>
      <c r="C28" s="119" t="s">
        <v>45</v>
      </c>
      <c r="D28" s="122"/>
      <c r="E28" s="122"/>
      <c r="F28" s="26" t="s">
        <v>23</v>
      </c>
      <c r="G28" s="123">
        <v>6</v>
      </c>
      <c r="H28" s="122"/>
      <c r="I28" s="123">
        <v>0.12</v>
      </c>
      <c r="J28" s="122"/>
    </row>
    <row r="29" spans="1:10" s="7" customFormat="1" ht="24.95" customHeight="1">
      <c r="A29" s="124" t="s">
        <v>46</v>
      </c>
      <c r="B29" s="120"/>
      <c r="C29" s="119" t="s">
        <v>47</v>
      </c>
      <c r="D29" s="120"/>
      <c r="E29" s="120"/>
      <c r="F29" s="119"/>
      <c r="G29" s="120"/>
      <c r="H29" s="120"/>
      <c r="I29" s="120"/>
      <c r="J29" s="120"/>
    </row>
    <row r="30" spans="1:10" s="5" customFormat="1" ht="14.25" customHeight="1">
      <c r="A30" s="119" t="s">
        <v>48</v>
      </c>
      <c r="B30" s="122"/>
      <c r="C30" s="119" t="s">
        <v>49</v>
      </c>
      <c r="D30" s="122"/>
      <c r="E30" s="122"/>
      <c r="F30" s="26" t="s">
        <v>23</v>
      </c>
      <c r="G30" s="123">
        <v>1.02</v>
      </c>
      <c r="H30" s="122"/>
      <c r="I30" s="123">
        <v>2.0400000000000001E-2</v>
      </c>
      <c r="J30" s="122"/>
    </row>
    <row r="31" spans="1:10" s="7" customFormat="1" ht="24.95" customHeight="1">
      <c r="A31" s="124" t="s">
        <v>50</v>
      </c>
      <c r="B31" s="120"/>
      <c r="C31" s="119"/>
      <c r="D31" s="120"/>
      <c r="E31" s="120"/>
      <c r="F31" s="119"/>
      <c r="G31" s="120"/>
      <c r="H31" s="120"/>
      <c r="I31" s="120"/>
      <c r="J31" s="120"/>
    </row>
    <row r="32" spans="1:10" s="5" customFormat="1" ht="14.25" customHeight="1">
      <c r="A32" s="119"/>
      <c r="B32" s="122"/>
      <c r="C32" s="119"/>
      <c r="D32" s="122"/>
      <c r="E32" s="122"/>
      <c r="F32" s="26"/>
      <c r="G32" s="123"/>
      <c r="H32" s="122"/>
      <c r="I32" s="123"/>
      <c r="J32" s="122"/>
    </row>
    <row r="33" spans="1:14" s="7" customFormat="1" ht="24.95" customHeight="1">
      <c r="A33" s="124"/>
      <c r="B33" s="120"/>
      <c r="C33" s="119"/>
      <c r="D33" s="120"/>
      <c r="E33" s="120"/>
      <c r="F33" s="119"/>
      <c r="G33" s="120"/>
      <c r="H33" s="120"/>
      <c r="I33" s="120"/>
      <c r="J33" s="120"/>
    </row>
    <row r="34" spans="1:14" s="5" customFormat="1" ht="14.25" customHeight="1">
      <c r="A34" s="119"/>
      <c r="B34" s="122"/>
      <c r="C34" s="119"/>
      <c r="D34" s="122"/>
      <c r="E34" s="122"/>
      <c r="F34" s="26"/>
      <c r="G34" s="123"/>
      <c r="H34" s="122"/>
      <c r="I34" s="123"/>
      <c r="J34" s="122"/>
    </row>
    <row r="35" spans="1:14" s="7" customFormat="1" ht="24.95" customHeight="1">
      <c r="A35" s="124"/>
      <c r="B35" s="120"/>
      <c r="C35" s="119"/>
      <c r="D35" s="120"/>
      <c r="E35" s="120"/>
      <c r="F35" s="119"/>
      <c r="G35" s="120"/>
      <c r="H35" s="120"/>
      <c r="I35" s="120"/>
      <c r="J35" s="120"/>
    </row>
    <row r="36" spans="1:14" s="5" customFormat="1" ht="14.25" customHeight="1">
      <c r="A36" s="119"/>
      <c r="B36" s="122"/>
      <c r="C36" s="119"/>
      <c r="D36" s="122"/>
      <c r="E36" s="122"/>
      <c r="F36" s="26"/>
      <c r="G36" s="123"/>
      <c r="H36" s="122"/>
      <c r="I36" s="123"/>
      <c r="J36" s="122"/>
    </row>
    <row r="37" spans="1:14" s="7" customFormat="1" ht="24.95" customHeight="1" thickBot="1">
      <c r="A37" s="124"/>
      <c r="B37" s="120"/>
      <c r="C37" s="119"/>
      <c r="D37" s="120"/>
      <c r="E37" s="120"/>
      <c r="F37" s="119"/>
      <c r="G37" s="120"/>
      <c r="H37" s="120"/>
      <c r="I37" s="120"/>
      <c r="J37" s="120"/>
    </row>
    <row r="38" spans="1:14" s="5" customFormat="1" ht="18" customHeight="1">
      <c r="A38" s="145" t="s">
        <v>51</v>
      </c>
      <c r="B38" s="146"/>
      <c r="C38" s="146"/>
      <c r="D38" s="146"/>
      <c r="E38" s="152" t="s">
        <v>52</v>
      </c>
      <c r="F38" s="153"/>
      <c r="G38" s="27" t="s">
        <v>53</v>
      </c>
      <c r="H38" s="154" t="s">
        <v>54</v>
      </c>
      <c r="I38" s="155"/>
      <c r="J38" s="28" t="s">
        <v>55</v>
      </c>
    </row>
    <row r="39" spans="1:14" s="7" customFormat="1" ht="18" customHeight="1">
      <c r="A39" s="111" t="str">
        <f>_xlfn.XLOOKUP(B3,[1]VFDB2!A:A,[1]VFDB2!B:B)</f>
        <v>GA-770 (特注)BR</v>
      </c>
      <c r="B39" s="112"/>
      <c r="C39" s="112"/>
      <c r="D39" s="112"/>
      <c r="E39" s="91" t="str" cm="1">
        <f t="array" ref="E39">IFERROR(IF(ISBLANK(INDEX(_xlfn._xlws.FILTER([1]加工記録２!$C$3:$C$999509, [1]加工記録２!$T$3:$T$999509=B5), 6)), "", INDEX(_xlfn._xlws.FILTER([1]加工記録２!$C$3:$C$999509, [1]加工記録２!$T$3:$T$999509=B5), 6)),"")</f>
        <v>SB-246</v>
      </c>
      <c r="F39" s="92"/>
      <c r="G39" s="125">
        <v>1</v>
      </c>
      <c r="H39" s="29" t="s">
        <v>56</v>
      </c>
      <c r="I39" s="30" cm="1">
        <f t="array" ref="I39:J39">IFERROR(IF(ISBLANK(INDEX(_xlfn._xlws.FILTER([1]加工記録２!$O$3:$P$999572, [1]加工記録２!$T$3:$T$999572=B5), 1)), "", INDEX(_xlfn._xlws.FILTER([1]加工記録２!$O$3:$P$999572, [1]加工記録２!$T$3:$T$999572=B5), 1)),"")</f>
        <v>45989</v>
      </c>
      <c r="J39" s="31" t="str">
        <v/>
      </c>
    </row>
    <row r="40" spans="1:14" s="5" customFormat="1" ht="18" customHeight="1">
      <c r="A40" s="113"/>
      <c r="B40" s="114"/>
      <c r="C40" s="114"/>
      <c r="D40" s="114"/>
      <c r="E40" s="91"/>
      <c r="F40" s="92"/>
      <c r="G40" s="125"/>
      <c r="H40" s="29" t="s">
        <v>57</v>
      </c>
      <c r="I40" s="32" cm="1">
        <f t="array" ref="I40:J40">IFERROR(IF(ISBLANK(INDEX(_xlfn._xlws.FILTER([1]加工記録２!$O$3:$P$999572, [1]加工記録２!$T$3:$T$999572=B5), 2)), "", INDEX(_xlfn._xlws.FILTER([1]加工記録２!$O$3:$P$999572, [1]加工記録２!$T$3:$T$999572=B5), 2)),"")</f>
        <v>6</v>
      </c>
      <c r="J40" s="33" t="str">
        <v/>
      </c>
      <c r="K40" s="34"/>
    </row>
    <row r="41" spans="1:14" s="7" customFormat="1" ht="18" customHeight="1">
      <c r="A41" s="83" t="s">
        <v>58</v>
      </c>
      <c r="B41" s="98" t="str">
        <f>_xlfn.XLOOKUP(B3,[1]VFDB2!A:A,[1]VFDB2!J:J)</f>
        <v>-</v>
      </c>
      <c r="C41" s="100" t="s">
        <v>59</v>
      </c>
      <c r="D41" s="102" t="str">
        <f>_xlfn.XLOOKUP(B3,[1]VFDB2!A:A,[1]VFDB2!P:P)</f>
        <v>図面確認</v>
      </c>
      <c r="E41" s="91" t="str">
        <f>_xlfn.XLOOKUP(B3,[1]VFDB2!A:A,[1]VFDB2!V:V)</f>
        <v>-</v>
      </c>
      <c r="F41" s="92"/>
      <c r="G41" s="93"/>
      <c r="H41" s="35" t="s">
        <v>60</v>
      </c>
      <c r="I41" s="32" cm="1">
        <f t="array" ref="I41:J41">IFERROR(IF(ISBLANK(INDEX(_xlfn._xlws.FILTER([1]加工記録２!$O$3:$P$999572, [1]加工記録２!$T$3:$T$999572=B5), 3)), "", INDEX(_xlfn._xlws.FILTER([1]加工記録２!$O$3:$P$999572, [1]加工記録２!$T$3:$T$999572=B5), 3)),"")</f>
        <v>3</v>
      </c>
      <c r="J41" s="36" t="str">
        <v/>
      </c>
      <c r="K41" s="37"/>
    </row>
    <row r="42" spans="1:14" s="5" customFormat="1" ht="18" customHeight="1">
      <c r="A42" s="97"/>
      <c r="B42" s="99"/>
      <c r="C42" s="101"/>
      <c r="D42" s="103"/>
      <c r="E42" s="91"/>
      <c r="F42" s="92"/>
      <c r="G42" s="93"/>
      <c r="H42" s="35" t="s">
        <v>61</v>
      </c>
      <c r="I42" s="32" cm="1">
        <f t="array" ref="I42:J42">IFERROR(IF(ISBLANK(INDEX(_xlfn._xlws.FILTER([1]加工記録２!$O$3:$P$999572, [1]加工記録２!$T$3:$T$999572=B5), 4)), "", INDEX(_xlfn._xlws.FILTER([1]加工記録２!$O$3:$P$999572, [1]加工記録２!$T$3:$T$999572=B5), 4)),"")</f>
        <v>0</v>
      </c>
      <c r="J42" s="38" t="str">
        <v/>
      </c>
      <c r="K42" s="34"/>
    </row>
    <row r="43" spans="1:14" s="7" customFormat="1" ht="18" customHeight="1">
      <c r="A43" s="104" t="s">
        <v>62</v>
      </c>
      <c r="B43" s="106">
        <f>D3</f>
        <v>0</v>
      </c>
      <c r="C43" s="108" t="s">
        <v>63</v>
      </c>
      <c r="D43" s="89">
        <f>_xlfn.XLOOKUP(B3,[1]VFDB2!A:A,[1]VFDB2!L:L)</f>
        <v>0</v>
      </c>
      <c r="E43" s="91" t="str">
        <f>_xlfn.XLOOKUP(B3,[1]VFDB2!A:A,[1]VFDB2!W:W)</f>
        <v>-</v>
      </c>
      <c r="F43" s="92"/>
      <c r="G43" s="93"/>
      <c r="H43" s="35" t="s">
        <v>64</v>
      </c>
      <c r="I43" s="32" cm="1">
        <f t="array" ref="I43:J43">IFERROR(IF(ISBLANK(INDEX(_xlfn._xlws.FILTER([1]加工記録２!$O$3:$P$999572, [1]加工記録２!$T$3:$T$999572=B5), 5)), "", INDEX(_xlfn._xlws.FILTER([1]加工記録２!$O$3:$P$999572, [1]加工記録２!$T$3:$T$999572=B5), 5)),"")</f>
        <v>0</v>
      </c>
      <c r="J43" s="39" t="str">
        <v/>
      </c>
      <c r="K43" s="37"/>
    </row>
    <row r="44" spans="1:14" s="5" customFormat="1" ht="18" customHeight="1">
      <c r="A44" s="105"/>
      <c r="B44" s="107"/>
      <c r="C44" s="109"/>
      <c r="D44" s="110"/>
      <c r="E44" s="91"/>
      <c r="F44" s="92"/>
      <c r="G44" s="93"/>
      <c r="H44" s="35" t="s">
        <v>65</v>
      </c>
      <c r="I44" s="32" cm="1">
        <f t="array" ref="I44:J44">IFERROR(IF(ISBLANK(INDEX(_xlfn._xlws.FILTER([1]加工記録２!$O$3:$P$999572, [1]加工記録２!$T$3:$T$999572=B5), 6)), "", INDEX(_xlfn._xlws.FILTER([1]加工記録２!$O$3:$P$999572, [1]加工記録２!$T$3:$T$999572=B5), 6)),"")</f>
        <v>0</v>
      </c>
      <c r="J44" s="40" t="str">
        <v/>
      </c>
      <c r="K44" s="34"/>
    </row>
    <row r="45" spans="1:14" s="7" customFormat="1" ht="18" customHeight="1">
      <c r="A45" s="83" t="s">
        <v>66</v>
      </c>
      <c r="B45" s="85" t="str">
        <f>_xlfn.XLOOKUP(B3,[1]VFDB2!A:A,[1]VFDB2!AC:AC)</f>
        <v>図面確認</v>
      </c>
      <c r="C45" s="87" t="s">
        <v>67</v>
      </c>
      <c r="D45" s="89">
        <f>_xlfn.XLOOKUP(B3,[1]VFDB2!A:A,[1]VFDB2!K:K)</f>
        <v>-1</v>
      </c>
      <c r="E45" s="91">
        <f>_xlfn.XLOOKUP(B3,[1]VFDB2!A:A,[1]VFDB2!R:R)</f>
        <v>0</v>
      </c>
      <c r="F45" s="92"/>
      <c r="G45" s="93"/>
      <c r="H45" s="35" t="s">
        <v>68</v>
      </c>
      <c r="I45" s="32" t="str" cm="1">
        <f t="array" ref="I45">IFERROR(IF(ISBLANK(INDEX(_xlfn._xlws.FILTER([1]加工記録２!$M$3:$M$999572, [1]加工記録２!$T$3:$T$999572=B5), 6)), "", INDEX(_xlfn._xlws.FILTER([1]加工記録２!$M$3:$M$999572, [1]加工記録２!$T$3:$T$999572=B5), 6)),"")</f>
        <v>M</v>
      </c>
      <c r="J45" s="41" t="str" cm="1">
        <f t="array" ref="J45">IFERROR(IF(ISBLANK(INDEX(_xlfn._xlws.FILTER([1]加工記録２!$P$3:$P$999572, [1]加工記録２!$T$3:$T$999572=B5), 7)), "", INDEX(_xlfn._xlws.FILTER([1]加工記録２!$P$3:$P$999572, [1]加工記録２!$T$3:$T$999572=B5), 7)),"")</f>
        <v/>
      </c>
      <c r="K45" s="37"/>
    </row>
    <row r="46" spans="1:14" s="5" customFormat="1" ht="18" customHeight="1" thickBot="1">
      <c r="A46" s="84"/>
      <c r="B46" s="86"/>
      <c r="C46" s="88"/>
      <c r="D46" s="90"/>
      <c r="E46" s="94"/>
      <c r="F46" s="95"/>
      <c r="G46" s="96"/>
      <c r="H46" s="42" t="s">
        <v>69</v>
      </c>
      <c r="I46" s="32" t="str" cm="1">
        <f t="array" ref="I46">IFERROR(IF(ISBLANK(INDEX(_xlfn._xlws.FILTER([1]加工記録２!$M$3:$M$999572, [1]加工記録２!$T$3:$T$999572=B5), 7)), "", INDEX(_xlfn._xlws.FILTER([1]加工記録２!$M$3:$M$999572, [1]加工記録２!$T$3:$T$999572=B5), 7)),"")</f>
        <v>M</v>
      </c>
      <c r="J46" s="43">
        <f>SUM(J39:J45)</f>
        <v>0</v>
      </c>
    </row>
    <row r="47" spans="1:14" s="54" customFormat="1" ht="18.95" customHeight="1">
      <c r="A47" s="44" t="s">
        <v>70</v>
      </c>
      <c r="B47" s="45" t="s">
        <v>71</v>
      </c>
      <c r="C47" s="46" t="s">
        <v>72</v>
      </c>
      <c r="D47" s="46" t="s">
        <v>73</v>
      </c>
      <c r="E47" s="47" t="s">
        <v>74</v>
      </c>
      <c r="F47" s="48" t="s">
        <v>75</v>
      </c>
      <c r="G47" s="49" t="s">
        <v>76</v>
      </c>
      <c r="H47" s="50" t="s">
        <v>77</v>
      </c>
      <c r="I47" s="51" t="s">
        <v>78</v>
      </c>
      <c r="J47" s="52" t="s">
        <v>79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IFERROR(IF(ISBLANK(INDEX(_xlfn._xlws.FILTER([1]加工記録２!$D$3:$M$999572, [1]加工記録２!$T$3:$T$999572=B5), 1)), "", INDEX(_xlfn._xlws.FILTER([1]加工記録２!$D$3:$M$999572, [1]加工記録２!$T$3:$T$999572=B5),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 t="str">
        <v/>
      </c>
      <c r="H48" s="61">
        <v>0</v>
      </c>
      <c r="I48" s="62">
        <v>45989</v>
      </c>
      <c r="J48" s="63">
        <v>1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IFERROR(IF(ISBLANK(INDEX(_xlfn._xlws.FILTER([1]加工記録２!$D$3:$M$999572, [1]加工記録２!$T$3:$T$999572=B5), 2)), "", INDEX(_xlfn._xlws.FILTER([1]加工記録２!$D$3:$M$999572, [1]加工記録２!$T$3:$T$999572=B5), 2)),"")</f>
        <v>45989</v>
      </c>
      <c r="B49" s="66" t="str">
        <v>22L27B</v>
      </c>
      <c r="C49" s="66" t="str">
        <v/>
      </c>
      <c r="D49" s="67" t="str">
        <v/>
      </c>
      <c r="E49" s="68">
        <v>734.77</v>
      </c>
      <c r="F49" s="69" t="str">
        <v>22L27B</v>
      </c>
      <c r="G49" s="70">
        <v>6</v>
      </c>
      <c r="H49" s="71">
        <v>3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IFERROR(IF(ISBLANK(INDEX(_xlfn._xlws.FILTER([1]加工記録２!$D$3:$M$999572, [1]加工記録２!$T$3:$T$999572=B5), 3)), "", INDEX(_xlfn._xlws.FILTER([1]加工記録２!$D$3:$M$999572, [1]加工記録２!$T$3:$T$999572=B5), 3)),"")</f>
        <v>45989</v>
      </c>
      <c r="B50" s="66" t="str">
        <v>22L27B</v>
      </c>
      <c r="C50" s="66" t="str">
        <v/>
      </c>
      <c r="D50" s="67" t="str">
        <v/>
      </c>
      <c r="E50" s="68">
        <v>734.8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IFERROR(IF(ISBLANK(INDEX(_xlfn._xlws.FILTER([1]加工記録２!$D$3:$M$999572, [1]加工記録２!$T$3:$T$999572=B5), 4)), "", INDEX(_xlfn._xlws.FILTER([1]加工記録２!$D$3:$M$999572, [1]加工記録２!$T$3:$T$999572=B5),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IFERROR(IF(ISBLANK(INDEX(_xlfn._xlws.FILTER([1]加工記録２!$D$3:$M$999572, [1]加工記録２!$T$3:$T$999572=B5), 5)), "", INDEX(_xlfn._xlws.FILTER([1]加工記録２!$D$3:$M$999572, [1]加工記録２!$T$3:$T$999572=B5),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IFERROR(IF(ISBLANK(INDEX(_xlfn._xlws.FILTER([1]加工記録２!$D$3:$K$999572, [1]加工記録２!$T$3:$T$999572=B5), 6)), "", INDEX(_xlfn._xlws.FILTER([1]加工記録２!$D$3:$K$999572, [1]加工記録２!$T$3:$T$999572=B5),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IFERROR(IF(ISBLANK(INDEX(_xlfn._xlws.FILTER([1]加工記録２!$D$3:$K$999572, [1]加工記録２!$T$3:$T$999572=B5), 7)), "", INDEX(_xlfn._xlws.FILTER([1]加工記録２!$D$3:$K$999572, [1]加工記録２!$T$3:$T$999572=B5),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IFERROR(IF(ISBLANK(INDEX(_xlfn._xlws.FILTER([1]加工記録２!$D$3:$K$999572, [1]加工記録２!$T$3:$T$999572=B5), 8)), "", INDEX(_xlfn._xlws.FILTER([1]加工記録２!$D$3:$K$999572, [1]加工記録２!$T$3:$T$999572=B5),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80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F7:G7"/>
    <mergeCell ref="F23:H23"/>
    <mergeCell ref="C20:D20"/>
    <mergeCell ref="C22:D22"/>
    <mergeCell ref="F26:J26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2025-11-27T23:11:05Z</cp:lastPrinted>
  <dcterms:created xsi:type="dcterms:W3CDTF">2024-07-11T02:08:33Z</dcterms:created>
  <dcterms:modified xsi:type="dcterms:W3CDTF">2025-11-30T23:40:48Z</dcterms:modified>
</cp:coreProperties>
</file>