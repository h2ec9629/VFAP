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06F65386-8B55-4428-9EB3-0B7CB96F13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 a="1"/>
  <c r="F44" i="1" s="1"/>
  <c r="B44" i="1" a="1"/>
  <c r="B44" i="1" s="1"/>
  <c r="J103" i="1" a="1"/>
  <c r="J103" i="1" s="1"/>
  <c r="C102" i="1" a="1"/>
  <c r="C102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B101" i="1" l="1" a="1"/>
  <c r="B101" i="1" s="1"/>
  <c r="F101" i="1" a="1"/>
  <c r="F10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<sst xmlns="http://schemas.openxmlformats.org/spreadsheetml/2006/main" count="224" uniqueCount="122">
  <si>
    <t>検査梱包指示書</t>
  </si>
  <si>
    <t>品目番号</t>
  </si>
  <si>
    <t>Ｌ寸</t>
  </si>
  <si>
    <t>名称</t>
  </si>
  <si>
    <t>463301-2140灯具ｶﾊﾞｰPC IN</t>
  </si>
  <si>
    <t>上長</t>
  </si>
  <si>
    <t>係員</t>
  </si>
  <si>
    <t>製造指図№</t>
  </si>
  <si>
    <t>000000000012369</t>
  </si>
  <si>
    <t>原料名</t>
  </si>
  <si>
    <t>J6VZ041</t>
  </si>
  <si>
    <t>発注明細№</t>
  </si>
  <si>
    <t>000000000833619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</si>
  <si>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</si>
  <si>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</si>
  <si>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</si>
  <si>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</si>
  <si>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</si>
  <si>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</si>
  <si>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</si>
  <si>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</si>
  <si>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</si>
  <si>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</si>
  <si>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</si>
  <si>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*J1ZAFJB00205470*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</si>
  <si>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</si>
  <si>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</si>
  <si>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</si>
  <si>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</si>
  <si>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</si>
  <si>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</si>
  <si>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</si>
  <si>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</si>
  <si>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</si>
  <si>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</si>
  <si>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</si>
  <si>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</si>
  <si>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</si>
  <si>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</si>
  <si>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</si>
  <si>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</si>
  <si>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</si>
  <si>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</si>
  <si>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</si>
  <si>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</si>
  <si>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</si>
  <si>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</si>
  <si>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J1ZAFJA00205470</t>
  </si>
  <si>
    <t>@463301-2140灯具ｶﾊﾞｰPCIN</t>
  </si>
  <si>
    <t>V3J04</t>
  </si>
  <si>
    <t>*J1ZAFJA00205470*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</si>
  <si>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</si>
  <si>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</si>
  <si>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</si>
  <si>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</si>
  <si>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</si>
  <si>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</si>
  <si>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</si>
  <si>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463301-2090灯具ｶﾊﾞｰPC IN</t>
  </si>
  <si>
    <t>000000000012370</t>
  </si>
  <si>
    <t>000000000833620</t>
  </si>
  <si>
    <t>*J1ZAFJB00208400*</t>
  </si>
  <si>
    <t>J1ZAFJA00208400</t>
  </si>
  <si>
    <t>@463301-2090灯具ｶﾊﾞｰPCIN</t>
  </si>
  <si>
    <t>*J1ZAFJA00208400*</t>
  </si>
  <si>
    <t>J6DA0107</t>
  </si>
  <si>
    <t>灯具-3</t>
  </si>
  <si>
    <t>*J6DA0107*</t>
  </si>
  <si>
    <t>J1ZAFJB00205470+</t>
    <phoneticPr fontId="2"/>
  </si>
  <si>
    <t>J1ZAFJB00208400+</t>
    <phoneticPr fontId="2"/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</si>
  <si>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</si>
  <si>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</si>
  <si>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</si>
  <si>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</si>
  <si>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</si>
  <si>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</si>
  <si>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</si>
  <si>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</si>
  <si>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</si>
  <si>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</si>
  <si>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</si>
  <si>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</si>
  <si>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</si>
  <si>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</si>
  <si>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</si>
  <si>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</si>
  <si>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</si>
  <si>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</si>
  <si>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</si>
  <si>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</si>
  <si>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</si>
  <si>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</si>
  <si>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</si>
  <si>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</si>
  <si>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</si>
  <si>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</si>
  <si>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</si>
  <si>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</si>
  <si>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</si>
  <si>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</si>
  <si>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</si>
  <si>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</si>
  <si>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</si>
  <si>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</si>
  <si>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</si>
  <si>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</si>
  <si>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</si>
  <si>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-</t>
  </si>
  <si>
    <t>換算表確認</t>
  </si>
  <si>
    <t>灯具-1　L=1370</t>
  </si>
  <si>
    <t>クラフト紙：1370型　1/2</t>
  </si>
  <si>
    <t>ラベル２枚　長手有　鉢巻無</t>
  </si>
  <si>
    <t>梱包箱:灯具-1　L1370÷2</t>
  </si>
  <si>
    <t>26A21-01 × 13</t>
  </si>
  <si>
    <t>26A21-01</t>
  </si>
  <si>
    <t>端材</t>
  </si>
  <si>
    <t>端材 × 180</t>
  </si>
  <si>
    <t>端材 × 200</t>
  </si>
  <si>
    <t/>
  </si>
  <si>
    <t>不良補填</t>
  </si>
  <si>
    <t xml:space="preserve">切断加工： / </t>
  </si>
  <si>
    <t>外観検査：T / I/C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</si>
</sst>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183" fontId="22" fillId="0" borderId="25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7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8" xfId="0" applyFont="1" applyBorder="1" applyAlignment="1">
      <alignment horizontal="center" vertical="center"/>
    </xf>
    <xf numFmtId="0" fontId="27" fillId="0" borderId="28" xfId="1" applyFont="1" applyBorder="1" applyAlignment="1">
      <alignment horizontal="center" vertical="center" shrinkToFit="1"/>
    </xf>
    <xf numFmtId="49" fontId="25" fillId="5" borderId="29" xfId="1" applyNumberFormat="1" applyFont="1" applyFill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9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8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9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180" fontId="17" fillId="5" borderId="32" xfId="3" applyNumberFormat="1" applyFont="1" applyFill="1" applyBorder="1" applyAlignment="1">
      <alignment horizontal="center" vertical="center" shrinkToFit="1"/>
    </xf>
    <xf numFmtId="187" fontId="17" fillId="5" borderId="32" xfId="3" applyNumberFormat="1" applyFont="1" applyFill="1" applyBorder="1" applyAlignment="1">
      <alignment horizontal="right" vertical="center" shrinkToFit="1"/>
    </xf>
    <xf numFmtId="180" fontId="17" fillId="5" borderId="30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0" fontId="29" fillId="0" borderId="29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187" fontId="17" fillId="5" borderId="34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0" xfId="1" applyNumberFormat="1" applyFont="1" applyAlignment="1">
      <alignment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80" fontId="19" fillId="6" borderId="30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0" fillId="0" borderId="0" xfId="1" applyNumberFormat="1" applyFon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7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ABDFE45D-972F-4F7A-8BB6-B05F16808D7C}"/>
  </cellStyles>
  <dxfs count="6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4</xdr:row>
      <xdr:rowOff>47625</xdr:rowOff>
    </xdr:from>
    <xdr:to>
      <xdr:col>9</xdr:col>
      <xdr:colOff>657225</xdr:colOff>
      <xdr:row>6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2CC8ADA-B9BE-99F5-9E3C-9BBF8489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77152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61</xdr:row>
      <xdr:rowOff>85725</xdr:rowOff>
    </xdr:from>
    <xdr:to>
      <xdr:col>9</xdr:col>
      <xdr:colOff>647700</xdr:colOff>
      <xdr:row>63</xdr:row>
      <xdr:rowOff>209550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E12C9E-8BB4-4BDE-A372-E2FB4A84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1403985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61</xdr:row>
      <xdr:rowOff>28575</xdr:rowOff>
    </xdr:from>
    <xdr:to>
      <xdr:col>8</xdr:col>
      <xdr:colOff>742950</xdr:colOff>
      <xdr:row>64</xdr:row>
      <xdr:rowOff>9525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4FB61B9-0F46-5930-388E-97FC0344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13982700"/>
          <a:ext cx="638175" cy="63817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3</xdr:row>
      <xdr:rowOff>161925</xdr:rowOff>
    </xdr:from>
    <xdr:to>
      <xdr:col>8</xdr:col>
      <xdr:colOff>723900</xdr:colOff>
      <xdr:row>6</xdr:row>
      <xdr:rowOff>180975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6DBE6F6-9FDD-41F6-BA43-76C3B15ED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704850"/>
          <a:ext cx="638175" cy="638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4.xlsm" TargetMode="External"/><Relationship Id="rId2" Type="http://schemas.openxmlformats.org/officeDocument/2006/relationships/externalLinkPath" Target="file:///C:\Users\user\Desktop\sgt2604.xlsm" TargetMode="External"/><Relationship Id="rId1" Type="http://schemas.openxmlformats.org/officeDocument/2006/relationships/externalLinkPath" Target="/Users/user/Desktop/sgt26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樹脂指示書 (PQ)"/>
      <sheetName val="VFDB2"/>
      <sheetName val="指示書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2070　L=1966</v>
          </cell>
          <cell r="D3">
            <v>46106</v>
          </cell>
          <cell r="E3" t="str">
            <v>26C17-01</v>
          </cell>
          <cell r="F3">
            <v>6</v>
          </cell>
          <cell r="J3" t="str">
            <v>26C17-01</v>
          </cell>
          <cell r="K3">
            <v>6</v>
          </cell>
          <cell r="L3">
            <v>6</v>
          </cell>
          <cell r="M3">
            <v>46112</v>
          </cell>
          <cell r="N3">
            <v>7</v>
          </cell>
          <cell r="P3">
            <v>46112</v>
          </cell>
          <cell r="R3">
            <v>5</v>
          </cell>
          <cell r="U3" t="str">
            <v>000000000012951-2</v>
          </cell>
        </row>
        <row r="4">
          <cell r="D4">
            <v>46112</v>
          </cell>
          <cell r="E4" t="str">
            <v>26C25-04</v>
          </cell>
          <cell r="F4">
            <v>68</v>
          </cell>
          <cell r="H4" t="str">
            <v/>
          </cell>
          <cell r="J4" t="str">
            <v>26C25-04</v>
          </cell>
          <cell r="K4">
            <v>68</v>
          </cell>
          <cell r="L4">
            <v>68</v>
          </cell>
          <cell r="P4">
            <v>112</v>
          </cell>
          <cell r="R4">
            <v>13</v>
          </cell>
          <cell r="U4" t="str">
            <v>000000000012951-2</v>
          </cell>
        </row>
        <row r="5">
          <cell r="C5">
            <v>112</v>
          </cell>
          <cell r="D5">
            <v>46112</v>
          </cell>
          <cell r="E5" t="str">
            <v>26C24-03</v>
          </cell>
          <cell r="F5">
            <v>59</v>
          </cell>
          <cell r="H5" t="str">
            <v/>
          </cell>
          <cell r="J5" t="str">
            <v>26C24-03</v>
          </cell>
          <cell r="K5">
            <v>59</v>
          </cell>
          <cell r="L5">
            <v>59</v>
          </cell>
          <cell r="P5">
            <v>133</v>
          </cell>
          <cell r="R5">
            <v>1</v>
          </cell>
          <cell r="U5" t="str">
            <v>000000000012951-2</v>
          </cell>
        </row>
        <row r="6">
          <cell r="C6">
            <v>112</v>
          </cell>
          <cell r="H6" t="str">
            <v/>
          </cell>
          <cell r="K6">
            <v>0</v>
          </cell>
          <cell r="L6" t="str">
            <v/>
          </cell>
          <cell r="P6">
            <v>21</v>
          </cell>
          <cell r="U6" t="str">
            <v>000000000012951-2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21</v>
          </cell>
          <cell r="U7" t="str">
            <v>000000000012951-2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7</v>
          </cell>
          <cell r="P8">
            <v>0</v>
          </cell>
          <cell r="U8" t="str">
            <v>000000000012951-2</v>
          </cell>
        </row>
        <row r="9">
          <cell r="C9" t="str">
            <v>灯具-2　L＝1996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112</v>
          </cell>
          <cell r="P9">
            <v>133</v>
          </cell>
          <cell r="U9" t="str">
            <v>000000000012951-2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000000000012951-2</v>
          </cell>
        </row>
        <row r="11">
          <cell r="C11">
            <v>7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N11" t="str">
            <v>I</v>
          </cell>
          <cell r="R11">
            <v>2</v>
          </cell>
          <cell r="U11" t="str">
            <v>000000000012951-2</v>
          </cell>
        </row>
        <row r="12">
          <cell r="K12">
            <v>0</v>
          </cell>
          <cell r="L12" t="str">
            <v/>
          </cell>
          <cell r="R12">
            <v>21</v>
          </cell>
          <cell r="U12" t="str">
            <v>000000000012951-2</v>
          </cell>
        </row>
        <row r="13">
          <cell r="D13" t="str">
            <v>不良補填</v>
          </cell>
          <cell r="F13" t="str">
            <v/>
          </cell>
          <cell r="U13" t="str">
            <v>000000000012951-2</v>
          </cell>
        </row>
        <row r="14">
          <cell r="C14" t="str">
            <v>灯具カバーPC IN 2140　L=547(切断)</v>
          </cell>
          <cell r="D14">
            <v>46049</v>
          </cell>
          <cell r="E14" t="str">
            <v>26A21-01</v>
          </cell>
          <cell r="F14">
            <v>13</v>
          </cell>
          <cell r="J14" t="str">
            <v>26A21-01</v>
          </cell>
          <cell r="K14">
            <v>13</v>
          </cell>
          <cell r="L14">
            <v>13</v>
          </cell>
          <cell r="M14">
            <v>46079</v>
          </cell>
          <cell r="N14">
            <v>6</v>
          </cell>
          <cell r="P14">
            <v>46112</v>
          </cell>
          <cell r="R14">
            <v>21</v>
          </cell>
          <cell r="U14" t="str">
            <v>000000000012369</v>
          </cell>
        </row>
        <row r="15">
          <cell r="D15">
            <v>46079</v>
          </cell>
          <cell r="E15" t="str">
            <v>端材</v>
          </cell>
          <cell r="G15">
            <v>20</v>
          </cell>
          <cell r="H15" t="str">
            <v/>
          </cell>
          <cell r="I15">
            <v>546.71</v>
          </cell>
          <cell r="J15" t="str">
            <v>端材</v>
          </cell>
          <cell r="K15">
            <v>380</v>
          </cell>
          <cell r="L15" t="str">
            <v>0</v>
          </cell>
          <cell r="M15">
            <v>46085</v>
          </cell>
          <cell r="N15">
            <v>6</v>
          </cell>
          <cell r="P15">
            <v>352</v>
          </cell>
          <cell r="R15">
            <v>12</v>
          </cell>
          <cell r="U15" t="str">
            <v>000000000012369</v>
          </cell>
        </row>
        <row r="16">
          <cell r="C16">
            <v>352</v>
          </cell>
          <cell r="D16">
            <v>46085</v>
          </cell>
          <cell r="E16" t="str">
            <v>端材</v>
          </cell>
          <cell r="F16">
            <v>180</v>
          </cell>
          <cell r="G16">
            <v>20</v>
          </cell>
          <cell r="H16" t="str">
            <v/>
          </cell>
          <cell r="I16">
            <v>546.86</v>
          </cell>
          <cell r="K16">
            <v>0</v>
          </cell>
          <cell r="L16" t="str">
            <v/>
          </cell>
          <cell r="M16">
            <v>46111</v>
          </cell>
          <cell r="N16">
            <v>5</v>
          </cell>
          <cell r="P16">
            <v>13</v>
          </cell>
          <cell r="U16" t="str">
            <v>000000000012369</v>
          </cell>
        </row>
        <row r="17">
          <cell r="C17">
            <v>352</v>
          </cell>
          <cell r="D17">
            <v>46107</v>
          </cell>
          <cell r="E17" t="str">
            <v>端材</v>
          </cell>
          <cell r="G17">
            <v>20</v>
          </cell>
          <cell r="H17" t="str">
            <v/>
          </cell>
          <cell r="I17">
            <v>546.89</v>
          </cell>
          <cell r="K17">
            <v>0</v>
          </cell>
          <cell r="L17" t="str">
            <v/>
          </cell>
          <cell r="M17">
            <v>46112</v>
          </cell>
          <cell r="N17">
            <v>5</v>
          </cell>
          <cell r="P17">
            <v>41</v>
          </cell>
          <cell r="U17" t="str">
            <v>000000000012369</v>
          </cell>
        </row>
        <row r="18">
          <cell r="C18">
            <v>1</v>
          </cell>
          <cell r="D18">
            <v>46111</v>
          </cell>
          <cell r="E18" t="str">
            <v>端材</v>
          </cell>
          <cell r="G18">
            <v>18</v>
          </cell>
          <cell r="H18" t="str">
            <v/>
          </cell>
          <cell r="I18">
            <v>546.91</v>
          </cell>
          <cell r="K18">
            <v>0</v>
          </cell>
          <cell r="L18" t="str">
            <v/>
          </cell>
          <cell r="P18">
            <v>41</v>
          </cell>
          <cell r="U18" t="str">
            <v>000000000012369</v>
          </cell>
        </row>
        <row r="19">
          <cell r="C19">
            <v>16</v>
          </cell>
          <cell r="D19">
            <v>46112</v>
          </cell>
          <cell r="E19" t="str">
            <v>端材</v>
          </cell>
          <cell r="F19">
            <v>200</v>
          </cell>
          <cell r="G19">
            <v>20</v>
          </cell>
          <cell r="H19" t="str">
            <v/>
          </cell>
          <cell r="I19">
            <v>546.9</v>
          </cell>
          <cell r="K19">
            <v>0</v>
          </cell>
          <cell r="L19" t="str">
            <v/>
          </cell>
          <cell r="M19" t="str">
            <v>合計</v>
          </cell>
          <cell r="N19">
            <v>22</v>
          </cell>
          <cell r="P19">
            <v>380</v>
          </cell>
          <cell r="U19" t="str">
            <v>000000000012369</v>
          </cell>
        </row>
        <row r="20">
          <cell r="C20" t="str">
            <v>灯具-1　L=1370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352</v>
          </cell>
          <cell r="P20">
            <v>393</v>
          </cell>
          <cell r="U20" t="str">
            <v>000000000012369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000000000012369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R22">
            <v>8</v>
          </cell>
          <cell r="U22" t="str">
            <v>000000000012369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I/C</v>
          </cell>
          <cell r="R23">
            <v>41</v>
          </cell>
          <cell r="U23" t="str">
            <v>000000000012369</v>
          </cell>
        </row>
        <row r="24">
          <cell r="D24" t="str">
            <v>不良補填</v>
          </cell>
          <cell r="F24" t="str">
            <v/>
          </cell>
          <cell r="U24" t="str">
            <v>000000000012369</v>
          </cell>
        </row>
        <row r="25">
          <cell r="C25" t="str">
            <v>ランプシェード　SL-600</v>
          </cell>
          <cell r="J25">
            <v>0</v>
          </cell>
          <cell r="K25">
            <v>0</v>
          </cell>
          <cell r="L25" t="str">
            <v/>
          </cell>
          <cell r="M25">
            <v>46111</v>
          </cell>
          <cell r="N25">
            <v>2</v>
          </cell>
          <cell r="P25">
            <v>46114</v>
          </cell>
          <cell r="U25" t="str">
            <v>000000000013022</v>
          </cell>
        </row>
        <row r="26">
          <cell r="D26">
            <v>46108</v>
          </cell>
          <cell r="E26" t="str">
            <v>26C19C-71</v>
          </cell>
          <cell r="F26">
            <v>300</v>
          </cell>
          <cell r="H26" t="str">
            <v/>
          </cell>
          <cell r="J26" t="str">
            <v>26C19C-71</v>
          </cell>
          <cell r="K26">
            <v>300</v>
          </cell>
          <cell r="L26">
            <v>150</v>
          </cell>
          <cell r="M26">
            <v>46112</v>
          </cell>
          <cell r="N26">
            <v>1</v>
          </cell>
          <cell r="P26">
            <v>1200</v>
          </cell>
          <cell r="U26" t="str">
            <v>000000000013022</v>
          </cell>
        </row>
        <row r="27">
          <cell r="C27">
            <v>1200</v>
          </cell>
          <cell r="D27">
            <v>46111</v>
          </cell>
          <cell r="E27" t="str">
            <v>26C19B-70</v>
          </cell>
          <cell r="F27">
            <v>300</v>
          </cell>
          <cell r="H27" t="str">
            <v/>
          </cell>
          <cell r="J27" t="str">
            <v>26C19B-70</v>
          </cell>
          <cell r="K27">
            <v>300</v>
          </cell>
          <cell r="L27">
            <v>150</v>
          </cell>
          <cell r="M27">
            <v>46114</v>
          </cell>
          <cell r="N27">
            <v>1</v>
          </cell>
          <cell r="P27">
            <v>600.5</v>
          </cell>
          <cell r="U27" t="str">
            <v>000000000013022</v>
          </cell>
        </row>
        <row r="28">
          <cell r="C28">
            <v>1200</v>
          </cell>
          <cell r="D28">
            <v>46111</v>
          </cell>
          <cell r="E28" t="str">
            <v>26C19B-69</v>
          </cell>
          <cell r="F28">
            <v>300</v>
          </cell>
          <cell r="H28" t="str">
            <v/>
          </cell>
          <cell r="J28" t="str">
            <v>26C19B-69</v>
          </cell>
          <cell r="K28">
            <v>300</v>
          </cell>
          <cell r="L28">
            <v>150</v>
          </cell>
          <cell r="P28">
            <v>1</v>
          </cell>
          <cell r="R28">
            <v>1</v>
          </cell>
          <cell r="U28" t="str">
            <v>000000000013022</v>
          </cell>
        </row>
        <row r="29">
          <cell r="C29">
            <v>2</v>
          </cell>
          <cell r="D29">
            <v>46111</v>
          </cell>
          <cell r="E29" t="str">
            <v>26C19B-68</v>
          </cell>
          <cell r="F29">
            <v>300</v>
          </cell>
          <cell r="H29" t="str">
            <v/>
          </cell>
          <cell r="J29" t="str">
            <v>26C19B-68</v>
          </cell>
          <cell r="K29">
            <v>300</v>
          </cell>
          <cell r="L29">
            <v>150</v>
          </cell>
          <cell r="P29">
            <v>0.5</v>
          </cell>
          <cell r="U29" t="str">
            <v>000000000013022</v>
          </cell>
        </row>
        <row r="30">
          <cell r="C30">
            <v>300</v>
          </cell>
          <cell r="D30">
            <v>46114</v>
          </cell>
          <cell r="E30" t="str">
            <v>25K20B-68</v>
          </cell>
          <cell r="F30">
            <v>1</v>
          </cell>
          <cell r="H30" t="str">
            <v/>
          </cell>
          <cell r="J30" t="str">
            <v>25K20B-68</v>
          </cell>
          <cell r="K30">
            <v>1</v>
          </cell>
          <cell r="L30">
            <v>0.5</v>
          </cell>
          <cell r="M30" t="str">
            <v>合計</v>
          </cell>
          <cell r="N30">
            <v>4</v>
          </cell>
          <cell r="P30">
            <v>0</v>
          </cell>
          <cell r="U30" t="str">
            <v>000000000013022</v>
          </cell>
        </row>
        <row r="31"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1200</v>
          </cell>
          <cell r="P31">
            <v>1201</v>
          </cell>
          <cell r="U31" t="str">
            <v>000000000013022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000000000013022</v>
          </cell>
        </row>
        <row r="33">
          <cell r="C33">
            <v>4</v>
          </cell>
          <cell r="H33" t="str">
            <v/>
          </cell>
          <cell r="K33">
            <v>0</v>
          </cell>
          <cell r="L33" t="str">
            <v/>
          </cell>
          <cell r="M33" t="str">
            <v>C</v>
          </cell>
          <cell r="N33" t="str">
            <v>I</v>
          </cell>
          <cell r="U33" t="str">
            <v>000000000013022</v>
          </cell>
        </row>
        <row r="34">
          <cell r="K34">
            <v>0</v>
          </cell>
          <cell r="L34" t="str">
            <v/>
          </cell>
          <cell r="M34" t="str">
            <v>U</v>
          </cell>
          <cell r="R34">
            <v>1</v>
          </cell>
          <cell r="U34" t="str">
            <v>000000000013022</v>
          </cell>
        </row>
        <row r="35">
          <cell r="D35" t="str">
            <v>不良補填</v>
          </cell>
          <cell r="F35" t="str">
            <v/>
          </cell>
          <cell r="U35" t="str">
            <v>000000000013022</v>
          </cell>
        </row>
        <row r="36">
          <cell r="C36" t="str">
            <v>灯具カバーPC IN 2130　L=908</v>
          </cell>
          <cell r="D36">
            <v>46078</v>
          </cell>
          <cell r="E36" t="str">
            <v>26B18-01</v>
          </cell>
          <cell r="F36">
            <v>12</v>
          </cell>
          <cell r="J36" t="str">
            <v>26B18-01</v>
          </cell>
          <cell r="K36">
            <v>12</v>
          </cell>
          <cell r="L36">
            <v>12</v>
          </cell>
          <cell r="M36">
            <v>46114</v>
          </cell>
          <cell r="N36">
            <v>12</v>
          </cell>
          <cell r="P36">
            <v>46114</v>
          </cell>
          <cell r="R36">
            <v>5</v>
          </cell>
          <cell r="U36" t="str">
            <v>000000000012943</v>
          </cell>
        </row>
        <row r="37">
          <cell r="D37">
            <v>46114</v>
          </cell>
          <cell r="E37" t="str">
            <v>26C31-01</v>
          </cell>
          <cell r="F37">
            <v>191</v>
          </cell>
          <cell r="H37" t="str">
            <v/>
          </cell>
          <cell r="J37" t="str">
            <v>26C31-01</v>
          </cell>
          <cell r="K37">
            <v>191</v>
          </cell>
          <cell r="L37">
            <v>191</v>
          </cell>
          <cell r="P37">
            <v>192</v>
          </cell>
          <cell r="R37">
            <v>6</v>
          </cell>
          <cell r="U37" t="str">
            <v>000000000012943</v>
          </cell>
        </row>
        <row r="38">
          <cell r="C38">
            <v>192</v>
          </cell>
          <cell r="H38" t="str">
            <v/>
          </cell>
          <cell r="K38">
            <v>0</v>
          </cell>
          <cell r="L38" t="str">
            <v/>
          </cell>
          <cell r="P38">
            <v>203</v>
          </cell>
          <cell r="U38" t="str">
            <v>000000000012943</v>
          </cell>
        </row>
        <row r="39">
          <cell r="C39">
            <v>192</v>
          </cell>
          <cell r="H39" t="str">
            <v/>
          </cell>
          <cell r="K39">
            <v>0</v>
          </cell>
          <cell r="L39" t="str">
            <v/>
          </cell>
          <cell r="P39">
            <v>11</v>
          </cell>
          <cell r="U39" t="str">
            <v>000000000012943</v>
          </cell>
        </row>
        <row r="40">
          <cell r="C40">
            <v>1</v>
          </cell>
          <cell r="H40" t="str">
            <v/>
          </cell>
          <cell r="K40">
            <v>0</v>
          </cell>
          <cell r="L40" t="str">
            <v/>
          </cell>
          <cell r="P40">
            <v>11</v>
          </cell>
          <cell r="U40" t="str">
            <v>000000000012943</v>
          </cell>
        </row>
        <row r="41">
          <cell r="C41">
            <v>16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12</v>
          </cell>
          <cell r="P41">
            <v>0</v>
          </cell>
          <cell r="U41" t="str">
            <v>000000000012943</v>
          </cell>
        </row>
        <row r="42">
          <cell r="C42" t="str">
            <v>灯具-3　L=970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192</v>
          </cell>
          <cell r="P42">
            <v>203</v>
          </cell>
          <cell r="U42" t="str">
            <v>000000000012943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000000000012943</v>
          </cell>
        </row>
        <row r="44">
          <cell r="C44">
            <v>12</v>
          </cell>
          <cell r="H44" t="str">
            <v/>
          </cell>
          <cell r="K44">
            <v>0</v>
          </cell>
          <cell r="L44" t="str">
            <v/>
          </cell>
          <cell r="U44" t="str">
            <v>000000000012943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N45" t="str">
            <v>I</v>
          </cell>
          <cell r="R45">
            <v>11</v>
          </cell>
          <cell r="U45" t="str">
            <v>000000000012943</v>
          </cell>
        </row>
        <row r="46">
          <cell r="D46" t="str">
            <v>不良補填</v>
          </cell>
          <cell r="F46" t="str">
            <v/>
          </cell>
          <cell r="U46" t="str">
            <v>000000000012943</v>
          </cell>
        </row>
        <row r="47">
          <cell r="C47" t="str">
            <v>灯具カバーPC IN 2050　L=1183.5</v>
          </cell>
          <cell r="D47">
            <v>46085</v>
          </cell>
          <cell r="E47" t="str">
            <v>26B19-01</v>
          </cell>
          <cell r="F47">
            <v>3</v>
          </cell>
          <cell r="J47" t="str">
            <v>26B19-01</v>
          </cell>
          <cell r="K47">
            <v>3</v>
          </cell>
          <cell r="L47">
            <v>3</v>
          </cell>
          <cell r="M47">
            <v>46114</v>
          </cell>
          <cell r="N47">
            <v>9</v>
          </cell>
          <cell r="P47">
            <v>46115</v>
          </cell>
          <cell r="R47">
            <v>6</v>
          </cell>
          <cell r="U47" t="str">
            <v>000000000012945</v>
          </cell>
        </row>
        <row r="48">
          <cell r="D48">
            <v>46114</v>
          </cell>
          <cell r="E48" t="str">
            <v>26C31-01</v>
          </cell>
          <cell r="F48">
            <v>200</v>
          </cell>
          <cell r="H48" t="str">
            <v/>
          </cell>
          <cell r="J48" t="str">
            <v>26C31-01</v>
          </cell>
          <cell r="K48">
            <v>200</v>
          </cell>
          <cell r="L48">
            <v>200</v>
          </cell>
          <cell r="M48">
            <v>46115</v>
          </cell>
          <cell r="N48">
            <v>3</v>
          </cell>
          <cell r="P48">
            <v>192</v>
          </cell>
          <cell r="R48">
            <v>5</v>
          </cell>
          <cell r="U48" t="str">
            <v>000000000012945</v>
          </cell>
        </row>
        <row r="49">
          <cell r="C49">
            <v>192</v>
          </cell>
          <cell r="H49" t="str">
            <v/>
          </cell>
          <cell r="K49">
            <v>0</v>
          </cell>
          <cell r="L49" t="str">
            <v/>
          </cell>
          <cell r="P49">
            <v>203</v>
          </cell>
          <cell r="U49" t="str">
            <v>000000000012945</v>
          </cell>
        </row>
        <row r="50">
          <cell r="C50">
            <v>192</v>
          </cell>
          <cell r="H50" t="str">
            <v/>
          </cell>
          <cell r="K50">
            <v>0</v>
          </cell>
          <cell r="L50" t="str">
            <v/>
          </cell>
          <cell r="P50">
            <v>11</v>
          </cell>
          <cell r="U50" t="str">
            <v>000000000012945</v>
          </cell>
        </row>
        <row r="51">
          <cell r="C51">
            <v>1</v>
          </cell>
          <cell r="H51" t="str">
            <v/>
          </cell>
          <cell r="K51">
            <v>0</v>
          </cell>
          <cell r="L51" t="str">
            <v/>
          </cell>
          <cell r="P51">
            <v>11</v>
          </cell>
          <cell r="U51" t="str">
            <v>000000000012945</v>
          </cell>
        </row>
        <row r="52">
          <cell r="C52">
            <v>16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12</v>
          </cell>
          <cell r="P52">
            <v>0</v>
          </cell>
          <cell r="U52" t="str">
            <v>000000000012945</v>
          </cell>
        </row>
        <row r="53">
          <cell r="C53" t="str">
            <v>灯具-1　L=1370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192</v>
          </cell>
          <cell r="P53">
            <v>203</v>
          </cell>
          <cell r="U53" t="str">
            <v>000000000012945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000000000012945</v>
          </cell>
        </row>
        <row r="55">
          <cell r="C55">
            <v>12</v>
          </cell>
          <cell r="H55" t="str">
            <v/>
          </cell>
          <cell r="K55">
            <v>0</v>
          </cell>
          <cell r="L55" t="str">
            <v/>
          </cell>
          <cell r="M55" t="str">
            <v>T</v>
          </cell>
          <cell r="N55" t="str">
            <v>I</v>
          </cell>
          <cell r="U55" t="str">
            <v>000000000012945</v>
          </cell>
        </row>
        <row r="56">
          <cell r="K56">
            <v>0</v>
          </cell>
          <cell r="L56" t="str">
            <v/>
          </cell>
          <cell r="R56">
            <v>11</v>
          </cell>
          <cell r="U56" t="str">
            <v>000000000012945</v>
          </cell>
        </row>
        <row r="57">
          <cell r="D57" t="str">
            <v>不良補填</v>
          </cell>
          <cell r="F57" t="str">
            <v/>
          </cell>
          <cell r="U57" t="str">
            <v>000000000012945</v>
          </cell>
        </row>
        <row r="58">
          <cell r="C58" t="str">
            <v>8FL281304 5010　L=888</v>
          </cell>
          <cell r="J58">
            <v>0</v>
          </cell>
          <cell r="K58">
            <v>0</v>
          </cell>
          <cell r="L58" t="str">
            <v/>
          </cell>
          <cell r="P58">
            <v>0</v>
          </cell>
          <cell r="U58" t="str">
            <v>000000000013165</v>
          </cell>
        </row>
        <row r="59">
          <cell r="H59" t="str">
            <v/>
          </cell>
          <cell r="J59" t="str">
            <v/>
          </cell>
          <cell r="K59">
            <v>0</v>
          </cell>
          <cell r="L59" t="str">
            <v/>
          </cell>
          <cell r="P59">
            <v>0</v>
          </cell>
          <cell r="U59" t="str">
            <v>000000000013165</v>
          </cell>
        </row>
        <row r="60">
          <cell r="C60">
            <v>2000</v>
          </cell>
          <cell r="H60" t="str">
            <v/>
          </cell>
          <cell r="K60">
            <v>0</v>
          </cell>
          <cell r="L60" t="str">
            <v/>
          </cell>
          <cell r="P60">
            <v>0</v>
          </cell>
          <cell r="U60" t="str">
            <v>000000000013165</v>
          </cell>
        </row>
        <row r="61">
          <cell r="C61">
            <v>2000</v>
          </cell>
          <cell r="H61" t="str">
            <v/>
          </cell>
          <cell r="K61">
            <v>0</v>
          </cell>
          <cell r="L61" t="str">
            <v/>
          </cell>
          <cell r="P61">
            <v>0</v>
          </cell>
          <cell r="U61" t="str">
            <v>000000000013165</v>
          </cell>
        </row>
        <row r="62">
          <cell r="C62">
            <v>2</v>
          </cell>
          <cell r="H62" t="str">
            <v/>
          </cell>
          <cell r="K62">
            <v>0</v>
          </cell>
          <cell r="L62" t="str">
            <v/>
          </cell>
          <cell r="P62">
            <v>0</v>
          </cell>
          <cell r="U62" t="str">
            <v>000000000013165</v>
          </cell>
        </row>
        <row r="63">
          <cell r="C63">
            <v>100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000000000013165</v>
          </cell>
        </row>
        <row r="64">
          <cell r="C64" t="str">
            <v>LED-A888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000000000013165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000000000013165</v>
          </cell>
        </row>
        <row r="66">
          <cell r="C66">
            <v>0</v>
          </cell>
          <cell r="H66" t="str">
            <v/>
          </cell>
          <cell r="K66">
            <v>0</v>
          </cell>
          <cell r="L66" t="str">
            <v/>
          </cell>
          <cell r="U66" t="str">
            <v>000000000013165</v>
          </cell>
        </row>
        <row r="67">
          <cell r="K67">
            <v>0</v>
          </cell>
          <cell r="L67" t="str">
            <v/>
          </cell>
          <cell r="R67">
            <v>0</v>
          </cell>
          <cell r="U67" t="str">
            <v>000000000013165</v>
          </cell>
        </row>
        <row r="68">
          <cell r="D68" t="str">
            <v>不良補填</v>
          </cell>
          <cell r="F68">
            <v>0</v>
          </cell>
          <cell r="U68" t="str">
            <v>000000000013165</v>
          </cell>
        </row>
        <row r="69">
          <cell r="C69" t="str">
            <v>8FL281304 5010　L=888</v>
          </cell>
          <cell r="J69">
            <v>0</v>
          </cell>
          <cell r="K69">
            <v>0</v>
          </cell>
          <cell r="L69" t="str">
            <v/>
          </cell>
          <cell r="P69">
            <v>0</v>
          </cell>
          <cell r="U69" t="str">
            <v>000000000013166</v>
          </cell>
        </row>
        <row r="70">
          <cell r="H70" t="str">
            <v/>
          </cell>
          <cell r="J70" t="str">
            <v/>
          </cell>
          <cell r="K70">
            <v>0</v>
          </cell>
          <cell r="L70" t="str">
            <v/>
          </cell>
          <cell r="P70">
            <v>0</v>
          </cell>
          <cell r="U70" t="str">
            <v>000000000013166</v>
          </cell>
        </row>
        <row r="71">
          <cell r="C71">
            <v>100</v>
          </cell>
          <cell r="H71" t="str">
            <v/>
          </cell>
          <cell r="K71">
            <v>0</v>
          </cell>
          <cell r="L71" t="str">
            <v/>
          </cell>
          <cell r="P71">
            <v>0</v>
          </cell>
          <cell r="U71" t="str">
            <v>000000000013166</v>
          </cell>
        </row>
        <row r="72">
          <cell r="C72">
            <v>400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000000000013166</v>
          </cell>
        </row>
        <row r="73">
          <cell r="C73">
            <v>2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000000000013166</v>
          </cell>
        </row>
        <row r="74">
          <cell r="C74">
            <v>100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000000000013166</v>
          </cell>
        </row>
        <row r="75">
          <cell r="C75" t="str">
            <v>LED-A888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000000000013166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000000000013166</v>
          </cell>
        </row>
        <row r="77">
          <cell r="C77">
            <v>0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000000000013166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000000000013166</v>
          </cell>
        </row>
        <row r="79">
          <cell r="D79" t="str">
            <v>不良補填</v>
          </cell>
          <cell r="F79">
            <v>0</v>
          </cell>
          <cell r="U79" t="str">
            <v>000000000013166</v>
          </cell>
        </row>
        <row r="80">
          <cell r="C80" t="str">
            <v>8FL281304 4910　L=592</v>
          </cell>
          <cell r="J80">
            <v>0</v>
          </cell>
          <cell r="K80">
            <v>0</v>
          </cell>
          <cell r="L80" t="str">
            <v/>
          </cell>
          <cell r="P80">
            <v>0</v>
          </cell>
          <cell r="U80" t="str">
            <v>000000000013160</v>
          </cell>
        </row>
        <row r="81">
          <cell r="H81" t="str">
            <v/>
          </cell>
          <cell r="J81" t="str">
            <v/>
          </cell>
          <cell r="K81">
            <v>0</v>
          </cell>
          <cell r="L81" t="str">
            <v/>
          </cell>
          <cell r="P81">
            <v>0</v>
          </cell>
          <cell r="U81" t="str">
            <v>000000000013160</v>
          </cell>
        </row>
        <row r="82">
          <cell r="H82" t="str">
            <v/>
          </cell>
          <cell r="K82">
            <v>0</v>
          </cell>
          <cell r="L82" t="str">
            <v/>
          </cell>
          <cell r="P82">
            <v>0</v>
          </cell>
          <cell r="U82" t="str">
            <v>000000000013160</v>
          </cell>
        </row>
        <row r="83">
          <cell r="C83">
            <v>300</v>
          </cell>
          <cell r="H83" t="str">
            <v/>
          </cell>
          <cell r="K83">
            <v>0</v>
          </cell>
          <cell r="L83" t="str">
            <v/>
          </cell>
          <cell r="P83">
            <v>0</v>
          </cell>
          <cell r="U83" t="str">
            <v>000000000013160</v>
          </cell>
        </row>
        <row r="84">
          <cell r="C84">
            <v>3</v>
          </cell>
          <cell r="H84" t="str">
            <v/>
          </cell>
          <cell r="K84">
            <v>0</v>
          </cell>
          <cell r="L84" t="str">
            <v/>
          </cell>
          <cell r="P84">
            <v>0</v>
          </cell>
          <cell r="U84" t="str">
            <v>000000000013160</v>
          </cell>
        </row>
        <row r="85">
          <cell r="C85">
            <v>100</v>
          </cell>
          <cell r="H85" t="str">
            <v/>
          </cell>
          <cell r="K85">
            <v>0</v>
          </cell>
          <cell r="L85" t="str">
            <v/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000000000013160</v>
          </cell>
        </row>
        <row r="86">
          <cell r="C86" t="str">
            <v>LED-A592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000000000013160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000000000013160</v>
          </cell>
        </row>
        <row r="88">
          <cell r="C88">
            <v>0</v>
          </cell>
          <cell r="H88" t="str">
            <v/>
          </cell>
          <cell r="K88">
            <v>0</v>
          </cell>
          <cell r="L88" t="str">
            <v/>
          </cell>
          <cell r="U88" t="str">
            <v>000000000013160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000000000013160</v>
          </cell>
        </row>
        <row r="90">
          <cell r="D90" t="str">
            <v>不良補填</v>
          </cell>
          <cell r="F90">
            <v>0</v>
          </cell>
          <cell r="U90" t="str">
            <v>000000000013160</v>
          </cell>
        </row>
        <row r="91">
          <cell r="C91" t="str">
            <v>8FL281304 4910　L=592</v>
          </cell>
          <cell r="J91">
            <v>0</v>
          </cell>
          <cell r="K91">
            <v>0</v>
          </cell>
          <cell r="L91" t="str">
            <v/>
          </cell>
          <cell r="P91">
            <v>0</v>
          </cell>
          <cell r="U91" t="str">
            <v>000000000013161</v>
          </cell>
        </row>
        <row r="92">
          <cell r="H92" t="str">
            <v/>
          </cell>
          <cell r="J92" t="str">
            <v/>
          </cell>
          <cell r="K92">
            <v>0</v>
          </cell>
          <cell r="L92" t="str">
            <v/>
          </cell>
          <cell r="P92">
            <v>0</v>
          </cell>
          <cell r="U92" t="str">
            <v>000000000013161</v>
          </cell>
        </row>
        <row r="93">
          <cell r="H93" t="str">
            <v/>
          </cell>
          <cell r="K93">
            <v>0</v>
          </cell>
          <cell r="L93" t="str">
            <v/>
          </cell>
          <cell r="P93">
            <v>0</v>
          </cell>
          <cell r="U93" t="str">
            <v>000000000013161</v>
          </cell>
        </row>
        <row r="94">
          <cell r="C94">
            <v>200</v>
          </cell>
          <cell r="H94" t="str">
            <v/>
          </cell>
          <cell r="K94">
            <v>0</v>
          </cell>
          <cell r="L94" t="str">
            <v/>
          </cell>
          <cell r="P94">
            <v>0</v>
          </cell>
          <cell r="U94" t="str">
            <v>000000000013161</v>
          </cell>
        </row>
        <row r="95">
          <cell r="C95">
            <v>3</v>
          </cell>
          <cell r="H95" t="str">
            <v/>
          </cell>
          <cell r="K95">
            <v>0</v>
          </cell>
          <cell r="L95" t="str">
            <v/>
          </cell>
          <cell r="P95">
            <v>0</v>
          </cell>
          <cell r="U95" t="str">
            <v>000000000013161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000000000013161</v>
          </cell>
        </row>
        <row r="97">
          <cell r="C97" t="str">
            <v>LED-A592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000000000013161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000000000013161</v>
          </cell>
        </row>
        <row r="99">
          <cell r="C99">
            <v>0</v>
          </cell>
          <cell r="H99" t="str">
            <v/>
          </cell>
          <cell r="K99">
            <v>0</v>
          </cell>
          <cell r="L99" t="str">
            <v/>
          </cell>
          <cell r="U99" t="str">
            <v>000000000013161</v>
          </cell>
        </row>
        <row r="100">
          <cell r="K100">
            <v>0</v>
          </cell>
          <cell r="L100" t="str">
            <v/>
          </cell>
          <cell r="R100">
            <v>0</v>
          </cell>
          <cell r="U100" t="str">
            <v>000000000013161</v>
          </cell>
        </row>
        <row r="101">
          <cell r="D101" t="str">
            <v>不良補填</v>
          </cell>
          <cell r="F101">
            <v>0</v>
          </cell>
          <cell r="U101" t="str">
            <v>000000000013161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P102">
            <v>0</v>
          </cell>
          <cell r="U102" t="str">
            <v>000000000013162</v>
          </cell>
        </row>
        <row r="103">
          <cell r="H103" t="str">
            <v/>
          </cell>
          <cell r="J103" t="str">
            <v/>
          </cell>
          <cell r="K103">
            <v>0</v>
          </cell>
          <cell r="L103" t="str">
            <v/>
          </cell>
          <cell r="P103">
            <v>0</v>
          </cell>
          <cell r="U103" t="str">
            <v>000000000013162</v>
          </cell>
        </row>
        <row r="104">
          <cell r="H104" t="str">
            <v/>
          </cell>
          <cell r="K104">
            <v>0</v>
          </cell>
          <cell r="L104" t="str">
            <v/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H105" t="str">
            <v/>
          </cell>
          <cell r="K105">
            <v>0</v>
          </cell>
          <cell r="L105" t="str">
            <v/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H110" t="str">
            <v/>
          </cell>
          <cell r="K110">
            <v>0</v>
          </cell>
          <cell r="L110" t="str">
            <v/>
          </cell>
          <cell r="U110" t="str">
            <v>000000000013162</v>
          </cell>
        </row>
        <row r="111">
          <cell r="K111">
            <v>0</v>
          </cell>
          <cell r="L111" t="str">
            <v/>
          </cell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8FL281304 6110　L=1478</v>
          </cell>
          <cell r="J113">
            <v>0</v>
          </cell>
          <cell r="K113">
            <v>0</v>
          </cell>
          <cell r="L113" t="str">
            <v/>
          </cell>
          <cell r="P113">
            <v>0</v>
          </cell>
          <cell r="U113" t="str">
            <v>000000000013176</v>
          </cell>
        </row>
        <row r="114">
          <cell r="H114" t="str">
            <v/>
          </cell>
          <cell r="J114" t="str">
            <v/>
          </cell>
          <cell r="K114">
            <v>0</v>
          </cell>
          <cell r="L114" t="str">
            <v/>
          </cell>
          <cell r="P114">
            <v>0</v>
          </cell>
          <cell r="U114" t="str">
            <v>000000000013176</v>
          </cell>
        </row>
        <row r="115">
          <cell r="H115" t="str">
            <v/>
          </cell>
          <cell r="K115">
            <v>0</v>
          </cell>
          <cell r="L115" t="str">
            <v/>
          </cell>
          <cell r="P115">
            <v>0</v>
          </cell>
          <cell r="U115" t="str">
            <v>000000000013176</v>
          </cell>
        </row>
        <row r="116">
          <cell r="C116">
            <v>400</v>
          </cell>
          <cell r="H116" t="str">
            <v/>
          </cell>
          <cell r="K116">
            <v>0</v>
          </cell>
          <cell r="L116" t="str">
            <v/>
          </cell>
          <cell r="P116">
            <v>0</v>
          </cell>
          <cell r="U116" t="str">
            <v>000000000013176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0</v>
          </cell>
          <cell r="U117" t="str">
            <v>000000000013176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000000000013176</v>
          </cell>
        </row>
        <row r="119">
          <cell r="C119" t="str">
            <v>LED-A1478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000000000013176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000000000013176</v>
          </cell>
        </row>
        <row r="121">
          <cell r="C121">
            <v>0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000000000013176</v>
          </cell>
        </row>
        <row r="122">
          <cell r="K122">
            <v>0</v>
          </cell>
          <cell r="L122" t="str">
            <v/>
          </cell>
          <cell r="R122">
            <v>0</v>
          </cell>
          <cell r="U122" t="str">
            <v>000000000013176</v>
          </cell>
        </row>
        <row r="123">
          <cell r="D123" t="str">
            <v>不良補填</v>
          </cell>
          <cell r="F123">
            <v>0</v>
          </cell>
          <cell r="U123" t="str">
            <v>000000000013176</v>
          </cell>
        </row>
        <row r="124">
          <cell r="C124" t="str">
            <v>8FL281304 6110　L=1478</v>
          </cell>
          <cell r="J124">
            <v>0</v>
          </cell>
          <cell r="K124">
            <v>0</v>
          </cell>
          <cell r="L124" t="str">
            <v/>
          </cell>
          <cell r="P124">
            <v>0</v>
          </cell>
          <cell r="U124" t="str">
            <v>000000000013177</v>
          </cell>
        </row>
        <row r="125">
          <cell r="H125" t="str">
            <v/>
          </cell>
          <cell r="J125" t="str">
            <v/>
          </cell>
          <cell r="K125">
            <v>0</v>
          </cell>
          <cell r="L125" t="str">
            <v/>
          </cell>
          <cell r="P125">
            <v>0</v>
          </cell>
          <cell r="U125" t="str">
            <v>000000000013177</v>
          </cell>
        </row>
        <row r="126">
          <cell r="H126" t="str">
            <v/>
          </cell>
          <cell r="K126">
            <v>0</v>
          </cell>
          <cell r="L126" t="str">
            <v/>
          </cell>
          <cell r="P126">
            <v>0</v>
          </cell>
          <cell r="U126" t="str">
            <v>000000000013177</v>
          </cell>
        </row>
        <row r="127">
          <cell r="C127">
            <v>500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000000000013177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000000000013177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000000000013177</v>
          </cell>
        </row>
        <row r="130">
          <cell r="C130" t="str">
            <v>LED-A1478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000000000013177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000000000013177</v>
          </cell>
        </row>
        <row r="132">
          <cell r="C132">
            <v>0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000000000013177</v>
          </cell>
        </row>
        <row r="133">
          <cell r="K133">
            <v>0</v>
          </cell>
          <cell r="L133" t="str">
            <v/>
          </cell>
          <cell r="R133">
            <v>0</v>
          </cell>
          <cell r="U133" t="str">
            <v>000000000013177</v>
          </cell>
        </row>
        <row r="134">
          <cell r="D134" t="str">
            <v>不良補填</v>
          </cell>
          <cell r="F134">
            <v>0</v>
          </cell>
          <cell r="U134" t="str">
            <v>000000000013177</v>
          </cell>
        </row>
        <row r="135">
          <cell r="C135" t="str">
            <v>8FL281304 6110　L=1478</v>
          </cell>
          <cell r="J135">
            <v>0</v>
          </cell>
          <cell r="K135">
            <v>0</v>
          </cell>
          <cell r="L135" t="str">
            <v/>
          </cell>
          <cell r="P135">
            <v>0</v>
          </cell>
          <cell r="U135" t="str">
            <v>000000000013401</v>
          </cell>
        </row>
        <row r="136">
          <cell r="H136" t="str">
            <v/>
          </cell>
          <cell r="J136" t="str">
            <v/>
          </cell>
          <cell r="K136">
            <v>0</v>
          </cell>
          <cell r="L136" t="str">
            <v/>
          </cell>
          <cell r="P136">
            <v>0</v>
          </cell>
          <cell r="U136" t="str">
            <v>000000000013401</v>
          </cell>
        </row>
        <row r="137">
          <cell r="H137" t="str">
            <v/>
          </cell>
          <cell r="K137">
            <v>0</v>
          </cell>
          <cell r="L137" t="str">
            <v/>
          </cell>
          <cell r="P137">
            <v>0</v>
          </cell>
          <cell r="U137" t="str">
            <v>000000000013401</v>
          </cell>
        </row>
        <row r="138">
          <cell r="C138">
            <v>100</v>
          </cell>
          <cell r="H138" t="str">
            <v/>
          </cell>
          <cell r="K138">
            <v>0</v>
          </cell>
          <cell r="L138" t="str">
            <v/>
          </cell>
          <cell r="P138">
            <v>0</v>
          </cell>
          <cell r="U138" t="str">
            <v>000000000013401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000000000013401</v>
          </cell>
        </row>
        <row r="140">
          <cell r="C140">
            <v>100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000000000013401</v>
          </cell>
        </row>
        <row r="141">
          <cell r="C141" t="str">
            <v>LED-A1478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000000000013401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000000000013401</v>
          </cell>
        </row>
        <row r="143">
          <cell r="C143">
            <v>0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000000000013401</v>
          </cell>
        </row>
        <row r="144">
          <cell r="K144">
            <v>0</v>
          </cell>
          <cell r="L144" t="str">
            <v/>
          </cell>
          <cell r="R144">
            <v>0</v>
          </cell>
          <cell r="U144" t="str">
            <v>000000000013401</v>
          </cell>
        </row>
        <row r="145">
          <cell r="D145" t="str">
            <v>不良補填</v>
          </cell>
          <cell r="F145">
            <v>0</v>
          </cell>
          <cell r="U145" t="str">
            <v>000000000013401</v>
          </cell>
        </row>
        <row r="146">
          <cell r="C146" t="str">
            <v>8FL281304 6110　L=1478</v>
          </cell>
          <cell r="J146">
            <v>0</v>
          </cell>
          <cell r="K146">
            <v>0</v>
          </cell>
          <cell r="L146" t="str">
            <v/>
          </cell>
          <cell r="P146">
            <v>0</v>
          </cell>
          <cell r="U146" t="str">
            <v>000000000013178</v>
          </cell>
        </row>
        <row r="147">
          <cell r="H147" t="str">
            <v/>
          </cell>
          <cell r="J147" t="str">
            <v/>
          </cell>
          <cell r="K147">
            <v>0</v>
          </cell>
          <cell r="L147" t="str">
            <v/>
          </cell>
          <cell r="P147">
            <v>0</v>
          </cell>
          <cell r="U147" t="str">
            <v>000000000013178</v>
          </cell>
        </row>
        <row r="148">
          <cell r="H148" t="str">
            <v/>
          </cell>
          <cell r="K148">
            <v>0</v>
          </cell>
          <cell r="L148" t="str">
            <v/>
          </cell>
          <cell r="P148">
            <v>0</v>
          </cell>
          <cell r="U148" t="str">
            <v>000000000013178</v>
          </cell>
        </row>
        <row r="149">
          <cell r="C149">
            <v>200</v>
          </cell>
          <cell r="H149" t="str">
            <v/>
          </cell>
          <cell r="K149">
            <v>0</v>
          </cell>
          <cell r="L149" t="str">
            <v/>
          </cell>
          <cell r="P149">
            <v>0</v>
          </cell>
          <cell r="U149" t="str">
            <v>000000000013178</v>
          </cell>
        </row>
        <row r="150">
          <cell r="C150">
            <v>1</v>
          </cell>
          <cell r="H150" t="str">
            <v/>
          </cell>
          <cell r="K150">
            <v>0</v>
          </cell>
          <cell r="L150" t="str">
            <v/>
          </cell>
          <cell r="P150">
            <v>0</v>
          </cell>
          <cell r="U150" t="str">
            <v>000000000013178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000000000013178</v>
          </cell>
        </row>
        <row r="152">
          <cell r="C152" t="str">
            <v>LED-A1478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000000000013178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000000000013178</v>
          </cell>
        </row>
        <row r="154">
          <cell r="C154">
            <v>0</v>
          </cell>
          <cell r="H154" t="str">
            <v/>
          </cell>
          <cell r="K154">
            <v>0</v>
          </cell>
          <cell r="L154" t="str">
            <v/>
          </cell>
          <cell r="U154" t="str">
            <v>000000000013178</v>
          </cell>
        </row>
        <row r="155">
          <cell r="K155">
            <v>0</v>
          </cell>
          <cell r="L155" t="str">
            <v/>
          </cell>
          <cell r="R155">
            <v>0</v>
          </cell>
          <cell r="U155" t="str">
            <v>000000000013178</v>
          </cell>
        </row>
        <row r="156">
          <cell r="D156" t="str">
            <v>不良補填</v>
          </cell>
          <cell r="F156">
            <v>0</v>
          </cell>
          <cell r="U156" t="str">
            <v>000000000013178</v>
          </cell>
        </row>
        <row r="157">
          <cell r="C157" t="str">
            <v>8FL281304 4810　L=297</v>
          </cell>
          <cell r="J157">
            <v>0</v>
          </cell>
          <cell r="K157">
            <v>0</v>
          </cell>
          <cell r="L157" t="str">
            <v/>
          </cell>
          <cell r="P157">
            <v>0</v>
          </cell>
          <cell r="U157" t="str">
            <v>000000000013157</v>
          </cell>
        </row>
        <row r="158">
          <cell r="H158" t="str">
            <v/>
          </cell>
          <cell r="J158" t="str">
            <v/>
          </cell>
          <cell r="K158">
            <v>0</v>
          </cell>
          <cell r="L158" t="str">
            <v/>
          </cell>
          <cell r="P158">
            <v>0</v>
          </cell>
          <cell r="U158" t="str">
            <v>000000000013157</v>
          </cell>
        </row>
        <row r="159">
          <cell r="H159" t="str">
            <v/>
          </cell>
          <cell r="K159">
            <v>0</v>
          </cell>
          <cell r="L159" t="str">
            <v/>
          </cell>
          <cell r="P159">
            <v>0</v>
          </cell>
          <cell r="U159" t="str">
            <v>000000000013157</v>
          </cell>
        </row>
        <row r="160">
          <cell r="C160">
            <v>300</v>
          </cell>
          <cell r="H160" t="str">
            <v/>
          </cell>
          <cell r="K160">
            <v>0</v>
          </cell>
          <cell r="L160" t="str">
            <v/>
          </cell>
          <cell r="P160">
            <v>0</v>
          </cell>
          <cell r="U160" t="str">
            <v>000000000013157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</v>
          </cell>
          <cell r="U161" t="str">
            <v>000000000013157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000000000013157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000000000013157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000000000013157</v>
          </cell>
        </row>
        <row r="165">
          <cell r="C165">
            <v>0</v>
          </cell>
          <cell r="H165" t="str">
            <v/>
          </cell>
          <cell r="K165">
            <v>0</v>
          </cell>
          <cell r="L165" t="str">
            <v/>
          </cell>
          <cell r="U165" t="str">
            <v>000000000013157</v>
          </cell>
        </row>
        <row r="166">
          <cell r="K166">
            <v>0</v>
          </cell>
          <cell r="L166" t="str">
            <v/>
          </cell>
          <cell r="R166">
            <v>0</v>
          </cell>
          <cell r="U166" t="str">
            <v>000000000013157</v>
          </cell>
        </row>
        <row r="167">
          <cell r="D167" t="str">
            <v>不良補填</v>
          </cell>
          <cell r="F167">
            <v>0</v>
          </cell>
          <cell r="U167" t="str">
            <v>000000000013157</v>
          </cell>
        </row>
        <row r="168">
          <cell r="C168" t="str">
            <v>8FL281304 4810　L=297</v>
          </cell>
          <cell r="J168">
            <v>0</v>
          </cell>
          <cell r="K168">
            <v>0</v>
          </cell>
          <cell r="L168" t="str">
            <v/>
          </cell>
          <cell r="P168">
            <v>0</v>
          </cell>
          <cell r="U168" t="str">
            <v>000000000013158</v>
          </cell>
        </row>
        <row r="169">
          <cell r="H169" t="str">
            <v/>
          </cell>
          <cell r="J169" t="str">
            <v/>
          </cell>
          <cell r="K169">
            <v>0</v>
          </cell>
          <cell r="L169" t="str">
            <v/>
          </cell>
          <cell r="P169">
            <v>0</v>
          </cell>
          <cell r="U169" t="str">
            <v>000000000013158</v>
          </cell>
        </row>
        <row r="170">
          <cell r="H170" t="str">
            <v/>
          </cell>
          <cell r="K170">
            <v>0</v>
          </cell>
          <cell r="L170" t="str">
            <v/>
          </cell>
          <cell r="P170">
            <v>0</v>
          </cell>
          <cell r="U170" t="str">
            <v>000000000013158</v>
          </cell>
        </row>
        <row r="171">
          <cell r="C171">
            <v>200</v>
          </cell>
          <cell r="H171" t="str">
            <v/>
          </cell>
          <cell r="K171">
            <v>0</v>
          </cell>
          <cell r="L171" t="str">
            <v/>
          </cell>
          <cell r="P171">
            <v>0</v>
          </cell>
          <cell r="U171" t="str">
            <v>000000000013158</v>
          </cell>
        </row>
        <row r="172">
          <cell r="C172">
            <v>6</v>
          </cell>
          <cell r="H172" t="str">
            <v/>
          </cell>
          <cell r="K172">
            <v>0</v>
          </cell>
          <cell r="L172" t="str">
            <v/>
          </cell>
          <cell r="P172">
            <v>0</v>
          </cell>
          <cell r="U172" t="str">
            <v>000000000013158</v>
          </cell>
        </row>
        <row r="173">
          <cell r="C173">
            <v>100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000000000013158</v>
          </cell>
        </row>
        <row r="174">
          <cell r="C174" t="str">
            <v>LED-A300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000000000013158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000000000013158</v>
          </cell>
        </row>
        <row r="176">
          <cell r="C176">
            <v>0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000000000013158</v>
          </cell>
        </row>
        <row r="177">
          <cell r="K177">
            <v>0</v>
          </cell>
          <cell r="L177" t="str">
            <v/>
          </cell>
          <cell r="R177">
            <v>0</v>
          </cell>
          <cell r="U177" t="str">
            <v>000000000013158</v>
          </cell>
        </row>
        <row r="178">
          <cell r="D178" t="str">
            <v>不良補填</v>
          </cell>
          <cell r="F178">
            <v>0</v>
          </cell>
          <cell r="U178" t="str">
            <v>000000000013158</v>
          </cell>
        </row>
        <row r="179">
          <cell r="C179" t="str">
            <v>8FL281304 4810　L=297</v>
          </cell>
          <cell r="J179">
            <v>0</v>
          </cell>
          <cell r="K179">
            <v>0</v>
          </cell>
          <cell r="L179" t="str">
            <v/>
          </cell>
          <cell r="P179">
            <v>0</v>
          </cell>
          <cell r="U179" t="str">
            <v>000000000013159</v>
          </cell>
        </row>
        <row r="180">
          <cell r="H180" t="str">
            <v/>
          </cell>
          <cell r="J180" t="str">
            <v/>
          </cell>
          <cell r="K180">
            <v>0</v>
          </cell>
          <cell r="L180" t="str">
            <v/>
          </cell>
          <cell r="P180">
            <v>0</v>
          </cell>
          <cell r="U180" t="str">
            <v>000000000013159</v>
          </cell>
        </row>
        <row r="181">
          <cell r="H181" t="str">
            <v/>
          </cell>
          <cell r="K181">
            <v>0</v>
          </cell>
          <cell r="L181" t="str">
            <v/>
          </cell>
          <cell r="P181">
            <v>0</v>
          </cell>
          <cell r="U181" t="str">
            <v>000000000013159</v>
          </cell>
        </row>
        <row r="182">
          <cell r="C182">
            <v>300</v>
          </cell>
          <cell r="H182" t="str">
            <v/>
          </cell>
          <cell r="K182">
            <v>0</v>
          </cell>
          <cell r="L182" t="str">
            <v/>
          </cell>
          <cell r="P182">
            <v>0</v>
          </cell>
          <cell r="U182" t="str">
            <v>000000000013159</v>
          </cell>
        </row>
        <row r="183">
          <cell r="C183">
            <v>6</v>
          </cell>
          <cell r="H183" t="str">
            <v/>
          </cell>
          <cell r="K183">
            <v>0</v>
          </cell>
          <cell r="L183" t="str">
            <v/>
          </cell>
          <cell r="P183">
            <v>0</v>
          </cell>
          <cell r="U183" t="str">
            <v>000000000013159</v>
          </cell>
        </row>
        <row r="184">
          <cell r="C184">
            <v>100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000000000013159</v>
          </cell>
        </row>
        <row r="185">
          <cell r="C185" t="str">
            <v>LED-A300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000000000013159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000000000013159</v>
          </cell>
        </row>
        <row r="187">
          <cell r="C187">
            <v>0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000000000013159</v>
          </cell>
        </row>
        <row r="188">
          <cell r="K188">
            <v>0</v>
          </cell>
          <cell r="L188" t="str">
            <v/>
          </cell>
          <cell r="R188">
            <v>0</v>
          </cell>
          <cell r="U188" t="str">
            <v>000000000013159</v>
          </cell>
        </row>
        <row r="189">
          <cell r="D189" t="str">
            <v>不良補填</v>
          </cell>
          <cell r="F189">
            <v>0</v>
          </cell>
          <cell r="U189" t="str">
            <v>000000000013159</v>
          </cell>
        </row>
        <row r="190">
          <cell r="C190" t="str">
            <v>8FL281304 5010　L=888</v>
          </cell>
          <cell r="J190">
            <v>0</v>
          </cell>
          <cell r="K190">
            <v>0</v>
          </cell>
          <cell r="L190" t="str">
            <v/>
          </cell>
          <cell r="P190">
            <v>0</v>
          </cell>
          <cell r="U190" t="str">
            <v>000000000013168</v>
          </cell>
        </row>
        <row r="191">
          <cell r="H191" t="str">
            <v/>
          </cell>
          <cell r="J191" t="str">
            <v/>
          </cell>
          <cell r="K191">
            <v>0</v>
          </cell>
          <cell r="L191" t="str">
            <v/>
          </cell>
          <cell r="P191">
            <v>0</v>
          </cell>
          <cell r="U191" t="str">
            <v>000000000013168</v>
          </cell>
        </row>
        <row r="192">
          <cell r="H192" t="str">
            <v/>
          </cell>
          <cell r="K192">
            <v>0</v>
          </cell>
          <cell r="L192" t="str">
            <v/>
          </cell>
          <cell r="P192">
            <v>0</v>
          </cell>
          <cell r="U192" t="str">
            <v>000000000013168</v>
          </cell>
        </row>
        <row r="193">
          <cell r="C193">
            <v>1000</v>
          </cell>
          <cell r="H193" t="str">
            <v/>
          </cell>
          <cell r="K193">
            <v>0</v>
          </cell>
          <cell r="L193" t="str">
            <v/>
          </cell>
          <cell r="P193">
            <v>0</v>
          </cell>
          <cell r="U193" t="str">
            <v>000000000013168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0</v>
          </cell>
          <cell r="U194" t="str">
            <v>000000000013168</v>
          </cell>
        </row>
        <row r="195">
          <cell r="C195">
            <v>100</v>
          </cell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000000000013168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000000000013168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000000000013168</v>
          </cell>
        </row>
        <row r="198">
          <cell r="C198">
            <v>0</v>
          </cell>
          <cell r="H198" t="str">
            <v/>
          </cell>
          <cell r="K198">
            <v>0</v>
          </cell>
          <cell r="L198" t="str">
            <v/>
          </cell>
          <cell r="U198" t="str">
            <v>000000000013168</v>
          </cell>
        </row>
        <row r="199">
          <cell r="K199">
            <v>0</v>
          </cell>
          <cell r="L199" t="str">
            <v/>
          </cell>
          <cell r="R199">
            <v>0</v>
          </cell>
          <cell r="U199" t="str">
            <v>000000000013168</v>
          </cell>
        </row>
        <row r="200">
          <cell r="D200" t="str">
            <v>不良補填</v>
          </cell>
          <cell r="F200">
            <v>0</v>
          </cell>
          <cell r="U200" t="str">
            <v>000000000013168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P201">
            <v>0</v>
          </cell>
          <cell r="U201" t="str">
            <v>000000000013169</v>
          </cell>
        </row>
        <row r="202">
          <cell r="H202" t="str">
            <v/>
          </cell>
          <cell r="J202" t="str">
            <v/>
          </cell>
          <cell r="K202">
            <v>0</v>
          </cell>
          <cell r="L202" t="str">
            <v/>
          </cell>
          <cell r="P202">
            <v>0</v>
          </cell>
          <cell r="U202" t="str">
            <v>000000000013169</v>
          </cell>
        </row>
        <row r="203">
          <cell r="H203" t="str">
            <v/>
          </cell>
          <cell r="K203">
            <v>0</v>
          </cell>
          <cell r="L203" t="str">
            <v/>
          </cell>
          <cell r="P203">
            <v>0</v>
          </cell>
          <cell r="U203" t="str">
            <v>000000000013169</v>
          </cell>
        </row>
        <row r="204">
          <cell r="C204">
            <v>200</v>
          </cell>
          <cell r="H204" t="str">
            <v/>
          </cell>
          <cell r="K204">
            <v>0</v>
          </cell>
          <cell r="L204" t="str">
            <v/>
          </cell>
          <cell r="P204">
            <v>0</v>
          </cell>
          <cell r="U204" t="str">
            <v>000000000013169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0</v>
          </cell>
          <cell r="U205" t="str">
            <v>000000000013169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000000000013169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000000000013169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000000000013169</v>
          </cell>
        </row>
        <row r="209">
          <cell r="C209">
            <v>0</v>
          </cell>
          <cell r="H209" t="str">
            <v/>
          </cell>
          <cell r="K209">
            <v>0</v>
          </cell>
          <cell r="L209" t="str">
            <v/>
          </cell>
          <cell r="U209" t="str">
            <v>000000000013169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000000000013169</v>
          </cell>
        </row>
        <row r="211">
          <cell r="D211" t="str">
            <v>不良補填</v>
          </cell>
          <cell r="F211">
            <v>0</v>
          </cell>
          <cell r="U211" t="str">
            <v>000000000013169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P212">
            <v>0</v>
          </cell>
          <cell r="U212" t="str">
            <v>000000000013170</v>
          </cell>
        </row>
        <row r="213">
          <cell r="H213" t="str">
            <v/>
          </cell>
          <cell r="J213" t="str">
            <v/>
          </cell>
          <cell r="K213">
            <v>0</v>
          </cell>
          <cell r="L213" t="str">
            <v/>
          </cell>
          <cell r="P213">
            <v>0</v>
          </cell>
          <cell r="U213" t="str">
            <v>000000000013170</v>
          </cell>
        </row>
        <row r="214">
          <cell r="H214" t="str">
            <v/>
          </cell>
          <cell r="K214">
            <v>0</v>
          </cell>
          <cell r="L214" t="str">
            <v/>
          </cell>
          <cell r="P214">
            <v>0</v>
          </cell>
          <cell r="U214" t="str">
            <v>000000000013170</v>
          </cell>
        </row>
        <row r="215">
          <cell r="C215">
            <v>200</v>
          </cell>
          <cell r="H215" t="str">
            <v/>
          </cell>
          <cell r="K215">
            <v>0</v>
          </cell>
          <cell r="L215" t="str">
            <v/>
          </cell>
          <cell r="P215">
            <v>0</v>
          </cell>
          <cell r="U215" t="str">
            <v>000000000013170</v>
          </cell>
        </row>
        <row r="216">
          <cell r="C216">
            <v>2</v>
          </cell>
          <cell r="H216" t="str">
            <v/>
          </cell>
          <cell r="K216">
            <v>0</v>
          </cell>
          <cell r="L216" t="str">
            <v/>
          </cell>
          <cell r="P216">
            <v>0</v>
          </cell>
          <cell r="U216" t="str">
            <v>000000000013170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000000000013170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000000000013170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000000000013170</v>
          </cell>
        </row>
        <row r="220">
          <cell r="C220">
            <v>0</v>
          </cell>
          <cell r="H220" t="str">
            <v/>
          </cell>
          <cell r="K220">
            <v>0</v>
          </cell>
          <cell r="L220" t="str">
            <v/>
          </cell>
          <cell r="U220" t="str">
            <v>000000000013170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000000000013170</v>
          </cell>
        </row>
        <row r="222">
          <cell r="D222" t="str">
            <v>不良補填</v>
          </cell>
          <cell r="F222">
            <v>0</v>
          </cell>
          <cell r="U222" t="str">
            <v>000000000013170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P223">
            <v>0</v>
          </cell>
          <cell r="U223" t="str">
            <v>000000000013167</v>
          </cell>
        </row>
        <row r="224">
          <cell r="H224" t="str">
            <v/>
          </cell>
          <cell r="J224" t="str">
            <v/>
          </cell>
          <cell r="K224">
            <v>0</v>
          </cell>
          <cell r="L224" t="str">
            <v/>
          </cell>
          <cell r="P224">
            <v>0</v>
          </cell>
          <cell r="U224" t="str">
            <v>000000000013167</v>
          </cell>
        </row>
        <row r="225">
          <cell r="H225" t="str">
            <v/>
          </cell>
          <cell r="K225">
            <v>0</v>
          </cell>
          <cell r="L225" t="str">
            <v/>
          </cell>
          <cell r="P225">
            <v>0</v>
          </cell>
          <cell r="U225" t="str">
            <v>000000000013167</v>
          </cell>
        </row>
        <row r="226">
          <cell r="C226">
            <v>400</v>
          </cell>
          <cell r="H226" t="str">
            <v/>
          </cell>
          <cell r="K226">
            <v>0</v>
          </cell>
          <cell r="L226" t="str">
            <v/>
          </cell>
          <cell r="P226">
            <v>0</v>
          </cell>
          <cell r="U226" t="str">
            <v>000000000013167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0</v>
          </cell>
          <cell r="U227" t="str">
            <v>000000000013167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000000000013167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000000000013167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000000000013167</v>
          </cell>
        </row>
        <row r="231">
          <cell r="C231">
            <v>0</v>
          </cell>
          <cell r="H231" t="str">
            <v/>
          </cell>
          <cell r="K231">
            <v>0</v>
          </cell>
          <cell r="L231" t="str">
            <v/>
          </cell>
          <cell r="U231" t="str">
            <v>000000000013167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000000000013167</v>
          </cell>
        </row>
        <row r="233">
          <cell r="D233" t="str">
            <v>不良補填</v>
          </cell>
          <cell r="F233">
            <v>0</v>
          </cell>
          <cell r="U233" t="str">
            <v>000000000013167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P234">
            <v>0</v>
          </cell>
          <cell r="U234" t="str">
            <v>000000000013171</v>
          </cell>
        </row>
        <row r="235">
          <cell r="H235" t="str">
            <v/>
          </cell>
          <cell r="J235" t="str">
            <v/>
          </cell>
          <cell r="K235">
            <v>0</v>
          </cell>
          <cell r="L235" t="str">
            <v/>
          </cell>
          <cell r="P235">
            <v>0</v>
          </cell>
          <cell r="U235" t="str">
            <v>000000000013171</v>
          </cell>
        </row>
        <row r="236">
          <cell r="H236" t="str">
            <v/>
          </cell>
          <cell r="K236">
            <v>0</v>
          </cell>
          <cell r="L236" t="str">
            <v/>
          </cell>
          <cell r="P236">
            <v>0</v>
          </cell>
          <cell r="U236" t="str">
            <v>000000000013171</v>
          </cell>
        </row>
        <row r="237">
          <cell r="C237">
            <v>400</v>
          </cell>
          <cell r="H237" t="str">
            <v/>
          </cell>
          <cell r="K237">
            <v>0</v>
          </cell>
          <cell r="L237" t="str">
            <v/>
          </cell>
          <cell r="P237">
            <v>0</v>
          </cell>
          <cell r="U237" t="str">
            <v>000000000013171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000000000013171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000000000013171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000000000013171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000000000013171</v>
          </cell>
        </row>
        <row r="242">
          <cell r="C242">
            <v>0</v>
          </cell>
          <cell r="H242" t="str">
            <v/>
          </cell>
          <cell r="K242">
            <v>0</v>
          </cell>
          <cell r="L242" t="str">
            <v/>
          </cell>
          <cell r="U242" t="str">
            <v>000000000013171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000000000013171</v>
          </cell>
        </row>
        <row r="244">
          <cell r="D244" t="str">
            <v>不良補填</v>
          </cell>
          <cell r="F244">
            <v>0</v>
          </cell>
          <cell r="U244" t="str">
            <v>000000000013171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000000000013172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000000000013172</v>
          </cell>
        </row>
        <row r="247"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000000000013172</v>
          </cell>
        </row>
        <row r="248">
          <cell r="C248">
            <v>1000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000000000013172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000000000013172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000000000013172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000000000013172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000000000013172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000000000013172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000000000013172</v>
          </cell>
        </row>
        <row r="255">
          <cell r="D255" t="str">
            <v>不良補填</v>
          </cell>
          <cell r="F255">
            <v>0</v>
          </cell>
          <cell r="U255" t="str">
            <v>000000000013172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000000000013400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000000000013400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000000000013400</v>
          </cell>
        </row>
        <row r="259">
          <cell r="C259">
            <v>100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000000000013400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000000000013400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000000000013400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000000000013400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000000000013400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000000000013400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000000000013400</v>
          </cell>
        </row>
        <row r="266">
          <cell r="D266" t="str">
            <v>不良補填</v>
          </cell>
          <cell r="F266">
            <v>0</v>
          </cell>
          <cell r="U266" t="str">
            <v>000000000013400</v>
          </cell>
        </row>
        <row r="267">
          <cell r="C267" t="str">
            <v>8FL281304 8310　L=748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000000000013163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000000000013163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000000000013163</v>
          </cell>
        </row>
        <row r="270">
          <cell r="C270">
            <v>400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000000000013163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000000000013163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000000000013163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000000000013163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000000000013163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000000000013163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000000000013163</v>
          </cell>
        </row>
        <row r="277">
          <cell r="D277" t="str">
            <v>不良補填</v>
          </cell>
          <cell r="F277">
            <v>0</v>
          </cell>
          <cell r="U277" t="str">
            <v>000000000013163</v>
          </cell>
        </row>
        <row r="278">
          <cell r="C278" t="str">
            <v>照明ｶﾊﾞｰS15　L=550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000000000013572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000000000013572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000000000013572</v>
          </cell>
        </row>
        <row r="281">
          <cell r="C281">
            <v>800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000000000013572</v>
          </cell>
        </row>
        <row r="282">
          <cell r="C282">
            <v>3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000000000013572</v>
          </cell>
        </row>
        <row r="283">
          <cell r="C283">
            <v>50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000000000013572</v>
          </cell>
        </row>
        <row r="284">
          <cell r="C284" t="str">
            <v>基材梱包箱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000000000013572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000000000013572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000000000013572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000000000013572</v>
          </cell>
        </row>
        <row r="288">
          <cell r="D288" t="str">
            <v>不良補填</v>
          </cell>
          <cell r="F288" t="str">
            <v/>
          </cell>
          <cell r="U288" t="str">
            <v>000000000013572</v>
          </cell>
        </row>
        <row r="289">
          <cell r="C289" t="str">
            <v>灯具カバーPC IN 2110　L=1815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000000000013398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000000000013398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000000000013398</v>
          </cell>
        </row>
        <row r="292">
          <cell r="C292">
            <v>192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000000000013398</v>
          </cell>
        </row>
        <row r="293">
          <cell r="C293">
            <v>1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000000000013398</v>
          </cell>
        </row>
        <row r="294">
          <cell r="C294">
            <v>16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000000000013398</v>
          </cell>
        </row>
        <row r="295">
          <cell r="C295" t="str">
            <v>灯具-2　L＝1996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000000000013398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000000000013398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000000000013398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000000000013398</v>
          </cell>
        </row>
        <row r="299">
          <cell r="D299" t="str">
            <v>不良補填</v>
          </cell>
          <cell r="F299" t="str">
            <v/>
          </cell>
          <cell r="U299" t="str">
            <v>000000000013398</v>
          </cell>
        </row>
        <row r="300">
          <cell r="C300" t="str">
            <v>灯具カバーPC IN 2070　L=1966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000000000012952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000000000012952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000000000012952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000000000012952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000000000012952</v>
          </cell>
        </row>
        <row r="305">
          <cell r="C305">
            <v>16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000000000012952</v>
          </cell>
        </row>
        <row r="306">
          <cell r="C306" t="str">
            <v>灯具-2　L＝1996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000000000012952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000000000012952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000000000012952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000000000012952</v>
          </cell>
        </row>
        <row r="310">
          <cell r="D310" t="str">
            <v>不良補填</v>
          </cell>
          <cell r="F310" t="str">
            <v/>
          </cell>
          <cell r="U310" t="str">
            <v>000000000012952</v>
          </cell>
        </row>
        <row r="311">
          <cell r="C311" t="str">
            <v>灯具カバーPC IN 2060　L=1258.5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000000000012987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000000000012987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000000000012987</v>
          </cell>
        </row>
        <row r="314">
          <cell r="C314">
            <v>144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000000000012987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000000000012987</v>
          </cell>
        </row>
        <row r="316">
          <cell r="C316">
            <v>16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000000000012987</v>
          </cell>
        </row>
        <row r="317">
          <cell r="C317" t="str">
            <v>灯具-1　L=1370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000000000012987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000000000012987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000000000012987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000000000012987</v>
          </cell>
        </row>
        <row r="321">
          <cell r="D321" t="str">
            <v>不良補填</v>
          </cell>
          <cell r="F321" t="str">
            <v/>
          </cell>
          <cell r="U321" t="str">
            <v>000000000012987</v>
          </cell>
        </row>
        <row r="322">
          <cell r="C322" t="str">
            <v>灯具カバーPC IN 2130　L=908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000000000012944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000000000012944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000000000012944</v>
          </cell>
        </row>
        <row r="325">
          <cell r="C325">
            <v>192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000000000012944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000000000012944</v>
          </cell>
        </row>
        <row r="327">
          <cell r="C327">
            <v>16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000000000012944</v>
          </cell>
        </row>
        <row r="328">
          <cell r="C328" t="str">
            <v>灯具-3　L=970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000000000012944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000000000012944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000000000012944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000000000012944</v>
          </cell>
        </row>
        <row r="332">
          <cell r="D332" t="str">
            <v>不良補填</v>
          </cell>
          <cell r="F332" t="str">
            <v/>
          </cell>
          <cell r="U332" t="str">
            <v>000000000012944</v>
          </cell>
        </row>
        <row r="333">
          <cell r="C333" t="str">
            <v>灯具カバーPC IN 2090　L=840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000000000012942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000000000012942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000000000012942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000000000012942</v>
          </cell>
        </row>
        <row r="337">
          <cell r="C337">
            <v>1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000000000012942</v>
          </cell>
        </row>
        <row r="338">
          <cell r="C338">
            <v>16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000000000012942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000000000012942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000000000012942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000000000012942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000000000012942</v>
          </cell>
        </row>
        <row r="343">
          <cell r="D343" t="str">
            <v>不良補填</v>
          </cell>
          <cell r="F343" t="str">
            <v/>
          </cell>
          <cell r="U343" t="str">
            <v>000000000012942</v>
          </cell>
        </row>
        <row r="344">
          <cell r="C344" t="str">
            <v>灯具カバーPC IN 2110　L=1815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000000000012948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000000000012948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000000000012948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000000000012948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000000000012948</v>
          </cell>
        </row>
        <row r="349">
          <cell r="C349">
            <v>16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000000000012948</v>
          </cell>
        </row>
        <row r="350">
          <cell r="C350" t="str">
            <v>灯具-2　L＝1996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000000000012948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000000000012948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000000000012948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000000000012948</v>
          </cell>
        </row>
        <row r="354">
          <cell r="D354" t="str">
            <v>不良補填</v>
          </cell>
          <cell r="F354" t="str">
            <v/>
          </cell>
          <cell r="U354" t="str">
            <v>000000000012948</v>
          </cell>
        </row>
        <row r="355">
          <cell r="C355" t="str">
            <v>8FL281304 5010　L=888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000000000013173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000000000013173</v>
          </cell>
        </row>
        <row r="357"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000000000013173</v>
          </cell>
        </row>
        <row r="358">
          <cell r="C358">
            <v>2000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000000000013173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000000000013173</v>
          </cell>
        </row>
        <row r="360">
          <cell r="C360">
            <v>100</v>
          </cell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000000000013173</v>
          </cell>
        </row>
        <row r="361">
          <cell r="C361" t="str">
            <v>LED-A888</v>
          </cell>
          <cell r="H361" t="str">
            <v/>
          </cell>
          <cell r="K361">
            <v>0</v>
          </cell>
          <cell r="L361" t="str">
            <v/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000000000013173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000000000013173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000000000013173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000000000013173</v>
          </cell>
        </row>
        <row r="365">
          <cell r="D365" t="str">
            <v>不良補填</v>
          </cell>
          <cell r="F365">
            <v>0</v>
          </cell>
          <cell r="U365" t="str">
            <v>000000000013173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000000000013399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000000000013399</v>
          </cell>
        </row>
        <row r="368"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000000000013399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000000000013399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000000000013399</v>
          </cell>
        </row>
        <row r="371">
          <cell r="C371">
            <v>16</v>
          </cell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000000000013399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000000000013399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000000000013399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000000000013399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000000000013399</v>
          </cell>
        </row>
        <row r="376">
          <cell r="D376" t="str">
            <v>不良補填</v>
          </cell>
          <cell r="F376" t="str">
            <v/>
          </cell>
          <cell r="U376" t="str">
            <v>000000000013399</v>
          </cell>
        </row>
        <row r="377">
          <cell r="C377" t="str">
            <v>8FL281304 5010　L=888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000000000013174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000000000013174</v>
          </cell>
        </row>
        <row r="379"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000000000013174</v>
          </cell>
        </row>
        <row r="380">
          <cell r="C380">
            <v>800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000000000013174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000000000013174</v>
          </cell>
        </row>
        <row r="382">
          <cell r="C382">
            <v>100</v>
          </cell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000000000013174</v>
          </cell>
        </row>
        <row r="383">
          <cell r="C383" t="str">
            <v>LED-A888</v>
          </cell>
          <cell r="H383" t="str">
            <v/>
          </cell>
          <cell r="K383">
            <v>0</v>
          </cell>
          <cell r="L383" t="str">
            <v/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000000000013174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000000000013174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000000000013174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000000000013174</v>
          </cell>
        </row>
        <row r="387">
          <cell r="D387" t="str">
            <v>不良補填</v>
          </cell>
          <cell r="F387">
            <v>0</v>
          </cell>
          <cell r="U387" t="str">
            <v>000000000013174</v>
          </cell>
        </row>
        <row r="388">
          <cell r="C388" t="str">
            <v>8FL281304 8310　L=748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000000000013164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000000000013164</v>
          </cell>
        </row>
        <row r="390"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000000000013164</v>
          </cell>
        </row>
        <row r="391">
          <cell r="C391">
            <v>400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000000000013164</v>
          </cell>
        </row>
        <row r="392">
          <cell r="C392">
            <v>2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000000000013164</v>
          </cell>
        </row>
        <row r="393">
          <cell r="C393">
            <v>100</v>
          </cell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000000000013164</v>
          </cell>
        </row>
        <row r="394">
          <cell r="C394" t="str">
            <v>LED-A888</v>
          </cell>
          <cell r="H394" t="str">
            <v/>
          </cell>
          <cell r="K394">
            <v>0</v>
          </cell>
          <cell r="L394" t="str">
            <v/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000000000013164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000000000013164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000000000013164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000000000013164</v>
          </cell>
        </row>
        <row r="398">
          <cell r="D398" t="str">
            <v>不良補填</v>
          </cell>
          <cell r="F398">
            <v>0</v>
          </cell>
          <cell r="U398" t="str">
            <v>000000000013164</v>
          </cell>
        </row>
        <row r="399">
          <cell r="C399" t="str">
            <v>8FL281304 6110　L=1478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000000000013179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000000000013179</v>
          </cell>
        </row>
        <row r="401"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000000000013179</v>
          </cell>
        </row>
        <row r="402">
          <cell r="C402">
            <v>700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000000000013179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000000000013179</v>
          </cell>
        </row>
        <row r="404">
          <cell r="C404">
            <v>100</v>
          </cell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000000000013179</v>
          </cell>
        </row>
        <row r="405">
          <cell r="C405" t="str">
            <v>LED-A1478</v>
          </cell>
          <cell r="H405" t="str">
            <v/>
          </cell>
          <cell r="K405">
            <v>0</v>
          </cell>
          <cell r="L405" t="str">
            <v/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000000000013179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000000000013179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000000000013179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000000000013179</v>
          </cell>
        </row>
        <row r="409">
          <cell r="D409" t="str">
            <v>不良補填</v>
          </cell>
          <cell r="F409">
            <v>0</v>
          </cell>
          <cell r="U409" t="str">
            <v>000000000013179</v>
          </cell>
        </row>
        <row r="410">
          <cell r="C410" t="str">
            <v>8FL281304 6110　L=1478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000000000013180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000000000013180</v>
          </cell>
        </row>
        <row r="412"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000000000013180</v>
          </cell>
        </row>
        <row r="413">
          <cell r="C413">
            <v>100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000000000013180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000000000013180</v>
          </cell>
        </row>
        <row r="415">
          <cell r="C415">
            <v>100</v>
          </cell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000000000013180</v>
          </cell>
        </row>
        <row r="416">
          <cell r="C416" t="str">
            <v>LED-A1478</v>
          </cell>
          <cell r="H416" t="str">
            <v/>
          </cell>
          <cell r="K416">
            <v>0</v>
          </cell>
          <cell r="L416" t="str">
            <v/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000000000013180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000000000013180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000000000013180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000000000013180</v>
          </cell>
        </row>
        <row r="420">
          <cell r="D420" t="str">
            <v>不良補填</v>
          </cell>
          <cell r="F420">
            <v>0</v>
          </cell>
          <cell r="U420" t="str">
            <v>000000000013180</v>
          </cell>
        </row>
        <row r="421">
          <cell r="C421" t="str">
            <v>8FL281304 6110　L=1478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000000000013181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000000000013181</v>
          </cell>
        </row>
        <row r="423"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000000000013181</v>
          </cell>
        </row>
        <row r="424">
          <cell r="C424">
            <v>400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000000000013181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000000000013181</v>
          </cell>
        </row>
        <row r="426">
          <cell r="C426">
            <v>100</v>
          </cell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000000000013181</v>
          </cell>
        </row>
        <row r="427">
          <cell r="C427" t="str">
            <v>LED-A1478</v>
          </cell>
          <cell r="H427" t="str">
            <v/>
          </cell>
          <cell r="K427">
            <v>0</v>
          </cell>
          <cell r="L427" t="str">
            <v/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000000000013181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000000000013181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000000000013181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000000000013181</v>
          </cell>
        </row>
        <row r="431">
          <cell r="D431" t="str">
            <v>不良補填</v>
          </cell>
          <cell r="F431">
            <v>0</v>
          </cell>
          <cell r="U431" t="str">
            <v>000000000013181</v>
          </cell>
        </row>
        <row r="432">
          <cell r="C432" t="str">
            <v>001EGAW　715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000000000013445</v>
          </cell>
        </row>
        <row r="433">
          <cell r="H433">
            <v>715</v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000000000013445</v>
          </cell>
        </row>
        <row r="434">
          <cell r="H434">
            <v>715</v>
          </cell>
          <cell r="K434">
            <v>0</v>
          </cell>
          <cell r="L434" t="str">
            <v/>
          </cell>
          <cell r="P434">
            <v>0</v>
          </cell>
          <cell r="U434" t="str">
            <v>000000000013445</v>
          </cell>
        </row>
        <row r="435">
          <cell r="C435">
            <v>300</v>
          </cell>
          <cell r="H435">
            <v>715</v>
          </cell>
          <cell r="K435">
            <v>0</v>
          </cell>
          <cell r="L435" t="str">
            <v/>
          </cell>
          <cell r="P435">
            <v>0</v>
          </cell>
          <cell r="U435" t="str">
            <v>000000000013445</v>
          </cell>
        </row>
        <row r="436">
          <cell r="C436">
            <v>2</v>
          </cell>
          <cell r="H436">
            <v>715</v>
          </cell>
          <cell r="K436">
            <v>0</v>
          </cell>
          <cell r="L436" t="str">
            <v/>
          </cell>
          <cell r="P436">
            <v>0</v>
          </cell>
          <cell r="U436" t="str">
            <v>000000000013445</v>
          </cell>
        </row>
        <row r="437">
          <cell r="C437">
            <v>200</v>
          </cell>
          <cell r="H437">
            <v>715</v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000000000013445</v>
          </cell>
        </row>
        <row r="438">
          <cell r="C438" t="str">
            <v>S-40</v>
          </cell>
          <cell r="H438">
            <v>715</v>
          </cell>
          <cell r="K438">
            <v>0</v>
          </cell>
          <cell r="L438" t="str">
            <v/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000000000013445</v>
          </cell>
        </row>
        <row r="439">
          <cell r="H439">
            <v>715</v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000000000013445</v>
          </cell>
        </row>
        <row r="440">
          <cell r="C440">
            <v>0</v>
          </cell>
          <cell r="H440">
            <v>715</v>
          </cell>
          <cell r="K440">
            <v>0</v>
          </cell>
          <cell r="L440" t="str">
            <v/>
          </cell>
          <cell r="U440" t="str">
            <v>000000000013445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000000000013445</v>
          </cell>
        </row>
        <row r="442">
          <cell r="D442" t="str">
            <v>不良補填</v>
          </cell>
          <cell r="F442" t="str">
            <v/>
          </cell>
          <cell r="U442" t="str">
            <v>000000000013445</v>
          </cell>
        </row>
        <row r="443">
          <cell r="C443" t="str">
            <v>001EGAW　715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000000000013445</v>
          </cell>
        </row>
        <row r="444">
          <cell r="H444">
            <v>715</v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000000000013445</v>
          </cell>
        </row>
        <row r="445">
          <cell r="H445">
            <v>715</v>
          </cell>
          <cell r="K445">
            <v>0</v>
          </cell>
          <cell r="L445" t="str">
            <v/>
          </cell>
          <cell r="P445">
            <v>0</v>
          </cell>
          <cell r="U445" t="str">
            <v>000000000013445</v>
          </cell>
        </row>
        <row r="446">
          <cell r="C446">
            <v>300</v>
          </cell>
          <cell r="H446">
            <v>715</v>
          </cell>
          <cell r="K446">
            <v>0</v>
          </cell>
          <cell r="L446" t="str">
            <v/>
          </cell>
          <cell r="P446">
            <v>0</v>
          </cell>
          <cell r="U446" t="str">
            <v>000000000013445</v>
          </cell>
        </row>
        <row r="447">
          <cell r="C447">
            <v>2</v>
          </cell>
          <cell r="H447">
            <v>715</v>
          </cell>
          <cell r="K447">
            <v>0</v>
          </cell>
          <cell r="L447" t="str">
            <v/>
          </cell>
          <cell r="P447">
            <v>0</v>
          </cell>
          <cell r="U447" t="str">
            <v>000000000013445</v>
          </cell>
        </row>
        <row r="448">
          <cell r="C448">
            <v>200</v>
          </cell>
          <cell r="H448">
            <v>715</v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000000000013445</v>
          </cell>
        </row>
        <row r="449">
          <cell r="C449" t="str">
            <v>S-40</v>
          </cell>
          <cell r="H449">
            <v>715</v>
          </cell>
          <cell r="K449">
            <v>0</v>
          </cell>
          <cell r="L449" t="str">
            <v/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000000000013445</v>
          </cell>
        </row>
        <row r="450">
          <cell r="H450">
            <v>715</v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000000000013445</v>
          </cell>
        </row>
        <row r="451">
          <cell r="C451">
            <v>0</v>
          </cell>
          <cell r="H451">
            <v>715</v>
          </cell>
          <cell r="K451">
            <v>0</v>
          </cell>
          <cell r="L451" t="str">
            <v/>
          </cell>
          <cell r="U451" t="str">
            <v>000000000013445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000000000013445</v>
          </cell>
        </row>
        <row r="453">
          <cell r="D453" t="str">
            <v>不良補填</v>
          </cell>
          <cell r="F453" t="str">
            <v/>
          </cell>
          <cell r="U453" t="str">
            <v>000000000013445</v>
          </cell>
        </row>
        <row r="454">
          <cell r="C454" t="str">
            <v>001EGAW　652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000000000013444</v>
          </cell>
        </row>
        <row r="455">
          <cell r="H455">
            <v>652</v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000000000013444</v>
          </cell>
        </row>
        <row r="456">
          <cell r="H456">
            <v>652</v>
          </cell>
          <cell r="K456">
            <v>0</v>
          </cell>
          <cell r="L456" t="str">
            <v/>
          </cell>
          <cell r="P456">
            <v>0</v>
          </cell>
          <cell r="U456" t="str">
            <v>000000000013444</v>
          </cell>
        </row>
        <row r="457">
          <cell r="C457">
            <v>3600</v>
          </cell>
          <cell r="H457">
            <v>652</v>
          </cell>
          <cell r="K457">
            <v>0</v>
          </cell>
          <cell r="L457" t="str">
            <v/>
          </cell>
          <cell r="P457">
            <v>0</v>
          </cell>
          <cell r="U457" t="str">
            <v>000000000013444</v>
          </cell>
        </row>
        <row r="458">
          <cell r="C458">
            <v>2</v>
          </cell>
          <cell r="H458">
            <v>652</v>
          </cell>
          <cell r="K458">
            <v>0</v>
          </cell>
          <cell r="L458" t="str">
            <v/>
          </cell>
          <cell r="P458">
            <v>0</v>
          </cell>
          <cell r="U458" t="str">
            <v>000000000013444</v>
          </cell>
        </row>
        <row r="459">
          <cell r="C459">
            <v>200</v>
          </cell>
          <cell r="H459">
            <v>652</v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000000000013444</v>
          </cell>
        </row>
        <row r="460">
          <cell r="C460" t="str">
            <v>S-40</v>
          </cell>
          <cell r="H460">
            <v>652</v>
          </cell>
          <cell r="K460">
            <v>0</v>
          </cell>
          <cell r="L460" t="str">
            <v/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000000000013444</v>
          </cell>
        </row>
        <row r="461">
          <cell r="H461">
            <v>652</v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000000000013444</v>
          </cell>
        </row>
        <row r="462">
          <cell r="C462">
            <v>0</v>
          </cell>
          <cell r="H462">
            <v>652</v>
          </cell>
          <cell r="K462">
            <v>0</v>
          </cell>
          <cell r="L462" t="str">
            <v/>
          </cell>
          <cell r="U462" t="str">
            <v>000000000013444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000000000013444</v>
          </cell>
        </row>
        <row r="464">
          <cell r="D464" t="str">
            <v>不良補填</v>
          </cell>
          <cell r="F464" t="str">
            <v/>
          </cell>
          <cell r="U464" t="str">
            <v>000000000013444</v>
          </cell>
        </row>
        <row r="465">
          <cell r="C465" t="str">
            <v>001EGAW　565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000000000013443</v>
          </cell>
        </row>
        <row r="466">
          <cell r="H466">
            <v>565</v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000000000013443</v>
          </cell>
        </row>
        <row r="467">
          <cell r="H467">
            <v>565</v>
          </cell>
          <cell r="K467">
            <v>0</v>
          </cell>
          <cell r="L467" t="str">
            <v/>
          </cell>
          <cell r="P467">
            <v>0</v>
          </cell>
          <cell r="U467" t="str">
            <v>000000000013443</v>
          </cell>
        </row>
        <row r="468">
          <cell r="C468">
            <v>1300</v>
          </cell>
          <cell r="H468">
            <v>565</v>
          </cell>
          <cell r="K468">
            <v>0</v>
          </cell>
          <cell r="L468" t="str">
            <v/>
          </cell>
          <cell r="P468">
            <v>0</v>
          </cell>
          <cell r="U468" t="str">
            <v>000000000013443</v>
          </cell>
        </row>
        <row r="469">
          <cell r="C469">
            <v>2</v>
          </cell>
          <cell r="H469">
            <v>565</v>
          </cell>
          <cell r="K469">
            <v>0</v>
          </cell>
          <cell r="L469" t="str">
            <v/>
          </cell>
          <cell r="P469">
            <v>0</v>
          </cell>
          <cell r="U469" t="str">
            <v>000000000013443</v>
          </cell>
        </row>
        <row r="470">
          <cell r="C470">
            <v>200</v>
          </cell>
          <cell r="H470">
            <v>565</v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000000000013443</v>
          </cell>
        </row>
        <row r="471">
          <cell r="C471" t="str">
            <v>S-30</v>
          </cell>
          <cell r="H471">
            <v>565</v>
          </cell>
          <cell r="K471">
            <v>0</v>
          </cell>
          <cell r="L471" t="str">
            <v/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000000000013443</v>
          </cell>
        </row>
        <row r="472">
          <cell r="H472">
            <v>565</v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000000000013443</v>
          </cell>
        </row>
        <row r="473">
          <cell r="C473">
            <v>0</v>
          </cell>
          <cell r="H473">
            <v>565</v>
          </cell>
          <cell r="K473">
            <v>0</v>
          </cell>
          <cell r="L473" t="str">
            <v/>
          </cell>
          <cell r="U473" t="str">
            <v>000000000013443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000000000013443</v>
          </cell>
        </row>
        <row r="475">
          <cell r="D475" t="str">
            <v>不良補填</v>
          </cell>
          <cell r="F475" t="str">
            <v/>
          </cell>
          <cell r="U475" t="str">
            <v>000000000013443</v>
          </cell>
        </row>
        <row r="476">
          <cell r="C476" t="str">
            <v>001EGAW　508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000000000013442</v>
          </cell>
        </row>
        <row r="477">
          <cell r="H477">
            <v>508</v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000000000013442</v>
          </cell>
        </row>
        <row r="478">
          <cell r="H478">
            <v>508</v>
          </cell>
          <cell r="K478">
            <v>0</v>
          </cell>
          <cell r="L478" t="str">
            <v/>
          </cell>
          <cell r="P478">
            <v>0</v>
          </cell>
          <cell r="U478" t="str">
            <v>000000000013442</v>
          </cell>
        </row>
        <row r="479">
          <cell r="C479">
            <v>1300</v>
          </cell>
          <cell r="H479">
            <v>508</v>
          </cell>
          <cell r="K479">
            <v>0</v>
          </cell>
          <cell r="L479" t="str">
            <v/>
          </cell>
          <cell r="P479">
            <v>0</v>
          </cell>
          <cell r="U479" t="str">
            <v>000000000013442</v>
          </cell>
        </row>
        <row r="480">
          <cell r="C480">
            <v>2</v>
          </cell>
          <cell r="H480">
            <v>508</v>
          </cell>
          <cell r="K480">
            <v>0</v>
          </cell>
          <cell r="L480" t="str">
            <v/>
          </cell>
          <cell r="P480">
            <v>0</v>
          </cell>
          <cell r="U480" t="str">
            <v>000000000013442</v>
          </cell>
        </row>
        <row r="481">
          <cell r="C481">
            <v>200</v>
          </cell>
          <cell r="H481">
            <v>508</v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000000000013442</v>
          </cell>
        </row>
        <row r="482">
          <cell r="C482" t="str">
            <v>S-30</v>
          </cell>
          <cell r="H482">
            <v>508</v>
          </cell>
          <cell r="K482">
            <v>0</v>
          </cell>
          <cell r="L482" t="str">
            <v/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000000000013442</v>
          </cell>
        </row>
        <row r="483">
          <cell r="H483">
            <v>508</v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000000000013442</v>
          </cell>
        </row>
        <row r="484">
          <cell r="C484">
            <v>0</v>
          </cell>
          <cell r="H484">
            <v>508</v>
          </cell>
          <cell r="K484">
            <v>0</v>
          </cell>
          <cell r="L484" t="str">
            <v/>
          </cell>
          <cell r="U484" t="str">
            <v>000000000013442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000000000013442</v>
          </cell>
        </row>
        <row r="486">
          <cell r="D486" t="str">
            <v>不良補填</v>
          </cell>
          <cell r="F486" t="str">
            <v/>
          </cell>
          <cell r="U486" t="str">
            <v>000000000013442</v>
          </cell>
        </row>
        <row r="487">
          <cell r="C487" t="str">
            <v>001EGAW　415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000000000013441</v>
          </cell>
        </row>
        <row r="488">
          <cell r="H488">
            <v>415</v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000000000013441</v>
          </cell>
        </row>
        <row r="489">
          <cell r="H489">
            <v>415</v>
          </cell>
          <cell r="K489">
            <v>0</v>
          </cell>
          <cell r="L489" t="str">
            <v/>
          </cell>
          <cell r="P489">
            <v>0</v>
          </cell>
          <cell r="U489" t="str">
            <v>000000000013441</v>
          </cell>
        </row>
        <row r="490">
          <cell r="C490">
            <v>1500</v>
          </cell>
          <cell r="H490">
            <v>415</v>
          </cell>
          <cell r="K490">
            <v>0</v>
          </cell>
          <cell r="L490" t="str">
            <v/>
          </cell>
          <cell r="P490">
            <v>0</v>
          </cell>
          <cell r="U490" t="str">
            <v>000000000013441</v>
          </cell>
        </row>
        <row r="491">
          <cell r="C491">
            <v>3</v>
          </cell>
          <cell r="H491">
            <v>415</v>
          </cell>
          <cell r="K491">
            <v>0</v>
          </cell>
          <cell r="L491" t="str">
            <v/>
          </cell>
          <cell r="P491">
            <v>0</v>
          </cell>
          <cell r="U491" t="str">
            <v>000000000013441</v>
          </cell>
        </row>
        <row r="492">
          <cell r="C492">
            <v>200</v>
          </cell>
          <cell r="H492">
            <v>415</v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000000000013441</v>
          </cell>
        </row>
        <row r="493">
          <cell r="C493" t="str">
            <v>S-20</v>
          </cell>
          <cell r="H493">
            <v>415</v>
          </cell>
          <cell r="K493">
            <v>0</v>
          </cell>
          <cell r="L493" t="str">
            <v/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000000000013441</v>
          </cell>
        </row>
        <row r="494">
          <cell r="H494">
            <v>415</v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000000000013441</v>
          </cell>
        </row>
        <row r="495">
          <cell r="C495">
            <v>0</v>
          </cell>
          <cell r="H495">
            <v>415</v>
          </cell>
          <cell r="K495">
            <v>0</v>
          </cell>
          <cell r="L495" t="str">
            <v/>
          </cell>
          <cell r="U495" t="str">
            <v>000000000013441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000000000013441</v>
          </cell>
        </row>
        <row r="497">
          <cell r="D497" t="str">
            <v>不良補填</v>
          </cell>
          <cell r="F497" t="str">
            <v/>
          </cell>
          <cell r="U497" t="str">
            <v>000000000013441</v>
          </cell>
        </row>
        <row r="498">
          <cell r="C498" t="str">
            <v>8FL281304 4910　L=592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000000000013161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000000000013161</v>
          </cell>
        </row>
        <row r="500"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000000000013161</v>
          </cell>
        </row>
        <row r="501">
          <cell r="C501">
            <v>200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000000000013161</v>
          </cell>
        </row>
        <row r="502">
          <cell r="C502">
            <v>3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000000000013161</v>
          </cell>
        </row>
        <row r="503">
          <cell r="C503">
            <v>100</v>
          </cell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000000000013161</v>
          </cell>
        </row>
        <row r="504">
          <cell r="C504" t="str">
            <v>LED-A592</v>
          </cell>
          <cell r="H504" t="str">
            <v/>
          </cell>
          <cell r="K504">
            <v>0</v>
          </cell>
          <cell r="L504" t="str">
            <v/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000000000013161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000000000013161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000000000013161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000000000013161</v>
          </cell>
        </row>
        <row r="508">
          <cell r="D508" t="str">
            <v>不良補填</v>
          </cell>
          <cell r="F508">
            <v>0</v>
          </cell>
          <cell r="U508" t="str">
            <v>000000000013161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000000000013162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000000000013162</v>
          </cell>
        </row>
        <row r="511"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000000000013162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000000000013162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000000000013162</v>
          </cell>
        </row>
        <row r="514">
          <cell r="C514">
            <v>100</v>
          </cell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000000000013162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000000000013162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000000000013162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000000000013162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000000000013162</v>
          </cell>
        </row>
        <row r="519">
          <cell r="D519" t="str">
            <v>不良補填</v>
          </cell>
          <cell r="F519">
            <v>0</v>
          </cell>
          <cell r="U519" t="str">
            <v>000000000013162</v>
          </cell>
        </row>
        <row r="520">
          <cell r="C520" t="str">
            <v>8FL281304 4810　L=297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000000000013157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000000000013157</v>
          </cell>
        </row>
        <row r="522"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000000000013157</v>
          </cell>
        </row>
        <row r="523">
          <cell r="C523">
            <v>300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000000000013157</v>
          </cell>
        </row>
        <row r="524">
          <cell r="C524">
            <v>6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000000000013157</v>
          </cell>
        </row>
        <row r="525">
          <cell r="C525">
            <v>100</v>
          </cell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000000000013157</v>
          </cell>
        </row>
        <row r="526">
          <cell r="C526" t="str">
            <v>LED-A300</v>
          </cell>
          <cell r="H526" t="str">
            <v/>
          </cell>
          <cell r="K526">
            <v>0</v>
          </cell>
          <cell r="L526" t="str">
            <v/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000000000013157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000000000013157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000000000013157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000000000013157</v>
          </cell>
        </row>
        <row r="530">
          <cell r="D530" t="str">
            <v>不良補填</v>
          </cell>
          <cell r="F530">
            <v>0</v>
          </cell>
          <cell r="U530" t="str">
            <v>000000000013157</v>
          </cell>
        </row>
        <row r="531">
          <cell r="C531" t="str">
            <v>8FL281304 4810　L=297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000000000013158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000000000013158</v>
          </cell>
        </row>
        <row r="533"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000000000013158</v>
          </cell>
        </row>
        <row r="534">
          <cell r="C534">
            <v>200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000000000013158</v>
          </cell>
        </row>
        <row r="535">
          <cell r="C535">
            <v>6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000000000013158</v>
          </cell>
        </row>
        <row r="536">
          <cell r="C536">
            <v>100</v>
          </cell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000000000013158</v>
          </cell>
        </row>
        <row r="537">
          <cell r="C537" t="str">
            <v>LED-A300</v>
          </cell>
          <cell r="H537" t="str">
            <v/>
          </cell>
          <cell r="K537">
            <v>0</v>
          </cell>
          <cell r="L537" t="str">
            <v/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000000000013158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000000000013158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000000000013158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000000000013158</v>
          </cell>
        </row>
        <row r="541">
          <cell r="D541" t="str">
            <v>不良補填</v>
          </cell>
          <cell r="F541">
            <v>0</v>
          </cell>
          <cell r="U541" t="str">
            <v>000000000013158</v>
          </cell>
        </row>
        <row r="542">
          <cell r="C542" t="str">
            <v>8FL281304 4810　L=297</v>
          </cell>
          <cell r="J542">
            <v>0</v>
          </cell>
          <cell r="K542">
            <v>0</v>
          </cell>
          <cell r="L542" t="str">
            <v/>
          </cell>
          <cell r="P542">
            <v>0</v>
          </cell>
          <cell r="U542" t="str">
            <v>000000000013159</v>
          </cell>
        </row>
        <row r="543">
          <cell r="H543" t="str">
            <v/>
          </cell>
          <cell r="J543" t="str">
            <v/>
          </cell>
          <cell r="K543">
            <v>0</v>
          </cell>
          <cell r="L543" t="str">
            <v/>
          </cell>
          <cell r="P543">
            <v>0</v>
          </cell>
          <cell r="U543" t="str">
            <v>000000000013159</v>
          </cell>
        </row>
        <row r="544">
          <cell r="H544" t="str">
            <v/>
          </cell>
          <cell r="K544">
            <v>0</v>
          </cell>
          <cell r="L544" t="str">
            <v/>
          </cell>
          <cell r="P544">
            <v>0</v>
          </cell>
          <cell r="U544" t="str">
            <v>000000000013159</v>
          </cell>
        </row>
        <row r="545">
          <cell r="C545">
            <v>300</v>
          </cell>
          <cell r="H545" t="str">
            <v/>
          </cell>
          <cell r="K545">
            <v>0</v>
          </cell>
          <cell r="L545" t="str">
            <v/>
          </cell>
          <cell r="P545">
            <v>0</v>
          </cell>
          <cell r="U545" t="str">
            <v>000000000013159</v>
          </cell>
        </row>
        <row r="546">
          <cell r="C546">
            <v>6</v>
          </cell>
          <cell r="H546" t="str">
            <v/>
          </cell>
          <cell r="K546">
            <v>0</v>
          </cell>
          <cell r="L546" t="str">
            <v/>
          </cell>
          <cell r="P546">
            <v>0</v>
          </cell>
          <cell r="U546" t="str">
            <v>000000000013159</v>
          </cell>
        </row>
        <row r="547">
          <cell r="C547">
            <v>100</v>
          </cell>
          <cell r="H547" t="str">
            <v/>
          </cell>
          <cell r="K547">
            <v>0</v>
          </cell>
          <cell r="L547" t="str">
            <v/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000000000013159</v>
          </cell>
        </row>
        <row r="548">
          <cell r="C548" t="str">
            <v>LED-A300</v>
          </cell>
          <cell r="H548" t="str">
            <v/>
          </cell>
          <cell r="K548">
            <v>0</v>
          </cell>
          <cell r="L548" t="str">
            <v/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000000000013159</v>
          </cell>
        </row>
        <row r="549">
          <cell r="H549" t="str">
            <v/>
          </cell>
          <cell r="K549">
            <v>0</v>
          </cell>
          <cell r="L549" t="str">
            <v/>
          </cell>
          <cell r="M549" t="str">
            <v>作業者</v>
          </cell>
          <cell r="U549" t="str">
            <v>000000000013159</v>
          </cell>
        </row>
        <row r="550">
          <cell r="C550">
            <v>0</v>
          </cell>
          <cell r="H550" t="str">
            <v/>
          </cell>
          <cell r="K550">
            <v>0</v>
          </cell>
          <cell r="L550" t="str">
            <v/>
          </cell>
          <cell r="U550" t="str">
            <v>000000000013159</v>
          </cell>
        </row>
        <row r="551">
          <cell r="K551">
            <v>0</v>
          </cell>
          <cell r="L551" t="str">
            <v/>
          </cell>
          <cell r="R551">
            <v>0</v>
          </cell>
          <cell r="U551" t="str">
            <v>000000000013159</v>
          </cell>
        </row>
        <row r="552">
          <cell r="D552" t="str">
            <v>不良補填</v>
          </cell>
          <cell r="F552">
            <v>0</v>
          </cell>
          <cell r="U552" t="str">
            <v>000000000013159</v>
          </cell>
        </row>
        <row r="553">
          <cell r="C553" t="str">
            <v>8FL281304 5010　L=888</v>
          </cell>
          <cell r="J553">
            <v>0</v>
          </cell>
          <cell r="K553">
            <v>0</v>
          </cell>
          <cell r="L553" t="str">
            <v/>
          </cell>
          <cell r="P553">
            <v>0</v>
          </cell>
          <cell r="U553" t="str">
            <v>000000000013168</v>
          </cell>
        </row>
        <row r="554">
          <cell r="H554" t="str">
            <v/>
          </cell>
          <cell r="J554" t="str">
            <v/>
          </cell>
          <cell r="K554">
            <v>0</v>
          </cell>
          <cell r="L554" t="str">
            <v/>
          </cell>
          <cell r="P554">
            <v>0</v>
          </cell>
          <cell r="U554" t="str">
            <v>000000000013168</v>
          </cell>
        </row>
        <row r="555">
          <cell r="H555" t="str">
            <v/>
          </cell>
          <cell r="K555">
            <v>0</v>
          </cell>
          <cell r="L555" t="str">
            <v/>
          </cell>
          <cell r="P555">
            <v>0</v>
          </cell>
          <cell r="U555" t="str">
            <v>000000000013168</v>
          </cell>
        </row>
        <row r="556">
          <cell r="C556">
            <v>1000</v>
          </cell>
          <cell r="H556" t="str">
            <v/>
          </cell>
          <cell r="K556">
            <v>0</v>
          </cell>
          <cell r="L556" t="str">
            <v/>
          </cell>
          <cell r="P556">
            <v>0</v>
          </cell>
          <cell r="U556" t="str">
            <v>000000000013168</v>
          </cell>
        </row>
        <row r="557">
          <cell r="C557">
            <v>2</v>
          </cell>
          <cell r="H557" t="str">
            <v/>
          </cell>
          <cell r="K557">
            <v>0</v>
          </cell>
          <cell r="L557" t="str">
            <v/>
          </cell>
          <cell r="P557">
            <v>0</v>
          </cell>
          <cell r="U557" t="str">
            <v>000000000013168</v>
          </cell>
        </row>
        <row r="558">
          <cell r="C558">
            <v>100</v>
          </cell>
          <cell r="H558" t="str">
            <v/>
          </cell>
          <cell r="K558">
            <v>0</v>
          </cell>
          <cell r="L558" t="str">
            <v/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000000000013168</v>
          </cell>
        </row>
        <row r="559">
          <cell r="C559" t="str">
            <v>LED-A888</v>
          </cell>
          <cell r="H559" t="str">
            <v/>
          </cell>
          <cell r="K559">
            <v>0</v>
          </cell>
          <cell r="L559" t="str">
            <v/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000000000013168</v>
          </cell>
        </row>
        <row r="560">
          <cell r="H560" t="str">
            <v/>
          </cell>
          <cell r="K560">
            <v>0</v>
          </cell>
          <cell r="L560" t="str">
            <v/>
          </cell>
          <cell r="M560" t="str">
            <v>作業者</v>
          </cell>
          <cell r="U560" t="str">
            <v>000000000013168</v>
          </cell>
        </row>
        <row r="561">
          <cell r="C561">
            <v>0</v>
          </cell>
          <cell r="H561" t="str">
            <v/>
          </cell>
          <cell r="K561">
            <v>0</v>
          </cell>
          <cell r="L561" t="str">
            <v/>
          </cell>
          <cell r="U561" t="str">
            <v>000000000013168</v>
          </cell>
        </row>
        <row r="562">
          <cell r="K562">
            <v>0</v>
          </cell>
          <cell r="L562" t="str">
            <v/>
          </cell>
          <cell r="R562">
            <v>0</v>
          </cell>
          <cell r="U562" t="str">
            <v>000000000013168</v>
          </cell>
        </row>
        <row r="563">
          <cell r="D563" t="str">
            <v>不良補填</v>
          </cell>
          <cell r="F563">
            <v>0</v>
          </cell>
          <cell r="U563" t="str">
            <v>000000000013168</v>
          </cell>
        </row>
        <row r="564">
          <cell r="C564" t="str">
            <v>8FL281304 5010　L=888</v>
          </cell>
          <cell r="J564">
            <v>0</v>
          </cell>
          <cell r="K564">
            <v>0</v>
          </cell>
          <cell r="L564" t="str">
            <v/>
          </cell>
          <cell r="P564">
            <v>0</v>
          </cell>
          <cell r="U564" t="str">
            <v>000000000013166</v>
          </cell>
        </row>
        <row r="565">
          <cell r="H565" t="str">
            <v/>
          </cell>
          <cell r="J565" t="str">
            <v/>
          </cell>
          <cell r="K565">
            <v>0</v>
          </cell>
          <cell r="L565" t="str">
            <v/>
          </cell>
          <cell r="P565">
            <v>0</v>
          </cell>
          <cell r="U565" t="str">
            <v>000000000013166</v>
          </cell>
        </row>
        <row r="566">
          <cell r="H566" t="str">
            <v/>
          </cell>
          <cell r="K566">
            <v>0</v>
          </cell>
          <cell r="L566" t="str">
            <v/>
          </cell>
          <cell r="P566">
            <v>0</v>
          </cell>
          <cell r="U566" t="str">
            <v>000000000013166</v>
          </cell>
        </row>
        <row r="567">
          <cell r="C567">
            <v>400</v>
          </cell>
          <cell r="H567" t="str">
            <v/>
          </cell>
          <cell r="K567">
            <v>0</v>
          </cell>
          <cell r="L567" t="str">
            <v/>
          </cell>
          <cell r="P567">
            <v>0</v>
          </cell>
          <cell r="U567" t="str">
            <v>000000000013166</v>
          </cell>
        </row>
        <row r="568">
          <cell r="C568">
            <v>2</v>
          </cell>
          <cell r="H568" t="str">
            <v/>
          </cell>
          <cell r="K568">
            <v>0</v>
          </cell>
          <cell r="L568" t="str">
            <v/>
          </cell>
          <cell r="P568">
            <v>0</v>
          </cell>
          <cell r="U568" t="str">
            <v>000000000013166</v>
          </cell>
        </row>
        <row r="569">
          <cell r="C569">
            <v>100</v>
          </cell>
          <cell r="H569" t="str">
            <v/>
          </cell>
          <cell r="K569">
            <v>0</v>
          </cell>
          <cell r="L569" t="str">
            <v/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000000000013166</v>
          </cell>
        </row>
        <row r="570">
          <cell r="C570" t="str">
            <v>LED-A888</v>
          </cell>
          <cell r="H570" t="str">
            <v/>
          </cell>
          <cell r="K570">
            <v>0</v>
          </cell>
          <cell r="L570" t="str">
            <v/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000000000013166</v>
          </cell>
        </row>
        <row r="571">
          <cell r="H571" t="str">
            <v/>
          </cell>
          <cell r="K571">
            <v>0</v>
          </cell>
          <cell r="L571" t="str">
            <v/>
          </cell>
          <cell r="M571" t="str">
            <v>作業者</v>
          </cell>
          <cell r="U571" t="str">
            <v>000000000013166</v>
          </cell>
        </row>
        <row r="572">
          <cell r="C572">
            <v>0</v>
          </cell>
          <cell r="H572" t="str">
            <v/>
          </cell>
          <cell r="K572">
            <v>0</v>
          </cell>
          <cell r="L572" t="str">
            <v/>
          </cell>
          <cell r="U572" t="str">
            <v>000000000013166</v>
          </cell>
        </row>
        <row r="573">
          <cell r="K573">
            <v>0</v>
          </cell>
          <cell r="L573" t="str">
            <v/>
          </cell>
          <cell r="R573">
            <v>0</v>
          </cell>
          <cell r="U573" t="str">
            <v>000000000013166</v>
          </cell>
        </row>
        <row r="574">
          <cell r="D574" t="str">
            <v>不良補填</v>
          </cell>
          <cell r="F574">
            <v>0</v>
          </cell>
          <cell r="U574" t="str">
            <v>000000000013166</v>
          </cell>
        </row>
        <row r="575">
          <cell r="C575" t="str">
            <v>8FL281304 6110　L=1478</v>
          </cell>
          <cell r="J575">
            <v>0</v>
          </cell>
          <cell r="K575">
            <v>0</v>
          </cell>
          <cell r="L575" t="str">
            <v/>
          </cell>
          <cell r="P575">
            <v>0</v>
          </cell>
          <cell r="U575" t="str">
            <v>000000000013176</v>
          </cell>
        </row>
        <row r="576">
          <cell r="H576" t="str">
            <v/>
          </cell>
          <cell r="J576" t="str">
            <v/>
          </cell>
          <cell r="K576">
            <v>0</v>
          </cell>
          <cell r="L576" t="str">
            <v/>
          </cell>
          <cell r="P576">
            <v>0</v>
          </cell>
          <cell r="U576" t="str">
            <v>000000000013176</v>
          </cell>
        </row>
        <row r="577">
          <cell r="H577" t="str">
            <v/>
          </cell>
          <cell r="K577">
            <v>0</v>
          </cell>
          <cell r="L577" t="str">
            <v/>
          </cell>
          <cell r="P577">
            <v>0</v>
          </cell>
          <cell r="U577" t="str">
            <v>000000000013176</v>
          </cell>
        </row>
        <row r="578">
          <cell r="C578">
            <v>400</v>
          </cell>
          <cell r="H578" t="str">
            <v/>
          </cell>
          <cell r="K578">
            <v>0</v>
          </cell>
          <cell r="L578" t="str">
            <v/>
          </cell>
          <cell r="P578">
            <v>0</v>
          </cell>
          <cell r="U578" t="str">
            <v>000000000013176</v>
          </cell>
        </row>
        <row r="579">
          <cell r="C579">
            <v>1</v>
          </cell>
          <cell r="H579" t="str">
            <v/>
          </cell>
          <cell r="K579">
            <v>0</v>
          </cell>
          <cell r="L579" t="str">
            <v/>
          </cell>
          <cell r="P579">
            <v>0</v>
          </cell>
          <cell r="U579" t="str">
            <v>000000000013176</v>
          </cell>
        </row>
        <row r="580">
          <cell r="C580">
            <v>100</v>
          </cell>
          <cell r="H580" t="str">
            <v/>
          </cell>
          <cell r="K580">
            <v>0</v>
          </cell>
          <cell r="L580" t="str">
            <v/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000000000013176</v>
          </cell>
        </row>
        <row r="581">
          <cell r="C581" t="str">
            <v>LED-A1478</v>
          </cell>
          <cell r="H581" t="str">
            <v/>
          </cell>
          <cell r="K581">
            <v>0</v>
          </cell>
          <cell r="L581" t="str">
            <v/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000000000013176</v>
          </cell>
        </row>
        <row r="582">
          <cell r="H582" t="str">
            <v/>
          </cell>
          <cell r="K582">
            <v>0</v>
          </cell>
          <cell r="L582" t="str">
            <v/>
          </cell>
          <cell r="M582" t="str">
            <v>作業者</v>
          </cell>
          <cell r="U582" t="str">
            <v>000000000013176</v>
          </cell>
        </row>
        <row r="583">
          <cell r="C583">
            <v>0</v>
          </cell>
          <cell r="H583" t="str">
            <v/>
          </cell>
          <cell r="K583">
            <v>0</v>
          </cell>
          <cell r="L583" t="str">
            <v/>
          </cell>
          <cell r="U583" t="str">
            <v>000000000013176</v>
          </cell>
        </row>
        <row r="584">
          <cell r="K584">
            <v>0</v>
          </cell>
          <cell r="L584" t="str">
            <v/>
          </cell>
          <cell r="R584">
            <v>0</v>
          </cell>
          <cell r="U584" t="str">
            <v>000000000013176</v>
          </cell>
        </row>
        <row r="585">
          <cell r="D585" t="str">
            <v>不良補填</v>
          </cell>
          <cell r="F585">
            <v>0</v>
          </cell>
          <cell r="U585" t="str">
            <v>000000000013176</v>
          </cell>
        </row>
        <row r="586">
          <cell r="C586" t="str">
            <v>8FL281304 6110　L=1478</v>
          </cell>
          <cell r="J586">
            <v>0</v>
          </cell>
          <cell r="K586">
            <v>0</v>
          </cell>
          <cell r="L586" t="str">
            <v/>
          </cell>
          <cell r="P586">
            <v>0</v>
          </cell>
          <cell r="U586" t="str">
            <v>000000000013177</v>
          </cell>
        </row>
        <row r="587">
          <cell r="H587" t="str">
            <v/>
          </cell>
          <cell r="J587" t="str">
            <v/>
          </cell>
          <cell r="K587">
            <v>0</v>
          </cell>
          <cell r="L587" t="str">
            <v/>
          </cell>
          <cell r="P587">
            <v>0</v>
          </cell>
          <cell r="U587" t="str">
            <v>000000000013177</v>
          </cell>
        </row>
        <row r="588">
          <cell r="H588" t="str">
            <v/>
          </cell>
          <cell r="K588">
            <v>0</v>
          </cell>
          <cell r="L588" t="str">
            <v/>
          </cell>
          <cell r="P588">
            <v>0</v>
          </cell>
          <cell r="U588" t="str">
            <v>000000000013177</v>
          </cell>
        </row>
        <row r="589">
          <cell r="C589">
            <v>500</v>
          </cell>
          <cell r="H589" t="str">
            <v/>
          </cell>
          <cell r="K589">
            <v>0</v>
          </cell>
          <cell r="L589" t="str">
            <v/>
          </cell>
          <cell r="P589">
            <v>0</v>
          </cell>
          <cell r="U589" t="str">
            <v>000000000013177</v>
          </cell>
        </row>
        <row r="590">
          <cell r="C590">
            <v>1</v>
          </cell>
          <cell r="H590" t="str">
            <v/>
          </cell>
          <cell r="K590">
            <v>0</v>
          </cell>
          <cell r="L590" t="str">
            <v/>
          </cell>
          <cell r="P590">
            <v>0</v>
          </cell>
          <cell r="U590" t="str">
            <v>000000000013177</v>
          </cell>
        </row>
        <row r="591">
          <cell r="C591">
            <v>100</v>
          </cell>
          <cell r="H591" t="str">
            <v/>
          </cell>
          <cell r="K591">
            <v>0</v>
          </cell>
          <cell r="L591" t="str">
            <v/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000000000013177</v>
          </cell>
        </row>
        <row r="592">
          <cell r="C592" t="str">
            <v>LED-A1478</v>
          </cell>
          <cell r="H592" t="str">
            <v/>
          </cell>
          <cell r="K592">
            <v>0</v>
          </cell>
          <cell r="L592" t="str">
            <v/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000000000013177</v>
          </cell>
        </row>
        <row r="593">
          <cell r="H593" t="str">
            <v/>
          </cell>
          <cell r="K593">
            <v>0</v>
          </cell>
          <cell r="L593" t="str">
            <v/>
          </cell>
          <cell r="M593" t="str">
            <v>作業者</v>
          </cell>
          <cell r="U593" t="str">
            <v>000000000013177</v>
          </cell>
        </row>
        <row r="594">
          <cell r="C594">
            <v>0</v>
          </cell>
          <cell r="H594" t="str">
            <v/>
          </cell>
          <cell r="K594">
            <v>0</v>
          </cell>
          <cell r="L594" t="str">
            <v/>
          </cell>
          <cell r="U594" t="str">
            <v>000000000013177</v>
          </cell>
        </row>
        <row r="595">
          <cell r="K595">
            <v>0</v>
          </cell>
          <cell r="L595" t="str">
            <v/>
          </cell>
          <cell r="R595">
            <v>0</v>
          </cell>
          <cell r="U595" t="str">
            <v>000000000013177</v>
          </cell>
        </row>
        <row r="596">
          <cell r="D596" t="str">
            <v>不良補填</v>
          </cell>
          <cell r="F596">
            <v>0</v>
          </cell>
          <cell r="U596" t="str">
            <v>000000000013177</v>
          </cell>
        </row>
        <row r="597">
          <cell r="C597" t="str">
            <v>8FL281304 6110　L=1478</v>
          </cell>
          <cell r="J597">
            <v>0</v>
          </cell>
          <cell r="K597">
            <v>0</v>
          </cell>
          <cell r="L597" t="str">
            <v/>
          </cell>
          <cell r="P597">
            <v>0</v>
          </cell>
          <cell r="U597" t="str">
            <v>000000000013178</v>
          </cell>
        </row>
        <row r="598">
          <cell r="H598" t="str">
            <v/>
          </cell>
          <cell r="J598" t="str">
            <v/>
          </cell>
          <cell r="K598">
            <v>0</v>
          </cell>
          <cell r="L598" t="str">
            <v/>
          </cell>
          <cell r="P598">
            <v>0</v>
          </cell>
          <cell r="U598" t="str">
            <v>000000000013178</v>
          </cell>
        </row>
        <row r="599">
          <cell r="H599" t="str">
            <v/>
          </cell>
          <cell r="K599">
            <v>0</v>
          </cell>
          <cell r="L599" t="str">
            <v/>
          </cell>
          <cell r="P599">
            <v>0</v>
          </cell>
          <cell r="U599" t="str">
            <v>000000000013178</v>
          </cell>
        </row>
        <row r="600">
          <cell r="C600">
            <v>200</v>
          </cell>
          <cell r="H600" t="str">
            <v/>
          </cell>
          <cell r="K600">
            <v>0</v>
          </cell>
          <cell r="L600" t="str">
            <v/>
          </cell>
          <cell r="P600">
            <v>0</v>
          </cell>
          <cell r="U600" t="str">
            <v>000000000013178</v>
          </cell>
        </row>
        <row r="601">
          <cell r="C601">
            <v>1</v>
          </cell>
          <cell r="H601" t="str">
            <v/>
          </cell>
          <cell r="K601">
            <v>0</v>
          </cell>
          <cell r="L601" t="str">
            <v/>
          </cell>
          <cell r="P601">
            <v>0</v>
          </cell>
          <cell r="U601" t="str">
            <v>000000000013178</v>
          </cell>
        </row>
        <row r="602">
          <cell r="C602">
            <v>100</v>
          </cell>
          <cell r="H602" t="str">
            <v/>
          </cell>
          <cell r="K602">
            <v>0</v>
          </cell>
          <cell r="L602" t="str">
            <v/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000000000013178</v>
          </cell>
        </row>
        <row r="603">
          <cell r="C603" t="str">
            <v>LED-A1478</v>
          </cell>
          <cell r="H603" t="str">
            <v/>
          </cell>
          <cell r="K603">
            <v>0</v>
          </cell>
          <cell r="L603" t="str">
            <v/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000000000013178</v>
          </cell>
        </row>
        <row r="604">
          <cell r="H604" t="str">
            <v/>
          </cell>
          <cell r="K604">
            <v>0</v>
          </cell>
          <cell r="L604" t="str">
            <v/>
          </cell>
          <cell r="M604" t="str">
            <v>作業者</v>
          </cell>
          <cell r="U604" t="str">
            <v>000000000013178</v>
          </cell>
        </row>
        <row r="605">
          <cell r="C605">
            <v>0</v>
          </cell>
          <cell r="H605" t="str">
            <v/>
          </cell>
          <cell r="K605">
            <v>0</v>
          </cell>
          <cell r="L605" t="str">
            <v/>
          </cell>
          <cell r="U605" t="str">
            <v>000000000013178</v>
          </cell>
        </row>
        <row r="606">
          <cell r="K606">
            <v>0</v>
          </cell>
          <cell r="L606" t="str">
            <v/>
          </cell>
          <cell r="R606">
            <v>0</v>
          </cell>
          <cell r="U606" t="str">
            <v>000000000013178</v>
          </cell>
        </row>
        <row r="607">
          <cell r="D607" t="str">
            <v>不良補填</v>
          </cell>
          <cell r="F607">
            <v>0</v>
          </cell>
          <cell r="U607" t="str">
            <v>000000000013178</v>
          </cell>
        </row>
        <row r="608">
          <cell r="C608" t="str">
            <v>8FL281304 6110　L=1478</v>
          </cell>
          <cell r="J608">
            <v>0</v>
          </cell>
          <cell r="K608">
            <v>0</v>
          </cell>
          <cell r="L608" t="str">
            <v/>
          </cell>
          <cell r="P608">
            <v>0</v>
          </cell>
          <cell r="U608" t="str">
            <v>000000000013401</v>
          </cell>
        </row>
        <row r="609">
          <cell r="H609" t="str">
            <v/>
          </cell>
          <cell r="J609" t="str">
            <v/>
          </cell>
          <cell r="K609">
            <v>0</v>
          </cell>
          <cell r="L609" t="str">
            <v/>
          </cell>
          <cell r="P609">
            <v>0</v>
          </cell>
          <cell r="U609" t="str">
            <v>000000000013401</v>
          </cell>
        </row>
        <row r="610">
          <cell r="H610" t="str">
            <v/>
          </cell>
          <cell r="K610">
            <v>0</v>
          </cell>
          <cell r="L610" t="str">
            <v/>
          </cell>
          <cell r="P610">
            <v>0</v>
          </cell>
          <cell r="U610" t="str">
            <v>000000000013401</v>
          </cell>
        </row>
        <row r="611">
          <cell r="C611">
            <v>100</v>
          </cell>
          <cell r="H611" t="str">
            <v/>
          </cell>
          <cell r="K611">
            <v>0</v>
          </cell>
          <cell r="L611" t="str">
            <v/>
          </cell>
          <cell r="P611">
            <v>0</v>
          </cell>
          <cell r="U611" t="str">
            <v>000000000013401</v>
          </cell>
        </row>
        <row r="612">
          <cell r="C612">
            <v>1</v>
          </cell>
          <cell r="H612" t="str">
            <v/>
          </cell>
          <cell r="K612">
            <v>0</v>
          </cell>
          <cell r="L612" t="str">
            <v/>
          </cell>
          <cell r="P612">
            <v>0</v>
          </cell>
          <cell r="U612" t="str">
            <v>000000000013401</v>
          </cell>
        </row>
        <row r="613">
          <cell r="C613">
            <v>100</v>
          </cell>
          <cell r="H613" t="str">
            <v/>
          </cell>
          <cell r="K613">
            <v>0</v>
          </cell>
          <cell r="L613" t="str">
            <v/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000000000013401</v>
          </cell>
        </row>
        <row r="614">
          <cell r="C614" t="str">
            <v>LED-A1478</v>
          </cell>
          <cell r="H614" t="str">
            <v/>
          </cell>
          <cell r="K614">
            <v>0</v>
          </cell>
          <cell r="L614" t="str">
            <v/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000000000013401</v>
          </cell>
        </row>
        <row r="615">
          <cell r="H615" t="str">
            <v/>
          </cell>
          <cell r="K615">
            <v>0</v>
          </cell>
          <cell r="L615" t="str">
            <v/>
          </cell>
          <cell r="M615" t="str">
            <v>作業者</v>
          </cell>
          <cell r="U615" t="str">
            <v>000000000013401</v>
          </cell>
        </row>
        <row r="616">
          <cell r="C616">
            <v>0</v>
          </cell>
          <cell r="H616" t="str">
            <v/>
          </cell>
          <cell r="K616">
            <v>0</v>
          </cell>
          <cell r="L616" t="str">
            <v/>
          </cell>
          <cell r="U616" t="str">
            <v>000000000013401</v>
          </cell>
        </row>
        <row r="617">
          <cell r="K617">
            <v>0</v>
          </cell>
          <cell r="L617" t="str">
            <v/>
          </cell>
          <cell r="R617">
            <v>0</v>
          </cell>
          <cell r="U617" t="str">
            <v>000000000013401</v>
          </cell>
        </row>
        <row r="618">
          <cell r="D618" t="str">
            <v>不良補填</v>
          </cell>
          <cell r="F618">
            <v>0</v>
          </cell>
          <cell r="U618" t="str">
            <v>000000000013401</v>
          </cell>
        </row>
        <row r="619">
          <cell r="C619" t="str">
            <v>8FL281304 5010　L=888</v>
          </cell>
          <cell r="J619">
            <v>0</v>
          </cell>
          <cell r="K619">
            <v>0</v>
          </cell>
          <cell r="L619" t="str">
            <v/>
          </cell>
          <cell r="P619">
            <v>0</v>
          </cell>
          <cell r="U619" t="str">
            <v>000000000013167</v>
          </cell>
        </row>
        <row r="620">
          <cell r="H620" t="str">
            <v/>
          </cell>
          <cell r="J620" t="str">
            <v/>
          </cell>
          <cell r="K620">
            <v>0</v>
          </cell>
          <cell r="L620" t="str">
            <v/>
          </cell>
          <cell r="P620">
            <v>0</v>
          </cell>
          <cell r="U620" t="str">
            <v>000000000013167</v>
          </cell>
        </row>
        <row r="621">
          <cell r="H621" t="str">
            <v/>
          </cell>
          <cell r="K621">
            <v>0</v>
          </cell>
          <cell r="L621" t="str">
            <v/>
          </cell>
          <cell r="P621">
            <v>0</v>
          </cell>
          <cell r="U621" t="str">
            <v>000000000013167</v>
          </cell>
        </row>
        <row r="622">
          <cell r="C622">
            <v>400</v>
          </cell>
          <cell r="H622" t="str">
            <v/>
          </cell>
          <cell r="K622">
            <v>0</v>
          </cell>
          <cell r="L622" t="str">
            <v/>
          </cell>
          <cell r="P622">
            <v>0</v>
          </cell>
          <cell r="U622" t="str">
            <v>000000000013167</v>
          </cell>
        </row>
        <row r="623">
          <cell r="C623">
            <v>2</v>
          </cell>
          <cell r="H623" t="str">
            <v/>
          </cell>
          <cell r="K623">
            <v>0</v>
          </cell>
          <cell r="L623" t="str">
            <v/>
          </cell>
          <cell r="P623">
            <v>0</v>
          </cell>
          <cell r="U623" t="str">
            <v>000000000013167</v>
          </cell>
        </row>
        <row r="624">
          <cell r="C624">
            <v>100</v>
          </cell>
          <cell r="H624" t="str">
            <v/>
          </cell>
          <cell r="K624">
            <v>0</v>
          </cell>
          <cell r="L624" t="str">
            <v/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000000000013167</v>
          </cell>
        </row>
        <row r="625">
          <cell r="C625" t="str">
            <v>LED-A888</v>
          </cell>
          <cell r="H625" t="str">
            <v/>
          </cell>
          <cell r="K625">
            <v>0</v>
          </cell>
          <cell r="L625" t="str">
            <v/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000000000013167</v>
          </cell>
        </row>
        <row r="626">
          <cell r="H626" t="str">
            <v/>
          </cell>
          <cell r="K626">
            <v>0</v>
          </cell>
          <cell r="L626" t="str">
            <v/>
          </cell>
          <cell r="M626" t="str">
            <v>作業者</v>
          </cell>
          <cell r="U626" t="str">
            <v>000000000013167</v>
          </cell>
        </row>
        <row r="627">
          <cell r="C627">
            <v>0</v>
          </cell>
          <cell r="H627" t="str">
            <v/>
          </cell>
          <cell r="K627">
            <v>0</v>
          </cell>
          <cell r="L627" t="str">
            <v/>
          </cell>
          <cell r="U627" t="str">
            <v>000000000013167</v>
          </cell>
        </row>
        <row r="628">
          <cell r="K628">
            <v>0</v>
          </cell>
          <cell r="L628" t="str">
            <v/>
          </cell>
          <cell r="R628">
            <v>0</v>
          </cell>
          <cell r="U628" t="str">
            <v>000000000013167</v>
          </cell>
        </row>
        <row r="629">
          <cell r="D629" t="str">
            <v>不良補填</v>
          </cell>
          <cell r="F629">
            <v>0</v>
          </cell>
          <cell r="U629" t="str">
            <v>000000000013167</v>
          </cell>
        </row>
        <row r="630">
          <cell r="C630" t="str">
            <v>8FL281304 5010　L=888</v>
          </cell>
          <cell r="J630">
            <v>0</v>
          </cell>
          <cell r="K630">
            <v>0</v>
          </cell>
          <cell r="L630" t="str">
            <v/>
          </cell>
          <cell r="P630">
            <v>0</v>
          </cell>
          <cell r="U630" t="str">
            <v>000000000013171</v>
          </cell>
        </row>
        <row r="631">
          <cell r="H631" t="str">
            <v/>
          </cell>
          <cell r="J631" t="str">
            <v/>
          </cell>
          <cell r="K631">
            <v>0</v>
          </cell>
          <cell r="L631" t="str">
            <v/>
          </cell>
          <cell r="P631">
            <v>0</v>
          </cell>
          <cell r="U631" t="str">
            <v>000000000013171</v>
          </cell>
        </row>
        <row r="632">
          <cell r="H632" t="str">
            <v/>
          </cell>
          <cell r="K632">
            <v>0</v>
          </cell>
          <cell r="L632" t="str">
            <v/>
          </cell>
          <cell r="P632">
            <v>0</v>
          </cell>
          <cell r="U632" t="str">
            <v>000000000013171</v>
          </cell>
        </row>
        <row r="633">
          <cell r="C633">
            <v>400</v>
          </cell>
          <cell r="H633" t="str">
            <v/>
          </cell>
          <cell r="K633">
            <v>0</v>
          </cell>
          <cell r="L633" t="str">
            <v/>
          </cell>
          <cell r="P633">
            <v>0</v>
          </cell>
          <cell r="U633" t="str">
            <v>000000000013171</v>
          </cell>
        </row>
        <row r="634">
          <cell r="C634">
            <v>2</v>
          </cell>
          <cell r="H634" t="str">
            <v/>
          </cell>
          <cell r="K634">
            <v>0</v>
          </cell>
          <cell r="L634" t="str">
            <v/>
          </cell>
          <cell r="P634">
            <v>0</v>
          </cell>
          <cell r="U634" t="str">
            <v>000000000013171</v>
          </cell>
        </row>
        <row r="635">
          <cell r="C635">
            <v>100</v>
          </cell>
          <cell r="H635" t="str">
            <v/>
          </cell>
          <cell r="K635">
            <v>0</v>
          </cell>
          <cell r="L635" t="str">
            <v/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000000000013171</v>
          </cell>
        </row>
        <row r="636">
          <cell r="C636" t="str">
            <v>LED-A888</v>
          </cell>
          <cell r="H636" t="str">
            <v/>
          </cell>
          <cell r="K636">
            <v>0</v>
          </cell>
          <cell r="L636" t="str">
            <v/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000000000013171</v>
          </cell>
        </row>
        <row r="637">
          <cell r="H637" t="str">
            <v/>
          </cell>
          <cell r="K637">
            <v>0</v>
          </cell>
          <cell r="L637" t="str">
            <v/>
          </cell>
          <cell r="M637" t="str">
            <v>作業者</v>
          </cell>
          <cell r="U637" t="str">
            <v>000000000013171</v>
          </cell>
        </row>
        <row r="638">
          <cell r="C638">
            <v>0</v>
          </cell>
          <cell r="H638" t="str">
            <v/>
          </cell>
          <cell r="K638">
            <v>0</v>
          </cell>
          <cell r="L638" t="str">
            <v/>
          </cell>
          <cell r="U638" t="str">
            <v>000000000013171</v>
          </cell>
        </row>
        <row r="639">
          <cell r="K639">
            <v>0</v>
          </cell>
          <cell r="L639" t="str">
            <v/>
          </cell>
          <cell r="R639">
            <v>0</v>
          </cell>
          <cell r="U639" t="str">
            <v>000000000013171</v>
          </cell>
        </row>
        <row r="640">
          <cell r="D640" t="str">
            <v>不良補填</v>
          </cell>
          <cell r="F640">
            <v>0</v>
          </cell>
          <cell r="U640" t="str">
            <v>000000000013171</v>
          </cell>
        </row>
        <row r="641">
          <cell r="C641" t="str">
            <v>8FL281304 5010　L=888</v>
          </cell>
          <cell r="J641">
            <v>0</v>
          </cell>
          <cell r="K641">
            <v>0</v>
          </cell>
          <cell r="L641" t="str">
            <v/>
          </cell>
          <cell r="P641">
            <v>0</v>
          </cell>
          <cell r="U641" t="str">
            <v>000000000013169</v>
          </cell>
        </row>
        <row r="642">
          <cell r="H642" t="str">
            <v/>
          </cell>
          <cell r="J642" t="str">
            <v/>
          </cell>
          <cell r="K642">
            <v>0</v>
          </cell>
          <cell r="L642" t="str">
            <v/>
          </cell>
          <cell r="P642">
            <v>0</v>
          </cell>
          <cell r="U642" t="str">
            <v>000000000013169</v>
          </cell>
        </row>
        <row r="643">
          <cell r="H643" t="str">
            <v/>
          </cell>
          <cell r="K643">
            <v>0</v>
          </cell>
          <cell r="L643" t="str">
            <v/>
          </cell>
          <cell r="P643">
            <v>0</v>
          </cell>
          <cell r="U643" t="str">
            <v>000000000013169</v>
          </cell>
        </row>
        <row r="644">
          <cell r="C644">
            <v>200</v>
          </cell>
          <cell r="H644" t="str">
            <v/>
          </cell>
          <cell r="K644">
            <v>0</v>
          </cell>
          <cell r="L644" t="str">
            <v/>
          </cell>
          <cell r="P644">
            <v>0</v>
          </cell>
          <cell r="U644" t="str">
            <v>000000000013169</v>
          </cell>
        </row>
        <row r="645">
          <cell r="C645">
            <v>2</v>
          </cell>
          <cell r="H645" t="str">
            <v/>
          </cell>
          <cell r="K645">
            <v>0</v>
          </cell>
          <cell r="L645" t="str">
            <v/>
          </cell>
          <cell r="P645">
            <v>0</v>
          </cell>
          <cell r="U645" t="str">
            <v>000000000013169</v>
          </cell>
        </row>
        <row r="646">
          <cell r="C646">
            <v>100</v>
          </cell>
          <cell r="H646" t="str">
            <v/>
          </cell>
          <cell r="K646">
            <v>0</v>
          </cell>
          <cell r="L646" t="str">
            <v/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000000000013169</v>
          </cell>
        </row>
        <row r="647">
          <cell r="C647" t="str">
            <v>LED-A888</v>
          </cell>
          <cell r="H647" t="str">
            <v/>
          </cell>
          <cell r="K647">
            <v>0</v>
          </cell>
          <cell r="L647" t="str">
            <v/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000000000013169</v>
          </cell>
        </row>
        <row r="648">
          <cell r="H648" t="str">
            <v/>
          </cell>
          <cell r="K648">
            <v>0</v>
          </cell>
          <cell r="L648" t="str">
            <v/>
          </cell>
          <cell r="M648" t="str">
            <v>作業者</v>
          </cell>
          <cell r="U648" t="str">
            <v>000000000013169</v>
          </cell>
        </row>
        <row r="649">
          <cell r="C649">
            <v>0</v>
          </cell>
          <cell r="H649" t="str">
            <v/>
          </cell>
          <cell r="K649">
            <v>0</v>
          </cell>
          <cell r="L649" t="str">
            <v/>
          </cell>
          <cell r="U649" t="str">
            <v>000000000013169</v>
          </cell>
        </row>
        <row r="650">
          <cell r="K650">
            <v>0</v>
          </cell>
          <cell r="L650" t="str">
            <v/>
          </cell>
          <cell r="R650">
            <v>0</v>
          </cell>
          <cell r="U650" t="str">
            <v>000000000013169</v>
          </cell>
        </row>
        <row r="651">
          <cell r="D651" t="str">
            <v>不良補填</v>
          </cell>
          <cell r="F651">
            <v>0</v>
          </cell>
          <cell r="U651" t="str">
            <v>000000000013169</v>
          </cell>
        </row>
        <row r="652">
          <cell r="C652" t="str">
            <v>8FL281304 5010　L=888</v>
          </cell>
          <cell r="J652">
            <v>0</v>
          </cell>
          <cell r="K652">
            <v>0</v>
          </cell>
          <cell r="L652" t="str">
            <v/>
          </cell>
          <cell r="P652">
            <v>0</v>
          </cell>
          <cell r="U652" t="str">
            <v>000000000013172</v>
          </cell>
        </row>
        <row r="653">
          <cell r="H653" t="str">
            <v/>
          </cell>
          <cell r="J653" t="str">
            <v/>
          </cell>
          <cell r="K653">
            <v>0</v>
          </cell>
          <cell r="L653" t="str">
            <v/>
          </cell>
          <cell r="P653">
            <v>0</v>
          </cell>
          <cell r="U653" t="str">
            <v>000000000013172</v>
          </cell>
        </row>
        <row r="654">
          <cell r="H654" t="str">
            <v/>
          </cell>
          <cell r="K654">
            <v>0</v>
          </cell>
          <cell r="L654" t="str">
            <v/>
          </cell>
          <cell r="P654">
            <v>0</v>
          </cell>
          <cell r="U654" t="str">
            <v>000000000013172</v>
          </cell>
        </row>
        <row r="655">
          <cell r="C655">
            <v>1000</v>
          </cell>
          <cell r="H655" t="str">
            <v/>
          </cell>
          <cell r="K655">
            <v>0</v>
          </cell>
          <cell r="L655" t="str">
            <v/>
          </cell>
          <cell r="P655">
            <v>0</v>
          </cell>
          <cell r="U655" t="str">
            <v>000000000013172</v>
          </cell>
        </row>
        <row r="656">
          <cell r="C656">
            <v>2</v>
          </cell>
          <cell r="H656" t="str">
            <v/>
          </cell>
          <cell r="K656">
            <v>0</v>
          </cell>
          <cell r="L656" t="str">
            <v/>
          </cell>
          <cell r="P656">
            <v>0</v>
          </cell>
          <cell r="U656" t="str">
            <v>000000000013172</v>
          </cell>
        </row>
        <row r="657">
          <cell r="C657">
            <v>100</v>
          </cell>
          <cell r="H657" t="str">
            <v/>
          </cell>
          <cell r="K657">
            <v>0</v>
          </cell>
          <cell r="L657" t="str">
            <v/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000000000013172</v>
          </cell>
        </row>
        <row r="658">
          <cell r="C658" t="str">
            <v>LED-A888</v>
          </cell>
          <cell r="H658" t="str">
            <v/>
          </cell>
          <cell r="K658">
            <v>0</v>
          </cell>
          <cell r="L658" t="str">
            <v/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000000000013172</v>
          </cell>
        </row>
        <row r="659">
          <cell r="H659" t="str">
            <v/>
          </cell>
          <cell r="K659">
            <v>0</v>
          </cell>
          <cell r="L659" t="str">
            <v/>
          </cell>
          <cell r="M659" t="str">
            <v>作業者</v>
          </cell>
          <cell r="U659" t="str">
            <v>000000000013172</v>
          </cell>
        </row>
        <row r="660">
          <cell r="C660">
            <v>0</v>
          </cell>
          <cell r="H660" t="str">
            <v/>
          </cell>
          <cell r="K660">
            <v>0</v>
          </cell>
          <cell r="L660" t="str">
            <v/>
          </cell>
          <cell r="U660" t="str">
            <v>000000000013172</v>
          </cell>
        </row>
        <row r="661">
          <cell r="K661">
            <v>0</v>
          </cell>
          <cell r="L661" t="str">
            <v/>
          </cell>
          <cell r="R661">
            <v>0</v>
          </cell>
          <cell r="U661" t="str">
            <v>000000000013172</v>
          </cell>
        </row>
        <row r="662">
          <cell r="D662" t="str">
            <v>不良補填</v>
          </cell>
          <cell r="F662">
            <v>0</v>
          </cell>
          <cell r="U662" t="str">
            <v>000000000013172</v>
          </cell>
        </row>
        <row r="663">
          <cell r="C663" t="str">
            <v>8FL281304 5010　L=888</v>
          </cell>
          <cell r="J663">
            <v>0</v>
          </cell>
          <cell r="K663">
            <v>0</v>
          </cell>
          <cell r="L663" t="str">
            <v/>
          </cell>
          <cell r="P663">
            <v>0</v>
          </cell>
          <cell r="U663" t="str">
            <v>000000000013170</v>
          </cell>
        </row>
        <row r="664">
          <cell r="H664" t="str">
            <v/>
          </cell>
          <cell r="J664" t="str">
            <v/>
          </cell>
          <cell r="K664">
            <v>0</v>
          </cell>
          <cell r="L664" t="str">
            <v/>
          </cell>
          <cell r="P664">
            <v>0</v>
          </cell>
          <cell r="U664" t="str">
            <v>000000000013170</v>
          </cell>
        </row>
        <row r="665">
          <cell r="H665" t="str">
            <v/>
          </cell>
          <cell r="K665">
            <v>0</v>
          </cell>
          <cell r="L665" t="str">
            <v/>
          </cell>
          <cell r="P665">
            <v>0</v>
          </cell>
          <cell r="U665" t="str">
            <v>000000000013170</v>
          </cell>
        </row>
        <row r="666">
          <cell r="C666">
            <v>200</v>
          </cell>
          <cell r="H666" t="str">
            <v/>
          </cell>
          <cell r="K666">
            <v>0</v>
          </cell>
          <cell r="L666" t="str">
            <v/>
          </cell>
          <cell r="P666">
            <v>0</v>
          </cell>
          <cell r="U666" t="str">
            <v>000000000013170</v>
          </cell>
        </row>
        <row r="667">
          <cell r="C667">
            <v>2</v>
          </cell>
          <cell r="H667" t="str">
            <v/>
          </cell>
          <cell r="K667">
            <v>0</v>
          </cell>
          <cell r="L667" t="str">
            <v/>
          </cell>
          <cell r="P667">
            <v>0</v>
          </cell>
          <cell r="U667" t="str">
            <v>000000000013170</v>
          </cell>
        </row>
        <row r="668">
          <cell r="C668">
            <v>100</v>
          </cell>
          <cell r="H668" t="str">
            <v/>
          </cell>
          <cell r="K668">
            <v>0</v>
          </cell>
          <cell r="L668" t="str">
            <v/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000000000013170</v>
          </cell>
        </row>
        <row r="669">
          <cell r="C669" t="str">
            <v>LED-A888</v>
          </cell>
          <cell r="H669" t="str">
            <v/>
          </cell>
          <cell r="K669">
            <v>0</v>
          </cell>
          <cell r="L669" t="str">
            <v/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000000000013170</v>
          </cell>
        </row>
        <row r="670">
          <cell r="H670" t="str">
            <v/>
          </cell>
          <cell r="K670">
            <v>0</v>
          </cell>
          <cell r="L670" t="str">
            <v/>
          </cell>
          <cell r="M670" t="str">
            <v>作業者</v>
          </cell>
          <cell r="U670" t="str">
            <v>000000000013170</v>
          </cell>
        </row>
        <row r="671">
          <cell r="C671">
            <v>0</v>
          </cell>
          <cell r="H671" t="str">
            <v/>
          </cell>
          <cell r="K671">
            <v>0</v>
          </cell>
          <cell r="L671" t="str">
            <v/>
          </cell>
          <cell r="U671" t="str">
            <v>000000000013170</v>
          </cell>
        </row>
        <row r="672">
          <cell r="K672">
            <v>0</v>
          </cell>
          <cell r="L672" t="str">
            <v/>
          </cell>
          <cell r="R672">
            <v>0</v>
          </cell>
          <cell r="U672" t="str">
            <v>000000000013170</v>
          </cell>
        </row>
        <row r="673">
          <cell r="D673" t="str">
            <v>不良補填</v>
          </cell>
          <cell r="F673">
            <v>0</v>
          </cell>
          <cell r="U673" t="str">
            <v>000000000013170</v>
          </cell>
        </row>
        <row r="674">
          <cell r="C674" t="str">
            <v>8FL281304 5010　L=888</v>
          </cell>
          <cell r="J674">
            <v>0</v>
          </cell>
          <cell r="K674">
            <v>0</v>
          </cell>
          <cell r="L674" t="str">
            <v/>
          </cell>
          <cell r="P674">
            <v>0</v>
          </cell>
          <cell r="U674" t="str">
            <v>000000000013400</v>
          </cell>
        </row>
        <row r="675">
          <cell r="H675" t="str">
            <v/>
          </cell>
          <cell r="J675" t="str">
            <v/>
          </cell>
          <cell r="K675">
            <v>0</v>
          </cell>
          <cell r="L675" t="str">
            <v/>
          </cell>
          <cell r="P675">
            <v>0</v>
          </cell>
          <cell r="U675" t="str">
            <v>000000000013400</v>
          </cell>
        </row>
        <row r="676">
          <cell r="H676" t="str">
            <v/>
          </cell>
          <cell r="K676">
            <v>0</v>
          </cell>
          <cell r="L676" t="str">
            <v/>
          </cell>
          <cell r="P676">
            <v>0</v>
          </cell>
          <cell r="U676" t="str">
            <v>000000000013400</v>
          </cell>
        </row>
        <row r="677">
          <cell r="C677">
            <v>100</v>
          </cell>
          <cell r="H677" t="str">
            <v/>
          </cell>
          <cell r="K677">
            <v>0</v>
          </cell>
          <cell r="L677" t="str">
            <v/>
          </cell>
          <cell r="P677">
            <v>0</v>
          </cell>
          <cell r="U677" t="str">
            <v>000000000013400</v>
          </cell>
        </row>
        <row r="678">
          <cell r="C678">
            <v>2</v>
          </cell>
          <cell r="H678" t="str">
            <v/>
          </cell>
          <cell r="K678">
            <v>0</v>
          </cell>
          <cell r="L678" t="str">
            <v/>
          </cell>
          <cell r="P678">
            <v>0</v>
          </cell>
          <cell r="U678" t="str">
            <v>000000000013400</v>
          </cell>
        </row>
        <row r="679">
          <cell r="C679">
            <v>100</v>
          </cell>
          <cell r="H679" t="str">
            <v/>
          </cell>
          <cell r="K679">
            <v>0</v>
          </cell>
          <cell r="L679" t="str">
            <v/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000000000013400</v>
          </cell>
        </row>
        <row r="680">
          <cell r="C680" t="str">
            <v>LED-A888</v>
          </cell>
          <cell r="H680" t="str">
            <v/>
          </cell>
          <cell r="K680">
            <v>0</v>
          </cell>
          <cell r="L680" t="str">
            <v/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000000000013400</v>
          </cell>
        </row>
        <row r="681">
          <cell r="H681" t="str">
            <v/>
          </cell>
          <cell r="K681">
            <v>0</v>
          </cell>
          <cell r="L681" t="str">
            <v/>
          </cell>
          <cell r="M681" t="str">
            <v>作業者</v>
          </cell>
          <cell r="U681" t="str">
            <v>000000000013400</v>
          </cell>
        </row>
        <row r="682">
          <cell r="C682">
            <v>0</v>
          </cell>
          <cell r="H682" t="str">
            <v/>
          </cell>
          <cell r="K682">
            <v>0</v>
          </cell>
          <cell r="L682" t="str">
            <v/>
          </cell>
          <cell r="U682" t="str">
            <v>000000000013400</v>
          </cell>
        </row>
        <row r="683">
          <cell r="K683">
            <v>0</v>
          </cell>
          <cell r="L683" t="str">
            <v/>
          </cell>
          <cell r="R683">
            <v>0</v>
          </cell>
          <cell r="U683" t="str">
            <v>000000000013400</v>
          </cell>
        </row>
        <row r="684">
          <cell r="D684" t="str">
            <v>不良補填</v>
          </cell>
          <cell r="F684">
            <v>0</v>
          </cell>
          <cell r="U684" t="str">
            <v>000000000013400</v>
          </cell>
        </row>
        <row r="685">
          <cell r="C685" t="str">
            <v>8FL281304 8310　L=748</v>
          </cell>
          <cell r="J685">
            <v>0</v>
          </cell>
          <cell r="K685">
            <v>0</v>
          </cell>
          <cell r="L685" t="str">
            <v/>
          </cell>
          <cell r="P685">
            <v>0</v>
          </cell>
          <cell r="U685" t="str">
            <v>000000000013163</v>
          </cell>
        </row>
        <row r="686">
          <cell r="H686" t="str">
            <v/>
          </cell>
          <cell r="J686" t="str">
            <v/>
          </cell>
          <cell r="K686">
            <v>0</v>
          </cell>
          <cell r="L686" t="str">
            <v/>
          </cell>
          <cell r="P686">
            <v>0</v>
          </cell>
          <cell r="U686" t="str">
            <v>000000000013163</v>
          </cell>
        </row>
        <row r="687">
          <cell r="H687" t="str">
            <v/>
          </cell>
          <cell r="K687">
            <v>0</v>
          </cell>
          <cell r="L687" t="str">
            <v/>
          </cell>
          <cell r="P687">
            <v>0</v>
          </cell>
          <cell r="U687" t="str">
            <v>000000000013163</v>
          </cell>
        </row>
        <row r="688">
          <cell r="C688">
            <v>400</v>
          </cell>
          <cell r="H688" t="str">
            <v/>
          </cell>
          <cell r="K688">
            <v>0</v>
          </cell>
          <cell r="L688" t="str">
            <v/>
          </cell>
          <cell r="P688">
            <v>0</v>
          </cell>
          <cell r="U688" t="str">
            <v>000000000013163</v>
          </cell>
        </row>
        <row r="689">
          <cell r="C689">
            <v>2</v>
          </cell>
          <cell r="H689" t="str">
            <v/>
          </cell>
          <cell r="K689">
            <v>0</v>
          </cell>
          <cell r="L689" t="str">
            <v/>
          </cell>
          <cell r="P689">
            <v>0</v>
          </cell>
          <cell r="U689" t="str">
            <v>000000000013163</v>
          </cell>
        </row>
        <row r="690">
          <cell r="C690">
            <v>100</v>
          </cell>
          <cell r="H690" t="str">
            <v/>
          </cell>
          <cell r="K690">
            <v>0</v>
          </cell>
          <cell r="L690" t="str">
            <v/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000000000013163</v>
          </cell>
        </row>
        <row r="691">
          <cell r="C691" t="str">
            <v>LED-A888</v>
          </cell>
          <cell r="H691" t="str">
            <v/>
          </cell>
          <cell r="K691">
            <v>0</v>
          </cell>
          <cell r="L691" t="str">
            <v/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000000000013163</v>
          </cell>
        </row>
        <row r="692">
          <cell r="H692" t="str">
            <v/>
          </cell>
          <cell r="K692">
            <v>0</v>
          </cell>
          <cell r="L692" t="str">
            <v/>
          </cell>
          <cell r="M692" t="str">
            <v>作業者</v>
          </cell>
          <cell r="U692" t="str">
            <v>000000000013163</v>
          </cell>
        </row>
        <row r="693">
          <cell r="C693">
            <v>0</v>
          </cell>
          <cell r="H693" t="str">
            <v/>
          </cell>
          <cell r="K693">
            <v>0</v>
          </cell>
          <cell r="L693" t="str">
            <v/>
          </cell>
          <cell r="U693" t="str">
            <v>000000000013163</v>
          </cell>
        </row>
        <row r="694">
          <cell r="K694">
            <v>0</v>
          </cell>
          <cell r="L694" t="str">
            <v/>
          </cell>
          <cell r="R694">
            <v>0</v>
          </cell>
          <cell r="U694" t="str">
            <v>000000000013163</v>
          </cell>
        </row>
        <row r="695">
          <cell r="D695" t="str">
            <v>不良補填</v>
          </cell>
          <cell r="F695">
            <v>0</v>
          </cell>
          <cell r="U695" t="str">
            <v>000000000013163</v>
          </cell>
        </row>
        <row r="696">
          <cell r="C696" t="str">
            <v>灯具カバーPC IN 2110　L=1815</v>
          </cell>
          <cell r="J696">
            <v>0</v>
          </cell>
          <cell r="K696">
            <v>0</v>
          </cell>
          <cell r="L696" t="str">
            <v/>
          </cell>
          <cell r="P696">
            <v>0</v>
          </cell>
          <cell r="U696" t="str">
            <v>000000000013398</v>
          </cell>
        </row>
        <row r="697">
          <cell r="H697" t="str">
            <v/>
          </cell>
          <cell r="J697" t="str">
            <v/>
          </cell>
          <cell r="K697">
            <v>0</v>
          </cell>
          <cell r="L697" t="str">
            <v/>
          </cell>
          <cell r="P697">
            <v>0</v>
          </cell>
          <cell r="U697" t="str">
            <v>000000000013398</v>
          </cell>
        </row>
        <row r="698">
          <cell r="H698" t="str">
            <v/>
          </cell>
          <cell r="K698">
            <v>0</v>
          </cell>
          <cell r="L698" t="str">
            <v/>
          </cell>
          <cell r="P698">
            <v>0</v>
          </cell>
          <cell r="U698" t="str">
            <v>000000000013398</v>
          </cell>
        </row>
        <row r="699">
          <cell r="C699">
            <v>192</v>
          </cell>
          <cell r="H699" t="str">
            <v/>
          </cell>
          <cell r="K699">
            <v>0</v>
          </cell>
          <cell r="L699" t="str">
            <v/>
          </cell>
          <cell r="P699">
            <v>0</v>
          </cell>
          <cell r="U699" t="str">
            <v>000000000013398</v>
          </cell>
        </row>
        <row r="700">
          <cell r="C700">
            <v>1</v>
          </cell>
          <cell r="H700" t="str">
            <v/>
          </cell>
          <cell r="K700">
            <v>0</v>
          </cell>
          <cell r="L700" t="str">
            <v/>
          </cell>
          <cell r="P700">
            <v>0</v>
          </cell>
          <cell r="U700" t="str">
            <v>000000000013398</v>
          </cell>
        </row>
        <row r="701">
          <cell r="C701">
            <v>16</v>
          </cell>
          <cell r="H701" t="str">
            <v/>
          </cell>
          <cell r="K701">
            <v>0</v>
          </cell>
          <cell r="L701" t="str">
            <v/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000000000013398</v>
          </cell>
        </row>
        <row r="702">
          <cell r="C702" t="str">
            <v>灯具-2　L＝1996</v>
          </cell>
          <cell r="H702" t="str">
            <v/>
          </cell>
          <cell r="K702">
            <v>0</v>
          </cell>
          <cell r="L702" t="str">
            <v/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000000000013398</v>
          </cell>
        </row>
        <row r="703">
          <cell r="H703" t="str">
            <v/>
          </cell>
          <cell r="K703">
            <v>0</v>
          </cell>
          <cell r="L703" t="str">
            <v/>
          </cell>
          <cell r="M703" t="str">
            <v>作業者</v>
          </cell>
          <cell r="U703" t="str">
            <v>000000000013398</v>
          </cell>
        </row>
        <row r="704">
          <cell r="C704">
            <v>0</v>
          </cell>
          <cell r="H704" t="str">
            <v/>
          </cell>
          <cell r="K704">
            <v>0</v>
          </cell>
          <cell r="L704" t="str">
            <v/>
          </cell>
          <cell r="U704" t="str">
            <v>000000000013398</v>
          </cell>
        </row>
        <row r="705">
          <cell r="K705">
            <v>0</v>
          </cell>
          <cell r="L705" t="str">
            <v/>
          </cell>
          <cell r="R705">
            <v>0</v>
          </cell>
          <cell r="U705" t="str">
            <v>000000000013398</v>
          </cell>
        </row>
        <row r="706">
          <cell r="D706" t="str">
            <v>不良補填</v>
          </cell>
          <cell r="F706" t="str">
            <v/>
          </cell>
          <cell r="U706" t="str">
            <v>000000000013398</v>
          </cell>
        </row>
        <row r="707">
          <cell r="C707" t="str">
            <v>灯具カバーPC IN 2070　L=1966</v>
          </cell>
          <cell r="J707">
            <v>0</v>
          </cell>
          <cell r="K707">
            <v>0</v>
          </cell>
          <cell r="L707" t="str">
            <v/>
          </cell>
          <cell r="P707">
            <v>0</v>
          </cell>
          <cell r="U707" t="str">
            <v>000000000012952</v>
          </cell>
        </row>
        <row r="708">
          <cell r="H708" t="str">
            <v/>
          </cell>
          <cell r="J708" t="str">
            <v/>
          </cell>
          <cell r="K708">
            <v>0</v>
          </cell>
          <cell r="L708" t="str">
            <v/>
          </cell>
          <cell r="P708">
            <v>0</v>
          </cell>
          <cell r="U708" t="str">
            <v>000000000012952</v>
          </cell>
        </row>
        <row r="709">
          <cell r="H709" t="str">
            <v/>
          </cell>
          <cell r="K709">
            <v>0</v>
          </cell>
          <cell r="L709" t="str">
            <v/>
          </cell>
          <cell r="P709">
            <v>0</v>
          </cell>
          <cell r="U709" t="str">
            <v>000000000012952</v>
          </cell>
        </row>
        <row r="710">
          <cell r="C710">
            <v>192</v>
          </cell>
          <cell r="H710" t="str">
            <v/>
          </cell>
          <cell r="K710">
            <v>0</v>
          </cell>
          <cell r="L710" t="str">
            <v/>
          </cell>
          <cell r="P710">
            <v>0</v>
          </cell>
          <cell r="U710" t="str">
            <v>000000000012952</v>
          </cell>
        </row>
        <row r="711">
          <cell r="C711">
            <v>1</v>
          </cell>
          <cell r="H711" t="str">
            <v/>
          </cell>
          <cell r="K711">
            <v>0</v>
          </cell>
          <cell r="L711" t="str">
            <v/>
          </cell>
          <cell r="P711">
            <v>0</v>
          </cell>
          <cell r="U711" t="str">
            <v>000000000012952</v>
          </cell>
        </row>
        <row r="712">
          <cell r="C712">
            <v>16</v>
          </cell>
          <cell r="H712" t="str">
            <v/>
          </cell>
          <cell r="K712">
            <v>0</v>
          </cell>
          <cell r="L712" t="str">
            <v/>
          </cell>
          <cell r="M712" t="str">
            <v>合計</v>
          </cell>
          <cell r="N712">
            <v>0</v>
          </cell>
          <cell r="P712">
            <v>0</v>
          </cell>
          <cell r="U712" t="str">
            <v>000000000012952</v>
          </cell>
        </row>
        <row r="713">
          <cell r="C713" t="str">
            <v>灯具-2　L＝1996</v>
          </cell>
          <cell r="H713" t="str">
            <v/>
          </cell>
          <cell r="K713">
            <v>0</v>
          </cell>
          <cell r="L713" t="str">
            <v/>
          </cell>
          <cell r="M713" t="str">
            <v>入数</v>
          </cell>
          <cell r="N713">
            <v>0</v>
          </cell>
          <cell r="P713">
            <v>0</v>
          </cell>
          <cell r="U713" t="str">
            <v>000000000012952</v>
          </cell>
        </row>
        <row r="714">
          <cell r="H714" t="str">
            <v/>
          </cell>
          <cell r="K714">
            <v>0</v>
          </cell>
          <cell r="L714" t="str">
            <v/>
          </cell>
          <cell r="M714" t="str">
            <v>作業者</v>
          </cell>
          <cell r="U714" t="str">
            <v>000000000012952</v>
          </cell>
        </row>
        <row r="715">
          <cell r="C715">
            <v>0</v>
          </cell>
          <cell r="H715" t="str">
            <v/>
          </cell>
          <cell r="K715">
            <v>0</v>
          </cell>
          <cell r="L715" t="str">
            <v/>
          </cell>
          <cell r="U715" t="str">
            <v>000000000012952</v>
          </cell>
        </row>
        <row r="716">
          <cell r="K716">
            <v>0</v>
          </cell>
          <cell r="L716" t="str">
            <v/>
          </cell>
          <cell r="R716">
            <v>0</v>
          </cell>
          <cell r="U716" t="str">
            <v>000000000012952</v>
          </cell>
        </row>
        <row r="717">
          <cell r="D717" t="str">
            <v>不良補填</v>
          </cell>
          <cell r="F717" t="str">
            <v/>
          </cell>
          <cell r="U717" t="str">
            <v>000000000012952</v>
          </cell>
        </row>
        <row r="718">
          <cell r="C718" t="str">
            <v>灯具カバーPC IN 2060　L=1258.5</v>
          </cell>
          <cell r="J718">
            <v>0</v>
          </cell>
          <cell r="K718">
            <v>0</v>
          </cell>
          <cell r="L718" t="str">
            <v/>
          </cell>
          <cell r="P718">
            <v>0</v>
          </cell>
          <cell r="U718" t="str">
            <v>000000000012987</v>
          </cell>
        </row>
        <row r="719">
          <cell r="H719" t="str">
            <v/>
          </cell>
          <cell r="J719" t="str">
            <v/>
          </cell>
          <cell r="K719">
            <v>0</v>
          </cell>
          <cell r="L719" t="str">
            <v/>
          </cell>
          <cell r="P719">
            <v>0</v>
          </cell>
          <cell r="U719" t="str">
            <v>000000000012987</v>
          </cell>
        </row>
        <row r="720">
          <cell r="H720" t="str">
            <v/>
          </cell>
          <cell r="K720">
            <v>0</v>
          </cell>
          <cell r="L720" t="str">
            <v/>
          </cell>
          <cell r="P720">
            <v>0</v>
          </cell>
          <cell r="U720" t="str">
            <v>000000000012987</v>
          </cell>
        </row>
        <row r="721">
          <cell r="C721">
            <v>96</v>
          </cell>
          <cell r="H721" t="str">
            <v/>
          </cell>
          <cell r="K721">
            <v>0</v>
          </cell>
          <cell r="L721" t="str">
            <v/>
          </cell>
          <cell r="P721">
            <v>0</v>
          </cell>
          <cell r="U721" t="str">
            <v>000000000012987</v>
          </cell>
        </row>
        <row r="722">
          <cell r="C722">
            <v>1</v>
          </cell>
          <cell r="H722" t="str">
            <v/>
          </cell>
          <cell r="K722">
            <v>0</v>
          </cell>
          <cell r="L722" t="str">
            <v/>
          </cell>
          <cell r="P722">
            <v>0</v>
          </cell>
          <cell r="U722" t="str">
            <v>000000000012987</v>
          </cell>
        </row>
        <row r="723">
          <cell r="C723">
            <v>16</v>
          </cell>
          <cell r="H723" t="str">
            <v/>
          </cell>
          <cell r="K723">
            <v>0</v>
          </cell>
          <cell r="L723" t="str">
            <v/>
          </cell>
          <cell r="M723" t="str">
            <v>合計</v>
          </cell>
          <cell r="N723">
            <v>0</v>
          </cell>
          <cell r="P723">
            <v>0</v>
          </cell>
          <cell r="U723" t="str">
            <v>000000000012987</v>
          </cell>
        </row>
        <row r="724">
          <cell r="C724" t="str">
            <v>灯具-1　L=1370</v>
          </cell>
          <cell r="H724" t="str">
            <v/>
          </cell>
          <cell r="K724">
            <v>0</v>
          </cell>
          <cell r="L724" t="str">
            <v/>
          </cell>
          <cell r="M724" t="str">
            <v>入数</v>
          </cell>
          <cell r="N724">
            <v>0</v>
          </cell>
          <cell r="P724">
            <v>0</v>
          </cell>
          <cell r="U724" t="str">
            <v>000000000012987</v>
          </cell>
        </row>
        <row r="725">
          <cell r="H725" t="str">
            <v/>
          </cell>
          <cell r="K725">
            <v>0</v>
          </cell>
          <cell r="L725" t="str">
            <v/>
          </cell>
          <cell r="M725" t="str">
            <v>作業者</v>
          </cell>
          <cell r="U725" t="str">
            <v>000000000012987</v>
          </cell>
        </row>
        <row r="726">
          <cell r="C726">
            <v>0</v>
          </cell>
          <cell r="H726" t="str">
            <v/>
          </cell>
          <cell r="K726">
            <v>0</v>
          </cell>
          <cell r="L726" t="str">
            <v/>
          </cell>
          <cell r="U726" t="str">
            <v>000000000012987</v>
          </cell>
        </row>
        <row r="727">
          <cell r="K727">
            <v>0</v>
          </cell>
          <cell r="L727" t="str">
            <v/>
          </cell>
          <cell r="R727">
            <v>0</v>
          </cell>
          <cell r="U727" t="str">
            <v>000000000012987</v>
          </cell>
        </row>
        <row r="728">
          <cell r="D728" t="str">
            <v>不良補填</v>
          </cell>
          <cell r="F728" t="str">
            <v/>
          </cell>
          <cell r="U728" t="str">
            <v>000000000012987</v>
          </cell>
        </row>
        <row r="729">
          <cell r="C729" t="str">
            <v>灯具カバーPC IN 2130　L=908</v>
          </cell>
          <cell r="J729">
            <v>0</v>
          </cell>
          <cell r="K729">
            <v>0</v>
          </cell>
          <cell r="L729" t="str">
            <v/>
          </cell>
          <cell r="P729">
            <v>0</v>
          </cell>
          <cell r="U729" t="str">
            <v>000000000012944</v>
          </cell>
        </row>
        <row r="730">
          <cell r="H730" t="str">
            <v/>
          </cell>
          <cell r="J730" t="str">
            <v/>
          </cell>
          <cell r="K730">
            <v>0</v>
          </cell>
          <cell r="L730" t="str">
            <v/>
          </cell>
          <cell r="P730">
            <v>0</v>
          </cell>
          <cell r="U730" t="str">
            <v>000000000012944</v>
          </cell>
        </row>
        <row r="731">
          <cell r="H731" t="str">
            <v/>
          </cell>
          <cell r="K731">
            <v>0</v>
          </cell>
          <cell r="L731" t="str">
            <v/>
          </cell>
          <cell r="P731">
            <v>0</v>
          </cell>
          <cell r="U731" t="str">
            <v>000000000012944</v>
          </cell>
        </row>
        <row r="732">
          <cell r="C732">
            <v>192</v>
          </cell>
          <cell r="H732" t="str">
            <v/>
          </cell>
          <cell r="K732">
            <v>0</v>
          </cell>
          <cell r="L732" t="str">
            <v/>
          </cell>
          <cell r="P732">
            <v>0</v>
          </cell>
          <cell r="U732" t="str">
            <v>000000000012944</v>
          </cell>
        </row>
        <row r="733">
          <cell r="C733">
            <v>1</v>
          </cell>
          <cell r="H733" t="str">
            <v/>
          </cell>
          <cell r="K733">
            <v>0</v>
          </cell>
          <cell r="L733" t="str">
            <v/>
          </cell>
          <cell r="P733">
            <v>0</v>
          </cell>
          <cell r="U733" t="str">
            <v>000000000012944</v>
          </cell>
        </row>
        <row r="734">
          <cell r="C734">
            <v>16</v>
          </cell>
          <cell r="H734" t="str">
            <v/>
          </cell>
          <cell r="K734">
            <v>0</v>
          </cell>
          <cell r="L734" t="str">
            <v/>
          </cell>
          <cell r="M734" t="str">
            <v>合計</v>
          </cell>
          <cell r="N734">
            <v>0</v>
          </cell>
          <cell r="P734">
            <v>0</v>
          </cell>
          <cell r="U734" t="str">
            <v>000000000012944</v>
          </cell>
        </row>
        <row r="735">
          <cell r="C735" t="str">
            <v>灯具-3　L=970</v>
          </cell>
          <cell r="H735" t="str">
            <v/>
          </cell>
          <cell r="K735">
            <v>0</v>
          </cell>
          <cell r="L735" t="str">
            <v/>
          </cell>
          <cell r="M735" t="str">
            <v>入数</v>
          </cell>
          <cell r="N735">
            <v>0</v>
          </cell>
          <cell r="P735">
            <v>0</v>
          </cell>
          <cell r="U735" t="str">
            <v>000000000012944</v>
          </cell>
        </row>
        <row r="736">
          <cell r="H736" t="str">
            <v/>
          </cell>
          <cell r="K736">
            <v>0</v>
          </cell>
          <cell r="L736" t="str">
            <v/>
          </cell>
          <cell r="M736" t="str">
            <v>作業者</v>
          </cell>
          <cell r="U736" t="str">
            <v>000000000012944</v>
          </cell>
        </row>
        <row r="737">
          <cell r="C737">
            <v>0</v>
          </cell>
          <cell r="H737" t="str">
            <v/>
          </cell>
          <cell r="K737">
            <v>0</v>
          </cell>
          <cell r="L737" t="str">
            <v/>
          </cell>
          <cell r="U737" t="str">
            <v>000000000012944</v>
          </cell>
        </row>
        <row r="738">
          <cell r="K738">
            <v>0</v>
          </cell>
          <cell r="L738" t="str">
            <v/>
          </cell>
          <cell r="R738">
            <v>0</v>
          </cell>
          <cell r="U738" t="str">
            <v>000000000012944</v>
          </cell>
        </row>
        <row r="739">
          <cell r="D739" t="str">
            <v>不良補填</v>
          </cell>
          <cell r="F739" t="str">
            <v/>
          </cell>
          <cell r="U739" t="str">
            <v>000000000012944</v>
          </cell>
        </row>
        <row r="740">
          <cell r="C740" t="str">
            <v>灯具カバーPC IN 2090　L=840</v>
          </cell>
          <cell r="J740">
            <v>0</v>
          </cell>
          <cell r="K740">
            <v>0</v>
          </cell>
          <cell r="L740" t="str">
            <v/>
          </cell>
          <cell r="P740">
            <v>0</v>
          </cell>
          <cell r="U740" t="str">
            <v>000000000012942</v>
          </cell>
        </row>
        <row r="741">
          <cell r="H741" t="str">
            <v/>
          </cell>
          <cell r="J741" t="str">
            <v/>
          </cell>
          <cell r="K741">
            <v>0</v>
          </cell>
          <cell r="L741" t="str">
            <v/>
          </cell>
          <cell r="P741">
            <v>0</v>
          </cell>
          <cell r="U741" t="str">
            <v>000000000012942</v>
          </cell>
        </row>
        <row r="742">
          <cell r="H742" t="str">
            <v/>
          </cell>
          <cell r="K742">
            <v>0</v>
          </cell>
          <cell r="L742" t="str">
            <v/>
          </cell>
          <cell r="P742">
            <v>0</v>
          </cell>
          <cell r="U742" t="str">
            <v>000000000012942</v>
          </cell>
        </row>
        <row r="743">
          <cell r="C743">
            <v>192</v>
          </cell>
          <cell r="H743" t="str">
            <v/>
          </cell>
          <cell r="K743">
            <v>0</v>
          </cell>
          <cell r="L743" t="str">
            <v/>
          </cell>
          <cell r="P743">
            <v>0</v>
          </cell>
          <cell r="U743" t="str">
            <v>000000000012942</v>
          </cell>
        </row>
        <row r="744">
          <cell r="C744">
            <v>1</v>
          </cell>
          <cell r="H744" t="str">
            <v/>
          </cell>
          <cell r="K744">
            <v>0</v>
          </cell>
          <cell r="L744" t="str">
            <v/>
          </cell>
          <cell r="P744">
            <v>0</v>
          </cell>
          <cell r="U744" t="str">
            <v>000000000012942</v>
          </cell>
        </row>
        <row r="745">
          <cell r="C745">
            <v>16</v>
          </cell>
          <cell r="H745" t="str">
            <v/>
          </cell>
          <cell r="K745">
            <v>0</v>
          </cell>
          <cell r="L745" t="str">
            <v/>
          </cell>
          <cell r="M745" t="str">
            <v>合計</v>
          </cell>
          <cell r="N745">
            <v>0</v>
          </cell>
          <cell r="P745">
            <v>0</v>
          </cell>
          <cell r="U745" t="str">
            <v>000000000012942</v>
          </cell>
        </row>
        <row r="746">
          <cell r="C746" t="str">
            <v>灯具-3　L=970</v>
          </cell>
          <cell r="H746" t="str">
            <v/>
          </cell>
          <cell r="K746">
            <v>0</v>
          </cell>
          <cell r="L746" t="str">
            <v/>
          </cell>
          <cell r="M746" t="str">
            <v>入数</v>
          </cell>
          <cell r="N746">
            <v>0</v>
          </cell>
          <cell r="P746">
            <v>0</v>
          </cell>
          <cell r="U746" t="str">
            <v>000000000012942</v>
          </cell>
        </row>
        <row r="747">
          <cell r="H747" t="str">
            <v/>
          </cell>
          <cell r="K747">
            <v>0</v>
          </cell>
          <cell r="L747" t="str">
            <v/>
          </cell>
          <cell r="M747" t="str">
            <v>作業者</v>
          </cell>
          <cell r="U747" t="str">
            <v>000000000012942</v>
          </cell>
        </row>
        <row r="748">
          <cell r="C748">
            <v>0</v>
          </cell>
          <cell r="H748" t="str">
            <v/>
          </cell>
          <cell r="K748">
            <v>0</v>
          </cell>
          <cell r="L748" t="str">
            <v/>
          </cell>
          <cell r="U748" t="str">
            <v>000000000012942</v>
          </cell>
        </row>
        <row r="749">
          <cell r="K749">
            <v>0</v>
          </cell>
          <cell r="L749" t="str">
            <v/>
          </cell>
          <cell r="R749">
            <v>0</v>
          </cell>
          <cell r="U749" t="str">
            <v>000000000012942</v>
          </cell>
        </row>
        <row r="750">
          <cell r="D750" t="str">
            <v>不良補填</v>
          </cell>
          <cell r="F750" t="str">
            <v/>
          </cell>
          <cell r="U750" t="str">
            <v>000000000012942</v>
          </cell>
        </row>
        <row r="751">
          <cell r="C751" t="str">
            <v>灯具カバーPC IN 2110　L=1815</v>
          </cell>
          <cell r="J751">
            <v>0</v>
          </cell>
          <cell r="K751">
            <v>0</v>
          </cell>
          <cell r="L751" t="str">
            <v/>
          </cell>
          <cell r="P751">
            <v>0</v>
          </cell>
          <cell r="U751" t="str">
            <v>000000000012948</v>
          </cell>
        </row>
        <row r="752">
          <cell r="H752" t="str">
            <v/>
          </cell>
          <cell r="J752" t="str">
            <v/>
          </cell>
          <cell r="K752">
            <v>0</v>
          </cell>
          <cell r="L752" t="str">
            <v/>
          </cell>
          <cell r="P752">
            <v>0</v>
          </cell>
          <cell r="U752" t="str">
            <v>000000000012948</v>
          </cell>
        </row>
        <row r="753">
          <cell r="H753" t="str">
            <v/>
          </cell>
          <cell r="K753">
            <v>0</v>
          </cell>
          <cell r="L753" t="str">
            <v/>
          </cell>
          <cell r="P753">
            <v>0</v>
          </cell>
          <cell r="U753" t="str">
            <v>000000000012948</v>
          </cell>
        </row>
        <row r="754">
          <cell r="C754">
            <v>192</v>
          </cell>
          <cell r="H754" t="str">
            <v/>
          </cell>
          <cell r="K754">
            <v>0</v>
          </cell>
          <cell r="L754" t="str">
            <v/>
          </cell>
          <cell r="P754">
            <v>0</v>
          </cell>
          <cell r="U754" t="str">
            <v>000000000012948</v>
          </cell>
        </row>
        <row r="755">
          <cell r="C755">
            <v>1</v>
          </cell>
          <cell r="H755" t="str">
            <v/>
          </cell>
          <cell r="K755">
            <v>0</v>
          </cell>
          <cell r="L755" t="str">
            <v/>
          </cell>
          <cell r="P755">
            <v>0</v>
          </cell>
          <cell r="U755" t="str">
            <v>000000000012948</v>
          </cell>
        </row>
        <row r="756">
          <cell r="C756">
            <v>16</v>
          </cell>
          <cell r="H756" t="str">
            <v/>
          </cell>
          <cell r="K756">
            <v>0</v>
          </cell>
          <cell r="L756" t="str">
            <v/>
          </cell>
          <cell r="M756" t="str">
            <v>合計</v>
          </cell>
          <cell r="N756">
            <v>0</v>
          </cell>
          <cell r="P756">
            <v>0</v>
          </cell>
          <cell r="U756" t="str">
            <v>000000000012948</v>
          </cell>
        </row>
        <row r="757">
          <cell r="C757" t="str">
            <v>灯具-2　L＝1996</v>
          </cell>
          <cell r="H757" t="str">
            <v/>
          </cell>
          <cell r="K757">
            <v>0</v>
          </cell>
          <cell r="L757" t="str">
            <v/>
          </cell>
          <cell r="M757" t="str">
            <v>入数</v>
          </cell>
          <cell r="N757">
            <v>0</v>
          </cell>
          <cell r="P757">
            <v>0</v>
          </cell>
          <cell r="U757" t="str">
            <v>000000000012948</v>
          </cell>
        </row>
        <row r="758">
          <cell r="H758" t="str">
            <v/>
          </cell>
          <cell r="K758">
            <v>0</v>
          </cell>
          <cell r="L758" t="str">
            <v/>
          </cell>
          <cell r="M758" t="str">
            <v>作業者</v>
          </cell>
          <cell r="U758" t="str">
            <v>000000000012948</v>
          </cell>
        </row>
        <row r="759">
          <cell r="C759">
            <v>0</v>
          </cell>
          <cell r="H759" t="str">
            <v/>
          </cell>
          <cell r="K759">
            <v>0</v>
          </cell>
          <cell r="L759" t="str">
            <v/>
          </cell>
          <cell r="U759" t="str">
            <v>000000000012948</v>
          </cell>
        </row>
        <row r="760">
          <cell r="K760">
            <v>0</v>
          </cell>
          <cell r="L760" t="str">
            <v/>
          </cell>
          <cell r="R760">
            <v>0</v>
          </cell>
          <cell r="U760" t="str">
            <v>000000000012948</v>
          </cell>
        </row>
        <row r="761">
          <cell r="D761" t="str">
            <v>不良補填</v>
          </cell>
          <cell r="F761" t="str">
            <v/>
          </cell>
          <cell r="U761" t="str">
            <v>000000000012948</v>
          </cell>
        </row>
        <row r="762">
          <cell r="C762" t="str">
            <v>8FL281304 5010　L=888</v>
          </cell>
          <cell r="J762">
            <v>0</v>
          </cell>
          <cell r="K762">
            <v>0</v>
          </cell>
          <cell r="L762" t="str">
            <v/>
          </cell>
          <cell r="P762">
            <v>0</v>
          </cell>
          <cell r="U762" t="str">
            <v>000000000013173</v>
          </cell>
        </row>
        <row r="763">
          <cell r="H763" t="str">
            <v/>
          </cell>
          <cell r="J763" t="str">
            <v/>
          </cell>
          <cell r="K763">
            <v>0</v>
          </cell>
          <cell r="L763" t="str">
            <v/>
          </cell>
          <cell r="P763">
            <v>0</v>
          </cell>
          <cell r="U763" t="str">
            <v>000000000013173</v>
          </cell>
        </row>
        <row r="764">
          <cell r="H764" t="str">
            <v/>
          </cell>
          <cell r="K764">
            <v>0</v>
          </cell>
          <cell r="L764" t="str">
            <v/>
          </cell>
          <cell r="P764">
            <v>0</v>
          </cell>
          <cell r="U764" t="str">
            <v>000000000013173</v>
          </cell>
        </row>
        <row r="765">
          <cell r="C765">
            <v>2000</v>
          </cell>
          <cell r="H765" t="str">
            <v/>
          </cell>
          <cell r="K765">
            <v>0</v>
          </cell>
          <cell r="L765" t="str">
            <v/>
          </cell>
          <cell r="P765">
            <v>0</v>
          </cell>
          <cell r="U765" t="str">
            <v>000000000013173</v>
          </cell>
        </row>
        <row r="766">
          <cell r="C766">
            <v>2</v>
          </cell>
          <cell r="H766" t="str">
            <v/>
          </cell>
          <cell r="K766">
            <v>0</v>
          </cell>
          <cell r="L766" t="str">
            <v/>
          </cell>
          <cell r="P766">
            <v>0</v>
          </cell>
          <cell r="U766" t="str">
            <v>000000000013173</v>
          </cell>
        </row>
        <row r="767">
          <cell r="C767">
            <v>100</v>
          </cell>
          <cell r="H767" t="str">
            <v/>
          </cell>
          <cell r="K767">
            <v>0</v>
          </cell>
          <cell r="L767" t="str">
            <v/>
          </cell>
          <cell r="M767" t="str">
            <v>合計</v>
          </cell>
          <cell r="N767">
            <v>0</v>
          </cell>
          <cell r="P767">
            <v>0</v>
          </cell>
          <cell r="U767" t="str">
            <v>000000000013173</v>
          </cell>
        </row>
        <row r="768">
          <cell r="C768" t="str">
            <v>LED-A888</v>
          </cell>
          <cell r="H768" t="str">
            <v/>
          </cell>
          <cell r="K768">
            <v>0</v>
          </cell>
          <cell r="L768" t="str">
            <v/>
          </cell>
          <cell r="M768" t="str">
            <v>入数</v>
          </cell>
          <cell r="N768">
            <v>0</v>
          </cell>
          <cell r="P768">
            <v>0</v>
          </cell>
          <cell r="U768" t="str">
            <v>000000000013173</v>
          </cell>
        </row>
        <row r="769">
          <cell r="H769" t="str">
            <v/>
          </cell>
          <cell r="K769">
            <v>0</v>
          </cell>
          <cell r="L769" t="str">
            <v/>
          </cell>
          <cell r="M769" t="str">
            <v>作業者</v>
          </cell>
          <cell r="U769" t="str">
            <v>000000000013173</v>
          </cell>
        </row>
        <row r="770">
          <cell r="C770">
            <v>0</v>
          </cell>
          <cell r="H770" t="str">
            <v/>
          </cell>
          <cell r="K770">
            <v>0</v>
          </cell>
          <cell r="L770" t="str">
            <v/>
          </cell>
          <cell r="U770" t="str">
            <v>000000000013173</v>
          </cell>
        </row>
        <row r="771">
          <cell r="K771">
            <v>0</v>
          </cell>
          <cell r="L771" t="str">
            <v/>
          </cell>
          <cell r="R771">
            <v>0</v>
          </cell>
          <cell r="U771" t="str">
            <v>000000000013173</v>
          </cell>
        </row>
        <row r="772">
          <cell r="D772" t="str">
            <v>不良補填</v>
          </cell>
          <cell r="F772">
            <v>0</v>
          </cell>
          <cell r="U772" t="str">
            <v>000000000013173</v>
          </cell>
        </row>
        <row r="773">
          <cell r="C773" t="str">
            <v>灯具カバーPC IN 2050　L=1183.5</v>
          </cell>
          <cell r="J773">
            <v>0</v>
          </cell>
          <cell r="K773">
            <v>0</v>
          </cell>
          <cell r="L773" t="str">
            <v/>
          </cell>
          <cell r="P773">
            <v>0</v>
          </cell>
          <cell r="U773" t="str">
            <v>000000000012945</v>
          </cell>
        </row>
        <row r="774">
          <cell r="H774" t="str">
            <v/>
          </cell>
          <cell r="J774" t="str">
            <v/>
          </cell>
          <cell r="K774">
            <v>0</v>
          </cell>
          <cell r="L774" t="str">
            <v/>
          </cell>
          <cell r="P774">
            <v>0</v>
          </cell>
          <cell r="U774" t="str">
            <v>000000000012945</v>
          </cell>
        </row>
        <row r="775">
          <cell r="H775" t="str">
            <v/>
          </cell>
          <cell r="K775">
            <v>0</v>
          </cell>
          <cell r="L775" t="str">
            <v/>
          </cell>
          <cell r="P775">
            <v>0</v>
          </cell>
          <cell r="U775" t="str">
            <v>000000000012945</v>
          </cell>
        </row>
        <row r="776">
          <cell r="C776">
            <v>192</v>
          </cell>
          <cell r="H776" t="str">
            <v/>
          </cell>
          <cell r="K776">
            <v>0</v>
          </cell>
          <cell r="L776" t="str">
            <v/>
          </cell>
          <cell r="P776">
            <v>0</v>
          </cell>
          <cell r="U776" t="str">
            <v>000000000012945</v>
          </cell>
        </row>
        <row r="777">
          <cell r="C777">
            <v>1</v>
          </cell>
          <cell r="H777" t="str">
            <v/>
          </cell>
          <cell r="K777">
            <v>0</v>
          </cell>
          <cell r="L777" t="str">
            <v/>
          </cell>
          <cell r="P777">
            <v>0</v>
          </cell>
          <cell r="U777" t="str">
            <v>000000000012945</v>
          </cell>
        </row>
        <row r="778">
          <cell r="C778">
            <v>16</v>
          </cell>
          <cell r="H778" t="str">
            <v/>
          </cell>
          <cell r="K778">
            <v>0</v>
          </cell>
          <cell r="L778" t="str">
            <v/>
          </cell>
          <cell r="M778" t="str">
            <v>合計</v>
          </cell>
          <cell r="N778">
            <v>0</v>
          </cell>
          <cell r="P778">
            <v>0</v>
          </cell>
          <cell r="U778" t="str">
            <v>000000000012945</v>
          </cell>
        </row>
        <row r="779">
          <cell r="C779" t="str">
            <v>灯具-1　L=1370</v>
          </cell>
          <cell r="H779" t="str">
            <v/>
          </cell>
          <cell r="K779">
            <v>0</v>
          </cell>
          <cell r="L779" t="str">
            <v/>
          </cell>
          <cell r="M779" t="str">
            <v>入数</v>
          </cell>
          <cell r="N779">
            <v>0</v>
          </cell>
          <cell r="P779">
            <v>0</v>
          </cell>
          <cell r="U779" t="str">
            <v>000000000012945</v>
          </cell>
        </row>
        <row r="780">
          <cell r="H780" t="str">
            <v/>
          </cell>
          <cell r="K780">
            <v>0</v>
          </cell>
          <cell r="L780" t="str">
            <v/>
          </cell>
          <cell r="M780" t="str">
            <v>作業者</v>
          </cell>
          <cell r="U780" t="str">
            <v>000000000012945</v>
          </cell>
        </row>
        <row r="781">
          <cell r="C781">
            <v>0</v>
          </cell>
          <cell r="H781" t="str">
            <v/>
          </cell>
          <cell r="K781">
            <v>0</v>
          </cell>
          <cell r="L781" t="str">
            <v/>
          </cell>
          <cell r="U781" t="str">
            <v>000000000012945</v>
          </cell>
        </row>
        <row r="782">
          <cell r="K782">
            <v>0</v>
          </cell>
          <cell r="L782" t="str">
            <v/>
          </cell>
          <cell r="R782">
            <v>0</v>
          </cell>
          <cell r="U782" t="str">
            <v>000000000012945</v>
          </cell>
        </row>
        <row r="783">
          <cell r="D783" t="str">
            <v>不良補填</v>
          </cell>
          <cell r="F783" t="str">
            <v/>
          </cell>
          <cell r="U783" t="str">
            <v>000000000012945</v>
          </cell>
        </row>
        <row r="784">
          <cell r="C784" t="str">
            <v>灯具カバーPC IN 2070　L=1966</v>
          </cell>
          <cell r="J784">
            <v>0</v>
          </cell>
          <cell r="K784">
            <v>0</v>
          </cell>
          <cell r="L784" t="str">
            <v/>
          </cell>
          <cell r="P784">
            <v>0</v>
          </cell>
          <cell r="U784" t="str">
            <v>000000000013399</v>
          </cell>
        </row>
        <row r="785">
          <cell r="H785" t="str">
            <v/>
          </cell>
          <cell r="J785" t="str">
            <v/>
          </cell>
          <cell r="K785">
            <v>0</v>
          </cell>
          <cell r="L785" t="str">
            <v/>
          </cell>
          <cell r="P785">
            <v>0</v>
          </cell>
          <cell r="U785" t="str">
            <v>000000000013399</v>
          </cell>
        </row>
        <row r="786">
          <cell r="H786" t="str">
            <v/>
          </cell>
          <cell r="K786">
            <v>0</v>
          </cell>
          <cell r="L786" t="str">
            <v/>
          </cell>
          <cell r="P786">
            <v>0</v>
          </cell>
          <cell r="U786" t="str">
            <v>000000000013399</v>
          </cell>
        </row>
        <row r="787">
          <cell r="C787">
            <v>192</v>
          </cell>
          <cell r="H787" t="str">
            <v/>
          </cell>
          <cell r="K787">
            <v>0</v>
          </cell>
          <cell r="L787" t="str">
            <v/>
          </cell>
          <cell r="P787">
            <v>0</v>
          </cell>
          <cell r="U787" t="str">
            <v>000000000013399</v>
          </cell>
        </row>
        <row r="788">
          <cell r="C788">
            <v>1</v>
          </cell>
          <cell r="H788" t="str">
            <v/>
          </cell>
          <cell r="K788">
            <v>0</v>
          </cell>
          <cell r="L788" t="str">
            <v/>
          </cell>
          <cell r="P788">
            <v>0</v>
          </cell>
          <cell r="U788" t="str">
            <v>000000000013399</v>
          </cell>
        </row>
        <row r="789">
          <cell r="C789">
            <v>16</v>
          </cell>
          <cell r="H789" t="str">
            <v/>
          </cell>
          <cell r="K789">
            <v>0</v>
          </cell>
          <cell r="L789" t="str">
            <v/>
          </cell>
          <cell r="M789" t="str">
            <v>合計</v>
          </cell>
          <cell r="N789">
            <v>0</v>
          </cell>
          <cell r="P789">
            <v>0</v>
          </cell>
          <cell r="U789" t="str">
            <v>000000000013399</v>
          </cell>
        </row>
        <row r="790">
          <cell r="C790" t="str">
            <v>灯具-2　L＝1996</v>
          </cell>
          <cell r="H790" t="str">
            <v/>
          </cell>
          <cell r="K790">
            <v>0</v>
          </cell>
          <cell r="L790" t="str">
            <v/>
          </cell>
          <cell r="M790" t="str">
            <v>入数</v>
          </cell>
          <cell r="N790">
            <v>0</v>
          </cell>
          <cell r="P790">
            <v>0</v>
          </cell>
          <cell r="U790" t="str">
            <v>000000000013399</v>
          </cell>
        </row>
        <row r="791">
          <cell r="H791" t="str">
            <v/>
          </cell>
          <cell r="K791">
            <v>0</v>
          </cell>
          <cell r="L791" t="str">
            <v/>
          </cell>
          <cell r="M791" t="str">
            <v>作業者</v>
          </cell>
          <cell r="U791" t="str">
            <v>000000000013399</v>
          </cell>
        </row>
        <row r="792">
          <cell r="C792">
            <v>0</v>
          </cell>
          <cell r="H792" t="str">
            <v/>
          </cell>
          <cell r="K792">
            <v>0</v>
          </cell>
          <cell r="L792" t="str">
            <v/>
          </cell>
          <cell r="U792" t="str">
            <v>000000000013399</v>
          </cell>
        </row>
        <row r="793">
          <cell r="K793">
            <v>0</v>
          </cell>
          <cell r="L793" t="str">
            <v/>
          </cell>
          <cell r="R793">
            <v>0</v>
          </cell>
          <cell r="U793" t="str">
            <v>000000000013399</v>
          </cell>
        </row>
        <row r="794">
          <cell r="D794" t="str">
            <v>不良補填</v>
          </cell>
          <cell r="F794" t="str">
            <v/>
          </cell>
          <cell r="U794" t="str">
            <v>000000000013399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4"/>
  <sheetViews>
    <sheetView tabSelected="1" topLeftCell="A30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1" t="s">
        <v>0</v>
      </c>
      <c r="C1" s="106"/>
      <c r="D1" s="10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6"/>
      <c r="C2" s="106"/>
      <c r="D2" s="106"/>
      <c r="E2" s="12"/>
      <c r="F2" s="12"/>
      <c r="G2" s="12"/>
      <c r="H2" s="12"/>
      <c r="I2" s="12"/>
      <c r="J2" s="12"/>
    </row>
    <row r="3" spans="1:10" ht="14.25" customHeight="1">
      <c r="A3" s="136" t="s">
        <v>1</v>
      </c>
      <c r="B3" s="136" t="s">
        <v>68</v>
      </c>
      <c r="C3" s="136" t="s">
        <v>2</v>
      </c>
      <c r="D3" s="147">
        <v>547</v>
      </c>
      <c r="E3" s="136" t="s">
        <v>3</v>
      </c>
      <c r="F3" s="152" t="s">
        <v>4</v>
      </c>
      <c r="G3" s="106"/>
      <c r="H3" s="106"/>
      <c r="I3" s="24" t="s">
        <v>5</v>
      </c>
      <c r="J3" s="24" t="s">
        <v>6</v>
      </c>
    </row>
    <row r="4" spans="1:10" ht="14.25" customHeight="1">
      <c r="A4" s="106"/>
      <c r="B4" s="106"/>
      <c r="C4" s="106"/>
      <c r="D4" s="106"/>
      <c r="E4" s="106"/>
      <c r="F4" s="106"/>
      <c r="G4" s="106"/>
      <c r="H4" s="106"/>
      <c r="I4" s="143"/>
      <c r="J4" s="143"/>
    </row>
    <row r="5" spans="1:10" ht="17.45" customHeight="1">
      <c r="A5" s="121" t="s">
        <v>7</v>
      </c>
      <c r="B5" s="121" t="s">
        <v>8</v>
      </c>
      <c r="E5" s="121" t="s">
        <v>9</v>
      </c>
      <c r="F5" s="146" t="s">
        <v>10</v>
      </c>
      <c r="G5" s="106"/>
      <c r="H5" s="106"/>
      <c r="I5" s="144"/>
      <c r="J5" s="144"/>
    </row>
    <row r="6" spans="1:10" ht="17.45" customHeight="1">
      <c r="A6" s="106"/>
      <c r="B6" s="106"/>
      <c r="E6" s="106"/>
      <c r="F6" s="106"/>
      <c r="G6" s="106"/>
      <c r="H6" s="106"/>
      <c r="I6" s="13"/>
      <c r="J6" s="13"/>
    </row>
    <row r="7" spans="1:10" ht="17.45" customHeight="1">
      <c r="A7" s="121" t="s">
        <v>11</v>
      </c>
      <c r="B7" s="121" t="s">
        <v>12</v>
      </c>
      <c r="E7" s="2" t="s">
        <v>13</v>
      </c>
      <c r="F7" s="146" t="s">
        <v>14</v>
      </c>
      <c r="G7" s="106"/>
      <c r="H7" s="21"/>
      <c r="I7" s="13"/>
      <c r="J7" s="13"/>
    </row>
    <row r="8" spans="1:10" ht="17.45" customHeight="1">
      <c r="A8" s="106"/>
      <c r="B8" s="106"/>
      <c r="E8" s="2" t="s">
        <v>15</v>
      </c>
      <c r="F8" s="21" t="s">
        <v>16</v>
      </c>
      <c r="G8" s="21"/>
      <c r="H8" s="21"/>
      <c r="I8" s="14"/>
      <c r="J8" s="14"/>
    </row>
    <row r="9" spans="1:10" ht="17.45" customHeight="1">
      <c r="A9" s="2" t="s">
        <v>17</v>
      </c>
      <c r="B9" s="4">
        <v>46104</v>
      </c>
      <c r="E9" s="2" t="s">
        <v>18</v>
      </c>
      <c r="F9" s="148">
        <v>16</v>
      </c>
      <c r="G9" s="106"/>
      <c r="H9" s="21"/>
    </row>
    <row r="10" spans="1:10" ht="17.45" customHeight="1">
      <c r="A10" s="2" t="s">
        <v>19</v>
      </c>
      <c r="B10" s="4">
        <v>46104</v>
      </c>
      <c r="E10" s="2" t="s">
        <v>20</v>
      </c>
      <c r="F10" s="21">
        <v>25</v>
      </c>
      <c r="G10" s="149" t="s">
        <v>21</v>
      </c>
      <c r="H10" s="111">
        <v>400</v>
      </c>
      <c r="I10" s="112"/>
      <c r="J10" s="113"/>
    </row>
    <row r="11" spans="1:10" ht="17.45" customHeight="1">
      <c r="A11" s="19"/>
      <c r="B11" s="20"/>
      <c r="C11" s="20"/>
      <c r="D11" s="20"/>
      <c r="E11" s="2" t="s">
        <v>22</v>
      </c>
      <c r="F11" s="21" t="s">
        <v>23</v>
      </c>
      <c r="G11" s="114"/>
      <c r="H11" s="114"/>
      <c r="I11" s="115"/>
      <c r="J11" s="116"/>
    </row>
    <row r="12" spans="1:10" ht="13.5" customHeight="1">
      <c r="A12" s="142" t="s">
        <v>24</v>
      </c>
      <c r="B12" s="106"/>
      <c r="C12" s="106"/>
      <c r="D12" s="20"/>
      <c r="F12" s="3"/>
      <c r="G12" s="117" t="s">
        <v>25</v>
      </c>
      <c r="H12" s="153" t="s">
        <v>26</v>
      </c>
      <c r="I12" s="154" t="s">
        <v>27</v>
      </c>
      <c r="J12" s="155"/>
    </row>
    <row r="13" spans="1:10" ht="13.5" customHeight="1">
      <c r="A13" s="106"/>
      <c r="B13" s="106"/>
      <c r="C13" s="106"/>
      <c r="D13" s="20"/>
      <c r="F13" s="3"/>
      <c r="G13" s="118"/>
      <c r="H13" s="118"/>
      <c r="I13" s="115"/>
      <c r="J13" s="116"/>
    </row>
    <row r="14" spans="1:10" ht="13.5" customHeight="1">
      <c r="A14" s="1" t="s">
        <v>28</v>
      </c>
    </row>
    <row r="15" spans="1:10" ht="63" customHeight="1" thickBot="1">
      <c r="A15" s="119"/>
      <c r="B15" s="120"/>
      <c r="C15" s="120"/>
      <c r="D15" s="120"/>
      <c r="E15" s="120"/>
      <c r="F15" s="120"/>
      <c r="G15" s="120"/>
      <c r="H15" s="120"/>
      <c r="I15" s="120"/>
      <c r="J15" s="120"/>
    </row>
    <row r="16" spans="1:10" ht="18.75">
      <c r="A16" s="23" t="s">
        <v>29</v>
      </c>
      <c r="B16" s="16" t="s">
        <v>30</v>
      </c>
      <c r="C16" s="109" t="s">
        <v>31</v>
      </c>
      <c r="D16" s="110"/>
      <c r="E16" s="16" t="s">
        <v>32</v>
      </c>
      <c r="F16" s="109" t="s">
        <v>33</v>
      </c>
      <c r="G16" s="110"/>
      <c r="H16" s="110"/>
      <c r="I16" s="150" t="s">
        <v>34</v>
      </c>
      <c r="J16" s="11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35</v>
      </c>
      <c r="C18" s="107" t="s">
        <v>36</v>
      </c>
      <c r="D18" s="108"/>
      <c r="E18" s="25" t="s">
        <v>37</v>
      </c>
      <c r="F18" s="107" t="s">
        <v>38</v>
      </c>
      <c r="G18" s="108"/>
      <c r="H18" s="108"/>
      <c r="I18" s="139"/>
      <c r="J18" s="108"/>
    </row>
    <row r="19" spans="1:10" s="7" customFormat="1" ht="16.5" customHeight="1">
      <c r="A19" s="22">
        <v>1</v>
      </c>
      <c r="B19" s="26" t="s">
        <v>35</v>
      </c>
      <c r="C19" s="107" t="s">
        <v>36</v>
      </c>
      <c r="D19" s="108"/>
      <c r="E19" s="25" t="s">
        <v>39</v>
      </c>
      <c r="F19" s="107" t="s">
        <v>40</v>
      </c>
      <c r="G19" s="108"/>
      <c r="H19" s="108"/>
      <c r="I19" s="139"/>
      <c r="J19" s="108"/>
    </row>
    <row r="20" spans="1:10" s="7" customFormat="1" ht="16.5" customHeight="1">
      <c r="A20" s="22"/>
      <c r="B20" s="26"/>
      <c r="C20" s="107"/>
      <c r="D20" s="108"/>
      <c r="E20" s="25"/>
      <c r="F20" s="107"/>
      <c r="G20" s="108"/>
      <c r="H20" s="108"/>
      <c r="I20" s="139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39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39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39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40" t="s">
        <v>41</v>
      </c>
      <c r="B25" s="141"/>
      <c r="C25" s="140" t="s">
        <v>42</v>
      </c>
      <c r="D25" s="141"/>
      <c r="E25" s="141"/>
      <c r="F25" s="17" t="s">
        <v>43</v>
      </c>
      <c r="G25" s="140" t="s">
        <v>44</v>
      </c>
      <c r="H25" s="141"/>
      <c r="I25" s="140" t="s">
        <v>45</v>
      </c>
      <c r="J25" s="141"/>
    </row>
    <row r="26" spans="1:10" ht="14.25" customHeight="1">
      <c r="A26" s="8"/>
      <c r="B26" s="18"/>
      <c r="C26" s="145" t="s">
        <v>46</v>
      </c>
      <c r="D26" s="115"/>
      <c r="E26" s="18"/>
      <c r="F26" s="145" t="s">
        <v>28</v>
      </c>
      <c r="G26" s="115"/>
      <c r="H26" s="115"/>
      <c r="I26" s="115"/>
      <c r="J26" s="115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47</v>
      </c>
      <c r="B28" s="138"/>
      <c r="C28" s="107" t="s">
        <v>48</v>
      </c>
      <c r="D28" s="138"/>
      <c r="E28" s="138"/>
      <c r="F28" s="27" t="s">
        <v>49</v>
      </c>
      <c r="G28" s="137">
        <v>400</v>
      </c>
      <c r="H28" s="138"/>
      <c r="I28" s="137">
        <v>25</v>
      </c>
      <c r="J28" s="138"/>
    </row>
    <row r="29" spans="1:10" s="7" customFormat="1" ht="24.95" customHeight="1">
      <c r="A29" s="105" t="s">
        <v>50</v>
      </c>
      <c r="B29" s="108"/>
      <c r="C29" s="107" t="s">
        <v>10</v>
      </c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51</v>
      </c>
      <c r="B30" s="138"/>
      <c r="C30" s="107" t="s">
        <v>52</v>
      </c>
      <c r="D30" s="138"/>
      <c r="E30" s="138"/>
      <c r="F30" s="27" t="s">
        <v>26</v>
      </c>
      <c r="G30" s="137">
        <v>25.2</v>
      </c>
      <c r="H30" s="138"/>
      <c r="I30" s="137">
        <v>1.575</v>
      </c>
      <c r="J30" s="138"/>
    </row>
    <row r="31" spans="1:10" s="7" customFormat="1" ht="24.95" customHeight="1">
      <c r="A31" s="105" t="s">
        <v>53</v>
      </c>
      <c r="B31" s="108"/>
      <c r="C31" s="107"/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 t="s">
        <v>54</v>
      </c>
      <c r="B32" s="138"/>
      <c r="C32" s="107" t="s">
        <v>55</v>
      </c>
      <c r="D32" s="138"/>
      <c r="E32" s="138"/>
      <c r="F32" s="27"/>
      <c r="G32" s="137">
        <v>0.8</v>
      </c>
      <c r="H32" s="138"/>
      <c r="I32" s="137">
        <v>0.05</v>
      </c>
      <c r="J32" s="138"/>
    </row>
    <row r="33" spans="1:14" s="7" customFormat="1" ht="24.95" customHeight="1">
      <c r="A33" s="105" t="s">
        <v>56</v>
      </c>
      <c r="B33" s="108"/>
      <c r="C33" s="107" t="s">
        <v>57</v>
      </c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/>
      <c r="B34" s="138"/>
      <c r="C34" s="107"/>
      <c r="D34" s="138"/>
      <c r="E34" s="138"/>
      <c r="F34" s="27"/>
      <c r="G34" s="137"/>
      <c r="H34" s="138"/>
      <c r="I34" s="137"/>
      <c r="J34" s="138"/>
    </row>
    <row r="35" spans="1:14" s="7" customFormat="1" ht="24.95" customHeight="1">
      <c r="A35" s="105"/>
      <c r="B35" s="108"/>
      <c r="C35" s="107"/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38"/>
      <c r="C36" s="107"/>
      <c r="D36" s="138"/>
      <c r="E36" s="138"/>
      <c r="F36" s="27"/>
      <c r="G36" s="137"/>
      <c r="H36" s="138"/>
      <c r="I36" s="137"/>
      <c r="J36" s="138"/>
    </row>
    <row r="37" spans="1:14" s="7" customFormat="1" ht="24.95" customHeight="1" thickBot="1">
      <c r="A37" s="105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70</v>
      </c>
      <c r="B38" s="29" t="s">
        <v>71</v>
      </c>
      <c r="C38" s="122" t="s">
        <v>72</v>
      </c>
      <c r="D38" s="123"/>
      <c r="E38" s="30" t="s">
        <v>73</v>
      </c>
      <c r="F38" s="31" t="s">
        <v>74</v>
      </c>
      <c r="G38" s="32" t="s">
        <v>75</v>
      </c>
      <c r="H38" s="33" t="s">
        <v>76</v>
      </c>
      <c r="I38" s="124" t="s">
        <v>77</v>
      </c>
      <c r="J38" s="125"/>
    </row>
    <row r="39" spans="1:14" s="7" customFormat="1" ht="18" customHeight="1">
      <c r="A39" s="34" t="s">
        <v>107</v>
      </c>
      <c r="B39" s="35">
        <v>547</v>
      </c>
      <c r="C39" s="126" t="s">
        <v>109</v>
      </c>
      <c r="D39" s="127"/>
      <c r="E39" s="128">
        <v>11</v>
      </c>
      <c r="F39" s="36" t="s">
        <v>120</v>
      </c>
      <c r="G39" s="37">
        <v>46079</v>
      </c>
      <c r="H39" s="38">
        <v>6</v>
      </c>
      <c r="I39" s="41" t="s">
        <v>78</v>
      </c>
      <c r="J39" s="42">
        <v>46112</v>
      </c>
    </row>
    <row r="40" spans="1:14" s="5" customFormat="1" ht="18" customHeight="1">
      <c r="A40" s="46" t="s">
        <v>79</v>
      </c>
      <c r="B40" s="47" t="s">
        <v>80</v>
      </c>
      <c r="C40" s="126"/>
      <c r="D40" s="127"/>
      <c r="E40" s="128"/>
      <c r="F40" s="48" t="s">
        <v>121</v>
      </c>
      <c r="G40" s="37">
        <v>46085</v>
      </c>
      <c r="H40" s="38">
        <v>6</v>
      </c>
      <c r="I40" s="41" t="s">
        <v>81</v>
      </c>
      <c r="J40" s="43">
        <v>352</v>
      </c>
      <c r="K40" s="49"/>
    </row>
    <row r="41" spans="1:14" s="7" customFormat="1" ht="18" customHeight="1">
      <c r="A41" s="50">
        <v>2</v>
      </c>
      <c r="B41" s="51" t="s">
        <v>108</v>
      </c>
      <c r="C41" s="129" t="s">
        <v>82</v>
      </c>
      <c r="D41" s="130" t="s">
        <v>110</v>
      </c>
      <c r="E41" s="130"/>
      <c r="F41" s="131"/>
      <c r="G41" s="37">
        <v>46111</v>
      </c>
      <c r="H41" s="38">
        <v>5</v>
      </c>
      <c r="I41" s="41" t="s">
        <v>83</v>
      </c>
      <c r="J41" s="43">
        <v>13</v>
      </c>
      <c r="K41" s="52"/>
    </row>
    <row r="42" spans="1:14" s="5" customFormat="1" ht="18" customHeight="1">
      <c r="A42" s="53" t="s">
        <v>84</v>
      </c>
      <c r="B42" s="54" t="s">
        <v>85</v>
      </c>
      <c r="C42" s="129"/>
      <c r="D42" s="130" t="s">
        <v>111</v>
      </c>
      <c r="E42" s="130"/>
      <c r="F42" s="131"/>
      <c r="G42" s="37">
        <v>46112</v>
      </c>
      <c r="H42" s="38">
        <v>5</v>
      </c>
      <c r="I42" s="41" t="s">
        <v>86</v>
      </c>
      <c r="J42" s="43">
        <v>41</v>
      </c>
      <c r="K42" s="49"/>
    </row>
    <row r="43" spans="1:14" s="7" customFormat="1" ht="18" customHeight="1" thickBot="1">
      <c r="A43" s="55">
        <v>-2</v>
      </c>
      <c r="B43" s="56">
        <v>1</v>
      </c>
      <c r="C43" s="57" t="s">
        <v>87</v>
      </c>
      <c r="D43" s="132" t="s">
        <v>112</v>
      </c>
      <c r="E43" s="132"/>
      <c r="F43" s="133"/>
      <c r="G43" s="39"/>
      <c r="H43" s="40"/>
      <c r="I43" s="41" t="s">
        <v>88</v>
      </c>
      <c r="J43" s="44">
        <v>41</v>
      </c>
      <c r="K43" s="52"/>
    </row>
    <row r="44" spans="1:14" s="5" customFormat="1" ht="18" customHeight="1" thickBot="1">
      <c r="A44" s="58" t="s">
        <v>89</v>
      </c>
      <c r="B44" s="59" t="str" cm="1">
        <f t="array" ref="B44">IF(SUM(--(ISTEXT(B45:B55)*(B45:B55&lt;&gt;"")))=0,"計測Lot","計測Lot・加工数")</f>
        <v>計測Lot・加工数</v>
      </c>
      <c r="C44" s="60" t="s">
        <v>90</v>
      </c>
      <c r="D44" s="61" t="s">
        <v>91</v>
      </c>
      <c r="E44" s="97" t="s">
        <v>92</v>
      </c>
      <c r="F44" s="98" t="str" cm="1">
        <f t="array" ref="F44">IF(SUM(--(ISTEXT(B45:B55)*(B45:B55&lt;&gt;"")))=0,"記入不要","使用Lot")</f>
        <v>使用Lot</v>
      </c>
      <c r="G44" s="62" t="s">
        <v>93</v>
      </c>
      <c r="H44" s="63" t="s">
        <v>94</v>
      </c>
      <c r="I44" s="64" t="s">
        <v>95</v>
      </c>
      <c r="J44" s="45">
        <v>380</v>
      </c>
      <c r="K44" s="49"/>
    </row>
    <row r="45" spans="1:14" s="7" customFormat="1" ht="18" customHeight="1">
      <c r="A45" s="65">
        <v>46049</v>
      </c>
      <c r="B45" s="69" t="s">
        <v>113</v>
      </c>
      <c r="C45" s="72"/>
      <c r="D45" s="73"/>
      <c r="E45" s="99"/>
      <c r="F45" s="100" t="s">
        <v>114</v>
      </c>
      <c r="G45" s="74">
        <v>13</v>
      </c>
      <c r="H45" s="75">
        <v>13</v>
      </c>
      <c r="I45" s="134" t="s">
        <v>96</v>
      </c>
      <c r="J45" s="135"/>
      <c r="K45" s="83"/>
    </row>
    <row r="46" spans="1:14" s="5" customFormat="1" ht="18" customHeight="1">
      <c r="A46" s="66">
        <v>46079</v>
      </c>
      <c r="B46" s="70" t="s">
        <v>115</v>
      </c>
      <c r="C46" s="76">
        <v>20</v>
      </c>
      <c r="D46" s="77"/>
      <c r="E46" s="101">
        <v>546.71</v>
      </c>
      <c r="F46" s="102" t="s">
        <v>115</v>
      </c>
      <c r="G46" s="76">
        <v>380</v>
      </c>
      <c r="H46" s="78">
        <v>0</v>
      </c>
      <c r="I46" s="84" t="s">
        <v>97</v>
      </c>
      <c r="J46" s="78">
        <v>21</v>
      </c>
      <c r="K46" s="83"/>
    </row>
    <row r="47" spans="1:14" s="89" customFormat="1" ht="18.95" customHeight="1">
      <c r="A47" s="67">
        <v>46085</v>
      </c>
      <c r="B47" s="70" t="s">
        <v>116</v>
      </c>
      <c r="C47" s="76">
        <v>20</v>
      </c>
      <c r="D47" s="77"/>
      <c r="E47" s="101">
        <v>546.86</v>
      </c>
      <c r="F47" s="102"/>
      <c r="G47" s="76">
        <v>0</v>
      </c>
      <c r="H47" s="78"/>
      <c r="I47" s="84" t="s">
        <v>98</v>
      </c>
      <c r="J47" s="78">
        <v>12</v>
      </c>
      <c r="K47" s="87"/>
      <c r="L47" s="88"/>
      <c r="M47" s="88"/>
      <c r="N47" s="88"/>
    </row>
    <row r="48" spans="1:14" s="92" customFormat="1" ht="18.95" customHeight="1">
      <c r="A48" s="67">
        <v>46107</v>
      </c>
      <c r="B48" s="70" t="s">
        <v>115</v>
      </c>
      <c r="C48" s="76">
        <v>20</v>
      </c>
      <c r="D48" s="77"/>
      <c r="E48" s="101">
        <v>546.89</v>
      </c>
      <c r="F48" s="102"/>
      <c r="G48" s="76">
        <v>0</v>
      </c>
      <c r="H48" s="78"/>
      <c r="I48" s="84" t="s">
        <v>99</v>
      </c>
      <c r="J48" s="78"/>
      <c r="K48" s="90"/>
      <c r="L48" s="91"/>
      <c r="M48" s="91"/>
      <c r="N48" s="91"/>
    </row>
    <row r="49" spans="1:14" s="92" customFormat="1" ht="18.95" customHeight="1">
      <c r="A49" s="67">
        <v>46111</v>
      </c>
      <c r="B49" s="70" t="s">
        <v>115</v>
      </c>
      <c r="C49" s="76">
        <v>18</v>
      </c>
      <c r="D49" s="77"/>
      <c r="E49" s="101">
        <v>546.91</v>
      </c>
      <c r="F49" s="102"/>
      <c r="G49" s="76">
        <v>0</v>
      </c>
      <c r="H49" s="78"/>
      <c r="I49" s="84" t="s">
        <v>100</v>
      </c>
      <c r="J49" s="78"/>
      <c r="K49" s="90"/>
      <c r="L49" s="91"/>
      <c r="M49" s="91"/>
      <c r="N49" s="91"/>
    </row>
    <row r="50" spans="1:14" s="92" customFormat="1" ht="18.95" customHeight="1">
      <c r="A50" s="67">
        <v>46112</v>
      </c>
      <c r="B50" s="70" t="s">
        <v>117</v>
      </c>
      <c r="C50" s="76">
        <v>20</v>
      </c>
      <c r="D50" s="77"/>
      <c r="E50" s="101">
        <v>546.9</v>
      </c>
      <c r="F50" s="102"/>
      <c r="G50" s="76">
        <v>0</v>
      </c>
      <c r="H50" s="78"/>
      <c r="I50" s="84" t="s">
        <v>101</v>
      </c>
      <c r="J50" s="78"/>
      <c r="K50" s="90"/>
      <c r="L50" s="91"/>
      <c r="M50" s="91"/>
      <c r="N50" s="91"/>
    </row>
    <row r="51" spans="1:14" s="92" customFormat="1" ht="18.95" customHeight="1">
      <c r="A51" s="67"/>
      <c r="B51" s="70" t="s">
        <v>118</v>
      </c>
      <c r="C51" s="76"/>
      <c r="D51" s="77"/>
      <c r="E51" s="101"/>
      <c r="F51" s="102"/>
      <c r="G51" s="76">
        <v>0</v>
      </c>
      <c r="H51" s="78"/>
      <c r="I51" s="84" t="s">
        <v>102</v>
      </c>
      <c r="J51" s="78"/>
      <c r="K51" s="90"/>
      <c r="L51" s="91"/>
      <c r="M51" s="91"/>
      <c r="N51" s="91"/>
    </row>
    <row r="52" spans="1:14" s="92" customFormat="1" ht="18.95" customHeight="1">
      <c r="A52" s="67"/>
      <c r="B52" s="70" t="s">
        <v>118</v>
      </c>
      <c r="C52" s="76"/>
      <c r="D52" s="77"/>
      <c r="E52" s="101"/>
      <c r="F52" s="102"/>
      <c r="G52" s="76">
        <v>0</v>
      </c>
      <c r="H52" s="78"/>
      <c r="I52" s="93" t="s">
        <v>103</v>
      </c>
      <c r="J52" s="78"/>
      <c r="K52" s="90"/>
      <c r="L52" s="91"/>
      <c r="M52" s="91"/>
      <c r="N52" s="91"/>
    </row>
    <row r="53" spans="1:14" s="92" customFormat="1" ht="18.95" customHeight="1">
      <c r="A53" s="67"/>
      <c r="B53" s="70" t="s">
        <v>118</v>
      </c>
      <c r="C53" s="76"/>
      <c r="D53" s="77"/>
      <c r="E53" s="101"/>
      <c r="F53" s="102"/>
      <c r="G53" s="76">
        <v>0</v>
      </c>
      <c r="H53" s="78"/>
      <c r="I53" s="93" t="s">
        <v>104</v>
      </c>
      <c r="J53" s="78"/>
      <c r="K53" s="90"/>
      <c r="L53" s="91"/>
      <c r="M53" s="91"/>
      <c r="N53" s="91"/>
    </row>
    <row r="54" spans="1:14" s="92" customFormat="1" ht="18.95" customHeight="1">
      <c r="A54" s="67"/>
      <c r="B54" s="70" t="s">
        <v>118</v>
      </c>
      <c r="C54" s="76"/>
      <c r="D54" s="77"/>
      <c r="E54" s="101"/>
      <c r="F54" s="102"/>
      <c r="G54" s="76">
        <v>0</v>
      </c>
      <c r="H54" s="78"/>
      <c r="I54" s="84" t="s">
        <v>105</v>
      </c>
      <c r="J54" s="85">
        <v>8</v>
      </c>
      <c r="K54" s="90"/>
      <c r="L54" s="91"/>
      <c r="M54" s="91"/>
      <c r="N54" s="91"/>
    </row>
    <row r="55" spans="1:14" s="92" customFormat="1" ht="18.95" customHeight="1" thickBot="1">
      <c r="A55" s="68" t="s">
        <v>119</v>
      </c>
      <c r="B55" s="71" t="s">
        <v>118</v>
      </c>
      <c r="C55" s="79"/>
      <c r="D55" s="80"/>
      <c r="E55" s="103"/>
      <c r="F55" s="104"/>
      <c r="G55" s="81"/>
      <c r="H55" s="82"/>
      <c r="I55" s="94" t="s">
        <v>106</v>
      </c>
      <c r="J55" s="86">
        <v>41</v>
      </c>
      <c r="K55" s="90"/>
      <c r="L55" s="91"/>
      <c r="M55" s="91"/>
      <c r="N55" s="91"/>
    </row>
    <row r="56" spans="1:14" ht="6" customHeight="1" thickBot="1">
      <c r="A56" s="95"/>
      <c r="B56" s="96"/>
      <c r="C56" s="96"/>
      <c r="D56" s="95"/>
      <c r="E56" s="96"/>
      <c r="F56" s="96"/>
      <c r="G56" s="96"/>
      <c r="H56" s="96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1" t="s">
        <v>0</v>
      </c>
      <c r="C58" s="106"/>
      <c r="D58" s="106"/>
      <c r="E58" s="11"/>
      <c r="F58" s="11"/>
      <c r="G58" s="11"/>
      <c r="H58" s="11"/>
      <c r="I58" s="11"/>
      <c r="J58" s="11"/>
    </row>
    <row r="59" spans="1:14" ht="14.25" customHeight="1">
      <c r="A59" s="12"/>
      <c r="B59" s="106"/>
      <c r="C59" s="106"/>
      <c r="D59" s="106"/>
      <c r="E59" s="12"/>
      <c r="F59" s="12"/>
      <c r="G59" s="12"/>
      <c r="H59" s="12"/>
      <c r="I59" s="12"/>
      <c r="J59" s="12"/>
    </row>
    <row r="60" spans="1:14" ht="14.25" customHeight="1">
      <c r="A60" s="136" t="s">
        <v>1</v>
      </c>
      <c r="B60" s="136" t="s">
        <v>69</v>
      </c>
      <c r="C60" s="136" t="s">
        <v>2</v>
      </c>
      <c r="D60" s="147">
        <v>840</v>
      </c>
      <c r="E60" s="136" t="s">
        <v>3</v>
      </c>
      <c r="F60" s="152" t="s">
        <v>58</v>
      </c>
      <c r="G60" s="106"/>
      <c r="H60" s="106"/>
      <c r="I60" s="24" t="s">
        <v>5</v>
      </c>
      <c r="J60" s="24" t="s">
        <v>6</v>
      </c>
    </row>
    <row r="61" spans="1:14" ht="14.25" customHeight="1">
      <c r="A61" s="106"/>
      <c r="B61" s="106"/>
      <c r="C61" s="106"/>
      <c r="D61" s="106"/>
      <c r="E61" s="106"/>
      <c r="F61" s="106"/>
      <c r="G61" s="106"/>
      <c r="H61" s="106"/>
      <c r="I61" s="143"/>
      <c r="J61" s="143"/>
    </row>
    <row r="62" spans="1:14" ht="17.45" customHeight="1">
      <c r="A62" s="121" t="s">
        <v>7</v>
      </c>
      <c r="B62" s="121" t="s">
        <v>59</v>
      </c>
      <c r="E62" s="121" t="s">
        <v>9</v>
      </c>
      <c r="F62" s="146" t="s">
        <v>10</v>
      </c>
      <c r="G62" s="106"/>
      <c r="H62" s="106"/>
      <c r="I62" s="144"/>
      <c r="J62" s="144"/>
    </row>
    <row r="63" spans="1:14" ht="17.45" customHeight="1">
      <c r="A63" s="106"/>
      <c r="B63" s="106"/>
      <c r="E63" s="106"/>
      <c r="F63" s="106"/>
      <c r="G63" s="106"/>
      <c r="H63" s="106"/>
      <c r="I63" s="13"/>
      <c r="J63" s="13"/>
    </row>
    <row r="64" spans="1:14" ht="17.45" customHeight="1">
      <c r="A64" s="121" t="s">
        <v>11</v>
      </c>
      <c r="B64" s="121" t="s">
        <v>60</v>
      </c>
      <c r="E64" s="2" t="s">
        <v>13</v>
      </c>
      <c r="F64" s="146" t="s">
        <v>14</v>
      </c>
      <c r="G64" s="106"/>
      <c r="H64" s="21"/>
      <c r="I64" s="13"/>
      <c r="J64" s="13"/>
    </row>
    <row r="65" spans="1:10" ht="17.45" customHeight="1">
      <c r="A65" s="106"/>
      <c r="B65" s="106"/>
      <c r="E65" s="2" t="s">
        <v>15</v>
      </c>
      <c r="F65" s="21" t="s">
        <v>16</v>
      </c>
      <c r="G65" s="21"/>
      <c r="H65" s="21"/>
      <c r="I65" s="14"/>
      <c r="J65" s="14"/>
    </row>
    <row r="66" spans="1:10" ht="17.45" customHeight="1">
      <c r="A66" s="2" t="s">
        <v>17</v>
      </c>
      <c r="B66" s="4">
        <v>46104</v>
      </c>
      <c r="E66" s="2" t="s">
        <v>18</v>
      </c>
      <c r="F66" s="148">
        <v>16</v>
      </c>
      <c r="G66" s="106"/>
      <c r="H66" s="21"/>
    </row>
    <row r="67" spans="1:10" ht="17.45" customHeight="1">
      <c r="A67" s="2" t="s">
        <v>19</v>
      </c>
      <c r="B67" s="4">
        <v>46104</v>
      </c>
      <c r="E67" s="2" t="s">
        <v>20</v>
      </c>
      <c r="F67" s="21">
        <v>12</v>
      </c>
      <c r="G67" s="149" t="s">
        <v>21</v>
      </c>
      <c r="H67" s="111">
        <v>192</v>
      </c>
      <c r="I67" s="112"/>
      <c r="J67" s="113"/>
    </row>
    <row r="68" spans="1:10" ht="17.45" customHeight="1">
      <c r="A68" s="19"/>
      <c r="B68" s="20"/>
      <c r="C68" s="20"/>
      <c r="D68" s="20"/>
      <c r="E68" s="2" t="s">
        <v>22</v>
      </c>
      <c r="F68" s="21" t="s">
        <v>23</v>
      </c>
      <c r="G68" s="114"/>
      <c r="H68" s="114"/>
      <c r="I68" s="115"/>
      <c r="J68" s="116"/>
    </row>
    <row r="69" spans="1:10" ht="13.5" customHeight="1">
      <c r="A69" s="142" t="s">
        <v>61</v>
      </c>
      <c r="B69" s="106"/>
      <c r="C69" s="106"/>
      <c r="D69" s="20"/>
      <c r="F69" s="3"/>
      <c r="G69" s="117" t="s">
        <v>25</v>
      </c>
      <c r="H69" s="153" t="s">
        <v>26</v>
      </c>
      <c r="I69" s="154" t="s">
        <v>27</v>
      </c>
      <c r="J69" s="155"/>
    </row>
    <row r="70" spans="1:10" ht="13.5" customHeight="1">
      <c r="A70" s="106"/>
      <c r="B70" s="106"/>
      <c r="C70" s="106"/>
      <c r="D70" s="20"/>
      <c r="F70" s="3"/>
      <c r="G70" s="118"/>
      <c r="H70" s="118"/>
      <c r="I70" s="115"/>
      <c r="J70" s="116"/>
    </row>
    <row r="71" spans="1:10" ht="13.5" customHeight="1">
      <c r="A71" s="1" t="s">
        <v>28</v>
      </c>
    </row>
    <row r="72" spans="1:10" ht="63" customHeight="1">
      <c r="A72" s="119"/>
      <c r="B72" s="120"/>
      <c r="C72" s="120"/>
      <c r="D72" s="120"/>
      <c r="E72" s="120"/>
      <c r="F72" s="120"/>
      <c r="G72" s="120"/>
      <c r="H72" s="120"/>
      <c r="I72" s="120"/>
      <c r="J72" s="120"/>
    </row>
    <row r="73" spans="1:10" ht="18.75">
      <c r="A73" s="23" t="s">
        <v>29</v>
      </c>
      <c r="B73" s="16" t="s">
        <v>30</v>
      </c>
      <c r="C73" s="109" t="s">
        <v>31</v>
      </c>
      <c r="D73" s="110"/>
      <c r="E73" s="16" t="s">
        <v>32</v>
      </c>
      <c r="F73" s="109" t="s">
        <v>33</v>
      </c>
      <c r="G73" s="110"/>
      <c r="H73" s="110"/>
      <c r="I73" s="150" t="s">
        <v>34</v>
      </c>
      <c r="J73" s="110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35</v>
      </c>
      <c r="C75" s="107" t="s">
        <v>36</v>
      </c>
      <c r="D75" s="106"/>
      <c r="E75" s="25" t="s">
        <v>37</v>
      </c>
      <c r="F75" s="107" t="s">
        <v>38</v>
      </c>
      <c r="G75" s="106"/>
      <c r="H75" s="106"/>
      <c r="I75" s="139"/>
      <c r="J75" s="106"/>
    </row>
    <row r="76" spans="1:10" ht="16.5" customHeight="1">
      <c r="A76" s="22">
        <v>1</v>
      </c>
      <c r="B76" s="26" t="s">
        <v>35</v>
      </c>
      <c r="C76" s="107" t="s">
        <v>36</v>
      </c>
      <c r="D76" s="106"/>
      <c r="E76" s="25" t="s">
        <v>39</v>
      </c>
      <c r="F76" s="107" t="s">
        <v>40</v>
      </c>
      <c r="G76" s="106"/>
      <c r="H76" s="106"/>
      <c r="I76" s="139"/>
      <c r="J76" s="106"/>
    </row>
    <row r="77" spans="1:10" ht="16.5" customHeight="1">
      <c r="A77" s="22"/>
      <c r="B77" s="26"/>
      <c r="C77" s="107"/>
      <c r="D77" s="106"/>
      <c r="E77" s="25"/>
      <c r="F77" s="107"/>
      <c r="G77" s="106"/>
      <c r="H77" s="106"/>
      <c r="I77" s="139"/>
      <c r="J77" s="106"/>
    </row>
    <row r="78" spans="1:10" ht="16.5" customHeight="1">
      <c r="A78" s="22"/>
      <c r="B78" s="26"/>
      <c r="C78" s="107"/>
      <c r="D78" s="106"/>
      <c r="E78" s="25"/>
      <c r="F78" s="107"/>
      <c r="G78" s="106"/>
      <c r="H78" s="106"/>
      <c r="I78" s="139"/>
      <c r="J78" s="106"/>
    </row>
    <row r="79" spans="1:10" ht="16.5" customHeight="1">
      <c r="A79" s="22"/>
      <c r="B79" s="26"/>
      <c r="C79" s="107"/>
      <c r="D79" s="106"/>
      <c r="E79" s="25"/>
      <c r="F79" s="107"/>
      <c r="G79" s="106"/>
      <c r="H79" s="106"/>
      <c r="I79" s="139"/>
      <c r="J79" s="106"/>
    </row>
    <row r="80" spans="1:10" ht="16.5" customHeight="1">
      <c r="A80" s="22"/>
      <c r="B80" s="26"/>
      <c r="C80" s="107"/>
      <c r="D80" s="106"/>
      <c r="E80" s="25"/>
      <c r="F80" s="107"/>
      <c r="G80" s="106"/>
      <c r="H80" s="106"/>
      <c r="I80" s="139"/>
      <c r="J80" s="10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40" t="s">
        <v>41</v>
      </c>
      <c r="B82" s="141"/>
      <c r="C82" s="140" t="s">
        <v>42</v>
      </c>
      <c r="D82" s="141"/>
      <c r="E82" s="141"/>
      <c r="F82" s="17" t="s">
        <v>43</v>
      </c>
      <c r="G82" s="140" t="s">
        <v>44</v>
      </c>
      <c r="H82" s="141"/>
      <c r="I82" s="140" t="s">
        <v>45</v>
      </c>
      <c r="J82" s="141"/>
    </row>
    <row r="83" spans="1:10" ht="14.25" customHeight="1">
      <c r="A83" s="8"/>
      <c r="B83" s="18"/>
      <c r="C83" s="145" t="s">
        <v>46</v>
      </c>
      <c r="D83" s="115"/>
      <c r="E83" s="18"/>
      <c r="F83" s="145" t="s">
        <v>28</v>
      </c>
      <c r="G83" s="115"/>
      <c r="H83" s="115"/>
      <c r="I83" s="115"/>
      <c r="J83" s="115"/>
    </row>
    <row r="84" spans="1:10">
      <c r="A84" s="9"/>
      <c r="C84" s="7"/>
      <c r="D84" s="7"/>
      <c r="E84" s="7"/>
    </row>
    <row r="85" spans="1:10" ht="14.25" customHeight="1">
      <c r="A85" s="107" t="s">
        <v>62</v>
      </c>
      <c r="B85" s="106"/>
      <c r="C85" s="107" t="s">
        <v>63</v>
      </c>
      <c r="D85" s="106"/>
      <c r="E85" s="106"/>
      <c r="F85" s="27" t="s">
        <v>49</v>
      </c>
      <c r="G85" s="137">
        <v>192</v>
      </c>
      <c r="H85" s="106"/>
      <c r="I85" s="137">
        <v>12</v>
      </c>
      <c r="J85" s="106"/>
    </row>
    <row r="86" spans="1:10" ht="24.95" customHeight="1">
      <c r="A86" s="105" t="s">
        <v>64</v>
      </c>
      <c r="B86" s="106"/>
      <c r="C86" s="107" t="s">
        <v>10</v>
      </c>
      <c r="D86" s="106"/>
      <c r="E86" s="106"/>
      <c r="F86" s="107"/>
      <c r="G86" s="106"/>
      <c r="H86" s="106"/>
      <c r="I86" s="106"/>
      <c r="J86" s="106"/>
    </row>
    <row r="87" spans="1:10" ht="14.25" customHeight="1">
      <c r="A87" s="107" t="s">
        <v>65</v>
      </c>
      <c r="B87" s="106"/>
      <c r="C87" s="107" t="s">
        <v>66</v>
      </c>
      <c r="D87" s="106"/>
      <c r="E87" s="106"/>
      <c r="F87" s="27" t="s">
        <v>35</v>
      </c>
      <c r="G87" s="137">
        <v>5.952</v>
      </c>
      <c r="H87" s="106"/>
      <c r="I87" s="137">
        <v>0.372</v>
      </c>
      <c r="J87" s="106"/>
    </row>
    <row r="88" spans="1:10" ht="24.95" customHeight="1">
      <c r="A88" s="105" t="s">
        <v>67</v>
      </c>
      <c r="B88" s="106"/>
      <c r="C88" s="107"/>
      <c r="D88" s="106"/>
      <c r="E88" s="106"/>
      <c r="F88" s="107"/>
      <c r="G88" s="106"/>
      <c r="H88" s="106"/>
      <c r="I88" s="106"/>
      <c r="J88" s="106"/>
    </row>
    <row r="89" spans="1:10" ht="14.25" customHeight="1">
      <c r="A89" s="107" t="s">
        <v>54</v>
      </c>
      <c r="B89" s="106"/>
      <c r="C89" s="107" t="s">
        <v>55</v>
      </c>
      <c r="D89" s="106"/>
      <c r="E89" s="106"/>
      <c r="F89" s="27"/>
      <c r="G89" s="137">
        <v>0.57599999999999996</v>
      </c>
      <c r="H89" s="106"/>
      <c r="I89" s="137">
        <v>3.5999999999999997E-2</v>
      </c>
      <c r="J89" s="106"/>
    </row>
    <row r="90" spans="1:10" ht="24.95" customHeight="1">
      <c r="A90" s="105" t="s">
        <v>56</v>
      </c>
      <c r="B90" s="106"/>
      <c r="C90" s="107" t="s">
        <v>57</v>
      </c>
      <c r="D90" s="106"/>
      <c r="E90" s="106"/>
      <c r="F90" s="107"/>
      <c r="G90" s="106"/>
      <c r="H90" s="106"/>
      <c r="I90" s="106"/>
      <c r="J90" s="106"/>
    </row>
    <row r="91" spans="1:10" ht="14.25" customHeight="1">
      <c r="A91" s="107"/>
      <c r="B91" s="106"/>
      <c r="C91" s="107"/>
      <c r="D91" s="106"/>
      <c r="E91" s="106"/>
      <c r="F91" s="27"/>
      <c r="G91" s="137"/>
      <c r="H91" s="106"/>
      <c r="I91" s="137"/>
      <c r="J91" s="106"/>
    </row>
    <row r="92" spans="1:10" ht="24.95" customHeight="1">
      <c r="A92" s="105"/>
      <c r="B92" s="106"/>
      <c r="C92" s="107"/>
      <c r="D92" s="106"/>
      <c r="E92" s="106"/>
      <c r="F92" s="107"/>
      <c r="G92" s="106"/>
      <c r="H92" s="106"/>
      <c r="I92" s="106"/>
      <c r="J92" s="106"/>
    </row>
    <row r="93" spans="1:10" ht="14.25" customHeight="1">
      <c r="A93" s="107"/>
      <c r="B93" s="106"/>
      <c r="C93" s="107"/>
      <c r="D93" s="106"/>
      <c r="E93" s="106"/>
      <c r="F93" s="27"/>
      <c r="G93" s="137"/>
      <c r="H93" s="106"/>
      <c r="I93" s="137"/>
      <c r="J93" s="106"/>
    </row>
    <row r="94" spans="1:10" ht="24.95" customHeight="1" thickBot="1">
      <c r="A94" s="105"/>
      <c r="B94" s="106"/>
      <c r="C94" s="107"/>
      <c r="D94" s="106"/>
      <c r="E94" s="106"/>
      <c r="F94" s="107"/>
      <c r="G94" s="106"/>
      <c r="H94" s="106"/>
      <c r="I94" s="106"/>
      <c r="J94" s="106"/>
    </row>
    <row r="95" spans="1:10" s="5" customFormat="1" ht="18" customHeight="1">
      <c r="A95" s="28" t="s">
        <v>70</v>
      </c>
      <c r="B95" s="29" t="s">
        <v>71</v>
      </c>
      <c r="C95" s="122" t="s">
        <v>72</v>
      </c>
      <c r="D95" s="123"/>
      <c r="E95" s="30" t="s">
        <v>73</v>
      </c>
      <c r="F95" s="31" t="s">
        <v>74</v>
      </c>
      <c r="G95" s="32" t="s">
        <v>75</v>
      </c>
      <c r="H95" s="33" t="s">
        <v>76</v>
      </c>
      <c r="I95" s="124" t="s">
        <v>77</v>
      </c>
      <c r="J95" s="125"/>
    </row>
    <row r="96" spans="1:10" s="7" customFormat="1" ht="18" customHeight="1">
      <c r="A96" s="34" t="str">
        <f>_xlfn.XLOOKUP(B60,[1]VFDB2!$A:$A,[1]VFDB2!$J:$J)</f>
        <v>-</v>
      </c>
      <c r="B96" s="35">
        <f>D60</f>
        <v>840</v>
      </c>
      <c r="C96" s="126" t="str">
        <f>_xlfn.XLOOKUP(B60,[1]VFDB2!$A:$A,[1]VFDB2!$Z:$Z)</f>
        <v>灯具-3　L=970</v>
      </c>
      <c r="D96" s="127"/>
      <c r="E96" s="128" t="str" cm="1">
        <f t="array" ref="E96">IFERROR(INDEX(_xlfn._xlws.FILTER([2]加工記録２!C:C,[2]加工記録２!U:U=B62),9),"")</f>
        <v/>
      </c>
      <c r="F96" s="36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37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38"/>
      <c r="I96" s="41" t="s">
        <v>78</v>
      </c>
      <c r="J96" s="42" t="str" cm="1">
        <f t="array" ref="J96:J101">IFERROR(INDEX(_xlfn._xlws.FILTER([2]加工記録２!P:P, [2]加工記録２!U:U=B62),_xlfn.SEQUENCE(6)),"")</f>
        <v/>
      </c>
    </row>
    <row r="97" spans="1:14" s="5" customFormat="1" ht="18" customHeight="1">
      <c r="A97" s="46" t="s">
        <v>79</v>
      </c>
      <c r="B97" s="47" t="s">
        <v>80</v>
      </c>
      <c r="C97" s="126"/>
      <c r="D97" s="127"/>
      <c r="E97" s="128"/>
      <c r="F97" s="48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37"/>
      <c r="H97" s="38"/>
      <c r="I97" s="41" t="s">
        <v>81</v>
      </c>
      <c r="J97" s="43" t="str">
        <v/>
      </c>
      <c r="K97" s="49"/>
    </row>
    <row r="98" spans="1:14" s="7" customFormat="1" ht="18" customHeight="1">
      <c r="A98" s="50" t="str">
        <f>_xlfn.XLOOKUP(B60,[1]VFDB2!$A:$A,[1]VFDB2!$L:$L)</f>
        <v>+2</v>
      </c>
      <c r="B98" s="51" t="str">
        <f>_xlfn.XLOOKUP(B60,[1]VFDB2!$A:$A,[1]VFDB2!$AC:$AC)</f>
        <v>換算表確認</v>
      </c>
      <c r="C98" s="129" t="s">
        <v>82</v>
      </c>
      <c r="D98" s="130" t="str">
        <f>_xlfn.XLOOKUP(B60,[1]VFDB2!$A:$A,[1]VFDB2!$W:$W)</f>
        <v>クラフト紙：970型</v>
      </c>
      <c r="E98" s="130"/>
      <c r="F98" s="131"/>
      <c r="G98" s="37"/>
      <c r="H98" s="38"/>
      <c r="I98" s="41" t="s">
        <v>83</v>
      </c>
      <c r="J98" s="43" t="str">
        <v/>
      </c>
      <c r="K98" s="52"/>
    </row>
    <row r="99" spans="1:14" s="5" customFormat="1" ht="18" customHeight="1">
      <c r="A99" s="53" t="s">
        <v>84</v>
      </c>
      <c r="B99" s="54" t="s">
        <v>85</v>
      </c>
      <c r="C99" s="129"/>
      <c r="D99" s="130" t="str">
        <f>_xlfn.XLOOKUP(B60,[1]VFDB2!$A:$A,[1]VFDB2!$R:$R)</f>
        <v>ラベル２枚　長手有　鉢巻無</v>
      </c>
      <c r="E99" s="130"/>
      <c r="F99" s="131"/>
      <c r="G99" s="37"/>
      <c r="H99" s="38"/>
      <c r="I99" s="41" t="s">
        <v>86</v>
      </c>
      <c r="J99" s="43" t="str">
        <v/>
      </c>
      <c r="K99" s="49"/>
    </row>
    <row r="100" spans="1:14" s="7" customFormat="1" ht="18" customHeight="1" thickBot="1">
      <c r="A100" s="55">
        <f>_xlfn.XLOOKUP(B60,[1]VFDB2!$A:$A,[1]VFDB2!$K:$K)</f>
        <v>-2</v>
      </c>
      <c r="B100" s="56">
        <f>_xlfn.XLOOKUP(B60,[1]VFDB2!$A:$A,[1]VFDB2!$P:$P)</f>
        <v>1</v>
      </c>
      <c r="C100" s="57" t="s">
        <v>87</v>
      </c>
      <c r="D100" s="132" t="str">
        <f>_xlfn.XLOOKUP(B60,[1]VFDB2!$A:$A,[1]VFDB2!$V:$V)</f>
        <v>梱包箱:灯具-3　L=970(隙間埋め)</v>
      </c>
      <c r="E100" s="132"/>
      <c r="F100" s="133"/>
      <c r="G100" s="39"/>
      <c r="H100" s="40"/>
      <c r="I100" s="41" t="s">
        <v>88</v>
      </c>
      <c r="J100" s="44" t="str">
        <v/>
      </c>
      <c r="K100" s="52"/>
    </row>
    <row r="101" spans="1:14" s="5" customFormat="1" ht="18" customHeight="1" thickBot="1">
      <c r="A101" s="58" t="s">
        <v>89</v>
      </c>
      <c r="B101" s="59" t="str" cm="1">
        <f t="array" ref="B101">IF(SUM(--(ISTEXT(B102:B112)*(B102:B112&lt;&gt;"")))=0,"計測Lot","計測Lot・加工数")</f>
        <v>計測Lot</v>
      </c>
      <c r="C101" s="60" t="s">
        <v>90</v>
      </c>
      <c r="D101" s="61" t="s">
        <v>91</v>
      </c>
      <c r="E101" s="97" t="s">
        <v>92</v>
      </c>
      <c r="F101" s="98" t="str" cm="1">
        <f t="array" ref="F101">IF(SUM(--(ISTEXT(B102:B112)*(B102:B112&lt;&gt;"")))=0,"記入不要","使用Lot")</f>
        <v>記入不要</v>
      </c>
      <c r="G101" s="62" t="s">
        <v>93</v>
      </c>
      <c r="H101" s="63" t="s">
        <v>94</v>
      </c>
      <c r="I101" s="64" t="s">
        <v>95</v>
      </c>
      <c r="J101" s="45" t="str">
        <v/>
      </c>
      <c r="K101" s="49"/>
    </row>
    <row r="102" spans="1:14" s="7" customFormat="1" ht="18" customHeight="1">
      <c r="A102" s="65" t="str" cm="1">
        <f t="array" ref="A102:A112">IFERROR(INDEX(_xlfn._xlws.FILTER([2]加工記録２!$D:$D,[2]加工記録２!$U:$U=B62),_xlfn.SEQUENCE(11),0),"")</f>
        <v/>
      </c>
      <c r="B102" s="69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72" t="str" cm="1">
        <f t="array" ref="C102">IFERROR(IF(_xlfn.TAKE(_xlfn._xlws.FILTER([2]加工記録２!$G:$L,[2]加工記録２!$U:$U=B62),11)=0,"",_xlfn.TAKE(_xlfn._xlws.FILTER([2]加工記録２!$G:$L,[2]加工記録２!$U:$U=B62),11)),"")</f>
        <v/>
      </c>
      <c r="D102" s="73"/>
      <c r="E102" s="99"/>
      <c r="F102" s="100"/>
      <c r="G102" s="74"/>
      <c r="H102" s="75"/>
      <c r="I102" s="134" t="s">
        <v>96</v>
      </c>
      <c r="J102" s="135"/>
      <c r="K102" s="83"/>
    </row>
    <row r="103" spans="1:14" s="5" customFormat="1" ht="18" customHeight="1">
      <c r="A103" s="66" t="str">
        <v/>
      </c>
      <c r="B103" s="70" t="str">
        <v/>
      </c>
      <c r="C103" s="76"/>
      <c r="D103" s="77"/>
      <c r="E103" s="101"/>
      <c r="F103" s="102"/>
      <c r="G103" s="76"/>
      <c r="H103" s="78"/>
      <c r="I103" s="84" t="s">
        <v>97</v>
      </c>
      <c r="J103" s="78" t="str" cm="1">
        <f t="array" ref="J103:J112">IFERROR(INDEX(_xlfn._xlws.FILTER([2]加工記録２!R:R, [2]加工記録２!U:U=B62),_xlfn.SEQUENCE(10)),"")</f>
        <v/>
      </c>
      <c r="K103" s="83"/>
    </row>
    <row r="104" spans="1:14" s="89" customFormat="1" ht="18.95" customHeight="1">
      <c r="A104" s="67" t="str">
        <v/>
      </c>
      <c r="B104" s="70" t="str">
        <v/>
      </c>
      <c r="C104" s="76"/>
      <c r="D104" s="77"/>
      <c r="E104" s="101"/>
      <c r="F104" s="102"/>
      <c r="G104" s="76"/>
      <c r="H104" s="78"/>
      <c r="I104" s="84" t="s">
        <v>98</v>
      </c>
      <c r="J104" s="78" t="str">
        <v/>
      </c>
      <c r="K104" s="87"/>
      <c r="L104" s="88"/>
      <c r="M104" s="88"/>
      <c r="N104" s="88"/>
    </row>
    <row r="105" spans="1:14" s="92" customFormat="1" ht="18.95" customHeight="1">
      <c r="A105" s="67" t="str">
        <v/>
      </c>
      <c r="B105" s="70" t="str">
        <v/>
      </c>
      <c r="C105" s="76"/>
      <c r="D105" s="77"/>
      <c r="E105" s="101"/>
      <c r="F105" s="102"/>
      <c r="G105" s="76"/>
      <c r="H105" s="78"/>
      <c r="I105" s="84" t="s">
        <v>99</v>
      </c>
      <c r="J105" s="78" t="str">
        <v/>
      </c>
      <c r="K105" s="90"/>
      <c r="L105" s="91"/>
      <c r="M105" s="91"/>
      <c r="N105" s="91"/>
    </row>
    <row r="106" spans="1:14" s="92" customFormat="1" ht="18.95" customHeight="1">
      <c r="A106" s="67" t="str">
        <v/>
      </c>
      <c r="B106" s="70" t="str">
        <v/>
      </c>
      <c r="C106" s="76"/>
      <c r="D106" s="77"/>
      <c r="E106" s="101"/>
      <c r="F106" s="102"/>
      <c r="G106" s="76"/>
      <c r="H106" s="78"/>
      <c r="I106" s="84" t="s">
        <v>100</v>
      </c>
      <c r="J106" s="78" t="str">
        <v/>
      </c>
      <c r="K106" s="90"/>
      <c r="L106" s="91"/>
      <c r="M106" s="91"/>
      <c r="N106" s="91"/>
    </row>
    <row r="107" spans="1:14" s="92" customFormat="1" ht="18.95" customHeight="1">
      <c r="A107" s="67" t="str">
        <v/>
      </c>
      <c r="B107" s="70" t="str">
        <v/>
      </c>
      <c r="C107" s="76"/>
      <c r="D107" s="77"/>
      <c r="E107" s="101"/>
      <c r="F107" s="102"/>
      <c r="G107" s="76"/>
      <c r="H107" s="78"/>
      <c r="I107" s="84" t="s">
        <v>101</v>
      </c>
      <c r="J107" s="78" t="str">
        <v/>
      </c>
      <c r="K107" s="90"/>
      <c r="L107" s="91"/>
      <c r="M107" s="91"/>
      <c r="N107" s="91"/>
    </row>
    <row r="108" spans="1:14" s="92" customFormat="1" ht="18.95" customHeight="1">
      <c r="A108" s="67" t="str">
        <v/>
      </c>
      <c r="B108" s="70" t="str">
        <v/>
      </c>
      <c r="C108" s="76"/>
      <c r="D108" s="77"/>
      <c r="E108" s="101"/>
      <c r="F108" s="102"/>
      <c r="G108" s="76"/>
      <c r="H108" s="78"/>
      <c r="I108" s="84" t="s">
        <v>102</v>
      </c>
      <c r="J108" s="78" t="str">
        <v/>
      </c>
      <c r="K108" s="90"/>
      <c r="L108" s="91"/>
      <c r="M108" s="91"/>
      <c r="N108" s="91"/>
    </row>
    <row r="109" spans="1:14" s="92" customFormat="1" ht="18.95" customHeight="1">
      <c r="A109" s="67" t="str">
        <v/>
      </c>
      <c r="B109" s="70" t="str">
        <v/>
      </c>
      <c r="C109" s="76"/>
      <c r="D109" s="77"/>
      <c r="E109" s="101"/>
      <c r="F109" s="102"/>
      <c r="G109" s="76"/>
      <c r="H109" s="78"/>
      <c r="I109" s="93" t="s">
        <v>103</v>
      </c>
      <c r="J109" s="78" t="str">
        <v/>
      </c>
      <c r="K109" s="90"/>
      <c r="L109" s="91"/>
      <c r="M109" s="91"/>
      <c r="N109" s="91"/>
    </row>
    <row r="110" spans="1:14" s="92" customFormat="1" ht="18.95" customHeight="1">
      <c r="A110" s="67" t="str">
        <v/>
      </c>
      <c r="B110" s="70" t="str">
        <v/>
      </c>
      <c r="C110" s="76"/>
      <c r="D110" s="77"/>
      <c r="E110" s="101"/>
      <c r="F110" s="102"/>
      <c r="G110" s="76"/>
      <c r="H110" s="78"/>
      <c r="I110" s="93" t="s">
        <v>104</v>
      </c>
      <c r="J110" s="78" t="str">
        <v/>
      </c>
      <c r="K110" s="90"/>
      <c r="L110" s="91"/>
      <c r="M110" s="91"/>
      <c r="N110" s="91"/>
    </row>
    <row r="111" spans="1:14" s="92" customFormat="1" ht="18.95" customHeight="1">
      <c r="A111" s="67" t="str">
        <v/>
      </c>
      <c r="B111" s="70" t="str">
        <v/>
      </c>
      <c r="C111" s="76"/>
      <c r="D111" s="77"/>
      <c r="E111" s="101"/>
      <c r="F111" s="102"/>
      <c r="G111" s="76"/>
      <c r="H111" s="78"/>
      <c r="I111" s="84" t="s">
        <v>105</v>
      </c>
      <c r="J111" s="85" t="str">
        <v/>
      </c>
      <c r="K111" s="90"/>
      <c r="L111" s="91"/>
      <c r="M111" s="91"/>
      <c r="N111" s="91"/>
    </row>
    <row r="112" spans="1:14" s="92" customFormat="1" ht="18.95" customHeight="1" thickBot="1">
      <c r="A112" s="68" t="str">
        <v/>
      </c>
      <c r="B112" s="71" t="str">
        <v/>
      </c>
      <c r="C112" s="79"/>
      <c r="D112" s="80"/>
      <c r="E112" s="103"/>
      <c r="F112" s="104"/>
      <c r="G112" s="81"/>
      <c r="H112" s="82"/>
      <c r="I112" s="94" t="s">
        <v>106</v>
      </c>
      <c r="J112" s="86" t="str">
        <v/>
      </c>
      <c r="K112" s="90"/>
      <c r="L112" s="91"/>
      <c r="M112" s="91"/>
      <c r="N112" s="91"/>
    </row>
    <row r="113" spans="1:10" ht="6" customHeight="1" thickBot="1">
      <c r="A113" s="95"/>
      <c r="B113" s="96"/>
      <c r="C113" s="96"/>
      <c r="D113" s="95"/>
      <c r="E113" s="96"/>
      <c r="F113" s="96"/>
      <c r="G113" s="96"/>
      <c r="H113" s="96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190">
    <mergeCell ref="C95:D95"/>
    <mergeCell ref="C96:D97"/>
    <mergeCell ref="E96:E97"/>
    <mergeCell ref="C98:C99"/>
    <mergeCell ref="D98:F98"/>
    <mergeCell ref="F9:G9"/>
    <mergeCell ref="I82:J82"/>
    <mergeCell ref="C33:E33"/>
    <mergeCell ref="G25:H25"/>
    <mergeCell ref="C21:D21"/>
    <mergeCell ref="A12:C13"/>
    <mergeCell ref="I79:J79"/>
    <mergeCell ref="E62:E63"/>
    <mergeCell ref="F16:H16"/>
    <mergeCell ref="I73:J73"/>
    <mergeCell ref="F37:J37"/>
    <mergeCell ref="J61:J62"/>
    <mergeCell ref="E60:E61"/>
    <mergeCell ref="A36:B36"/>
    <mergeCell ref="C31:E31"/>
    <mergeCell ref="F88:J88"/>
    <mergeCell ref="C87:E87"/>
    <mergeCell ref="D99:F99"/>
    <mergeCell ref="C16:D16"/>
    <mergeCell ref="D100:F100"/>
    <mergeCell ref="I102:J102"/>
    <mergeCell ref="I21:J21"/>
    <mergeCell ref="G87:H87"/>
    <mergeCell ref="I87:J87"/>
    <mergeCell ref="C28:E28"/>
    <mergeCell ref="G32:H32"/>
    <mergeCell ref="F20:H20"/>
    <mergeCell ref="I34:J34"/>
    <mergeCell ref="G36:H36"/>
    <mergeCell ref="F31:J31"/>
    <mergeCell ref="I95:J95"/>
    <mergeCell ref="I89:J89"/>
    <mergeCell ref="C94:E94"/>
    <mergeCell ref="C89:E89"/>
    <mergeCell ref="C37:E37"/>
    <mergeCell ref="C93:E93"/>
    <mergeCell ref="I23:J23"/>
    <mergeCell ref="G89:H89"/>
    <mergeCell ref="C92:E92"/>
    <mergeCell ref="C30:E30"/>
    <mergeCell ref="C23:D23"/>
    <mergeCell ref="F94:J94"/>
    <mergeCell ref="C29:E29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J4:J5"/>
    <mergeCell ref="F33:J33"/>
    <mergeCell ref="F3:H4"/>
    <mergeCell ref="I18:J18"/>
    <mergeCell ref="G34:H34"/>
    <mergeCell ref="A33:B33"/>
    <mergeCell ref="C76:D76"/>
    <mergeCell ref="A85:B85"/>
    <mergeCell ref="B64:B65"/>
    <mergeCell ref="B3:B4"/>
    <mergeCell ref="I80:J80"/>
    <mergeCell ref="A87:B87"/>
    <mergeCell ref="H10:J11"/>
    <mergeCell ref="I32:J32"/>
    <mergeCell ref="H69:H70"/>
    <mergeCell ref="B60:B61"/>
    <mergeCell ref="A37:B37"/>
    <mergeCell ref="D3:D4"/>
    <mergeCell ref="A15:J15"/>
    <mergeCell ref="F21:H21"/>
    <mergeCell ref="C25:E25"/>
    <mergeCell ref="C85:E85"/>
    <mergeCell ref="I30:J30"/>
    <mergeCell ref="C83:D83"/>
    <mergeCell ref="A30:B30"/>
    <mergeCell ref="F7:G7"/>
    <mergeCell ref="C36:E36"/>
    <mergeCell ref="I69:J70"/>
    <mergeCell ref="C75:D75"/>
    <mergeCell ref="C22:D22"/>
    <mergeCell ref="C80:D80"/>
    <mergeCell ref="F26:J26"/>
    <mergeCell ref="H12:H13"/>
    <mergeCell ref="C18:D18"/>
    <mergeCell ref="C35:E35"/>
    <mergeCell ref="F64:G64"/>
    <mergeCell ref="I77:J77"/>
    <mergeCell ref="C32:E32"/>
    <mergeCell ref="B58:D59"/>
    <mergeCell ref="C60:C61"/>
    <mergeCell ref="A35:B35"/>
    <mergeCell ref="F92:J92"/>
    <mergeCell ref="G91:H91"/>
    <mergeCell ref="A92:B92"/>
    <mergeCell ref="A90:B90"/>
    <mergeCell ref="C91:E91"/>
    <mergeCell ref="F23:H23"/>
    <mergeCell ref="C20:D20"/>
    <mergeCell ref="C78:D78"/>
    <mergeCell ref="A88:B88"/>
    <mergeCell ref="F60:H61"/>
    <mergeCell ref="C79:D79"/>
    <mergeCell ref="C73:D73"/>
    <mergeCell ref="F83:J83"/>
    <mergeCell ref="F22:H22"/>
    <mergeCell ref="I76:J76"/>
    <mergeCell ref="A25:B25"/>
    <mergeCell ref="B5:B6"/>
    <mergeCell ref="A62:A63"/>
    <mergeCell ref="F19:H19"/>
    <mergeCell ref="A29:B29"/>
    <mergeCell ref="I78:J78"/>
    <mergeCell ref="D60:D61"/>
    <mergeCell ref="A89:B89"/>
    <mergeCell ref="F35:J35"/>
    <mergeCell ref="F77:H77"/>
    <mergeCell ref="F66:G66"/>
    <mergeCell ref="I19:J19"/>
    <mergeCell ref="C88:E88"/>
    <mergeCell ref="F62:H63"/>
    <mergeCell ref="A7:A8"/>
    <mergeCell ref="G10:G11"/>
    <mergeCell ref="I16:J16"/>
    <mergeCell ref="I25:J25"/>
    <mergeCell ref="F78:H78"/>
    <mergeCell ref="C34:E34"/>
    <mergeCell ref="I61:I62"/>
    <mergeCell ref="F18:H18"/>
    <mergeCell ref="F76:H76"/>
    <mergeCell ref="A32:B32"/>
    <mergeCell ref="I85:J85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  <mergeCell ref="B62:B63"/>
    <mergeCell ref="F80:H80"/>
    <mergeCell ref="A82:B82"/>
    <mergeCell ref="A60:A61"/>
    <mergeCell ref="F5:H6"/>
    <mergeCell ref="A94:B94"/>
    <mergeCell ref="F90:J90"/>
    <mergeCell ref="A93:B93"/>
    <mergeCell ref="A31:B31"/>
    <mergeCell ref="F73:H73"/>
    <mergeCell ref="C86:E86"/>
    <mergeCell ref="H67:J68"/>
    <mergeCell ref="F75:H75"/>
    <mergeCell ref="G69:G70"/>
    <mergeCell ref="A72:J72"/>
    <mergeCell ref="A91:B91"/>
    <mergeCell ref="A64:A65"/>
    <mergeCell ref="F79:H79"/>
    <mergeCell ref="C38:D38"/>
    <mergeCell ref="I38:J38"/>
    <mergeCell ref="C39:D40"/>
    <mergeCell ref="E39:E40"/>
    <mergeCell ref="C41:C42"/>
    <mergeCell ref="D41:F41"/>
    <mergeCell ref="D42:F42"/>
    <mergeCell ref="D43:F43"/>
    <mergeCell ref="I45:J45"/>
  </mergeCells>
  <phoneticPr fontId="2"/>
  <conditionalFormatting sqref="A102:B112 C103:E112 D102:E102">
    <cfRule type="cellIs" dxfId="4" priority="6" operator="between">
      <formula>0</formula>
      <formula>0</formula>
    </cfRule>
  </conditionalFormatting>
  <conditionalFormatting sqref="A112:H112">
    <cfRule type="expression" dxfId="2" priority="5">
      <formula>ISNUMBER(SEARCH("灯具",$F60))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2026-02-25T02:46:13Z</cp:lastPrinted>
  <dcterms:created xsi:type="dcterms:W3CDTF">2024-07-11T02:08:33Z</dcterms:created>
  <dcterms:modified xsi:type="dcterms:W3CDTF">2026-04-03T05:54:53Z</dcterms:modified>
</cp:coreProperties>
</file>