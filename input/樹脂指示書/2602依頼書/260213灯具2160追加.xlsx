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樹脂指示書\"/>
    </mc:Choice>
  </mc:AlternateContent>
  <xr:revisionPtr revIDLastSave="0" documentId="13_ncr:1_{8C80DC28-BC21-4A89-8C29-81F9C7330C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  <externalReference r:id="rId3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6" i="1" l="1" a="1"/>
  <c r="J46" i="1" s="1"/>
  <c r="C45" i="1" a="1"/>
  <c r="C45" i="1" s="1"/>
  <c r="B45" i="1" a="1"/>
  <c r="B45" i="1" s="1"/>
  <c r="A45" i="1" a="1"/>
  <c r="A45" i="1" s="1"/>
  <c r="D43" i="1"/>
  <c r="B43" i="1"/>
  <c r="A43" i="1"/>
  <c r="D42" i="1"/>
  <c r="D41" i="1"/>
  <c r="B41" i="1"/>
  <c r="A41" i="1"/>
  <c r="F40" i="1" a="1"/>
  <c r="F40" i="1" s="1"/>
  <c r="J39" i="1" a="1"/>
  <c r="J39" i="1" s="1"/>
  <c r="G39" i="1" a="1"/>
  <c r="G39" i="1" s="1"/>
  <c r="F39" i="1" a="1"/>
  <c r="F39" i="1" s="1"/>
  <c r="E39" i="1" a="1"/>
  <c r="E39" i="1" s="1"/>
  <c r="C39" i="1"/>
  <c r="B39" i="1"/>
  <c r="A39" i="1"/>
  <c r="B44" i="1" l="1" a="1"/>
  <c r="B44" i="1" s="1"/>
  <c r="F44" i="1" a="1"/>
  <c r="F4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<sst xmlns="http://schemas.openxmlformats.org/spreadsheetml/2006/main" count="101" uniqueCount="94">
  <si>
    <t>検査梱包指示書</t>
  </si>
  <si>
    <t>品目番号</t>
  </si>
  <si>
    <t>J1ZAFJB00106133</t>
  </si>
  <si>
    <t>Ｌ寸</t>
  </si>
  <si>
    <t>名称</t>
  </si>
  <si>
    <t>463301-2160灯具ｶﾊﾞｰPC</t>
  </si>
  <si>
    <t>上長</t>
  </si>
  <si>
    <t>係員</t>
  </si>
  <si>
    <t>製造指図№</t>
  </si>
  <si>
    <t>000000000012155</t>
  </si>
  <si>
    <t>原料名</t>
  </si>
  <si>
    <t>J6VZ041</t>
  </si>
  <si>
    <t>発注明細№</t>
  </si>
  <si>
    <t>000000000832424</t>
  </si>
  <si>
    <t>色　名</t>
  </si>
  <si>
    <t>拡散</t>
  </si>
  <si>
    <t>製品Grp</t>
  </si>
  <si>
    <t>J1ZA</t>
  </si>
  <si>
    <t>開始日</t>
  </si>
  <si>
    <t>入り数</t>
  </si>
  <si>
    <t>終了日</t>
  </si>
  <si>
    <t>梱包数</t>
  </si>
  <si>
    <t>指示数量</t>
  </si>
  <si>
    <t>金　型</t>
  </si>
  <si>
    <t>4317</t>
  </si>
  <si>
    <t>*J1ZAFJB00106133*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</si>
  <si>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</si>
  <si>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</si>
  <si>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</si>
  <si>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</si>
  <si>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</si>
  <si>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</si>
  <si>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</si>
  <si>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</si>
  <si>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</si>
  <si>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</si>
  <si>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</si>
  <si>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</si>
  <si>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V3P05</t>
  </si>
  <si>
    <t>切断</t>
  </si>
  <si>
    <t>V3P16</t>
  </si>
  <si>
    <t>検査・梱包</t>
  </si>
  <si>
    <t>V3P13</t>
  </si>
  <si>
    <t>捺印</t>
  </si>
  <si>
    <t>品目コード</t>
  </si>
  <si>
    <t>品目名１</t>
  </si>
  <si>
    <t>在庫場所</t>
  </si>
  <si>
    <t>出庫数量</t>
  </si>
  <si>
    <t>バッチ必要数</t>
  </si>
  <si>
    <t>品目名２</t>
  </si>
  <si>
    <t>J1ZAFJA00211835</t>
  </si>
  <si>
    <t>@463301-2050灯具ｶﾊﾞｰPCIN</t>
  </si>
  <si>
    <t>V3J04</t>
  </si>
  <si>
    <t>*J1ZAFJA00211835*</t>
  </si>
  <si>
    <t>J6DK0027</t>
  </si>
  <si>
    <t>H型ｼﾞｮｲﾅ-</t>
  </si>
  <si>
    <t>*J6DK0027*</t>
  </si>
  <si>
    <t>温度換算</t>
    <phoneticPr fontId="2"/>
  </si>
  <si>
    <t>L寸</t>
    <phoneticPr fontId="2"/>
  </si>
  <si>
    <t>梱包箱</t>
    <rPh sb="0" eb="3">
      <t>コンポウバコ</t>
    </rPh>
    <phoneticPr fontId="2"/>
  </si>
  <si>
    <t>使用数</t>
    <rPh sb="0" eb="2">
      <t>シヨウ</t>
    </rPh>
    <rPh sb="2" eb="3">
      <t>スウ</t>
    </rPh>
    <phoneticPr fontId="2"/>
  </si>
  <si>
    <t>作業者</t>
    <rPh sb="0" eb="3">
      <t>サギョウシャ</t>
    </rPh>
    <phoneticPr fontId="2"/>
  </si>
  <si>
    <t>加工Lot</t>
    <phoneticPr fontId="2"/>
  </si>
  <si>
    <t>箱数</t>
    <rPh sb="0" eb="2">
      <t>ハコスウ</t>
    </rPh>
    <phoneticPr fontId="2"/>
  </si>
  <si>
    <t>加工明細</t>
    <rPh sb="0" eb="4">
      <t>カコウメイサイ</t>
    </rPh>
    <phoneticPr fontId="2"/>
  </si>
  <si>
    <t>入庫日</t>
    <rPh sb="0" eb="3">
      <t>ニュウコビ</t>
    </rPh>
    <phoneticPr fontId="2"/>
  </si>
  <si>
    <t>+公差</t>
    <phoneticPr fontId="2"/>
  </si>
  <si>
    <t>切断寸法</t>
    <phoneticPr fontId="2"/>
  </si>
  <si>
    <t>入庫数</t>
    <rPh sb="0" eb="3">
      <t>ニュウコスウ</t>
    </rPh>
    <phoneticPr fontId="2"/>
  </si>
  <si>
    <t>梱包
方法</t>
    <rPh sb="0" eb="2">
      <t>コンポウ</t>
    </rPh>
    <rPh sb="3" eb="5">
      <t>ホウホウ</t>
    </rPh>
    <phoneticPr fontId="2"/>
  </si>
  <si>
    <t>使用基材数</t>
    <rPh sb="0" eb="2">
      <t>シヨウ</t>
    </rPh>
    <rPh sb="2" eb="5">
      <t>キザイスウ</t>
    </rPh>
    <phoneticPr fontId="2"/>
  </si>
  <si>
    <t>-公差</t>
    <phoneticPr fontId="2"/>
  </si>
  <si>
    <t>取数</t>
    <phoneticPr fontId="2"/>
  </si>
  <si>
    <t>製品不良</t>
    <rPh sb="0" eb="2">
      <t>セイヒン</t>
    </rPh>
    <rPh sb="2" eb="4">
      <t>フリョウ</t>
    </rPh>
    <phoneticPr fontId="2"/>
  </si>
  <si>
    <t>備考</t>
    <rPh sb="0" eb="2">
      <t>ビコウ</t>
    </rPh>
    <phoneticPr fontId="2"/>
  </si>
  <si>
    <t>基材不良</t>
    <rPh sb="0" eb="2">
      <t>キザイ</t>
    </rPh>
    <rPh sb="2" eb="4">
      <t>フリョウ</t>
    </rPh>
    <phoneticPr fontId="2"/>
  </si>
  <si>
    <t>作業日</t>
    <phoneticPr fontId="2"/>
  </si>
  <si>
    <t>温度</t>
    <rPh sb="0" eb="2">
      <t>オンド</t>
    </rPh>
    <phoneticPr fontId="2"/>
  </si>
  <si>
    <t>換算</t>
    <rPh sb="0" eb="2">
      <t>カンサン</t>
    </rPh>
    <phoneticPr fontId="2"/>
  </si>
  <si>
    <t>計測値</t>
    <rPh sb="0" eb="2">
      <t>ケイソク</t>
    </rPh>
    <rPh sb="2" eb="3">
      <t>アタイ</t>
    </rPh>
    <phoneticPr fontId="2"/>
  </si>
  <si>
    <t>加工数</t>
    <rPh sb="0" eb="3">
      <t>カコウスウ</t>
    </rPh>
    <phoneticPr fontId="2"/>
  </si>
  <si>
    <t>基材換算</t>
    <rPh sb="0" eb="2">
      <t>キザイ</t>
    </rPh>
    <rPh sb="2" eb="4">
      <t>カンサン</t>
    </rPh>
    <phoneticPr fontId="2"/>
  </si>
  <si>
    <t>端材使用</t>
    <rPh sb="0" eb="2">
      <t>ハザイ</t>
    </rPh>
    <rPh sb="2" eb="4">
      <t>シヨウ</t>
    </rPh>
    <phoneticPr fontId="2"/>
  </si>
  <si>
    <t>不良内訳</t>
    <rPh sb="0" eb="2">
      <t>フリョウ</t>
    </rPh>
    <rPh sb="2" eb="4">
      <t>ウチワケ</t>
    </rPh>
    <phoneticPr fontId="2"/>
  </si>
  <si>
    <t>キズ</t>
    <phoneticPr fontId="2"/>
  </si>
  <si>
    <t>凹み</t>
    <rPh sb="0" eb="1">
      <t>ヘコ</t>
    </rPh>
    <phoneticPr fontId="2"/>
  </si>
  <si>
    <t>異物</t>
    <rPh sb="0" eb="2">
      <t>イブツ</t>
    </rPh>
    <phoneticPr fontId="2"/>
  </si>
  <si>
    <t>欠け</t>
    <rPh sb="0" eb="1">
      <t>カ</t>
    </rPh>
    <phoneticPr fontId="2"/>
  </si>
  <si>
    <t>メヤニ</t>
    <phoneticPr fontId="2"/>
  </si>
  <si>
    <t>ベコツキ</t>
    <phoneticPr fontId="2"/>
  </si>
  <si>
    <t>汚損</t>
    <rPh sb="0" eb="2">
      <t>オソン</t>
    </rPh>
    <phoneticPr fontId="2"/>
  </si>
  <si>
    <t>形状異常</t>
    <rPh sb="0" eb="2">
      <t>ケイジョウ</t>
    </rPh>
    <rPh sb="2" eb="4">
      <t>イジョウ</t>
    </rPh>
    <phoneticPr fontId="2"/>
  </si>
  <si>
    <t>その他</t>
    <rPh sb="2" eb="3">
      <t>タ</t>
    </rPh>
    <phoneticPr fontId="2"/>
  </si>
  <si>
    <t>合計</t>
    <rPh sb="0" eb="2">
      <t>ゴウケイ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</si>
</sst>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[$-F800]dddd\,\ mmmm\ dd\,\ yyyy"/>
    <numFmt numFmtId="177" formatCode="#,##0.0_ "/>
    <numFmt numFmtId="178" formatCode="#,##0_ "/>
    <numFmt numFmtId="179" formatCode="&quot;L=&quot;0.0_ "/>
    <numFmt numFmtId="180" formatCode="#"/>
    <numFmt numFmtId="181" formatCode="#&quot;枚&quot;;;"/>
    <numFmt numFmtId="182" formatCode="&quot;切断作業&quot;"/>
    <numFmt numFmtId="183" formatCode="yy\,mm\,dd"/>
    <numFmt numFmtId="184" formatCode="#&quot;箱&quot;"/>
    <numFmt numFmtId="185" formatCode="mm&quot;月&quot;dd&quot;日&quot;;;"/>
    <numFmt numFmtId="186" formatCode="&quot;外観検査&quot;#"/>
    <numFmt numFmtId="187" formatCode="0.00_ "/>
    <numFmt numFmtId="188" formatCode="&quot;端&quot;mm/dd;;"/>
    <numFmt numFmtId="189" formatCode="&quot;初&quot;mm/dd;;"/>
    <numFmt numFmtId="190" formatCode="mm/dd;;"/>
    <numFmt numFmtId="191" formatCode="&quot;不&quot;mm/dd;;"/>
    <numFmt numFmtId="192" formatCode="#;;"/>
  </numFmts>
  <fonts count="34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9C570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sz val="12"/>
      <color theme="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sz val="10"/>
      <color theme="0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sz val="9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2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36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 style="thin">
        <color auto="1"/>
      </diagonal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>
      <left style="thin">
        <color auto="1"/>
      </left>
      <right/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medium">
        <color indexed="64"/>
      </bottom>
      <diagonal style="thin">
        <color auto="1"/>
      </diagonal>
    </border>
  </borders>
  <cellStyleXfs count="4">
    <xf numFmtId="0" fontId="0" fillId="0" borderId="0">
      <alignment vertical="center"/>
    </xf>
    <xf numFmtId="0" fontId="1" fillId="0" borderId="0"/>
    <xf numFmtId="0" fontId="14" fillId="2" borderId="0" applyNumberFormat="0" applyBorder="0" applyAlignment="0" applyProtection="0">
      <alignment vertical="center"/>
    </xf>
    <xf numFmtId="0" fontId="1" fillId="0" borderId="0"/>
  </cellStyleXfs>
  <cellXfs count="156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9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4" xfId="1" applyNumberFormat="1" applyBorder="1" applyAlignment="1">
      <alignment vertical="center" shrinkToFit="1"/>
    </xf>
    <xf numFmtId="49" fontId="1" fillId="0" borderId="5" xfId="1" applyNumberFormat="1" applyBorder="1" applyAlignment="1">
      <alignment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horizontal="left" vertical="center" shrinkToFit="1"/>
    </xf>
    <xf numFmtId="49" fontId="1" fillId="0" borderId="8" xfId="1" applyNumberFormat="1" applyBorder="1" applyAlignment="1">
      <alignment vertical="center" shrinkToFit="1"/>
    </xf>
    <xf numFmtId="49" fontId="1" fillId="0" borderId="9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7" xfId="1" applyNumberFormat="1" applyBorder="1" applyAlignment="1">
      <alignment horizontal="right" vertical="center" shrinkToFit="1"/>
    </xf>
    <xf numFmtId="49" fontId="1" fillId="0" borderId="2" xfId="1" applyNumberFormat="1" applyBorder="1" applyAlignment="1">
      <alignment horizontal="center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6" xfId="0" applyFont="1" applyFill="1" applyBorder="1" applyAlignment="1">
      <alignment horizontal="center" vertical="center"/>
    </xf>
    <xf numFmtId="49" fontId="16" fillId="3" borderId="16" xfId="1" applyNumberFormat="1" applyFont="1" applyFill="1" applyBorder="1" applyAlignment="1">
      <alignment horizontal="center" vertical="center" shrinkToFit="1"/>
    </xf>
    <xf numFmtId="0" fontId="17" fillId="4" borderId="18" xfId="0" applyFont="1" applyFill="1" applyBorder="1" applyAlignment="1">
      <alignment horizontal="center" vertical="center"/>
    </xf>
    <xf numFmtId="49" fontId="18" fillId="4" borderId="19" xfId="1" applyNumberFormat="1" applyFont="1" applyFill="1" applyBorder="1" applyAlignment="1">
      <alignment horizontal="center" vertical="center" shrinkToFit="1"/>
    </xf>
    <xf numFmtId="49" fontId="19" fillId="5" borderId="20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0" fontId="19" fillId="0" borderId="21" xfId="0" applyFont="1" applyBorder="1" applyAlignment="1">
      <alignment horizontal="center" vertical="center"/>
    </xf>
    <xf numFmtId="179" fontId="19" fillId="0" borderId="21" xfId="0" applyNumberFormat="1" applyFont="1" applyBorder="1" applyAlignment="1">
      <alignment horizontal="center" vertical="center"/>
    </xf>
    <xf numFmtId="182" fontId="21" fillId="0" borderId="23" xfId="1" applyNumberFormat="1" applyFont="1" applyBorder="1" applyAlignment="1">
      <alignment vertical="center" shrinkToFit="1"/>
    </xf>
    <xf numFmtId="183" fontId="22" fillId="0" borderId="24" xfId="1" applyNumberFormat="1" applyFont="1" applyBorder="1" applyAlignment="1">
      <alignment horizontal="center" vertical="center" shrinkToFit="1"/>
    </xf>
    <xf numFmtId="184" fontId="22" fillId="0" borderId="23" xfId="1" applyNumberFormat="1" applyFont="1" applyBorder="1" applyAlignment="1">
      <alignment horizontal="center" vertical="center" shrinkToFit="1"/>
    </xf>
    <xf numFmtId="183" fontId="22" fillId="0" borderId="25" xfId="1" applyNumberFormat="1" applyFont="1" applyBorder="1" applyAlignment="1">
      <alignment horizontal="center" vertical="center" shrinkToFit="1"/>
    </xf>
    <xf numFmtId="184" fontId="22" fillId="0" borderId="26" xfId="1" applyNumberFormat="1" applyFont="1" applyBorder="1" applyAlignment="1">
      <alignment horizontal="center" vertical="center" shrinkToFit="1"/>
    </xf>
    <xf numFmtId="49" fontId="18" fillId="0" borderId="22" xfId="1" applyNumberFormat="1" applyFont="1" applyBorder="1" applyAlignment="1">
      <alignment horizontal="center" vertical="center" shrinkToFit="1"/>
    </xf>
    <xf numFmtId="185" fontId="18" fillId="0" borderId="23" xfId="1" applyNumberFormat="1" applyFont="1" applyBorder="1" applyAlignment="1">
      <alignment horizontal="center" vertical="center" shrinkToFit="1"/>
    </xf>
    <xf numFmtId="180" fontId="22" fillId="0" borderId="23" xfId="1" applyNumberFormat="1" applyFont="1" applyBorder="1" applyAlignment="1">
      <alignment horizontal="center" vertical="center" shrinkToFit="1"/>
    </xf>
    <xf numFmtId="180" fontId="22" fillId="0" borderId="27" xfId="1" applyNumberFormat="1" applyFont="1" applyBorder="1" applyAlignment="1">
      <alignment horizontal="center" vertical="center" shrinkToFit="1"/>
    </xf>
    <xf numFmtId="180" fontId="22" fillId="0" borderId="26" xfId="1" applyNumberFormat="1" applyFont="1" applyBorder="1" applyAlignment="1">
      <alignment horizontal="center" vertical="center" shrinkToFit="1"/>
    </xf>
    <xf numFmtId="49" fontId="23" fillId="3" borderId="21" xfId="0" applyNumberFormat="1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center" vertical="center"/>
    </xf>
    <xf numFmtId="186" fontId="21" fillId="0" borderId="23" xfId="1" applyNumberFormat="1" applyFont="1" applyBorder="1" applyAlignment="1">
      <alignment vertical="center" shrinkToFit="1"/>
    </xf>
    <xf numFmtId="49" fontId="24" fillId="0" borderId="0" xfId="1" applyNumberFormat="1" applyFont="1" applyAlignment="1">
      <alignment horizontal="left" vertical="center" shrinkToFit="1"/>
    </xf>
    <xf numFmtId="187" fontId="19" fillId="0" borderId="21" xfId="0" applyNumberFormat="1" applyFont="1" applyBorder="1" applyAlignment="1">
      <alignment horizontal="center" vertical="center"/>
    </xf>
    <xf numFmtId="49" fontId="26" fillId="0" borderId="0" xfId="1" applyNumberFormat="1" applyFont="1" applyAlignment="1">
      <alignment horizontal="left" vertical="center" shrinkToFit="1"/>
    </xf>
    <xf numFmtId="49" fontId="23" fillId="3" borderId="21" xfId="1" applyNumberFormat="1" applyFont="1" applyFill="1" applyBorder="1" applyAlignment="1">
      <alignment horizontal="center" vertical="center" shrinkToFit="1"/>
    </xf>
    <xf numFmtId="49" fontId="16" fillId="3" borderId="21" xfId="1" applyNumberFormat="1" applyFont="1" applyFill="1" applyBorder="1" applyAlignment="1">
      <alignment horizontal="center" vertical="center" shrinkToFit="1"/>
    </xf>
    <xf numFmtId="0" fontId="19" fillId="0" borderId="28" xfId="0" applyFont="1" applyBorder="1" applyAlignment="1">
      <alignment horizontal="center" vertical="center"/>
    </xf>
    <xf numFmtId="0" fontId="27" fillId="0" borderId="28" xfId="1" applyFont="1" applyBorder="1" applyAlignment="1">
      <alignment horizontal="center" vertical="center" shrinkToFit="1"/>
    </xf>
    <xf numFmtId="49" fontId="25" fillId="5" borderId="29" xfId="1" applyNumberFormat="1" applyFont="1" applyFill="1" applyBorder="1" applyAlignment="1">
      <alignment horizontal="center" vertical="center" shrinkToFit="1"/>
    </xf>
    <xf numFmtId="0" fontId="28" fillId="7" borderId="16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/>
    </xf>
    <xf numFmtId="49" fontId="28" fillId="7" borderId="5" xfId="1" applyNumberFormat="1" applyFont="1" applyFill="1" applyBorder="1" applyAlignment="1">
      <alignment horizontal="center" vertical="center" shrinkToFit="1"/>
    </xf>
    <xf numFmtId="49" fontId="28" fillId="7" borderId="5" xfId="0" applyNumberFormat="1" applyFont="1" applyFill="1" applyBorder="1" applyAlignment="1">
      <alignment horizontal="center" vertical="center" shrinkToFit="1"/>
    </xf>
    <xf numFmtId="49" fontId="28" fillId="7" borderId="18" xfId="0" applyNumberFormat="1" applyFont="1" applyFill="1" applyBorder="1" applyAlignment="1">
      <alignment horizontal="center" vertical="center" shrinkToFit="1"/>
    </xf>
    <xf numFmtId="49" fontId="28" fillId="7" borderId="19" xfId="0" applyNumberFormat="1" applyFont="1" applyFill="1" applyBorder="1" applyAlignment="1">
      <alignment horizontal="center" vertical="center" shrinkToFit="1"/>
    </xf>
    <xf numFmtId="49" fontId="18" fillId="0" borderId="29" xfId="1" applyNumberFormat="1" applyFont="1" applyBorder="1" applyAlignment="1">
      <alignment horizontal="center" vertical="center" shrinkToFit="1"/>
    </xf>
    <xf numFmtId="188" fontId="17" fillId="5" borderId="21" xfId="0" applyNumberFormat="1" applyFont="1" applyFill="1" applyBorder="1" applyAlignment="1">
      <alignment horizontal="center" vertical="center"/>
    </xf>
    <xf numFmtId="189" fontId="17" fillId="0" borderId="21" xfId="3" applyNumberFormat="1" applyFont="1" applyBorder="1" applyAlignment="1">
      <alignment horizontal="center" vertical="center" shrinkToFit="1"/>
    </xf>
    <xf numFmtId="190" fontId="17" fillId="0" borderId="21" xfId="3" applyNumberFormat="1" applyFont="1" applyBorder="1" applyAlignment="1">
      <alignment horizontal="center" vertical="center" shrinkToFit="1"/>
    </xf>
    <xf numFmtId="191" fontId="29" fillId="5" borderId="28" xfId="3" applyNumberFormat="1" applyFont="1" applyFill="1" applyBorder="1" applyAlignment="1">
      <alignment horizontal="center" vertical="center" shrinkToFit="1"/>
    </xf>
    <xf numFmtId="192" fontId="17" fillId="5" borderId="22" xfId="1" applyNumberFormat="1" applyFont="1" applyFill="1" applyBorder="1" applyAlignment="1">
      <alignment horizontal="left" vertical="center" wrapText="1" shrinkToFit="1"/>
    </xf>
    <xf numFmtId="49" fontId="17" fillId="0" borderId="22" xfId="3" applyNumberFormat="1" applyFont="1" applyBorder="1" applyAlignment="1">
      <alignment horizontal="left" vertical="center" shrinkToFit="1"/>
    </xf>
    <xf numFmtId="49" fontId="17" fillId="5" borderId="29" xfId="3" applyNumberFormat="1" applyFont="1" applyFill="1" applyBorder="1" applyAlignment="1">
      <alignment horizontal="left" vertical="center" shrinkToFit="1"/>
    </xf>
    <xf numFmtId="0" fontId="18" fillId="5" borderId="31" xfId="3" applyFont="1" applyFill="1" applyBorder="1" applyAlignment="1">
      <alignment vertical="center" shrinkToFit="1"/>
    </xf>
    <xf numFmtId="187" fontId="17" fillId="5" borderId="31" xfId="0" applyNumberFormat="1" applyFont="1" applyFill="1" applyBorder="1" applyAlignment="1">
      <alignment horizontal="center" vertical="center"/>
    </xf>
    <xf numFmtId="180" fontId="17" fillId="5" borderId="15" xfId="0" applyNumberFormat="1" applyFont="1" applyFill="1" applyBorder="1" applyAlignment="1">
      <alignment horizontal="center" vertical="center"/>
    </xf>
    <xf numFmtId="180" fontId="17" fillId="5" borderId="23" xfId="0" applyNumberFormat="1" applyFont="1" applyFill="1" applyBorder="1" applyAlignment="1">
      <alignment horizontal="center" vertical="center"/>
    </xf>
    <xf numFmtId="180" fontId="17" fillId="0" borderId="15" xfId="3" applyNumberFormat="1" applyFont="1" applyBorder="1" applyAlignment="1">
      <alignment horizontal="center" vertical="center" shrinkToFit="1"/>
    </xf>
    <xf numFmtId="187" fontId="17" fillId="0" borderId="15" xfId="3" applyNumberFormat="1" applyFont="1" applyBorder="1" applyAlignment="1">
      <alignment horizontal="center" vertical="center" shrinkToFit="1"/>
    </xf>
    <xf numFmtId="180" fontId="17" fillId="0" borderId="23" xfId="3" applyNumberFormat="1" applyFont="1" applyBorder="1" applyAlignment="1">
      <alignment horizontal="center" vertical="center" shrinkToFit="1"/>
    </xf>
    <xf numFmtId="180" fontId="17" fillId="5" borderId="32" xfId="3" applyNumberFormat="1" applyFont="1" applyFill="1" applyBorder="1" applyAlignment="1">
      <alignment horizontal="center" vertical="center" shrinkToFit="1"/>
    </xf>
    <xf numFmtId="187" fontId="17" fillId="5" borderId="32" xfId="3" applyNumberFormat="1" applyFont="1" applyFill="1" applyBorder="1" applyAlignment="1">
      <alignment horizontal="right" vertical="center" shrinkToFit="1"/>
    </xf>
    <xf numFmtId="180" fontId="17" fillId="5" borderId="30" xfId="3" applyNumberFormat="1" applyFont="1" applyFill="1" applyBorder="1" applyAlignment="1">
      <alignment horizontal="center" vertical="center" shrinkToFit="1"/>
    </xf>
    <xf numFmtId="180" fontId="17" fillId="5" borderId="26" xfId="3" applyNumberFormat="1" applyFont="1" applyFill="1" applyBorder="1" applyAlignment="1">
      <alignment horizontal="center" vertical="center" shrinkToFit="1"/>
    </xf>
    <xf numFmtId="49" fontId="18" fillId="0" borderId="0" xfId="1" applyNumberFormat="1" applyFont="1" applyAlignment="1">
      <alignment horizontal="left" vertical="center" shrinkToFit="1"/>
    </xf>
    <xf numFmtId="0" fontId="29" fillId="0" borderId="22" xfId="2" applyFont="1" applyFill="1" applyBorder="1" applyAlignment="1">
      <alignment horizontal="center" vertical="center"/>
    </xf>
    <xf numFmtId="180" fontId="22" fillId="0" borderId="23" xfId="0" applyNumberFormat="1" applyFont="1" applyBorder="1" applyAlignment="1">
      <alignment horizontal="center" vertical="top" shrinkToFit="1"/>
    </xf>
    <xf numFmtId="180" fontId="27" fillId="0" borderId="26" xfId="1" applyNumberFormat="1" applyFont="1" applyBorder="1" applyAlignment="1">
      <alignment horizontal="center" vertical="center" shrinkToFit="1"/>
    </xf>
    <xf numFmtId="49" fontId="31" fillId="0" borderId="0" xfId="0" applyNumberFormat="1" applyFont="1">
      <alignment vertical="center"/>
    </xf>
    <xf numFmtId="0" fontId="31" fillId="0" borderId="0" xfId="0" applyFont="1">
      <alignment vertical="center"/>
    </xf>
    <xf numFmtId="49" fontId="30" fillId="0" borderId="0" xfId="0" applyNumberFormat="1" applyFont="1" applyAlignment="1">
      <alignment vertical="top" shrinkToFit="1"/>
    </xf>
    <xf numFmtId="49" fontId="32" fillId="0" borderId="0" xfId="0" applyNumberFormat="1" applyFont="1">
      <alignment vertical="center"/>
    </xf>
    <xf numFmtId="0" fontId="32" fillId="0" borderId="0" xfId="0" applyFont="1">
      <alignment vertical="center"/>
    </xf>
    <xf numFmtId="49" fontId="18" fillId="0" borderId="0" xfId="0" applyNumberFormat="1" applyFont="1" applyAlignment="1">
      <alignment vertical="top" shrinkToFit="1"/>
    </xf>
    <xf numFmtId="49" fontId="18" fillId="0" borderId="22" xfId="0" applyNumberFormat="1" applyFont="1" applyBorder="1" applyAlignment="1">
      <alignment horizontal="center" vertical="top" shrinkToFit="1"/>
    </xf>
    <xf numFmtId="0" fontId="29" fillId="0" borderId="29" xfId="2" applyFont="1" applyFill="1" applyBorder="1" applyAlignment="1">
      <alignment horizontal="center" vertical="center"/>
    </xf>
    <xf numFmtId="49" fontId="33" fillId="0" borderId="0" xfId="3" applyNumberFormat="1" applyFont="1" applyAlignment="1">
      <alignment horizontal="center" vertical="center" shrinkToFit="1"/>
    </xf>
    <xf numFmtId="49" fontId="33" fillId="0" borderId="0" xfId="3" applyNumberFormat="1" applyFont="1" applyAlignment="1">
      <alignment vertical="center" shrinkToFit="1"/>
    </xf>
    <xf numFmtId="0" fontId="21" fillId="0" borderId="21" xfId="0" applyFont="1" applyBorder="1" applyAlignment="1">
      <alignment horizontal="center" vertical="center"/>
    </xf>
    <xf numFmtId="0" fontId="28" fillId="7" borderId="14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 shrinkToFit="1"/>
    </xf>
    <xf numFmtId="187" fontId="17" fillId="5" borderId="34" xfId="0" applyNumberFormat="1" applyFont="1" applyFill="1" applyBorder="1" applyAlignment="1">
      <alignment horizontal="right" vertical="center"/>
    </xf>
    <xf numFmtId="180" fontId="17" fillId="5" borderId="22" xfId="0" applyNumberFormat="1" applyFont="1" applyFill="1" applyBorder="1" applyAlignment="1">
      <alignment horizontal="center" vertical="center"/>
    </xf>
    <xf numFmtId="187" fontId="17" fillId="0" borderId="10" xfId="3" applyNumberFormat="1" applyFont="1" applyBorder="1" applyAlignment="1">
      <alignment horizontal="right" vertical="center" shrinkToFit="1"/>
    </xf>
    <xf numFmtId="180" fontId="17" fillId="0" borderId="22" xfId="3" applyNumberFormat="1" applyFont="1" applyBorder="1" applyAlignment="1">
      <alignment horizontal="center" vertical="center" shrinkToFit="1"/>
    </xf>
    <xf numFmtId="187" fontId="17" fillId="5" borderId="35" xfId="3" applyNumberFormat="1" applyFont="1" applyFill="1" applyBorder="1" applyAlignment="1">
      <alignment horizontal="right" vertical="center" shrinkToFit="1"/>
    </xf>
    <xf numFmtId="180" fontId="17" fillId="5" borderId="29" xfId="3" applyNumberFormat="1" applyFont="1" applyFill="1" applyBorder="1" applyAlignment="1">
      <alignment horizontal="center" vertical="center" shrinkToFit="1"/>
    </xf>
    <xf numFmtId="49" fontId="30" fillId="5" borderId="16" xfId="0" applyNumberFormat="1" applyFont="1" applyFill="1" applyBorder="1" applyAlignment="1">
      <alignment horizontal="center" vertical="top" shrinkToFit="1"/>
    </xf>
    <xf numFmtId="49" fontId="30" fillId="5" borderId="33" xfId="0" applyNumberFormat="1" applyFont="1" applyFill="1" applyBorder="1" applyAlignment="1">
      <alignment horizontal="center" vertical="top" shrinkToFit="1"/>
    </xf>
    <xf numFmtId="49" fontId="11" fillId="0" borderId="0" xfId="1" applyNumberFormat="1" applyFont="1" applyAlignment="1">
      <alignment vertical="center" shrinkToFit="1"/>
    </xf>
    <xf numFmtId="49" fontId="1" fillId="0" borderId="0" xfId="1" applyNumberFormat="1" applyAlignment="1">
      <alignment vertical="center" shrinkToFit="1"/>
    </xf>
    <xf numFmtId="49" fontId="11" fillId="0" borderId="10" xfId="1" applyNumberFormat="1" applyFont="1" applyBorder="1" applyAlignment="1">
      <alignment horizontal="center" vertical="center" shrinkToFit="1"/>
    </xf>
    <xf numFmtId="0" fontId="0" fillId="0" borderId="14" xfId="0" applyBorder="1" applyAlignment="1"/>
    <xf numFmtId="0" fontId="12" fillId="0" borderId="0" xfId="0" applyFont="1">
      <alignment vertical="center"/>
    </xf>
    <xf numFmtId="49" fontId="1" fillId="0" borderId="0" xfId="1" applyNumberFormat="1" applyAlignment="1">
      <alignment horizontal="left" vertical="center" shrinkToFit="1"/>
    </xf>
    <xf numFmtId="0" fontId="17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180" fontId="20" fillId="6" borderId="22" xfId="0" applyNumberFormat="1" applyFont="1" applyFill="1" applyBorder="1" applyAlignment="1">
      <alignment horizontal="center" vertical="center" shrinkToFit="1"/>
    </xf>
    <xf numFmtId="180" fontId="20" fillId="6" borderId="15" xfId="0" applyNumberFormat="1" applyFont="1" applyFill="1" applyBorder="1" applyAlignment="1">
      <alignment horizontal="center" vertical="center" shrinkToFit="1"/>
    </xf>
    <xf numFmtId="181" fontId="20" fillId="0" borderId="15" xfId="1" applyNumberFormat="1" applyFont="1" applyBorder="1" applyAlignment="1">
      <alignment horizontal="center" vertical="center" shrinkToFit="1"/>
    </xf>
    <xf numFmtId="49" fontId="25" fillId="5" borderId="22" xfId="1" applyNumberFormat="1" applyFont="1" applyFill="1" applyBorder="1" applyAlignment="1">
      <alignment horizontal="center" vertical="center" wrapText="1" shrinkToFit="1"/>
    </xf>
    <xf numFmtId="180" fontId="19" fillId="6" borderId="15" xfId="0" applyNumberFormat="1" applyFont="1" applyFill="1" applyBorder="1" applyAlignment="1">
      <alignment horizontal="left" vertical="center" shrinkToFit="1"/>
    </xf>
    <xf numFmtId="180" fontId="19" fillId="6" borderId="23" xfId="0" applyNumberFormat="1" applyFont="1" applyFill="1" applyBorder="1" applyAlignment="1">
      <alignment horizontal="left" vertical="center" shrinkToFit="1"/>
    </xf>
    <xf numFmtId="49" fontId="11" fillId="0" borderId="5" xfId="1" applyNumberFormat="1" applyFont="1" applyBorder="1" applyAlignment="1">
      <alignment vertical="center" shrinkToFit="1"/>
    </xf>
    <xf numFmtId="0" fontId="0" fillId="0" borderId="5" xfId="0" applyBorder="1" applyAlignment="1"/>
    <xf numFmtId="178" fontId="11" fillId="0" borderId="0" xfId="1" applyNumberFormat="1" applyFont="1" applyAlignment="1">
      <alignment horizontal="left" vertical="center" shrinkToFit="1"/>
    </xf>
    <xf numFmtId="180" fontId="19" fillId="6" borderId="30" xfId="0" applyNumberFormat="1" applyFont="1" applyFill="1" applyBorder="1" applyAlignment="1">
      <alignment horizontal="left" vertical="center" shrinkToFit="1"/>
    </xf>
    <xf numFmtId="180" fontId="19" fillId="6" borderId="26" xfId="0" applyNumberFormat="1" applyFont="1" applyFill="1" applyBorder="1" applyAlignment="1">
      <alignment horizontal="left"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9" fillId="0" borderId="0" xfId="1" applyNumberFormat="1" applyFont="1" applyAlignment="1">
      <alignment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11" fillId="0" borderId="15" xfId="1" applyNumberFormat="1" applyFont="1" applyBorder="1" applyAlignment="1">
      <alignment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0" fillId="0" borderId="0" xfId="1" applyNumberFormat="1" applyFont="1" applyAlignment="1">
      <alignment vertical="center" shrinkToFit="1"/>
    </xf>
    <xf numFmtId="178" fontId="11" fillId="0" borderId="15" xfId="1" applyNumberFormat="1" applyFont="1" applyBorder="1" applyAlignment="1">
      <alignment horizontal="center" vertical="center" shrinkToFit="1"/>
    </xf>
    <xf numFmtId="0" fontId="0" fillId="0" borderId="12" xfId="0" applyBorder="1" applyAlignment="1"/>
    <xf numFmtId="0" fontId="0" fillId="0" borderId="13" xfId="0" applyBorder="1" applyAlignment="1"/>
    <xf numFmtId="0" fontId="0" fillId="0" borderId="9" xfId="0" applyBorder="1" applyAlignment="1"/>
    <xf numFmtId="0" fontId="0" fillId="0" borderId="11" xfId="0" applyBorder="1" applyAlignment="1"/>
    <xf numFmtId="49" fontId="12" fillId="0" borderId="7" xfId="1" applyNumberFormat="1" applyFont="1" applyBorder="1" applyAlignment="1">
      <alignment horizontal="right" vertical="center" shrinkToFit="1"/>
    </xf>
    <xf numFmtId="0" fontId="0" fillId="0" borderId="7" xfId="0" applyBorder="1" applyAlignment="1"/>
    <xf numFmtId="49" fontId="1" fillId="0" borderId="2" xfId="1" applyNumberFormat="1" applyBorder="1" applyAlignment="1">
      <alignment vertical="center" shrinkToFit="1"/>
    </xf>
    <xf numFmtId="0" fontId="0" fillId="0" borderId="4" xfId="0" applyBorder="1" applyAlignment="1"/>
    <xf numFmtId="49" fontId="11" fillId="0" borderId="11" xfId="1" applyNumberFormat="1" applyFont="1" applyBorder="1" applyAlignment="1">
      <alignment vertical="center" shrinkToFit="1"/>
    </xf>
    <xf numFmtId="0" fontId="0" fillId="0" borderId="3" xfId="0" applyBorder="1" applyAlignment="1"/>
    <xf numFmtId="49" fontId="11" fillId="0" borderId="0" xfId="1" applyNumberFormat="1" applyFont="1" applyAlignment="1">
      <alignment horizontal="left" vertical="center" shrinkToFit="1"/>
    </xf>
    <xf numFmtId="49" fontId="12" fillId="0" borderId="7" xfId="1" applyNumberFormat="1" applyFont="1" applyBorder="1" applyAlignment="1">
      <alignment vertical="center" shrinkToFit="1"/>
    </xf>
    <xf numFmtId="49" fontId="7" fillId="0" borderId="0" xfId="1" applyNumberFormat="1" applyFont="1" applyAlignment="1">
      <alignment vertical="center" shrinkToFit="1"/>
    </xf>
    <xf numFmtId="49" fontId="10" fillId="0" borderId="0" xfId="1" applyNumberFormat="1" applyFont="1" applyAlignment="1">
      <alignment horizontal="left" vertical="center" shrinkToFit="1"/>
    </xf>
    <xf numFmtId="49" fontId="8" fillId="0" borderId="0" xfId="1" applyNumberFormat="1" applyFont="1" applyAlignment="1">
      <alignment horizontal="left" vertical="center" shrinkToFit="1"/>
    </xf>
    <xf numFmtId="177" fontId="10" fillId="0" borderId="0" xfId="1" applyNumberFormat="1" applyFont="1" applyAlignment="1">
      <alignment vertical="center" shrinkToFit="1"/>
    </xf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49" fontId="12" fillId="0" borderId="9" xfId="1" applyNumberFormat="1" applyFont="1" applyBorder="1" applyAlignment="1">
      <alignment vertical="center" shrinkToFit="1"/>
    </xf>
    <xf numFmtId="49" fontId="19" fillId="5" borderId="17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</cellXfs>
  <cellStyles count="4">
    <cellStyle name="どちらでもない" xfId="2" builtinId="28"/>
    <cellStyle name="標準" xfId="0" builtinId="0"/>
    <cellStyle name="標準 2" xfId="1" xr:uid="{00000000-0005-0000-0000-000001000000}"/>
    <cellStyle name="標準 2 4" xfId="3" xr:uid="{B511F0A4-5FB8-467E-A47C-CC57756F9DAA}"/>
  </cellStyles>
  <dxfs count="4"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76200</xdr:colOff>
      <xdr:row>3</xdr:row>
      <xdr:rowOff>161925</xdr:rowOff>
    </xdr:from>
    <xdr:to>
      <xdr:col>9</xdr:col>
      <xdr:colOff>714375</xdr:colOff>
      <xdr:row>6</xdr:row>
      <xdr:rowOff>180975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28ABC81-0C4A-D5F9-2A4B-D8DDBAE6F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01075" y="704850"/>
          <a:ext cx="638175" cy="638175"/>
        </a:xfrm>
        <a:prstGeom prst="rect">
          <a:avLst/>
        </a:prstGeom>
      </xdr:spPr>
    </xdr:pic>
    <xdr:clientData/>
  </xdr:twoCellAnchor>
  <xdr:twoCellAnchor editAs="oneCell">
    <xdr:from>
      <xdr:col>8</xdr:col>
      <xdr:colOff>114300</xdr:colOff>
      <xdr:row>4</xdr:row>
      <xdr:rowOff>19050</xdr:rowOff>
    </xdr:from>
    <xdr:to>
      <xdr:col>8</xdr:col>
      <xdr:colOff>628650</xdr:colOff>
      <xdr:row>6</xdr:row>
      <xdr:rowOff>95250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06F4F9B-1C0E-426F-BCD5-BF7B1F4E5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29550" y="742950"/>
          <a:ext cx="514350" cy="5143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VFDB.xlsm" TargetMode="External"/><Relationship Id="rId2" Type="http://schemas.openxmlformats.org/officeDocument/2006/relationships/externalLinkPath" Target="file:///C:\Users\user\Desktop\VFDB.xlsm" TargetMode="External"/><Relationship Id="rId1" Type="http://schemas.openxmlformats.org/officeDocument/2006/relationships/externalLinkPath" Target="/Users/user/Desktop/VFDB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sgt2604.xlsm" TargetMode="External"/><Relationship Id="rId2" Type="http://schemas.openxmlformats.org/officeDocument/2006/relationships/externalLinkPath" Target="file:///C:\Users\user\Desktop\sgt2604.xlsm" TargetMode="External"/><Relationship Id="rId1" Type="http://schemas.openxmlformats.org/officeDocument/2006/relationships/externalLinkPath" Target="/Users/user/Desktop/sgt260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FDB2"/>
      <sheetName val="温度換算"/>
    </sheetNames>
    <sheetDataSet>
      <sheetData sheetId="0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Z1" t="str">
            <v>箱名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Z4" t="str">
            <v>LED-A300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-0.5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Z5" t="str">
            <v>LED-A444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-0.5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Z6" t="str">
            <v>LED-A592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Z7" t="str">
            <v>LED-A888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Z8" t="str">
            <v>LED-A888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Z9" t="str">
            <v>LED-A1183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Z10" t="str">
            <v>LED-A1329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Z11" t="str">
            <v>LED-A1478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Z12" t="str">
            <v>LED-A592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Z13" t="str">
            <v>LED-A888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Z14" t="str">
            <v>LED-A1183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Z15" t="str">
            <v>LED-A1478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Z23" t="str">
            <v>灯具-2　L＝1996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Z24" t="str">
            <v>灯具-2　L＝1996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Z25" t="str">
            <v>灯具-2　L＝1996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Z26" t="str">
            <v>灯具-2　L＝1996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Z27" t="str">
            <v>灯具-1　L=1370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Z28" t="str">
            <v>灯具-1　L=1370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Z29" t="str">
            <v>灯具-3　L=970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Z30" t="str">
            <v>灯具-3　L=970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Z31" t="str">
            <v>灯具-1　L=1370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Z32" t="str">
            <v>灯具-1　L=1370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Z33" t="str">
            <v>灯具-1　L=1370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Z34" t="str">
            <v>灯具-1　L=1370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Z35" t="str">
            <v>灯具-1　L=1370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Z36" t="str">
            <v>灯具-3　L=970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Z37" t="str">
            <v>H型ジョイナー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Z38" t="str">
            <v>H型ジョイナー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Z39" t="str">
            <v>H型ジョイナー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Z40" t="str">
            <v>H型ジョイナー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Z41" t="str">
            <v>H型ジョイナー端材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Z42" t="str">
            <v>H型ジョイナー端材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Z43" t="str">
            <v>H型ジョイナー端材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Z44" t="str">
            <v>H型ジョイナー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Z45" t="str">
            <v>H型ジョイナー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 t="str">
            <v>-1</v>
          </cell>
          <cell r="L46" t="str">
            <v>+1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Z46" t="str">
            <v>上-1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 t="str">
            <v>-1</v>
          </cell>
          <cell r="L47" t="str">
            <v>+1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Z47" t="str">
            <v>上-1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Z48" t="str">
            <v>PK-59827 L=500用</v>
          </cell>
          <cell r="AC48" t="str">
            <v>換算表確認</v>
          </cell>
        </row>
        <row r="49">
          <cell r="A49" t="str">
            <v>J1AKZYB00107000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Z49" t="str">
            <v>PK-59827 L=700用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Z50" t="str">
            <v>S-11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Z53" t="str">
            <v>基材梱包箱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Z54" t="str">
            <v>基材梱包箱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Z55" t="str">
            <v>基材梱包箱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Z56" t="str">
            <v>基材梱包箱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Z57" t="str">
            <v>基材梱包箱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Z58" t="str">
            <v>基材梱包箱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Z59" t="str">
            <v>基材梱包箱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Z60" t="str">
            <v>基材梱包箱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Z71" t="str">
            <v>基材梱包箱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Z72" t="str">
            <v>基材梱包箱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Z73" t="str">
            <v>基材梱包箱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Z74" t="str">
            <v>基材梱包箱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Z75" t="str">
            <v>基材梱包箱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Z76" t="str">
            <v>基材梱包箱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Z77" t="str">
            <v>T-60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Z78" t="str">
            <v>S-30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Z79" t="str">
            <v>S-40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Z80" t="str">
            <v>S-30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Z81" t="str">
            <v>S-40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Z82" t="str">
            <v>S-30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Z83" t="str">
            <v>S-30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Z84" t="str">
            <v>S-40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Z85" t="str">
            <v>S-40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Z86" t="str">
            <v>S-40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Z87" t="str">
            <v>S-40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Z88" t="str">
            <v>S-40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Z101" t="str">
            <v>S-10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Z102" t="str">
            <v>S-10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Z103" t="str">
            <v>S-10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Z104" t="str">
            <v>S-20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Z105" t="str">
            <v>S-20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Z106" t="str">
            <v>S-30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Z107" t="str">
            <v>S-30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Z108" t="str">
            <v>S-40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Z109" t="str">
            <v>S-40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Z110" t="str">
            <v>S-40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Z111" t="str">
            <v>S-40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Z112" t="str">
            <v>T-60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Z113" t="str">
            <v>T-60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Z114" t="str">
            <v>S-10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Z115" t="str">
            <v>S-20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Z116" t="str">
            <v>S-30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Z117" t="str">
            <v>S-40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Z118" t="str">
            <v>S-40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Z119" t="str">
            <v>S-40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Z124" t="str">
            <v>S-10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Z125" t="str">
            <v>S-20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Z126" t="str">
            <v>S-30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Z127" t="str">
            <v>S-30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Z128" t="str">
            <v>S-40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Z129" t="str">
            <v>S-40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Z130" t="str">
            <v>S-40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Z131" t="str">
            <v>T-60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Z132" t="str">
            <v>T-60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Z133" t="str">
            <v>T-60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Z134" t="str">
            <v>S-20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Z135" t="str">
            <v>S-30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Z136" t="str">
            <v>S-30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Z137" t="str">
            <v>S-40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Z138" t="str">
            <v>S-40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Z139" t="str">
            <v>S-40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Z140" t="str">
            <v>S-40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R141"/>
          <cell r="V141" t="str">
            <v>-</v>
          </cell>
          <cell r="W141" t="str">
            <v>-</v>
          </cell>
          <cell r="Z141" t="str">
            <v>SB-246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R142"/>
          <cell r="V142" t="str">
            <v>-</v>
          </cell>
          <cell r="W142" t="str">
            <v>-</v>
          </cell>
          <cell r="Z142" t="str">
            <v>SB-246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Z145" t="str">
            <v>基材梱包箱使用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  <row r="179">
          <cell r="A179" t="str">
            <v>J1ZAFJB00211835+</v>
          </cell>
          <cell r="J179" t="str">
            <v>-</v>
          </cell>
          <cell r="K179">
            <v>-2</v>
          </cell>
          <cell r="L179" t="str">
            <v>+2</v>
          </cell>
          <cell r="P179">
            <v>1</v>
          </cell>
          <cell r="R179" t="str">
            <v>ラベル2枚　長手有　鉢巻１</v>
          </cell>
          <cell r="V179" t="str">
            <v>梱包箱:灯具-1　L1370(隙間埋め)</v>
          </cell>
          <cell r="W179" t="str">
            <v>クラフト紙：1370型</v>
          </cell>
          <cell r="Z179" t="str">
            <v>灯具-1　L=1370</v>
          </cell>
          <cell r="AC179" t="str">
            <v>換算表確認</v>
          </cell>
        </row>
        <row r="180">
          <cell r="A180" t="str">
            <v>J1ZAFJB00208400+</v>
          </cell>
          <cell r="J180" t="str">
            <v>-</v>
          </cell>
          <cell r="K180">
            <v>-2</v>
          </cell>
          <cell r="L180" t="str">
            <v>+2</v>
          </cell>
          <cell r="P180">
            <v>1</v>
          </cell>
          <cell r="R180" t="str">
            <v>ラベル２枚　長手有　鉢巻無</v>
          </cell>
          <cell r="V180" t="str">
            <v>梱包箱:灯具-3　L=970(隙間埋め)</v>
          </cell>
          <cell r="W180" t="str">
            <v>クラフト紙：970型</v>
          </cell>
          <cell r="Z180" t="str">
            <v>灯具-3　L=970</v>
          </cell>
          <cell r="AC180" t="str">
            <v>換算表確認</v>
          </cell>
        </row>
        <row r="181">
          <cell r="A181" t="str">
            <v>J1ZAFJB00205470+</v>
          </cell>
          <cell r="J181" t="str">
            <v>-</v>
          </cell>
          <cell r="K181">
            <v>-2</v>
          </cell>
          <cell r="L181" t="str">
            <v>+2</v>
          </cell>
          <cell r="P181">
            <v>1</v>
          </cell>
          <cell r="R181" t="str">
            <v>ラベル２枚　長手有　鉢巻無</v>
          </cell>
          <cell r="V181" t="str">
            <v>梱包箱:灯具-1　L1370÷2</v>
          </cell>
          <cell r="W181" t="str">
            <v>クラフト紙：1370型　1/2</v>
          </cell>
          <cell r="Z181" t="str">
            <v>灯具-1　L=1370</v>
          </cell>
          <cell r="AC181" t="str">
            <v>換算表確認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取引"/>
      <sheetName val="日程"/>
      <sheetName val="加工記録２"/>
      <sheetName val="8FL管理"/>
      <sheetName val="納品明細書"/>
      <sheetName val="依頼書保管"/>
      <sheetName val="樹脂指示書 (PQ)"/>
      <sheetName val="VFDB2"/>
      <sheetName val="指示書"/>
      <sheetName val="指図書"/>
      <sheetName val="請求"/>
      <sheetName val="非稼働日設定"/>
      <sheetName val="温度換算"/>
      <sheetName val="網戸日程"/>
      <sheetName val="棚卸"/>
    </sheetNames>
    <sheetDataSet>
      <sheetData sheetId="0"/>
      <sheetData sheetId="1"/>
      <sheetData sheetId="2">
        <row r="2">
          <cell r="C2" t="str">
            <v>品名</v>
          </cell>
          <cell r="D2" t="str">
            <v>作業日</v>
          </cell>
          <cell r="E2" t="str">
            <v>計測Lot</v>
          </cell>
          <cell r="F2" t="str">
            <v>加工数</v>
          </cell>
          <cell r="G2" t="str">
            <v>温度</v>
          </cell>
          <cell r="H2" t="str">
            <v>換算L</v>
          </cell>
          <cell r="I2" t="str">
            <v>計測L</v>
          </cell>
          <cell r="J2" t="str">
            <v>使用Lot</v>
          </cell>
          <cell r="K2" t="str">
            <v>総加工</v>
          </cell>
          <cell r="L2" t="str">
            <v>基材換算</v>
          </cell>
          <cell r="M2" t="str">
            <v>加工Lot</v>
          </cell>
          <cell r="N2" t="str">
            <v>箱数</v>
          </cell>
        </row>
        <row r="3">
          <cell r="C3" t="str">
            <v>灯具カバーPC IN 2070　L=1966</v>
          </cell>
          <cell r="D3">
            <v>46106</v>
          </cell>
          <cell r="E3" t="str">
            <v>26C17-01</v>
          </cell>
          <cell r="F3">
            <v>6</v>
          </cell>
          <cell r="J3" t="str">
            <v>26C17-01</v>
          </cell>
          <cell r="K3">
            <v>6</v>
          </cell>
          <cell r="L3">
            <v>6</v>
          </cell>
          <cell r="M3">
            <v>46112</v>
          </cell>
          <cell r="N3">
            <v>7</v>
          </cell>
          <cell r="P3">
            <v>46112</v>
          </cell>
          <cell r="R3">
            <v>5</v>
          </cell>
          <cell r="U3" t="str">
            <v>000000000012951-2</v>
          </cell>
        </row>
        <row r="4">
          <cell r="D4">
            <v>46112</v>
          </cell>
          <cell r="E4" t="str">
            <v>26C25-04</v>
          </cell>
          <cell r="F4">
            <v>68</v>
          </cell>
          <cell r="H4" t="str">
            <v/>
          </cell>
          <cell r="J4" t="str">
            <v>26C25-04</v>
          </cell>
          <cell r="K4">
            <v>68</v>
          </cell>
          <cell r="L4">
            <v>68</v>
          </cell>
          <cell r="P4">
            <v>112</v>
          </cell>
          <cell r="R4">
            <v>13</v>
          </cell>
          <cell r="U4" t="str">
            <v>000000000012951-2</v>
          </cell>
        </row>
        <row r="5">
          <cell r="C5">
            <v>112</v>
          </cell>
          <cell r="D5">
            <v>46112</v>
          </cell>
          <cell r="E5" t="str">
            <v>26C24-03</v>
          </cell>
          <cell r="F5">
            <v>59</v>
          </cell>
          <cell r="H5" t="str">
            <v/>
          </cell>
          <cell r="J5" t="str">
            <v>26C24-03</v>
          </cell>
          <cell r="K5">
            <v>59</v>
          </cell>
          <cell r="L5">
            <v>59</v>
          </cell>
          <cell r="P5">
            <v>133</v>
          </cell>
          <cell r="R5">
            <v>1</v>
          </cell>
          <cell r="U5" t="str">
            <v>000000000012951-2</v>
          </cell>
        </row>
        <row r="6">
          <cell r="C6">
            <v>112</v>
          </cell>
          <cell r="H6" t="str">
            <v/>
          </cell>
          <cell r="K6">
            <v>0</v>
          </cell>
          <cell r="L6" t="str">
            <v/>
          </cell>
          <cell r="P6">
            <v>21</v>
          </cell>
          <cell r="U6" t="str">
            <v>000000000012951-2</v>
          </cell>
        </row>
        <row r="7">
          <cell r="C7">
            <v>1</v>
          </cell>
          <cell r="H7" t="str">
            <v/>
          </cell>
          <cell r="K7">
            <v>0</v>
          </cell>
          <cell r="L7" t="str">
            <v/>
          </cell>
          <cell r="P7">
            <v>21</v>
          </cell>
          <cell r="U7" t="str">
            <v>000000000012951-2</v>
          </cell>
        </row>
        <row r="8">
          <cell r="C8">
            <v>16</v>
          </cell>
          <cell r="H8" t="str">
            <v/>
          </cell>
          <cell r="K8">
            <v>0</v>
          </cell>
          <cell r="L8" t="str">
            <v/>
          </cell>
          <cell r="M8" t="str">
            <v>合計</v>
          </cell>
          <cell r="N8">
            <v>7</v>
          </cell>
          <cell r="P8">
            <v>0</v>
          </cell>
          <cell r="U8" t="str">
            <v>000000000012951-2</v>
          </cell>
        </row>
        <row r="9">
          <cell r="C9" t="str">
            <v>灯具-2　L＝1996</v>
          </cell>
          <cell r="H9" t="str">
            <v/>
          </cell>
          <cell r="K9">
            <v>0</v>
          </cell>
          <cell r="L9" t="str">
            <v/>
          </cell>
          <cell r="M9" t="str">
            <v>入数</v>
          </cell>
          <cell r="N9">
            <v>112</v>
          </cell>
          <cell r="P9">
            <v>133</v>
          </cell>
          <cell r="U9" t="str">
            <v>000000000012951-2</v>
          </cell>
        </row>
        <row r="10">
          <cell r="H10" t="str">
            <v/>
          </cell>
          <cell r="K10">
            <v>0</v>
          </cell>
          <cell r="L10" t="str">
            <v/>
          </cell>
          <cell r="M10" t="str">
            <v>作業者</v>
          </cell>
          <cell r="U10" t="str">
            <v>000000000012951-2</v>
          </cell>
        </row>
        <row r="11">
          <cell r="C11">
            <v>7</v>
          </cell>
          <cell r="H11" t="str">
            <v/>
          </cell>
          <cell r="K11">
            <v>0</v>
          </cell>
          <cell r="L11" t="str">
            <v/>
          </cell>
          <cell r="M11" t="str">
            <v>C</v>
          </cell>
          <cell r="N11" t="str">
            <v>I</v>
          </cell>
          <cell r="R11">
            <v>2</v>
          </cell>
          <cell r="U11" t="str">
            <v>000000000012951-2</v>
          </cell>
        </row>
        <row r="12">
          <cell r="K12">
            <v>0</v>
          </cell>
          <cell r="L12" t="str">
            <v/>
          </cell>
          <cell r="R12">
            <v>21</v>
          </cell>
          <cell r="U12" t="str">
            <v>000000000012951-2</v>
          </cell>
        </row>
        <row r="13">
          <cell r="D13" t="str">
            <v>不良補填</v>
          </cell>
          <cell r="F13" t="str">
            <v/>
          </cell>
          <cell r="U13" t="str">
            <v>000000000012951-2</v>
          </cell>
        </row>
        <row r="14">
          <cell r="C14" t="str">
            <v>灯具カバーPC IN 2140　L=547(切断)</v>
          </cell>
          <cell r="D14">
            <v>46049</v>
          </cell>
          <cell r="E14" t="str">
            <v>26A21-01</v>
          </cell>
          <cell r="F14">
            <v>13</v>
          </cell>
          <cell r="J14" t="str">
            <v>26A21-01</v>
          </cell>
          <cell r="K14">
            <v>13</v>
          </cell>
          <cell r="L14">
            <v>13</v>
          </cell>
          <cell r="M14">
            <v>46079</v>
          </cell>
          <cell r="N14">
            <v>6</v>
          </cell>
          <cell r="P14">
            <v>46112</v>
          </cell>
          <cell r="R14">
            <v>21</v>
          </cell>
          <cell r="U14" t="str">
            <v>000000000012369</v>
          </cell>
        </row>
        <row r="15">
          <cell r="D15">
            <v>46079</v>
          </cell>
          <cell r="E15" t="str">
            <v>端材</v>
          </cell>
          <cell r="F15">
            <v>180</v>
          </cell>
          <cell r="H15" t="str">
            <v/>
          </cell>
          <cell r="J15" t="str">
            <v>端材</v>
          </cell>
          <cell r="K15">
            <v>380</v>
          </cell>
          <cell r="L15" t="str">
            <v>0</v>
          </cell>
          <cell r="M15">
            <v>46085</v>
          </cell>
          <cell r="N15">
            <v>6</v>
          </cell>
          <cell r="P15">
            <v>352</v>
          </cell>
          <cell r="R15">
            <v>12</v>
          </cell>
          <cell r="U15" t="str">
            <v>000000000012369</v>
          </cell>
        </row>
        <row r="16">
          <cell r="C16">
            <v>352</v>
          </cell>
          <cell r="D16">
            <v>46085</v>
          </cell>
          <cell r="H16" t="str">
            <v/>
          </cell>
          <cell r="K16">
            <v>0</v>
          </cell>
          <cell r="L16" t="str">
            <v/>
          </cell>
          <cell r="M16">
            <v>46111</v>
          </cell>
          <cell r="N16">
            <v>5</v>
          </cell>
          <cell r="P16">
            <v>6</v>
          </cell>
          <cell r="U16" t="str">
            <v>000000000012369</v>
          </cell>
        </row>
        <row r="17">
          <cell r="C17">
            <v>352</v>
          </cell>
          <cell r="D17">
            <v>46107</v>
          </cell>
          <cell r="E17" t="str">
            <v>端材</v>
          </cell>
          <cell r="F17">
            <v>200</v>
          </cell>
          <cell r="H17" t="str">
            <v/>
          </cell>
          <cell r="K17">
            <v>0</v>
          </cell>
          <cell r="L17" t="str">
            <v/>
          </cell>
          <cell r="M17">
            <v>46112</v>
          </cell>
          <cell r="N17">
            <v>5</v>
          </cell>
          <cell r="P17">
            <v>41</v>
          </cell>
          <cell r="U17" t="str">
            <v>000000000012369</v>
          </cell>
        </row>
        <row r="18">
          <cell r="C18">
            <v>1</v>
          </cell>
          <cell r="D18">
            <v>46111</v>
          </cell>
          <cell r="H18" t="str">
            <v/>
          </cell>
          <cell r="K18">
            <v>0</v>
          </cell>
          <cell r="L18" t="str">
            <v/>
          </cell>
          <cell r="P18">
            <v>41</v>
          </cell>
          <cell r="U18" t="str">
            <v>000000000012369</v>
          </cell>
        </row>
        <row r="19">
          <cell r="C19">
            <v>16</v>
          </cell>
          <cell r="D19">
            <v>46112</v>
          </cell>
          <cell r="H19" t="str">
            <v/>
          </cell>
          <cell r="K19">
            <v>0</v>
          </cell>
          <cell r="L19" t="str">
            <v/>
          </cell>
          <cell r="M19" t="str">
            <v>合計</v>
          </cell>
          <cell r="N19">
            <v>22</v>
          </cell>
          <cell r="P19">
            <v>380</v>
          </cell>
          <cell r="U19" t="str">
            <v>000000000012369</v>
          </cell>
        </row>
        <row r="20">
          <cell r="C20" t="str">
            <v>灯具-1　L=1370</v>
          </cell>
          <cell r="H20" t="str">
            <v/>
          </cell>
          <cell r="K20">
            <v>0</v>
          </cell>
          <cell r="L20" t="str">
            <v/>
          </cell>
          <cell r="M20" t="str">
            <v>入数</v>
          </cell>
          <cell r="N20">
            <v>352</v>
          </cell>
          <cell r="P20">
            <v>393</v>
          </cell>
          <cell r="U20" t="str">
            <v>000000000012369</v>
          </cell>
        </row>
        <row r="21">
          <cell r="H21" t="str">
            <v/>
          </cell>
          <cell r="K21">
            <v>0</v>
          </cell>
          <cell r="L21" t="str">
            <v/>
          </cell>
          <cell r="M21" t="str">
            <v>作業者</v>
          </cell>
          <cell r="U21" t="str">
            <v>000000000012369</v>
          </cell>
        </row>
        <row r="22">
          <cell r="C22">
            <v>11</v>
          </cell>
          <cell r="H22" t="str">
            <v/>
          </cell>
          <cell r="K22">
            <v>0</v>
          </cell>
          <cell r="L22" t="str">
            <v/>
          </cell>
          <cell r="R22">
            <v>8</v>
          </cell>
          <cell r="U22" t="str">
            <v>000000000012369</v>
          </cell>
        </row>
        <row r="23">
          <cell r="K23">
            <v>0</v>
          </cell>
          <cell r="L23" t="str">
            <v/>
          </cell>
          <cell r="M23" t="str">
            <v>T</v>
          </cell>
          <cell r="N23" t="str">
            <v>I/C</v>
          </cell>
          <cell r="R23">
            <v>41</v>
          </cell>
          <cell r="U23" t="str">
            <v>000000000012369</v>
          </cell>
        </row>
        <row r="24">
          <cell r="D24" t="str">
            <v>不良補填</v>
          </cell>
          <cell r="F24" t="str">
            <v/>
          </cell>
          <cell r="U24" t="str">
            <v>000000000012369</v>
          </cell>
        </row>
        <row r="25">
          <cell r="C25" t="str">
            <v>ランプシェード　SL-600</v>
          </cell>
          <cell r="J25">
            <v>0</v>
          </cell>
          <cell r="K25">
            <v>0</v>
          </cell>
          <cell r="L25" t="str">
            <v/>
          </cell>
          <cell r="P25">
            <v>0</v>
          </cell>
          <cell r="U25" t="str">
            <v>000000000013022</v>
          </cell>
        </row>
        <row r="26">
          <cell r="H26" t="str">
            <v/>
          </cell>
          <cell r="J26" t="str">
            <v/>
          </cell>
          <cell r="K26">
            <v>0</v>
          </cell>
          <cell r="L26" t="str">
            <v/>
          </cell>
          <cell r="P26">
            <v>0</v>
          </cell>
          <cell r="U26" t="str">
            <v>000000000013022</v>
          </cell>
        </row>
        <row r="27">
          <cell r="C27">
            <v>1200</v>
          </cell>
          <cell r="H27" t="str">
            <v/>
          </cell>
          <cell r="K27">
            <v>0</v>
          </cell>
          <cell r="L27" t="str">
            <v/>
          </cell>
          <cell r="P27">
            <v>0</v>
          </cell>
          <cell r="U27" t="str">
            <v>000000000013022</v>
          </cell>
        </row>
        <row r="28">
          <cell r="C28">
            <v>1200</v>
          </cell>
          <cell r="H28" t="str">
            <v/>
          </cell>
          <cell r="K28">
            <v>0</v>
          </cell>
          <cell r="L28" t="str">
            <v/>
          </cell>
          <cell r="P28">
            <v>0</v>
          </cell>
          <cell r="U28" t="str">
            <v>000000000013022</v>
          </cell>
        </row>
        <row r="29">
          <cell r="C29">
            <v>2</v>
          </cell>
          <cell r="H29" t="str">
            <v/>
          </cell>
          <cell r="K29">
            <v>0</v>
          </cell>
          <cell r="L29" t="str">
            <v/>
          </cell>
          <cell r="P29">
            <v>0</v>
          </cell>
          <cell r="U29" t="str">
            <v>000000000013022</v>
          </cell>
        </row>
        <row r="30">
          <cell r="C30">
            <v>300</v>
          </cell>
          <cell r="H30" t="str">
            <v/>
          </cell>
          <cell r="K30">
            <v>0</v>
          </cell>
          <cell r="L30" t="str">
            <v/>
          </cell>
          <cell r="M30" t="str">
            <v>合計</v>
          </cell>
          <cell r="N30">
            <v>0</v>
          </cell>
          <cell r="P30">
            <v>0</v>
          </cell>
          <cell r="U30" t="str">
            <v>000000000013022</v>
          </cell>
        </row>
        <row r="31">
          <cell r="H31" t="str">
            <v/>
          </cell>
          <cell r="K31">
            <v>0</v>
          </cell>
          <cell r="L31" t="str">
            <v/>
          </cell>
          <cell r="M31" t="str">
            <v>入数</v>
          </cell>
          <cell r="N31">
            <v>0</v>
          </cell>
          <cell r="P31">
            <v>0</v>
          </cell>
          <cell r="U31" t="str">
            <v>000000000013022</v>
          </cell>
        </row>
        <row r="32">
          <cell r="H32" t="str">
            <v/>
          </cell>
          <cell r="K32">
            <v>0</v>
          </cell>
          <cell r="L32" t="str">
            <v/>
          </cell>
          <cell r="M32" t="str">
            <v>作業者</v>
          </cell>
          <cell r="U32" t="str">
            <v>000000000013022</v>
          </cell>
        </row>
        <row r="33">
          <cell r="C33">
            <v>0</v>
          </cell>
          <cell r="H33" t="str">
            <v/>
          </cell>
          <cell r="K33">
            <v>0</v>
          </cell>
          <cell r="L33" t="str">
            <v/>
          </cell>
          <cell r="U33" t="str">
            <v>000000000013022</v>
          </cell>
        </row>
        <row r="34">
          <cell r="K34">
            <v>0</v>
          </cell>
          <cell r="L34" t="str">
            <v/>
          </cell>
          <cell r="R34">
            <v>0</v>
          </cell>
          <cell r="U34" t="str">
            <v>000000000013022</v>
          </cell>
        </row>
        <row r="35">
          <cell r="D35" t="str">
            <v>不良補填</v>
          </cell>
          <cell r="F35" t="str">
            <v/>
          </cell>
          <cell r="U35" t="str">
            <v>000000000013022</v>
          </cell>
        </row>
        <row r="36">
          <cell r="C36" t="str">
            <v>灯具カバーPC IN 2130　L=908</v>
          </cell>
          <cell r="J36">
            <v>0</v>
          </cell>
          <cell r="K36">
            <v>0</v>
          </cell>
          <cell r="L36" t="str">
            <v/>
          </cell>
          <cell r="P36">
            <v>0</v>
          </cell>
          <cell r="U36" t="str">
            <v>000000000012943</v>
          </cell>
        </row>
        <row r="37">
          <cell r="H37" t="str">
            <v/>
          </cell>
          <cell r="J37" t="str">
            <v/>
          </cell>
          <cell r="K37">
            <v>0</v>
          </cell>
          <cell r="L37" t="str">
            <v/>
          </cell>
          <cell r="P37">
            <v>0</v>
          </cell>
          <cell r="U37" t="str">
            <v>000000000012943</v>
          </cell>
        </row>
        <row r="38">
          <cell r="C38">
            <v>192</v>
          </cell>
          <cell r="H38" t="str">
            <v/>
          </cell>
          <cell r="K38">
            <v>0</v>
          </cell>
          <cell r="L38" t="str">
            <v/>
          </cell>
          <cell r="P38">
            <v>0</v>
          </cell>
          <cell r="U38" t="str">
            <v>000000000012943</v>
          </cell>
        </row>
        <row r="39">
          <cell r="C39">
            <v>192</v>
          </cell>
          <cell r="H39" t="str">
            <v/>
          </cell>
          <cell r="K39">
            <v>0</v>
          </cell>
          <cell r="L39" t="str">
            <v/>
          </cell>
          <cell r="P39">
            <v>0</v>
          </cell>
          <cell r="U39" t="str">
            <v>000000000012943</v>
          </cell>
        </row>
        <row r="40">
          <cell r="C40">
            <v>1</v>
          </cell>
          <cell r="H40" t="str">
            <v/>
          </cell>
          <cell r="K40">
            <v>0</v>
          </cell>
          <cell r="L40" t="str">
            <v/>
          </cell>
          <cell r="P40">
            <v>0</v>
          </cell>
          <cell r="U40" t="str">
            <v>000000000012943</v>
          </cell>
        </row>
        <row r="41">
          <cell r="C41">
            <v>16</v>
          </cell>
          <cell r="H41" t="str">
            <v/>
          </cell>
          <cell r="K41">
            <v>0</v>
          </cell>
          <cell r="L41" t="str">
            <v/>
          </cell>
          <cell r="M41" t="str">
            <v>合計</v>
          </cell>
          <cell r="N41">
            <v>0</v>
          </cell>
          <cell r="P41">
            <v>0</v>
          </cell>
          <cell r="U41" t="str">
            <v>000000000012943</v>
          </cell>
        </row>
        <row r="42">
          <cell r="C42" t="str">
            <v>灯具-3　L=970</v>
          </cell>
          <cell r="H42" t="str">
            <v/>
          </cell>
          <cell r="K42">
            <v>0</v>
          </cell>
          <cell r="L42" t="str">
            <v/>
          </cell>
          <cell r="M42" t="str">
            <v>入数</v>
          </cell>
          <cell r="N42">
            <v>0</v>
          </cell>
          <cell r="P42">
            <v>0</v>
          </cell>
          <cell r="U42" t="str">
            <v>000000000012943</v>
          </cell>
        </row>
        <row r="43">
          <cell r="H43" t="str">
            <v/>
          </cell>
          <cell r="K43">
            <v>0</v>
          </cell>
          <cell r="L43" t="str">
            <v/>
          </cell>
          <cell r="M43" t="str">
            <v>作業者</v>
          </cell>
          <cell r="U43" t="str">
            <v>000000000012943</v>
          </cell>
        </row>
        <row r="44">
          <cell r="C44">
            <v>0</v>
          </cell>
          <cell r="H44" t="str">
            <v/>
          </cell>
          <cell r="K44">
            <v>0</v>
          </cell>
          <cell r="L44" t="str">
            <v/>
          </cell>
          <cell r="U44" t="str">
            <v>000000000012943</v>
          </cell>
        </row>
        <row r="45">
          <cell r="K45">
            <v>0</v>
          </cell>
          <cell r="L45" t="str">
            <v/>
          </cell>
          <cell r="R45">
            <v>0</v>
          </cell>
          <cell r="U45" t="str">
            <v>000000000012943</v>
          </cell>
        </row>
        <row r="46">
          <cell r="D46" t="str">
            <v>不良補填</v>
          </cell>
          <cell r="F46" t="str">
            <v/>
          </cell>
          <cell r="U46" t="str">
            <v>000000000012943</v>
          </cell>
        </row>
        <row r="47">
          <cell r="C47" t="str">
            <v>灯具カバーPC IN 2050　L=1183.5</v>
          </cell>
          <cell r="J47">
            <v>0</v>
          </cell>
          <cell r="K47">
            <v>0</v>
          </cell>
          <cell r="L47" t="str">
            <v/>
          </cell>
          <cell r="P47">
            <v>0</v>
          </cell>
          <cell r="U47" t="str">
            <v>000000000012945</v>
          </cell>
        </row>
        <row r="48">
          <cell r="H48" t="str">
            <v/>
          </cell>
          <cell r="J48" t="str">
            <v/>
          </cell>
          <cell r="K48">
            <v>0</v>
          </cell>
          <cell r="L48" t="str">
            <v/>
          </cell>
          <cell r="P48">
            <v>0</v>
          </cell>
          <cell r="U48" t="str">
            <v>000000000012945</v>
          </cell>
        </row>
        <row r="49">
          <cell r="C49">
            <v>160</v>
          </cell>
          <cell r="H49" t="str">
            <v/>
          </cell>
          <cell r="K49">
            <v>0</v>
          </cell>
          <cell r="L49" t="str">
            <v/>
          </cell>
          <cell r="P49">
            <v>0</v>
          </cell>
          <cell r="U49" t="str">
            <v>000000000012945</v>
          </cell>
        </row>
        <row r="50">
          <cell r="C50">
            <v>192</v>
          </cell>
          <cell r="H50" t="str">
            <v/>
          </cell>
          <cell r="K50">
            <v>0</v>
          </cell>
          <cell r="L50" t="str">
            <v/>
          </cell>
          <cell r="P50">
            <v>0</v>
          </cell>
          <cell r="U50" t="str">
            <v>000000000012945</v>
          </cell>
        </row>
        <row r="51">
          <cell r="C51">
            <v>1</v>
          </cell>
          <cell r="H51" t="str">
            <v/>
          </cell>
          <cell r="K51">
            <v>0</v>
          </cell>
          <cell r="L51" t="str">
            <v/>
          </cell>
          <cell r="P51">
            <v>0</v>
          </cell>
          <cell r="U51" t="str">
            <v>000000000012945</v>
          </cell>
        </row>
        <row r="52">
          <cell r="C52">
            <v>16</v>
          </cell>
          <cell r="H52" t="str">
            <v/>
          </cell>
          <cell r="K52">
            <v>0</v>
          </cell>
          <cell r="L52" t="str">
            <v/>
          </cell>
          <cell r="M52" t="str">
            <v>合計</v>
          </cell>
          <cell r="N52">
            <v>0</v>
          </cell>
          <cell r="P52">
            <v>0</v>
          </cell>
          <cell r="U52" t="str">
            <v>000000000012945</v>
          </cell>
        </row>
        <row r="53">
          <cell r="C53" t="str">
            <v>灯具-1　L=1370</v>
          </cell>
          <cell r="H53" t="str">
            <v/>
          </cell>
          <cell r="K53">
            <v>0</v>
          </cell>
          <cell r="L53" t="str">
            <v/>
          </cell>
          <cell r="M53" t="str">
            <v>入数</v>
          </cell>
          <cell r="N53">
            <v>0</v>
          </cell>
          <cell r="P53">
            <v>0</v>
          </cell>
          <cell r="U53" t="str">
            <v>000000000012945</v>
          </cell>
        </row>
        <row r="54">
          <cell r="H54" t="str">
            <v/>
          </cell>
          <cell r="K54">
            <v>0</v>
          </cell>
          <cell r="L54" t="str">
            <v/>
          </cell>
          <cell r="M54" t="str">
            <v>作業者</v>
          </cell>
          <cell r="U54" t="str">
            <v>000000000012945</v>
          </cell>
        </row>
        <row r="55">
          <cell r="C55">
            <v>0</v>
          </cell>
          <cell r="H55" t="str">
            <v/>
          </cell>
          <cell r="K55">
            <v>0</v>
          </cell>
          <cell r="L55" t="str">
            <v/>
          </cell>
          <cell r="U55" t="str">
            <v>000000000012945</v>
          </cell>
        </row>
        <row r="56">
          <cell r="K56">
            <v>0</v>
          </cell>
          <cell r="L56" t="str">
            <v/>
          </cell>
          <cell r="R56">
            <v>0</v>
          </cell>
          <cell r="U56" t="str">
            <v>000000000012945</v>
          </cell>
        </row>
        <row r="57">
          <cell r="D57" t="str">
            <v>不良補填</v>
          </cell>
          <cell r="F57" t="str">
            <v/>
          </cell>
          <cell r="U57" t="str">
            <v>000000000012945</v>
          </cell>
        </row>
        <row r="58">
          <cell r="C58" t="str">
            <v>8FL281304 5010　L=888</v>
          </cell>
          <cell r="J58">
            <v>0</v>
          </cell>
          <cell r="K58">
            <v>0</v>
          </cell>
          <cell r="L58" t="str">
            <v/>
          </cell>
          <cell r="P58">
            <v>0</v>
          </cell>
          <cell r="U58" t="str">
            <v>000000000013165</v>
          </cell>
        </row>
        <row r="59">
          <cell r="H59" t="str">
            <v/>
          </cell>
          <cell r="J59" t="str">
            <v/>
          </cell>
          <cell r="K59">
            <v>0</v>
          </cell>
          <cell r="L59" t="str">
            <v/>
          </cell>
          <cell r="P59">
            <v>0</v>
          </cell>
          <cell r="U59" t="str">
            <v>000000000013165</v>
          </cell>
        </row>
        <row r="60">
          <cell r="C60">
            <v>800</v>
          </cell>
          <cell r="H60" t="str">
            <v/>
          </cell>
          <cell r="K60">
            <v>0</v>
          </cell>
          <cell r="L60" t="str">
            <v/>
          </cell>
          <cell r="P60">
            <v>0</v>
          </cell>
          <cell r="U60" t="str">
            <v>000000000013165</v>
          </cell>
        </row>
        <row r="61">
          <cell r="C61">
            <v>2000</v>
          </cell>
          <cell r="H61" t="str">
            <v/>
          </cell>
          <cell r="K61">
            <v>0</v>
          </cell>
          <cell r="L61" t="str">
            <v/>
          </cell>
          <cell r="P61">
            <v>0</v>
          </cell>
          <cell r="U61" t="str">
            <v>000000000013165</v>
          </cell>
        </row>
        <row r="62">
          <cell r="C62">
            <v>2</v>
          </cell>
          <cell r="H62" t="str">
            <v/>
          </cell>
          <cell r="K62">
            <v>0</v>
          </cell>
          <cell r="L62" t="str">
            <v/>
          </cell>
          <cell r="P62">
            <v>0</v>
          </cell>
          <cell r="U62" t="str">
            <v>000000000013165</v>
          </cell>
        </row>
        <row r="63">
          <cell r="C63">
            <v>100</v>
          </cell>
          <cell r="H63" t="str">
            <v/>
          </cell>
          <cell r="K63">
            <v>0</v>
          </cell>
          <cell r="L63" t="str">
            <v/>
          </cell>
          <cell r="M63" t="str">
            <v>合計</v>
          </cell>
          <cell r="N63">
            <v>0</v>
          </cell>
          <cell r="P63">
            <v>0</v>
          </cell>
          <cell r="U63" t="str">
            <v>000000000013165</v>
          </cell>
        </row>
        <row r="64">
          <cell r="C64" t="str">
            <v>LED-A888</v>
          </cell>
          <cell r="H64" t="str">
            <v/>
          </cell>
          <cell r="K64">
            <v>0</v>
          </cell>
          <cell r="L64" t="str">
            <v/>
          </cell>
          <cell r="M64" t="str">
            <v>入数</v>
          </cell>
          <cell r="N64">
            <v>0</v>
          </cell>
          <cell r="P64">
            <v>0</v>
          </cell>
          <cell r="U64" t="str">
            <v>000000000013165</v>
          </cell>
        </row>
        <row r="65">
          <cell r="H65" t="str">
            <v/>
          </cell>
          <cell r="K65">
            <v>0</v>
          </cell>
          <cell r="L65" t="str">
            <v/>
          </cell>
          <cell r="M65" t="str">
            <v>作業者</v>
          </cell>
          <cell r="U65" t="str">
            <v>000000000013165</v>
          </cell>
        </row>
        <row r="66">
          <cell r="C66">
            <v>0</v>
          </cell>
          <cell r="H66" t="str">
            <v/>
          </cell>
          <cell r="K66">
            <v>0</v>
          </cell>
          <cell r="L66" t="str">
            <v/>
          </cell>
          <cell r="U66" t="str">
            <v>000000000013165</v>
          </cell>
        </row>
        <row r="67">
          <cell r="K67">
            <v>0</v>
          </cell>
          <cell r="L67" t="str">
            <v/>
          </cell>
          <cell r="R67">
            <v>0</v>
          </cell>
          <cell r="U67" t="str">
            <v>000000000013165</v>
          </cell>
        </row>
        <row r="68">
          <cell r="D68" t="str">
            <v>不良補填</v>
          </cell>
          <cell r="F68">
            <v>0</v>
          </cell>
          <cell r="U68" t="str">
            <v>000000000013165</v>
          </cell>
        </row>
        <row r="69">
          <cell r="C69" t="str">
            <v>8FL281304 5010　L=888</v>
          </cell>
          <cell r="J69">
            <v>0</v>
          </cell>
          <cell r="K69">
            <v>0</v>
          </cell>
          <cell r="L69" t="str">
            <v/>
          </cell>
          <cell r="P69">
            <v>0</v>
          </cell>
          <cell r="U69" t="str">
            <v>000000000013166</v>
          </cell>
        </row>
        <row r="70">
          <cell r="H70" t="str">
            <v/>
          </cell>
          <cell r="J70" t="str">
            <v/>
          </cell>
          <cell r="K70">
            <v>0</v>
          </cell>
          <cell r="L70" t="str">
            <v/>
          </cell>
          <cell r="P70">
            <v>0</v>
          </cell>
          <cell r="U70" t="str">
            <v>000000000013166</v>
          </cell>
        </row>
        <row r="71">
          <cell r="H71" t="str">
            <v/>
          </cell>
          <cell r="K71">
            <v>0</v>
          </cell>
          <cell r="L71" t="str">
            <v/>
          </cell>
          <cell r="P71">
            <v>0</v>
          </cell>
          <cell r="U71" t="str">
            <v>000000000013166</v>
          </cell>
        </row>
        <row r="72">
          <cell r="C72">
            <v>400</v>
          </cell>
          <cell r="H72" t="str">
            <v/>
          </cell>
          <cell r="K72">
            <v>0</v>
          </cell>
          <cell r="L72" t="str">
            <v/>
          </cell>
          <cell r="P72">
            <v>0</v>
          </cell>
          <cell r="U72" t="str">
            <v>000000000013166</v>
          </cell>
        </row>
        <row r="73">
          <cell r="C73">
            <v>2</v>
          </cell>
          <cell r="H73" t="str">
            <v/>
          </cell>
          <cell r="K73">
            <v>0</v>
          </cell>
          <cell r="L73" t="str">
            <v/>
          </cell>
          <cell r="P73">
            <v>0</v>
          </cell>
          <cell r="U73" t="str">
            <v>000000000013166</v>
          </cell>
        </row>
        <row r="74">
          <cell r="C74">
            <v>100</v>
          </cell>
          <cell r="H74" t="str">
            <v/>
          </cell>
          <cell r="K74">
            <v>0</v>
          </cell>
          <cell r="L74" t="str">
            <v/>
          </cell>
          <cell r="M74" t="str">
            <v>合計</v>
          </cell>
          <cell r="N74">
            <v>0</v>
          </cell>
          <cell r="P74">
            <v>0</v>
          </cell>
          <cell r="U74" t="str">
            <v>000000000013166</v>
          </cell>
        </row>
        <row r="75">
          <cell r="C75" t="str">
            <v>LED-A888</v>
          </cell>
          <cell r="H75" t="str">
            <v/>
          </cell>
          <cell r="K75">
            <v>0</v>
          </cell>
          <cell r="L75" t="str">
            <v/>
          </cell>
          <cell r="M75" t="str">
            <v>入数</v>
          </cell>
          <cell r="N75">
            <v>0</v>
          </cell>
          <cell r="P75">
            <v>0</v>
          </cell>
          <cell r="U75" t="str">
            <v>000000000013166</v>
          </cell>
        </row>
        <row r="76">
          <cell r="H76" t="str">
            <v/>
          </cell>
          <cell r="K76">
            <v>0</v>
          </cell>
          <cell r="L76" t="str">
            <v/>
          </cell>
          <cell r="M76" t="str">
            <v>作業者</v>
          </cell>
          <cell r="U76" t="str">
            <v>000000000013166</v>
          </cell>
        </row>
        <row r="77">
          <cell r="C77">
            <v>0</v>
          </cell>
          <cell r="H77" t="str">
            <v/>
          </cell>
          <cell r="K77">
            <v>0</v>
          </cell>
          <cell r="L77" t="str">
            <v/>
          </cell>
          <cell r="U77" t="str">
            <v>000000000013166</v>
          </cell>
        </row>
        <row r="78">
          <cell r="K78">
            <v>0</v>
          </cell>
          <cell r="L78" t="str">
            <v/>
          </cell>
          <cell r="R78">
            <v>0</v>
          </cell>
          <cell r="U78" t="str">
            <v>000000000013166</v>
          </cell>
        </row>
        <row r="79">
          <cell r="D79" t="str">
            <v>不良補填</v>
          </cell>
          <cell r="F79">
            <v>0</v>
          </cell>
          <cell r="U79" t="str">
            <v>000000000013166</v>
          </cell>
        </row>
        <row r="80">
          <cell r="C80" t="str">
            <v>8FL281304 4910　L=592</v>
          </cell>
          <cell r="J80">
            <v>0</v>
          </cell>
          <cell r="K80">
            <v>0</v>
          </cell>
          <cell r="L80" t="str">
            <v/>
          </cell>
          <cell r="P80">
            <v>0</v>
          </cell>
          <cell r="U80" t="str">
            <v>000000000013160</v>
          </cell>
        </row>
        <row r="81">
          <cell r="H81" t="str">
            <v/>
          </cell>
          <cell r="J81" t="str">
            <v/>
          </cell>
          <cell r="K81">
            <v>0</v>
          </cell>
          <cell r="L81" t="str">
            <v/>
          </cell>
          <cell r="P81">
            <v>0</v>
          </cell>
          <cell r="U81" t="str">
            <v>000000000013160</v>
          </cell>
        </row>
        <row r="82">
          <cell r="H82" t="str">
            <v/>
          </cell>
          <cell r="K82">
            <v>0</v>
          </cell>
          <cell r="L82" t="str">
            <v/>
          </cell>
          <cell r="P82">
            <v>0</v>
          </cell>
          <cell r="U82" t="str">
            <v>000000000013160</v>
          </cell>
        </row>
        <row r="83">
          <cell r="C83">
            <v>300</v>
          </cell>
          <cell r="H83" t="str">
            <v/>
          </cell>
          <cell r="K83">
            <v>0</v>
          </cell>
          <cell r="L83" t="str">
            <v/>
          </cell>
          <cell r="P83">
            <v>0</v>
          </cell>
          <cell r="U83" t="str">
            <v>000000000013160</v>
          </cell>
        </row>
        <row r="84">
          <cell r="C84">
            <v>3</v>
          </cell>
          <cell r="H84" t="str">
            <v/>
          </cell>
          <cell r="K84">
            <v>0</v>
          </cell>
          <cell r="L84" t="str">
            <v/>
          </cell>
          <cell r="P84">
            <v>0</v>
          </cell>
          <cell r="U84" t="str">
            <v>000000000013160</v>
          </cell>
        </row>
        <row r="85">
          <cell r="C85">
            <v>100</v>
          </cell>
          <cell r="H85" t="str">
            <v/>
          </cell>
          <cell r="K85">
            <v>0</v>
          </cell>
          <cell r="L85" t="str">
            <v/>
          </cell>
          <cell r="M85" t="str">
            <v>合計</v>
          </cell>
          <cell r="N85">
            <v>0</v>
          </cell>
          <cell r="P85">
            <v>0</v>
          </cell>
          <cell r="U85" t="str">
            <v>000000000013160</v>
          </cell>
        </row>
        <row r="86">
          <cell r="C86" t="str">
            <v>LED-A592</v>
          </cell>
          <cell r="H86" t="str">
            <v/>
          </cell>
          <cell r="K86">
            <v>0</v>
          </cell>
          <cell r="L86" t="str">
            <v/>
          </cell>
          <cell r="M86" t="str">
            <v>入数</v>
          </cell>
          <cell r="N86">
            <v>0</v>
          </cell>
          <cell r="P86">
            <v>0</v>
          </cell>
          <cell r="U86" t="str">
            <v>000000000013160</v>
          </cell>
        </row>
        <row r="87">
          <cell r="H87" t="str">
            <v/>
          </cell>
          <cell r="K87">
            <v>0</v>
          </cell>
          <cell r="L87" t="str">
            <v/>
          </cell>
          <cell r="M87" t="str">
            <v>作業者</v>
          </cell>
          <cell r="U87" t="str">
            <v>000000000013160</v>
          </cell>
        </row>
        <row r="88">
          <cell r="C88">
            <v>0</v>
          </cell>
          <cell r="H88" t="str">
            <v/>
          </cell>
          <cell r="K88">
            <v>0</v>
          </cell>
          <cell r="L88" t="str">
            <v/>
          </cell>
          <cell r="U88" t="str">
            <v>000000000013160</v>
          </cell>
        </row>
        <row r="89">
          <cell r="K89">
            <v>0</v>
          </cell>
          <cell r="L89" t="str">
            <v/>
          </cell>
          <cell r="R89">
            <v>0</v>
          </cell>
          <cell r="U89" t="str">
            <v>000000000013160</v>
          </cell>
        </row>
        <row r="90">
          <cell r="D90" t="str">
            <v>不良補填</v>
          </cell>
          <cell r="F90">
            <v>0</v>
          </cell>
          <cell r="U90" t="str">
            <v>000000000013160</v>
          </cell>
        </row>
        <row r="91">
          <cell r="C91" t="str">
            <v>8FL281304 4910　L=592</v>
          </cell>
          <cell r="J91">
            <v>0</v>
          </cell>
          <cell r="K91">
            <v>0</v>
          </cell>
          <cell r="L91" t="str">
            <v/>
          </cell>
          <cell r="P91">
            <v>0</v>
          </cell>
          <cell r="U91" t="str">
            <v>000000000013161</v>
          </cell>
        </row>
        <row r="92">
          <cell r="H92" t="str">
            <v/>
          </cell>
          <cell r="J92" t="str">
            <v/>
          </cell>
          <cell r="K92">
            <v>0</v>
          </cell>
          <cell r="L92" t="str">
            <v/>
          </cell>
          <cell r="P92">
            <v>0</v>
          </cell>
          <cell r="U92" t="str">
            <v>000000000013161</v>
          </cell>
        </row>
        <row r="93">
          <cell r="H93" t="str">
            <v/>
          </cell>
          <cell r="K93">
            <v>0</v>
          </cell>
          <cell r="L93" t="str">
            <v/>
          </cell>
          <cell r="P93">
            <v>0</v>
          </cell>
          <cell r="U93" t="str">
            <v>000000000013161</v>
          </cell>
        </row>
        <row r="94">
          <cell r="C94">
            <v>200</v>
          </cell>
          <cell r="H94" t="str">
            <v/>
          </cell>
          <cell r="K94">
            <v>0</v>
          </cell>
          <cell r="L94" t="str">
            <v/>
          </cell>
          <cell r="P94">
            <v>0</v>
          </cell>
          <cell r="U94" t="str">
            <v>000000000013161</v>
          </cell>
        </row>
        <row r="95">
          <cell r="C95">
            <v>3</v>
          </cell>
          <cell r="H95" t="str">
            <v/>
          </cell>
          <cell r="K95">
            <v>0</v>
          </cell>
          <cell r="L95" t="str">
            <v/>
          </cell>
          <cell r="P95">
            <v>0</v>
          </cell>
          <cell r="U95" t="str">
            <v>000000000013161</v>
          </cell>
        </row>
        <row r="96">
          <cell r="C96">
            <v>100</v>
          </cell>
          <cell r="H96" t="str">
            <v/>
          </cell>
          <cell r="K96">
            <v>0</v>
          </cell>
          <cell r="L96" t="str">
            <v/>
          </cell>
          <cell r="M96" t="str">
            <v>合計</v>
          </cell>
          <cell r="N96">
            <v>0</v>
          </cell>
          <cell r="P96">
            <v>0</v>
          </cell>
          <cell r="U96" t="str">
            <v>000000000013161</v>
          </cell>
        </row>
        <row r="97">
          <cell r="C97" t="str">
            <v>LED-A592</v>
          </cell>
          <cell r="H97" t="str">
            <v/>
          </cell>
          <cell r="K97">
            <v>0</v>
          </cell>
          <cell r="L97" t="str">
            <v/>
          </cell>
          <cell r="M97" t="str">
            <v>入数</v>
          </cell>
          <cell r="N97">
            <v>0</v>
          </cell>
          <cell r="P97">
            <v>0</v>
          </cell>
          <cell r="U97" t="str">
            <v>000000000013161</v>
          </cell>
        </row>
        <row r="98">
          <cell r="H98" t="str">
            <v/>
          </cell>
          <cell r="K98">
            <v>0</v>
          </cell>
          <cell r="L98" t="str">
            <v/>
          </cell>
          <cell r="M98" t="str">
            <v>作業者</v>
          </cell>
          <cell r="U98" t="str">
            <v>000000000013161</v>
          </cell>
        </row>
        <row r="99">
          <cell r="C99">
            <v>0</v>
          </cell>
          <cell r="H99" t="str">
            <v/>
          </cell>
          <cell r="K99">
            <v>0</v>
          </cell>
          <cell r="L99" t="str">
            <v/>
          </cell>
          <cell r="U99" t="str">
            <v>000000000013161</v>
          </cell>
        </row>
        <row r="100">
          <cell r="K100">
            <v>0</v>
          </cell>
          <cell r="L100" t="str">
            <v/>
          </cell>
          <cell r="R100">
            <v>0</v>
          </cell>
          <cell r="U100" t="str">
            <v>000000000013161</v>
          </cell>
        </row>
        <row r="101">
          <cell r="D101" t="str">
            <v>不良補填</v>
          </cell>
          <cell r="F101">
            <v>0</v>
          </cell>
          <cell r="U101" t="str">
            <v>000000000013161</v>
          </cell>
        </row>
        <row r="102">
          <cell r="C102" t="str">
            <v>8FL281304 4910　L=592</v>
          </cell>
          <cell r="J102">
            <v>0</v>
          </cell>
          <cell r="K102">
            <v>0</v>
          </cell>
          <cell r="L102" t="str">
            <v/>
          </cell>
          <cell r="P102">
            <v>0</v>
          </cell>
          <cell r="U102" t="str">
            <v>000000000013162</v>
          </cell>
        </row>
        <row r="103">
          <cell r="H103" t="str">
            <v/>
          </cell>
          <cell r="J103" t="str">
            <v/>
          </cell>
          <cell r="K103">
            <v>0</v>
          </cell>
          <cell r="L103" t="str">
            <v/>
          </cell>
          <cell r="P103">
            <v>0</v>
          </cell>
          <cell r="U103" t="str">
            <v>000000000013162</v>
          </cell>
        </row>
        <row r="104">
          <cell r="H104" t="str">
            <v/>
          </cell>
          <cell r="K104">
            <v>0</v>
          </cell>
          <cell r="L104" t="str">
            <v/>
          </cell>
          <cell r="P104">
            <v>0</v>
          </cell>
          <cell r="U104" t="str">
            <v>000000000013162</v>
          </cell>
        </row>
        <row r="105">
          <cell r="C105">
            <v>100</v>
          </cell>
          <cell r="H105" t="str">
            <v/>
          </cell>
          <cell r="K105">
            <v>0</v>
          </cell>
          <cell r="L105" t="str">
            <v/>
          </cell>
          <cell r="P105">
            <v>0</v>
          </cell>
          <cell r="U105" t="str">
            <v>000000000013162</v>
          </cell>
        </row>
        <row r="106">
          <cell r="C106">
            <v>3</v>
          </cell>
          <cell r="H106" t="str">
            <v/>
          </cell>
          <cell r="K106">
            <v>0</v>
          </cell>
          <cell r="L106" t="str">
            <v/>
          </cell>
          <cell r="P106">
            <v>0</v>
          </cell>
          <cell r="U106" t="str">
            <v>000000000013162</v>
          </cell>
        </row>
        <row r="107">
          <cell r="C107">
            <v>100</v>
          </cell>
          <cell r="H107" t="str">
            <v/>
          </cell>
          <cell r="K107">
            <v>0</v>
          </cell>
          <cell r="L107" t="str">
            <v/>
          </cell>
          <cell r="M107" t="str">
            <v>合計</v>
          </cell>
          <cell r="N107">
            <v>0</v>
          </cell>
          <cell r="P107">
            <v>0</v>
          </cell>
          <cell r="U107" t="str">
            <v>000000000013162</v>
          </cell>
        </row>
        <row r="108">
          <cell r="C108" t="str">
            <v>LED-A592</v>
          </cell>
          <cell r="H108" t="str">
            <v/>
          </cell>
          <cell r="K108">
            <v>0</v>
          </cell>
          <cell r="L108" t="str">
            <v/>
          </cell>
          <cell r="M108" t="str">
            <v>入数</v>
          </cell>
          <cell r="N108">
            <v>0</v>
          </cell>
          <cell r="P108">
            <v>0</v>
          </cell>
          <cell r="U108" t="str">
            <v>000000000013162</v>
          </cell>
        </row>
        <row r="109">
          <cell r="H109" t="str">
            <v/>
          </cell>
          <cell r="K109">
            <v>0</v>
          </cell>
          <cell r="L109" t="str">
            <v/>
          </cell>
          <cell r="M109" t="str">
            <v>作業者</v>
          </cell>
          <cell r="U109" t="str">
            <v>000000000013162</v>
          </cell>
        </row>
        <row r="110">
          <cell r="C110">
            <v>0</v>
          </cell>
          <cell r="H110" t="str">
            <v/>
          </cell>
          <cell r="K110">
            <v>0</v>
          </cell>
          <cell r="L110" t="str">
            <v/>
          </cell>
          <cell r="U110" t="str">
            <v>000000000013162</v>
          </cell>
        </row>
        <row r="111">
          <cell r="K111">
            <v>0</v>
          </cell>
          <cell r="L111" t="str">
            <v/>
          </cell>
          <cell r="R111">
            <v>0</v>
          </cell>
          <cell r="U111" t="str">
            <v>000000000013162</v>
          </cell>
        </row>
        <row r="112">
          <cell r="D112" t="str">
            <v>不良補填</v>
          </cell>
          <cell r="F112">
            <v>0</v>
          </cell>
          <cell r="U112" t="str">
            <v>000000000013162</v>
          </cell>
        </row>
        <row r="113">
          <cell r="C113" t="str">
            <v>8FL281304 6110　L=1478</v>
          </cell>
          <cell r="J113">
            <v>0</v>
          </cell>
          <cell r="K113">
            <v>0</v>
          </cell>
          <cell r="L113" t="str">
            <v/>
          </cell>
          <cell r="P113">
            <v>0</v>
          </cell>
          <cell r="U113" t="str">
            <v>000000000013176</v>
          </cell>
        </row>
        <row r="114">
          <cell r="H114" t="str">
            <v/>
          </cell>
          <cell r="J114" t="str">
            <v/>
          </cell>
          <cell r="K114">
            <v>0</v>
          </cell>
          <cell r="L114" t="str">
            <v/>
          </cell>
          <cell r="P114">
            <v>0</v>
          </cell>
          <cell r="U114" t="str">
            <v>000000000013176</v>
          </cell>
        </row>
        <row r="115">
          <cell r="H115" t="str">
            <v/>
          </cell>
          <cell r="K115">
            <v>0</v>
          </cell>
          <cell r="L115" t="str">
            <v/>
          </cell>
          <cell r="P115">
            <v>0</v>
          </cell>
          <cell r="U115" t="str">
            <v>000000000013176</v>
          </cell>
        </row>
        <row r="116">
          <cell r="C116">
            <v>400</v>
          </cell>
          <cell r="H116" t="str">
            <v/>
          </cell>
          <cell r="K116">
            <v>0</v>
          </cell>
          <cell r="L116" t="str">
            <v/>
          </cell>
          <cell r="P116">
            <v>0</v>
          </cell>
          <cell r="U116" t="str">
            <v>000000000013176</v>
          </cell>
        </row>
        <row r="117">
          <cell r="C117">
            <v>1</v>
          </cell>
          <cell r="H117" t="str">
            <v/>
          </cell>
          <cell r="K117">
            <v>0</v>
          </cell>
          <cell r="L117" t="str">
            <v/>
          </cell>
          <cell r="P117">
            <v>0</v>
          </cell>
          <cell r="U117" t="str">
            <v>000000000013176</v>
          </cell>
        </row>
        <row r="118">
          <cell r="C118">
            <v>100</v>
          </cell>
          <cell r="H118" t="str">
            <v/>
          </cell>
          <cell r="K118">
            <v>0</v>
          </cell>
          <cell r="L118" t="str">
            <v/>
          </cell>
          <cell r="M118" t="str">
            <v>合計</v>
          </cell>
          <cell r="N118">
            <v>0</v>
          </cell>
          <cell r="P118">
            <v>0</v>
          </cell>
          <cell r="U118" t="str">
            <v>000000000013176</v>
          </cell>
        </row>
        <row r="119">
          <cell r="C119" t="str">
            <v>LED-A1478</v>
          </cell>
          <cell r="H119" t="str">
            <v/>
          </cell>
          <cell r="K119">
            <v>0</v>
          </cell>
          <cell r="L119" t="str">
            <v/>
          </cell>
          <cell r="M119" t="str">
            <v>入数</v>
          </cell>
          <cell r="N119">
            <v>0</v>
          </cell>
          <cell r="P119">
            <v>0</v>
          </cell>
          <cell r="U119" t="str">
            <v>000000000013176</v>
          </cell>
        </row>
        <row r="120">
          <cell r="H120" t="str">
            <v/>
          </cell>
          <cell r="K120">
            <v>0</v>
          </cell>
          <cell r="L120" t="str">
            <v/>
          </cell>
          <cell r="M120" t="str">
            <v>作業者</v>
          </cell>
          <cell r="U120" t="str">
            <v>000000000013176</v>
          </cell>
        </row>
        <row r="121">
          <cell r="C121">
            <v>0</v>
          </cell>
          <cell r="H121" t="str">
            <v/>
          </cell>
          <cell r="K121">
            <v>0</v>
          </cell>
          <cell r="L121" t="str">
            <v/>
          </cell>
          <cell r="U121" t="str">
            <v>000000000013176</v>
          </cell>
        </row>
        <row r="122">
          <cell r="K122">
            <v>0</v>
          </cell>
          <cell r="L122" t="str">
            <v/>
          </cell>
          <cell r="R122">
            <v>0</v>
          </cell>
          <cell r="U122" t="str">
            <v>000000000013176</v>
          </cell>
        </row>
        <row r="123">
          <cell r="D123" t="str">
            <v>不良補填</v>
          </cell>
          <cell r="F123">
            <v>0</v>
          </cell>
          <cell r="U123" t="str">
            <v>000000000013176</v>
          </cell>
        </row>
        <row r="124">
          <cell r="C124" t="str">
            <v>8FL281304 6110　L=1478</v>
          </cell>
          <cell r="J124">
            <v>0</v>
          </cell>
          <cell r="K124">
            <v>0</v>
          </cell>
          <cell r="L124" t="str">
            <v/>
          </cell>
          <cell r="P124">
            <v>0</v>
          </cell>
          <cell r="U124" t="str">
            <v>000000000013177</v>
          </cell>
        </row>
        <row r="125">
          <cell r="H125" t="str">
            <v/>
          </cell>
          <cell r="J125" t="str">
            <v/>
          </cell>
          <cell r="K125">
            <v>0</v>
          </cell>
          <cell r="L125" t="str">
            <v/>
          </cell>
          <cell r="P125">
            <v>0</v>
          </cell>
          <cell r="U125" t="str">
            <v>000000000013177</v>
          </cell>
        </row>
        <row r="126">
          <cell r="H126" t="str">
            <v/>
          </cell>
          <cell r="K126">
            <v>0</v>
          </cell>
          <cell r="L126" t="str">
            <v/>
          </cell>
          <cell r="P126">
            <v>0</v>
          </cell>
          <cell r="U126" t="str">
            <v>000000000013177</v>
          </cell>
        </row>
        <row r="127">
          <cell r="C127">
            <v>500</v>
          </cell>
          <cell r="H127" t="str">
            <v/>
          </cell>
          <cell r="K127">
            <v>0</v>
          </cell>
          <cell r="L127" t="str">
            <v/>
          </cell>
          <cell r="P127">
            <v>0</v>
          </cell>
          <cell r="U127" t="str">
            <v>000000000013177</v>
          </cell>
        </row>
        <row r="128">
          <cell r="C128">
            <v>1</v>
          </cell>
          <cell r="H128" t="str">
            <v/>
          </cell>
          <cell r="K128">
            <v>0</v>
          </cell>
          <cell r="L128" t="str">
            <v/>
          </cell>
          <cell r="P128">
            <v>0</v>
          </cell>
          <cell r="U128" t="str">
            <v>000000000013177</v>
          </cell>
        </row>
        <row r="129">
          <cell r="C129">
            <v>100</v>
          </cell>
          <cell r="H129" t="str">
            <v/>
          </cell>
          <cell r="K129">
            <v>0</v>
          </cell>
          <cell r="L129" t="str">
            <v/>
          </cell>
          <cell r="M129" t="str">
            <v>合計</v>
          </cell>
          <cell r="N129">
            <v>0</v>
          </cell>
          <cell r="P129">
            <v>0</v>
          </cell>
          <cell r="U129" t="str">
            <v>000000000013177</v>
          </cell>
        </row>
        <row r="130">
          <cell r="C130" t="str">
            <v>LED-A1478</v>
          </cell>
          <cell r="H130" t="str">
            <v/>
          </cell>
          <cell r="K130">
            <v>0</v>
          </cell>
          <cell r="L130" t="str">
            <v/>
          </cell>
          <cell r="M130" t="str">
            <v>入数</v>
          </cell>
          <cell r="N130">
            <v>0</v>
          </cell>
          <cell r="P130">
            <v>0</v>
          </cell>
          <cell r="U130" t="str">
            <v>000000000013177</v>
          </cell>
        </row>
        <row r="131">
          <cell r="H131" t="str">
            <v/>
          </cell>
          <cell r="K131">
            <v>0</v>
          </cell>
          <cell r="L131" t="str">
            <v/>
          </cell>
          <cell r="M131" t="str">
            <v>作業者</v>
          </cell>
          <cell r="U131" t="str">
            <v>000000000013177</v>
          </cell>
        </row>
        <row r="132">
          <cell r="C132">
            <v>0</v>
          </cell>
          <cell r="H132" t="str">
            <v/>
          </cell>
          <cell r="K132">
            <v>0</v>
          </cell>
          <cell r="L132" t="str">
            <v/>
          </cell>
          <cell r="U132" t="str">
            <v>000000000013177</v>
          </cell>
        </row>
        <row r="133">
          <cell r="K133">
            <v>0</v>
          </cell>
          <cell r="L133" t="str">
            <v/>
          </cell>
          <cell r="R133">
            <v>0</v>
          </cell>
          <cell r="U133" t="str">
            <v>000000000013177</v>
          </cell>
        </row>
        <row r="134">
          <cell r="D134" t="str">
            <v>不良補填</v>
          </cell>
          <cell r="F134">
            <v>0</v>
          </cell>
          <cell r="U134" t="str">
            <v>000000000013177</v>
          </cell>
        </row>
        <row r="135">
          <cell r="C135" t="str">
            <v>8FL281304 6110　L=1478</v>
          </cell>
          <cell r="J135">
            <v>0</v>
          </cell>
          <cell r="K135">
            <v>0</v>
          </cell>
          <cell r="L135" t="str">
            <v/>
          </cell>
          <cell r="P135">
            <v>0</v>
          </cell>
          <cell r="U135" t="str">
            <v>000000000013401</v>
          </cell>
        </row>
        <row r="136">
          <cell r="H136" t="str">
            <v/>
          </cell>
          <cell r="J136" t="str">
            <v/>
          </cell>
          <cell r="K136">
            <v>0</v>
          </cell>
          <cell r="L136" t="str">
            <v/>
          </cell>
          <cell r="P136">
            <v>0</v>
          </cell>
          <cell r="U136" t="str">
            <v>000000000013401</v>
          </cell>
        </row>
        <row r="137">
          <cell r="H137" t="str">
            <v/>
          </cell>
          <cell r="K137">
            <v>0</v>
          </cell>
          <cell r="L137" t="str">
            <v/>
          </cell>
          <cell r="P137">
            <v>0</v>
          </cell>
          <cell r="U137" t="str">
            <v>000000000013401</v>
          </cell>
        </row>
        <row r="138">
          <cell r="C138">
            <v>100</v>
          </cell>
          <cell r="H138" t="str">
            <v/>
          </cell>
          <cell r="K138">
            <v>0</v>
          </cell>
          <cell r="L138" t="str">
            <v/>
          </cell>
          <cell r="P138">
            <v>0</v>
          </cell>
          <cell r="U138" t="str">
            <v>000000000013401</v>
          </cell>
        </row>
        <row r="139">
          <cell r="C139">
            <v>1</v>
          </cell>
          <cell r="H139" t="str">
            <v/>
          </cell>
          <cell r="K139">
            <v>0</v>
          </cell>
          <cell r="L139" t="str">
            <v/>
          </cell>
          <cell r="P139">
            <v>0</v>
          </cell>
          <cell r="U139" t="str">
            <v>000000000013401</v>
          </cell>
        </row>
        <row r="140">
          <cell r="C140">
            <v>100</v>
          </cell>
          <cell r="H140" t="str">
            <v/>
          </cell>
          <cell r="K140">
            <v>0</v>
          </cell>
          <cell r="L140" t="str">
            <v/>
          </cell>
          <cell r="M140" t="str">
            <v>合計</v>
          </cell>
          <cell r="N140">
            <v>0</v>
          </cell>
          <cell r="P140">
            <v>0</v>
          </cell>
          <cell r="U140" t="str">
            <v>000000000013401</v>
          </cell>
        </row>
        <row r="141">
          <cell r="C141" t="str">
            <v>LED-A1478</v>
          </cell>
          <cell r="H141" t="str">
            <v/>
          </cell>
          <cell r="K141">
            <v>0</v>
          </cell>
          <cell r="L141" t="str">
            <v/>
          </cell>
          <cell r="M141" t="str">
            <v>入数</v>
          </cell>
          <cell r="N141">
            <v>0</v>
          </cell>
          <cell r="P141">
            <v>0</v>
          </cell>
          <cell r="U141" t="str">
            <v>000000000013401</v>
          </cell>
        </row>
        <row r="142">
          <cell r="H142" t="str">
            <v/>
          </cell>
          <cell r="K142">
            <v>0</v>
          </cell>
          <cell r="L142" t="str">
            <v/>
          </cell>
          <cell r="M142" t="str">
            <v>作業者</v>
          </cell>
          <cell r="U142" t="str">
            <v>000000000013401</v>
          </cell>
        </row>
        <row r="143">
          <cell r="C143">
            <v>0</v>
          </cell>
          <cell r="H143" t="str">
            <v/>
          </cell>
          <cell r="K143">
            <v>0</v>
          </cell>
          <cell r="L143" t="str">
            <v/>
          </cell>
          <cell r="U143" t="str">
            <v>000000000013401</v>
          </cell>
        </row>
        <row r="144">
          <cell r="K144">
            <v>0</v>
          </cell>
          <cell r="L144" t="str">
            <v/>
          </cell>
          <cell r="R144">
            <v>0</v>
          </cell>
          <cell r="U144" t="str">
            <v>000000000013401</v>
          </cell>
        </row>
        <row r="145">
          <cell r="D145" t="str">
            <v>不良補填</v>
          </cell>
          <cell r="F145">
            <v>0</v>
          </cell>
          <cell r="U145" t="str">
            <v>000000000013401</v>
          </cell>
        </row>
        <row r="146">
          <cell r="C146" t="str">
            <v>8FL281304 6110　L=1478</v>
          </cell>
          <cell r="J146">
            <v>0</v>
          </cell>
          <cell r="K146">
            <v>0</v>
          </cell>
          <cell r="L146" t="str">
            <v/>
          </cell>
          <cell r="P146">
            <v>0</v>
          </cell>
          <cell r="U146" t="str">
            <v>000000000013178</v>
          </cell>
        </row>
        <row r="147">
          <cell r="H147" t="str">
            <v/>
          </cell>
          <cell r="J147" t="str">
            <v/>
          </cell>
          <cell r="K147">
            <v>0</v>
          </cell>
          <cell r="L147" t="str">
            <v/>
          </cell>
          <cell r="P147">
            <v>0</v>
          </cell>
          <cell r="U147" t="str">
            <v>000000000013178</v>
          </cell>
        </row>
        <row r="148">
          <cell r="H148" t="str">
            <v/>
          </cell>
          <cell r="K148">
            <v>0</v>
          </cell>
          <cell r="L148" t="str">
            <v/>
          </cell>
          <cell r="P148">
            <v>0</v>
          </cell>
          <cell r="U148" t="str">
            <v>000000000013178</v>
          </cell>
        </row>
        <row r="149">
          <cell r="C149">
            <v>200</v>
          </cell>
          <cell r="H149" t="str">
            <v/>
          </cell>
          <cell r="K149">
            <v>0</v>
          </cell>
          <cell r="L149" t="str">
            <v/>
          </cell>
          <cell r="P149">
            <v>0</v>
          </cell>
          <cell r="U149" t="str">
            <v>000000000013178</v>
          </cell>
        </row>
        <row r="150">
          <cell r="C150">
            <v>1</v>
          </cell>
          <cell r="H150" t="str">
            <v/>
          </cell>
          <cell r="K150">
            <v>0</v>
          </cell>
          <cell r="L150" t="str">
            <v/>
          </cell>
          <cell r="P150">
            <v>0</v>
          </cell>
          <cell r="U150" t="str">
            <v>000000000013178</v>
          </cell>
        </row>
        <row r="151">
          <cell r="C151">
            <v>100</v>
          </cell>
          <cell r="H151" t="str">
            <v/>
          </cell>
          <cell r="K151">
            <v>0</v>
          </cell>
          <cell r="L151" t="str">
            <v/>
          </cell>
          <cell r="M151" t="str">
            <v>合計</v>
          </cell>
          <cell r="N151">
            <v>0</v>
          </cell>
          <cell r="P151">
            <v>0</v>
          </cell>
          <cell r="U151" t="str">
            <v>000000000013178</v>
          </cell>
        </row>
        <row r="152">
          <cell r="C152" t="str">
            <v>LED-A1478</v>
          </cell>
          <cell r="H152" t="str">
            <v/>
          </cell>
          <cell r="K152">
            <v>0</v>
          </cell>
          <cell r="L152" t="str">
            <v/>
          </cell>
          <cell r="M152" t="str">
            <v>入数</v>
          </cell>
          <cell r="N152">
            <v>0</v>
          </cell>
          <cell r="P152">
            <v>0</v>
          </cell>
          <cell r="U152" t="str">
            <v>000000000013178</v>
          </cell>
        </row>
        <row r="153">
          <cell r="H153" t="str">
            <v/>
          </cell>
          <cell r="K153">
            <v>0</v>
          </cell>
          <cell r="L153" t="str">
            <v/>
          </cell>
          <cell r="M153" t="str">
            <v>作業者</v>
          </cell>
          <cell r="U153" t="str">
            <v>000000000013178</v>
          </cell>
        </row>
        <row r="154">
          <cell r="C154">
            <v>0</v>
          </cell>
          <cell r="H154" t="str">
            <v/>
          </cell>
          <cell r="K154">
            <v>0</v>
          </cell>
          <cell r="L154" t="str">
            <v/>
          </cell>
          <cell r="U154" t="str">
            <v>000000000013178</v>
          </cell>
        </row>
        <row r="155">
          <cell r="K155">
            <v>0</v>
          </cell>
          <cell r="L155" t="str">
            <v/>
          </cell>
          <cell r="R155">
            <v>0</v>
          </cell>
          <cell r="U155" t="str">
            <v>000000000013178</v>
          </cell>
        </row>
        <row r="156">
          <cell r="D156" t="str">
            <v>不良補填</v>
          </cell>
          <cell r="F156">
            <v>0</v>
          </cell>
          <cell r="U156" t="str">
            <v>000000000013178</v>
          </cell>
        </row>
        <row r="157">
          <cell r="C157" t="str">
            <v>8FL281304 4810　L=297</v>
          </cell>
          <cell r="J157">
            <v>0</v>
          </cell>
          <cell r="K157">
            <v>0</v>
          </cell>
          <cell r="L157" t="str">
            <v/>
          </cell>
          <cell r="P157">
            <v>0</v>
          </cell>
          <cell r="U157" t="str">
            <v>000000000013157</v>
          </cell>
        </row>
        <row r="158">
          <cell r="H158" t="str">
            <v/>
          </cell>
          <cell r="J158" t="str">
            <v/>
          </cell>
          <cell r="K158">
            <v>0</v>
          </cell>
          <cell r="L158" t="str">
            <v/>
          </cell>
          <cell r="P158">
            <v>0</v>
          </cell>
          <cell r="U158" t="str">
            <v>000000000013157</v>
          </cell>
        </row>
        <row r="159">
          <cell r="H159" t="str">
            <v/>
          </cell>
          <cell r="K159">
            <v>0</v>
          </cell>
          <cell r="L159" t="str">
            <v/>
          </cell>
          <cell r="P159">
            <v>0</v>
          </cell>
          <cell r="U159" t="str">
            <v>000000000013157</v>
          </cell>
        </row>
        <row r="160">
          <cell r="C160">
            <v>300</v>
          </cell>
          <cell r="H160" t="str">
            <v/>
          </cell>
          <cell r="K160">
            <v>0</v>
          </cell>
          <cell r="L160" t="str">
            <v/>
          </cell>
          <cell r="P160">
            <v>0</v>
          </cell>
          <cell r="U160" t="str">
            <v>000000000013157</v>
          </cell>
        </row>
        <row r="161">
          <cell r="C161">
            <v>6</v>
          </cell>
          <cell r="H161" t="str">
            <v/>
          </cell>
          <cell r="K161">
            <v>0</v>
          </cell>
          <cell r="L161" t="str">
            <v/>
          </cell>
          <cell r="P161">
            <v>0</v>
          </cell>
          <cell r="U161" t="str">
            <v>000000000013157</v>
          </cell>
        </row>
        <row r="162">
          <cell r="C162">
            <v>100</v>
          </cell>
          <cell r="H162" t="str">
            <v/>
          </cell>
          <cell r="K162">
            <v>0</v>
          </cell>
          <cell r="L162" t="str">
            <v/>
          </cell>
          <cell r="M162" t="str">
            <v>合計</v>
          </cell>
          <cell r="N162">
            <v>0</v>
          </cell>
          <cell r="P162">
            <v>0</v>
          </cell>
          <cell r="U162" t="str">
            <v>000000000013157</v>
          </cell>
        </row>
        <row r="163">
          <cell r="C163" t="str">
            <v>LED-A300</v>
          </cell>
          <cell r="H163" t="str">
            <v/>
          </cell>
          <cell r="K163">
            <v>0</v>
          </cell>
          <cell r="L163" t="str">
            <v/>
          </cell>
          <cell r="M163" t="str">
            <v>入数</v>
          </cell>
          <cell r="N163">
            <v>0</v>
          </cell>
          <cell r="P163">
            <v>0</v>
          </cell>
          <cell r="U163" t="str">
            <v>000000000013157</v>
          </cell>
        </row>
        <row r="164">
          <cell r="H164" t="str">
            <v/>
          </cell>
          <cell r="K164">
            <v>0</v>
          </cell>
          <cell r="L164" t="str">
            <v/>
          </cell>
          <cell r="M164" t="str">
            <v>作業者</v>
          </cell>
          <cell r="U164" t="str">
            <v>000000000013157</v>
          </cell>
        </row>
        <row r="165">
          <cell r="C165">
            <v>0</v>
          </cell>
          <cell r="H165" t="str">
            <v/>
          </cell>
          <cell r="K165">
            <v>0</v>
          </cell>
          <cell r="L165" t="str">
            <v/>
          </cell>
          <cell r="U165" t="str">
            <v>000000000013157</v>
          </cell>
        </row>
        <row r="166">
          <cell r="K166">
            <v>0</v>
          </cell>
          <cell r="L166" t="str">
            <v/>
          </cell>
          <cell r="R166">
            <v>0</v>
          </cell>
          <cell r="U166" t="str">
            <v>000000000013157</v>
          </cell>
        </row>
        <row r="167">
          <cell r="D167" t="str">
            <v>不良補填</v>
          </cell>
          <cell r="F167">
            <v>0</v>
          </cell>
          <cell r="U167" t="str">
            <v>000000000013157</v>
          </cell>
        </row>
        <row r="168">
          <cell r="C168" t="str">
            <v>8FL281304 4810　L=297</v>
          </cell>
          <cell r="J168">
            <v>0</v>
          </cell>
          <cell r="K168">
            <v>0</v>
          </cell>
          <cell r="L168" t="str">
            <v/>
          </cell>
          <cell r="P168">
            <v>0</v>
          </cell>
          <cell r="U168" t="str">
            <v>000000000013158</v>
          </cell>
        </row>
        <row r="169">
          <cell r="H169" t="str">
            <v/>
          </cell>
          <cell r="J169" t="str">
            <v/>
          </cell>
          <cell r="K169">
            <v>0</v>
          </cell>
          <cell r="L169" t="str">
            <v/>
          </cell>
          <cell r="P169">
            <v>0</v>
          </cell>
          <cell r="U169" t="str">
            <v>000000000013158</v>
          </cell>
        </row>
        <row r="170">
          <cell r="H170" t="str">
            <v/>
          </cell>
          <cell r="K170">
            <v>0</v>
          </cell>
          <cell r="L170" t="str">
            <v/>
          </cell>
          <cell r="P170">
            <v>0</v>
          </cell>
          <cell r="U170" t="str">
            <v>000000000013158</v>
          </cell>
        </row>
        <row r="171">
          <cell r="C171">
            <v>200</v>
          </cell>
          <cell r="H171" t="str">
            <v/>
          </cell>
          <cell r="K171">
            <v>0</v>
          </cell>
          <cell r="L171" t="str">
            <v/>
          </cell>
          <cell r="P171">
            <v>0</v>
          </cell>
          <cell r="U171" t="str">
            <v>000000000013158</v>
          </cell>
        </row>
        <row r="172">
          <cell r="C172">
            <v>6</v>
          </cell>
          <cell r="H172" t="str">
            <v/>
          </cell>
          <cell r="K172">
            <v>0</v>
          </cell>
          <cell r="L172" t="str">
            <v/>
          </cell>
          <cell r="P172">
            <v>0</v>
          </cell>
          <cell r="U172" t="str">
            <v>000000000013158</v>
          </cell>
        </row>
        <row r="173">
          <cell r="C173">
            <v>100</v>
          </cell>
          <cell r="H173" t="str">
            <v/>
          </cell>
          <cell r="K173">
            <v>0</v>
          </cell>
          <cell r="L173" t="str">
            <v/>
          </cell>
          <cell r="M173" t="str">
            <v>合計</v>
          </cell>
          <cell r="N173">
            <v>0</v>
          </cell>
          <cell r="P173">
            <v>0</v>
          </cell>
          <cell r="U173" t="str">
            <v>000000000013158</v>
          </cell>
        </row>
        <row r="174">
          <cell r="C174" t="str">
            <v>LED-A300</v>
          </cell>
          <cell r="H174" t="str">
            <v/>
          </cell>
          <cell r="K174">
            <v>0</v>
          </cell>
          <cell r="L174" t="str">
            <v/>
          </cell>
          <cell r="M174" t="str">
            <v>入数</v>
          </cell>
          <cell r="N174">
            <v>0</v>
          </cell>
          <cell r="P174">
            <v>0</v>
          </cell>
          <cell r="U174" t="str">
            <v>000000000013158</v>
          </cell>
        </row>
        <row r="175">
          <cell r="H175" t="str">
            <v/>
          </cell>
          <cell r="K175">
            <v>0</v>
          </cell>
          <cell r="L175" t="str">
            <v/>
          </cell>
          <cell r="M175" t="str">
            <v>作業者</v>
          </cell>
          <cell r="U175" t="str">
            <v>000000000013158</v>
          </cell>
        </row>
        <row r="176">
          <cell r="C176">
            <v>0</v>
          </cell>
          <cell r="H176" t="str">
            <v/>
          </cell>
          <cell r="K176">
            <v>0</v>
          </cell>
          <cell r="L176" t="str">
            <v/>
          </cell>
          <cell r="U176" t="str">
            <v>000000000013158</v>
          </cell>
        </row>
        <row r="177">
          <cell r="K177">
            <v>0</v>
          </cell>
          <cell r="L177" t="str">
            <v/>
          </cell>
          <cell r="R177">
            <v>0</v>
          </cell>
          <cell r="U177" t="str">
            <v>000000000013158</v>
          </cell>
        </row>
        <row r="178">
          <cell r="D178" t="str">
            <v>不良補填</v>
          </cell>
          <cell r="F178">
            <v>0</v>
          </cell>
          <cell r="U178" t="str">
            <v>000000000013158</v>
          </cell>
        </row>
        <row r="179">
          <cell r="C179" t="str">
            <v>8FL281304 4810　L=297</v>
          </cell>
          <cell r="J179">
            <v>0</v>
          </cell>
          <cell r="K179">
            <v>0</v>
          </cell>
          <cell r="L179" t="str">
            <v/>
          </cell>
          <cell r="P179">
            <v>0</v>
          </cell>
          <cell r="U179" t="str">
            <v>000000000013159</v>
          </cell>
        </row>
        <row r="180">
          <cell r="H180" t="str">
            <v/>
          </cell>
          <cell r="J180" t="str">
            <v/>
          </cell>
          <cell r="K180">
            <v>0</v>
          </cell>
          <cell r="L180" t="str">
            <v/>
          </cell>
          <cell r="P180">
            <v>0</v>
          </cell>
          <cell r="U180" t="str">
            <v>000000000013159</v>
          </cell>
        </row>
        <row r="181">
          <cell r="H181" t="str">
            <v/>
          </cell>
          <cell r="K181">
            <v>0</v>
          </cell>
          <cell r="L181" t="str">
            <v/>
          </cell>
          <cell r="P181">
            <v>0</v>
          </cell>
          <cell r="U181" t="str">
            <v>000000000013159</v>
          </cell>
        </row>
        <row r="182">
          <cell r="C182">
            <v>300</v>
          </cell>
          <cell r="H182" t="str">
            <v/>
          </cell>
          <cell r="K182">
            <v>0</v>
          </cell>
          <cell r="L182" t="str">
            <v/>
          </cell>
          <cell r="P182">
            <v>0</v>
          </cell>
          <cell r="U182" t="str">
            <v>000000000013159</v>
          </cell>
        </row>
        <row r="183">
          <cell r="C183">
            <v>6</v>
          </cell>
          <cell r="H183" t="str">
            <v/>
          </cell>
          <cell r="K183">
            <v>0</v>
          </cell>
          <cell r="L183" t="str">
            <v/>
          </cell>
          <cell r="P183">
            <v>0</v>
          </cell>
          <cell r="U183" t="str">
            <v>000000000013159</v>
          </cell>
        </row>
        <row r="184">
          <cell r="C184">
            <v>100</v>
          </cell>
          <cell r="H184" t="str">
            <v/>
          </cell>
          <cell r="K184">
            <v>0</v>
          </cell>
          <cell r="L184" t="str">
            <v/>
          </cell>
          <cell r="M184" t="str">
            <v>合計</v>
          </cell>
          <cell r="N184">
            <v>0</v>
          </cell>
          <cell r="P184">
            <v>0</v>
          </cell>
          <cell r="U184" t="str">
            <v>000000000013159</v>
          </cell>
        </row>
        <row r="185">
          <cell r="C185" t="str">
            <v>LED-A300</v>
          </cell>
          <cell r="H185" t="str">
            <v/>
          </cell>
          <cell r="K185">
            <v>0</v>
          </cell>
          <cell r="L185" t="str">
            <v/>
          </cell>
          <cell r="M185" t="str">
            <v>入数</v>
          </cell>
          <cell r="N185">
            <v>0</v>
          </cell>
          <cell r="P185">
            <v>0</v>
          </cell>
          <cell r="U185" t="str">
            <v>000000000013159</v>
          </cell>
        </row>
        <row r="186">
          <cell r="H186" t="str">
            <v/>
          </cell>
          <cell r="K186">
            <v>0</v>
          </cell>
          <cell r="L186" t="str">
            <v/>
          </cell>
          <cell r="M186" t="str">
            <v>作業者</v>
          </cell>
          <cell r="U186" t="str">
            <v>000000000013159</v>
          </cell>
        </row>
        <row r="187">
          <cell r="C187">
            <v>0</v>
          </cell>
          <cell r="H187" t="str">
            <v/>
          </cell>
          <cell r="K187">
            <v>0</v>
          </cell>
          <cell r="L187" t="str">
            <v/>
          </cell>
          <cell r="U187" t="str">
            <v>000000000013159</v>
          </cell>
        </row>
        <row r="188">
          <cell r="K188">
            <v>0</v>
          </cell>
          <cell r="L188" t="str">
            <v/>
          </cell>
          <cell r="R188">
            <v>0</v>
          </cell>
          <cell r="U188" t="str">
            <v>000000000013159</v>
          </cell>
        </row>
        <row r="189">
          <cell r="D189" t="str">
            <v>不良補填</v>
          </cell>
          <cell r="F189">
            <v>0</v>
          </cell>
          <cell r="U189" t="str">
            <v>000000000013159</v>
          </cell>
        </row>
        <row r="190">
          <cell r="C190" t="str">
            <v>8FL281304 5010　L=888</v>
          </cell>
          <cell r="J190">
            <v>0</v>
          </cell>
          <cell r="K190">
            <v>0</v>
          </cell>
          <cell r="L190" t="str">
            <v/>
          </cell>
          <cell r="P190">
            <v>0</v>
          </cell>
          <cell r="U190" t="str">
            <v>000000000013168</v>
          </cell>
        </row>
        <row r="191">
          <cell r="H191" t="str">
            <v/>
          </cell>
          <cell r="J191" t="str">
            <v/>
          </cell>
          <cell r="K191">
            <v>0</v>
          </cell>
          <cell r="L191" t="str">
            <v/>
          </cell>
          <cell r="P191">
            <v>0</v>
          </cell>
          <cell r="U191" t="str">
            <v>000000000013168</v>
          </cell>
        </row>
        <row r="192">
          <cell r="H192" t="str">
            <v/>
          </cell>
          <cell r="K192">
            <v>0</v>
          </cell>
          <cell r="L192" t="str">
            <v/>
          </cell>
          <cell r="P192">
            <v>0</v>
          </cell>
          <cell r="U192" t="str">
            <v>000000000013168</v>
          </cell>
        </row>
        <row r="193">
          <cell r="C193">
            <v>1000</v>
          </cell>
          <cell r="H193" t="str">
            <v/>
          </cell>
          <cell r="K193">
            <v>0</v>
          </cell>
          <cell r="L193" t="str">
            <v/>
          </cell>
          <cell r="P193">
            <v>0</v>
          </cell>
          <cell r="U193" t="str">
            <v>000000000013168</v>
          </cell>
        </row>
        <row r="194">
          <cell r="C194">
            <v>2</v>
          </cell>
          <cell r="H194" t="str">
            <v/>
          </cell>
          <cell r="K194">
            <v>0</v>
          </cell>
          <cell r="L194" t="str">
            <v/>
          </cell>
          <cell r="P194">
            <v>0</v>
          </cell>
          <cell r="U194" t="str">
            <v>000000000013168</v>
          </cell>
        </row>
        <row r="195">
          <cell r="C195">
            <v>100</v>
          </cell>
          <cell r="H195" t="str">
            <v/>
          </cell>
          <cell r="K195">
            <v>0</v>
          </cell>
          <cell r="L195" t="str">
            <v/>
          </cell>
          <cell r="M195" t="str">
            <v>合計</v>
          </cell>
          <cell r="N195">
            <v>0</v>
          </cell>
          <cell r="P195">
            <v>0</v>
          </cell>
          <cell r="U195" t="str">
            <v>000000000013168</v>
          </cell>
        </row>
        <row r="196">
          <cell r="C196" t="str">
            <v>LED-A888</v>
          </cell>
          <cell r="H196" t="str">
            <v/>
          </cell>
          <cell r="K196">
            <v>0</v>
          </cell>
          <cell r="L196" t="str">
            <v/>
          </cell>
          <cell r="M196" t="str">
            <v>入数</v>
          </cell>
          <cell r="N196">
            <v>0</v>
          </cell>
          <cell r="P196">
            <v>0</v>
          </cell>
          <cell r="U196" t="str">
            <v>000000000013168</v>
          </cell>
        </row>
        <row r="197">
          <cell r="H197" t="str">
            <v/>
          </cell>
          <cell r="K197">
            <v>0</v>
          </cell>
          <cell r="L197" t="str">
            <v/>
          </cell>
          <cell r="M197" t="str">
            <v>作業者</v>
          </cell>
          <cell r="U197" t="str">
            <v>000000000013168</v>
          </cell>
        </row>
        <row r="198">
          <cell r="C198">
            <v>0</v>
          </cell>
          <cell r="H198" t="str">
            <v/>
          </cell>
          <cell r="K198">
            <v>0</v>
          </cell>
          <cell r="L198" t="str">
            <v/>
          </cell>
          <cell r="U198" t="str">
            <v>000000000013168</v>
          </cell>
        </row>
        <row r="199">
          <cell r="K199">
            <v>0</v>
          </cell>
          <cell r="L199" t="str">
            <v/>
          </cell>
          <cell r="R199">
            <v>0</v>
          </cell>
          <cell r="U199" t="str">
            <v>000000000013168</v>
          </cell>
        </row>
        <row r="200">
          <cell r="D200" t="str">
            <v>不良補填</v>
          </cell>
          <cell r="F200">
            <v>0</v>
          </cell>
          <cell r="U200" t="str">
            <v>000000000013168</v>
          </cell>
        </row>
        <row r="201">
          <cell r="C201" t="str">
            <v>8FL281304 5010　L=888</v>
          </cell>
          <cell r="J201">
            <v>0</v>
          </cell>
          <cell r="K201">
            <v>0</v>
          </cell>
          <cell r="L201" t="str">
            <v/>
          </cell>
          <cell r="P201">
            <v>0</v>
          </cell>
          <cell r="U201" t="str">
            <v>000000000013169</v>
          </cell>
        </row>
        <row r="202">
          <cell r="H202" t="str">
            <v/>
          </cell>
          <cell r="J202" t="str">
            <v/>
          </cell>
          <cell r="K202">
            <v>0</v>
          </cell>
          <cell r="L202" t="str">
            <v/>
          </cell>
          <cell r="P202">
            <v>0</v>
          </cell>
          <cell r="U202" t="str">
            <v>000000000013169</v>
          </cell>
        </row>
        <row r="203">
          <cell r="H203" t="str">
            <v/>
          </cell>
          <cell r="K203">
            <v>0</v>
          </cell>
          <cell r="L203" t="str">
            <v/>
          </cell>
          <cell r="P203">
            <v>0</v>
          </cell>
          <cell r="U203" t="str">
            <v>000000000013169</v>
          </cell>
        </row>
        <row r="204">
          <cell r="C204">
            <v>200</v>
          </cell>
          <cell r="H204" t="str">
            <v/>
          </cell>
          <cell r="K204">
            <v>0</v>
          </cell>
          <cell r="L204" t="str">
            <v/>
          </cell>
          <cell r="P204">
            <v>0</v>
          </cell>
          <cell r="U204" t="str">
            <v>000000000013169</v>
          </cell>
        </row>
        <row r="205">
          <cell r="C205">
            <v>2</v>
          </cell>
          <cell r="H205" t="str">
            <v/>
          </cell>
          <cell r="K205">
            <v>0</v>
          </cell>
          <cell r="L205" t="str">
            <v/>
          </cell>
          <cell r="P205">
            <v>0</v>
          </cell>
          <cell r="U205" t="str">
            <v>000000000013169</v>
          </cell>
        </row>
        <row r="206">
          <cell r="C206">
            <v>100</v>
          </cell>
          <cell r="H206" t="str">
            <v/>
          </cell>
          <cell r="K206">
            <v>0</v>
          </cell>
          <cell r="L206" t="str">
            <v/>
          </cell>
          <cell r="M206" t="str">
            <v>合計</v>
          </cell>
          <cell r="N206">
            <v>0</v>
          </cell>
          <cell r="P206">
            <v>0</v>
          </cell>
          <cell r="U206" t="str">
            <v>000000000013169</v>
          </cell>
        </row>
        <row r="207">
          <cell r="C207" t="str">
            <v>LED-A888</v>
          </cell>
          <cell r="H207" t="str">
            <v/>
          </cell>
          <cell r="K207">
            <v>0</v>
          </cell>
          <cell r="L207" t="str">
            <v/>
          </cell>
          <cell r="M207" t="str">
            <v>入数</v>
          </cell>
          <cell r="N207">
            <v>0</v>
          </cell>
          <cell r="P207">
            <v>0</v>
          </cell>
          <cell r="U207" t="str">
            <v>000000000013169</v>
          </cell>
        </row>
        <row r="208">
          <cell r="H208" t="str">
            <v/>
          </cell>
          <cell r="K208">
            <v>0</v>
          </cell>
          <cell r="L208" t="str">
            <v/>
          </cell>
          <cell r="M208" t="str">
            <v>作業者</v>
          </cell>
          <cell r="U208" t="str">
            <v>000000000013169</v>
          </cell>
        </row>
        <row r="209">
          <cell r="C209">
            <v>0</v>
          </cell>
          <cell r="H209" t="str">
            <v/>
          </cell>
          <cell r="K209">
            <v>0</v>
          </cell>
          <cell r="L209" t="str">
            <v/>
          </cell>
          <cell r="U209" t="str">
            <v>000000000013169</v>
          </cell>
        </row>
        <row r="210">
          <cell r="K210">
            <v>0</v>
          </cell>
          <cell r="L210" t="str">
            <v/>
          </cell>
          <cell r="R210">
            <v>0</v>
          </cell>
          <cell r="U210" t="str">
            <v>000000000013169</v>
          </cell>
        </row>
        <row r="211">
          <cell r="D211" t="str">
            <v>不良補填</v>
          </cell>
          <cell r="F211">
            <v>0</v>
          </cell>
          <cell r="U211" t="str">
            <v>000000000013169</v>
          </cell>
        </row>
        <row r="212">
          <cell r="C212" t="str">
            <v>8FL281304 5010　L=888</v>
          </cell>
          <cell r="J212">
            <v>0</v>
          </cell>
          <cell r="K212">
            <v>0</v>
          </cell>
          <cell r="L212" t="str">
            <v/>
          </cell>
          <cell r="P212">
            <v>0</v>
          </cell>
          <cell r="U212" t="str">
            <v>000000000013170</v>
          </cell>
        </row>
        <row r="213">
          <cell r="H213" t="str">
            <v/>
          </cell>
          <cell r="J213" t="str">
            <v/>
          </cell>
          <cell r="K213">
            <v>0</v>
          </cell>
          <cell r="L213" t="str">
            <v/>
          </cell>
          <cell r="P213">
            <v>0</v>
          </cell>
          <cell r="U213" t="str">
            <v>000000000013170</v>
          </cell>
        </row>
        <row r="214">
          <cell r="H214" t="str">
            <v/>
          </cell>
          <cell r="K214">
            <v>0</v>
          </cell>
          <cell r="L214" t="str">
            <v/>
          </cell>
          <cell r="P214">
            <v>0</v>
          </cell>
          <cell r="U214" t="str">
            <v>000000000013170</v>
          </cell>
        </row>
        <row r="215">
          <cell r="C215">
            <v>200</v>
          </cell>
          <cell r="H215" t="str">
            <v/>
          </cell>
          <cell r="K215">
            <v>0</v>
          </cell>
          <cell r="L215" t="str">
            <v/>
          </cell>
          <cell r="P215">
            <v>0</v>
          </cell>
          <cell r="U215" t="str">
            <v>000000000013170</v>
          </cell>
        </row>
        <row r="216">
          <cell r="C216">
            <v>2</v>
          </cell>
          <cell r="H216" t="str">
            <v/>
          </cell>
          <cell r="K216">
            <v>0</v>
          </cell>
          <cell r="L216" t="str">
            <v/>
          </cell>
          <cell r="P216">
            <v>0</v>
          </cell>
          <cell r="U216" t="str">
            <v>000000000013170</v>
          </cell>
        </row>
        <row r="217">
          <cell r="C217">
            <v>100</v>
          </cell>
          <cell r="H217" t="str">
            <v/>
          </cell>
          <cell r="K217">
            <v>0</v>
          </cell>
          <cell r="L217" t="str">
            <v/>
          </cell>
          <cell r="M217" t="str">
            <v>合計</v>
          </cell>
          <cell r="N217">
            <v>0</v>
          </cell>
          <cell r="P217">
            <v>0</v>
          </cell>
          <cell r="U217" t="str">
            <v>000000000013170</v>
          </cell>
        </row>
        <row r="218">
          <cell r="C218" t="str">
            <v>LED-A888</v>
          </cell>
          <cell r="H218" t="str">
            <v/>
          </cell>
          <cell r="K218">
            <v>0</v>
          </cell>
          <cell r="L218" t="str">
            <v/>
          </cell>
          <cell r="M218" t="str">
            <v>入数</v>
          </cell>
          <cell r="N218">
            <v>0</v>
          </cell>
          <cell r="P218">
            <v>0</v>
          </cell>
          <cell r="U218" t="str">
            <v>000000000013170</v>
          </cell>
        </row>
        <row r="219">
          <cell r="H219" t="str">
            <v/>
          </cell>
          <cell r="K219">
            <v>0</v>
          </cell>
          <cell r="L219" t="str">
            <v/>
          </cell>
          <cell r="M219" t="str">
            <v>作業者</v>
          </cell>
          <cell r="U219" t="str">
            <v>000000000013170</v>
          </cell>
        </row>
        <row r="220">
          <cell r="C220">
            <v>0</v>
          </cell>
          <cell r="H220" t="str">
            <v/>
          </cell>
          <cell r="K220">
            <v>0</v>
          </cell>
          <cell r="L220" t="str">
            <v/>
          </cell>
          <cell r="U220" t="str">
            <v>000000000013170</v>
          </cell>
        </row>
        <row r="221">
          <cell r="K221">
            <v>0</v>
          </cell>
          <cell r="L221" t="str">
            <v/>
          </cell>
          <cell r="R221">
            <v>0</v>
          </cell>
          <cell r="U221" t="str">
            <v>000000000013170</v>
          </cell>
        </row>
        <row r="222">
          <cell r="D222" t="str">
            <v>不良補填</v>
          </cell>
          <cell r="F222">
            <v>0</v>
          </cell>
          <cell r="U222" t="str">
            <v>000000000013170</v>
          </cell>
        </row>
        <row r="223">
          <cell r="C223" t="str">
            <v>8FL281304 5010　L=888</v>
          </cell>
          <cell r="J223">
            <v>0</v>
          </cell>
          <cell r="K223">
            <v>0</v>
          </cell>
          <cell r="L223" t="str">
            <v/>
          </cell>
          <cell r="P223">
            <v>0</v>
          </cell>
          <cell r="U223" t="str">
            <v>000000000013167</v>
          </cell>
        </row>
        <row r="224">
          <cell r="H224" t="str">
            <v/>
          </cell>
          <cell r="J224" t="str">
            <v/>
          </cell>
          <cell r="K224">
            <v>0</v>
          </cell>
          <cell r="L224" t="str">
            <v/>
          </cell>
          <cell r="P224">
            <v>0</v>
          </cell>
          <cell r="U224" t="str">
            <v>000000000013167</v>
          </cell>
        </row>
        <row r="225">
          <cell r="H225" t="str">
            <v/>
          </cell>
          <cell r="K225">
            <v>0</v>
          </cell>
          <cell r="L225" t="str">
            <v/>
          </cell>
          <cell r="P225">
            <v>0</v>
          </cell>
          <cell r="U225" t="str">
            <v>000000000013167</v>
          </cell>
        </row>
        <row r="226">
          <cell r="C226">
            <v>400</v>
          </cell>
          <cell r="H226" t="str">
            <v/>
          </cell>
          <cell r="K226">
            <v>0</v>
          </cell>
          <cell r="L226" t="str">
            <v/>
          </cell>
          <cell r="P226">
            <v>0</v>
          </cell>
          <cell r="U226" t="str">
            <v>000000000013167</v>
          </cell>
        </row>
        <row r="227">
          <cell r="C227">
            <v>2</v>
          </cell>
          <cell r="H227" t="str">
            <v/>
          </cell>
          <cell r="K227">
            <v>0</v>
          </cell>
          <cell r="L227" t="str">
            <v/>
          </cell>
          <cell r="P227">
            <v>0</v>
          </cell>
          <cell r="U227" t="str">
            <v>000000000013167</v>
          </cell>
        </row>
        <row r="228">
          <cell r="C228">
            <v>100</v>
          </cell>
          <cell r="H228" t="str">
            <v/>
          </cell>
          <cell r="K228">
            <v>0</v>
          </cell>
          <cell r="L228" t="str">
            <v/>
          </cell>
          <cell r="M228" t="str">
            <v>合計</v>
          </cell>
          <cell r="N228">
            <v>0</v>
          </cell>
          <cell r="P228">
            <v>0</v>
          </cell>
          <cell r="U228" t="str">
            <v>000000000013167</v>
          </cell>
        </row>
        <row r="229">
          <cell r="C229" t="str">
            <v>LED-A888</v>
          </cell>
          <cell r="H229" t="str">
            <v/>
          </cell>
          <cell r="K229">
            <v>0</v>
          </cell>
          <cell r="L229" t="str">
            <v/>
          </cell>
          <cell r="M229" t="str">
            <v>入数</v>
          </cell>
          <cell r="N229">
            <v>0</v>
          </cell>
          <cell r="P229">
            <v>0</v>
          </cell>
          <cell r="U229" t="str">
            <v>000000000013167</v>
          </cell>
        </row>
        <row r="230">
          <cell r="H230" t="str">
            <v/>
          </cell>
          <cell r="K230">
            <v>0</v>
          </cell>
          <cell r="L230" t="str">
            <v/>
          </cell>
          <cell r="M230" t="str">
            <v>作業者</v>
          </cell>
          <cell r="U230" t="str">
            <v>000000000013167</v>
          </cell>
        </row>
        <row r="231">
          <cell r="C231">
            <v>0</v>
          </cell>
          <cell r="H231" t="str">
            <v/>
          </cell>
          <cell r="K231">
            <v>0</v>
          </cell>
          <cell r="L231" t="str">
            <v/>
          </cell>
          <cell r="U231" t="str">
            <v>000000000013167</v>
          </cell>
        </row>
        <row r="232">
          <cell r="K232">
            <v>0</v>
          </cell>
          <cell r="L232" t="str">
            <v/>
          </cell>
          <cell r="R232">
            <v>0</v>
          </cell>
          <cell r="U232" t="str">
            <v>000000000013167</v>
          </cell>
        </row>
        <row r="233">
          <cell r="D233" t="str">
            <v>不良補填</v>
          </cell>
          <cell r="F233">
            <v>0</v>
          </cell>
          <cell r="U233" t="str">
            <v>000000000013167</v>
          </cell>
        </row>
        <row r="234">
          <cell r="C234" t="str">
            <v>8FL281304 5010　L=888</v>
          </cell>
          <cell r="J234">
            <v>0</v>
          </cell>
          <cell r="K234">
            <v>0</v>
          </cell>
          <cell r="L234" t="str">
            <v/>
          </cell>
          <cell r="P234">
            <v>0</v>
          </cell>
          <cell r="U234" t="str">
            <v>000000000013171</v>
          </cell>
        </row>
        <row r="235">
          <cell r="H235" t="str">
            <v/>
          </cell>
          <cell r="J235" t="str">
            <v/>
          </cell>
          <cell r="K235">
            <v>0</v>
          </cell>
          <cell r="L235" t="str">
            <v/>
          </cell>
          <cell r="P235">
            <v>0</v>
          </cell>
          <cell r="U235" t="str">
            <v>000000000013171</v>
          </cell>
        </row>
        <row r="236">
          <cell r="H236" t="str">
            <v/>
          </cell>
          <cell r="K236">
            <v>0</v>
          </cell>
          <cell r="L236" t="str">
            <v/>
          </cell>
          <cell r="P236">
            <v>0</v>
          </cell>
          <cell r="U236" t="str">
            <v>000000000013171</v>
          </cell>
        </row>
        <row r="237">
          <cell r="C237">
            <v>400</v>
          </cell>
          <cell r="H237" t="str">
            <v/>
          </cell>
          <cell r="K237">
            <v>0</v>
          </cell>
          <cell r="L237" t="str">
            <v/>
          </cell>
          <cell r="P237">
            <v>0</v>
          </cell>
          <cell r="U237" t="str">
            <v>000000000013171</v>
          </cell>
        </row>
        <row r="238">
          <cell r="C238">
            <v>2</v>
          </cell>
          <cell r="H238" t="str">
            <v/>
          </cell>
          <cell r="K238">
            <v>0</v>
          </cell>
          <cell r="L238" t="str">
            <v/>
          </cell>
          <cell r="P238">
            <v>0</v>
          </cell>
          <cell r="U238" t="str">
            <v>000000000013171</v>
          </cell>
        </row>
        <row r="239">
          <cell r="C239">
            <v>100</v>
          </cell>
          <cell r="H239" t="str">
            <v/>
          </cell>
          <cell r="K239">
            <v>0</v>
          </cell>
          <cell r="L239" t="str">
            <v/>
          </cell>
          <cell r="M239" t="str">
            <v>合計</v>
          </cell>
          <cell r="N239">
            <v>0</v>
          </cell>
          <cell r="P239">
            <v>0</v>
          </cell>
          <cell r="U239" t="str">
            <v>000000000013171</v>
          </cell>
        </row>
        <row r="240">
          <cell r="C240" t="str">
            <v>LED-A888</v>
          </cell>
          <cell r="H240" t="str">
            <v/>
          </cell>
          <cell r="K240">
            <v>0</v>
          </cell>
          <cell r="L240" t="str">
            <v/>
          </cell>
          <cell r="M240" t="str">
            <v>入数</v>
          </cell>
          <cell r="N240">
            <v>0</v>
          </cell>
          <cell r="P240">
            <v>0</v>
          </cell>
          <cell r="U240" t="str">
            <v>000000000013171</v>
          </cell>
        </row>
        <row r="241">
          <cell r="H241" t="str">
            <v/>
          </cell>
          <cell r="K241">
            <v>0</v>
          </cell>
          <cell r="L241" t="str">
            <v/>
          </cell>
          <cell r="M241" t="str">
            <v>作業者</v>
          </cell>
          <cell r="U241" t="str">
            <v>000000000013171</v>
          </cell>
        </row>
        <row r="242">
          <cell r="C242">
            <v>0</v>
          </cell>
          <cell r="H242" t="str">
            <v/>
          </cell>
          <cell r="K242">
            <v>0</v>
          </cell>
          <cell r="L242" t="str">
            <v/>
          </cell>
          <cell r="U242" t="str">
            <v>000000000013171</v>
          </cell>
        </row>
        <row r="243">
          <cell r="K243">
            <v>0</v>
          </cell>
          <cell r="L243" t="str">
            <v/>
          </cell>
          <cell r="R243">
            <v>0</v>
          </cell>
          <cell r="U243" t="str">
            <v>000000000013171</v>
          </cell>
        </row>
        <row r="244">
          <cell r="D244" t="str">
            <v>不良補填</v>
          </cell>
          <cell r="F244">
            <v>0</v>
          </cell>
          <cell r="U244" t="str">
            <v>000000000013171</v>
          </cell>
        </row>
        <row r="245">
          <cell r="C245" t="str">
            <v>8FL281304 5010　L=888</v>
          </cell>
          <cell r="J245">
            <v>0</v>
          </cell>
          <cell r="K245">
            <v>0</v>
          </cell>
          <cell r="L245" t="str">
            <v/>
          </cell>
          <cell r="P245">
            <v>0</v>
          </cell>
          <cell r="U245" t="str">
            <v>000000000013172</v>
          </cell>
        </row>
        <row r="246">
          <cell r="H246" t="str">
            <v/>
          </cell>
          <cell r="J246" t="str">
            <v/>
          </cell>
          <cell r="K246">
            <v>0</v>
          </cell>
          <cell r="L246" t="str">
            <v/>
          </cell>
          <cell r="P246">
            <v>0</v>
          </cell>
          <cell r="U246" t="str">
            <v>000000000013172</v>
          </cell>
        </row>
        <row r="247">
          <cell r="H247" t="str">
            <v/>
          </cell>
          <cell r="K247">
            <v>0</v>
          </cell>
          <cell r="L247" t="str">
            <v/>
          </cell>
          <cell r="P247">
            <v>0</v>
          </cell>
          <cell r="U247" t="str">
            <v>000000000013172</v>
          </cell>
        </row>
        <row r="248">
          <cell r="C248">
            <v>1000</v>
          </cell>
          <cell r="H248" t="str">
            <v/>
          </cell>
          <cell r="K248">
            <v>0</v>
          </cell>
          <cell r="L248" t="str">
            <v/>
          </cell>
          <cell r="P248">
            <v>0</v>
          </cell>
          <cell r="U248" t="str">
            <v>000000000013172</v>
          </cell>
        </row>
        <row r="249">
          <cell r="C249">
            <v>2</v>
          </cell>
          <cell r="H249" t="str">
            <v/>
          </cell>
          <cell r="K249">
            <v>0</v>
          </cell>
          <cell r="L249" t="str">
            <v/>
          </cell>
          <cell r="P249">
            <v>0</v>
          </cell>
          <cell r="U249" t="str">
            <v>000000000013172</v>
          </cell>
        </row>
        <row r="250">
          <cell r="C250">
            <v>100</v>
          </cell>
          <cell r="H250" t="str">
            <v/>
          </cell>
          <cell r="K250">
            <v>0</v>
          </cell>
          <cell r="L250" t="str">
            <v/>
          </cell>
          <cell r="M250" t="str">
            <v>合計</v>
          </cell>
          <cell r="N250">
            <v>0</v>
          </cell>
          <cell r="P250">
            <v>0</v>
          </cell>
          <cell r="U250" t="str">
            <v>000000000013172</v>
          </cell>
        </row>
        <row r="251">
          <cell r="C251" t="str">
            <v>LED-A888</v>
          </cell>
          <cell r="H251" t="str">
            <v/>
          </cell>
          <cell r="K251">
            <v>0</v>
          </cell>
          <cell r="L251" t="str">
            <v/>
          </cell>
          <cell r="M251" t="str">
            <v>入数</v>
          </cell>
          <cell r="N251">
            <v>0</v>
          </cell>
          <cell r="P251">
            <v>0</v>
          </cell>
          <cell r="U251" t="str">
            <v>000000000013172</v>
          </cell>
        </row>
        <row r="252">
          <cell r="H252" t="str">
            <v/>
          </cell>
          <cell r="K252">
            <v>0</v>
          </cell>
          <cell r="L252" t="str">
            <v/>
          </cell>
          <cell r="M252" t="str">
            <v>作業者</v>
          </cell>
          <cell r="U252" t="str">
            <v>000000000013172</v>
          </cell>
        </row>
        <row r="253">
          <cell r="C253">
            <v>0</v>
          </cell>
          <cell r="H253" t="str">
            <v/>
          </cell>
          <cell r="K253">
            <v>0</v>
          </cell>
          <cell r="L253" t="str">
            <v/>
          </cell>
          <cell r="U253" t="str">
            <v>000000000013172</v>
          </cell>
        </row>
        <row r="254">
          <cell r="K254">
            <v>0</v>
          </cell>
          <cell r="L254" t="str">
            <v/>
          </cell>
          <cell r="R254">
            <v>0</v>
          </cell>
          <cell r="U254" t="str">
            <v>000000000013172</v>
          </cell>
        </row>
        <row r="255">
          <cell r="D255" t="str">
            <v>不良補填</v>
          </cell>
          <cell r="F255">
            <v>0</v>
          </cell>
          <cell r="U255" t="str">
            <v>000000000013172</v>
          </cell>
        </row>
        <row r="256">
          <cell r="C256" t="str">
            <v>8FL281304 5010　L=888</v>
          </cell>
          <cell r="J256">
            <v>0</v>
          </cell>
          <cell r="K256">
            <v>0</v>
          </cell>
          <cell r="L256" t="str">
            <v/>
          </cell>
          <cell r="P256">
            <v>0</v>
          </cell>
          <cell r="U256" t="str">
            <v>000000000013400</v>
          </cell>
        </row>
        <row r="257">
          <cell r="H257" t="str">
            <v/>
          </cell>
          <cell r="J257" t="str">
            <v/>
          </cell>
          <cell r="K257">
            <v>0</v>
          </cell>
          <cell r="L257" t="str">
            <v/>
          </cell>
          <cell r="P257">
            <v>0</v>
          </cell>
          <cell r="U257" t="str">
            <v>000000000013400</v>
          </cell>
        </row>
        <row r="258">
          <cell r="H258" t="str">
            <v/>
          </cell>
          <cell r="K258">
            <v>0</v>
          </cell>
          <cell r="L258" t="str">
            <v/>
          </cell>
          <cell r="P258">
            <v>0</v>
          </cell>
          <cell r="U258" t="str">
            <v>000000000013400</v>
          </cell>
        </row>
        <row r="259">
          <cell r="C259">
            <v>100</v>
          </cell>
          <cell r="H259" t="str">
            <v/>
          </cell>
          <cell r="K259">
            <v>0</v>
          </cell>
          <cell r="L259" t="str">
            <v/>
          </cell>
          <cell r="P259">
            <v>0</v>
          </cell>
          <cell r="U259" t="str">
            <v>000000000013400</v>
          </cell>
        </row>
        <row r="260">
          <cell r="C260">
            <v>2</v>
          </cell>
          <cell r="H260" t="str">
            <v/>
          </cell>
          <cell r="K260">
            <v>0</v>
          </cell>
          <cell r="L260" t="str">
            <v/>
          </cell>
          <cell r="P260">
            <v>0</v>
          </cell>
          <cell r="U260" t="str">
            <v>000000000013400</v>
          </cell>
        </row>
        <row r="261">
          <cell r="C261">
            <v>100</v>
          </cell>
          <cell r="H261" t="str">
            <v/>
          </cell>
          <cell r="K261">
            <v>0</v>
          </cell>
          <cell r="L261" t="str">
            <v/>
          </cell>
          <cell r="M261" t="str">
            <v>合計</v>
          </cell>
          <cell r="N261">
            <v>0</v>
          </cell>
          <cell r="P261">
            <v>0</v>
          </cell>
          <cell r="U261" t="str">
            <v>000000000013400</v>
          </cell>
        </row>
        <row r="262">
          <cell r="C262" t="str">
            <v>LED-A888</v>
          </cell>
          <cell r="H262" t="str">
            <v/>
          </cell>
          <cell r="K262">
            <v>0</v>
          </cell>
          <cell r="L262" t="str">
            <v/>
          </cell>
          <cell r="M262" t="str">
            <v>入数</v>
          </cell>
          <cell r="N262">
            <v>0</v>
          </cell>
          <cell r="P262">
            <v>0</v>
          </cell>
          <cell r="U262" t="str">
            <v>000000000013400</v>
          </cell>
        </row>
        <row r="263">
          <cell r="H263" t="str">
            <v/>
          </cell>
          <cell r="K263">
            <v>0</v>
          </cell>
          <cell r="L263" t="str">
            <v/>
          </cell>
          <cell r="M263" t="str">
            <v>作業者</v>
          </cell>
          <cell r="U263" t="str">
            <v>000000000013400</v>
          </cell>
        </row>
        <row r="264">
          <cell r="C264">
            <v>0</v>
          </cell>
          <cell r="H264" t="str">
            <v/>
          </cell>
          <cell r="K264">
            <v>0</v>
          </cell>
          <cell r="L264" t="str">
            <v/>
          </cell>
          <cell r="U264" t="str">
            <v>000000000013400</v>
          </cell>
        </row>
        <row r="265">
          <cell r="K265">
            <v>0</v>
          </cell>
          <cell r="L265" t="str">
            <v/>
          </cell>
          <cell r="R265">
            <v>0</v>
          </cell>
          <cell r="U265" t="str">
            <v>000000000013400</v>
          </cell>
        </row>
        <row r="266">
          <cell r="D266" t="str">
            <v>不良補填</v>
          </cell>
          <cell r="F266">
            <v>0</v>
          </cell>
          <cell r="U266" t="str">
            <v>000000000013400</v>
          </cell>
        </row>
        <row r="267">
          <cell r="C267" t="str">
            <v>8FL281304 8310　L=748</v>
          </cell>
          <cell r="J267">
            <v>0</v>
          </cell>
          <cell r="K267">
            <v>0</v>
          </cell>
          <cell r="L267" t="str">
            <v/>
          </cell>
          <cell r="P267">
            <v>0</v>
          </cell>
          <cell r="U267" t="str">
            <v>000000000013163</v>
          </cell>
        </row>
        <row r="268">
          <cell r="H268" t="str">
            <v/>
          </cell>
          <cell r="J268" t="str">
            <v/>
          </cell>
          <cell r="K268">
            <v>0</v>
          </cell>
          <cell r="L268" t="str">
            <v/>
          </cell>
          <cell r="P268">
            <v>0</v>
          </cell>
          <cell r="U268" t="str">
            <v>000000000013163</v>
          </cell>
        </row>
        <row r="269">
          <cell r="H269" t="str">
            <v/>
          </cell>
          <cell r="K269">
            <v>0</v>
          </cell>
          <cell r="L269" t="str">
            <v/>
          </cell>
          <cell r="P269">
            <v>0</v>
          </cell>
          <cell r="U269" t="str">
            <v>000000000013163</v>
          </cell>
        </row>
        <row r="270">
          <cell r="C270">
            <v>400</v>
          </cell>
          <cell r="H270" t="str">
            <v/>
          </cell>
          <cell r="K270">
            <v>0</v>
          </cell>
          <cell r="L270" t="str">
            <v/>
          </cell>
          <cell r="P270">
            <v>0</v>
          </cell>
          <cell r="U270" t="str">
            <v>000000000013163</v>
          </cell>
        </row>
        <row r="271">
          <cell r="C271">
            <v>2</v>
          </cell>
          <cell r="H271" t="str">
            <v/>
          </cell>
          <cell r="K271">
            <v>0</v>
          </cell>
          <cell r="L271" t="str">
            <v/>
          </cell>
          <cell r="P271">
            <v>0</v>
          </cell>
          <cell r="U271" t="str">
            <v>000000000013163</v>
          </cell>
        </row>
        <row r="272">
          <cell r="C272">
            <v>100</v>
          </cell>
          <cell r="H272" t="str">
            <v/>
          </cell>
          <cell r="K272">
            <v>0</v>
          </cell>
          <cell r="L272" t="str">
            <v/>
          </cell>
          <cell r="M272" t="str">
            <v>合計</v>
          </cell>
          <cell r="N272">
            <v>0</v>
          </cell>
          <cell r="P272">
            <v>0</v>
          </cell>
          <cell r="U272" t="str">
            <v>000000000013163</v>
          </cell>
        </row>
        <row r="273">
          <cell r="C273" t="str">
            <v>LED-A888</v>
          </cell>
          <cell r="H273" t="str">
            <v/>
          </cell>
          <cell r="K273">
            <v>0</v>
          </cell>
          <cell r="L273" t="str">
            <v/>
          </cell>
          <cell r="M273" t="str">
            <v>入数</v>
          </cell>
          <cell r="N273">
            <v>0</v>
          </cell>
          <cell r="P273">
            <v>0</v>
          </cell>
          <cell r="U273" t="str">
            <v>000000000013163</v>
          </cell>
        </row>
        <row r="274">
          <cell r="H274" t="str">
            <v/>
          </cell>
          <cell r="K274">
            <v>0</v>
          </cell>
          <cell r="L274" t="str">
            <v/>
          </cell>
          <cell r="M274" t="str">
            <v>作業者</v>
          </cell>
          <cell r="U274" t="str">
            <v>000000000013163</v>
          </cell>
        </row>
        <row r="275">
          <cell r="C275">
            <v>0</v>
          </cell>
          <cell r="H275" t="str">
            <v/>
          </cell>
          <cell r="K275">
            <v>0</v>
          </cell>
          <cell r="L275" t="str">
            <v/>
          </cell>
          <cell r="U275" t="str">
            <v>000000000013163</v>
          </cell>
        </row>
        <row r="276">
          <cell r="K276">
            <v>0</v>
          </cell>
          <cell r="L276" t="str">
            <v/>
          </cell>
          <cell r="R276">
            <v>0</v>
          </cell>
          <cell r="U276" t="str">
            <v>000000000013163</v>
          </cell>
        </row>
        <row r="277">
          <cell r="D277" t="str">
            <v>不良補填</v>
          </cell>
          <cell r="F277">
            <v>0</v>
          </cell>
          <cell r="U277" t="str">
            <v>000000000013163</v>
          </cell>
        </row>
        <row r="278">
          <cell r="C278" t="str">
            <v>照明ｶﾊﾞｰS15　L=550</v>
          </cell>
          <cell r="J278">
            <v>0</v>
          </cell>
          <cell r="K278">
            <v>0</v>
          </cell>
          <cell r="L278" t="str">
            <v/>
          </cell>
          <cell r="P278">
            <v>0</v>
          </cell>
          <cell r="U278" t="str">
            <v>000000000013572</v>
          </cell>
        </row>
        <row r="279">
          <cell r="H279" t="str">
            <v/>
          </cell>
          <cell r="J279" t="str">
            <v/>
          </cell>
          <cell r="K279">
            <v>0</v>
          </cell>
          <cell r="L279" t="str">
            <v/>
          </cell>
          <cell r="P279">
            <v>0</v>
          </cell>
          <cell r="U279" t="str">
            <v>000000000013572</v>
          </cell>
        </row>
        <row r="280">
          <cell r="H280" t="str">
            <v/>
          </cell>
          <cell r="K280">
            <v>0</v>
          </cell>
          <cell r="L280" t="str">
            <v/>
          </cell>
          <cell r="P280">
            <v>0</v>
          </cell>
          <cell r="U280" t="str">
            <v>000000000013572</v>
          </cell>
        </row>
        <row r="281">
          <cell r="C281">
            <v>800</v>
          </cell>
          <cell r="H281" t="str">
            <v/>
          </cell>
          <cell r="K281">
            <v>0</v>
          </cell>
          <cell r="L281" t="str">
            <v/>
          </cell>
          <cell r="P281">
            <v>0</v>
          </cell>
          <cell r="U281" t="str">
            <v>000000000013572</v>
          </cell>
        </row>
        <row r="282">
          <cell r="C282">
            <v>3</v>
          </cell>
          <cell r="H282" t="str">
            <v/>
          </cell>
          <cell r="K282">
            <v>0</v>
          </cell>
          <cell r="L282" t="str">
            <v/>
          </cell>
          <cell r="P282">
            <v>0</v>
          </cell>
          <cell r="U282" t="str">
            <v>000000000013572</v>
          </cell>
        </row>
        <row r="283">
          <cell r="C283">
            <v>50</v>
          </cell>
          <cell r="H283" t="str">
            <v/>
          </cell>
          <cell r="K283">
            <v>0</v>
          </cell>
          <cell r="L283" t="str">
            <v/>
          </cell>
          <cell r="M283" t="str">
            <v>合計</v>
          </cell>
          <cell r="N283">
            <v>0</v>
          </cell>
          <cell r="P283">
            <v>0</v>
          </cell>
          <cell r="U283" t="str">
            <v>000000000013572</v>
          </cell>
        </row>
        <row r="284">
          <cell r="C284" t="str">
            <v>基材梱包箱</v>
          </cell>
          <cell r="H284" t="str">
            <v/>
          </cell>
          <cell r="K284">
            <v>0</v>
          </cell>
          <cell r="L284" t="str">
            <v/>
          </cell>
          <cell r="M284" t="str">
            <v>入数</v>
          </cell>
          <cell r="N284">
            <v>0</v>
          </cell>
          <cell r="P284">
            <v>0</v>
          </cell>
          <cell r="U284" t="str">
            <v>000000000013572</v>
          </cell>
        </row>
        <row r="285">
          <cell r="H285" t="str">
            <v/>
          </cell>
          <cell r="K285">
            <v>0</v>
          </cell>
          <cell r="L285" t="str">
            <v/>
          </cell>
          <cell r="M285" t="str">
            <v>作業者</v>
          </cell>
          <cell r="U285" t="str">
            <v>000000000013572</v>
          </cell>
        </row>
        <row r="286">
          <cell r="C286">
            <v>0</v>
          </cell>
          <cell r="H286" t="str">
            <v/>
          </cell>
          <cell r="K286">
            <v>0</v>
          </cell>
          <cell r="L286" t="str">
            <v/>
          </cell>
          <cell r="U286" t="str">
            <v>000000000013572</v>
          </cell>
        </row>
        <row r="287">
          <cell r="K287">
            <v>0</v>
          </cell>
          <cell r="L287" t="str">
            <v/>
          </cell>
          <cell r="R287">
            <v>0</v>
          </cell>
          <cell r="U287" t="str">
            <v>000000000013572</v>
          </cell>
        </row>
        <row r="288">
          <cell r="D288" t="str">
            <v>不良補填</v>
          </cell>
          <cell r="F288" t="str">
            <v/>
          </cell>
          <cell r="U288" t="str">
            <v>000000000013572</v>
          </cell>
        </row>
        <row r="289">
          <cell r="C289" t="str">
            <v>灯具カバーPC IN 2110　L=1815</v>
          </cell>
          <cell r="J289">
            <v>0</v>
          </cell>
          <cell r="K289">
            <v>0</v>
          </cell>
          <cell r="L289" t="str">
            <v/>
          </cell>
          <cell r="P289">
            <v>0</v>
          </cell>
          <cell r="U289" t="str">
            <v>000000000013398</v>
          </cell>
        </row>
        <row r="290">
          <cell r="H290" t="str">
            <v/>
          </cell>
          <cell r="J290" t="str">
            <v/>
          </cell>
          <cell r="K290">
            <v>0</v>
          </cell>
          <cell r="L290" t="str">
            <v/>
          </cell>
          <cell r="P290">
            <v>0</v>
          </cell>
          <cell r="U290" t="str">
            <v>000000000013398</v>
          </cell>
        </row>
        <row r="291">
          <cell r="H291" t="str">
            <v/>
          </cell>
          <cell r="K291">
            <v>0</v>
          </cell>
          <cell r="L291" t="str">
            <v/>
          </cell>
          <cell r="P291">
            <v>0</v>
          </cell>
          <cell r="U291" t="str">
            <v>000000000013398</v>
          </cell>
        </row>
        <row r="292">
          <cell r="C292">
            <v>192</v>
          </cell>
          <cell r="H292" t="str">
            <v/>
          </cell>
          <cell r="K292">
            <v>0</v>
          </cell>
          <cell r="L292" t="str">
            <v/>
          </cell>
          <cell r="P292">
            <v>0</v>
          </cell>
          <cell r="U292" t="str">
            <v>000000000013398</v>
          </cell>
        </row>
        <row r="293">
          <cell r="C293">
            <v>1</v>
          </cell>
          <cell r="H293" t="str">
            <v/>
          </cell>
          <cell r="K293">
            <v>0</v>
          </cell>
          <cell r="L293" t="str">
            <v/>
          </cell>
          <cell r="P293">
            <v>0</v>
          </cell>
          <cell r="U293" t="str">
            <v>000000000013398</v>
          </cell>
        </row>
        <row r="294">
          <cell r="C294">
            <v>16</v>
          </cell>
          <cell r="H294" t="str">
            <v/>
          </cell>
          <cell r="K294">
            <v>0</v>
          </cell>
          <cell r="L294" t="str">
            <v/>
          </cell>
          <cell r="M294" t="str">
            <v>合計</v>
          </cell>
          <cell r="N294">
            <v>0</v>
          </cell>
          <cell r="P294">
            <v>0</v>
          </cell>
          <cell r="U294" t="str">
            <v>000000000013398</v>
          </cell>
        </row>
        <row r="295">
          <cell r="C295" t="str">
            <v>灯具-2　L＝1996</v>
          </cell>
          <cell r="H295" t="str">
            <v/>
          </cell>
          <cell r="K295">
            <v>0</v>
          </cell>
          <cell r="L295" t="str">
            <v/>
          </cell>
          <cell r="M295" t="str">
            <v>入数</v>
          </cell>
          <cell r="N295">
            <v>0</v>
          </cell>
          <cell r="P295">
            <v>0</v>
          </cell>
          <cell r="U295" t="str">
            <v>000000000013398</v>
          </cell>
        </row>
        <row r="296">
          <cell r="H296" t="str">
            <v/>
          </cell>
          <cell r="K296">
            <v>0</v>
          </cell>
          <cell r="L296" t="str">
            <v/>
          </cell>
          <cell r="M296" t="str">
            <v>作業者</v>
          </cell>
          <cell r="U296" t="str">
            <v>000000000013398</v>
          </cell>
        </row>
        <row r="297">
          <cell r="C297">
            <v>0</v>
          </cell>
          <cell r="H297" t="str">
            <v/>
          </cell>
          <cell r="K297">
            <v>0</v>
          </cell>
          <cell r="L297" t="str">
            <v/>
          </cell>
          <cell r="U297" t="str">
            <v>000000000013398</v>
          </cell>
        </row>
        <row r="298">
          <cell r="K298">
            <v>0</v>
          </cell>
          <cell r="L298" t="str">
            <v/>
          </cell>
          <cell r="R298">
            <v>0</v>
          </cell>
          <cell r="U298" t="str">
            <v>000000000013398</v>
          </cell>
        </row>
        <row r="299">
          <cell r="D299" t="str">
            <v>不良補填</v>
          </cell>
          <cell r="F299" t="str">
            <v/>
          </cell>
          <cell r="U299" t="str">
            <v>000000000013398</v>
          </cell>
        </row>
        <row r="300">
          <cell r="C300" t="str">
            <v>灯具カバーPC IN 2070　L=1966</v>
          </cell>
          <cell r="J300">
            <v>0</v>
          </cell>
          <cell r="K300">
            <v>0</v>
          </cell>
          <cell r="L300" t="str">
            <v/>
          </cell>
          <cell r="P300">
            <v>0</v>
          </cell>
          <cell r="U300" t="str">
            <v>000000000012952</v>
          </cell>
        </row>
        <row r="301">
          <cell r="H301" t="str">
            <v/>
          </cell>
          <cell r="J301" t="str">
            <v/>
          </cell>
          <cell r="K301">
            <v>0</v>
          </cell>
          <cell r="L301" t="str">
            <v/>
          </cell>
          <cell r="P301">
            <v>0</v>
          </cell>
          <cell r="U301" t="str">
            <v>000000000012952</v>
          </cell>
        </row>
        <row r="302">
          <cell r="H302" t="str">
            <v/>
          </cell>
          <cell r="K302">
            <v>0</v>
          </cell>
          <cell r="L302" t="str">
            <v/>
          </cell>
          <cell r="P302">
            <v>0</v>
          </cell>
          <cell r="U302" t="str">
            <v>000000000012952</v>
          </cell>
        </row>
        <row r="303">
          <cell r="C303">
            <v>192</v>
          </cell>
          <cell r="H303" t="str">
            <v/>
          </cell>
          <cell r="K303">
            <v>0</v>
          </cell>
          <cell r="L303" t="str">
            <v/>
          </cell>
          <cell r="P303">
            <v>0</v>
          </cell>
          <cell r="U303" t="str">
            <v>000000000012952</v>
          </cell>
        </row>
        <row r="304">
          <cell r="C304">
            <v>1</v>
          </cell>
          <cell r="H304" t="str">
            <v/>
          </cell>
          <cell r="K304">
            <v>0</v>
          </cell>
          <cell r="L304" t="str">
            <v/>
          </cell>
          <cell r="P304">
            <v>0</v>
          </cell>
          <cell r="U304" t="str">
            <v>000000000012952</v>
          </cell>
        </row>
        <row r="305">
          <cell r="C305">
            <v>16</v>
          </cell>
          <cell r="H305" t="str">
            <v/>
          </cell>
          <cell r="K305">
            <v>0</v>
          </cell>
          <cell r="L305" t="str">
            <v/>
          </cell>
          <cell r="M305" t="str">
            <v>合計</v>
          </cell>
          <cell r="N305">
            <v>0</v>
          </cell>
          <cell r="P305">
            <v>0</v>
          </cell>
          <cell r="U305" t="str">
            <v>000000000012952</v>
          </cell>
        </row>
        <row r="306">
          <cell r="C306" t="str">
            <v>灯具-2　L＝1996</v>
          </cell>
          <cell r="H306" t="str">
            <v/>
          </cell>
          <cell r="K306">
            <v>0</v>
          </cell>
          <cell r="L306" t="str">
            <v/>
          </cell>
          <cell r="M306" t="str">
            <v>入数</v>
          </cell>
          <cell r="N306">
            <v>0</v>
          </cell>
          <cell r="P306">
            <v>0</v>
          </cell>
          <cell r="U306" t="str">
            <v>000000000012952</v>
          </cell>
        </row>
        <row r="307">
          <cell r="H307" t="str">
            <v/>
          </cell>
          <cell r="K307">
            <v>0</v>
          </cell>
          <cell r="L307" t="str">
            <v/>
          </cell>
          <cell r="M307" t="str">
            <v>作業者</v>
          </cell>
          <cell r="U307" t="str">
            <v>000000000012952</v>
          </cell>
        </row>
        <row r="308">
          <cell r="C308">
            <v>0</v>
          </cell>
          <cell r="H308" t="str">
            <v/>
          </cell>
          <cell r="K308">
            <v>0</v>
          </cell>
          <cell r="L308" t="str">
            <v/>
          </cell>
          <cell r="U308" t="str">
            <v>000000000012952</v>
          </cell>
        </row>
        <row r="309">
          <cell r="K309">
            <v>0</v>
          </cell>
          <cell r="L309" t="str">
            <v/>
          </cell>
          <cell r="R309">
            <v>0</v>
          </cell>
          <cell r="U309" t="str">
            <v>000000000012952</v>
          </cell>
        </row>
        <row r="310">
          <cell r="D310" t="str">
            <v>不良補填</v>
          </cell>
          <cell r="F310" t="str">
            <v/>
          </cell>
          <cell r="U310" t="str">
            <v>000000000012952</v>
          </cell>
        </row>
        <row r="311">
          <cell r="C311" t="str">
            <v>灯具カバーPC IN 2060　L=1258.5</v>
          </cell>
          <cell r="J311">
            <v>0</v>
          </cell>
          <cell r="K311">
            <v>0</v>
          </cell>
          <cell r="L311" t="str">
            <v/>
          </cell>
          <cell r="P311">
            <v>0</v>
          </cell>
          <cell r="U311" t="str">
            <v>000000000012987</v>
          </cell>
        </row>
        <row r="312">
          <cell r="H312" t="str">
            <v/>
          </cell>
          <cell r="J312" t="str">
            <v/>
          </cell>
          <cell r="K312">
            <v>0</v>
          </cell>
          <cell r="L312" t="str">
            <v/>
          </cell>
          <cell r="P312">
            <v>0</v>
          </cell>
          <cell r="U312" t="str">
            <v>000000000012987</v>
          </cell>
        </row>
        <row r="313">
          <cell r="H313" t="str">
            <v/>
          </cell>
          <cell r="K313">
            <v>0</v>
          </cell>
          <cell r="L313" t="str">
            <v/>
          </cell>
          <cell r="P313">
            <v>0</v>
          </cell>
          <cell r="U313" t="str">
            <v>000000000012987</v>
          </cell>
        </row>
        <row r="314">
          <cell r="C314">
            <v>144</v>
          </cell>
          <cell r="H314" t="str">
            <v/>
          </cell>
          <cell r="K314">
            <v>0</v>
          </cell>
          <cell r="L314" t="str">
            <v/>
          </cell>
          <cell r="P314">
            <v>0</v>
          </cell>
          <cell r="U314" t="str">
            <v>000000000012987</v>
          </cell>
        </row>
        <row r="315">
          <cell r="C315">
            <v>1</v>
          </cell>
          <cell r="H315" t="str">
            <v/>
          </cell>
          <cell r="K315">
            <v>0</v>
          </cell>
          <cell r="L315" t="str">
            <v/>
          </cell>
          <cell r="P315">
            <v>0</v>
          </cell>
          <cell r="U315" t="str">
            <v>000000000012987</v>
          </cell>
        </row>
        <row r="316">
          <cell r="C316">
            <v>16</v>
          </cell>
          <cell r="H316" t="str">
            <v/>
          </cell>
          <cell r="K316">
            <v>0</v>
          </cell>
          <cell r="L316" t="str">
            <v/>
          </cell>
          <cell r="M316" t="str">
            <v>合計</v>
          </cell>
          <cell r="N316">
            <v>0</v>
          </cell>
          <cell r="P316">
            <v>0</v>
          </cell>
          <cell r="U316" t="str">
            <v>000000000012987</v>
          </cell>
        </row>
        <row r="317">
          <cell r="C317" t="str">
            <v>灯具-1　L=1370</v>
          </cell>
          <cell r="H317" t="str">
            <v/>
          </cell>
          <cell r="K317">
            <v>0</v>
          </cell>
          <cell r="L317" t="str">
            <v/>
          </cell>
          <cell r="M317" t="str">
            <v>入数</v>
          </cell>
          <cell r="N317">
            <v>0</v>
          </cell>
          <cell r="P317">
            <v>0</v>
          </cell>
          <cell r="U317" t="str">
            <v>000000000012987</v>
          </cell>
        </row>
        <row r="318">
          <cell r="H318" t="str">
            <v/>
          </cell>
          <cell r="K318">
            <v>0</v>
          </cell>
          <cell r="L318" t="str">
            <v/>
          </cell>
          <cell r="M318" t="str">
            <v>作業者</v>
          </cell>
          <cell r="U318" t="str">
            <v>000000000012987</v>
          </cell>
        </row>
        <row r="319">
          <cell r="C319">
            <v>0</v>
          </cell>
          <cell r="H319" t="str">
            <v/>
          </cell>
          <cell r="K319">
            <v>0</v>
          </cell>
          <cell r="L319" t="str">
            <v/>
          </cell>
          <cell r="U319" t="str">
            <v>000000000012987</v>
          </cell>
        </row>
        <row r="320">
          <cell r="K320">
            <v>0</v>
          </cell>
          <cell r="L320" t="str">
            <v/>
          </cell>
          <cell r="R320">
            <v>0</v>
          </cell>
          <cell r="U320" t="str">
            <v>000000000012987</v>
          </cell>
        </row>
        <row r="321">
          <cell r="D321" t="str">
            <v>不良補填</v>
          </cell>
          <cell r="F321" t="str">
            <v/>
          </cell>
          <cell r="U321" t="str">
            <v>000000000012987</v>
          </cell>
        </row>
        <row r="322">
          <cell r="C322" t="str">
            <v>灯具カバーPC IN 2130　L=908</v>
          </cell>
          <cell r="J322">
            <v>0</v>
          </cell>
          <cell r="K322">
            <v>0</v>
          </cell>
          <cell r="L322" t="str">
            <v/>
          </cell>
          <cell r="P322">
            <v>0</v>
          </cell>
          <cell r="U322" t="str">
            <v>000000000012944</v>
          </cell>
        </row>
        <row r="323">
          <cell r="H323" t="str">
            <v/>
          </cell>
          <cell r="J323" t="str">
            <v/>
          </cell>
          <cell r="K323">
            <v>0</v>
          </cell>
          <cell r="L323" t="str">
            <v/>
          </cell>
          <cell r="P323">
            <v>0</v>
          </cell>
          <cell r="U323" t="str">
            <v>000000000012944</v>
          </cell>
        </row>
        <row r="324">
          <cell r="H324" t="str">
            <v/>
          </cell>
          <cell r="K324">
            <v>0</v>
          </cell>
          <cell r="L324" t="str">
            <v/>
          </cell>
          <cell r="P324">
            <v>0</v>
          </cell>
          <cell r="U324" t="str">
            <v>000000000012944</v>
          </cell>
        </row>
        <row r="325">
          <cell r="C325">
            <v>192</v>
          </cell>
          <cell r="H325" t="str">
            <v/>
          </cell>
          <cell r="K325">
            <v>0</v>
          </cell>
          <cell r="L325" t="str">
            <v/>
          </cell>
          <cell r="P325">
            <v>0</v>
          </cell>
          <cell r="U325" t="str">
            <v>000000000012944</v>
          </cell>
        </row>
        <row r="326">
          <cell r="C326">
            <v>1</v>
          </cell>
          <cell r="H326" t="str">
            <v/>
          </cell>
          <cell r="K326">
            <v>0</v>
          </cell>
          <cell r="L326" t="str">
            <v/>
          </cell>
          <cell r="P326">
            <v>0</v>
          </cell>
          <cell r="U326" t="str">
            <v>000000000012944</v>
          </cell>
        </row>
        <row r="327">
          <cell r="C327">
            <v>16</v>
          </cell>
          <cell r="H327" t="str">
            <v/>
          </cell>
          <cell r="K327">
            <v>0</v>
          </cell>
          <cell r="L327" t="str">
            <v/>
          </cell>
          <cell r="M327" t="str">
            <v>合計</v>
          </cell>
          <cell r="N327">
            <v>0</v>
          </cell>
          <cell r="P327">
            <v>0</v>
          </cell>
          <cell r="U327" t="str">
            <v>000000000012944</v>
          </cell>
        </row>
        <row r="328">
          <cell r="C328" t="str">
            <v>灯具-3　L=970</v>
          </cell>
          <cell r="H328" t="str">
            <v/>
          </cell>
          <cell r="K328">
            <v>0</v>
          </cell>
          <cell r="L328" t="str">
            <v/>
          </cell>
          <cell r="M328" t="str">
            <v>入数</v>
          </cell>
          <cell r="N328">
            <v>0</v>
          </cell>
          <cell r="P328">
            <v>0</v>
          </cell>
          <cell r="U328" t="str">
            <v>000000000012944</v>
          </cell>
        </row>
        <row r="329">
          <cell r="H329" t="str">
            <v/>
          </cell>
          <cell r="K329">
            <v>0</v>
          </cell>
          <cell r="L329" t="str">
            <v/>
          </cell>
          <cell r="M329" t="str">
            <v>作業者</v>
          </cell>
          <cell r="U329" t="str">
            <v>000000000012944</v>
          </cell>
        </row>
        <row r="330">
          <cell r="C330">
            <v>0</v>
          </cell>
          <cell r="H330" t="str">
            <v/>
          </cell>
          <cell r="K330">
            <v>0</v>
          </cell>
          <cell r="L330" t="str">
            <v/>
          </cell>
          <cell r="U330" t="str">
            <v>000000000012944</v>
          </cell>
        </row>
        <row r="331">
          <cell r="K331">
            <v>0</v>
          </cell>
          <cell r="L331" t="str">
            <v/>
          </cell>
          <cell r="R331">
            <v>0</v>
          </cell>
          <cell r="U331" t="str">
            <v>000000000012944</v>
          </cell>
        </row>
        <row r="332">
          <cell r="D332" t="str">
            <v>不良補填</v>
          </cell>
          <cell r="F332" t="str">
            <v/>
          </cell>
          <cell r="U332" t="str">
            <v>000000000012944</v>
          </cell>
        </row>
        <row r="333">
          <cell r="C333" t="str">
            <v>灯具カバーPC IN 2090　L=840</v>
          </cell>
          <cell r="J333">
            <v>0</v>
          </cell>
          <cell r="K333">
            <v>0</v>
          </cell>
          <cell r="L333" t="str">
            <v/>
          </cell>
          <cell r="P333">
            <v>0</v>
          </cell>
          <cell r="U333" t="str">
            <v>000000000012942</v>
          </cell>
        </row>
        <row r="334">
          <cell r="H334" t="str">
            <v/>
          </cell>
          <cell r="J334" t="str">
            <v/>
          </cell>
          <cell r="K334">
            <v>0</v>
          </cell>
          <cell r="L334" t="str">
            <v/>
          </cell>
          <cell r="P334">
            <v>0</v>
          </cell>
          <cell r="U334" t="str">
            <v>000000000012942</v>
          </cell>
        </row>
        <row r="335">
          <cell r="H335" t="str">
            <v/>
          </cell>
          <cell r="K335">
            <v>0</v>
          </cell>
          <cell r="L335" t="str">
            <v/>
          </cell>
          <cell r="P335">
            <v>0</v>
          </cell>
          <cell r="U335" t="str">
            <v>000000000012942</v>
          </cell>
        </row>
        <row r="336">
          <cell r="C336">
            <v>192</v>
          </cell>
          <cell r="H336" t="str">
            <v/>
          </cell>
          <cell r="K336">
            <v>0</v>
          </cell>
          <cell r="L336" t="str">
            <v/>
          </cell>
          <cell r="P336">
            <v>0</v>
          </cell>
          <cell r="U336" t="str">
            <v>000000000012942</v>
          </cell>
        </row>
        <row r="337">
          <cell r="C337">
            <v>1</v>
          </cell>
          <cell r="H337" t="str">
            <v/>
          </cell>
          <cell r="K337">
            <v>0</v>
          </cell>
          <cell r="L337" t="str">
            <v/>
          </cell>
          <cell r="P337">
            <v>0</v>
          </cell>
          <cell r="U337" t="str">
            <v>000000000012942</v>
          </cell>
        </row>
        <row r="338">
          <cell r="C338">
            <v>16</v>
          </cell>
          <cell r="H338" t="str">
            <v/>
          </cell>
          <cell r="K338">
            <v>0</v>
          </cell>
          <cell r="L338" t="str">
            <v/>
          </cell>
          <cell r="M338" t="str">
            <v>合計</v>
          </cell>
          <cell r="N338">
            <v>0</v>
          </cell>
          <cell r="P338">
            <v>0</v>
          </cell>
          <cell r="U338" t="str">
            <v>000000000012942</v>
          </cell>
        </row>
        <row r="339">
          <cell r="C339" t="str">
            <v>灯具-3　L=970</v>
          </cell>
          <cell r="H339" t="str">
            <v/>
          </cell>
          <cell r="K339">
            <v>0</v>
          </cell>
          <cell r="L339" t="str">
            <v/>
          </cell>
          <cell r="M339" t="str">
            <v>入数</v>
          </cell>
          <cell r="N339">
            <v>0</v>
          </cell>
          <cell r="P339">
            <v>0</v>
          </cell>
          <cell r="U339" t="str">
            <v>000000000012942</v>
          </cell>
        </row>
        <row r="340">
          <cell r="H340" t="str">
            <v/>
          </cell>
          <cell r="K340">
            <v>0</v>
          </cell>
          <cell r="L340" t="str">
            <v/>
          </cell>
          <cell r="M340" t="str">
            <v>作業者</v>
          </cell>
          <cell r="U340" t="str">
            <v>000000000012942</v>
          </cell>
        </row>
        <row r="341">
          <cell r="C341">
            <v>0</v>
          </cell>
          <cell r="H341" t="str">
            <v/>
          </cell>
          <cell r="K341">
            <v>0</v>
          </cell>
          <cell r="L341" t="str">
            <v/>
          </cell>
          <cell r="U341" t="str">
            <v>000000000012942</v>
          </cell>
        </row>
        <row r="342">
          <cell r="K342">
            <v>0</v>
          </cell>
          <cell r="L342" t="str">
            <v/>
          </cell>
          <cell r="R342">
            <v>0</v>
          </cell>
          <cell r="U342" t="str">
            <v>000000000012942</v>
          </cell>
        </row>
        <row r="343">
          <cell r="D343" t="str">
            <v>不良補填</v>
          </cell>
          <cell r="F343" t="str">
            <v/>
          </cell>
          <cell r="U343" t="str">
            <v>000000000012942</v>
          </cell>
        </row>
        <row r="344">
          <cell r="C344" t="str">
            <v>灯具カバーPC IN 2110　L=1815</v>
          </cell>
          <cell r="J344">
            <v>0</v>
          </cell>
          <cell r="K344">
            <v>0</v>
          </cell>
          <cell r="L344" t="str">
            <v/>
          </cell>
          <cell r="P344">
            <v>0</v>
          </cell>
          <cell r="U344" t="str">
            <v>000000000012948</v>
          </cell>
        </row>
        <row r="345">
          <cell r="H345" t="str">
            <v/>
          </cell>
          <cell r="J345" t="str">
            <v/>
          </cell>
          <cell r="K345">
            <v>0</v>
          </cell>
          <cell r="L345" t="str">
            <v/>
          </cell>
          <cell r="P345">
            <v>0</v>
          </cell>
          <cell r="U345" t="str">
            <v>000000000012948</v>
          </cell>
        </row>
        <row r="346">
          <cell r="H346" t="str">
            <v/>
          </cell>
          <cell r="K346">
            <v>0</v>
          </cell>
          <cell r="L346" t="str">
            <v/>
          </cell>
          <cell r="P346">
            <v>0</v>
          </cell>
          <cell r="U346" t="str">
            <v>000000000012948</v>
          </cell>
        </row>
        <row r="347">
          <cell r="C347">
            <v>192</v>
          </cell>
          <cell r="H347" t="str">
            <v/>
          </cell>
          <cell r="K347">
            <v>0</v>
          </cell>
          <cell r="L347" t="str">
            <v/>
          </cell>
          <cell r="P347">
            <v>0</v>
          </cell>
          <cell r="U347" t="str">
            <v>000000000012948</v>
          </cell>
        </row>
        <row r="348">
          <cell r="C348">
            <v>1</v>
          </cell>
          <cell r="H348" t="str">
            <v/>
          </cell>
          <cell r="K348">
            <v>0</v>
          </cell>
          <cell r="L348" t="str">
            <v/>
          </cell>
          <cell r="P348">
            <v>0</v>
          </cell>
          <cell r="U348" t="str">
            <v>000000000012948</v>
          </cell>
        </row>
        <row r="349">
          <cell r="C349">
            <v>16</v>
          </cell>
          <cell r="H349" t="str">
            <v/>
          </cell>
          <cell r="K349">
            <v>0</v>
          </cell>
          <cell r="L349" t="str">
            <v/>
          </cell>
          <cell r="M349" t="str">
            <v>合計</v>
          </cell>
          <cell r="N349">
            <v>0</v>
          </cell>
          <cell r="P349">
            <v>0</v>
          </cell>
          <cell r="U349" t="str">
            <v>000000000012948</v>
          </cell>
        </row>
        <row r="350">
          <cell r="C350" t="str">
            <v>灯具-2　L＝1996</v>
          </cell>
          <cell r="H350" t="str">
            <v/>
          </cell>
          <cell r="K350">
            <v>0</v>
          </cell>
          <cell r="L350" t="str">
            <v/>
          </cell>
          <cell r="M350" t="str">
            <v>入数</v>
          </cell>
          <cell r="N350">
            <v>0</v>
          </cell>
          <cell r="P350">
            <v>0</v>
          </cell>
          <cell r="U350" t="str">
            <v>000000000012948</v>
          </cell>
        </row>
        <row r="351">
          <cell r="H351" t="str">
            <v/>
          </cell>
          <cell r="K351">
            <v>0</v>
          </cell>
          <cell r="L351" t="str">
            <v/>
          </cell>
          <cell r="M351" t="str">
            <v>作業者</v>
          </cell>
          <cell r="U351" t="str">
            <v>000000000012948</v>
          </cell>
        </row>
        <row r="352">
          <cell r="C352">
            <v>0</v>
          </cell>
          <cell r="H352" t="str">
            <v/>
          </cell>
          <cell r="K352">
            <v>0</v>
          </cell>
          <cell r="L352" t="str">
            <v/>
          </cell>
          <cell r="U352" t="str">
            <v>000000000012948</v>
          </cell>
        </row>
        <row r="353">
          <cell r="K353">
            <v>0</v>
          </cell>
          <cell r="L353" t="str">
            <v/>
          </cell>
          <cell r="R353">
            <v>0</v>
          </cell>
          <cell r="U353" t="str">
            <v>000000000012948</v>
          </cell>
        </row>
        <row r="354">
          <cell r="D354" t="str">
            <v>不良補填</v>
          </cell>
          <cell r="F354" t="str">
            <v/>
          </cell>
          <cell r="U354" t="str">
            <v>000000000012948</v>
          </cell>
        </row>
        <row r="355">
          <cell r="C355" t="str">
            <v>8FL281304 5010　L=888</v>
          </cell>
          <cell r="J355">
            <v>0</v>
          </cell>
          <cell r="K355">
            <v>0</v>
          </cell>
          <cell r="L355" t="str">
            <v/>
          </cell>
          <cell r="P355">
            <v>0</v>
          </cell>
          <cell r="U355" t="str">
            <v>000000000013173</v>
          </cell>
        </row>
        <row r="356">
          <cell r="H356" t="str">
            <v/>
          </cell>
          <cell r="J356" t="str">
            <v/>
          </cell>
          <cell r="K356">
            <v>0</v>
          </cell>
          <cell r="L356" t="str">
            <v/>
          </cell>
          <cell r="P356">
            <v>0</v>
          </cell>
          <cell r="U356" t="str">
            <v>000000000013173</v>
          </cell>
        </row>
        <row r="357">
          <cell r="H357" t="str">
            <v/>
          </cell>
          <cell r="K357">
            <v>0</v>
          </cell>
          <cell r="L357" t="str">
            <v/>
          </cell>
          <cell r="P357">
            <v>0</v>
          </cell>
          <cell r="U357" t="str">
            <v>000000000013173</v>
          </cell>
        </row>
        <row r="358">
          <cell r="C358">
            <v>2000</v>
          </cell>
          <cell r="H358" t="str">
            <v/>
          </cell>
          <cell r="K358">
            <v>0</v>
          </cell>
          <cell r="L358" t="str">
            <v/>
          </cell>
          <cell r="P358">
            <v>0</v>
          </cell>
          <cell r="U358" t="str">
            <v>000000000013173</v>
          </cell>
        </row>
        <row r="359">
          <cell r="C359">
            <v>2</v>
          </cell>
          <cell r="H359" t="str">
            <v/>
          </cell>
          <cell r="K359">
            <v>0</v>
          </cell>
          <cell r="L359" t="str">
            <v/>
          </cell>
          <cell r="P359">
            <v>0</v>
          </cell>
          <cell r="U359" t="str">
            <v>000000000013173</v>
          </cell>
        </row>
        <row r="360">
          <cell r="C360">
            <v>100</v>
          </cell>
          <cell r="H360" t="str">
            <v/>
          </cell>
          <cell r="K360">
            <v>0</v>
          </cell>
          <cell r="L360" t="str">
            <v/>
          </cell>
          <cell r="M360" t="str">
            <v>合計</v>
          </cell>
          <cell r="N360">
            <v>0</v>
          </cell>
          <cell r="P360">
            <v>0</v>
          </cell>
          <cell r="U360" t="str">
            <v>000000000013173</v>
          </cell>
        </row>
        <row r="361">
          <cell r="C361" t="str">
            <v>LED-A888</v>
          </cell>
          <cell r="H361" t="str">
            <v/>
          </cell>
          <cell r="K361">
            <v>0</v>
          </cell>
          <cell r="L361" t="str">
            <v/>
          </cell>
          <cell r="M361" t="str">
            <v>入数</v>
          </cell>
          <cell r="N361">
            <v>0</v>
          </cell>
          <cell r="P361">
            <v>0</v>
          </cell>
          <cell r="U361" t="str">
            <v>000000000013173</v>
          </cell>
        </row>
        <row r="362">
          <cell r="H362" t="str">
            <v/>
          </cell>
          <cell r="K362">
            <v>0</v>
          </cell>
          <cell r="L362" t="str">
            <v/>
          </cell>
          <cell r="M362" t="str">
            <v>作業者</v>
          </cell>
          <cell r="U362" t="str">
            <v>000000000013173</v>
          </cell>
        </row>
        <row r="363">
          <cell r="C363">
            <v>0</v>
          </cell>
          <cell r="H363" t="str">
            <v/>
          </cell>
          <cell r="K363">
            <v>0</v>
          </cell>
          <cell r="L363" t="str">
            <v/>
          </cell>
          <cell r="U363" t="str">
            <v>000000000013173</v>
          </cell>
        </row>
        <row r="364">
          <cell r="K364">
            <v>0</v>
          </cell>
          <cell r="L364" t="str">
            <v/>
          </cell>
          <cell r="R364">
            <v>0</v>
          </cell>
          <cell r="U364" t="str">
            <v>000000000013173</v>
          </cell>
        </row>
        <row r="365">
          <cell r="D365" t="str">
            <v>不良補填</v>
          </cell>
          <cell r="F365">
            <v>0</v>
          </cell>
          <cell r="U365" t="str">
            <v>000000000013173</v>
          </cell>
        </row>
        <row r="366">
          <cell r="C366" t="str">
            <v>灯具カバーPC IN 2070　L=1966</v>
          </cell>
          <cell r="J366">
            <v>0</v>
          </cell>
          <cell r="K366">
            <v>0</v>
          </cell>
          <cell r="L366" t="str">
            <v/>
          </cell>
          <cell r="P366">
            <v>0</v>
          </cell>
          <cell r="U366" t="str">
            <v>000000000013399</v>
          </cell>
        </row>
        <row r="367">
          <cell r="H367" t="str">
            <v/>
          </cell>
          <cell r="J367" t="str">
            <v/>
          </cell>
          <cell r="K367">
            <v>0</v>
          </cell>
          <cell r="L367" t="str">
            <v/>
          </cell>
          <cell r="P367">
            <v>0</v>
          </cell>
          <cell r="U367" t="str">
            <v>000000000013399</v>
          </cell>
        </row>
        <row r="368">
          <cell r="H368" t="str">
            <v/>
          </cell>
          <cell r="K368">
            <v>0</v>
          </cell>
          <cell r="L368" t="str">
            <v/>
          </cell>
          <cell r="P368">
            <v>0</v>
          </cell>
          <cell r="U368" t="str">
            <v>000000000013399</v>
          </cell>
        </row>
        <row r="369">
          <cell r="C369">
            <v>192</v>
          </cell>
          <cell r="H369" t="str">
            <v/>
          </cell>
          <cell r="K369">
            <v>0</v>
          </cell>
          <cell r="L369" t="str">
            <v/>
          </cell>
          <cell r="P369">
            <v>0</v>
          </cell>
          <cell r="U369" t="str">
            <v>000000000013399</v>
          </cell>
        </row>
        <row r="370">
          <cell r="C370">
            <v>1</v>
          </cell>
          <cell r="H370" t="str">
            <v/>
          </cell>
          <cell r="K370">
            <v>0</v>
          </cell>
          <cell r="L370" t="str">
            <v/>
          </cell>
          <cell r="P370">
            <v>0</v>
          </cell>
          <cell r="U370" t="str">
            <v>000000000013399</v>
          </cell>
        </row>
        <row r="371">
          <cell r="C371">
            <v>16</v>
          </cell>
          <cell r="H371" t="str">
            <v/>
          </cell>
          <cell r="K371">
            <v>0</v>
          </cell>
          <cell r="L371" t="str">
            <v/>
          </cell>
          <cell r="M371" t="str">
            <v>合計</v>
          </cell>
          <cell r="N371">
            <v>0</v>
          </cell>
          <cell r="P371">
            <v>0</v>
          </cell>
          <cell r="U371" t="str">
            <v>000000000013399</v>
          </cell>
        </row>
        <row r="372">
          <cell r="C372" t="str">
            <v>灯具-2　L＝1996</v>
          </cell>
          <cell r="H372" t="str">
            <v/>
          </cell>
          <cell r="K372">
            <v>0</v>
          </cell>
          <cell r="L372" t="str">
            <v/>
          </cell>
          <cell r="M372" t="str">
            <v>入数</v>
          </cell>
          <cell r="N372">
            <v>0</v>
          </cell>
          <cell r="P372">
            <v>0</v>
          </cell>
          <cell r="U372" t="str">
            <v>000000000013399</v>
          </cell>
        </row>
        <row r="373">
          <cell r="H373" t="str">
            <v/>
          </cell>
          <cell r="K373">
            <v>0</v>
          </cell>
          <cell r="L373" t="str">
            <v/>
          </cell>
          <cell r="M373" t="str">
            <v>作業者</v>
          </cell>
          <cell r="U373" t="str">
            <v>000000000013399</v>
          </cell>
        </row>
        <row r="374">
          <cell r="C374">
            <v>0</v>
          </cell>
          <cell r="H374" t="str">
            <v/>
          </cell>
          <cell r="K374">
            <v>0</v>
          </cell>
          <cell r="L374" t="str">
            <v/>
          </cell>
          <cell r="U374" t="str">
            <v>000000000013399</v>
          </cell>
        </row>
        <row r="375">
          <cell r="K375">
            <v>0</v>
          </cell>
          <cell r="L375" t="str">
            <v/>
          </cell>
          <cell r="R375">
            <v>0</v>
          </cell>
          <cell r="U375" t="str">
            <v>000000000013399</v>
          </cell>
        </row>
        <row r="376">
          <cell r="D376" t="str">
            <v>不良補填</v>
          </cell>
          <cell r="F376" t="str">
            <v/>
          </cell>
          <cell r="U376" t="str">
            <v>000000000013399</v>
          </cell>
        </row>
        <row r="377">
          <cell r="C377" t="str">
            <v>8FL281304 5010　L=888</v>
          </cell>
          <cell r="J377">
            <v>0</v>
          </cell>
          <cell r="K377">
            <v>0</v>
          </cell>
          <cell r="L377" t="str">
            <v/>
          </cell>
          <cell r="P377">
            <v>0</v>
          </cell>
          <cell r="U377" t="str">
            <v>000000000013174</v>
          </cell>
        </row>
        <row r="378">
          <cell r="H378" t="str">
            <v/>
          </cell>
          <cell r="J378" t="str">
            <v/>
          </cell>
          <cell r="K378">
            <v>0</v>
          </cell>
          <cell r="L378" t="str">
            <v/>
          </cell>
          <cell r="P378">
            <v>0</v>
          </cell>
          <cell r="U378" t="str">
            <v>000000000013174</v>
          </cell>
        </row>
        <row r="379">
          <cell r="H379" t="str">
            <v/>
          </cell>
          <cell r="K379">
            <v>0</v>
          </cell>
          <cell r="L379" t="str">
            <v/>
          </cell>
          <cell r="P379">
            <v>0</v>
          </cell>
          <cell r="U379" t="str">
            <v>000000000013174</v>
          </cell>
        </row>
        <row r="380">
          <cell r="C380">
            <v>800</v>
          </cell>
          <cell r="H380" t="str">
            <v/>
          </cell>
          <cell r="K380">
            <v>0</v>
          </cell>
          <cell r="L380" t="str">
            <v/>
          </cell>
          <cell r="P380">
            <v>0</v>
          </cell>
          <cell r="U380" t="str">
            <v>000000000013174</v>
          </cell>
        </row>
        <row r="381">
          <cell r="C381">
            <v>2</v>
          </cell>
          <cell r="H381" t="str">
            <v/>
          </cell>
          <cell r="K381">
            <v>0</v>
          </cell>
          <cell r="L381" t="str">
            <v/>
          </cell>
          <cell r="P381">
            <v>0</v>
          </cell>
          <cell r="U381" t="str">
            <v>000000000013174</v>
          </cell>
        </row>
        <row r="382">
          <cell r="C382">
            <v>100</v>
          </cell>
          <cell r="H382" t="str">
            <v/>
          </cell>
          <cell r="K382">
            <v>0</v>
          </cell>
          <cell r="L382" t="str">
            <v/>
          </cell>
          <cell r="M382" t="str">
            <v>合計</v>
          </cell>
          <cell r="N382">
            <v>0</v>
          </cell>
          <cell r="P382">
            <v>0</v>
          </cell>
          <cell r="U382" t="str">
            <v>000000000013174</v>
          </cell>
        </row>
        <row r="383">
          <cell r="C383" t="str">
            <v>LED-A888</v>
          </cell>
          <cell r="H383" t="str">
            <v/>
          </cell>
          <cell r="K383">
            <v>0</v>
          </cell>
          <cell r="L383" t="str">
            <v/>
          </cell>
          <cell r="M383" t="str">
            <v>入数</v>
          </cell>
          <cell r="N383">
            <v>0</v>
          </cell>
          <cell r="P383">
            <v>0</v>
          </cell>
          <cell r="U383" t="str">
            <v>000000000013174</v>
          </cell>
        </row>
        <row r="384">
          <cell r="H384" t="str">
            <v/>
          </cell>
          <cell r="K384">
            <v>0</v>
          </cell>
          <cell r="L384" t="str">
            <v/>
          </cell>
          <cell r="M384" t="str">
            <v>作業者</v>
          </cell>
          <cell r="U384" t="str">
            <v>000000000013174</v>
          </cell>
        </row>
        <row r="385">
          <cell r="C385">
            <v>0</v>
          </cell>
          <cell r="H385" t="str">
            <v/>
          </cell>
          <cell r="K385">
            <v>0</v>
          </cell>
          <cell r="L385" t="str">
            <v/>
          </cell>
          <cell r="U385" t="str">
            <v>000000000013174</v>
          </cell>
        </row>
        <row r="386">
          <cell r="K386">
            <v>0</v>
          </cell>
          <cell r="L386" t="str">
            <v/>
          </cell>
          <cell r="R386">
            <v>0</v>
          </cell>
          <cell r="U386" t="str">
            <v>000000000013174</v>
          </cell>
        </row>
        <row r="387">
          <cell r="D387" t="str">
            <v>不良補填</v>
          </cell>
          <cell r="F387">
            <v>0</v>
          </cell>
          <cell r="U387" t="str">
            <v>000000000013174</v>
          </cell>
        </row>
        <row r="388">
          <cell r="C388" t="str">
            <v>8FL281304 8310　L=748</v>
          </cell>
          <cell r="J388">
            <v>0</v>
          </cell>
          <cell r="K388">
            <v>0</v>
          </cell>
          <cell r="L388" t="str">
            <v/>
          </cell>
          <cell r="P388">
            <v>0</v>
          </cell>
          <cell r="U388" t="str">
            <v>000000000013164</v>
          </cell>
        </row>
        <row r="389">
          <cell r="H389" t="str">
            <v/>
          </cell>
          <cell r="J389" t="str">
            <v/>
          </cell>
          <cell r="K389">
            <v>0</v>
          </cell>
          <cell r="L389" t="str">
            <v/>
          </cell>
          <cell r="P389">
            <v>0</v>
          </cell>
          <cell r="U389" t="str">
            <v>000000000013164</v>
          </cell>
        </row>
        <row r="390">
          <cell r="H390" t="str">
            <v/>
          </cell>
          <cell r="K390">
            <v>0</v>
          </cell>
          <cell r="L390" t="str">
            <v/>
          </cell>
          <cell r="P390">
            <v>0</v>
          </cell>
          <cell r="U390" t="str">
            <v>000000000013164</v>
          </cell>
        </row>
        <row r="391">
          <cell r="C391">
            <v>400</v>
          </cell>
          <cell r="H391" t="str">
            <v/>
          </cell>
          <cell r="K391">
            <v>0</v>
          </cell>
          <cell r="L391" t="str">
            <v/>
          </cell>
          <cell r="P391">
            <v>0</v>
          </cell>
          <cell r="U391" t="str">
            <v>000000000013164</v>
          </cell>
        </row>
        <row r="392">
          <cell r="C392">
            <v>2</v>
          </cell>
          <cell r="H392" t="str">
            <v/>
          </cell>
          <cell r="K392">
            <v>0</v>
          </cell>
          <cell r="L392" t="str">
            <v/>
          </cell>
          <cell r="P392">
            <v>0</v>
          </cell>
          <cell r="U392" t="str">
            <v>000000000013164</v>
          </cell>
        </row>
        <row r="393">
          <cell r="C393">
            <v>100</v>
          </cell>
          <cell r="H393" t="str">
            <v/>
          </cell>
          <cell r="K393">
            <v>0</v>
          </cell>
          <cell r="L393" t="str">
            <v/>
          </cell>
          <cell r="M393" t="str">
            <v>合計</v>
          </cell>
          <cell r="N393">
            <v>0</v>
          </cell>
          <cell r="P393">
            <v>0</v>
          </cell>
          <cell r="U393" t="str">
            <v>000000000013164</v>
          </cell>
        </row>
        <row r="394">
          <cell r="C394" t="str">
            <v>LED-A888</v>
          </cell>
          <cell r="H394" t="str">
            <v/>
          </cell>
          <cell r="K394">
            <v>0</v>
          </cell>
          <cell r="L394" t="str">
            <v/>
          </cell>
          <cell r="M394" t="str">
            <v>入数</v>
          </cell>
          <cell r="N394">
            <v>0</v>
          </cell>
          <cell r="P394">
            <v>0</v>
          </cell>
          <cell r="U394" t="str">
            <v>000000000013164</v>
          </cell>
        </row>
        <row r="395">
          <cell r="H395" t="str">
            <v/>
          </cell>
          <cell r="K395">
            <v>0</v>
          </cell>
          <cell r="L395" t="str">
            <v/>
          </cell>
          <cell r="M395" t="str">
            <v>作業者</v>
          </cell>
          <cell r="U395" t="str">
            <v>000000000013164</v>
          </cell>
        </row>
        <row r="396">
          <cell r="C396">
            <v>0</v>
          </cell>
          <cell r="H396" t="str">
            <v/>
          </cell>
          <cell r="K396">
            <v>0</v>
          </cell>
          <cell r="L396" t="str">
            <v/>
          </cell>
          <cell r="U396" t="str">
            <v>000000000013164</v>
          </cell>
        </row>
        <row r="397">
          <cell r="K397">
            <v>0</v>
          </cell>
          <cell r="L397" t="str">
            <v/>
          </cell>
          <cell r="R397">
            <v>0</v>
          </cell>
          <cell r="U397" t="str">
            <v>000000000013164</v>
          </cell>
        </row>
        <row r="398">
          <cell r="D398" t="str">
            <v>不良補填</v>
          </cell>
          <cell r="F398">
            <v>0</v>
          </cell>
          <cell r="U398" t="str">
            <v>000000000013164</v>
          </cell>
        </row>
        <row r="399">
          <cell r="C399" t="str">
            <v>8FL281304 6110　L=1478</v>
          </cell>
          <cell r="J399">
            <v>0</v>
          </cell>
          <cell r="K399">
            <v>0</v>
          </cell>
          <cell r="L399" t="str">
            <v/>
          </cell>
          <cell r="P399">
            <v>0</v>
          </cell>
          <cell r="U399" t="str">
            <v>000000000013179</v>
          </cell>
        </row>
        <row r="400">
          <cell r="H400" t="str">
            <v/>
          </cell>
          <cell r="J400" t="str">
            <v/>
          </cell>
          <cell r="K400">
            <v>0</v>
          </cell>
          <cell r="L400" t="str">
            <v/>
          </cell>
          <cell r="P400">
            <v>0</v>
          </cell>
          <cell r="U400" t="str">
            <v>000000000013179</v>
          </cell>
        </row>
        <row r="401">
          <cell r="H401" t="str">
            <v/>
          </cell>
          <cell r="K401">
            <v>0</v>
          </cell>
          <cell r="L401" t="str">
            <v/>
          </cell>
          <cell r="P401">
            <v>0</v>
          </cell>
          <cell r="U401" t="str">
            <v>000000000013179</v>
          </cell>
        </row>
        <row r="402">
          <cell r="C402">
            <v>700</v>
          </cell>
          <cell r="H402" t="str">
            <v/>
          </cell>
          <cell r="K402">
            <v>0</v>
          </cell>
          <cell r="L402" t="str">
            <v/>
          </cell>
          <cell r="P402">
            <v>0</v>
          </cell>
          <cell r="U402" t="str">
            <v>000000000013179</v>
          </cell>
        </row>
        <row r="403">
          <cell r="C403">
            <v>1</v>
          </cell>
          <cell r="H403" t="str">
            <v/>
          </cell>
          <cell r="K403">
            <v>0</v>
          </cell>
          <cell r="L403" t="str">
            <v/>
          </cell>
          <cell r="P403">
            <v>0</v>
          </cell>
          <cell r="U403" t="str">
            <v>000000000013179</v>
          </cell>
        </row>
        <row r="404">
          <cell r="C404">
            <v>100</v>
          </cell>
          <cell r="H404" t="str">
            <v/>
          </cell>
          <cell r="K404">
            <v>0</v>
          </cell>
          <cell r="L404" t="str">
            <v/>
          </cell>
          <cell r="M404" t="str">
            <v>合計</v>
          </cell>
          <cell r="N404">
            <v>0</v>
          </cell>
          <cell r="P404">
            <v>0</v>
          </cell>
          <cell r="U404" t="str">
            <v>000000000013179</v>
          </cell>
        </row>
        <row r="405">
          <cell r="C405" t="str">
            <v>LED-A1478</v>
          </cell>
          <cell r="H405" t="str">
            <v/>
          </cell>
          <cell r="K405">
            <v>0</v>
          </cell>
          <cell r="L405" t="str">
            <v/>
          </cell>
          <cell r="M405" t="str">
            <v>入数</v>
          </cell>
          <cell r="N405">
            <v>0</v>
          </cell>
          <cell r="P405">
            <v>0</v>
          </cell>
          <cell r="U405" t="str">
            <v>000000000013179</v>
          </cell>
        </row>
        <row r="406">
          <cell r="H406" t="str">
            <v/>
          </cell>
          <cell r="K406">
            <v>0</v>
          </cell>
          <cell r="L406" t="str">
            <v/>
          </cell>
          <cell r="M406" t="str">
            <v>作業者</v>
          </cell>
          <cell r="U406" t="str">
            <v>000000000013179</v>
          </cell>
        </row>
        <row r="407">
          <cell r="C407">
            <v>0</v>
          </cell>
          <cell r="H407" t="str">
            <v/>
          </cell>
          <cell r="K407">
            <v>0</v>
          </cell>
          <cell r="L407" t="str">
            <v/>
          </cell>
          <cell r="U407" t="str">
            <v>000000000013179</v>
          </cell>
        </row>
        <row r="408">
          <cell r="K408">
            <v>0</v>
          </cell>
          <cell r="L408" t="str">
            <v/>
          </cell>
          <cell r="R408">
            <v>0</v>
          </cell>
          <cell r="U408" t="str">
            <v>000000000013179</v>
          </cell>
        </row>
        <row r="409">
          <cell r="D409" t="str">
            <v>不良補填</v>
          </cell>
          <cell r="F409">
            <v>0</v>
          </cell>
          <cell r="U409" t="str">
            <v>000000000013179</v>
          </cell>
        </row>
        <row r="410">
          <cell r="C410" t="str">
            <v>8FL281304 6110　L=1478</v>
          </cell>
          <cell r="J410">
            <v>0</v>
          </cell>
          <cell r="K410">
            <v>0</v>
          </cell>
          <cell r="L410" t="str">
            <v/>
          </cell>
          <cell r="P410">
            <v>0</v>
          </cell>
          <cell r="U410" t="str">
            <v>000000000013180</v>
          </cell>
        </row>
        <row r="411">
          <cell r="H411" t="str">
            <v/>
          </cell>
          <cell r="J411" t="str">
            <v/>
          </cell>
          <cell r="K411">
            <v>0</v>
          </cell>
          <cell r="L411" t="str">
            <v/>
          </cell>
          <cell r="P411">
            <v>0</v>
          </cell>
          <cell r="U411" t="str">
            <v>000000000013180</v>
          </cell>
        </row>
        <row r="412">
          <cell r="H412" t="str">
            <v/>
          </cell>
          <cell r="K412">
            <v>0</v>
          </cell>
          <cell r="L412" t="str">
            <v/>
          </cell>
          <cell r="P412">
            <v>0</v>
          </cell>
          <cell r="U412" t="str">
            <v>000000000013180</v>
          </cell>
        </row>
        <row r="413">
          <cell r="C413">
            <v>100</v>
          </cell>
          <cell r="H413" t="str">
            <v/>
          </cell>
          <cell r="K413">
            <v>0</v>
          </cell>
          <cell r="L413" t="str">
            <v/>
          </cell>
          <cell r="P413">
            <v>0</v>
          </cell>
          <cell r="U413" t="str">
            <v>000000000013180</v>
          </cell>
        </row>
        <row r="414">
          <cell r="C414">
            <v>1</v>
          </cell>
          <cell r="H414" t="str">
            <v/>
          </cell>
          <cell r="K414">
            <v>0</v>
          </cell>
          <cell r="L414" t="str">
            <v/>
          </cell>
          <cell r="P414">
            <v>0</v>
          </cell>
          <cell r="U414" t="str">
            <v>000000000013180</v>
          </cell>
        </row>
        <row r="415">
          <cell r="C415">
            <v>100</v>
          </cell>
          <cell r="H415" t="str">
            <v/>
          </cell>
          <cell r="K415">
            <v>0</v>
          </cell>
          <cell r="L415" t="str">
            <v/>
          </cell>
          <cell r="M415" t="str">
            <v>合計</v>
          </cell>
          <cell r="N415">
            <v>0</v>
          </cell>
          <cell r="P415">
            <v>0</v>
          </cell>
          <cell r="U415" t="str">
            <v>000000000013180</v>
          </cell>
        </row>
        <row r="416">
          <cell r="C416" t="str">
            <v>LED-A1478</v>
          </cell>
          <cell r="H416" t="str">
            <v/>
          </cell>
          <cell r="K416">
            <v>0</v>
          </cell>
          <cell r="L416" t="str">
            <v/>
          </cell>
          <cell r="M416" t="str">
            <v>入数</v>
          </cell>
          <cell r="N416">
            <v>0</v>
          </cell>
          <cell r="P416">
            <v>0</v>
          </cell>
          <cell r="U416" t="str">
            <v>000000000013180</v>
          </cell>
        </row>
        <row r="417">
          <cell r="H417" t="str">
            <v/>
          </cell>
          <cell r="K417">
            <v>0</v>
          </cell>
          <cell r="L417" t="str">
            <v/>
          </cell>
          <cell r="M417" t="str">
            <v>作業者</v>
          </cell>
          <cell r="U417" t="str">
            <v>000000000013180</v>
          </cell>
        </row>
        <row r="418">
          <cell r="C418">
            <v>0</v>
          </cell>
          <cell r="H418" t="str">
            <v/>
          </cell>
          <cell r="K418">
            <v>0</v>
          </cell>
          <cell r="L418" t="str">
            <v/>
          </cell>
          <cell r="U418" t="str">
            <v>000000000013180</v>
          </cell>
        </row>
        <row r="419">
          <cell r="K419">
            <v>0</v>
          </cell>
          <cell r="L419" t="str">
            <v/>
          </cell>
          <cell r="R419">
            <v>0</v>
          </cell>
          <cell r="U419" t="str">
            <v>000000000013180</v>
          </cell>
        </row>
        <row r="420">
          <cell r="D420" t="str">
            <v>不良補填</v>
          </cell>
          <cell r="F420">
            <v>0</v>
          </cell>
          <cell r="U420" t="str">
            <v>000000000013180</v>
          </cell>
        </row>
        <row r="421">
          <cell r="C421" t="str">
            <v>8FL281304 6110　L=1478</v>
          </cell>
          <cell r="J421">
            <v>0</v>
          </cell>
          <cell r="K421">
            <v>0</v>
          </cell>
          <cell r="L421" t="str">
            <v/>
          </cell>
          <cell r="P421">
            <v>0</v>
          </cell>
          <cell r="U421" t="str">
            <v>000000000013181</v>
          </cell>
        </row>
        <row r="422">
          <cell r="H422" t="str">
            <v/>
          </cell>
          <cell r="J422" t="str">
            <v/>
          </cell>
          <cell r="K422">
            <v>0</v>
          </cell>
          <cell r="L422" t="str">
            <v/>
          </cell>
          <cell r="P422">
            <v>0</v>
          </cell>
          <cell r="U422" t="str">
            <v>000000000013181</v>
          </cell>
        </row>
        <row r="423">
          <cell r="H423" t="str">
            <v/>
          </cell>
          <cell r="K423">
            <v>0</v>
          </cell>
          <cell r="L423" t="str">
            <v/>
          </cell>
          <cell r="P423">
            <v>0</v>
          </cell>
          <cell r="U423" t="str">
            <v>000000000013181</v>
          </cell>
        </row>
        <row r="424">
          <cell r="C424">
            <v>400</v>
          </cell>
          <cell r="H424" t="str">
            <v/>
          </cell>
          <cell r="K424">
            <v>0</v>
          </cell>
          <cell r="L424" t="str">
            <v/>
          </cell>
          <cell r="P424">
            <v>0</v>
          </cell>
          <cell r="U424" t="str">
            <v>000000000013181</v>
          </cell>
        </row>
        <row r="425">
          <cell r="C425">
            <v>1</v>
          </cell>
          <cell r="H425" t="str">
            <v/>
          </cell>
          <cell r="K425">
            <v>0</v>
          </cell>
          <cell r="L425" t="str">
            <v/>
          </cell>
          <cell r="P425">
            <v>0</v>
          </cell>
          <cell r="U425" t="str">
            <v>000000000013181</v>
          </cell>
        </row>
        <row r="426">
          <cell r="C426">
            <v>100</v>
          </cell>
          <cell r="H426" t="str">
            <v/>
          </cell>
          <cell r="K426">
            <v>0</v>
          </cell>
          <cell r="L426" t="str">
            <v/>
          </cell>
          <cell r="M426" t="str">
            <v>合計</v>
          </cell>
          <cell r="N426">
            <v>0</v>
          </cell>
          <cell r="P426">
            <v>0</v>
          </cell>
          <cell r="U426" t="str">
            <v>000000000013181</v>
          </cell>
        </row>
        <row r="427">
          <cell r="C427" t="str">
            <v>LED-A1478</v>
          </cell>
          <cell r="H427" t="str">
            <v/>
          </cell>
          <cell r="K427">
            <v>0</v>
          </cell>
          <cell r="L427" t="str">
            <v/>
          </cell>
          <cell r="M427" t="str">
            <v>入数</v>
          </cell>
          <cell r="N427">
            <v>0</v>
          </cell>
          <cell r="P427">
            <v>0</v>
          </cell>
          <cell r="U427" t="str">
            <v>000000000013181</v>
          </cell>
        </row>
        <row r="428">
          <cell r="H428" t="str">
            <v/>
          </cell>
          <cell r="K428">
            <v>0</v>
          </cell>
          <cell r="L428" t="str">
            <v/>
          </cell>
          <cell r="M428" t="str">
            <v>作業者</v>
          </cell>
          <cell r="U428" t="str">
            <v>000000000013181</v>
          </cell>
        </row>
        <row r="429">
          <cell r="C429">
            <v>0</v>
          </cell>
          <cell r="H429" t="str">
            <v/>
          </cell>
          <cell r="K429">
            <v>0</v>
          </cell>
          <cell r="L429" t="str">
            <v/>
          </cell>
          <cell r="U429" t="str">
            <v>000000000013181</v>
          </cell>
        </row>
        <row r="430">
          <cell r="K430">
            <v>0</v>
          </cell>
          <cell r="L430" t="str">
            <v/>
          </cell>
          <cell r="R430">
            <v>0</v>
          </cell>
          <cell r="U430" t="str">
            <v>000000000013181</v>
          </cell>
        </row>
        <row r="431">
          <cell r="D431" t="str">
            <v>不良補填</v>
          </cell>
          <cell r="F431">
            <v>0</v>
          </cell>
          <cell r="U431" t="str">
            <v>000000000013181</v>
          </cell>
        </row>
        <row r="432">
          <cell r="C432" t="str">
            <v>001EGAW　715</v>
          </cell>
          <cell r="J432">
            <v>0</v>
          </cell>
          <cell r="K432">
            <v>0</v>
          </cell>
          <cell r="L432" t="str">
            <v/>
          </cell>
          <cell r="P432">
            <v>0</v>
          </cell>
          <cell r="U432" t="str">
            <v>000000000013445</v>
          </cell>
        </row>
        <row r="433">
          <cell r="H433">
            <v>715</v>
          </cell>
          <cell r="J433" t="str">
            <v/>
          </cell>
          <cell r="K433">
            <v>0</v>
          </cell>
          <cell r="L433" t="str">
            <v/>
          </cell>
          <cell r="P433">
            <v>0</v>
          </cell>
          <cell r="U433" t="str">
            <v>000000000013445</v>
          </cell>
        </row>
        <row r="434">
          <cell r="H434">
            <v>715</v>
          </cell>
          <cell r="K434">
            <v>0</v>
          </cell>
          <cell r="L434" t="str">
            <v/>
          </cell>
          <cell r="P434">
            <v>0</v>
          </cell>
          <cell r="U434" t="str">
            <v>000000000013445</v>
          </cell>
        </row>
        <row r="435">
          <cell r="C435">
            <v>300</v>
          </cell>
          <cell r="H435">
            <v>715</v>
          </cell>
          <cell r="K435">
            <v>0</v>
          </cell>
          <cell r="L435" t="str">
            <v/>
          </cell>
          <cell r="P435">
            <v>0</v>
          </cell>
          <cell r="U435" t="str">
            <v>000000000013445</v>
          </cell>
        </row>
        <row r="436">
          <cell r="C436">
            <v>2</v>
          </cell>
          <cell r="H436">
            <v>715</v>
          </cell>
          <cell r="K436">
            <v>0</v>
          </cell>
          <cell r="L436" t="str">
            <v/>
          </cell>
          <cell r="P436">
            <v>0</v>
          </cell>
          <cell r="U436" t="str">
            <v>000000000013445</v>
          </cell>
        </row>
        <row r="437">
          <cell r="C437">
            <v>200</v>
          </cell>
          <cell r="H437">
            <v>715</v>
          </cell>
          <cell r="K437">
            <v>0</v>
          </cell>
          <cell r="L437" t="str">
            <v/>
          </cell>
          <cell r="M437" t="str">
            <v>合計</v>
          </cell>
          <cell r="N437">
            <v>0</v>
          </cell>
          <cell r="P437">
            <v>0</v>
          </cell>
          <cell r="U437" t="str">
            <v>000000000013445</v>
          </cell>
        </row>
        <row r="438">
          <cell r="C438" t="str">
            <v>S-40</v>
          </cell>
          <cell r="H438">
            <v>715</v>
          </cell>
          <cell r="K438">
            <v>0</v>
          </cell>
          <cell r="L438" t="str">
            <v/>
          </cell>
          <cell r="M438" t="str">
            <v>入数</v>
          </cell>
          <cell r="N438">
            <v>0</v>
          </cell>
          <cell r="P438">
            <v>0</v>
          </cell>
          <cell r="U438" t="str">
            <v>000000000013445</v>
          </cell>
        </row>
        <row r="439">
          <cell r="H439">
            <v>715</v>
          </cell>
          <cell r="K439">
            <v>0</v>
          </cell>
          <cell r="L439" t="str">
            <v/>
          </cell>
          <cell r="M439" t="str">
            <v>作業者</v>
          </cell>
          <cell r="U439" t="str">
            <v>000000000013445</v>
          </cell>
        </row>
        <row r="440">
          <cell r="C440">
            <v>0</v>
          </cell>
          <cell r="H440">
            <v>715</v>
          </cell>
          <cell r="K440">
            <v>0</v>
          </cell>
          <cell r="L440" t="str">
            <v/>
          </cell>
          <cell r="U440" t="str">
            <v>000000000013445</v>
          </cell>
        </row>
        <row r="441">
          <cell r="K441">
            <v>0</v>
          </cell>
          <cell r="L441" t="str">
            <v/>
          </cell>
          <cell r="R441">
            <v>0</v>
          </cell>
          <cell r="U441" t="str">
            <v>000000000013445</v>
          </cell>
        </row>
        <row r="442">
          <cell r="D442" t="str">
            <v>不良補填</v>
          </cell>
          <cell r="F442" t="str">
            <v/>
          </cell>
          <cell r="U442" t="str">
            <v>000000000013445</v>
          </cell>
        </row>
        <row r="443">
          <cell r="C443" t="str">
            <v>001EGAW　652</v>
          </cell>
          <cell r="J443">
            <v>0</v>
          </cell>
          <cell r="K443">
            <v>0</v>
          </cell>
          <cell r="L443" t="str">
            <v/>
          </cell>
          <cell r="P443">
            <v>0</v>
          </cell>
          <cell r="U443" t="str">
            <v>000000000013444</v>
          </cell>
        </row>
        <row r="444">
          <cell r="H444">
            <v>652</v>
          </cell>
          <cell r="J444" t="str">
            <v/>
          </cell>
          <cell r="K444">
            <v>0</v>
          </cell>
          <cell r="L444" t="str">
            <v/>
          </cell>
          <cell r="P444">
            <v>0</v>
          </cell>
          <cell r="U444" t="str">
            <v>000000000013444</v>
          </cell>
        </row>
        <row r="445">
          <cell r="H445">
            <v>652</v>
          </cell>
          <cell r="K445">
            <v>0</v>
          </cell>
          <cell r="L445" t="str">
            <v/>
          </cell>
          <cell r="P445">
            <v>0</v>
          </cell>
          <cell r="U445" t="str">
            <v>000000000013444</v>
          </cell>
        </row>
        <row r="446">
          <cell r="C446">
            <v>3600</v>
          </cell>
          <cell r="H446">
            <v>652</v>
          </cell>
          <cell r="K446">
            <v>0</v>
          </cell>
          <cell r="L446" t="str">
            <v/>
          </cell>
          <cell r="P446">
            <v>0</v>
          </cell>
          <cell r="U446" t="str">
            <v>000000000013444</v>
          </cell>
        </row>
        <row r="447">
          <cell r="C447">
            <v>2</v>
          </cell>
          <cell r="H447">
            <v>652</v>
          </cell>
          <cell r="K447">
            <v>0</v>
          </cell>
          <cell r="L447" t="str">
            <v/>
          </cell>
          <cell r="P447">
            <v>0</v>
          </cell>
          <cell r="U447" t="str">
            <v>000000000013444</v>
          </cell>
        </row>
        <row r="448">
          <cell r="C448">
            <v>200</v>
          </cell>
          <cell r="H448">
            <v>652</v>
          </cell>
          <cell r="K448">
            <v>0</v>
          </cell>
          <cell r="L448" t="str">
            <v/>
          </cell>
          <cell r="M448" t="str">
            <v>合計</v>
          </cell>
          <cell r="N448">
            <v>0</v>
          </cell>
          <cell r="P448">
            <v>0</v>
          </cell>
          <cell r="U448" t="str">
            <v>000000000013444</v>
          </cell>
        </row>
        <row r="449">
          <cell r="C449" t="str">
            <v>S-40</v>
          </cell>
          <cell r="H449">
            <v>652</v>
          </cell>
          <cell r="K449">
            <v>0</v>
          </cell>
          <cell r="L449" t="str">
            <v/>
          </cell>
          <cell r="M449" t="str">
            <v>入数</v>
          </cell>
          <cell r="N449">
            <v>0</v>
          </cell>
          <cell r="P449">
            <v>0</v>
          </cell>
          <cell r="U449" t="str">
            <v>000000000013444</v>
          </cell>
        </row>
        <row r="450">
          <cell r="H450">
            <v>652</v>
          </cell>
          <cell r="K450">
            <v>0</v>
          </cell>
          <cell r="L450" t="str">
            <v/>
          </cell>
          <cell r="M450" t="str">
            <v>作業者</v>
          </cell>
          <cell r="U450" t="str">
            <v>000000000013444</v>
          </cell>
        </row>
        <row r="451">
          <cell r="C451">
            <v>0</v>
          </cell>
          <cell r="H451">
            <v>652</v>
          </cell>
          <cell r="K451">
            <v>0</v>
          </cell>
          <cell r="L451" t="str">
            <v/>
          </cell>
          <cell r="U451" t="str">
            <v>000000000013444</v>
          </cell>
        </row>
        <row r="452">
          <cell r="K452">
            <v>0</v>
          </cell>
          <cell r="L452" t="str">
            <v/>
          </cell>
          <cell r="R452">
            <v>0</v>
          </cell>
          <cell r="U452" t="str">
            <v>000000000013444</v>
          </cell>
        </row>
        <row r="453">
          <cell r="D453" t="str">
            <v>不良補填</v>
          </cell>
          <cell r="F453" t="str">
            <v/>
          </cell>
          <cell r="U453" t="str">
            <v>000000000013444</v>
          </cell>
        </row>
        <row r="454">
          <cell r="C454" t="str">
            <v>001EGAW　565</v>
          </cell>
          <cell r="J454">
            <v>0</v>
          </cell>
          <cell r="K454">
            <v>0</v>
          </cell>
          <cell r="L454" t="str">
            <v/>
          </cell>
          <cell r="P454">
            <v>0</v>
          </cell>
          <cell r="U454" t="str">
            <v>000000000013443</v>
          </cell>
        </row>
        <row r="455">
          <cell r="H455">
            <v>565</v>
          </cell>
          <cell r="J455" t="str">
            <v/>
          </cell>
          <cell r="K455">
            <v>0</v>
          </cell>
          <cell r="L455" t="str">
            <v/>
          </cell>
          <cell r="P455">
            <v>0</v>
          </cell>
          <cell r="U455" t="str">
            <v>000000000013443</v>
          </cell>
        </row>
        <row r="456">
          <cell r="H456">
            <v>565</v>
          </cell>
          <cell r="K456">
            <v>0</v>
          </cell>
          <cell r="L456" t="str">
            <v/>
          </cell>
          <cell r="P456">
            <v>0</v>
          </cell>
          <cell r="U456" t="str">
            <v>000000000013443</v>
          </cell>
        </row>
        <row r="457">
          <cell r="C457">
            <v>1300</v>
          </cell>
          <cell r="H457">
            <v>565</v>
          </cell>
          <cell r="K457">
            <v>0</v>
          </cell>
          <cell r="L457" t="str">
            <v/>
          </cell>
          <cell r="P457">
            <v>0</v>
          </cell>
          <cell r="U457" t="str">
            <v>000000000013443</v>
          </cell>
        </row>
        <row r="458">
          <cell r="C458">
            <v>2</v>
          </cell>
          <cell r="H458">
            <v>565</v>
          </cell>
          <cell r="K458">
            <v>0</v>
          </cell>
          <cell r="L458" t="str">
            <v/>
          </cell>
          <cell r="P458">
            <v>0</v>
          </cell>
          <cell r="U458" t="str">
            <v>000000000013443</v>
          </cell>
        </row>
        <row r="459">
          <cell r="C459">
            <v>200</v>
          </cell>
          <cell r="H459">
            <v>565</v>
          </cell>
          <cell r="K459">
            <v>0</v>
          </cell>
          <cell r="L459" t="str">
            <v/>
          </cell>
          <cell r="M459" t="str">
            <v>合計</v>
          </cell>
          <cell r="N459">
            <v>0</v>
          </cell>
          <cell r="P459">
            <v>0</v>
          </cell>
          <cell r="U459" t="str">
            <v>000000000013443</v>
          </cell>
        </row>
        <row r="460">
          <cell r="C460" t="str">
            <v>S-30</v>
          </cell>
          <cell r="H460">
            <v>565</v>
          </cell>
          <cell r="K460">
            <v>0</v>
          </cell>
          <cell r="L460" t="str">
            <v/>
          </cell>
          <cell r="M460" t="str">
            <v>入数</v>
          </cell>
          <cell r="N460">
            <v>0</v>
          </cell>
          <cell r="P460">
            <v>0</v>
          </cell>
          <cell r="U460" t="str">
            <v>000000000013443</v>
          </cell>
        </row>
        <row r="461">
          <cell r="H461">
            <v>565</v>
          </cell>
          <cell r="K461">
            <v>0</v>
          </cell>
          <cell r="L461" t="str">
            <v/>
          </cell>
          <cell r="M461" t="str">
            <v>作業者</v>
          </cell>
          <cell r="U461" t="str">
            <v>000000000013443</v>
          </cell>
        </row>
        <row r="462">
          <cell r="C462">
            <v>0</v>
          </cell>
          <cell r="H462">
            <v>565</v>
          </cell>
          <cell r="K462">
            <v>0</v>
          </cell>
          <cell r="L462" t="str">
            <v/>
          </cell>
          <cell r="U462" t="str">
            <v>000000000013443</v>
          </cell>
        </row>
        <row r="463">
          <cell r="K463">
            <v>0</v>
          </cell>
          <cell r="L463" t="str">
            <v/>
          </cell>
          <cell r="R463">
            <v>0</v>
          </cell>
          <cell r="U463" t="str">
            <v>000000000013443</v>
          </cell>
        </row>
        <row r="464">
          <cell r="D464" t="str">
            <v>不良補填</v>
          </cell>
          <cell r="F464" t="str">
            <v/>
          </cell>
          <cell r="U464" t="str">
            <v>000000000013443</v>
          </cell>
        </row>
        <row r="465">
          <cell r="C465" t="str">
            <v>001EGAW　508</v>
          </cell>
          <cell r="J465">
            <v>0</v>
          </cell>
          <cell r="K465">
            <v>0</v>
          </cell>
          <cell r="L465" t="str">
            <v/>
          </cell>
          <cell r="P465">
            <v>0</v>
          </cell>
          <cell r="U465" t="str">
            <v>000000000013442</v>
          </cell>
        </row>
        <row r="466">
          <cell r="H466">
            <v>508</v>
          </cell>
          <cell r="J466" t="str">
            <v/>
          </cell>
          <cell r="K466">
            <v>0</v>
          </cell>
          <cell r="L466" t="str">
            <v/>
          </cell>
          <cell r="P466">
            <v>0</v>
          </cell>
          <cell r="U466" t="str">
            <v>000000000013442</v>
          </cell>
        </row>
        <row r="467">
          <cell r="H467">
            <v>508</v>
          </cell>
          <cell r="K467">
            <v>0</v>
          </cell>
          <cell r="L467" t="str">
            <v/>
          </cell>
          <cell r="P467">
            <v>0</v>
          </cell>
          <cell r="U467" t="str">
            <v>000000000013442</v>
          </cell>
        </row>
        <row r="468">
          <cell r="C468">
            <v>1300</v>
          </cell>
          <cell r="H468">
            <v>508</v>
          </cell>
          <cell r="K468">
            <v>0</v>
          </cell>
          <cell r="L468" t="str">
            <v/>
          </cell>
          <cell r="P468">
            <v>0</v>
          </cell>
          <cell r="U468" t="str">
            <v>000000000013442</v>
          </cell>
        </row>
        <row r="469">
          <cell r="C469">
            <v>2</v>
          </cell>
          <cell r="H469">
            <v>508</v>
          </cell>
          <cell r="K469">
            <v>0</v>
          </cell>
          <cell r="L469" t="str">
            <v/>
          </cell>
          <cell r="P469">
            <v>0</v>
          </cell>
          <cell r="U469" t="str">
            <v>000000000013442</v>
          </cell>
        </row>
        <row r="470">
          <cell r="C470">
            <v>200</v>
          </cell>
          <cell r="H470">
            <v>508</v>
          </cell>
          <cell r="K470">
            <v>0</v>
          </cell>
          <cell r="L470" t="str">
            <v/>
          </cell>
          <cell r="M470" t="str">
            <v>合計</v>
          </cell>
          <cell r="N470">
            <v>0</v>
          </cell>
          <cell r="P470">
            <v>0</v>
          </cell>
          <cell r="U470" t="str">
            <v>000000000013442</v>
          </cell>
        </row>
        <row r="471">
          <cell r="C471" t="str">
            <v>S-30</v>
          </cell>
          <cell r="H471">
            <v>508</v>
          </cell>
          <cell r="K471">
            <v>0</v>
          </cell>
          <cell r="L471" t="str">
            <v/>
          </cell>
          <cell r="M471" t="str">
            <v>入数</v>
          </cell>
          <cell r="N471">
            <v>0</v>
          </cell>
          <cell r="P471">
            <v>0</v>
          </cell>
          <cell r="U471" t="str">
            <v>000000000013442</v>
          </cell>
        </row>
        <row r="472">
          <cell r="H472">
            <v>508</v>
          </cell>
          <cell r="K472">
            <v>0</v>
          </cell>
          <cell r="L472" t="str">
            <v/>
          </cell>
          <cell r="M472" t="str">
            <v>作業者</v>
          </cell>
          <cell r="U472" t="str">
            <v>000000000013442</v>
          </cell>
        </row>
        <row r="473">
          <cell r="C473">
            <v>0</v>
          </cell>
          <cell r="H473">
            <v>508</v>
          </cell>
          <cell r="K473">
            <v>0</v>
          </cell>
          <cell r="L473" t="str">
            <v/>
          </cell>
          <cell r="U473" t="str">
            <v>000000000013442</v>
          </cell>
        </row>
        <row r="474">
          <cell r="K474">
            <v>0</v>
          </cell>
          <cell r="L474" t="str">
            <v/>
          </cell>
          <cell r="R474">
            <v>0</v>
          </cell>
          <cell r="U474" t="str">
            <v>000000000013442</v>
          </cell>
        </row>
        <row r="475">
          <cell r="D475" t="str">
            <v>不良補填</v>
          </cell>
          <cell r="F475" t="str">
            <v/>
          </cell>
          <cell r="U475" t="str">
            <v>000000000013442</v>
          </cell>
        </row>
        <row r="476">
          <cell r="C476" t="str">
            <v>001EGAW　415</v>
          </cell>
          <cell r="J476">
            <v>0</v>
          </cell>
          <cell r="K476">
            <v>0</v>
          </cell>
          <cell r="L476" t="str">
            <v/>
          </cell>
          <cell r="P476">
            <v>0</v>
          </cell>
          <cell r="U476" t="str">
            <v>000000000013441</v>
          </cell>
        </row>
        <row r="477">
          <cell r="H477">
            <v>415</v>
          </cell>
          <cell r="J477" t="str">
            <v/>
          </cell>
          <cell r="K477">
            <v>0</v>
          </cell>
          <cell r="L477" t="str">
            <v/>
          </cell>
          <cell r="P477">
            <v>0</v>
          </cell>
          <cell r="U477" t="str">
            <v>000000000013441</v>
          </cell>
        </row>
        <row r="478">
          <cell r="H478">
            <v>415</v>
          </cell>
          <cell r="K478">
            <v>0</v>
          </cell>
          <cell r="L478" t="str">
            <v/>
          </cell>
          <cell r="P478">
            <v>0</v>
          </cell>
          <cell r="U478" t="str">
            <v>000000000013441</v>
          </cell>
        </row>
        <row r="479">
          <cell r="C479">
            <v>1500</v>
          </cell>
          <cell r="H479">
            <v>415</v>
          </cell>
          <cell r="K479">
            <v>0</v>
          </cell>
          <cell r="L479" t="str">
            <v/>
          </cell>
          <cell r="P479">
            <v>0</v>
          </cell>
          <cell r="U479" t="str">
            <v>000000000013441</v>
          </cell>
        </row>
        <row r="480">
          <cell r="C480">
            <v>3</v>
          </cell>
          <cell r="H480">
            <v>415</v>
          </cell>
          <cell r="K480">
            <v>0</v>
          </cell>
          <cell r="L480" t="str">
            <v/>
          </cell>
          <cell r="P480">
            <v>0</v>
          </cell>
          <cell r="U480" t="str">
            <v>000000000013441</v>
          </cell>
        </row>
        <row r="481">
          <cell r="C481">
            <v>200</v>
          </cell>
          <cell r="H481">
            <v>415</v>
          </cell>
          <cell r="K481">
            <v>0</v>
          </cell>
          <cell r="L481" t="str">
            <v/>
          </cell>
          <cell r="M481" t="str">
            <v>合計</v>
          </cell>
          <cell r="N481">
            <v>0</v>
          </cell>
          <cell r="P481">
            <v>0</v>
          </cell>
          <cell r="U481" t="str">
            <v>000000000013441</v>
          </cell>
        </row>
        <row r="482">
          <cell r="C482" t="str">
            <v>S-20</v>
          </cell>
          <cell r="H482">
            <v>415</v>
          </cell>
          <cell r="K482">
            <v>0</v>
          </cell>
          <cell r="L482" t="str">
            <v/>
          </cell>
          <cell r="M482" t="str">
            <v>入数</v>
          </cell>
          <cell r="N482">
            <v>0</v>
          </cell>
          <cell r="P482">
            <v>0</v>
          </cell>
          <cell r="U482" t="str">
            <v>000000000013441</v>
          </cell>
        </row>
        <row r="483">
          <cell r="H483">
            <v>415</v>
          </cell>
          <cell r="K483">
            <v>0</v>
          </cell>
          <cell r="L483" t="str">
            <v/>
          </cell>
          <cell r="M483" t="str">
            <v>作業者</v>
          </cell>
          <cell r="U483" t="str">
            <v>000000000013441</v>
          </cell>
        </row>
        <row r="484">
          <cell r="C484">
            <v>0</v>
          </cell>
          <cell r="H484">
            <v>415</v>
          </cell>
          <cell r="K484">
            <v>0</v>
          </cell>
          <cell r="L484" t="str">
            <v/>
          </cell>
          <cell r="U484" t="str">
            <v>000000000013441</v>
          </cell>
        </row>
        <row r="485">
          <cell r="K485">
            <v>0</v>
          </cell>
          <cell r="L485" t="str">
            <v/>
          </cell>
          <cell r="R485">
            <v>0</v>
          </cell>
          <cell r="U485" t="str">
            <v>000000000013441</v>
          </cell>
        </row>
        <row r="486">
          <cell r="D486" t="str">
            <v>不良補填</v>
          </cell>
          <cell r="F486" t="str">
            <v/>
          </cell>
          <cell r="U486" t="str">
            <v>000000000013441</v>
          </cell>
        </row>
        <row r="487">
          <cell r="C487" t="str">
            <v>8FL281304 4910　L=592</v>
          </cell>
          <cell r="J487">
            <v>0</v>
          </cell>
          <cell r="K487">
            <v>0</v>
          </cell>
          <cell r="L487" t="str">
            <v/>
          </cell>
          <cell r="P487">
            <v>0</v>
          </cell>
          <cell r="U487" t="str">
            <v>000000000013160</v>
          </cell>
        </row>
        <row r="488">
          <cell r="H488" t="str">
            <v/>
          </cell>
          <cell r="J488" t="str">
            <v/>
          </cell>
          <cell r="K488">
            <v>0</v>
          </cell>
          <cell r="L488" t="str">
            <v/>
          </cell>
          <cell r="P488">
            <v>0</v>
          </cell>
          <cell r="U488" t="str">
            <v>000000000013160</v>
          </cell>
        </row>
        <row r="489">
          <cell r="H489" t="str">
            <v/>
          </cell>
          <cell r="K489">
            <v>0</v>
          </cell>
          <cell r="L489" t="str">
            <v/>
          </cell>
          <cell r="P489">
            <v>0</v>
          </cell>
          <cell r="U489" t="str">
            <v>000000000013160</v>
          </cell>
        </row>
        <row r="490">
          <cell r="C490">
            <v>300</v>
          </cell>
          <cell r="H490" t="str">
            <v/>
          </cell>
          <cell r="K490">
            <v>0</v>
          </cell>
          <cell r="L490" t="str">
            <v/>
          </cell>
          <cell r="P490">
            <v>0</v>
          </cell>
          <cell r="U490" t="str">
            <v>000000000013160</v>
          </cell>
        </row>
        <row r="491">
          <cell r="C491">
            <v>3</v>
          </cell>
          <cell r="H491" t="str">
            <v/>
          </cell>
          <cell r="K491">
            <v>0</v>
          </cell>
          <cell r="L491" t="str">
            <v/>
          </cell>
          <cell r="P491">
            <v>0</v>
          </cell>
          <cell r="U491" t="str">
            <v>000000000013160</v>
          </cell>
        </row>
        <row r="492">
          <cell r="C492">
            <v>100</v>
          </cell>
          <cell r="H492" t="str">
            <v/>
          </cell>
          <cell r="K492">
            <v>0</v>
          </cell>
          <cell r="L492" t="str">
            <v/>
          </cell>
          <cell r="M492" t="str">
            <v>合計</v>
          </cell>
          <cell r="N492">
            <v>0</v>
          </cell>
          <cell r="P492">
            <v>0</v>
          </cell>
          <cell r="U492" t="str">
            <v>000000000013160</v>
          </cell>
        </row>
        <row r="493">
          <cell r="C493" t="str">
            <v>LED-A592</v>
          </cell>
          <cell r="H493" t="str">
            <v/>
          </cell>
          <cell r="K493">
            <v>0</v>
          </cell>
          <cell r="L493" t="str">
            <v/>
          </cell>
          <cell r="M493" t="str">
            <v>入数</v>
          </cell>
          <cell r="N493">
            <v>0</v>
          </cell>
          <cell r="P493">
            <v>0</v>
          </cell>
          <cell r="U493" t="str">
            <v>000000000013160</v>
          </cell>
        </row>
        <row r="494">
          <cell r="H494" t="str">
            <v/>
          </cell>
          <cell r="K494">
            <v>0</v>
          </cell>
          <cell r="L494" t="str">
            <v/>
          </cell>
          <cell r="M494" t="str">
            <v>作業者</v>
          </cell>
          <cell r="U494" t="str">
            <v>000000000013160</v>
          </cell>
        </row>
        <row r="495">
          <cell r="C495">
            <v>0</v>
          </cell>
          <cell r="H495" t="str">
            <v/>
          </cell>
          <cell r="K495">
            <v>0</v>
          </cell>
          <cell r="L495" t="str">
            <v/>
          </cell>
          <cell r="U495" t="str">
            <v>000000000013160</v>
          </cell>
        </row>
        <row r="496">
          <cell r="K496">
            <v>0</v>
          </cell>
          <cell r="L496" t="str">
            <v/>
          </cell>
          <cell r="R496">
            <v>0</v>
          </cell>
          <cell r="U496" t="str">
            <v>000000000013160</v>
          </cell>
        </row>
        <row r="497">
          <cell r="D497" t="str">
            <v>不良補填</v>
          </cell>
          <cell r="F497">
            <v>0</v>
          </cell>
          <cell r="U497" t="str">
            <v>000000000013160</v>
          </cell>
        </row>
        <row r="498">
          <cell r="C498" t="str">
            <v>8FL281304 4910　L=592</v>
          </cell>
          <cell r="J498">
            <v>0</v>
          </cell>
          <cell r="K498">
            <v>0</v>
          </cell>
          <cell r="L498" t="str">
            <v/>
          </cell>
          <cell r="P498">
            <v>0</v>
          </cell>
          <cell r="U498" t="str">
            <v>000000000013161</v>
          </cell>
        </row>
        <row r="499">
          <cell r="H499" t="str">
            <v/>
          </cell>
          <cell r="J499" t="str">
            <v/>
          </cell>
          <cell r="K499">
            <v>0</v>
          </cell>
          <cell r="L499" t="str">
            <v/>
          </cell>
          <cell r="P499">
            <v>0</v>
          </cell>
          <cell r="U499" t="str">
            <v>000000000013161</v>
          </cell>
        </row>
        <row r="500">
          <cell r="H500" t="str">
            <v/>
          </cell>
          <cell r="K500">
            <v>0</v>
          </cell>
          <cell r="L500" t="str">
            <v/>
          </cell>
          <cell r="P500">
            <v>0</v>
          </cell>
          <cell r="U500" t="str">
            <v>000000000013161</v>
          </cell>
        </row>
        <row r="501">
          <cell r="C501">
            <v>200</v>
          </cell>
          <cell r="H501" t="str">
            <v/>
          </cell>
          <cell r="K501">
            <v>0</v>
          </cell>
          <cell r="L501" t="str">
            <v/>
          </cell>
          <cell r="P501">
            <v>0</v>
          </cell>
          <cell r="U501" t="str">
            <v>000000000013161</v>
          </cell>
        </row>
        <row r="502">
          <cell r="C502">
            <v>3</v>
          </cell>
          <cell r="H502" t="str">
            <v/>
          </cell>
          <cell r="K502">
            <v>0</v>
          </cell>
          <cell r="L502" t="str">
            <v/>
          </cell>
          <cell r="P502">
            <v>0</v>
          </cell>
          <cell r="U502" t="str">
            <v>000000000013161</v>
          </cell>
        </row>
        <row r="503">
          <cell r="C503">
            <v>100</v>
          </cell>
          <cell r="H503" t="str">
            <v/>
          </cell>
          <cell r="K503">
            <v>0</v>
          </cell>
          <cell r="L503" t="str">
            <v/>
          </cell>
          <cell r="M503" t="str">
            <v>合計</v>
          </cell>
          <cell r="N503">
            <v>0</v>
          </cell>
          <cell r="P503">
            <v>0</v>
          </cell>
          <cell r="U503" t="str">
            <v>000000000013161</v>
          </cell>
        </row>
        <row r="504">
          <cell r="C504" t="str">
            <v>LED-A592</v>
          </cell>
          <cell r="H504" t="str">
            <v/>
          </cell>
          <cell r="K504">
            <v>0</v>
          </cell>
          <cell r="L504" t="str">
            <v/>
          </cell>
          <cell r="M504" t="str">
            <v>入数</v>
          </cell>
          <cell r="N504">
            <v>0</v>
          </cell>
          <cell r="P504">
            <v>0</v>
          </cell>
          <cell r="U504" t="str">
            <v>000000000013161</v>
          </cell>
        </row>
        <row r="505">
          <cell r="H505" t="str">
            <v/>
          </cell>
          <cell r="K505">
            <v>0</v>
          </cell>
          <cell r="L505" t="str">
            <v/>
          </cell>
          <cell r="M505" t="str">
            <v>作業者</v>
          </cell>
          <cell r="U505" t="str">
            <v>000000000013161</v>
          </cell>
        </row>
        <row r="506">
          <cell r="C506">
            <v>0</v>
          </cell>
          <cell r="H506" t="str">
            <v/>
          </cell>
          <cell r="K506">
            <v>0</v>
          </cell>
          <cell r="L506" t="str">
            <v/>
          </cell>
          <cell r="U506" t="str">
            <v>000000000013161</v>
          </cell>
        </row>
        <row r="507">
          <cell r="K507">
            <v>0</v>
          </cell>
          <cell r="L507" t="str">
            <v/>
          </cell>
          <cell r="R507">
            <v>0</v>
          </cell>
          <cell r="U507" t="str">
            <v>000000000013161</v>
          </cell>
        </row>
        <row r="508">
          <cell r="D508" t="str">
            <v>不良補填</v>
          </cell>
          <cell r="F508">
            <v>0</v>
          </cell>
          <cell r="U508" t="str">
            <v>000000000013161</v>
          </cell>
        </row>
        <row r="509">
          <cell r="C509" t="str">
            <v>8FL281304 4910　L=592</v>
          </cell>
          <cell r="J509">
            <v>0</v>
          </cell>
          <cell r="K509">
            <v>0</v>
          </cell>
          <cell r="L509" t="str">
            <v/>
          </cell>
          <cell r="P509">
            <v>0</v>
          </cell>
          <cell r="U509" t="str">
            <v>000000000013162</v>
          </cell>
        </row>
        <row r="510">
          <cell r="H510" t="str">
            <v/>
          </cell>
          <cell r="J510" t="str">
            <v/>
          </cell>
          <cell r="K510">
            <v>0</v>
          </cell>
          <cell r="L510" t="str">
            <v/>
          </cell>
          <cell r="P510">
            <v>0</v>
          </cell>
          <cell r="U510" t="str">
            <v>000000000013162</v>
          </cell>
        </row>
        <row r="511">
          <cell r="H511" t="str">
            <v/>
          </cell>
          <cell r="K511">
            <v>0</v>
          </cell>
          <cell r="L511" t="str">
            <v/>
          </cell>
          <cell r="P511">
            <v>0</v>
          </cell>
          <cell r="U511" t="str">
            <v>000000000013162</v>
          </cell>
        </row>
        <row r="512">
          <cell r="C512">
            <v>100</v>
          </cell>
          <cell r="H512" t="str">
            <v/>
          </cell>
          <cell r="K512">
            <v>0</v>
          </cell>
          <cell r="L512" t="str">
            <v/>
          </cell>
          <cell r="P512">
            <v>0</v>
          </cell>
          <cell r="U512" t="str">
            <v>000000000013162</v>
          </cell>
        </row>
        <row r="513">
          <cell r="C513">
            <v>3</v>
          </cell>
          <cell r="H513" t="str">
            <v/>
          </cell>
          <cell r="K513">
            <v>0</v>
          </cell>
          <cell r="L513" t="str">
            <v/>
          </cell>
          <cell r="P513">
            <v>0</v>
          </cell>
          <cell r="U513" t="str">
            <v>000000000013162</v>
          </cell>
        </row>
        <row r="514">
          <cell r="C514">
            <v>100</v>
          </cell>
          <cell r="H514" t="str">
            <v/>
          </cell>
          <cell r="K514">
            <v>0</v>
          </cell>
          <cell r="L514" t="str">
            <v/>
          </cell>
          <cell r="M514" t="str">
            <v>合計</v>
          </cell>
          <cell r="N514">
            <v>0</v>
          </cell>
          <cell r="P514">
            <v>0</v>
          </cell>
          <cell r="U514" t="str">
            <v>000000000013162</v>
          </cell>
        </row>
        <row r="515">
          <cell r="C515" t="str">
            <v>LED-A592</v>
          </cell>
          <cell r="H515" t="str">
            <v/>
          </cell>
          <cell r="K515">
            <v>0</v>
          </cell>
          <cell r="L515" t="str">
            <v/>
          </cell>
          <cell r="M515" t="str">
            <v>入数</v>
          </cell>
          <cell r="N515">
            <v>0</v>
          </cell>
          <cell r="P515">
            <v>0</v>
          </cell>
          <cell r="U515" t="str">
            <v>000000000013162</v>
          </cell>
        </row>
        <row r="516">
          <cell r="H516" t="str">
            <v/>
          </cell>
          <cell r="K516">
            <v>0</v>
          </cell>
          <cell r="L516" t="str">
            <v/>
          </cell>
          <cell r="M516" t="str">
            <v>作業者</v>
          </cell>
          <cell r="U516" t="str">
            <v>000000000013162</v>
          </cell>
        </row>
        <row r="517">
          <cell r="C517">
            <v>0</v>
          </cell>
          <cell r="H517" t="str">
            <v/>
          </cell>
          <cell r="K517">
            <v>0</v>
          </cell>
          <cell r="L517" t="str">
            <v/>
          </cell>
          <cell r="U517" t="str">
            <v>000000000013162</v>
          </cell>
        </row>
        <row r="518">
          <cell r="K518">
            <v>0</v>
          </cell>
          <cell r="L518" t="str">
            <v/>
          </cell>
          <cell r="R518">
            <v>0</v>
          </cell>
          <cell r="U518" t="str">
            <v>000000000013162</v>
          </cell>
        </row>
        <row r="519">
          <cell r="D519" t="str">
            <v>不良補填</v>
          </cell>
          <cell r="F519">
            <v>0</v>
          </cell>
          <cell r="U519" t="str">
            <v>000000000013162</v>
          </cell>
        </row>
        <row r="520">
          <cell r="C520" t="str">
            <v>8FL281304 4810　L=297</v>
          </cell>
          <cell r="J520">
            <v>0</v>
          </cell>
          <cell r="K520">
            <v>0</v>
          </cell>
          <cell r="L520" t="str">
            <v/>
          </cell>
          <cell r="P520">
            <v>0</v>
          </cell>
          <cell r="U520" t="str">
            <v>000000000013157</v>
          </cell>
        </row>
        <row r="521">
          <cell r="H521" t="str">
            <v/>
          </cell>
          <cell r="J521" t="str">
            <v/>
          </cell>
          <cell r="K521">
            <v>0</v>
          </cell>
          <cell r="L521" t="str">
            <v/>
          </cell>
          <cell r="P521">
            <v>0</v>
          </cell>
          <cell r="U521" t="str">
            <v>000000000013157</v>
          </cell>
        </row>
        <row r="522">
          <cell r="H522" t="str">
            <v/>
          </cell>
          <cell r="K522">
            <v>0</v>
          </cell>
          <cell r="L522" t="str">
            <v/>
          </cell>
          <cell r="P522">
            <v>0</v>
          </cell>
          <cell r="U522" t="str">
            <v>000000000013157</v>
          </cell>
        </row>
        <row r="523">
          <cell r="C523">
            <v>300</v>
          </cell>
          <cell r="H523" t="str">
            <v/>
          </cell>
          <cell r="K523">
            <v>0</v>
          </cell>
          <cell r="L523" t="str">
            <v/>
          </cell>
          <cell r="P523">
            <v>0</v>
          </cell>
          <cell r="U523" t="str">
            <v>000000000013157</v>
          </cell>
        </row>
        <row r="524">
          <cell r="C524">
            <v>6</v>
          </cell>
          <cell r="H524" t="str">
            <v/>
          </cell>
          <cell r="K524">
            <v>0</v>
          </cell>
          <cell r="L524" t="str">
            <v/>
          </cell>
          <cell r="P524">
            <v>0</v>
          </cell>
          <cell r="U524" t="str">
            <v>000000000013157</v>
          </cell>
        </row>
        <row r="525">
          <cell r="C525">
            <v>100</v>
          </cell>
          <cell r="H525" t="str">
            <v/>
          </cell>
          <cell r="K525">
            <v>0</v>
          </cell>
          <cell r="L525" t="str">
            <v/>
          </cell>
          <cell r="M525" t="str">
            <v>合計</v>
          </cell>
          <cell r="N525">
            <v>0</v>
          </cell>
          <cell r="P525">
            <v>0</v>
          </cell>
          <cell r="U525" t="str">
            <v>000000000013157</v>
          </cell>
        </row>
        <row r="526">
          <cell r="C526" t="str">
            <v>LED-A300</v>
          </cell>
          <cell r="H526" t="str">
            <v/>
          </cell>
          <cell r="K526">
            <v>0</v>
          </cell>
          <cell r="L526" t="str">
            <v/>
          </cell>
          <cell r="M526" t="str">
            <v>入数</v>
          </cell>
          <cell r="N526">
            <v>0</v>
          </cell>
          <cell r="P526">
            <v>0</v>
          </cell>
          <cell r="U526" t="str">
            <v>000000000013157</v>
          </cell>
        </row>
        <row r="527">
          <cell r="H527" t="str">
            <v/>
          </cell>
          <cell r="K527">
            <v>0</v>
          </cell>
          <cell r="L527" t="str">
            <v/>
          </cell>
          <cell r="M527" t="str">
            <v>作業者</v>
          </cell>
          <cell r="U527" t="str">
            <v>000000000013157</v>
          </cell>
        </row>
        <row r="528">
          <cell r="C528">
            <v>0</v>
          </cell>
          <cell r="H528" t="str">
            <v/>
          </cell>
          <cell r="K528">
            <v>0</v>
          </cell>
          <cell r="L528" t="str">
            <v/>
          </cell>
          <cell r="U528" t="str">
            <v>000000000013157</v>
          </cell>
        </row>
        <row r="529">
          <cell r="K529">
            <v>0</v>
          </cell>
          <cell r="L529" t="str">
            <v/>
          </cell>
          <cell r="R529">
            <v>0</v>
          </cell>
          <cell r="U529" t="str">
            <v>000000000013157</v>
          </cell>
        </row>
        <row r="530">
          <cell r="D530" t="str">
            <v>不良補填</v>
          </cell>
          <cell r="F530">
            <v>0</v>
          </cell>
          <cell r="U530" t="str">
            <v>000000000013157</v>
          </cell>
        </row>
        <row r="531">
          <cell r="C531" t="str">
            <v>8FL281304 4810　L=297</v>
          </cell>
          <cell r="J531">
            <v>0</v>
          </cell>
          <cell r="K531">
            <v>0</v>
          </cell>
          <cell r="L531" t="str">
            <v/>
          </cell>
          <cell r="P531">
            <v>0</v>
          </cell>
          <cell r="U531" t="str">
            <v>000000000013158</v>
          </cell>
        </row>
        <row r="532">
          <cell r="H532" t="str">
            <v/>
          </cell>
          <cell r="J532" t="str">
            <v/>
          </cell>
          <cell r="K532">
            <v>0</v>
          </cell>
          <cell r="L532" t="str">
            <v/>
          </cell>
          <cell r="P532">
            <v>0</v>
          </cell>
          <cell r="U532" t="str">
            <v>000000000013158</v>
          </cell>
        </row>
        <row r="533">
          <cell r="H533" t="str">
            <v/>
          </cell>
          <cell r="K533">
            <v>0</v>
          </cell>
          <cell r="L533" t="str">
            <v/>
          </cell>
          <cell r="P533">
            <v>0</v>
          </cell>
          <cell r="U533" t="str">
            <v>000000000013158</v>
          </cell>
        </row>
        <row r="534">
          <cell r="C534">
            <v>200</v>
          </cell>
          <cell r="H534" t="str">
            <v/>
          </cell>
          <cell r="K534">
            <v>0</v>
          </cell>
          <cell r="L534" t="str">
            <v/>
          </cell>
          <cell r="P534">
            <v>0</v>
          </cell>
          <cell r="U534" t="str">
            <v>000000000013158</v>
          </cell>
        </row>
        <row r="535">
          <cell r="C535">
            <v>6</v>
          </cell>
          <cell r="H535" t="str">
            <v/>
          </cell>
          <cell r="K535">
            <v>0</v>
          </cell>
          <cell r="L535" t="str">
            <v/>
          </cell>
          <cell r="P535">
            <v>0</v>
          </cell>
          <cell r="U535" t="str">
            <v>000000000013158</v>
          </cell>
        </row>
        <row r="536">
          <cell r="C536">
            <v>100</v>
          </cell>
          <cell r="H536" t="str">
            <v/>
          </cell>
          <cell r="K536">
            <v>0</v>
          </cell>
          <cell r="L536" t="str">
            <v/>
          </cell>
          <cell r="M536" t="str">
            <v>合計</v>
          </cell>
          <cell r="N536">
            <v>0</v>
          </cell>
          <cell r="P536">
            <v>0</v>
          </cell>
          <cell r="U536" t="str">
            <v>000000000013158</v>
          </cell>
        </row>
        <row r="537">
          <cell r="C537" t="str">
            <v>LED-A300</v>
          </cell>
          <cell r="H537" t="str">
            <v/>
          </cell>
          <cell r="K537">
            <v>0</v>
          </cell>
          <cell r="L537" t="str">
            <v/>
          </cell>
          <cell r="M537" t="str">
            <v>入数</v>
          </cell>
          <cell r="N537">
            <v>0</v>
          </cell>
          <cell r="P537">
            <v>0</v>
          </cell>
          <cell r="U537" t="str">
            <v>000000000013158</v>
          </cell>
        </row>
        <row r="538">
          <cell r="H538" t="str">
            <v/>
          </cell>
          <cell r="K538">
            <v>0</v>
          </cell>
          <cell r="L538" t="str">
            <v/>
          </cell>
          <cell r="M538" t="str">
            <v>作業者</v>
          </cell>
          <cell r="U538" t="str">
            <v>000000000013158</v>
          </cell>
        </row>
        <row r="539">
          <cell r="C539">
            <v>0</v>
          </cell>
          <cell r="H539" t="str">
            <v/>
          </cell>
          <cell r="K539">
            <v>0</v>
          </cell>
          <cell r="L539" t="str">
            <v/>
          </cell>
          <cell r="U539" t="str">
            <v>000000000013158</v>
          </cell>
        </row>
        <row r="540">
          <cell r="K540">
            <v>0</v>
          </cell>
          <cell r="L540" t="str">
            <v/>
          </cell>
          <cell r="R540">
            <v>0</v>
          </cell>
          <cell r="U540" t="str">
            <v>000000000013158</v>
          </cell>
        </row>
        <row r="541">
          <cell r="D541" t="str">
            <v>不良補填</v>
          </cell>
          <cell r="F541">
            <v>0</v>
          </cell>
          <cell r="U541" t="str">
            <v>000000000013158</v>
          </cell>
        </row>
        <row r="542">
          <cell r="C542" t="str">
            <v>8FL281304 4810　L=297</v>
          </cell>
          <cell r="J542">
            <v>0</v>
          </cell>
          <cell r="K542">
            <v>0</v>
          </cell>
          <cell r="L542" t="str">
            <v/>
          </cell>
          <cell r="P542">
            <v>0</v>
          </cell>
          <cell r="U542" t="str">
            <v>000000000013159</v>
          </cell>
        </row>
        <row r="543">
          <cell r="H543" t="str">
            <v/>
          </cell>
          <cell r="J543" t="str">
            <v/>
          </cell>
          <cell r="K543">
            <v>0</v>
          </cell>
          <cell r="L543" t="str">
            <v/>
          </cell>
          <cell r="P543">
            <v>0</v>
          </cell>
          <cell r="U543" t="str">
            <v>000000000013159</v>
          </cell>
        </row>
        <row r="544">
          <cell r="H544" t="str">
            <v/>
          </cell>
          <cell r="K544">
            <v>0</v>
          </cell>
          <cell r="L544" t="str">
            <v/>
          </cell>
          <cell r="P544">
            <v>0</v>
          </cell>
          <cell r="U544" t="str">
            <v>000000000013159</v>
          </cell>
        </row>
        <row r="545">
          <cell r="C545">
            <v>300</v>
          </cell>
          <cell r="H545" t="str">
            <v/>
          </cell>
          <cell r="K545">
            <v>0</v>
          </cell>
          <cell r="L545" t="str">
            <v/>
          </cell>
          <cell r="P545">
            <v>0</v>
          </cell>
          <cell r="U545" t="str">
            <v>000000000013159</v>
          </cell>
        </row>
        <row r="546">
          <cell r="C546">
            <v>6</v>
          </cell>
          <cell r="H546" t="str">
            <v/>
          </cell>
          <cell r="K546">
            <v>0</v>
          </cell>
          <cell r="L546" t="str">
            <v/>
          </cell>
          <cell r="P546">
            <v>0</v>
          </cell>
          <cell r="U546" t="str">
            <v>000000000013159</v>
          </cell>
        </row>
        <row r="547">
          <cell r="C547">
            <v>100</v>
          </cell>
          <cell r="H547" t="str">
            <v/>
          </cell>
          <cell r="K547">
            <v>0</v>
          </cell>
          <cell r="L547" t="str">
            <v/>
          </cell>
          <cell r="M547" t="str">
            <v>合計</v>
          </cell>
          <cell r="N547">
            <v>0</v>
          </cell>
          <cell r="P547">
            <v>0</v>
          </cell>
          <cell r="U547" t="str">
            <v>000000000013159</v>
          </cell>
        </row>
        <row r="548">
          <cell r="C548" t="str">
            <v>LED-A300</v>
          </cell>
          <cell r="H548" t="str">
            <v/>
          </cell>
          <cell r="K548">
            <v>0</v>
          </cell>
          <cell r="L548" t="str">
            <v/>
          </cell>
          <cell r="M548" t="str">
            <v>入数</v>
          </cell>
          <cell r="N548">
            <v>0</v>
          </cell>
          <cell r="P548">
            <v>0</v>
          </cell>
          <cell r="U548" t="str">
            <v>000000000013159</v>
          </cell>
        </row>
        <row r="549">
          <cell r="H549" t="str">
            <v/>
          </cell>
          <cell r="K549">
            <v>0</v>
          </cell>
          <cell r="L549" t="str">
            <v/>
          </cell>
          <cell r="M549" t="str">
            <v>作業者</v>
          </cell>
          <cell r="U549" t="str">
            <v>000000000013159</v>
          </cell>
        </row>
        <row r="550">
          <cell r="C550">
            <v>0</v>
          </cell>
          <cell r="H550" t="str">
            <v/>
          </cell>
          <cell r="K550">
            <v>0</v>
          </cell>
          <cell r="L550" t="str">
            <v/>
          </cell>
          <cell r="U550" t="str">
            <v>000000000013159</v>
          </cell>
        </row>
        <row r="551">
          <cell r="K551">
            <v>0</v>
          </cell>
          <cell r="L551" t="str">
            <v/>
          </cell>
          <cell r="R551">
            <v>0</v>
          </cell>
          <cell r="U551" t="str">
            <v>000000000013159</v>
          </cell>
        </row>
        <row r="552">
          <cell r="D552" t="str">
            <v>不良補填</v>
          </cell>
          <cell r="F552">
            <v>0</v>
          </cell>
          <cell r="U552" t="str">
            <v>000000000013159</v>
          </cell>
        </row>
        <row r="553">
          <cell r="C553" t="str">
            <v>8FL281304 5010　L=888</v>
          </cell>
          <cell r="J553">
            <v>0</v>
          </cell>
          <cell r="K553">
            <v>0</v>
          </cell>
          <cell r="L553" t="str">
            <v/>
          </cell>
          <cell r="P553">
            <v>0</v>
          </cell>
          <cell r="U553" t="str">
            <v>000000000013168</v>
          </cell>
        </row>
        <row r="554">
          <cell r="H554" t="str">
            <v/>
          </cell>
          <cell r="J554" t="str">
            <v/>
          </cell>
          <cell r="K554">
            <v>0</v>
          </cell>
          <cell r="L554" t="str">
            <v/>
          </cell>
          <cell r="P554">
            <v>0</v>
          </cell>
          <cell r="U554" t="str">
            <v>000000000013168</v>
          </cell>
        </row>
        <row r="555">
          <cell r="H555" t="str">
            <v/>
          </cell>
          <cell r="K555">
            <v>0</v>
          </cell>
          <cell r="L555" t="str">
            <v/>
          </cell>
          <cell r="P555">
            <v>0</v>
          </cell>
          <cell r="U555" t="str">
            <v>000000000013168</v>
          </cell>
        </row>
        <row r="556">
          <cell r="C556">
            <v>1000</v>
          </cell>
          <cell r="H556" t="str">
            <v/>
          </cell>
          <cell r="K556">
            <v>0</v>
          </cell>
          <cell r="L556" t="str">
            <v/>
          </cell>
          <cell r="P556">
            <v>0</v>
          </cell>
          <cell r="U556" t="str">
            <v>000000000013168</v>
          </cell>
        </row>
        <row r="557">
          <cell r="C557">
            <v>2</v>
          </cell>
          <cell r="H557" t="str">
            <v/>
          </cell>
          <cell r="K557">
            <v>0</v>
          </cell>
          <cell r="L557" t="str">
            <v/>
          </cell>
          <cell r="P557">
            <v>0</v>
          </cell>
          <cell r="U557" t="str">
            <v>000000000013168</v>
          </cell>
        </row>
        <row r="558">
          <cell r="C558">
            <v>100</v>
          </cell>
          <cell r="H558" t="str">
            <v/>
          </cell>
          <cell r="K558">
            <v>0</v>
          </cell>
          <cell r="L558" t="str">
            <v/>
          </cell>
          <cell r="M558" t="str">
            <v>合計</v>
          </cell>
          <cell r="N558">
            <v>0</v>
          </cell>
          <cell r="P558">
            <v>0</v>
          </cell>
          <cell r="U558" t="str">
            <v>000000000013168</v>
          </cell>
        </row>
        <row r="559">
          <cell r="C559" t="str">
            <v>LED-A888</v>
          </cell>
          <cell r="H559" t="str">
            <v/>
          </cell>
          <cell r="K559">
            <v>0</v>
          </cell>
          <cell r="L559" t="str">
            <v/>
          </cell>
          <cell r="M559" t="str">
            <v>入数</v>
          </cell>
          <cell r="N559">
            <v>0</v>
          </cell>
          <cell r="P559">
            <v>0</v>
          </cell>
          <cell r="U559" t="str">
            <v>000000000013168</v>
          </cell>
        </row>
        <row r="560">
          <cell r="H560" t="str">
            <v/>
          </cell>
          <cell r="K560">
            <v>0</v>
          </cell>
          <cell r="L560" t="str">
            <v/>
          </cell>
          <cell r="M560" t="str">
            <v>作業者</v>
          </cell>
          <cell r="U560" t="str">
            <v>000000000013168</v>
          </cell>
        </row>
        <row r="561">
          <cell r="C561">
            <v>0</v>
          </cell>
          <cell r="H561" t="str">
            <v/>
          </cell>
          <cell r="K561">
            <v>0</v>
          </cell>
          <cell r="L561" t="str">
            <v/>
          </cell>
          <cell r="U561" t="str">
            <v>000000000013168</v>
          </cell>
        </row>
        <row r="562">
          <cell r="K562">
            <v>0</v>
          </cell>
          <cell r="L562" t="str">
            <v/>
          </cell>
          <cell r="R562">
            <v>0</v>
          </cell>
          <cell r="U562" t="str">
            <v>000000000013168</v>
          </cell>
        </row>
        <row r="563">
          <cell r="D563" t="str">
            <v>不良補填</v>
          </cell>
          <cell r="F563">
            <v>0</v>
          </cell>
          <cell r="U563" t="str">
            <v>000000000013168</v>
          </cell>
        </row>
        <row r="564">
          <cell r="C564" t="str">
            <v>8FL281304 5010　L=888</v>
          </cell>
          <cell r="J564">
            <v>0</v>
          </cell>
          <cell r="K564">
            <v>0</v>
          </cell>
          <cell r="L564" t="str">
            <v/>
          </cell>
          <cell r="P564">
            <v>0</v>
          </cell>
          <cell r="U564" t="str">
            <v>000000000013166</v>
          </cell>
        </row>
        <row r="565">
          <cell r="H565" t="str">
            <v/>
          </cell>
          <cell r="J565" t="str">
            <v/>
          </cell>
          <cell r="K565">
            <v>0</v>
          </cell>
          <cell r="L565" t="str">
            <v/>
          </cell>
          <cell r="P565">
            <v>0</v>
          </cell>
          <cell r="U565" t="str">
            <v>000000000013166</v>
          </cell>
        </row>
        <row r="566">
          <cell r="H566" t="str">
            <v/>
          </cell>
          <cell r="K566">
            <v>0</v>
          </cell>
          <cell r="L566" t="str">
            <v/>
          </cell>
          <cell r="P566">
            <v>0</v>
          </cell>
          <cell r="U566" t="str">
            <v>000000000013166</v>
          </cell>
        </row>
        <row r="567">
          <cell r="C567">
            <v>400</v>
          </cell>
          <cell r="H567" t="str">
            <v/>
          </cell>
          <cell r="K567">
            <v>0</v>
          </cell>
          <cell r="L567" t="str">
            <v/>
          </cell>
          <cell r="P567">
            <v>0</v>
          </cell>
          <cell r="U567" t="str">
            <v>000000000013166</v>
          </cell>
        </row>
        <row r="568">
          <cell r="C568">
            <v>2</v>
          </cell>
          <cell r="H568" t="str">
            <v/>
          </cell>
          <cell r="K568">
            <v>0</v>
          </cell>
          <cell r="L568" t="str">
            <v/>
          </cell>
          <cell r="P568">
            <v>0</v>
          </cell>
          <cell r="U568" t="str">
            <v>000000000013166</v>
          </cell>
        </row>
        <row r="569">
          <cell r="C569">
            <v>100</v>
          </cell>
          <cell r="H569" t="str">
            <v/>
          </cell>
          <cell r="K569">
            <v>0</v>
          </cell>
          <cell r="L569" t="str">
            <v/>
          </cell>
          <cell r="M569" t="str">
            <v>合計</v>
          </cell>
          <cell r="N569">
            <v>0</v>
          </cell>
          <cell r="P569">
            <v>0</v>
          </cell>
          <cell r="U569" t="str">
            <v>000000000013166</v>
          </cell>
        </row>
        <row r="570">
          <cell r="C570" t="str">
            <v>LED-A888</v>
          </cell>
          <cell r="H570" t="str">
            <v/>
          </cell>
          <cell r="K570">
            <v>0</v>
          </cell>
          <cell r="L570" t="str">
            <v/>
          </cell>
          <cell r="M570" t="str">
            <v>入数</v>
          </cell>
          <cell r="N570">
            <v>0</v>
          </cell>
          <cell r="P570">
            <v>0</v>
          </cell>
          <cell r="U570" t="str">
            <v>000000000013166</v>
          </cell>
        </row>
        <row r="571">
          <cell r="H571" t="str">
            <v/>
          </cell>
          <cell r="K571">
            <v>0</v>
          </cell>
          <cell r="L571" t="str">
            <v/>
          </cell>
          <cell r="M571" t="str">
            <v>作業者</v>
          </cell>
          <cell r="U571" t="str">
            <v>000000000013166</v>
          </cell>
        </row>
        <row r="572">
          <cell r="C572">
            <v>0</v>
          </cell>
          <cell r="H572" t="str">
            <v/>
          </cell>
          <cell r="K572">
            <v>0</v>
          </cell>
          <cell r="L572" t="str">
            <v/>
          </cell>
          <cell r="U572" t="str">
            <v>000000000013166</v>
          </cell>
        </row>
        <row r="573">
          <cell r="K573">
            <v>0</v>
          </cell>
          <cell r="L573" t="str">
            <v/>
          </cell>
          <cell r="R573">
            <v>0</v>
          </cell>
          <cell r="U573" t="str">
            <v>000000000013166</v>
          </cell>
        </row>
        <row r="574">
          <cell r="D574" t="str">
            <v>不良補填</v>
          </cell>
          <cell r="F574">
            <v>0</v>
          </cell>
          <cell r="U574" t="str">
            <v>000000000013166</v>
          </cell>
        </row>
        <row r="575">
          <cell r="C575" t="str">
            <v>8FL281304 6110　L=1478</v>
          </cell>
          <cell r="J575">
            <v>0</v>
          </cell>
          <cell r="K575">
            <v>0</v>
          </cell>
          <cell r="L575" t="str">
            <v/>
          </cell>
          <cell r="P575">
            <v>0</v>
          </cell>
          <cell r="U575" t="str">
            <v>000000000013176</v>
          </cell>
        </row>
        <row r="576">
          <cell r="H576" t="str">
            <v/>
          </cell>
          <cell r="J576" t="str">
            <v/>
          </cell>
          <cell r="K576">
            <v>0</v>
          </cell>
          <cell r="L576" t="str">
            <v/>
          </cell>
          <cell r="P576">
            <v>0</v>
          </cell>
          <cell r="U576" t="str">
            <v>000000000013176</v>
          </cell>
        </row>
        <row r="577">
          <cell r="H577" t="str">
            <v/>
          </cell>
          <cell r="K577">
            <v>0</v>
          </cell>
          <cell r="L577" t="str">
            <v/>
          </cell>
          <cell r="P577">
            <v>0</v>
          </cell>
          <cell r="U577" t="str">
            <v>000000000013176</v>
          </cell>
        </row>
        <row r="578">
          <cell r="C578">
            <v>400</v>
          </cell>
          <cell r="H578" t="str">
            <v/>
          </cell>
          <cell r="K578">
            <v>0</v>
          </cell>
          <cell r="L578" t="str">
            <v/>
          </cell>
          <cell r="P578">
            <v>0</v>
          </cell>
          <cell r="U578" t="str">
            <v>000000000013176</v>
          </cell>
        </row>
        <row r="579">
          <cell r="C579">
            <v>1</v>
          </cell>
          <cell r="H579" t="str">
            <v/>
          </cell>
          <cell r="K579">
            <v>0</v>
          </cell>
          <cell r="L579" t="str">
            <v/>
          </cell>
          <cell r="P579">
            <v>0</v>
          </cell>
          <cell r="U579" t="str">
            <v>000000000013176</v>
          </cell>
        </row>
        <row r="580">
          <cell r="C580">
            <v>100</v>
          </cell>
          <cell r="H580" t="str">
            <v/>
          </cell>
          <cell r="K580">
            <v>0</v>
          </cell>
          <cell r="L580" t="str">
            <v/>
          </cell>
          <cell r="M580" t="str">
            <v>合計</v>
          </cell>
          <cell r="N580">
            <v>0</v>
          </cell>
          <cell r="P580">
            <v>0</v>
          </cell>
          <cell r="U580" t="str">
            <v>000000000013176</v>
          </cell>
        </row>
        <row r="581">
          <cell r="C581" t="str">
            <v>LED-A1478</v>
          </cell>
          <cell r="H581" t="str">
            <v/>
          </cell>
          <cell r="K581">
            <v>0</v>
          </cell>
          <cell r="L581" t="str">
            <v/>
          </cell>
          <cell r="M581" t="str">
            <v>入数</v>
          </cell>
          <cell r="N581">
            <v>0</v>
          </cell>
          <cell r="P581">
            <v>0</v>
          </cell>
          <cell r="U581" t="str">
            <v>000000000013176</v>
          </cell>
        </row>
        <row r="582">
          <cell r="H582" t="str">
            <v/>
          </cell>
          <cell r="K582">
            <v>0</v>
          </cell>
          <cell r="L582" t="str">
            <v/>
          </cell>
          <cell r="M582" t="str">
            <v>作業者</v>
          </cell>
          <cell r="U582" t="str">
            <v>000000000013176</v>
          </cell>
        </row>
        <row r="583">
          <cell r="C583">
            <v>0</v>
          </cell>
          <cell r="H583" t="str">
            <v/>
          </cell>
          <cell r="K583">
            <v>0</v>
          </cell>
          <cell r="L583" t="str">
            <v/>
          </cell>
          <cell r="U583" t="str">
            <v>000000000013176</v>
          </cell>
        </row>
        <row r="584">
          <cell r="K584">
            <v>0</v>
          </cell>
          <cell r="L584" t="str">
            <v/>
          </cell>
          <cell r="R584">
            <v>0</v>
          </cell>
          <cell r="U584" t="str">
            <v>000000000013176</v>
          </cell>
        </row>
        <row r="585">
          <cell r="D585" t="str">
            <v>不良補填</v>
          </cell>
          <cell r="F585">
            <v>0</v>
          </cell>
          <cell r="U585" t="str">
            <v>000000000013176</v>
          </cell>
        </row>
        <row r="586">
          <cell r="C586" t="str">
            <v>8FL281304 6110　L=1478</v>
          </cell>
          <cell r="J586">
            <v>0</v>
          </cell>
          <cell r="K586">
            <v>0</v>
          </cell>
          <cell r="L586" t="str">
            <v/>
          </cell>
          <cell r="P586">
            <v>0</v>
          </cell>
          <cell r="U586" t="str">
            <v>000000000013177</v>
          </cell>
        </row>
        <row r="587">
          <cell r="H587" t="str">
            <v/>
          </cell>
          <cell r="J587" t="str">
            <v/>
          </cell>
          <cell r="K587">
            <v>0</v>
          </cell>
          <cell r="L587" t="str">
            <v/>
          </cell>
          <cell r="P587">
            <v>0</v>
          </cell>
          <cell r="U587" t="str">
            <v>000000000013177</v>
          </cell>
        </row>
        <row r="588">
          <cell r="H588" t="str">
            <v/>
          </cell>
          <cell r="K588">
            <v>0</v>
          </cell>
          <cell r="L588" t="str">
            <v/>
          </cell>
          <cell r="P588">
            <v>0</v>
          </cell>
          <cell r="U588" t="str">
            <v>000000000013177</v>
          </cell>
        </row>
        <row r="589">
          <cell r="C589">
            <v>500</v>
          </cell>
          <cell r="H589" t="str">
            <v/>
          </cell>
          <cell r="K589">
            <v>0</v>
          </cell>
          <cell r="L589" t="str">
            <v/>
          </cell>
          <cell r="P589">
            <v>0</v>
          </cell>
          <cell r="U589" t="str">
            <v>000000000013177</v>
          </cell>
        </row>
        <row r="590">
          <cell r="C590">
            <v>1</v>
          </cell>
          <cell r="H590" t="str">
            <v/>
          </cell>
          <cell r="K590">
            <v>0</v>
          </cell>
          <cell r="L590" t="str">
            <v/>
          </cell>
          <cell r="P590">
            <v>0</v>
          </cell>
          <cell r="U590" t="str">
            <v>000000000013177</v>
          </cell>
        </row>
        <row r="591">
          <cell r="C591">
            <v>100</v>
          </cell>
          <cell r="H591" t="str">
            <v/>
          </cell>
          <cell r="K591">
            <v>0</v>
          </cell>
          <cell r="L591" t="str">
            <v/>
          </cell>
          <cell r="M591" t="str">
            <v>合計</v>
          </cell>
          <cell r="N591">
            <v>0</v>
          </cell>
          <cell r="P591">
            <v>0</v>
          </cell>
          <cell r="U591" t="str">
            <v>000000000013177</v>
          </cell>
        </row>
        <row r="592">
          <cell r="C592" t="str">
            <v>LED-A1478</v>
          </cell>
          <cell r="H592" t="str">
            <v/>
          </cell>
          <cell r="K592">
            <v>0</v>
          </cell>
          <cell r="L592" t="str">
            <v/>
          </cell>
          <cell r="M592" t="str">
            <v>入数</v>
          </cell>
          <cell r="N592">
            <v>0</v>
          </cell>
          <cell r="P592">
            <v>0</v>
          </cell>
          <cell r="U592" t="str">
            <v>000000000013177</v>
          </cell>
        </row>
        <row r="593">
          <cell r="H593" t="str">
            <v/>
          </cell>
          <cell r="K593">
            <v>0</v>
          </cell>
          <cell r="L593" t="str">
            <v/>
          </cell>
          <cell r="M593" t="str">
            <v>作業者</v>
          </cell>
          <cell r="U593" t="str">
            <v>000000000013177</v>
          </cell>
        </row>
        <row r="594">
          <cell r="C594">
            <v>0</v>
          </cell>
          <cell r="H594" t="str">
            <v/>
          </cell>
          <cell r="K594">
            <v>0</v>
          </cell>
          <cell r="L594" t="str">
            <v/>
          </cell>
          <cell r="U594" t="str">
            <v>000000000013177</v>
          </cell>
        </row>
        <row r="595">
          <cell r="K595">
            <v>0</v>
          </cell>
          <cell r="L595" t="str">
            <v/>
          </cell>
          <cell r="R595">
            <v>0</v>
          </cell>
          <cell r="U595" t="str">
            <v>000000000013177</v>
          </cell>
        </row>
        <row r="596">
          <cell r="D596" t="str">
            <v>不良補填</v>
          </cell>
          <cell r="F596">
            <v>0</v>
          </cell>
          <cell r="U596" t="str">
            <v>000000000013177</v>
          </cell>
        </row>
        <row r="597">
          <cell r="C597" t="str">
            <v>8FL281304 6110　L=1478</v>
          </cell>
          <cell r="J597">
            <v>0</v>
          </cell>
          <cell r="K597">
            <v>0</v>
          </cell>
          <cell r="L597" t="str">
            <v/>
          </cell>
          <cell r="P597">
            <v>0</v>
          </cell>
          <cell r="U597" t="str">
            <v>000000000013178</v>
          </cell>
        </row>
        <row r="598">
          <cell r="H598" t="str">
            <v/>
          </cell>
          <cell r="J598" t="str">
            <v/>
          </cell>
          <cell r="K598">
            <v>0</v>
          </cell>
          <cell r="L598" t="str">
            <v/>
          </cell>
          <cell r="P598">
            <v>0</v>
          </cell>
          <cell r="U598" t="str">
            <v>000000000013178</v>
          </cell>
        </row>
        <row r="599">
          <cell r="H599" t="str">
            <v/>
          </cell>
          <cell r="K599">
            <v>0</v>
          </cell>
          <cell r="L599" t="str">
            <v/>
          </cell>
          <cell r="P599">
            <v>0</v>
          </cell>
          <cell r="U599" t="str">
            <v>000000000013178</v>
          </cell>
        </row>
        <row r="600">
          <cell r="C600">
            <v>200</v>
          </cell>
          <cell r="H600" t="str">
            <v/>
          </cell>
          <cell r="K600">
            <v>0</v>
          </cell>
          <cell r="L600" t="str">
            <v/>
          </cell>
          <cell r="P600">
            <v>0</v>
          </cell>
          <cell r="U600" t="str">
            <v>000000000013178</v>
          </cell>
        </row>
        <row r="601">
          <cell r="C601">
            <v>1</v>
          </cell>
          <cell r="H601" t="str">
            <v/>
          </cell>
          <cell r="K601">
            <v>0</v>
          </cell>
          <cell r="L601" t="str">
            <v/>
          </cell>
          <cell r="P601">
            <v>0</v>
          </cell>
          <cell r="U601" t="str">
            <v>000000000013178</v>
          </cell>
        </row>
        <row r="602">
          <cell r="C602">
            <v>100</v>
          </cell>
          <cell r="H602" t="str">
            <v/>
          </cell>
          <cell r="K602">
            <v>0</v>
          </cell>
          <cell r="L602" t="str">
            <v/>
          </cell>
          <cell r="M602" t="str">
            <v>合計</v>
          </cell>
          <cell r="N602">
            <v>0</v>
          </cell>
          <cell r="P602">
            <v>0</v>
          </cell>
          <cell r="U602" t="str">
            <v>000000000013178</v>
          </cell>
        </row>
        <row r="603">
          <cell r="C603" t="str">
            <v>LED-A1478</v>
          </cell>
          <cell r="H603" t="str">
            <v/>
          </cell>
          <cell r="K603">
            <v>0</v>
          </cell>
          <cell r="L603" t="str">
            <v/>
          </cell>
          <cell r="M603" t="str">
            <v>入数</v>
          </cell>
          <cell r="N603">
            <v>0</v>
          </cell>
          <cell r="P603">
            <v>0</v>
          </cell>
          <cell r="U603" t="str">
            <v>000000000013178</v>
          </cell>
        </row>
        <row r="604">
          <cell r="H604" t="str">
            <v/>
          </cell>
          <cell r="K604">
            <v>0</v>
          </cell>
          <cell r="L604" t="str">
            <v/>
          </cell>
          <cell r="M604" t="str">
            <v>作業者</v>
          </cell>
          <cell r="U604" t="str">
            <v>000000000013178</v>
          </cell>
        </row>
        <row r="605">
          <cell r="C605">
            <v>0</v>
          </cell>
          <cell r="H605" t="str">
            <v/>
          </cell>
          <cell r="K605">
            <v>0</v>
          </cell>
          <cell r="L605" t="str">
            <v/>
          </cell>
          <cell r="U605" t="str">
            <v>000000000013178</v>
          </cell>
        </row>
        <row r="606">
          <cell r="K606">
            <v>0</v>
          </cell>
          <cell r="L606" t="str">
            <v/>
          </cell>
          <cell r="R606">
            <v>0</v>
          </cell>
          <cell r="U606" t="str">
            <v>000000000013178</v>
          </cell>
        </row>
        <row r="607">
          <cell r="D607" t="str">
            <v>不良補填</v>
          </cell>
          <cell r="F607">
            <v>0</v>
          </cell>
          <cell r="U607" t="str">
            <v>000000000013178</v>
          </cell>
        </row>
        <row r="608">
          <cell r="C608" t="str">
            <v>8FL281304 6110　L=1478</v>
          </cell>
          <cell r="J608">
            <v>0</v>
          </cell>
          <cell r="K608">
            <v>0</v>
          </cell>
          <cell r="L608" t="str">
            <v/>
          </cell>
          <cell r="P608">
            <v>0</v>
          </cell>
          <cell r="U608" t="str">
            <v>000000000013401</v>
          </cell>
        </row>
        <row r="609">
          <cell r="H609" t="str">
            <v/>
          </cell>
          <cell r="J609" t="str">
            <v/>
          </cell>
          <cell r="K609">
            <v>0</v>
          </cell>
          <cell r="L609" t="str">
            <v/>
          </cell>
          <cell r="P609">
            <v>0</v>
          </cell>
          <cell r="U609" t="str">
            <v>000000000013401</v>
          </cell>
        </row>
        <row r="610">
          <cell r="H610" t="str">
            <v/>
          </cell>
          <cell r="K610">
            <v>0</v>
          </cell>
          <cell r="L610" t="str">
            <v/>
          </cell>
          <cell r="P610">
            <v>0</v>
          </cell>
          <cell r="U610" t="str">
            <v>000000000013401</v>
          </cell>
        </row>
        <row r="611">
          <cell r="C611">
            <v>100</v>
          </cell>
          <cell r="H611" t="str">
            <v/>
          </cell>
          <cell r="K611">
            <v>0</v>
          </cell>
          <cell r="L611" t="str">
            <v/>
          </cell>
          <cell r="P611">
            <v>0</v>
          </cell>
          <cell r="U611" t="str">
            <v>000000000013401</v>
          </cell>
        </row>
        <row r="612">
          <cell r="C612">
            <v>1</v>
          </cell>
          <cell r="H612" t="str">
            <v/>
          </cell>
          <cell r="K612">
            <v>0</v>
          </cell>
          <cell r="L612" t="str">
            <v/>
          </cell>
          <cell r="P612">
            <v>0</v>
          </cell>
          <cell r="U612" t="str">
            <v>000000000013401</v>
          </cell>
        </row>
        <row r="613">
          <cell r="C613">
            <v>100</v>
          </cell>
          <cell r="H613" t="str">
            <v/>
          </cell>
          <cell r="K613">
            <v>0</v>
          </cell>
          <cell r="L613" t="str">
            <v/>
          </cell>
          <cell r="M613" t="str">
            <v>合計</v>
          </cell>
          <cell r="N613">
            <v>0</v>
          </cell>
          <cell r="P613">
            <v>0</v>
          </cell>
          <cell r="U613" t="str">
            <v>000000000013401</v>
          </cell>
        </row>
        <row r="614">
          <cell r="C614" t="str">
            <v>LED-A1478</v>
          </cell>
          <cell r="H614" t="str">
            <v/>
          </cell>
          <cell r="K614">
            <v>0</v>
          </cell>
          <cell r="L614" t="str">
            <v/>
          </cell>
          <cell r="M614" t="str">
            <v>入数</v>
          </cell>
          <cell r="N614">
            <v>0</v>
          </cell>
          <cell r="P614">
            <v>0</v>
          </cell>
          <cell r="U614" t="str">
            <v>000000000013401</v>
          </cell>
        </row>
        <row r="615">
          <cell r="H615" t="str">
            <v/>
          </cell>
          <cell r="K615">
            <v>0</v>
          </cell>
          <cell r="L615" t="str">
            <v/>
          </cell>
          <cell r="M615" t="str">
            <v>作業者</v>
          </cell>
          <cell r="U615" t="str">
            <v>000000000013401</v>
          </cell>
        </row>
        <row r="616">
          <cell r="C616">
            <v>0</v>
          </cell>
          <cell r="H616" t="str">
            <v/>
          </cell>
          <cell r="K616">
            <v>0</v>
          </cell>
          <cell r="L616" t="str">
            <v/>
          </cell>
          <cell r="U616" t="str">
            <v>000000000013401</v>
          </cell>
        </row>
        <row r="617">
          <cell r="K617">
            <v>0</v>
          </cell>
          <cell r="L617" t="str">
            <v/>
          </cell>
          <cell r="R617">
            <v>0</v>
          </cell>
          <cell r="U617" t="str">
            <v>000000000013401</v>
          </cell>
        </row>
        <row r="618">
          <cell r="D618" t="str">
            <v>不良補填</v>
          </cell>
          <cell r="F618">
            <v>0</v>
          </cell>
          <cell r="U618" t="str">
            <v>000000000013401</v>
          </cell>
        </row>
        <row r="619">
          <cell r="C619" t="str">
            <v>8FL281304 5010　L=888</v>
          </cell>
          <cell r="J619">
            <v>0</v>
          </cell>
          <cell r="K619">
            <v>0</v>
          </cell>
          <cell r="L619" t="str">
            <v/>
          </cell>
          <cell r="P619">
            <v>0</v>
          </cell>
          <cell r="U619" t="str">
            <v>000000000013167</v>
          </cell>
        </row>
        <row r="620">
          <cell r="H620" t="str">
            <v/>
          </cell>
          <cell r="J620" t="str">
            <v/>
          </cell>
          <cell r="K620">
            <v>0</v>
          </cell>
          <cell r="L620" t="str">
            <v/>
          </cell>
          <cell r="P620">
            <v>0</v>
          </cell>
          <cell r="U620" t="str">
            <v>000000000013167</v>
          </cell>
        </row>
        <row r="621">
          <cell r="H621" t="str">
            <v/>
          </cell>
          <cell r="K621">
            <v>0</v>
          </cell>
          <cell r="L621" t="str">
            <v/>
          </cell>
          <cell r="P621">
            <v>0</v>
          </cell>
          <cell r="U621" t="str">
            <v>000000000013167</v>
          </cell>
        </row>
        <row r="622">
          <cell r="C622">
            <v>400</v>
          </cell>
          <cell r="H622" t="str">
            <v/>
          </cell>
          <cell r="K622">
            <v>0</v>
          </cell>
          <cell r="L622" t="str">
            <v/>
          </cell>
          <cell r="P622">
            <v>0</v>
          </cell>
          <cell r="U622" t="str">
            <v>000000000013167</v>
          </cell>
        </row>
        <row r="623">
          <cell r="C623">
            <v>2</v>
          </cell>
          <cell r="H623" t="str">
            <v/>
          </cell>
          <cell r="K623">
            <v>0</v>
          </cell>
          <cell r="L623" t="str">
            <v/>
          </cell>
          <cell r="P623">
            <v>0</v>
          </cell>
          <cell r="U623" t="str">
            <v>000000000013167</v>
          </cell>
        </row>
        <row r="624">
          <cell r="C624">
            <v>100</v>
          </cell>
          <cell r="H624" t="str">
            <v/>
          </cell>
          <cell r="K624">
            <v>0</v>
          </cell>
          <cell r="L624" t="str">
            <v/>
          </cell>
          <cell r="M624" t="str">
            <v>合計</v>
          </cell>
          <cell r="N624">
            <v>0</v>
          </cell>
          <cell r="P624">
            <v>0</v>
          </cell>
          <cell r="U624" t="str">
            <v>000000000013167</v>
          </cell>
        </row>
        <row r="625">
          <cell r="C625" t="str">
            <v>LED-A888</v>
          </cell>
          <cell r="H625" t="str">
            <v/>
          </cell>
          <cell r="K625">
            <v>0</v>
          </cell>
          <cell r="L625" t="str">
            <v/>
          </cell>
          <cell r="M625" t="str">
            <v>入数</v>
          </cell>
          <cell r="N625">
            <v>0</v>
          </cell>
          <cell r="P625">
            <v>0</v>
          </cell>
          <cell r="U625" t="str">
            <v>000000000013167</v>
          </cell>
        </row>
        <row r="626">
          <cell r="H626" t="str">
            <v/>
          </cell>
          <cell r="K626">
            <v>0</v>
          </cell>
          <cell r="L626" t="str">
            <v/>
          </cell>
          <cell r="M626" t="str">
            <v>作業者</v>
          </cell>
          <cell r="U626" t="str">
            <v>000000000013167</v>
          </cell>
        </row>
        <row r="627">
          <cell r="C627">
            <v>0</v>
          </cell>
          <cell r="H627" t="str">
            <v/>
          </cell>
          <cell r="K627">
            <v>0</v>
          </cell>
          <cell r="L627" t="str">
            <v/>
          </cell>
          <cell r="U627" t="str">
            <v>000000000013167</v>
          </cell>
        </row>
        <row r="628">
          <cell r="K628">
            <v>0</v>
          </cell>
          <cell r="L628" t="str">
            <v/>
          </cell>
          <cell r="R628">
            <v>0</v>
          </cell>
          <cell r="U628" t="str">
            <v>000000000013167</v>
          </cell>
        </row>
        <row r="629">
          <cell r="D629" t="str">
            <v>不良補填</v>
          </cell>
          <cell r="F629">
            <v>0</v>
          </cell>
          <cell r="U629" t="str">
            <v>000000000013167</v>
          </cell>
        </row>
        <row r="630">
          <cell r="C630" t="str">
            <v>8FL281304 5010　L=888</v>
          </cell>
          <cell r="J630">
            <v>0</v>
          </cell>
          <cell r="K630">
            <v>0</v>
          </cell>
          <cell r="L630" t="str">
            <v/>
          </cell>
          <cell r="P630">
            <v>0</v>
          </cell>
          <cell r="U630" t="str">
            <v>000000000013171</v>
          </cell>
        </row>
        <row r="631">
          <cell r="H631" t="str">
            <v/>
          </cell>
          <cell r="J631" t="str">
            <v/>
          </cell>
          <cell r="K631">
            <v>0</v>
          </cell>
          <cell r="L631" t="str">
            <v/>
          </cell>
          <cell r="P631">
            <v>0</v>
          </cell>
          <cell r="U631" t="str">
            <v>000000000013171</v>
          </cell>
        </row>
        <row r="632">
          <cell r="H632" t="str">
            <v/>
          </cell>
          <cell r="K632">
            <v>0</v>
          </cell>
          <cell r="L632" t="str">
            <v/>
          </cell>
          <cell r="P632">
            <v>0</v>
          </cell>
          <cell r="U632" t="str">
            <v>000000000013171</v>
          </cell>
        </row>
        <row r="633">
          <cell r="C633">
            <v>400</v>
          </cell>
          <cell r="H633" t="str">
            <v/>
          </cell>
          <cell r="K633">
            <v>0</v>
          </cell>
          <cell r="L633" t="str">
            <v/>
          </cell>
          <cell r="P633">
            <v>0</v>
          </cell>
          <cell r="U633" t="str">
            <v>000000000013171</v>
          </cell>
        </row>
        <row r="634">
          <cell r="C634">
            <v>2</v>
          </cell>
          <cell r="H634" t="str">
            <v/>
          </cell>
          <cell r="K634">
            <v>0</v>
          </cell>
          <cell r="L634" t="str">
            <v/>
          </cell>
          <cell r="P634">
            <v>0</v>
          </cell>
          <cell r="U634" t="str">
            <v>000000000013171</v>
          </cell>
        </row>
        <row r="635">
          <cell r="C635">
            <v>100</v>
          </cell>
          <cell r="H635" t="str">
            <v/>
          </cell>
          <cell r="K635">
            <v>0</v>
          </cell>
          <cell r="L635" t="str">
            <v/>
          </cell>
          <cell r="M635" t="str">
            <v>合計</v>
          </cell>
          <cell r="N635">
            <v>0</v>
          </cell>
          <cell r="P635">
            <v>0</v>
          </cell>
          <cell r="U635" t="str">
            <v>000000000013171</v>
          </cell>
        </row>
        <row r="636">
          <cell r="C636" t="str">
            <v>LED-A888</v>
          </cell>
          <cell r="H636" t="str">
            <v/>
          </cell>
          <cell r="K636">
            <v>0</v>
          </cell>
          <cell r="L636" t="str">
            <v/>
          </cell>
          <cell r="M636" t="str">
            <v>入数</v>
          </cell>
          <cell r="N636">
            <v>0</v>
          </cell>
          <cell r="P636">
            <v>0</v>
          </cell>
          <cell r="U636" t="str">
            <v>000000000013171</v>
          </cell>
        </row>
        <row r="637">
          <cell r="H637" t="str">
            <v/>
          </cell>
          <cell r="K637">
            <v>0</v>
          </cell>
          <cell r="L637" t="str">
            <v/>
          </cell>
          <cell r="M637" t="str">
            <v>作業者</v>
          </cell>
          <cell r="U637" t="str">
            <v>000000000013171</v>
          </cell>
        </row>
        <row r="638">
          <cell r="C638">
            <v>0</v>
          </cell>
          <cell r="H638" t="str">
            <v/>
          </cell>
          <cell r="K638">
            <v>0</v>
          </cell>
          <cell r="L638" t="str">
            <v/>
          </cell>
          <cell r="U638" t="str">
            <v>000000000013171</v>
          </cell>
        </row>
        <row r="639">
          <cell r="K639">
            <v>0</v>
          </cell>
          <cell r="L639" t="str">
            <v/>
          </cell>
          <cell r="R639">
            <v>0</v>
          </cell>
          <cell r="U639" t="str">
            <v>000000000013171</v>
          </cell>
        </row>
        <row r="640">
          <cell r="D640" t="str">
            <v>不良補填</v>
          </cell>
          <cell r="F640">
            <v>0</v>
          </cell>
          <cell r="U640" t="str">
            <v>000000000013171</v>
          </cell>
        </row>
        <row r="641">
          <cell r="C641" t="str">
            <v>8FL281304 5010　L=888</v>
          </cell>
          <cell r="J641">
            <v>0</v>
          </cell>
          <cell r="K641">
            <v>0</v>
          </cell>
          <cell r="L641" t="str">
            <v/>
          </cell>
          <cell r="P641">
            <v>0</v>
          </cell>
          <cell r="U641" t="str">
            <v>000000000013169</v>
          </cell>
        </row>
        <row r="642">
          <cell r="H642" t="str">
            <v/>
          </cell>
          <cell r="J642" t="str">
            <v/>
          </cell>
          <cell r="K642">
            <v>0</v>
          </cell>
          <cell r="L642" t="str">
            <v/>
          </cell>
          <cell r="P642">
            <v>0</v>
          </cell>
          <cell r="U642" t="str">
            <v>000000000013169</v>
          </cell>
        </row>
        <row r="643">
          <cell r="H643" t="str">
            <v/>
          </cell>
          <cell r="K643">
            <v>0</v>
          </cell>
          <cell r="L643" t="str">
            <v/>
          </cell>
          <cell r="P643">
            <v>0</v>
          </cell>
          <cell r="U643" t="str">
            <v>000000000013169</v>
          </cell>
        </row>
        <row r="644">
          <cell r="C644">
            <v>200</v>
          </cell>
          <cell r="H644" t="str">
            <v/>
          </cell>
          <cell r="K644">
            <v>0</v>
          </cell>
          <cell r="L644" t="str">
            <v/>
          </cell>
          <cell r="P644">
            <v>0</v>
          </cell>
          <cell r="U644" t="str">
            <v>000000000013169</v>
          </cell>
        </row>
        <row r="645">
          <cell r="C645">
            <v>2</v>
          </cell>
          <cell r="H645" t="str">
            <v/>
          </cell>
          <cell r="K645">
            <v>0</v>
          </cell>
          <cell r="L645" t="str">
            <v/>
          </cell>
          <cell r="P645">
            <v>0</v>
          </cell>
          <cell r="U645" t="str">
            <v>000000000013169</v>
          </cell>
        </row>
        <row r="646">
          <cell r="C646">
            <v>100</v>
          </cell>
          <cell r="H646" t="str">
            <v/>
          </cell>
          <cell r="K646">
            <v>0</v>
          </cell>
          <cell r="L646" t="str">
            <v/>
          </cell>
          <cell r="M646" t="str">
            <v>合計</v>
          </cell>
          <cell r="N646">
            <v>0</v>
          </cell>
          <cell r="P646">
            <v>0</v>
          </cell>
          <cell r="U646" t="str">
            <v>000000000013169</v>
          </cell>
        </row>
        <row r="647">
          <cell r="C647" t="str">
            <v>LED-A888</v>
          </cell>
          <cell r="H647" t="str">
            <v/>
          </cell>
          <cell r="K647">
            <v>0</v>
          </cell>
          <cell r="L647" t="str">
            <v/>
          </cell>
          <cell r="M647" t="str">
            <v>入数</v>
          </cell>
          <cell r="N647">
            <v>0</v>
          </cell>
          <cell r="P647">
            <v>0</v>
          </cell>
          <cell r="U647" t="str">
            <v>000000000013169</v>
          </cell>
        </row>
        <row r="648">
          <cell r="H648" t="str">
            <v/>
          </cell>
          <cell r="K648">
            <v>0</v>
          </cell>
          <cell r="L648" t="str">
            <v/>
          </cell>
          <cell r="M648" t="str">
            <v>作業者</v>
          </cell>
          <cell r="U648" t="str">
            <v>000000000013169</v>
          </cell>
        </row>
        <row r="649">
          <cell r="C649">
            <v>0</v>
          </cell>
          <cell r="H649" t="str">
            <v/>
          </cell>
          <cell r="K649">
            <v>0</v>
          </cell>
          <cell r="L649" t="str">
            <v/>
          </cell>
          <cell r="U649" t="str">
            <v>000000000013169</v>
          </cell>
        </row>
        <row r="650">
          <cell r="K650">
            <v>0</v>
          </cell>
          <cell r="L650" t="str">
            <v/>
          </cell>
          <cell r="R650">
            <v>0</v>
          </cell>
          <cell r="U650" t="str">
            <v>000000000013169</v>
          </cell>
        </row>
        <row r="651">
          <cell r="D651" t="str">
            <v>不良補填</v>
          </cell>
          <cell r="F651">
            <v>0</v>
          </cell>
          <cell r="U651" t="str">
            <v>000000000013169</v>
          </cell>
        </row>
        <row r="652">
          <cell r="C652" t="str">
            <v>8FL281304 5010　L=888</v>
          </cell>
          <cell r="J652">
            <v>0</v>
          </cell>
          <cell r="K652">
            <v>0</v>
          </cell>
          <cell r="L652" t="str">
            <v/>
          </cell>
          <cell r="P652">
            <v>0</v>
          </cell>
          <cell r="U652" t="str">
            <v>000000000013172</v>
          </cell>
        </row>
        <row r="653">
          <cell r="H653" t="str">
            <v/>
          </cell>
          <cell r="J653" t="str">
            <v/>
          </cell>
          <cell r="K653">
            <v>0</v>
          </cell>
          <cell r="L653" t="str">
            <v/>
          </cell>
          <cell r="P653">
            <v>0</v>
          </cell>
          <cell r="U653" t="str">
            <v>000000000013172</v>
          </cell>
        </row>
        <row r="654">
          <cell r="H654" t="str">
            <v/>
          </cell>
          <cell r="K654">
            <v>0</v>
          </cell>
          <cell r="L654" t="str">
            <v/>
          </cell>
          <cell r="P654">
            <v>0</v>
          </cell>
          <cell r="U654" t="str">
            <v>000000000013172</v>
          </cell>
        </row>
        <row r="655">
          <cell r="C655">
            <v>1000</v>
          </cell>
          <cell r="H655" t="str">
            <v/>
          </cell>
          <cell r="K655">
            <v>0</v>
          </cell>
          <cell r="L655" t="str">
            <v/>
          </cell>
          <cell r="P655">
            <v>0</v>
          </cell>
          <cell r="U655" t="str">
            <v>000000000013172</v>
          </cell>
        </row>
        <row r="656">
          <cell r="C656">
            <v>2</v>
          </cell>
          <cell r="H656" t="str">
            <v/>
          </cell>
          <cell r="K656">
            <v>0</v>
          </cell>
          <cell r="L656" t="str">
            <v/>
          </cell>
          <cell r="P656">
            <v>0</v>
          </cell>
          <cell r="U656" t="str">
            <v>000000000013172</v>
          </cell>
        </row>
        <row r="657">
          <cell r="C657">
            <v>100</v>
          </cell>
          <cell r="H657" t="str">
            <v/>
          </cell>
          <cell r="K657">
            <v>0</v>
          </cell>
          <cell r="L657" t="str">
            <v/>
          </cell>
          <cell r="M657" t="str">
            <v>合計</v>
          </cell>
          <cell r="N657">
            <v>0</v>
          </cell>
          <cell r="P657">
            <v>0</v>
          </cell>
          <cell r="U657" t="str">
            <v>000000000013172</v>
          </cell>
        </row>
        <row r="658">
          <cell r="C658" t="str">
            <v>LED-A888</v>
          </cell>
          <cell r="H658" t="str">
            <v/>
          </cell>
          <cell r="K658">
            <v>0</v>
          </cell>
          <cell r="L658" t="str">
            <v/>
          </cell>
          <cell r="M658" t="str">
            <v>入数</v>
          </cell>
          <cell r="N658">
            <v>0</v>
          </cell>
          <cell r="P658">
            <v>0</v>
          </cell>
          <cell r="U658" t="str">
            <v>000000000013172</v>
          </cell>
        </row>
        <row r="659">
          <cell r="H659" t="str">
            <v/>
          </cell>
          <cell r="K659">
            <v>0</v>
          </cell>
          <cell r="L659" t="str">
            <v/>
          </cell>
          <cell r="M659" t="str">
            <v>作業者</v>
          </cell>
          <cell r="U659" t="str">
            <v>000000000013172</v>
          </cell>
        </row>
        <row r="660">
          <cell r="C660">
            <v>0</v>
          </cell>
          <cell r="H660" t="str">
            <v/>
          </cell>
          <cell r="K660">
            <v>0</v>
          </cell>
          <cell r="L660" t="str">
            <v/>
          </cell>
          <cell r="U660" t="str">
            <v>000000000013172</v>
          </cell>
        </row>
        <row r="661">
          <cell r="K661">
            <v>0</v>
          </cell>
          <cell r="L661" t="str">
            <v/>
          </cell>
          <cell r="R661">
            <v>0</v>
          </cell>
          <cell r="U661" t="str">
            <v>000000000013172</v>
          </cell>
        </row>
        <row r="662">
          <cell r="D662" t="str">
            <v>不良補填</v>
          </cell>
          <cell r="F662">
            <v>0</v>
          </cell>
          <cell r="U662" t="str">
            <v>000000000013172</v>
          </cell>
        </row>
        <row r="663">
          <cell r="C663" t="str">
            <v>8FL281304 5010　L=888</v>
          </cell>
          <cell r="J663">
            <v>0</v>
          </cell>
          <cell r="K663">
            <v>0</v>
          </cell>
          <cell r="L663" t="str">
            <v/>
          </cell>
          <cell r="P663">
            <v>0</v>
          </cell>
          <cell r="U663" t="str">
            <v>000000000013170</v>
          </cell>
        </row>
        <row r="664">
          <cell r="H664" t="str">
            <v/>
          </cell>
          <cell r="J664" t="str">
            <v/>
          </cell>
          <cell r="K664">
            <v>0</v>
          </cell>
          <cell r="L664" t="str">
            <v/>
          </cell>
          <cell r="P664">
            <v>0</v>
          </cell>
          <cell r="U664" t="str">
            <v>000000000013170</v>
          </cell>
        </row>
        <row r="665">
          <cell r="H665" t="str">
            <v/>
          </cell>
          <cell r="K665">
            <v>0</v>
          </cell>
          <cell r="L665" t="str">
            <v/>
          </cell>
          <cell r="P665">
            <v>0</v>
          </cell>
          <cell r="U665" t="str">
            <v>000000000013170</v>
          </cell>
        </row>
        <row r="666">
          <cell r="C666">
            <v>200</v>
          </cell>
          <cell r="H666" t="str">
            <v/>
          </cell>
          <cell r="K666">
            <v>0</v>
          </cell>
          <cell r="L666" t="str">
            <v/>
          </cell>
          <cell r="P666">
            <v>0</v>
          </cell>
          <cell r="U666" t="str">
            <v>000000000013170</v>
          </cell>
        </row>
        <row r="667">
          <cell r="C667">
            <v>2</v>
          </cell>
          <cell r="H667" t="str">
            <v/>
          </cell>
          <cell r="K667">
            <v>0</v>
          </cell>
          <cell r="L667" t="str">
            <v/>
          </cell>
          <cell r="P667">
            <v>0</v>
          </cell>
          <cell r="U667" t="str">
            <v>000000000013170</v>
          </cell>
        </row>
        <row r="668">
          <cell r="C668">
            <v>100</v>
          </cell>
          <cell r="H668" t="str">
            <v/>
          </cell>
          <cell r="K668">
            <v>0</v>
          </cell>
          <cell r="L668" t="str">
            <v/>
          </cell>
          <cell r="M668" t="str">
            <v>合計</v>
          </cell>
          <cell r="N668">
            <v>0</v>
          </cell>
          <cell r="P668">
            <v>0</v>
          </cell>
          <cell r="U668" t="str">
            <v>000000000013170</v>
          </cell>
        </row>
        <row r="669">
          <cell r="C669" t="str">
            <v>LED-A888</v>
          </cell>
          <cell r="H669" t="str">
            <v/>
          </cell>
          <cell r="K669">
            <v>0</v>
          </cell>
          <cell r="L669" t="str">
            <v/>
          </cell>
          <cell r="M669" t="str">
            <v>入数</v>
          </cell>
          <cell r="N669">
            <v>0</v>
          </cell>
          <cell r="P669">
            <v>0</v>
          </cell>
          <cell r="U669" t="str">
            <v>000000000013170</v>
          </cell>
        </row>
        <row r="670">
          <cell r="H670" t="str">
            <v/>
          </cell>
          <cell r="K670">
            <v>0</v>
          </cell>
          <cell r="L670" t="str">
            <v/>
          </cell>
          <cell r="M670" t="str">
            <v>作業者</v>
          </cell>
          <cell r="U670" t="str">
            <v>000000000013170</v>
          </cell>
        </row>
        <row r="671">
          <cell r="C671">
            <v>0</v>
          </cell>
          <cell r="H671" t="str">
            <v/>
          </cell>
          <cell r="K671">
            <v>0</v>
          </cell>
          <cell r="L671" t="str">
            <v/>
          </cell>
          <cell r="U671" t="str">
            <v>000000000013170</v>
          </cell>
        </row>
        <row r="672">
          <cell r="K672">
            <v>0</v>
          </cell>
          <cell r="L672" t="str">
            <v/>
          </cell>
          <cell r="R672">
            <v>0</v>
          </cell>
          <cell r="U672" t="str">
            <v>000000000013170</v>
          </cell>
        </row>
        <row r="673">
          <cell r="D673" t="str">
            <v>不良補填</v>
          </cell>
          <cell r="F673">
            <v>0</v>
          </cell>
          <cell r="U673" t="str">
            <v>000000000013170</v>
          </cell>
        </row>
        <row r="674">
          <cell r="C674" t="str">
            <v>8FL281304 5010　L=888</v>
          </cell>
          <cell r="J674">
            <v>0</v>
          </cell>
          <cell r="K674">
            <v>0</v>
          </cell>
          <cell r="L674" t="str">
            <v/>
          </cell>
          <cell r="P674">
            <v>0</v>
          </cell>
          <cell r="U674" t="str">
            <v>000000000013400</v>
          </cell>
        </row>
        <row r="675">
          <cell r="H675" t="str">
            <v/>
          </cell>
          <cell r="J675" t="str">
            <v/>
          </cell>
          <cell r="K675">
            <v>0</v>
          </cell>
          <cell r="L675" t="str">
            <v/>
          </cell>
          <cell r="P675">
            <v>0</v>
          </cell>
          <cell r="U675" t="str">
            <v>000000000013400</v>
          </cell>
        </row>
        <row r="676">
          <cell r="H676" t="str">
            <v/>
          </cell>
          <cell r="K676">
            <v>0</v>
          </cell>
          <cell r="L676" t="str">
            <v/>
          </cell>
          <cell r="P676">
            <v>0</v>
          </cell>
          <cell r="U676" t="str">
            <v>000000000013400</v>
          </cell>
        </row>
        <row r="677">
          <cell r="C677">
            <v>100</v>
          </cell>
          <cell r="H677" t="str">
            <v/>
          </cell>
          <cell r="K677">
            <v>0</v>
          </cell>
          <cell r="L677" t="str">
            <v/>
          </cell>
          <cell r="P677">
            <v>0</v>
          </cell>
          <cell r="U677" t="str">
            <v>000000000013400</v>
          </cell>
        </row>
        <row r="678">
          <cell r="C678">
            <v>2</v>
          </cell>
          <cell r="H678" t="str">
            <v/>
          </cell>
          <cell r="K678">
            <v>0</v>
          </cell>
          <cell r="L678" t="str">
            <v/>
          </cell>
          <cell r="P678">
            <v>0</v>
          </cell>
          <cell r="U678" t="str">
            <v>000000000013400</v>
          </cell>
        </row>
        <row r="679">
          <cell r="C679">
            <v>100</v>
          </cell>
          <cell r="H679" t="str">
            <v/>
          </cell>
          <cell r="K679">
            <v>0</v>
          </cell>
          <cell r="L679" t="str">
            <v/>
          </cell>
          <cell r="M679" t="str">
            <v>合計</v>
          </cell>
          <cell r="N679">
            <v>0</v>
          </cell>
          <cell r="P679">
            <v>0</v>
          </cell>
          <cell r="U679" t="str">
            <v>000000000013400</v>
          </cell>
        </row>
        <row r="680">
          <cell r="C680" t="str">
            <v>LED-A888</v>
          </cell>
          <cell r="H680" t="str">
            <v/>
          </cell>
          <cell r="K680">
            <v>0</v>
          </cell>
          <cell r="L680" t="str">
            <v/>
          </cell>
          <cell r="M680" t="str">
            <v>入数</v>
          </cell>
          <cell r="N680">
            <v>0</v>
          </cell>
          <cell r="P680">
            <v>0</v>
          </cell>
          <cell r="U680" t="str">
            <v>000000000013400</v>
          </cell>
        </row>
        <row r="681">
          <cell r="H681" t="str">
            <v/>
          </cell>
          <cell r="K681">
            <v>0</v>
          </cell>
          <cell r="L681" t="str">
            <v/>
          </cell>
          <cell r="M681" t="str">
            <v>作業者</v>
          </cell>
          <cell r="U681" t="str">
            <v>000000000013400</v>
          </cell>
        </row>
        <row r="682">
          <cell r="C682">
            <v>0</v>
          </cell>
          <cell r="H682" t="str">
            <v/>
          </cell>
          <cell r="K682">
            <v>0</v>
          </cell>
          <cell r="L682" t="str">
            <v/>
          </cell>
          <cell r="U682" t="str">
            <v>000000000013400</v>
          </cell>
        </row>
        <row r="683">
          <cell r="K683">
            <v>0</v>
          </cell>
          <cell r="L683" t="str">
            <v/>
          </cell>
          <cell r="R683">
            <v>0</v>
          </cell>
          <cell r="U683" t="str">
            <v>000000000013400</v>
          </cell>
        </row>
        <row r="684">
          <cell r="D684" t="str">
            <v>不良補填</v>
          </cell>
          <cell r="F684">
            <v>0</v>
          </cell>
          <cell r="U684" t="str">
            <v>000000000013400</v>
          </cell>
        </row>
        <row r="685">
          <cell r="C685" t="str">
            <v>8FL281304 8310　L=748</v>
          </cell>
          <cell r="J685">
            <v>0</v>
          </cell>
          <cell r="K685">
            <v>0</v>
          </cell>
          <cell r="L685" t="str">
            <v/>
          </cell>
          <cell r="P685">
            <v>0</v>
          </cell>
          <cell r="U685" t="str">
            <v>000000000013163</v>
          </cell>
        </row>
        <row r="686">
          <cell r="H686" t="str">
            <v/>
          </cell>
          <cell r="J686" t="str">
            <v/>
          </cell>
          <cell r="K686">
            <v>0</v>
          </cell>
          <cell r="L686" t="str">
            <v/>
          </cell>
          <cell r="P686">
            <v>0</v>
          </cell>
          <cell r="U686" t="str">
            <v>000000000013163</v>
          </cell>
        </row>
        <row r="687">
          <cell r="H687" t="str">
            <v/>
          </cell>
          <cell r="K687">
            <v>0</v>
          </cell>
          <cell r="L687" t="str">
            <v/>
          </cell>
          <cell r="P687">
            <v>0</v>
          </cell>
          <cell r="U687" t="str">
            <v>000000000013163</v>
          </cell>
        </row>
        <row r="688">
          <cell r="C688">
            <v>400</v>
          </cell>
          <cell r="H688" t="str">
            <v/>
          </cell>
          <cell r="K688">
            <v>0</v>
          </cell>
          <cell r="L688" t="str">
            <v/>
          </cell>
          <cell r="P688">
            <v>0</v>
          </cell>
          <cell r="U688" t="str">
            <v>000000000013163</v>
          </cell>
        </row>
        <row r="689">
          <cell r="C689">
            <v>2</v>
          </cell>
          <cell r="H689" t="str">
            <v/>
          </cell>
          <cell r="K689">
            <v>0</v>
          </cell>
          <cell r="L689" t="str">
            <v/>
          </cell>
          <cell r="P689">
            <v>0</v>
          </cell>
          <cell r="U689" t="str">
            <v>000000000013163</v>
          </cell>
        </row>
        <row r="690">
          <cell r="C690">
            <v>100</v>
          </cell>
          <cell r="H690" t="str">
            <v/>
          </cell>
          <cell r="K690">
            <v>0</v>
          </cell>
          <cell r="L690" t="str">
            <v/>
          </cell>
          <cell r="M690" t="str">
            <v>合計</v>
          </cell>
          <cell r="N690">
            <v>0</v>
          </cell>
          <cell r="P690">
            <v>0</v>
          </cell>
          <cell r="U690" t="str">
            <v>000000000013163</v>
          </cell>
        </row>
        <row r="691">
          <cell r="C691" t="str">
            <v>LED-A888</v>
          </cell>
          <cell r="H691" t="str">
            <v/>
          </cell>
          <cell r="K691">
            <v>0</v>
          </cell>
          <cell r="L691" t="str">
            <v/>
          </cell>
          <cell r="M691" t="str">
            <v>入数</v>
          </cell>
          <cell r="N691">
            <v>0</v>
          </cell>
          <cell r="P691">
            <v>0</v>
          </cell>
          <cell r="U691" t="str">
            <v>000000000013163</v>
          </cell>
        </row>
        <row r="692">
          <cell r="H692" t="str">
            <v/>
          </cell>
          <cell r="K692">
            <v>0</v>
          </cell>
          <cell r="L692" t="str">
            <v/>
          </cell>
          <cell r="M692" t="str">
            <v>作業者</v>
          </cell>
          <cell r="U692" t="str">
            <v>000000000013163</v>
          </cell>
        </row>
        <row r="693">
          <cell r="C693">
            <v>0</v>
          </cell>
          <cell r="H693" t="str">
            <v/>
          </cell>
          <cell r="K693">
            <v>0</v>
          </cell>
          <cell r="L693" t="str">
            <v/>
          </cell>
          <cell r="U693" t="str">
            <v>000000000013163</v>
          </cell>
        </row>
        <row r="694">
          <cell r="K694">
            <v>0</v>
          </cell>
          <cell r="L694" t="str">
            <v/>
          </cell>
          <cell r="R694">
            <v>0</v>
          </cell>
          <cell r="U694" t="str">
            <v>000000000013163</v>
          </cell>
        </row>
        <row r="695">
          <cell r="D695" t="str">
            <v>不良補填</v>
          </cell>
          <cell r="F695">
            <v>0</v>
          </cell>
          <cell r="U695" t="str">
            <v>000000000013163</v>
          </cell>
        </row>
        <row r="696">
          <cell r="C696" t="str">
            <v>灯具カバーPC IN 2110　L=1815</v>
          </cell>
          <cell r="J696">
            <v>0</v>
          </cell>
          <cell r="K696">
            <v>0</v>
          </cell>
          <cell r="L696" t="str">
            <v/>
          </cell>
          <cell r="P696">
            <v>0</v>
          </cell>
          <cell r="U696" t="str">
            <v>000000000013398</v>
          </cell>
        </row>
        <row r="697">
          <cell r="H697" t="str">
            <v/>
          </cell>
          <cell r="J697" t="str">
            <v/>
          </cell>
          <cell r="K697">
            <v>0</v>
          </cell>
          <cell r="L697" t="str">
            <v/>
          </cell>
          <cell r="P697">
            <v>0</v>
          </cell>
          <cell r="U697" t="str">
            <v>000000000013398</v>
          </cell>
        </row>
        <row r="698">
          <cell r="H698" t="str">
            <v/>
          </cell>
          <cell r="K698">
            <v>0</v>
          </cell>
          <cell r="L698" t="str">
            <v/>
          </cell>
          <cell r="P698">
            <v>0</v>
          </cell>
          <cell r="U698" t="str">
            <v>000000000013398</v>
          </cell>
        </row>
        <row r="699">
          <cell r="C699">
            <v>192</v>
          </cell>
          <cell r="H699" t="str">
            <v/>
          </cell>
          <cell r="K699">
            <v>0</v>
          </cell>
          <cell r="L699" t="str">
            <v/>
          </cell>
          <cell r="P699">
            <v>0</v>
          </cell>
          <cell r="U699" t="str">
            <v>000000000013398</v>
          </cell>
        </row>
        <row r="700">
          <cell r="C700">
            <v>1</v>
          </cell>
          <cell r="H700" t="str">
            <v/>
          </cell>
          <cell r="K700">
            <v>0</v>
          </cell>
          <cell r="L700" t="str">
            <v/>
          </cell>
          <cell r="P700">
            <v>0</v>
          </cell>
          <cell r="U700" t="str">
            <v>000000000013398</v>
          </cell>
        </row>
        <row r="701">
          <cell r="C701">
            <v>16</v>
          </cell>
          <cell r="H701" t="str">
            <v/>
          </cell>
          <cell r="K701">
            <v>0</v>
          </cell>
          <cell r="L701" t="str">
            <v/>
          </cell>
          <cell r="M701" t="str">
            <v>合計</v>
          </cell>
          <cell r="N701">
            <v>0</v>
          </cell>
          <cell r="P701">
            <v>0</v>
          </cell>
          <cell r="U701" t="str">
            <v>000000000013398</v>
          </cell>
        </row>
        <row r="702">
          <cell r="C702" t="str">
            <v>灯具-2　L＝1996</v>
          </cell>
          <cell r="H702" t="str">
            <v/>
          </cell>
          <cell r="K702">
            <v>0</v>
          </cell>
          <cell r="L702" t="str">
            <v/>
          </cell>
          <cell r="M702" t="str">
            <v>入数</v>
          </cell>
          <cell r="N702">
            <v>0</v>
          </cell>
          <cell r="P702">
            <v>0</v>
          </cell>
          <cell r="U702" t="str">
            <v>000000000013398</v>
          </cell>
        </row>
        <row r="703">
          <cell r="H703" t="str">
            <v/>
          </cell>
          <cell r="K703">
            <v>0</v>
          </cell>
          <cell r="L703" t="str">
            <v/>
          </cell>
          <cell r="M703" t="str">
            <v>作業者</v>
          </cell>
          <cell r="U703" t="str">
            <v>000000000013398</v>
          </cell>
        </row>
        <row r="704">
          <cell r="C704">
            <v>0</v>
          </cell>
          <cell r="H704" t="str">
            <v/>
          </cell>
          <cell r="K704">
            <v>0</v>
          </cell>
          <cell r="L704" t="str">
            <v/>
          </cell>
          <cell r="U704" t="str">
            <v>000000000013398</v>
          </cell>
        </row>
        <row r="705">
          <cell r="K705">
            <v>0</v>
          </cell>
          <cell r="L705" t="str">
            <v/>
          </cell>
          <cell r="R705">
            <v>0</v>
          </cell>
          <cell r="U705" t="str">
            <v>000000000013398</v>
          </cell>
        </row>
        <row r="706">
          <cell r="D706" t="str">
            <v>不良補填</v>
          </cell>
          <cell r="F706" t="str">
            <v/>
          </cell>
          <cell r="U706" t="str">
            <v>000000000013398</v>
          </cell>
        </row>
        <row r="707">
          <cell r="C707" t="str">
            <v>灯具カバーPC IN 2070　L=1966</v>
          </cell>
          <cell r="J707">
            <v>0</v>
          </cell>
          <cell r="K707">
            <v>0</v>
          </cell>
          <cell r="L707" t="str">
            <v/>
          </cell>
          <cell r="P707">
            <v>0</v>
          </cell>
          <cell r="U707" t="str">
            <v>000000000012952</v>
          </cell>
        </row>
        <row r="708">
          <cell r="H708" t="str">
            <v/>
          </cell>
          <cell r="J708" t="str">
            <v/>
          </cell>
          <cell r="K708">
            <v>0</v>
          </cell>
          <cell r="L708" t="str">
            <v/>
          </cell>
          <cell r="P708">
            <v>0</v>
          </cell>
          <cell r="U708" t="str">
            <v>000000000012952</v>
          </cell>
        </row>
        <row r="709">
          <cell r="H709" t="str">
            <v/>
          </cell>
          <cell r="K709">
            <v>0</v>
          </cell>
          <cell r="L709" t="str">
            <v/>
          </cell>
          <cell r="P709">
            <v>0</v>
          </cell>
          <cell r="U709" t="str">
            <v>000000000012952</v>
          </cell>
        </row>
        <row r="710">
          <cell r="C710">
            <v>192</v>
          </cell>
          <cell r="H710" t="str">
            <v/>
          </cell>
          <cell r="K710">
            <v>0</v>
          </cell>
          <cell r="L710" t="str">
            <v/>
          </cell>
          <cell r="P710">
            <v>0</v>
          </cell>
          <cell r="U710" t="str">
            <v>000000000012952</v>
          </cell>
        </row>
        <row r="711">
          <cell r="C711">
            <v>1</v>
          </cell>
          <cell r="H711" t="str">
            <v/>
          </cell>
          <cell r="K711">
            <v>0</v>
          </cell>
          <cell r="L711" t="str">
            <v/>
          </cell>
          <cell r="P711">
            <v>0</v>
          </cell>
          <cell r="U711" t="str">
            <v>000000000012952</v>
          </cell>
        </row>
        <row r="712">
          <cell r="C712">
            <v>16</v>
          </cell>
          <cell r="H712" t="str">
            <v/>
          </cell>
          <cell r="K712">
            <v>0</v>
          </cell>
          <cell r="L712" t="str">
            <v/>
          </cell>
          <cell r="M712" t="str">
            <v>合計</v>
          </cell>
          <cell r="N712">
            <v>0</v>
          </cell>
          <cell r="P712">
            <v>0</v>
          </cell>
          <cell r="U712" t="str">
            <v>000000000012952</v>
          </cell>
        </row>
        <row r="713">
          <cell r="C713" t="str">
            <v>灯具-2　L＝1996</v>
          </cell>
          <cell r="H713" t="str">
            <v/>
          </cell>
          <cell r="K713">
            <v>0</v>
          </cell>
          <cell r="L713" t="str">
            <v/>
          </cell>
          <cell r="M713" t="str">
            <v>入数</v>
          </cell>
          <cell r="N713">
            <v>0</v>
          </cell>
          <cell r="P713">
            <v>0</v>
          </cell>
          <cell r="U713" t="str">
            <v>000000000012952</v>
          </cell>
        </row>
        <row r="714">
          <cell r="H714" t="str">
            <v/>
          </cell>
          <cell r="K714">
            <v>0</v>
          </cell>
          <cell r="L714" t="str">
            <v/>
          </cell>
          <cell r="M714" t="str">
            <v>作業者</v>
          </cell>
          <cell r="U714" t="str">
            <v>000000000012952</v>
          </cell>
        </row>
        <row r="715">
          <cell r="C715">
            <v>0</v>
          </cell>
          <cell r="H715" t="str">
            <v/>
          </cell>
          <cell r="K715">
            <v>0</v>
          </cell>
          <cell r="L715" t="str">
            <v/>
          </cell>
          <cell r="U715" t="str">
            <v>000000000012952</v>
          </cell>
        </row>
        <row r="716">
          <cell r="K716">
            <v>0</v>
          </cell>
          <cell r="L716" t="str">
            <v/>
          </cell>
          <cell r="R716">
            <v>0</v>
          </cell>
          <cell r="U716" t="str">
            <v>000000000012952</v>
          </cell>
        </row>
        <row r="717">
          <cell r="D717" t="str">
            <v>不良補填</v>
          </cell>
          <cell r="F717" t="str">
            <v/>
          </cell>
          <cell r="U717" t="str">
            <v>000000000012952</v>
          </cell>
        </row>
        <row r="718">
          <cell r="C718" t="str">
            <v>灯具カバーPC IN 2060　L=1258.5</v>
          </cell>
          <cell r="J718">
            <v>0</v>
          </cell>
          <cell r="K718">
            <v>0</v>
          </cell>
          <cell r="L718" t="str">
            <v/>
          </cell>
          <cell r="P718">
            <v>0</v>
          </cell>
          <cell r="U718" t="str">
            <v>000000000012987</v>
          </cell>
        </row>
        <row r="719">
          <cell r="H719" t="str">
            <v/>
          </cell>
          <cell r="J719" t="str">
            <v/>
          </cell>
          <cell r="K719">
            <v>0</v>
          </cell>
          <cell r="L719" t="str">
            <v/>
          </cell>
          <cell r="P719">
            <v>0</v>
          </cell>
          <cell r="U719" t="str">
            <v>000000000012987</v>
          </cell>
        </row>
        <row r="720">
          <cell r="H720" t="str">
            <v/>
          </cell>
          <cell r="K720">
            <v>0</v>
          </cell>
          <cell r="L720" t="str">
            <v/>
          </cell>
          <cell r="P720">
            <v>0</v>
          </cell>
          <cell r="U720" t="str">
            <v>000000000012987</v>
          </cell>
        </row>
        <row r="721">
          <cell r="C721">
            <v>96</v>
          </cell>
          <cell r="H721" t="str">
            <v/>
          </cell>
          <cell r="K721">
            <v>0</v>
          </cell>
          <cell r="L721" t="str">
            <v/>
          </cell>
          <cell r="P721">
            <v>0</v>
          </cell>
          <cell r="U721" t="str">
            <v>000000000012987</v>
          </cell>
        </row>
        <row r="722">
          <cell r="C722">
            <v>1</v>
          </cell>
          <cell r="H722" t="str">
            <v/>
          </cell>
          <cell r="K722">
            <v>0</v>
          </cell>
          <cell r="L722" t="str">
            <v/>
          </cell>
          <cell r="P722">
            <v>0</v>
          </cell>
          <cell r="U722" t="str">
            <v>000000000012987</v>
          </cell>
        </row>
        <row r="723">
          <cell r="C723">
            <v>16</v>
          </cell>
          <cell r="H723" t="str">
            <v/>
          </cell>
          <cell r="K723">
            <v>0</v>
          </cell>
          <cell r="L723" t="str">
            <v/>
          </cell>
          <cell r="M723" t="str">
            <v>合計</v>
          </cell>
          <cell r="N723">
            <v>0</v>
          </cell>
          <cell r="P723">
            <v>0</v>
          </cell>
          <cell r="U723" t="str">
            <v>000000000012987</v>
          </cell>
        </row>
        <row r="724">
          <cell r="C724" t="str">
            <v>灯具-1　L=1370</v>
          </cell>
          <cell r="H724" t="str">
            <v/>
          </cell>
          <cell r="K724">
            <v>0</v>
          </cell>
          <cell r="L724" t="str">
            <v/>
          </cell>
          <cell r="M724" t="str">
            <v>入数</v>
          </cell>
          <cell r="N724">
            <v>0</v>
          </cell>
          <cell r="P724">
            <v>0</v>
          </cell>
          <cell r="U724" t="str">
            <v>000000000012987</v>
          </cell>
        </row>
        <row r="725">
          <cell r="H725" t="str">
            <v/>
          </cell>
          <cell r="K725">
            <v>0</v>
          </cell>
          <cell r="L725" t="str">
            <v/>
          </cell>
          <cell r="M725" t="str">
            <v>作業者</v>
          </cell>
          <cell r="U725" t="str">
            <v>000000000012987</v>
          </cell>
        </row>
        <row r="726">
          <cell r="C726">
            <v>0</v>
          </cell>
          <cell r="H726" t="str">
            <v/>
          </cell>
          <cell r="K726">
            <v>0</v>
          </cell>
          <cell r="L726" t="str">
            <v/>
          </cell>
          <cell r="U726" t="str">
            <v>000000000012987</v>
          </cell>
        </row>
        <row r="727">
          <cell r="K727">
            <v>0</v>
          </cell>
          <cell r="L727" t="str">
            <v/>
          </cell>
          <cell r="R727">
            <v>0</v>
          </cell>
          <cell r="U727" t="str">
            <v>000000000012987</v>
          </cell>
        </row>
        <row r="728">
          <cell r="D728" t="str">
            <v>不良補填</v>
          </cell>
          <cell r="F728" t="str">
            <v/>
          </cell>
          <cell r="U728" t="str">
            <v>000000000012987</v>
          </cell>
        </row>
        <row r="729">
          <cell r="C729" t="str">
            <v>灯具カバーPC IN 2130　L=908</v>
          </cell>
          <cell r="J729">
            <v>0</v>
          </cell>
          <cell r="K729">
            <v>0</v>
          </cell>
          <cell r="L729" t="str">
            <v/>
          </cell>
          <cell r="P729">
            <v>0</v>
          </cell>
          <cell r="U729" t="str">
            <v>000000000012944</v>
          </cell>
        </row>
        <row r="730">
          <cell r="H730" t="str">
            <v/>
          </cell>
          <cell r="J730" t="str">
            <v/>
          </cell>
          <cell r="K730">
            <v>0</v>
          </cell>
          <cell r="L730" t="str">
            <v/>
          </cell>
          <cell r="P730">
            <v>0</v>
          </cell>
          <cell r="U730" t="str">
            <v>000000000012944</v>
          </cell>
        </row>
        <row r="731">
          <cell r="H731" t="str">
            <v/>
          </cell>
          <cell r="K731">
            <v>0</v>
          </cell>
          <cell r="L731" t="str">
            <v/>
          </cell>
          <cell r="P731">
            <v>0</v>
          </cell>
          <cell r="U731" t="str">
            <v>000000000012944</v>
          </cell>
        </row>
        <row r="732">
          <cell r="C732">
            <v>192</v>
          </cell>
          <cell r="H732" t="str">
            <v/>
          </cell>
          <cell r="K732">
            <v>0</v>
          </cell>
          <cell r="L732" t="str">
            <v/>
          </cell>
          <cell r="P732">
            <v>0</v>
          </cell>
          <cell r="U732" t="str">
            <v>000000000012944</v>
          </cell>
        </row>
        <row r="733">
          <cell r="C733">
            <v>1</v>
          </cell>
          <cell r="H733" t="str">
            <v/>
          </cell>
          <cell r="K733">
            <v>0</v>
          </cell>
          <cell r="L733" t="str">
            <v/>
          </cell>
          <cell r="P733">
            <v>0</v>
          </cell>
          <cell r="U733" t="str">
            <v>000000000012944</v>
          </cell>
        </row>
        <row r="734">
          <cell r="C734">
            <v>16</v>
          </cell>
          <cell r="H734" t="str">
            <v/>
          </cell>
          <cell r="K734">
            <v>0</v>
          </cell>
          <cell r="L734" t="str">
            <v/>
          </cell>
          <cell r="M734" t="str">
            <v>合計</v>
          </cell>
          <cell r="N734">
            <v>0</v>
          </cell>
          <cell r="P734">
            <v>0</v>
          </cell>
          <cell r="U734" t="str">
            <v>000000000012944</v>
          </cell>
        </row>
        <row r="735">
          <cell r="C735" t="str">
            <v>灯具-3　L=970</v>
          </cell>
          <cell r="H735" t="str">
            <v/>
          </cell>
          <cell r="K735">
            <v>0</v>
          </cell>
          <cell r="L735" t="str">
            <v/>
          </cell>
          <cell r="M735" t="str">
            <v>入数</v>
          </cell>
          <cell r="N735">
            <v>0</v>
          </cell>
          <cell r="P735">
            <v>0</v>
          </cell>
          <cell r="U735" t="str">
            <v>000000000012944</v>
          </cell>
        </row>
        <row r="736">
          <cell r="H736" t="str">
            <v/>
          </cell>
          <cell r="K736">
            <v>0</v>
          </cell>
          <cell r="L736" t="str">
            <v/>
          </cell>
          <cell r="M736" t="str">
            <v>作業者</v>
          </cell>
          <cell r="U736" t="str">
            <v>000000000012944</v>
          </cell>
        </row>
        <row r="737">
          <cell r="C737">
            <v>0</v>
          </cell>
          <cell r="H737" t="str">
            <v/>
          </cell>
          <cell r="K737">
            <v>0</v>
          </cell>
          <cell r="L737" t="str">
            <v/>
          </cell>
          <cell r="U737" t="str">
            <v>000000000012944</v>
          </cell>
        </row>
        <row r="738">
          <cell r="K738">
            <v>0</v>
          </cell>
          <cell r="L738" t="str">
            <v/>
          </cell>
          <cell r="R738">
            <v>0</v>
          </cell>
          <cell r="U738" t="str">
            <v>000000000012944</v>
          </cell>
        </row>
        <row r="739">
          <cell r="D739" t="str">
            <v>不良補填</v>
          </cell>
          <cell r="F739" t="str">
            <v/>
          </cell>
          <cell r="U739" t="str">
            <v>000000000012944</v>
          </cell>
        </row>
        <row r="740">
          <cell r="C740" t="str">
            <v>灯具カバーPC IN 2090　L=840</v>
          </cell>
          <cell r="J740">
            <v>0</v>
          </cell>
          <cell r="K740">
            <v>0</v>
          </cell>
          <cell r="L740" t="str">
            <v/>
          </cell>
          <cell r="P740">
            <v>0</v>
          </cell>
          <cell r="U740" t="str">
            <v>000000000012942</v>
          </cell>
        </row>
        <row r="741">
          <cell r="H741" t="str">
            <v/>
          </cell>
          <cell r="J741" t="str">
            <v/>
          </cell>
          <cell r="K741">
            <v>0</v>
          </cell>
          <cell r="L741" t="str">
            <v/>
          </cell>
          <cell r="P741">
            <v>0</v>
          </cell>
          <cell r="U741" t="str">
            <v>000000000012942</v>
          </cell>
        </row>
        <row r="742">
          <cell r="H742" t="str">
            <v/>
          </cell>
          <cell r="K742">
            <v>0</v>
          </cell>
          <cell r="L742" t="str">
            <v/>
          </cell>
          <cell r="P742">
            <v>0</v>
          </cell>
          <cell r="U742" t="str">
            <v>000000000012942</v>
          </cell>
        </row>
        <row r="743">
          <cell r="C743">
            <v>192</v>
          </cell>
          <cell r="H743" t="str">
            <v/>
          </cell>
          <cell r="K743">
            <v>0</v>
          </cell>
          <cell r="L743" t="str">
            <v/>
          </cell>
          <cell r="P743">
            <v>0</v>
          </cell>
          <cell r="U743" t="str">
            <v>000000000012942</v>
          </cell>
        </row>
        <row r="744">
          <cell r="C744">
            <v>1</v>
          </cell>
          <cell r="H744" t="str">
            <v/>
          </cell>
          <cell r="K744">
            <v>0</v>
          </cell>
          <cell r="L744" t="str">
            <v/>
          </cell>
          <cell r="P744">
            <v>0</v>
          </cell>
          <cell r="U744" t="str">
            <v>000000000012942</v>
          </cell>
        </row>
        <row r="745">
          <cell r="C745">
            <v>16</v>
          </cell>
          <cell r="H745" t="str">
            <v/>
          </cell>
          <cell r="K745">
            <v>0</v>
          </cell>
          <cell r="L745" t="str">
            <v/>
          </cell>
          <cell r="M745" t="str">
            <v>合計</v>
          </cell>
          <cell r="N745">
            <v>0</v>
          </cell>
          <cell r="P745">
            <v>0</v>
          </cell>
          <cell r="U745" t="str">
            <v>000000000012942</v>
          </cell>
        </row>
        <row r="746">
          <cell r="C746" t="str">
            <v>灯具-3　L=970</v>
          </cell>
          <cell r="H746" t="str">
            <v/>
          </cell>
          <cell r="K746">
            <v>0</v>
          </cell>
          <cell r="L746" t="str">
            <v/>
          </cell>
          <cell r="M746" t="str">
            <v>入数</v>
          </cell>
          <cell r="N746">
            <v>0</v>
          </cell>
          <cell r="P746">
            <v>0</v>
          </cell>
          <cell r="U746" t="str">
            <v>000000000012942</v>
          </cell>
        </row>
        <row r="747">
          <cell r="H747" t="str">
            <v/>
          </cell>
          <cell r="K747">
            <v>0</v>
          </cell>
          <cell r="L747" t="str">
            <v/>
          </cell>
          <cell r="M747" t="str">
            <v>作業者</v>
          </cell>
          <cell r="U747" t="str">
            <v>000000000012942</v>
          </cell>
        </row>
        <row r="748">
          <cell r="C748">
            <v>0</v>
          </cell>
          <cell r="H748" t="str">
            <v/>
          </cell>
          <cell r="K748">
            <v>0</v>
          </cell>
          <cell r="L748" t="str">
            <v/>
          </cell>
          <cell r="U748" t="str">
            <v>000000000012942</v>
          </cell>
        </row>
        <row r="749">
          <cell r="K749">
            <v>0</v>
          </cell>
          <cell r="L749" t="str">
            <v/>
          </cell>
          <cell r="R749">
            <v>0</v>
          </cell>
          <cell r="U749" t="str">
            <v>000000000012942</v>
          </cell>
        </row>
        <row r="750">
          <cell r="D750" t="str">
            <v>不良補填</v>
          </cell>
          <cell r="F750" t="str">
            <v/>
          </cell>
          <cell r="U750" t="str">
            <v>000000000012942</v>
          </cell>
        </row>
        <row r="751">
          <cell r="C751" t="str">
            <v>灯具カバーPC IN 2110　L=1815</v>
          </cell>
          <cell r="J751">
            <v>0</v>
          </cell>
          <cell r="K751">
            <v>0</v>
          </cell>
          <cell r="L751" t="str">
            <v/>
          </cell>
          <cell r="P751">
            <v>0</v>
          </cell>
          <cell r="U751" t="str">
            <v>000000000012948</v>
          </cell>
        </row>
        <row r="752">
          <cell r="H752" t="str">
            <v/>
          </cell>
          <cell r="J752" t="str">
            <v/>
          </cell>
          <cell r="K752">
            <v>0</v>
          </cell>
          <cell r="L752" t="str">
            <v/>
          </cell>
          <cell r="P752">
            <v>0</v>
          </cell>
          <cell r="U752" t="str">
            <v>000000000012948</v>
          </cell>
        </row>
        <row r="753">
          <cell r="H753" t="str">
            <v/>
          </cell>
          <cell r="K753">
            <v>0</v>
          </cell>
          <cell r="L753" t="str">
            <v/>
          </cell>
          <cell r="P753">
            <v>0</v>
          </cell>
          <cell r="U753" t="str">
            <v>000000000012948</v>
          </cell>
        </row>
        <row r="754">
          <cell r="C754">
            <v>192</v>
          </cell>
          <cell r="H754" t="str">
            <v/>
          </cell>
          <cell r="K754">
            <v>0</v>
          </cell>
          <cell r="L754" t="str">
            <v/>
          </cell>
          <cell r="P754">
            <v>0</v>
          </cell>
          <cell r="U754" t="str">
            <v>000000000012948</v>
          </cell>
        </row>
        <row r="755">
          <cell r="C755">
            <v>1</v>
          </cell>
          <cell r="H755" t="str">
            <v/>
          </cell>
          <cell r="K755">
            <v>0</v>
          </cell>
          <cell r="L755" t="str">
            <v/>
          </cell>
          <cell r="P755">
            <v>0</v>
          </cell>
          <cell r="U755" t="str">
            <v>000000000012948</v>
          </cell>
        </row>
        <row r="756">
          <cell r="C756">
            <v>16</v>
          </cell>
          <cell r="H756" t="str">
            <v/>
          </cell>
          <cell r="K756">
            <v>0</v>
          </cell>
          <cell r="L756" t="str">
            <v/>
          </cell>
          <cell r="M756" t="str">
            <v>合計</v>
          </cell>
          <cell r="N756">
            <v>0</v>
          </cell>
          <cell r="P756">
            <v>0</v>
          </cell>
          <cell r="U756" t="str">
            <v>000000000012948</v>
          </cell>
        </row>
        <row r="757">
          <cell r="C757" t="str">
            <v>灯具-2　L＝1996</v>
          </cell>
          <cell r="H757" t="str">
            <v/>
          </cell>
          <cell r="K757">
            <v>0</v>
          </cell>
          <cell r="L757" t="str">
            <v/>
          </cell>
          <cell r="M757" t="str">
            <v>入数</v>
          </cell>
          <cell r="N757">
            <v>0</v>
          </cell>
          <cell r="P757">
            <v>0</v>
          </cell>
          <cell r="U757" t="str">
            <v>000000000012948</v>
          </cell>
        </row>
        <row r="758">
          <cell r="H758" t="str">
            <v/>
          </cell>
          <cell r="K758">
            <v>0</v>
          </cell>
          <cell r="L758" t="str">
            <v/>
          </cell>
          <cell r="M758" t="str">
            <v>作業者</v>
          </cell>
          <cell r="U758" t="str">
            <v>000000000012948</v>
          </cell>
        </row>
        <row r="759">
          <cell r="C759">
            <v>0</v>
          </cell>
          <cell r="H759" t="str">
            <v/>
          </cell>
          <cell r="K759">
            <v>0</v>
          </cell>
          <cell r="L759" t="str">
            <v/>
          </cell>
          <cell r="U759" t="str">
            <v>000000000012948</v>
          </cell>
        </row>
        <row r="760">
          <cell r="K760">
            <v>0</v>
          </cell>
          <cell r="L760" t="str">
            <v/>
          </cell>
          <cell r="R760">
            <v>0</v>
          </cell>
          <cell r="U760" t="str">
            <v>000000000012948</v>
          </cell>
        </row>
        <row r="761">
          <cell r="D761" t="str">
            <v>不良補填</v>
          </cell>
          <cell r="F761" t="str">
            <v/>
          </cell>
          <cell r="U761" t="str">
            <v>000000000012948</v>
          </cell>
        </row>
        <row r="762">
          <cell r="C762" t="str">
            <v>8FL281304 5010　L=888</v>
          </cell>
          <cell r="J762">
            <v>0</v>
          </cell>
          <cell r="K762">
            <v>0</v>
          </cell>
          <cell r="L762" t="str">
            <v/>
          </cell>
          <cell r="P762">
            <v>0</v>
          </cell>
          <cell r="U762" t="str">
            <v>000000000013173</v>
          </cell>
        </row>
        <row r="763">
          <cell r="H763" t="str">
            <v/>
          </cell>
          <cell r="J763" t="str">
            <v/>
          </cell>
          <cell r="K763">
            <v>0</v>
          </cell>
          <cell r="L763" t="str">
            <v/>
          </cell>
          <cell r="P763">
            <v>0</v>
          </cell>
          <cell r="U763" t="str">
            <v>000000000013173</v>
          </cell>
        </row>
        <row r="764">
          <cell r="H764" t="str">
            <v/>
          </cell>
          <cell r="K764">
            <v>0</v>
          </cell>
          <cell r="L764" t="str">
            <v/>
          </cell>
          <cell r="P764">
            <v>0</v>
          </cell>
          <cell r="U764" t="str">
            <v>000000000013173</v>
          </cell>
        </row>
        <row r="765">
          <cell r="C765">
            <v>2000</v>
          </cell>
          <cell r="H765" t="str">
            <v/>
          </cell>
          <cell r="K765">
            <v>0</v>
          </cell>
          <cell r="L765" t="str">
            <v/>
          </cell>
          <cell r="P765">
            <v>0</v>
          </cell>
          <cell r="U765" t="str">
            <v>000000000013173</v>
          </cell>
        </row>
        <row r="766">
          <cell r="C766">
            <v>2</v>
          </cell>
          <cell r="H766" t="str">
            <v/>
          </cell>
          <cell r="K766">
            <v>0</v>
          </cell>
          <cell r="L766" t="str">
            <v/>
          </cell>
          <cell r="P766">
            <v>0</v>
          </cell>
          <cell r="U766" t="str">
            <v>000000000013173</v>
          </cell>
        </row>
        <row r="767">
          <cell r="C767">
            <v>100</v>
          </cell>
          <cell r="H767" t="str">
            <v/>
          </cell>
          <cell r="K767">
            <v>0</v>
          </cell>
          <cell r="L767" t="str">
            <v/>
          </cell>
          <cell r="M767" t="str">
            <v>合計</v>
          </cell>
          <cell r="N767">
            <v>0</v>
          </cell>
          <cell r="P767">
            <v>0</v>
          </cell>
          <cell r="U767" t="str">
            <v>000000000013173</v>
          </cell>
        </row>
        <row r="768">
          <cell r="C768" t="str">
            <v>LED-A888</v>
          </cell>
          <cell r="H768" t="str">
            <v/>
          </cell>
          <cell r="K768">
            <v>0</v>
          </cell>
          <cell r="L768" t="str">
            <v/>
          </cell>
          <cell r="M768" t="str">
            <v>入数</v>
          </cell>
          <cell r="N768">
            <v>0</v>
          </cell>
          <cell r="P768">
            <v>0</v>
          </cell>
          <cell r="U768" t="str">
            <v>000000000013173</v>
          </cell>
        </row>
        <row r="769">
          <cell r="H769" t="str">
            <v/>
          </cell>
          <cell r="K769">
            <v>0</v>
          </cell>
          <cell r="L769" t="str">
            <v/>
          </cell>
          <cell r="M769" t="str">
            <v>作業者</v>
          </cell>
          <cell r="U769" t="str">
            <v>000000000013173</v>
          </cell>
        </row>
        <row r="770">
          <cell r="C770">
            <v>0</v>
          </cell>
          <cell r="H770" t="str">
            <v/>
          </cell>
          <cell r="K770">
            <v>0</v>
          </cell>
          <cell r="L770" t="str">
            <v/>
          </cell>
          <cell r="U770" t="str">
            <v>000000000013173</v>
          </cell>
        </row>
        <row r="771">
          <cell r="K771">
            <v>0</v>
          </cell>
          <cell r="L771" t="str">
            <v/>
          </cell>
          <cell r="R771">
            <v>0</v>
          </cell>
          <cell r="U771" t="str">
            <v>000000000013173</v>
          </cell>
        </row>
        <row r="772">
          <cell r="D772" t="str">
            <v>不良補填</v>
          </cell>
          <cell r="F772">
            <v>0</v>
          </cell>
          <cell r="U772" t="str">
            <v>000000000013173</v>
          </cell>
        </row>
        <row r="773">
          <cell r="C773" t="str">
            <v>灯具カバーPC IN 2050　L=1183.5</v>
          </cell>
          <cell r="J773">
            <v>0</v>
          </cell>
          <cell r="K773">
            <v>0</v>
          </cell>
          <cell r="L773" t="str">
            <v/>
          </cell>
          <cell r="P773">
            <v>0</v>
          </cell>
          <cell r="U773" t="str">
            <v>000000000012945</v>
          </cell>
        </row>
        <row r="774">
          <cell r="H774" t="str">
            <v/>
          </cell>
          <cell r="J774" t="str">
            <v/>
          </cell>
          <cell r="K774">
            <v>0</v>
          </cell>
          <cell r="L774" t="str">
            <v/>
          </cell>
          <cell r="P774">
            <v>0</v>
          </cell>
          <cell r="U774" t="str">
            <v>000000000012945</v>
          </cell>
        </row>
        <row r="775">
          <cell r="H775" t="str">
            <v/>
          </cell>
          <cell r="K775">
            <v>0</v>
          </cell>
          <cell r="L775" t="str">
            <v/>
          </cell>
          <cell r="P775">
            <v>0</v>
          </cell>
          <cell r="U775" t="str">
            <v>000000000012945</v>
          </cell>
        </row>
        <row r="776">
          <cell r="C776">
            <v>192</v>
          </cell>
          <cell r="H776" t="str">
            <v/>
          </cell>
          <cell r="K776">
            <v>0</v>
          </cell>
          <cell r="L776" t="str">
            <v/>
          </cell>
          <cell r="P776">
            <v>0</v>
          </cell>
          <cell r="U776" t="str">
            <v>000000000012945</v>
          </cell>
        </row>
        <row r="777">
          <cell r="C777">
            <v>1</v>
          </cell>
          <cell r="H777" t="str">
            <v/>
          </cell>
          <cell r="K777">
            <v>0</v>
          </cell>
          <cell r="L777" t="str">
            <v/>
          </cell>
          <cell r="P777">
            <v>0</v>
          </cell>
          <cell r="U777" t="str">
            <v>000000000012945</v>
          </cell>
        </row>
        <row r="778">
          <cell r="C778">
            <v>16</v>
          </cell>
          <cell r="H778" t="str">
            <v/>
          </cell>
          <cell r="K778">
            <v>0</v>
          </cell>
          <cell r="L778" t="str">
            <v/>
          </cell>
          <cell r="M778" t="str">
            <v>合計</v>
          </cell>
          <cell r="N778">
            <v>0</v>
          </cell>
          <cell r="P778">
            <v>0</v>
          </cell>
          <cell r="U778" t="str">
            <v>000000000012945</v>
          </cell>
        </row>
        <row r="779">
          <cell r="C779" t="str">
            <v>灯具-1　L=1370</v>
          </cell>
          <cell r="H779" t="str">
            <v/>
          </cell>
          <cell r="K779">
            <v>0</v>
          </cell>
          <cell r="L779" t="str">
            <v/>
          </cell>
          <cell r="M779" t="str">
            <v>入数</v>
          </cell>
          <cell r="N779">
            <v>0</v>
          </cell>
          <cell r="P779">
            <v>0</v>
          </cell>
          <cell r="U779" t="str">
            <v>000000000012945</v>
          </cell>
        </row>
        <row r="780">
          <cell r="H780" t="str">
            <v/>
          </cell>
          <cell r="K780">
            <v>0</v>
          </cell>
          <cell r="L780" t="str">
            <v/>
          </cell>
          <cell r="M780" t="str">
            <v>作業者</v>
          </cell>
          <cell r="U780" t="str">
            <v>000000000012945</v>
          </cell>
        </row>
        <row r="781">
          <cell r="C781">
            <v>0</v>
          </cell>
          <cell r="H781" t="str">
            <v/>
          </cell>
          <cell r="K781">
            <v>0</v>
          </cell>
          <cell r="L781" t="str">
            <v/>
          </cell>
          <cell r="U781" t="str">
            <v>000000000012945</v>
          </cell>
        </row>
        <row r="782">
          <cell r="K782">
            <v>0</v>
          </cell>
          <cell r="L782" t="str">
            <v/>
          </cell>
          <cell r="R782">
            <v>0</v>
          </cell>
          <cell r="U782" t="str">
            <v>000000000012945</v>
          </cell>
        </row>
        <row r="783">
          <cell r="D783" t="str">
            <v>不良補填</v>
          </cell>
          <cell r="F783" t="str">
            <v/>
          </cell>
          <cell r="U783" t="str">
            <v>000000000012945</v>
          </cell>
        </row>
        <row r="784">
          <cell r="C784" t="str">
            <v>灯具カバーPC IN 2070　L=1966</v>
          </cell>
          <cell r="J784">
            <v>0</v>
          </cell>
          <cell r="K784">
            <v>0</v>
          </cell>
          <cell r="L784" t="str">
            <v/>
          </cell>
          <cell r="P784">
            <v>0</v>
          </cell>
          <cell r="U784" t="str">
            <v>000000000013399</v>
          </cell>
        </row>
        <row r="785">
          <cell r="H785" t="str">
            <v/>
          </cell>
          <cell r="J785" t="str">
            <v/>
          </cell>
          <cell r="K785">
            <v>0</v>
          </cell>
          <cell r="L785" t="str">
            <v/>
          </cell>
          <cell r="P785">
            <v>0</v>
          </cell>
          <cell r="U785" t="str">
            <v>000000000013399</v>
          </cell>
        </row>
        <row r="786">
          <cell r="H786" t="str">
            <v/>
          </cell>
          <cell r="K786">
            <v>0</v>
          </cell>
          <cell r="L786" t="str">
            <v/>
          </cell>
          <cell r="P786">
            <v>0</v>
          </cell>
          <cell r="U786" t="str">
            <v>000000000013399</v>
          </cell>
        </row>
        <row r="787">
          <cell r="C787">
            <v>192</v>
          </cell>
          <cell r="H787" t="str">
            <v/>
          </cell>
          <cell r="K787">
            <v>0</v>
          </cell>
          <cell r="L787" t="str">
            <v/>
          </cell>
          <cell r="P787">
            <v>0</v>
          </cell>
          <cell r="U787" t="str">
            <v>000000000013399</v>
          </cell>
        </row>
        <row r="788">
          <cell r="C788">
            <v>1</v>
          </cell>
          <cell r="H788" t="str">
            <v/>
          </cell>
          <cell r="K788">
            <v>0</v>
          </cell>
          <cell r="L788" t="str">
            <v/>
          </cell>
          <cell r="P788">
            <v>0</v>
          </cell>
          <cell r="U788" t="str">
            <v>000000000013399</v>
          </cell>
        </row>
        <row r="789">
          <cell r="C789">
            <v>16</v>
          </cell>
          <cell r="H789" t="str">
            <v/>
          </cell>
          <cell r="K789">
            <v>0</v>
          </cell>
          <cell r="L789" t="str">
            <v/>
          </cell>
          <cell r="M789" t="str">
            <v>合計</v>
          </cell>
          <cell r="N789">
            <v>0</v>
          </cell>
          <cell r="P789">
            <v>0</v>
          </cell>
          <cell r="U789" t="str">
            <v>000000000013399</v>
          </cell>
        </row>
        <row r="790">
          <cell r="C790" t="str">
            <v>灯具-2　L＝1996</v>
          </cell>
          <cell r="H790" t="str">
            <v/>
          </cell>
          <cell r="K790">
            <v>0</v>
          </cell>
          <cell r="L790" t="str">
            <v/>
          </cell>
          <cell r="M790" t="str">
            <v>入数</v>
          </cell>
          <cell r="N790">
            <v>0</v>
          </cell>
          <cell r="P790">
            <v>0</v>
          </cell>
          <cell r="U790" t="str">
            <v>000000000013399</v>
          </cell>
        </row>
        <row r="791">
          <cell r="H791" t="str">
            <v/>
          </cell>
          <cell r="K791">
            <v>0</v>
          </cell>
          <cell r="L791" t="str">
            <v/>
          </cell>
          <cell r="M791" t="str">
            <v>作業者</v>
          </cell>
          <cell r="U791" t="str">
            <v>000000000013399</v>
          </cell>
        </row>
        <row r="792">
          <cell r="C792">
            <v>0</v>
          </cell>
          <cell r="H792" t="str">
            <v/>
          </cell>
          <cell r="K792">
            <v>0</v>
          </cell>
          <cell r="L792" t="str">
            <v/>
          </cell>
          <cell r="U792" t="str">
            <v>000000000013399</v>
          </cell>
        </row>
        <row r="793">
          <cell r="K793">
            <v>0</v>
          </cell>
          <cell r="L793" t="str">
            <v/>
          </cell>
          <cell r="R793">
            <v>0</v>
          </cell>
          <cell r="U793" t="str">
            <v>000000000013399</v>
          </cell>
        </row>
        <row r="794">
          <cell r="D794" t="str">
            <v>不良補填</v>
          </cell>
          <cell r="F794" t="str">
            <v/>
          </cell>
          <cell r="U794" t="str">
            <v>000000000013399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68"/>
  <sheetViews>
    <sheetView tabSelected="1" topLeftCell="A28" workbookViewId="0">
      <selection activeCell="A38" sqref="A38:XFD56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28" t="s">
        <v>0</v>
      </c>
      <c r="C1" s="108"/>
      <c r="D1" s="108"/>
      <c r="E1" s="11"/>
      <c r="F1" s="11"/>
      <c r="G1" s="11"/>
      <c r="H1" s="11"/>
      <c r="I1" s="11"/>
      <c r="J1" s="11"/>
    </row>
    <row r="2" spans="1:10" ht="14.25" customHeight="1" thickTop="1">
      <c r="A2" s="12"/>
      <c r="B2" s="108"/>
      <c r="C2" s="108"/>
      <c r="D2" s="108"/>
      <c r="E2" s="12"/>
      <c r="F2" s="12"/>
      <c r="G2" s="12"/>
      <c r="H2" s="12"/>
      <c r="I2" s="12"/>
      <c r="J2" s="12"/>
    </row>
    <row r="3" spans="1:10" ht="14.25" customHeight="1">
      <c r="A3" s="133" t="s">
        <v>1</v>
      </c>
      <c r="B3" s="133" t="s">
        <v>2</v>
      </c>
      <c r="C3" s="133" t="s">
        <v>3</v>
      </c>
      <c r="D3" s="150">
        <v>613</v>
      </c>
      <c r="E3" s="133" t="s">
        <v>4</v>
      </c>
      <c r="F3" s="148" t="s">
        <v>5</v>
      </c>
      <c r="G3" s="108"/>
      <c r="H3" s="108"/>
      <c r="I3" s="24" t="s">
        <v>6</v>
      </c>
      <c r="J3" s="24" t="s">
        <v>7</v>
      </c>
    </row>
    <row r="4" spans="1:10" ht="14.25" customHeight="1">
      <c r="A4" s="108"/>
      <c r="B4" s="108"/>
      <c r="C4" s="108"/>
      <c r="D4" s="108"/>
      <c r="E4" s="108"/>
      <c r="F4" s="108"/>
      <c r="G4" s="108"/>
      <c r="H4" s="108"/>
      <c r="I4" s="141"/>
      <c r="J4" s="141"/>
    </row>
    <row r="5" spans="1:10" ht="17.45" customHeight="1">
      <c r="A5" s="107" t="s">
        <v>8</v>
      </c>
      <c r="B5" s="107" t="s">
        <v>9</v>
      </c>
      <c r="E5" s="107" t="s">
        <v>10</v>
      </c>
      <c r="F5" s="145" t="s">
        <v>11</v>
      </c>
      <c r="G5" s="108"/>
      <c r="H5" s="108"/>
      <c r="I5" s="142"/>
      <c r="J5" s="142"/>
    </row>
    <row r="6" spans="1:10" ht="17.45" customHeight="1">
      <c r="A6" s="108"/>
      <c r="B6" s="108"/>
      <c r="E6" s="108"/>
      <c r="F6" s="108"/>
      <c r="G6" s="108"/>
      <c r="H6" s="108"/>
      <c r="I6" s="13"/>
      <c r="J6" s="13"/>
    </row>
    <row r="7" spans="1:10" ht="17.45" customHeight="1">
      <c r="A7" s="107" t="s">
        <v>12</v>
      </c>
      <c r="B7" s="107" t="s">
        <v>13</v>
      </c>
      <c r="E7" s="2" t="s">
        <v>14</v>
      </c>
      <c r="F7" s="145" t="s">
        <v>15</v>
      </c>
      <c r="G7" s="108"/>
      <c r="H7" s="21"/>
      <c r="I7" s="13"/>
      <c r="J7" s="13"/>
    </row>
    <row r="8" spans="1:10" ht="17.45" customHeight="1">
      <c r="A8" s="108"/>
      <c r="B8" s="108"/>
      <c r="E8" s="2" t="s">
        <v>16</v>
      </c>
      <c r="F8" s="21" t="s">
        <v>17</v>
      </c>
      <c r="G8" s="21"/>
      <c r="H8" s="21"/>
      <c r="I8" s="14"/>
      <c r="J8" s="14"/>
    </row>
    <row r="9" spans="1:10" ht="17.45" customHeight="1">
      <c r="A9" s="2" t="s">
        <v>18</v>
      </c>
      <c r="B9" s="4">
        <v>46084</v>
      </c>
      <c r="E9" s="2" t="s">
        <v>19</v>
      </c>
      <c r="F9" s="123">
        <v>2</v>
      </c>
      <c r="G9" s="108"/>
      <c r="H9" s="21"/>
    </row>
    <row r="10" spans="1:10" ht="17.45" customHeight="1">
      <c r="A10" s="2" t="s">
        <v>20</v>
      </c>
      <c r="B10" s="4">
        <v>46084</v>
      </c>
      <c r="E10" s="2" t="s">
        <v>21</v>
      </c>
      <c r="F10" s="21">
        <v>10</v>
      </c>
      <c r="G10" s="109" t="s">
        <v>22</v>
      </c>
      <c r="H10" s="134">
        <v>20</v>
      </c>
      <c r="I10" s="135"/>
      <c r="J10" s="136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10"/>
      <c r="H11" s="110"/>
      <c r="I11" s="137"/>
      <c r="J11" s="138"/>
    </row>
    <row r="12" spans="1:10" ht="13.5" customHeight="1">
      <c r="A12" s="147" t="s">
        <v>25</v>
      </c>
      <c r="B12" s="108"/>
      <c r="C12" s="108"/>
      <c r="D12" s="20"/>
      <c r="F12" s="3"/>
      <c r="G12" s="130" t="s">
        <v>26</v>
      </c>
      <c r="H12" s="121" t="s">
        <v>27</v>
      </c>
      <c r="I12" s="143" t="s">
        <v>28</v>
      </c>
      <c r="J12" s="144"/>
    </row>
    <row r="13" spans="1:10" ht="13.5" customHeight="1">
      <c r="A13" s="108"/>
      <c r="B13" s="108"/>
      <c r="C13" s="108"/>
      <c r="D13" s="20"/>
      <c r="F13" s="3"/>
      <c r="G13" s="122"/>
      <c r="H13" s="122"/>
      <c r="I13" s="137"/>
      <c r="J13" s="138"/>
    </row>
    <row r="14" spans="1:10" ht="13.5" customHeight="1">
      <c r="A14" s="1" t="s">
        <v>29</v>
      </c>
    </row>
    <row r="15" spans="1:10" ht="63" customHeight="1" thickBot="1">
      <c r="A15" s="151"/>
      <c r="B15" s="152"/>
      <c r="C15" s="152"/>
      <c r="D15" s="152"/>
      <c r="E15" s="152"/>
      <c r="F15" s="152"/>
      <c r="G15" s="152"/>
      <c r="H15" s="152"/>
      <c r="I15" s="152"/>
      <c r="J15" s="152"/>
    </row>
    <row r="16" spans="1:10" ht="18.75">
      <c r="A16" s="23" t="s">
        <v>30</v>
      </c>
      <c r="B16" s="16" t="s">
        <v>31</v>
      </c>
      <c r="C16" s="146" t="s">
        <v>32</v>
      </c>
      <c r="D16" s="140"/>
      <c r="E16" s="16" t="s">
        <v>33</v>
      </c>
      <c r="F16" s="146" t="s">
        <v>34</v>
      </c>
      <c r="G16" s="140"/>
      <c r="H16" s="140"/>
      <c r="I16" s="139" t="s">
        <v>35</v>
      </c>
      <c r="J16" s="140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5" t="s">
        <v>36</v>
      </c>
      <c r="C18" s="111" t="s">
        <v>37</v>
      </c>
      <c r="D18" s="112"/>
      <c r="E18" s="25" t="s">
        <v>38</v>
      </c>
      <c r="F18" s="111" t="s">
        <v>39</v>
      </c>
      <c r="G18" s="112"/>
      <c r="H18" s="112"/>
      <c r="I18" s="129"/>
      <c r="J18" s="112"/>
    </row>
    <row r="19" spans="1:10" s="7" customFormat="1" ht="16.5" customHeight="1">
      <c r="A19" s="22">
        <v>1</v>
      </c>
      <c r="B19" s="26" t="s">
        <v>36</v>
      </c>
      <c r="C19" s="111" t="s">
        <v>37</v>
      </c>
      <c r="D19" s="112"/>
      <c r="E19" s="25" t="s">
        <v>40</v>
      </c>
      <c r="F19" s="111" t="s">
        <v>41</v>
      </c>
      <c r="G19" s="112"/>
      <c r="H19" s="112"/>
      <c r="I19" s="129"/>
      <c r="J19" s="112"/>
    </row>
    <row r="20" spans="1:10" s="7" customFormat="1" ht="16.5" customHeight="1">
      <c r="A20" s="22">
        <v>1</v>
      </c>
      <c r="B20" s="26" t="s">
        <v>36</v>
      </c>
      <c r="C20" s="111" t="s">
        <v>37</v>
      </c>
      <c r="D20" s="112"/>
      <c r="E20" s="25" t="s">
        <v>42</v>
      </c>
      <c r="F20" s="111" t="s">
        <v>43</v>
      </c>
      <c r="G20" s="112"/>
      <c r="H20" s="112"/>
      <c r="I20" s="129"/>
      <c r="J20" s="112"/>
    </row>
    <row r="21" spans="1:10" s="7" customFormat="1" ht="16.5" customHeight="1">
      <c r="A21" s="22"/>
      <c r="B21" s="26"/>
      <c r="C21" s="111"/>
      <c r="D21" s="112"/>
      <c r="E21" s="25"/>
      <c r="F21" s="111"/>
      <c r="G21" s="112"/>
      <c r="H21" s="112"/>
      <c r="I21" s="129"/>
      <c r="J21" s="112"/>
    </row>
    <row r="22" spans="1:10" s="7" customFormat="1" ht="16.5" customHeight="1">
      <c r="A22" s="22"/>
      <c r="B22" s="26"/>
      <c r="C22" s="111"/>
      <c r="D22" s="112"/>
      <c r="E22" s="25"/>
      <c r="F22" s="111"/>
      <c r="G22" s="112"/>
      <c r="H22" s="112"/>
      <c r="I22" s="129"/>
      <c r="J22" s="112"/>
    </row>
    <row r="23" spans="1:10" s="7" customFormat="1" ht="16.5" customHeight="1">
      <c r="A23" s="22"/>
      <c r="B23" s="26"/>
      <c r="C23" s="111"/>
      <c r="D23" s="112"/>
      <c r="E23" s="25"/>
      <c r="F23" s="111"/>
      <c r="G23" s="112"/>
      <c r="H23" s="112"/>
      <c r="I23" s="129"/>
      <c r="J23" s="112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31" t="s">
        <v>44</v>
      </c>
      <c r="B25" s="132"/>
      <c r="C25" s="131" t="s">
        <v>45</v>
      </c>
      <c r="D25" s="132"/>
      <c r="E25" s="132"/>
      <c r="F25" s="17" t="s">
        <v>46</v>
      </c>
      <c r="G25" s="131" t="s">
        <v>47</v>
      </c>
      <c r="H25" s="132"/>
      <c r="I25" s="131" t="s">
        <v>48</v>
      </c>
      <c r="J25" s="132"/>
    </row>
    <row r="26" spans="1:10" ht="14.25" customHeight="1">
      <c r="A26" s="8"/>
      <c r="B26" s="18"/>
      <c r="C26" s="153" t="s">
        <v>49</v>
      </c>
      <c r="D26" s="137"/>
      <c r="E26" s="18"/>
      <c r="F26" s="153" t="s">
        <v>29</v>
      </c>
      <c r="G26" s="137"/>
      <c r="H26" s="137"/>
      <c r="I26" s="137"/>
      <c r="J26" s="137"/>
    </row>
    <row r="27" spans="1:10">
      <c r="A27" s="9"/>
      <c r="C27" s="7"/>
      <c r="D27" s="7"/>
      <c r="E27" s="7"/>
    </row>
    <row r="28" spans="1:10" s="5" customFormat="1" ht="14.25" customHeight="1">
      <c r="A28" s="111" t="s">
        <v>50</v>
      </c>
      <c r="B28" s="127"/>
      <c r="C28" s="111" t="s">
        <v>51</v>
      </c>
      <c r="D28" s="127"/>
      <c r="E28" s="127"/>
      <c r="F28" s="27" t="s">
        <v>52</v>
      </c>
      <c r="G28" s="126">
        <v>10</v>
      </c>
      <c r="H28" s="127"/>
      <c r="I28" s="126">
        <v>5</v>
      </c>
      <c r="J28" s="127"/>
    </row>
    <row r="29" spans="1:10" s="7" customFormat="1" ht="24.95" customHeight="1">
      <c r="A29" s="149" t="s">
        <v>53</v>
      </c>
      <c r="B29" s="112"/>
      <c r="C29" s="111" t="s">
        <v>11</v>
      </c>
      <c r="D29" s="112"/>
      <c r="E29" s="112"/>
      <c r="F29" s="111"/>
      <c r="G29" s="112"/>
      <c r="H29" s="112"/>
      <c r="I29" s="112"/>
      <c r="J29" s="112"/>
    </row>
    <row r="30" spans="1:10" s="5" customFormat="1" ht="14.25" customHeight="1">
      <c r="A30" s="111" t="s">
        <v>54</v>
      </c>
      <c r="B30" s="127"/>
      <c r="C30" s="111" t="s">
        <v>55</v>
      </c>
      <c r="D30" s="127"/>
      <c r="E30" s="127"/>
      <c r="F30" s="27" t="s">
        <v>27</v>
      </c>
      <c r="G30" s="126">
        <v>10</v>
      </c>
      <c r="H30" s="127"/>
      <c r="I30" s="126">
        <v>5</v>
      </c>
      <c r="J30" s="127"/>
    </row>
    <row r="31" spans="1:10" s="7" customFormat="1" ht="24.95" customHeight="1">
      <c r="A31" s="149" t="s">
        <v>56</v>
      </c>
      <c r="B31" s="112"/>
      <c r="C31" s="111"/>
      <c r="D31" s="112"/>
      <c r="E31" s="112"/>
      <c r="F31" s="111"/>
      <c r="G31" s="112"/>
      <c r="H31" s="112"/>
      <c r="I31" s="112"/>
      <c r="J31" s="112"/>
    </row>
    <row r="32" spans="1:10" s="5" customFormat="1" ht="14.25" customHeight="1">
      <c r="A32" s="111"/>
      <c r="B32" s="127"/>
      <c r="C32" s="111"/>
      <c r="D32" s="127"/>
      <c r="E32" s="127"/>
      <c r="F32" s="27"/>
      <c r="G32" s="126"/>
      <c r="H32" s="127"/>
      <c r="I32" s="126"/>
      <c r="J32" s="127"/>
    </row>
    <row r="33" spans="1:14" s="7" customFormat="1" ht="24.95" customHeight="1">
      <c r="A33" s="149"/>
      <c r="B33" s="112"/>
      <c r="C33" s="111"/>
      <c r="D33" s="112"/>
      <c r="E33" s="112"/>
      <c r="F33" s="111"/>
      <c r="G33" s="112"/>
      <c r="H33" s="112"/>
      <c r="I33" s="112"/>
      <c r="J33" s="112"/>
    </row>
    <row r="34" spans="1:14" s="5" customFormat="1" ht="14.25" customHeight="1">
      <c r="A34" s="111"/>
      <c r="B34" s="127"/>
      <c r="C34" s="111"/>
      <c r="D34" s="127"/>
      <c r="E34" s="127"/>
      <c r="F34" s="27"/>
      <c r="G34" s="126"/>
      <c r="H34" s="127"/>
      <c r="I34" s="126"/>
      <c r="J34" s="127"/>
    </row>
    <row r="35" spans="1:14" s="7" customFormat="1" ht="24.95" customHeight="1">
      <c r="A35" s="149"/>
      <c r="B35" s="112"/>
      <c r="C35" s="111"/>
      <c r="D35" s="112"/>
      <c r="E35" s="112"/>
      <c r="F35" s="111"/>
      <c r="G35" s="112"/>
      <c r="H35" s="112"/>
      <c r="I35" s="112"/>
      <c r="J35" s="112"/>
    </row>
    <row r="36" spans="1:14" s="5" customFormat="1" ht="14.25" customHeight="1">
      <c r="A36" s="111"/>
      <c r="B36" s="127"/>
      <c r="C36" s="111"/>
      <c r="D36" s="127"/>
      <c r="E36" s="127"/>
      <c r="F36" s="27"/>
      <c r="G36" s="126"/>
      <c r="H36" s="127"/>
      <c r="I36" s="126"/>
      <c r="J36" s="127"/>
    </row>
    <row r="37" spans="1:14" s="7" customFormat="1" ht="24.95" customHeight="1" thickBot="1">
      <c r="A37" s="149"/>
      <c r="B37" s="112"/>
      <c r="C37" s="111"/>
      <c r="D37" s="112"/>
      <c r="E37" s="112"/>
      <c r="F37" s="111"/>
      <c r="G37" s="112"/>
      <c r="H37" s="112"/>
      <c r="I37" s="112"/>
      <c r="J37" s="112"/>
    </row>
    <row r="38" spans="1:14" s="5" customFormat="1" ht="18" customHeight="1">
      <c r="A38" s="28" t="s">
        <v>57</v>
      </c>
      <c r="B38" s="29" t="s">
        <v>58</v>
      </c>
      <c r="C38" s="113" t="s">
        <v>59</v>
      </c>
      <c r="D38" s="114"/>
      <c r="E38" s="30" t="s">
        <v>60</v>
      </c>
      <c r="F38" s="31" t="s">
        <v>61</v>
      </c>
      <c r="G38" s="32" t="s">
        <v>62</v>
      </c>
      <c r="H38" s="33" t="s">
        <v>63</v>
      </c>
      <c r="I38" s="154" t="s">
        <v>64</v>
      </c>
      <c r="J38" s="155"/>
    </row>
    <row r="39" spans="1:14" s="7" customFormat="1" ht="18" customHeight="1">
      <c r="A39" s="96" t="str">
        <f>_xlfn.XLOOKUP(B3,[1]VFDB2!$A:$A,[1]VFDB2!$J:$J)</f>
        <v>〇</v>
      </c>
      <c r="B39" s="35">
        <f>D3</f>
        <v>613</v>
      </c>
      <c r="C39" s="115" t="str">
        <f>_xlfn.XLOOKUP(B3,[1]VFDB2!$A:$A,[1]VFDB2!$Z:$Z)</f>
        <v>H型ジョイナー端材</v>
      </c>
      <c r="D39" s="116"/>
      <c r="E39" s="117" t="str" cm="1">
        <f t="array" ref="E39">IFERROR(INDEX(_xlfn._xlws.FILTER([2]加工記録２!C:C,[2]加工記録２!U:U=B5),9),"")</f>
        <v/>
      </c>
      <c r="F39" s="36" t="str" cm="1">
        <f t="array" ref="F39">IFERROR("切断加工：" &amp;_xlfn.TEXTJOIN(" / ",TRUE,INDEX(_xlfn._xlws.FILTER([2]加工記録２!M:M,[2]加工記録２!U:U=B5),9),INDEX(_xlfn._xlws.FILTER([2]加工記録２!N:N,[2]加工記録２!U:U=B5),9)),"")</f>
        <v/>
      </c>
      <c r="G39" s="37" t="str" cm="1">
        <f t="array" ref="G39">IFERROR(IF(_xlfn.TAKE(_xlfn._xlws.FILTER([2]加工記録２!$M:$N,[2]加工記録２!$U:$U=B5),5)=0,"",_xlfn.TAKE(_xlfn._xlws.FILTER([2]加工記録２!$M:$N,[2]加工記録２!$U:$U=B5),5)),"")</f>
        <v/>
      </c>
      <c r="H39" s="38"/>
      <c r="I39" s="41" t="s">
        <v>65</v>
      </c>
      <c r="J39" s="42" t="str" cm="1">
        <f t="array" ref="J39:J44">IFERROR(INDEX(_xlfn._xlws.FILTER([2]加工記録２!P:P, [2]加工記録２!U:U=B5),_xlfn.SEQUENCE(6)),"")</f>
        <v/>
      </c>
    </row>
    <row r="40" spans="1:14" s="5" customFormat="1" ht="18" customHeight="1">
      <c r="A40" s="46" t="s">
        <v>66</v>
      </c>
      <c r="B40" s="47" t="s">
        <v>67</v>
      </c>
      <c r="C40" s="115"/>
      <c r="D40" s="116"/>
      <c r="E40" s="117"/>
      <c r="F40" s="48" t="str" cm="1">
        <f t="array" ref="F40">IFERROR("外観検査：" &amp;_xlfn.TEXTJOIN(" / ",TRUE,INDEX(_xlfn._xlws.FILTER([2]加工記録２!M:M,[2]加工記録２!U:U=B5),10),INDEX(_xlfn._xlws.FILTER([2]加工記録２!N:N,[2]加工記録２!U:U=B5),10)),"")</f>
        <v/>
      </c>
      <c r="G40" s="37"/>
      <c r="H40" s="38"/>
      <c r="I40" s="41" t="s">
        <v>68</v>
      </c>
      <c r="J40" s="43" t="str">
        <v/>
      </c>
      <c r="K40" s="49"/>
    </row>
    <row r="41" spans="1:14" s="7" customFormat="1" ht="18" customHeight="1">
      <c r="A41" s="34" t="str">
        <f>_xlfn.XLOOKUP(B3,[1]VFDB2!$A:$A,[1]VFDB2!$L:$L)</f>
        <v>+2</v>
      </c>
      <c r="B41" s="50" t="str">
        <f>_xlfn.XLOOKUP(B3,[1]VFDB2!$A:$A,[1]VFDB2!$AC:$AC)</f>
        <v>換算表確認</v>
      </c>
      <c r="C41" s="118" t="s">
        <v>69</v>
      </c>
      <c r="D41" s="119" t="str">
        <f>_xlfn.XLOOKUP(B3,[1]VFDB2!$A:$A,[1]VFDB2!$W:$W)</f>
        <v>クラフト紙：1370型　1/2</v>
      </c>
      <c r="E41" s="119"/>
      <c r="F41" s="120"/>
      <c r="G41" s="37"/>
      <c r="H41" s="38"/>
      <c r="I41" s="41" t="s">
        <v>70</v>
      </c>
      <c r="J41" s="43" t="str">
        <v/>
      </c>
      <c r="K41" s="51"/>
    </row>
    <row r="42" spans="1:14" s="5" customFormat="1" ht="18" customHeight="1">
      <c r="A42" s="52" t="s">
        <v>71</v>
      </c>
      <c r="B42" s="53" t="s">
        <v>72</v>
      </c>
      <c r="C42" s="118"/>
      <c r="D42" s="119" t="str">
        <f>_xlfn.XLOOKUP(B3,[1]VFDB2!$A:$A,[1]VFDB2!$R:$R)</f>
        <v>ラベル２枚　長手有　鉢巻無</v>
      </c>
      <c r="E42" s="119"/>
      <c r="F42" s="120"/>
      <c r="G42" s="37"/>
      <c r="H42" s="38"/>
      <c r="I42" s="41" t="s">
        <v>73</v>
      </c>
      <c r="J42" s="43" t="str">
        <v/>
      </c>
      <c r="K42" s="49"/>
    </row>
    <row r="43" spans="1:14" s="7" customFormat="1" ht="18" customHeight="1" thickBot="1">
      <c r="A43" s="54">
        <f>_xlfn.XLOOKUP(B3,[1]VFDB2!$A:$A,[1]VFDB2!$K:$K)</f>
        <v>-2</v>
      </c>
      <c r="B43" s="55">
        <f>_xlfn.XLOOKUP(B3,[1]VFDB2!$A:$A,[1]VFDB2!$P:$P)</f>
        <v>2</v>
      </c>
      <c r="C43" s="56" t="s">
        <v>74</v>
      </c>
      <c r="D43" s="124" t="str">
        <f>_xlfn.XLOOKUP(B3,[1]VFDB2!$A:$A,[1]VFDB2!$V:$V)</f>
        <v>梱包箱:薄型1334　1/2</v>
      </c>
      <c r="E43" s="124"/>
      <c r="F43" s="125"/>
      <c r="G43" s="39"/>
      <c r="H43" s="40"/>
      <c r="I43" s="41" t="s">
        <v>75</v>
      </c>
      <c r="J43" s="44" t="str">
        <v/>
      </c>
      <c r="K43" s="51"/>
    </row>
    <row r="44" spans="1:14" s="5" customFormat="1" ht="18" customHeight="1" thickBot="1">
      <c r="A44" s="57" t="s">
        <v>76</v>
      </c>
      <c r="B44" s="58" t="str" cm="1">
        <f t="array" ref="B44">IF(SUM(--(ISTEXT(B45:B55)*(B45:B55&lt;&gt;"")))=0,"計測Lot","計測Lot・加工数")</f>
        <v>計測Lot</v>
      </c>
      <c r="C44" s="59" t="s">
        <v>77</v>
      </c>
      <c r="D44" s="60" t="s">
        <v>78</v>
      </c>
      <c r="E44" s="97" t="s">
        <v>79</v>
      </c>
      <c r="F44" s="98" t="str" cm="1">
        <f t="array" ref="F44">IF(SUM(--(ISTEXT(B45:B55)*(B45:B55&lt;&gt;"")))=0,"記入不要","使用Lot")</f>
        <v>記入不要</v>
      </c>
      <c r="G44" s="61" t="s">
        <v>80</v>
      </c>
      <c r="H44" s="62" t="s">
        <v>81</v>
      </c>
      <c r="I44" s="63" t="s">
        <v>82</v>
      </c>
      <c r="J44" s="45" t="str">
        <v/>
      </c>
      <c r="K44" s="49"/>
    </row>
    <row r="45" spans="1:14" s="7" customFormat="1" ht="18" customHeight="1">
      <c r="A45" s="64" t="str" cm="1">
        <f t="array" ref="A45:A55">IFERROR(INDEX(_xlfn._xlws.FILTER([2]加工記録２!$D:$D,[2]加工記録２!$U:$U=B5),_xlfn.SEQUENCE(11),0),"")</f>
        <v/>
      </c>
      <c r="B45" s="68" t="str" cm="1">
        <f t="array" ref="B45:B55">IFERROR(IF(INDEX(_xlfn._xlws.FILTER([2]加工記録２!$E:$E,[2]加工記録２!$U:$U=B5),_xlfn.SEQUENCE(11))="","",INDEX(_xlfn._xlws.FILTER([2]加工記録２!$E:$E,[2]加工記録２!$U:$U=B5),_xlfn.SEQUENCE(11)) &amp; IF(INDEX(_xlfn._xlws.FILTER([2]加工記録２!$F:$F,[2]加工記録２!$U:$U=B5),_xlfn.SEQUENCE(11))="","", " × " &amp; INDEX(_xlfn._xlws.FILTER([2]加工記録２!$F:$F,[2]加工記録２!$U:$U=B5),_xlfn.SEQUENCE(11)))),"")</f>
        <v/>
      </c>
      <c r="C45" s="71" t="str" cm="1">
        <f t="array" ref="C45">IFERROR(IF(_xlfn.TAKE(_xlfn._xlws.FILTER([2]加工記録２!$G:$L,[2]加工記録２!$U:$U=B5),11)=0,"",_xlfn.TAKE(_xlfn._xlws.FILTER([2]加工記録２!$G:$L,[2]加工記録２!$U:$U=B5),11)),"")</f>
        <v/>
      </c>
      <c r="D45" s="72"/>
      <c r="E45" s="99"/>
      <c r="F45" s="100"/>
      <c r="G45" s="73"/>
      <c r="H45" s="74"/>
      <c r="I45" s="105" t="s">
        <v>83</v>
      </c>
      <c r="J45" s="106"/>
      <c r="K45" s="82"/>
    </row>
    <row r="46" spans="1:14" s="5" customFormat="1" ht="18" customHeight="1">
      <c r="A46" s="65" t="str">
        <v/>
      </c>
      <c r="B46" s="69" t="str">
        <v/>
      </c>
      <c r="C46" s="75"/>
      <c r="D46" s="76"/>
      <c r="E46" s="101"/>
      <c r="F46" s="102"/>
      <c r="G46" s="75"/>
      <c r="H46" s="77"/>
      <c r="I46" s="83" t="s">
        <v>84</v>
      </c>
      <c r="J46" s="77" t="str" cm="1">
        <f t="array" ref="J46:J55">IFERROR(INDEX(_xlfn._xlws.FILTER([2]加工記録２!R:R, [2]加工記録２!U:U=B5),_xlfn.SEQUENCE(10)),"")</f>
        <v/>
      </c>
      <c r="K46" s="82"/>
    </row>
    <row r="47" spans="1:14" s="88" customFormat="1" ht="18.95" customHeight="1">
      <c r="A47" s="66" t="str">
        <v/>
      </c>
      <c r="B47" s="69" t="str">
        <v/>
      </c>
      <c r="C47" s="75"/>
      <c r="D47" s="76"/>
      <c r="E47" s="101"/>
      <c r="F47" s="102"/>
      <c r="G47" s="75"/>
      <c r="H47" s="77"/>
      <c r="I47" s="83" t="s">
        <v>85</v>
      </c>
      <c r="J47" s="77" t="str">
        <v/>
      </c>
      <c r="K47" s="86"/>
      <c r="L47" s="87"/>
      <c r="M47" s="87"/>
      <c r="N47" s="87"/>
    </row>
    <row r="48" spans="1:14" s="91" customFormat="1" ht="18.95" customHeight="1">
      <c r="A48" s="66" t="str">
        <v/>
      </c>
      <c r="B48" s="69" t="str">
        <v/>
      </c>
      <c r="C48" s="75"/>
      <c r="D48" s="76"/>
      <c r="E48" s="101"/>
      <c r="F48" s="102"/>
      <c r="G48" s="75"/>
      <c r="H48" s="77"/>
      <c r="I48" s="83" t="s">
        <v>86</v>
      </c>
      <c r="J48" s="77" t="str">
        <v/>
      </c>
      <c r="K48" s="89"/>
      <c r="L48" s="90"/>
      <c r="M48" s="90"/>
      <c r="N48" s="90"/>
    </row>
    <row r="49" spans="1:14" s="91" customFormat="1" ht="18.95" customHeight="1">
      <c r="A49" s="66" t="str">
        <v/>
      </c>
      <c r="B49" s="69" t="str">
        <v/>
      </c>
      <c r="C49" s="75"/>
      <c r="D49" s="76"/>
      <c r="E49" s="101"/>
      <c r="F49" s="102"/>
      <c r="G49" s="75"/>
      <c r="H49" s="77"/>
      <c r="I49" s="83" t="s">
        <v>87</v>
      </c>
      <c r="J49" s="77" t="str">
        <v/>
      </c>
      <c r="K49" s="89"/>
      <c r="L49" s="90"/>
      <c r="M49" s="90"/>
      <c r="N49" s="90"/>
    </row>
    <row r="50" spans="1:14" s="91" customFormat="1" ht="18.95" customHeight="1">
      <c r="A50" s="66" t="str">
        <v/>
      </c>
      <c r="B50" s="69" t="str">
        <v/>
      </c>
      <c r="C50" s="75"/>
      <c r="D50" s="76"/>
      <c r="E50" s="101"/>
      <c r="F50" s="102"/>
      <c r="G50" s="75"/>
      <c r="H50" s="77"/>
      <c r="I50" s="83" t="s">
        <v>88</v>
      </c>
      <c r="J50" s="77" t="str">
        <v/>
      </c>
      <c r="K50" s="89"/>
      <c r="L50" s="90"/>
      <c r="M50" s="90"/>
      <c r="N50" s="90"/>
    </row>
    <row r="51" spans="1:14" s="91" customFormat="1" ht="18.95" customHeight="1">
      <c r="A51" s="66" t="str">
        <v/>
      </c>
      <c r="B51" s="69" t="str">
        <v/>
      </c>
      <c r="C51" s="75"/>
      <c r="D51" s="76"/>
      <c r="E51" s="101"/>
      <c r="F51" s="102"/>
      <c r="G51" s="75"/>
      <c r="H51" s="77"/>
      <c r="I51" s="83" t="s">
        <v>89</v>
      </c>
      <c r="J51" s="77" t="str">
        <v/>
      </c>
      <c r="K51" s="89"/>
      <c r="L51" s="90"/>
      <c r="M51" s="90"/>
      <c r="N51" s="90"/>
    </row>
    <row r="52" spans="1:14" s="91" customFormat="1" ht="18.95" customHeight="1">
      <c r="A52" s="66" t="str">
        <v/>
      </c>
      <c r="B52" s="69" t="str">
        <v/>
      </c>
      <c r="C52" s="75"/>
      <c r="D52" s="76"/>
      <c r="E52" s="101"/>
      <c r="F52" s="102"/>
      <c r="G52" s="75"/>
      <c r="H52" s="77"/>
      <c r="I52" s="92" t="s">
        <v>90</v>
      </c>
      <c r="J52" s="77" t="str">
        <v/>
      </c>
      <c r="K52" s="89"/>
      <c r="L52" s="90"/>
      <c r="M52" s="90"/>
      <c r="N52" s="90"/>
    </row>
    <row r="53" spans="1:14" s="91" customFormat="1" ht="18.95" customHeight="1">
      <c r="A53" s="66" t="str">
        <v/>
      </c>
      <c r="B53" s="69" t="str">
        <v/>
      </c>
      <c r="C53" s="75"/>
      <c r="D53" s="76"/>
      <c r="E53" s="101"/>
      <c r="F53" s="102"/>
      <c r="G53" s="75"/>
      <c r="H53" s="77"/>
      <c r="I53" s="92" t="s">
        <v>91</v>
      </c>
      <c r="J53" s="77" t="str">
        <v/>
      </c>
      <c r="K53" s="89"/>
      <c r="L53" s="90"/>
      <c r="M53" s="90"/>
      <c r="N53" s="90"/>
    </row>
    <row r="54" spans="1:14" s="91" customFormat="1" ht="18.95" customHeight="1">
      <c r="A54" s="66" t="str">
        <v/>
      </c>
      <c r="B54" s="69" t="str">
        <v/>
      </c>
      <c r="C54" s="75"/>
      <c r="D54" s="76"/>
      <c r="E54" s="101"/>
      <c r="F54" s="102"/>
      <c r="G54" s="75"/>
      <c r="H54" s="77"/>
      <c r="I54" s="83" t="s">
        <v>92</v>
      </c>
      <c r="J54" s="84" t="str">
        <v/>
      </c>
      <c r="K54" s="89"/>
      <c r="L54" s="90"/>
      <c r="M54" s="90"/>
      <c r="N54" s="90"/>
    </row>
    <row r="55" spans="1:14" s="91" customFormat="1" ht="18.95" customHeight="1" thickBot="1">
      <c r="A55" s="67" t="str">
        <v/>
      </c>
      <c r="B55" s="70" t="str">
        <v/>
      </c>
      <c r="C55" s="78"/>
      <c r="D55" s="79"/>
      <c r="E55" s="103"/>
      <c r="F55" s="104"/>
      <c r="G55" s="80"/>
      <c r="H55" s="81"/>
      <c r="I55" s="93" t="s">
        <v>93</v>
      </c>
      <c r="J55" s="85" t="str">
        <v/>
      </c>
      <c r="K55" s="89"/>
      <c r="L55" s="90"/>
      <c r="M55" s="90"/>
      <c r="N55" s="90"/>
    </row>
    <row r="56" spans="1:14" ht="6" customHeight="1" thickBot="1">
      <c r="A56" s="94"/>
      <c r="B56" s="95"/>
      <c r="C56" s="95"/>
      <c r="D56" s="94"/>
      <c r="E56" s="95"/>
      <c r="F56" s="95"/>
      <c r="G56" s="95"/>
      <c r="H56" s="95"/>
    </row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/>
    <row r="59" spans="1:14" ht="14.25" customHeight="1"/>
    <row r="60" spans="1:14" ht="13.5" customHeight="1"/>
    <row r="61" spans="1:14" ht="13.5" customHeight="1"/>
    <row r="67" ht="14.25" customHeight="1"/>
    <row r="68" ht="13.5" customHeight="1"/>
  </sheetData>
  <mergeCells count="95">
    <mergeCell ref="I38:J38"/>
    <mergeCell ref="C29:E29"/>
    <mergeCell ref="A31:B31"/>
    <mergeCell ref="C37:E37"/>
    <mergeCell ref="A32:B32"/>
    <mergeCell ref="A36:B36"/>
    <mergeCell ref="A37:B37"/>
    <mergeCell ref="F37:J37"/>
    <mergeCell ref="G32:H32"/>
    <mergeCell ref="I34:J34"/>
    <mergeCell ref="G36:H36"/>
    <mergeCell ref="I36:J36"/>
    <mergeCell ref="A35:B35"/>
    <mergeCell ref="C36:E36"/>
    <mergeCell ref="F35:J35"/>
    <mergeCell ref="F33:J33"/>
    <mergeCell ref="F31:J31"/>
    <mergeCell ref="C34:E34"/>
    <mergeCell ref="C22:D22"/>
    <mergeCell ref="F26:J26"/>
    <mergeCell ref="I21:J21"/>
    <mergeCell ref="C28:E28"/>
    <mergeCell ref="C21:D21"/>
    <mergeCell ref="I22:J22"/>
    <mergeCell ref="I28:J28"/>
    <mergeCell ref="G28:H28"/>
    <mergeCell ref="I23:J23"/>
    <mergeCell ref="C30:E30"/>
    <mergeCell ref="C23:D23"/>
    <mergeCell ref="C26:D26"/>
    <mergeCell ref="G30:H30"/>
    <mergeCell ref="F3:H4"/>
    <mergeCell ref="I18:J18"/>
    <mergeCell ref="G34:H34"/>
    <mergeCell ref="A33:B33"/>
    <mergeCell ref="A3:A4"/>
    <mergeCell ref="A5:A6"/>
    <mergeCell ref="I4:I5"/>
    <mergeCell ref="B5:B6"/>
    <mergeCell ref="F19:H19"/>
    <mergeCell ref="A29:B29"/>
    <mergeCell ref="I32:J32"/>
    <mergeCell ref="D3:D4"/>
    <mergeCell ref="A15:J15"/>
    <mergeCell ref="C32:E32"/>
    <mergeCell ref="I19:J19"/>
    <mergeCell ref="B7:B8"/>
    <mergeCell ref="C18:D18"/>
    <mergeCell ref="C35:E35"/>
    <mergeCell ref="A34:B34"/>
    <mergeCell ref="E5:E6"/>
    <mergeCell ref="F29:J29"/>
    <mergeCell ref="I12:J13"/>
    <mergeCell ref="F5:H6"/>
    <mergeCell ref="C16:D16"/>
    <mergeCell ref="C31:E31"/>
    <mergeCell ref="F7:G7"/>
    <mergeCell ref="F23:H23"/>
    <mergeCell ref="C20:D20"/>
    <mergeCell ref="F16:H16"/>
    <mergeCell ref="F20:H20"/>
    <mergeCell ref="A12:C13"/>
    <mergeCell ref="A25:B25"/>
    <mergeCell ref="B1:D2"/>
    <mergeCell ref="I20:J20"/>
    <mergeCell ref="G12:G13"/>
    <mergeCell ref="C19:D19"/>
    <mergeCell ref="A28:B28"/>
    <mergeCell ref="F21:H21"/>
    <mergeCell ref="C25:E25"/>
    <mergeCell ref="B3:B4"/>
    <mergeCell ref="H10:J11"/>
    <mergeCell ref="I16:J16"/>
    <mergeCell ref="I25:J25"/>
    <mergeCell ref="J4:J5"/>
    <mergeCell ref="C3:C4"/>
    <mergeCell ref="G25:H25"/>
    <mergeCell ref="E3:E4"/>
    <mergeCell ref="F18:H18"/>
    <mergeCell ref="I45:J45"/>
    <mergeCell ref="A7:A8"/>
    <mergeCell ref="G10:G11"/>
    <mergeCell ref="F22:H22"/>
    <mergeCell ref="C38:D38"/>
    <mergeCell ref="C39:D40"/>
    <mergeCell ref="E39:E40"/>
    <mergeCell ref="C41:C42"/>
    <mergeCell ref="D41:F41"/>
    <mergeCell ref="H12:H13"/>
    <mergeCell ref="F9:G9"/>
    <mergeCell ref="C33:E33"/>
    <mergeCell ref="D42:F42"/>
    <mergeCell ref="D43:F43"/>
    <mergeCell ref="I30:J30"/>
    <mergeCell ref="A30:B30"/>
  </mergeCells>
  <phoneticPr fontId="2"/>
  <conditionalFormatting sqref="A45:B55 D45:E45 C46:E55">
    <cfRule type="cellIs" dxfId="1" priority="2" operator="between">
      <formula>0</formula>
      <formula>0</formula>
    </cfRule>
  </conditionalFormatting>
  <conditionalFormatting sqref="A55:H55">
    <cfRule type="expression" dxfId="0" priority="1">
      <formula>ISNUMBER(SEARCH("灯具",$F3))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k3358</cp:lastModifiedBy>
  <cp:lastPrinted>2026-02-25T02:52:50Z</cp:lastPrinted>
  <dcterms:created xsi:type="dcterms:W3CDTF">2024-07-11T02:08:33Z</dcterms:created>
  <dcterms:modified xsi:type="dcterms:W3CDTF">2026-04-03T05:25:38Z</dcterms:modified>
</cp:coreProperties>
</file>