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06F72E95-EA48-4B44-88C9-89FB16A703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<sst xmlns="http://schemas.openxmlformats.org/spreadsheetml/2006/main" count="105" uniqueCount="100">
  <si>
    <t>検査梱包指示書</t>
  </si>
  <si>
    <t>品目番号</t>
  </si>
  <si>
    <t>J1JAZZB10808880</t>
  </si>
  <si>
    <t>Ｌ寸</t>
  </si>
  <si>
    <t>名称</t>
  </si>
  <si>
    <t>8FL2813045010</t>
  </si>
  <si>
    <t>上長</t>
  </si>
  <si>
    <t>係員</t>
  </si>
  <si>
    <t>製造指図№</t>
  </si>
  <si>
    <t>000000000010790</t>
  </si>
  <si>
    <t>原料名</t>
  </si>
  <si>
    <t>(CASE 888MILK-W4)</t>
  </si>
  <si>
    <t>発注明細№</t>
  </si>
  <si>
    <t>000000000819606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</si>
  <si>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</si>
  <si>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</si>
  <si>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</si>
  <si>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</si>
  <si>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</si>
  <si>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</si>
  <si>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</si>
  <si>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</si>
  <si>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</si>
  <si>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</si>
  <si>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</si>
  <si>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*J1JAZZB10808880*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</si>
  <si>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</si>
  <si>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</si>
  <si>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</si>
  <si>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</si>
  <si>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</si>
  <si>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</si>
  <si>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</si>
  <si>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</si>
  <si>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</si>
  <si>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</si>
  <si>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</si>
  <si>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</si>
  <si>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</si>
  <si>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</si>
  <si>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</si>
  <si>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</si>
  <si>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</si>
  <si>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</si>
  <si>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</si>
  <si>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</si>
  <si>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</si>
  <si>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</si>
  <si>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</si>
  <si>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</si>
  <si>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</si>
  <si>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</si>
  <si>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　898X275X166</t>
  </si>
  <si>
    <t>*J6DW0089*</t>
  </si>
  <si>
    <t>L888×W275×H166</t>
  </si>
  <si>
    <t>J6XX0044</t>
  </si>
  <si>
    <t>(管理外)筋入ｸﾗﾌﾄ紙</t>
  </si>
  <si>
    <t>*J6XX0044*</t>
  </si>
  <si>
    <t>400＊900</t>
  </si>
  <si>
    <t>J6XX0051</t>
  </si>
  <si>
    <t>(管理外)LLDPE規格ｼｰﾄ0.02×950×100m</t>
  </si>
  <si>
    <t>*J6XX0051*</t>
  </si>
  <si>
    <t>0.02×950×100m</t>
  </si>
  <si>
    <t>使用数</t>
    <rPh sb="0" eb="2">
      <t>シヨウ</t>
    </rPh>
    <rPh sb="2" eb="3">
      <t>スウ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</si>
  <si>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</si>
  <si>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</si>
  <si>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</si>
  <si>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</si>
  <si>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</si>
  <si>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</si>
  <si>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</si>
  <si>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</si>
  <si>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</si>
  <si>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</si>
  <si>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</si>
  <si>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</si>
  <si>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作業日</t>
    <phoneticPr fontId="2"/>
  </si>
  <si>
    <t>加工Lot</t>
    <phoneticPr fontId="2"/>
  </si>
  <si>
    <t>梱包箱</t>
    <rPh sb="0" eb="3">
      <t>コンポウバコ</t>
    </rPh>
    <phoneticPr fontId="2"/>
  </si>
  <si>
    <t>作業者</t>
    <rPh sb="0" eb="3">
      <t>サギョウシャ</t>
    </rPh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</si>
  <si>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</si>
  <si>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</si>
  <si>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</si>
  <si>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</si>
  <si>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備考</t>
    <rPh sb="0" eb="2">
      <t>ビコウ</t>
    </rPh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</si>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</sst>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#"/>
    <numFmt numFmtId="186" formatCode="&quot;L=&quot;0.0_ "/>
    <numFmt numFmtId="189" formatCode="0.00_ "/>
    <numFmt numFmtId="193" formatCode="yy\,mm\,dd"/>
    <numFmt numFmtId="194" formatCode="#&quot;箱&quot;"/>
    <numFmt numFmtId="197" formatCode="#&quot;枚&quot;;;"/>
    <numFmt numFmtId="198" formatCode="&quot;切断作業&quot;"/>
    <numFmt numFmtId="199" formatCode="mm&quot;月&quot;dd&quot;日&quot;;;"/>
    <numFmt numFmtId="200" formatCode="&quot;外観検査&quot;#"/>
    <numFmt numFmtId="201" formatCode="&quot;端&quot;mm/dd;;"/>
    <numFmt numFmtId="202" formatCode="&quot;初&quot;mm/dd;;"/>
    <numFmt numFmtId="203" formatCode="mm/dd;;"/>
    <numFmt numFmtId="204" formatCode="&quot;不&quot;mm/dd;;"/>
    <numFmt numFmtId="205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</fills>
  <borders count="3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5" fillId="6" borderId="0" applyNumberFormat="0" applyBorder="0" applyAlignment="0" applyProtection="0">
      <alignment vertical="center"/>
    </xf>
    <xf numFmtId="0" fontId="1" fillId="0" borderId="0"/>
  </cellStyleXfs>
  <cellXfs count="152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7" fillId="0" borderId="0" xfId="1" applyNumberFormat="1" applyFont="1" applyAlignment="1">
      <alignment horizontal="left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0" fillId="0" borderId="0" xfId="0" applyFont="1">
      <alignment vertical="center"/>
    </xf>
    <xf numFmtId="49" fontId="21" fillId="0" borderId="0" xfId="0" applyNumberFormat="1" applyFont="1" applyAlignment="1">
      <alignment vertical="top" shrinkToFit="1"/>
    </xf>
    <xf numFmtId="179" fontId="22" fillId="4" borderId="2" xfId="0" applyNumberFormat="1" applyFont="1" applyFill="1" applyBorder="1" applyAlignment="1">
      <alignment horizontal="center" vertical="center"/>
    </xf>
    <xf numFmtId="179" fontId="22" fillId="4" borderId="21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49" fontId="24" fillId="0" borderId="0" xfId="0" applyNumberFormat="1" applyFont="1" applyAlignment="1">
      <alignment vertical="top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0" fontId="26" fillId="2" borderId="16" xfId="0" applyFont="1" applyFill="1" applyBorder="1" applyAlignment="1">
      <alignment horizontal="center" vertical="center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3" borderId="17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49" fontId="24" fillId="3" borderId="19" xfId="1" applyNumberFormat="1" applyFont="1" applyFill="1" applyBorder="1" applyAlignment="1">
      <alignment horizontal="center" vertical="center" shrinkToFit="1"/>
    </xf>
    <xf numFmtId="49" fontId="27" fillId="4" borderId="26" xfId="1" applyNumberFormat="1" applyFont="1" applyFill="1" applyBorder="1" applyAlignment="1">
      <alignment horizontal="center" vertical="center" shrinkToFit="1"/>
    </xf>
    <xf numFmtId="49" fontId="27" fillId="4" borderId="19" xfId="1" applyNumberFormat="1" applyFont="1" applyFill="1" applyBorder="1" applyAlignment="1">
      <alignment horizontal="center" vertical="center" shrinkToFit="1"/>
    </xf>
    <xf numFmtId="49" fontId="27" fillId="4" borderId="17" xfId="1" applyNumberFormat="1" applyFont="1" applyFill="1" applyBorder="1" applyAlignment="1">
      <alignment horizontal="center" vertical="center" shrinkToFit="1"/>
    </xf>
    <xf numFmtId="49" fontId="27" fillId="4" borderId="19" xfId="1" applyNumberFormat="1" applyFont="1" applyFill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/>
    </xf>
    <xf numFmtId="186" fontId="27" fillId="0" borderId="27" xfId="0" applyNumberFormat="1" applyFont="1" applyBorder="1" applyAlignment="1">
      <alignment horizontal="center" vertical="center"/>
    </xf>
    <xf numFmtId="179" fontId="29" fillId="5" borderId="20" xfId="0" applyNumberFormat="1" applyFont="1" applyFill="1" applyBorder="1" applyAlignment="1">
      <alignment horizontal="center" vertical="center" shrinkToFit="1"/>
    </xf>
    <xf numFmtId="179" fontId="29" fillId="5" borderId="2" xfId="0" applyNumberFormat="1" applyFont="1" applyFill="1" applyBorder="1" applyAlignment="1">
      <alignment horizontal="center" vertical="center" shrinkToFit="1"/>
    </xf>
    <xf numFmtId="197" fontId="29" fillId="0" borderId="2" xfId="1" applyNumberFormat="1" applyFont="1" applyBorder="1" applyAlignment="1">
      <alignment horizontal="center" vertical="center" shrinkToFit="1"/>
    </xf>
    <xf numFmtId="198" fontId="28" fillId="0" borderId="21" xfId="1" applyNumberFormat="1" applyFont="1" applyBorder="1" applyAlignment="1">
      <alignment vertical="center" shrinkToFit="1"/>
    </xf>
    <xf numFmtId="193" fontId="30" fillId="0" borderId="28" xfId="1" applyNumberFormat="1" applyFont="1" applyBorder="1" applyAlignment="1">
      <alignment horizontal="center" vertical="center" shrinkToFit="1"/>
    </xf>
    <xf numFmtId="194" fontId="30" fillId="0" borderId="21" xfId="1" applyNumberFormat="1" applyFont="1" applyBorder="1" applyAlignment="1">
      <alignment horizontal="center" vertical="center" shrinkToFit="1"/>
    </xf>
    <xf numFmtId="193" fontId="30" fillId="0" borderId="29" xfId="1" applyNumberFormat="1" applyFont="1" applyBorder="1" applyAlignment="1">
      <alignment horizontal="center" vertical="center" shrinkToFit="1"/>
    </xf>
    <xf numFmtId="194" fontId="30" fillId="0" borderId="24" xfId="1" applyNumberFormat="1" applyFont="1" applyBorder="1" applyAlignment="1">
      <alignment horizontal="center" vertical="center" shrinkToFit="1"/>
    </xf>
    <xf numFmtId="49" fontId="24" fillId="0" borderId="20" xfId="1" applyNumberFormat="1" applyFont="1" applyBorder="1" applyAlignment="1">
      <alignment horizontal="center" vertical="center" shrinkToFit="1"/>
    </xf>
    <xf numFmtId="199" fontId="24" fillId="0" borderId="21" xfId="1" applyNumberFormat="1" applyFont="1" applyBorder="1" applyAlignment="1">
      <alignment horizontal="center" vertical="center" shrinkToFit="1"/>
    </xf>
    <xf numFmtId="179" fontId="30" fillId="0" borderId="21" xfId="1" applyNumberFormat="1" applyFont="1" applyBorder="1" applyAlignment="1">
      <alignment horizontal="center" vertical="center" shrinkToFit="1"/>
    </xf>
    <xf numFmtId="179" fontId="30" fillId="0" borderId="30" xfId="1" applyNumberFormat="1" applyFont="1" applyBorder="1" applyAlignment="1">
      <alignment horizontal="center" vertical="center" shrinkToFit="1"/>
    </xf>
    <xf numFmtId="179" fontId="30" fillId="0" borderId="24" xfId="1" applyNumberFormat="1" applyFont="1" applyBorder="1" applyAlignment="1">
      <alignment horizontal="center" vertical="center" shrinkToFit="1"/>
    </xf>
    <xf numFmtId="49" fontId="31" fillId="2" borderId="27" xfId="0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200" fontId="28" fillId="0" borderId="21" xfId="1" applyNumberFormat="1" applyFont="1" applyBorder="1" applyAlignment="1">
      <alignment vertical="center" shrinkToFit="1"/>
    </xf>
    <xf numFmtId="0" fontId="27" fillId="0" borderId="27" xfId="0" applyFont="1" applyBorder="1" applyAlignment="1">
      <alignment horizontal="center" vertical="center"/>
    </xf>
    <xf numFmtId="189" fontId="27" fillId="0" borderId="27" xfId="0" applyNumberFormat="1" applyFont="1" applyBorder="1" applyAlignment="1">
      <alignment horizontal="center" vertical="center"/>
    </xf>
    <xf numFmtId="49" fontId="32" fillId="4" borderId="20" xfId="1" applyNumberFormat="1" applyFont="1" applyFill="1" applyBorder="1" applyAlignment="1">
      <alignment horizontal="center" vertical="center" wrapText="1" shrinkToFit="1"/>
    </xf>
    <xf numFmtId="179" fontId="27" fillId="5" borderId="2" xfId="0" applyNumberFormat="1" applyFont="1" applyFill="1" applyBorder="1" applyAlignment="1">
      <alignment horizontal="left" vertical="center" shrinkToFit="1"/>
    </xf>
    <xf numFmtId="179" fontId="27" fillId="5" borderId="21" xfId="0" applyNumberFormat="1" applyFont="1" applyFill="1" applyBorder="1" applyAlignment="1">
      <alignment horizontal="left" vertical="center" shrinkToFit="1"/>
    </xf>
    <xf numFmtId="49" fontId="31" fillId="2" borderId="27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0" fontId="27" fillId="0" borderId="31" xfId="0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 shrinkToFit="1"/>
    </xf>
    <xf numFmtId="49" fontId="32" fillId="4" borderId="22" xfId="1" applyNumberFormat="1" applyFont="1" applyFill="1" applyBorder="1" applyAlignment="1">
      <alignment horizontal="center" vertical="center" shrinkToFit="1"/>
    </xf>
    <xf numFmtId="179" fontId="27" fillId="5" borderId="23" xfId="0" applyNumberFormat="1" applyFont="1" applyFill="1" applyBorder="1" applyAlignment="1">
      <alignment horizontal="left" vertical="center" shrinkToFit="1"/>
    </xf>
    <xf numFmtId="179" fontId="27" fillId="5" borderId="24" xfId="0" applyNumberFormat="1" applyFont="1" applyFill="1" applyBorder="1" applyAlignment="1">
      <alignment horizontal="left" vertical="center" shrinkToFit="1"/>
    </xf>
    <xf numFmtId="0" fontId="19" fillId="7" borderId="16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49" fontId="19" fillId="7" borderId="6" xfId="1" applyNumberFormat="1" applyFont="1" applyFill="1" applyBorder="1" applyAlignment="1">
      <alignment horizontal="center" vertical="center" shrinkToFit="1"/>
    </xf>
    <xf numFmtId="49" fontId="19" fillId="7" borderId="6" xfId="0" applyNumberFormat="1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 shrinkToFit="1"/>
    </xf>
    <xf numFmtId="49" fontId="19" fillId="7" borderId="18" xfId="0" applyNumberFormat="1" applyFont="1" applyFill="1" applyBorder="1" applyAlignment="1">
      <alignment horizontal="center" vertical="center" shrinkToFit="1"/>
    </xf>
    <xf numFmtId="49" fontId="19" fillId="7" borderId="19" xfId="0" applyNumberFormat="1" applyFont="1" applyFill="1" applyBorder="1" applyAlignment="1">
      <alignment horizontal="center" vertical="center" shrinkToFit="1"/>
    </xf>
    <xf numFmtId="49" fontId="24" fillId="0" borderId="22" xfId="1" applyNumberFormat="1" applyFont="1" applyBorder="1" applyAlignment="1">
      <alignment horizontal="center" vertical="center" shrinkToFit="1"/>
    </xf>
    <xf numFmtId="201" fontId="22" fillId="4" borderId="27" xfId="0" applyNumberFormat="1" applyFont="1" applyFill="1" applyBorder="1" applyAlignment="1">
      <alignment horizontal="center" vertical="center"/>
    </xf>
    <xf numFmtId="202" fontId="22" fillId="0" borderId="27" xfId="3" applyNumberFormat="1" applyFont="1" applyBorder="1" applyAlignment="1">
      <alignment horizontal="center" vertical="center" shrinkToFit="1"/>
    </xf>
    <xf numFmtId="203" fontId="22" fillId="0" borderId="27" xfId="3" applyNumberFormat="1" applyFont="1" applyBorder="1" applyAlignment="1">
      <alignment horizontal="center" vertical="center" shrinkToFit="1"/>
    </xf>
    <xf numFmtId="204" fontId="16" fillId="4" borderId="31" xfId="3" applyNumberFormat="1" applyFont="1" applyFill="1" applyBorder="1" applyAlignment="1">
      <alignment horizontal="center" vertical="center" shrinkToFit="1"/>
    </xf>
    <xf numFmtId="205" fontId="22" fillId="4" borderId="20" xfId="1" applyNumberFormat="1" applyFont="1" applyFill="1" applyBorder="1" applyAlignment="1">
      <alignment horizontal="left" vertical="center" wrapText="1" shrinkToFit="1"/>
    </xf>
    <xf numFmtId="49" fontId="22" fillId="0" borderId="20" xfId="3" applyNumberFormat="1" applyFont="1" applyBorder="1" applyAlignment="1">
      <alignment horizontal="left" vertical="center" shrinkToFit="1"/>
    </xf>
    <xf numFmtId="49" fontId="22" fillId="4" borderId="22" xfId="3" applyNumberFormat="1" applyFont="1" applyFill="1" applyBorder="1" applyAlignment="1">
      <alignment horizontal="left" vertical="center" shrinkToFit="1"/>
    </xf>
    <xf numFmtId="0" fontId="24" fillId="4" borderId="25" xfId="3" applyFont="1" applyFill="1" applyBorder="1" applyAlignment="1">
      <alignment vertical="center" shrinkToFit="1"/>
    </xf>
    <xf numFmtId="189" fontId="22" fillId="4" borderId="25" xfId="0" applyNumberFormat="1" applyFont="1" applyFill="1" applyBorder="1" applyAlignment="1">
      <alignment horizontal="center" vertical="center"/>
    </xf>
    <xf numFmtId="189" fontId="22" fillId="4" borderId="25" xfId="0" applyNumberFormat="1" applyFont="1" applyFill="1" applyBorder="1" applyAlignment="1">
      <alignment horizontal="right" vertical="center"/>
    </xf>
    <xf numFmtId="179" fontId="22" fillId="0" borderId="2" xfId="3" applyNumberFormat="1" applyFont="1" applyBorder="1" applyAlignment="1">
      <alignment horizontal="center" vertical="center" shrinkToFit="1"/>
    </xf>
    <xf numFmtId="189" fontId="22" fillId="0" borderId="2" xfId="3" applyNumberFormat="1" applyFont="1" applyBorder="1" applyAlignment="1">
      <alignment horizontal="center" vertical="center" shrinkToFit="1"/>
    </xf>
    <xf numFmtId="189" fontId="22" fillId="0" borderId="2" xfId="3" applyNumberFormat="1" applyFont="1" applyBorder="1" applyAlignment="1">
      <alignment horizontal="right" vertical="center" shrinkToFit="1"/>
    </xf>
    <xf numFmtId="179" fontId="22" fillId="0" borderId="21" xfId="3" applyNumberFormat="1" applyFont="1" applyBorder="1" applyAlignment="1">
      <alignment horizontal="center" vertical="center" shrinkToFit="1"/>
    </xf>
    <xf numFmtId="179" fontId="22" fillId="4" borderId="32" xfId="3" applyNumberFormat="1" applyFont="1" applyFill="1" applyBorder="1" applyAlignment="1">
      <alignment horizontal="center" vertical="center" shrinkToFit="1"/>
    </xf>
    <xf numFmtId="189" fontId="22" fillId="4" borderId="32" xfId="3" applyNumberFormat="1" applyFont="1" applyFill="1" applyBorder="1" applyAlignment="1">
      <alignment horizontal="right" vertical="center" shrinkToFit="1"/>
    </xf>
    <xf numFmtId="179" fontId="22" fillId="4" borderId="23" xfId="3" applyNumberFormat="1" applyFont="1" applyFill="1" applyBorder="1" applyAlignment="1">
      <alignment horizontal="center" vertical="center" shrinkToFit="1"/>
    </xf>
    <xf numFmtId="179" fontId="22" fillId="4" borderId="24" xfId="3" applyNumberFormat="1" applyFont="1" applyFill="1" applyBorder="1" applyAlignment="1">
      <alignment horizontal="center" vertical="center" shrinkToFit="1"/>
    </xf>
    <xf numFmtId="49" fontId="21" fillId="4" borderId="16" xfId="0" applyNumberFormat="1" applyFont="1" applyFill="1" applyBorder="1" applyAlignment="1">
      <alignment horizontal="center" vertical="top" shrinkToFit="1"/>
    </xf>
    <xf numFmtId="49" fontId="21" fillId="4" borderId="33" xfId="0" applyNumberFormat="1" applyFont="1" applyFill="1" applyBorder="1" applyAlignment="1">
      <alignment horizontal="center" vertical="top" shrinkToFit="1"/>
    </xf>
    <xf numFmtId="49" fontId="24" fillId="0" borderId="0" xfId="1" applyNumberFormat="1" applyFont="1" applyAlignment="1">
      <alignment horizontal="left" vertical="center" shrinkToFit="1"/>
    </xf>
    <xf numFmtId="0" fontId="16" fillId="0" borderId="20" xfId="2" applyFont="1" applyFill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top" shrinkToFit="1"/>
    </xf>
    <xf numFmtId="179" fontId="15" fillId="0" borderId="24" xfId="1" applyNumberFormat="1" applyFont="1" applyBorder="1" applyAlignment="1">
      <alignment horizontal="center" vertical="center" shrinkToFit="1"/>
    </xf>
    <xf numFmtId="49" fontId="20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49" fontId="24" fillId="0" borderId="20" xfId="0" applyNumberFormat="1" applyFont="1" applyBorder="1" applyAlignment="1">
      <alignment horizontal="center" vertical="top" shrinkToFit="1"/>
    </xf>
    <xf numFmtId="0" fontId="16" fillId="0" borderId="22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3AF2FE1A-EF7B-4E9A-9B0A-9208ADE375F5}"/>
  </cellStyles>
  <dxfs count="4"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179295</xdr:colOff>
      <xdr:row>3</xdr:row>
      <xdr:rowOff>78441</xdr:rowOff>
    </xdr:from>
    <xdr:to>
      <xdr:col>9</xdr:col>
      <xdr:colOff>683560</xdr:colOff>
      <xdr:row>5</xdr:row>
      <xdr:rowOff>179294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05449DA-8901-8689-2706-91440741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6971" y="616323"/>
          <a:ext cx="504265" cy="504265"/>
        </a:xfrm>
        <a:prstGeom prst="rect">
          <a:avLst/>
        </a:prstGeom>
      </xdr:spPr>
    </xdr:pic>
    <xdr:clientData/>
  </xdr:twoCellAnchor>
  <xdr:twoCellAnchor editAs="oneCell">
    <xdr:from>
      <xdr:col>8</xdr:col>
      <xdr:colOff>168088</xdr:colOff>
      <xdr:row>3</xdr:row>
      <xdr:rowOff>89647</xdr:rowOff>
    </xdr:from>
    <xdr:to>
      <xdr:col>8</xdr:col>
      <xdr:colOff>683559</xdr:colOff>
      <xdr:row>5</xdr:row>
      <xdr:rowOff>201706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1593D9-EFDA-13F3-DB07-8938CD7E8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8941" y="627529"/>
          <a:ext cx="515471" cy="5154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02.xlsm" TargetMode="External"/><Relationship Id="rId1" Type="http://schemas.openxmlformats.org/officeDocument/2006/relationships/externalLinkPath" Target="/Users/user/Desktop/sgt26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J1ZAFJB00208400+</v>
          </cell>
          <cell r="J179" t="str">
            <v>-</v>
          </cell>
          <cell r="K179">
            <v>-2</v>
          </cell>
          <cell r="L179" t="str">
            <v>+2</v>
          </cell>
          <cell r="P179">
            <v>2</v>
          </cell>
          <cell r="R179" t="str">
            <v>ラベル２枚　長手有　鉢巻無</v>
          </cell>
          <cell r="V179" t="str">
            <v>梱包箱:灯具-3　L=970(隙間埋め)</v>
          </cell>
          <cell r="W179" t="str">
            <v>クラフト紙：970型</v>
          </cell>
          <cell r="Z179" t="str">
            <v>灯具-3　L=970</v>
          </cell>
          <cell r="AC179" t="str">
            <v>換算表確認</v>
          </cell>
        </row>
        <row r="180">
          <cell r="A180" t="str">
            <v>J1ZAFJB00205470+</v>
          </cell>
          <cell r="J180" t="str">
            <v>-</v>
          </cell>
          <cell r="K180">
            <v>-2</v>
          </cell>
          <cell r="L180" t="str">
            <v>+2</v>
          </cell>
          <cell r="P180">
            <v>2</v>
          </cell>
          <cell r="R180" t="str">
            <v>ラベル２枚　長手有　鉢巻無</v>
          </cell>
          <cell r="V180" t="str">
            <v>梱包箱:灯具-1　L1370÷2</v>
          </cell>
          <cell r="W180" t="str">
            <v>クラフト紙：1370型　1/2</v>
          </cell>
          <cell r="Z180" t="str">
            <v>灯具-1　L=1370</v>
          </cell>
          <cell r="AC180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Sheet1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</v>
          </cell>
          <cell r="D3">
            <v>46035</v>
          </cell>
          <cell r="E3" t="str">
            <v>25L25-01</v>
          </cell>
          <cell r="F3">
            <v>3</v>
          </cell>
          <cell r="J3" t="str">
            <v>25L25-01</v>
          </cell>
          <cell r="K3">
            <v>3</v>
          </cell>
          <cell r="L3">
            <v>3</v>
          </cell>
          <cell r="M3">
            <v>46051</v>
          </cell>
          <cell r="N3">
            <v>11</v>
          </cell>
          <cell r="P3">
            <v>46051</v>
          </cell>
          <cell r="R3">
            <v>16</v>
          </cell>
          <cell r="U3" t="str">
            <v>000000000011252</v>
          </cell>
        </row>
        <row r="4">
          <cell r="D4">
            <v>46051</v>
          </cell>
          <cell r="E4" t="str">
            <v>26A22-01</v>
          </cell>
          <cell r="F4">
            <v>189</v>
          </cell>
          <cell r="H4" t="str">
            <v/>
          </cell>
          <cell r="J4" t="str">
            <v>26A22-01</v>
          </cell>
          <cell r="K4">
            <v>189</v>
          </cell>
          <cell r="L4">
            <v>189</v>
          </cell>
          <cell r="P4">
            <v>176</v>
          </cell>
          <cell r="U4" t="str">
            <v>000000000011252</v>
          </cell>
        </row>
        <row r="5">
          <cell r="C5">
            <v>176</v>
          </cell>
          <cell r="H5" t="str">
            <v/>
          </cell>
          <cell r="K5">
            <v>0</v>
          </cell>
          <cell r="L5" t="str">
            <v/>
          </cell>
          <cell r="P5">
            <v>192</v>
          </cell>
          <cell r="U5" t="str">
            <v>000000000011252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16</v>
          </cell>
          <cell r="U6" t="str">
            <v>000000000011252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16</v>
          </cell>
          <cell r="U7" t="str">
            <v>000000000011252</v>
          </cell>
        </row>
        <row r="8"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000000000011252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U9" t="str">
            <v>000000000011252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000000000011252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U11" t="str">
            <v>000000000011252</v>
          </cell>
        </row>
        <row r="12">
          <cell r="K12">
            <v>0</v>
          </cell>
          <cell r="L12" t="str">
            <v/>
          </cell>
          <cell r="M12" t="str">
            <v>ｔ</v>
          </cell>
          <cell r="R12">
            <v>16</v>
          </cell>
          <cell r="U12" t="str">
            <v>000000000011252</v>
          </cell>
        </row>
        <row r="13">
          <cell r="F13" t="str">
            <v/>
          </cell>
          <cell r="U13" t="str">
            <v>000000000011252</v>
          </cell>
        </row>
        <row r="14">
          <cell r="C14" t="str">
            <v>灯具カバーPC IN 2130　L=908</v>
          </cell>
          <cell r="D14">
            <v>46035</v>
          </cell>
          <cell r="E14" t="str">
            <v>25L24-01</v>
          </cell>
          <cell r="F14">
            <v>2</v>
          </cell>
          <cell r="J14" t="str">
            <v>25L24-01</v>
          </cell>
          <cell r="K14">
            <v>2</v>
          </cell>
          <cell r="L14">
            <v>2</v>
          </cell>
          <cell r="M14">
            <v>46052</v>
          </cell>
          <cell r="N14">
            <v>11</v>
          </cell>
          <cell r="P14">
            <v>46052</v>
          </cell>
          <cell r="R14">
            <v>12</v>
          </cell>
          <cell r="U14" t="str">
            <v>000000000011253</v>
          </cell>
        </row>
        <row r="15">
          <cell r="D15">
            <v>46052</v>
          </cell>
          <cell r="E15" t="str">
            <v>26A02-01</v>
          </cell>
          <cell r="F15">
            <v>187</v>
          </cell>
          <cell r="H15" t="str">
            <v/>
          </cell>
          <cell r="J15" t="str">
            <v>26A02-01</v>
          </cell>
          <cell r="K15">
            <v>187</v>
          </cell>
          <cell r="L15">
            <v>187</v>
          </cell>
          <cell r="P15">
            <v>176</v>
          </cell>
          <cell r="R15">
            <v>1</v>
          </cell>
          <cell r="U15" t="str">
            <v>000000000011253</v>
          </cell>
        </row>
        <row r="16">
          <cell r="C16">
            <v>176</v>
          </cell>
          <cell r="H16" t="str">
            <v/>
          </cell>
          <cell r="K16">
            <v>0</v>
          </cell>
          <cell r="L16" t="str">
            <v/>
          </cell>
          <cell r="P16">
            <v>189</v>
          </cell>
          <cell r="U16" t="str">
            <v>000000000011253</v>
          </cell>
        </row>
        <row r="17">
          <cell r="C17">
            <v>176</v>
          </cell>
          <cell r="H17" t="str">
            <v/>
          </cell>
          <cell r="K17">
            <v>0</v>
          </cell>
          <cell r="L17" t="str">
            <v/>
          </cell>
          <cell r="P17">
            <v>13</v>
          </cell>
          <cell r="U17" t="str">
            <v>000000000011253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13</v>
          </cell>
          <cell r="U18" t="str">
            <v>000000000011253</v>
          </cell>
        </row>
        <row r="19"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000000000011253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U20" t="str">
            <v>000000000011253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000000000011253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U22" t="str">
            <v>000000000011253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R23">
            <v>13</v>
          </cell>
          <cell r="U23" t="str">
            <v>000000000011253</v>
          </cell>
        </row>
        <row r="24">
          <cell r="F24" t="str">
            <v/>
          </cell>
          <cell r="U24" t="str">
            <v>000000000011253</v>
          </cell>
        </row>
        <row r="25">
          <cell r="C25" t="str">
            <v>8FL281304 6110　L=1478</v>
          </cell>
          <cell r="J25">
            <v>0</v>
          </cell>
          <cell r="K25">
            <v>0</v>
          </cell>
          <cell r="L25" t="str">
            <v/>
          </cell>
          <cell r="M25">
            <v>46052</v>
          </cell>
          <cell r="N25">
            <v>3</v>
          </cell>
          <cell r="P25">
            <v>46055</v>
          </cell>
          <cell r="R25">
            <v>3</v>
          </cell>
          <cell r="U25" t="str">
            <v>000000000011143</v>
          </cell>
        </row>
        <row r="26">
          <cell r="D26">
            <v>46051</v>
          </cell>
          <cell r="E26" t="str">
            <v>26A20-01</v>
          </cell>
          <cell r="F26">
            <v>400</v>
          </cell>
          <cell r="G26">
            <v>14</v>
          </cell>
          <cell r="H26">
            <v>1477.42</v>
          </cell>
          <cell r="I26">
            <v>1477.78</v>
          </cell>
          <cell r="J26" t="str">
            <v>26A20-01</v>
          </cell>
          <cell r="K26">
            <v>403</v>
          </cell>
          <cell r="L26">
            <v>403</v>
          </cell>
          <cell r="M26">
            <v>46055</v>
          </cell>
          <cell r="N26">
            <v>4</v>
          </cell>
          <cell r="P26">
            <v>700</v>
          </cell>
          <cell r="U26" t="str">
            <v>000000000011143</v>
          </cell>
        </row>
        <row r="27">
          <cell r="C27">
            <v>700</v>
          </cell>
          <cell r="G27">
            <v>14</v>
          </cell>
          <cell r="H27">
            <v>1477.42</v>
          </cell>
          <cell r="I27">
            <v>1477.44</v>
          </cell>
          <cell r="K27">
            <v>0</v>
          </cell>
          <cell r="L27" t="str">
            <v/>
          </cell>
          <cell r="P27">
            <v>403</v>
          </cell>
          <cell r="U27" t="str">
            <v>000000000011143</v>
          </cell>
        </row>
        <row r="28">
          <cell r="C28">
            <v>700</v>
          </cell>
          <cell r="H28" t="str">
            <v/>
          </cell>
          <cell r="K28">
            <v>0</v>
          </cell>
          <cell r="L28" t="str">
            <v/>
          </cell>
          <cell r="P28">
            <v>3</v>
          </cell>
          <cell r="U28" t="str">
            <v>000000000011143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3</v>
          </cell>
          <cell r="U29" t="str">
            <v>000000000011143</v>
          </cell>
        </row>
        <row r="30"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7</v>
          </cell>
          <cell r="P30">
            <v>0</v>
          </cell>
          <cell r="U30" t="str">
            <v>000000000011143</v>
          </cell>
        </row>
        <row r="31">
          <cell r="C31" t="str">
            <v>LED-A1478</v>
          </cell>
          <cell r="H31" t="str">
            <v/>
          </cell>
          <cell r="K31">
            <v>0</v>
          </cell>
          <cell r="L31" t="str">
            <v/>
          </cell>
          <cell r="U31" t="str">
            <v>000000000011143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000000000011143</v>
          </cell>
        </row>
        <row r="33">
          <cell r="C33">
            <v>7</v>
          </cell>
          <cell r="H33" t="str">
            <v/>
          </cell>
          <cell r="K33">
            <v>0</v>
          </cell>
          <cell r="L33" t="str">
            <v/>
          </cell>
          <cell r="M33" t="str">
            <v>ｍ</v>
          </cell>
          <cell r="U33" t="str">
            <v>000000000011143</v>
          </cell>
        </row>
        <row r="34">
          <cell r="K34">
            <v>0</v>
          </cell>
          <cell r="L34" t="str">
            <v/>
          </cell>
          <cell r="M34" t="str">
            <v>ｔ</v>
          </cell>
          <cell r="N34" t="str">
            <v>u</v>
          </cell>
          <cell r="R34">
            <v>3</v>
          </cell>
          <cell r="U34" t="str">
            <v>000000000011143</v>
          </cell>
        </row>
        <row r="35">
          <cell r="D35" t="str">
            <v>不良補填</v>
          </cell>
          <cell r="E35" t="str">
            <v>26A20-01</v>
          </cell>
          <cell r="F35">
            <v>3</v>
          </cell>
          <cell r="U35" t="str">
            <v>000000000011143</v>
          </cell>
        </row>
        <row r="36">
          <cell r="C36" t="str">
            <v>8FL281304 8310　L=748</v>
          </cell>
          <cell r="J36">
            <v>0</v>
          </cell>
          <cell r="K36">
            <v>0</v>
          </cell>
          <cell r="L36" t="str">
            <v/>
          </cell>
          <cell r="M36">
            <v>46055</v>
          </cell>
          <cell r="N36">
            <v>2</v>
          </cell>
          <cell r="P36">
            <v>46055</v>
          </cell>
          <cell r="U36" t="str">
            <v>000000000011647</v>
          </cell>
        </row>
        <row r="37">
          <cell r="D37">
            <v>46052</v>
          </cell>
          <cell r="E37" t="str">
            <v>26A20-01</v>
          </cell>
          <cell r="F37">
            <v>400</v>
          </cell>
          <cell r="G37">
            <v>16</v>
          </cell>
          <cell r="H37">
            <v>747.81</v>
          </cell>
          <cell r="I37">
            <v>747.81</v>
          </cell>
          <cell r="J37" t="str">
            <v>26A20-01</v>
          </cell>
          <cell r="K37">
            <v>400</v>
          </cell>
          <cell r="L37">
            <v>200</v>
          </cell>
          <cell r="P37">
            <v>200</v>
          </cell>
          <cell r="U37" t="str">
            <v>000000000011647</v>
          </cell>
        </row>
        <row r="38">
          <cell r="C38">
            <v>200</v>
          </cell>
          <cell r="G38">
            <v>16</v>
          </cell>
          <cell r="H38">
            <v>747.81</v>
          </cell>
          <cell r="I38">
            <v>747.76</v>
          </cell>
          <cell r="K38">
            <v>0</v>
          </cell>
          <cell r="L38" t="str">
            <v/>
          </cell>
          <cell r="P38">
            <v>200</v>
          </cell>
          <cell r="U38" t="str">
            <v>000000000011647</v>
          </cell>
        </row>
        <row r="39">
          <cell r="C39">
            <v>200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000000000011647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000000000011647</v>
          </cell>
        </row>
        <row r="41"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2</v>
          </cell>
          <cell r="P41">
            <v>0</v>
          </cell>
          <cell r="U41" t="str">
            <v>000000000011647</v>
          </cell>
        </row>
        <row r="42">
          <cell r="C42" t="str">
            <v>LED-A888</v>
          </cell>
          <cell r="H42" t="str">
            <v/>
          </cell>
          <cell r="K42">
            <v>0</v>
          </cell>
          <cell r="L42" t="str">
            <v/>
          </cell>
          <cell r="U42" t="str">
            <v>000000000011647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000000000011647</v>
          </cell>
        </row>
        <row r="44">
          <cell r="C44">
            <v>2</v>
          </cell>
          <cell r="H44" t="str">
            <v/>
          </cell>
          <cell r="K44">
            <v>0</v>
          </cell>
          <cell r="L44" t="str">
            <v/>
          </cell>
          <cell r="M44" t="str">
            <v>m</v>
          </cell>
          <cell r="U44" t="str">
            <v>000000000011647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R45">
            <v>0</v>
          </cell>
          <cell r="U45" t="str">
            <v>000000000011647</v>
          </cell>
        </row>
        <row r="46">
          <cell r="D46" t="str">
            <v>不良補填</v>
          </cell>
          <cell r="F46">
            <v>0</v>
          </cell>
          <cell r="U46" t="str">
            <v>000000000011647</v>
          </cell>
        </row>
        <row r="47">
          <cell r="C47" t="str">
            <v>8FL281304 4810　L=297</v>
          </cell>
          <cell r="D47">
            <v>46038</v>
          </cell>
          <cell r="E47" t="str">
            <v>25L19-08</v>
          </cell>
          <cell r="F47">
            <v>13</v>
          </cell>
          <cell r="J47" t="str">
            <v>25L19-08</v>
          </cell>
          <cell r="K47">
            <v>13</v>
          </cell>
          <cell r="L47">
            <v>2</v>
          </cell>
          <cell r="M47">
            <v>46055</v>
          </cell>
          <cell r="N47">
            <v>3</v>
          </cell>
          <cell r="P47">
            <v>46055</v>
          </cell>
          <cell r="U47" t="str">
            <v>000000000011132</v>
          </cell>
        </row>
        <row r="48">
          <cell r="D48">
            <v>46052</v>
          </cell>
          <cell r="E48" t="str">
            <v>端材</v>
          </cell>
          <cell r="F48">
            <v>11</v>
          </cell>
          <cell r="G48">
            <v>14</v>
          </cell>
          <cell r="H48">
            <v>296.88</v>
          </cell>
          <cell r="I48">
            <v>297.02999999999997</v>
          </cell>
          <cell r="J48" t="str">
            <v>端材</v>
          </cell>
          <cell r="K48">
            <v>11</v>
          </cell>
          <cell r="L48" t="str">
            <v>0</v>
          </cell>
          <cell r="P48">
            <v>300</v>
          </cell>
          <cell r="U48" t="str">
            <v>000000000011132</v>
          </cell>
        </row>
        <row r="49">
          <cell r="C49">
            <v>300</v>
          </cell>
          <cell r="D49">
            <v>46052</v>
          </cell>
          <cell r="E49" t="str">
            <v>26A21-02</v>
          </cell>
          <cell r="H49" t="str">
            <v/>
          </cell>
          <cell r="J49" t="str">
            <v>26A21-02</v>
          </cell>
          <cell r="K49">
            <v>276</v>
          </cell>
          <cell r="L49">
            <v>46</v>
          </cell>
          <cell r="P49">
            <v>48.166666666666664</v>
          </cell>
          <cell r="U49" t="str">
            <v>000000000011132</v>
          </cell>
        </row>
        <row r="50">
          <cell r="C50">
            <v>300</v>
          </cell>
          <cell r="D50">
            <v>46055</v>
          </cell>
          <cell r="E50" t="str">
            <v>26A21-02</v>
          </cell>
          <cell r="F50">
            <v>276</v>
          </cell>
          <cell r="G50">
            <v>16</v>
          </cell>
          <cell r="H50">
            <v>296.92</v>
          </cell>
          <cell r="I50">
            <v>297.36</v>
          </cell>
          <cell r="K50">
            <v>0</v>
          </cell>
          <cell r="L50" t="str">
            <v/>
          </cell>
          <cell r="P50">
            <v>0</v>
          </cell>
          <cell r="U50" t="str">
            <v>000000000011132</v>
          </cell>
        </row>
        <row r="51">
          <cell r="C51">
            <v>6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000000000011132</v>
          </cell>
        </row>
        <row r="52"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3</v>
          </cell>
          <cell r="P52">
            <v>11</v>
          </cell>
          <cell r="U52" t="str">
            <v>000000000011132</v>
          </cell>
        </row>
        <row r="53">
          <cell r="C53" t="str">
            <v>LED-A300</v>
          </cell>
          <cell r="H53" t="str">
            <v/>
          </cell>
          <cell r="K53">
            <v>0</v>
          </cell>
          <cell r="L53" t="str">
            <v/>
          </cell>
          <cell r="U53" t="str">
            <v>000000000011132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000000000011132</v>
          </cell>
        </row>
        <row r="55">
          <cell r="C55">
            <v>3</v>
          </cell>
          <cell r="H55" t="str">
            <v/>
          </cell>
          <cell r="K55">
            <v>0</v>
          </cell>
          <cell r="L55" t="str">
            <v/>
          </cell>
          <cell r="M55" t="str">
            <v>ｍ</v>
          </cell>
          <cell r="U55" t="str">
            <v>000000000011132</v>
          </cell>
        </row>
        <row r="56">
          <cell r="K56">
            <v>0</v>
          </cell>
          <cell r="L56" t="str">
            <v/>
          </cell>
          <cell r="M56" t="str">
            <v>ｔ</v>
          </cell>
          <cell r="R56">
            <v>0</v>
          </cell>
          <cell r="U56" t="str">
            <v>000000000011132</v>
          </cell>
        </row>
        <row r="57">
          <cell r="D57" t="str">
            <v>不良補填</v>
          </cell>
          <cell r="F57">
            <v>0</v>
          </cell>
          <cell r="U57" t="str">
            <v>000000000011132</v>
          </cell>
        </row>
        <row r="58">
          <cell r="C58" t="str">
            <v>8FL281304 5010　L=888</v>
          </cell>
          <cell r="D58">
            <v>46037</v>
          </cell>
          <cell r="E58" t="str">
            <v>25L19-08</v>
          </cell>
          <cell r="F58">
            <v>3</v>
          </cell>
          <cell r="J58" t="str">
            <v>25L19-08</v>
          </cell>
          <cell r="K58">
            <v>3</v>
          </cell>
          <cell r="L58">
            <v>1</v>
          </cell>
          <cell r="M58">
            <v>46056</v>
          </cell>
          <cell r="N58">
            <v>13</v>
          </cell>
          <cell r="P58">
            <v>46057</v>
          </cell>
          <cell r="R58">
            <v>4</v>
          </cell>
          <cell r="U58" t="str">
            <v>000000000011139</v>
          </cell>
        </row>
        <row r="59">
          <cell r="D59">
            <v>46055</v>
          </cell>
          <cell r="E59" t="str">
            <v>26A21-02</v>
          </cell>
          <cell r="F59">
            <v>397</v>
          </cell>
          <cell r="G59">
            <v>16</v>
          </cell>
          <cell r="H59">
            <v>887.77</v>
          </cell>
          <cell r="I59">
            <v>887.81</v>
          </cell>
          <cell r="J59" t="str">
            <v>26A21-02</v>
          </cell>
          <cell r="K59">
            <v>1490</v>
          </cell>
          <cell r="L59">
            <v>745</v>
          </cell>
          <cell r="M59">
            <v>46057</v>
          </cell>
          <cell r="N59">
            <v>7</v>
          </cell>
          <cell r="P59">
            <v>2000</v>
          </cell>
          <cell r="U59" t="str">
            <v>000000000011139</v>
          </cell>
        </row>
        <row r="60">
          <cell r="C60">
            <v>2000</v>
          </cell>
          <cell r="D60">
            <v>46055</v>
          </cell>
          <cell r="E60" t="str">
            <v>26A21-02</v>
          </cell>
          <cell r="F60">
            <v>400</v>
          </cell>
          <cell r="G60">
            <v>16</v>
          </cell>
          <cell r="H60">
            <v>887.77</v>
          </cell>
          <cell r="I60">
            <v>887.75</v>
          </cell>
          <cell r="J60" t="str">
            <v>26A22-03</v>
          </cell>
          <cell r="K60">
            <v>516</v>
          </cell>
          <cell r="L60">
            <v>258</v>
          </cell>
          <cell r="P60">
            <v>1004.5</v>
          </cell>
          <cell r="R60">
            <v>5</v>
          </cell>
          <cell r="U60" t="str">
            <v>000000000011139</v>
          </cell>
        </row>
        <row r="61">
          <cell r="C61">
            <v>2000</v>
          </cell>
          <cell r="D61">
            <v>46055</v>
          </cell>
          <cell r="E61" t="str">
            <v>26A21-02</v>
          </cell>
          <cell r="F61">
            <v>400</v>
          </cell>
          <cell r="G61">
            <v>16</v>
          </cell>
          <cell r="H61">
            <v>887.77</v>
          </cell>
          <cell r="I61">
            <v>887.83</v>
          </cell>
          <cell r="K61">
            <v>0</v>
          </cell>
          <cell r="L61" t="str">
            <v/>
          </cell>
          <cell r="P61">
            <v>9</v>
          </cell>
          <cell r="U61" t="str">
            <v>000000000011139</v>
          </cell>
        </row>
        <row r="62">
          <cell r="C62">
            <v>2</v>
          </cell>
          <cell r="D62">
            <v>46055</v>
          </cell>
          <cell r="E62" t="str">
            <v>26A21-02</v>
          </cell>
          <cell r="F62">
            <v>284</v>
          </cell>
          <cell r="G62">
            <v>16</v>
          </cell>
          <cell r="H62">
            <v>887.77</v>
          </cell>
          <cell r="I62">
            <v>887.79</v>
          </cell>
          <cell r="K62">
            <v>0</v>
          </cell>
          <cell r="L62" t="str">
            <v/>
          </cell>
          <cell r="P62">
            <v>4.5</v>
          </cell>
          <cell r="U62" t="str">
            <v>000000000011139</v>
          </cell>
        </row>
        <row r="63">
          <cell r="D63">
            <v>46055</v>
          </cell>
          <cell r="E63" t="str">
            <v>26A22-03</v>
          </cell>
          <cell r="F63">
            <v>116</v>
          </cell>
          <cell r="G63">
            <v>16</v>
          </cell>
          <cell r="H63">
            <v>887.77</v>
          </cell>
          <cell r="I63">
            <v>887.87</v>
          </cell>
          <cell r="K63">
            <v>0</v>
          </cell>
          <cell r="L63" t="str">
            <v/>
          </cell>
          <cell r="M63" t="str">
            <v>合計</v>
          </cell>
          <cell r="N63">
            <v>20</v>
          </cell>
          <cell r="P63">
            <v>0</v>
          </cell>
          <cell r="U63" t="str">
            <v>000000000011139</v>
          </cell>
        </row>
        <row r="64">
          <cell r="C64" t="str">
            <v>LED-A888</v>
          </cell>
          <cell r="D64">
            <v>46056</v>
          </cell>
          <cell r="E64" t="str">
            <v>26A22-03</v>
          </cell>
          <cell r="F64">
            <v>400</v>
          </cell>
          <cell r="G64">
            <v>20</v>
          </cell>
          <cell r="H64">
            <v>888</v>
          </cell>
          <cell r="I64">
            <v>887.96</v>
          </cell>
          <cell r="K64">
            <v>0</v>
          </cell>
          <cell r="L64" t="str">
            <v/>
          </cell>
          <cell r="U64" t="str">
            <v>000000000011139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000000000011139</v>
          </cell>
        </row>
        <row r="66">
          <cell r="C66">
            <v>20</v>
          </cell>
          <cell r="H66" t="str">
            <v/>
          </cell>
          <cell r="K66">
            <v>0</v>
          </cell>
          <cell r="L66" t="str">
            <v/>
          </cell>
          <cell r="M66" t="str">
            <v>C・M</v>
          </cell>
          <cell r="N66" t="str">
            <v>U・I</v>
          </cell>
          <cell r="U66" t="str">
            <v>000000000011139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U</v>
          </cell>
          <cell r="R67">
            <v>9</v>
          </cell>
          <cell r="U67" t="str">
            <v>000000000011139</v>
          </cell>
        </row>
        <row r="68">
          <cell r="D68" t="str">
            <v>不良補填</v>
          </cell>
          <cell r="E68" t="str">
            <v>26A21-02</v>
          </cell>
          <cell r="F68">
            <v>9</v>
          </cell>
          <cell r="U68" t="str">
            <v>000000000011139</v>
          </cell>
        </row>
        <row r="69">
          <cell r="C69" t="str">
            <v>GA-770 (特注)BR</v>
          </cell>
          <cell r="J69">
            <v>0</v>
          </cell>
          <cell r="K69">
            <v>0</v>
          </cell>
          <cell r="L69" t="str">
            <v/>
          </cell>
          <cell r="M69">
            <v>46056</v>
          </cell>
          <cell r="N69">
            <v>1</v>
          </cell>
          <cell r="P69">
            <v>46056</v>
          </cell>
          <cell r="U69" t="str">
            <v>000000000011832</v>
          </cell>
        </row>
        <row r="70">
          <cell r="D70">
            <v>46056</v>
          </cell>
          <cell r="E70" t="str">
            <v>22L27B</v>
          </cell>
          <cell r="F70" t="str">
            <v>初品</v>
          </cell>
          <cell r="H70" t="str">
            <v/>
          </cell>
          <cell r="I70">
            <v>807.98</v>
          </cell>
          <cell r="J70" t="str">
            <v>22L27B</v>
          </cell>
          <cell r="K70">
            <v>6</v>
          </cell>
          <cell r="L70">
            <v>6</v>
          </cell>
          <cell r="P70">
            <v>6</v>
          </cell>
          <cell r="U70" t="str">
            <v>000000000011832</v>
          </cell>
        </row>
        <row r="71">
          <cell r="C71">
            <v>6</v>
          </cell>
          <cell r="D71">
            <v>46056</v>
          </cell>
          <cell r="E71" t="str">
            <v>22L27B</v>
          </cell>
          <cell r="F71">
            <v>6</v>
          </cell>
          <cell r="H71" t="str">
            <v/>
          </cell>
          <cell r="I71">
            <v>807.96</v>
          </cell>
          <cell r="K71">
            <v>0</v>
          </cell>
          <cell r="L71" t="str">
            <v/>
          </cell>
          <cell r="P71">
            <v>6</v>
          </cell>
          <cell r="U71" t="str">
            <v>000000000011832</v>
          </cell>
        </row>
        <row r="72">
          <cell r="C72">
            <v>6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000000000011832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000000000011832</v>
          </cell>
        </row>
        <row r="74"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000000000011832</v>
          </cell>
        </row>
        <row r="75">
          <cell r="C75" t="str">
            <v>SB-246</v>
          </cell>
          <cell r="H75" t="str">
            <v/>
          </cell>
          <cell r="K75">
            <v>0</v>
          </cell>
          <cell r="L75" t="str">
            <v/>
          </cell>
          <cell r="U75" t="str">
            <v>000000000011832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000000000011832</v>
          </cell>
        </row>
        <row r="77">
          <cell r="C77">
            <v>1</v>
          </cell>
          <cell r="H77" t="str">
            <v/>
          </cell>
          <cell r="K77">
            <v>0</v>
          </cell>
          <cell r="L77" t="str">
            <v/>
          </cell>
          <cell r="M77" t="str">
            <v>C</v>
          </cell>
          <cell r="U77" t="str">
            <v>000000000011832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000000000011832</v>
          </cell>
        </row>
        <row r="79">
          <cell r="D79" t="str">
            <v>不良補填</v>
          </cell>
          <cell r="F79" t="str">
            <v/>
          </cell>
          <cell r="U79" t="str">
            <v>000000000011832</v>
          </cell>
        </row>
        <row r="80">
          <cell r="C80" t="str">
            <v>GA-770 BR　L=745.5</v>
          </cell>
          <cell r="J80">
            <v>0</v>
          </cell>
          <cell r="K80">
            <v>0</v>
          </cell>
          <cell r="L80" t="str">
            <v/>
          </cell>
          <cell r="M80">
            <v>46057</v>
          </cell>
          <cell r="N80">
            <v>1</v>
          </cell>
          <cell r="P80">
            <v>46057</v>
          </cell>
          <cell r="U80" t="str">
            <v>000000000011891</v>
          </cell>
        </row>
        <row r="81">
          <cell r="D81">
            <v>46057</v>
          </cell>
          <cell r="E81" t="str">
            <v>22L27B</v>
          </cell>
          <cell r="F81" t="str">
            <v>初品</v>
          </cell>
          <cell r="H81">
            <v>745.5</v>
          </cell>
          <cell r="I81">
            <v>744.91</v>
          </cell>
          <cell r="J81" t="str">
            <v>22L27B</v>
          </cell>
          <cell r="K81">
            <v>54</v>
          </cell>
          <cell r="L81">
            <v>27</v>
          </cell>
          <cell r="P81">
            <v>54</v>
          </cell>
          <cell r="U81" t="str">
            <v>000000000011891</v>
          </cell>
        </row>
        <row r="82">
          <cell r="C82">
            <v>54</v>
          </cell>
          <cell r="D82">
            <v>46057</v>
          </cell>
          <cell r="E82" t="str">
            <v>22L27B</v>
          </cell>
          <cell r="F82">
            <v>54</v>
          </cell>
          <cell r="H82">
            <v>745.5</v>
          </cell>
          <cell r="I82">
            <v>744.75</v>
          </cell>
          <cell r="K82">
            <v>0</v>
          </cell>
          <cell r="L82" t="str">
            <v/>
          </cell>
          <cell r="P82">
            <v>27</v>
          </cell>
          <cell r="U82" t="str">
            <v>000000000011891</v>
          </cell>
        </row>
        <row r="83">
          <cell r="C83">
            <v>54</v>
          </cell>
          <cell r="H83">
            <v>745.5</v>
          </cell>
          <cell r="K83">
            <v>0</v>
          </cell>
          <cell r="L83" t="str">
            <v/>
          </cell>
          <cell r="P83">
            <v>0</v>
          </cell>
          <cell r="U83" t="str">
            <v>000000000011891</v>
          </cell>
        </row>
        <row r="84">
          <cell r="C84">
            <v>2</v>
          </cell>
          <cell r="H84">
            <v>745.5</v>
          </cell>
          <cell r="K84">
            <v>0</v>
          </cell>
          <cell r="L84" t="str">
            <v/>
          </cell>
          <cell r="P84">
            <v>0</v>
          </cell>
          <cell r="U84" t="str">
            <v>000000000011891</v>
          </cell>
        </row>
        <row r="85">
          <cell r="H85">
            <v>745.5</v>
          </cell>
          <cell r="K85">
            <v>0</v>
          </cell>
          <cell r="L85" t="str">
            <v/>
          </cell>
          <cell r="M85" t="str">
            <v>合計</v>
          </cell>
          <cell r="N85">
            <v>1</v>
          </cell>
          <cell r="P85">
            <v>0</v>
          </cell>
          <cell r="U85" t="str">
            <v>000000000011891</v>
          </cell>
        </row>
        <row r="86">
          <cell r="C86" t="str">
            <v>S-40</v>
          </cell>
          <cell r="H86">
            <v>745.5</v>
          </cell>
          <cell r="K86">
            <v>0</v>
          </cell>
          <cell r="L86" t="str">
            <v/>
          </cell>
          <cell r="U86" t="str">
            <v>000000000011891</v>
          </cell>
        </row>
        <row r="87">
          <cell r="H87">
            <v>745.5</v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000000000011891</v>
          </cell>
        </row>
        <row r="88">
          <cell r="C88">
            <v>1</v>
          </cell>
          <cell r="H88">
            <v>745.5</v>
          </cell>
          <cell r="K88">
            <v>0</v>
          </cell>
          <cell r="L88" t="str">
            <v/>
          </cell>
          <cell r="M88" t="str">
            <v>C</v>
          </cell>
          <cell r="U88" t="str">
            <v>000000000011891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000000000011891</v>
          </cell>
        </row>
        <row r="90">
          <cell r="D90" t="str">
            <v>不良補填</v>
          </cell>
          <cell r="F90" t="str">
            <v/>
          </cell>
          <cell r="U90" t="str">
            <v>000000000011891</v>
          </cell>
        </row>
        <row r="91">
          <cell r="C91" t="str">
            <v>8FL281304 5010　L=888</v>
          </cell>
          <cell r="J91">
            <v>0</v>
          </cell>
          <cell r="K91">
            <v>0</v>
          </cell>
          <cell r="L91" t="str">
            <v/>
          </cell>
          <cell r="M91">
            <v>46057</v>
          </cell>
          <cell r="N91">
            <v>7</v>
          </cell>
          <cell r="P91">
            <v>46059</v>
          </cell>
          <cell r="R91">
            <v>6</v>
          </cell>
          <cell r="U91" t="str">
            <v>000000000011140</v>
          </cell>
        </row>
        <row r="92">
          <cell r="D92">
            <v>46056</v>
          </cell>
          <cell r="E92" t="str">
            <v>26A22-03</v>
          </cell>
          <cell r="F92" t="str">
            <v>初品</v>
          </cell>
          <cell r="G92">
            <v>20</v>
          </cell>
          <cell r="H92">
            <v>888</v>
          </cell>
          <cell r="I92">
            <v>888</v>
          </cell>
          <cell r="J92" t="str">
            <v>26A22-03</v>
          </cell>
          <cell r="K92">
            <v>1084</v>
          </cell>
          <cell r="L92">
            <v>542</v>
          </cell>
          <cell r="M92">
            <v>46058</v>
          </cell>
          <cell r="N92">
            <v>12</v>
          </cell>
          <cell r="P92">
            <v>2000</v>
          </cell>
          <cell r="U92" t="str">
            <v>000000000011140</v>
          </cell>
        </row>
        <row r="93">
          <cell r="C93">
            <v>2000</v>
          </cell>
          <cell r="D93">
            <v>46056</v>
          </cell>
          <cell r="E93" t="str">
            <v>26A22-03</v>
          </cell>
          <cell r="F93">
            <v>400</v>
          </cell>
          <cell r="G93">
            <v>20</v>
          </cell>
          <cell r="H93">
            <v>888</v>
          </cell>
          <cell r="I93">
            <v>888.01</v>
          </cell>
          <cell r="J93" t="str">
            <v>26A23-04</v>
          </cell>
          <cell r="K93">
            <v>916</v>
          </cell>
          <cell r="L93">
            <v>458</v>
          </cell>
          <cell r="M93">
            <v>46059</v>
          </cell>
          <cell r="N93">
            <v>1</v>
          </cell>
          <cell r="P93">
            <v>1005.5</v>
          </cell>
          <cell r="R93">
            <v>5</v>
          </cell>
          <cell r="U93" t="str">
            <v>000000000011140</v>
          </cell>
        </row>
        <row r="94">
          <cell r="C94">
            <v>2000</v>
          </cell>
          <cell r="D94">
            <v>46057</v>
          </cell>
          <cell r="E94" t="str">
            <v>26A22-03</v>
          </cell>
          <cell r="F94">
            <v>400</v>
          </cell>
          <cell r="G94">
            <v>20</v>
          </cell>
          <cell r="H94">
            <v>888</v>
          </cell>
          <cell r="I94">
            <v>887.75</v>
          </cell>
          <cell r="J94" t="str">
            <v>26A21-02</v>
          </cell>
          <cell r="K94">
            <v>11</v>
          </cell>
          <cell r="L94">
            <v>5.5</v>
          </cell>
          <cell r="P94">
            <v>11</v>
          </cell>
          <cell r="U94" t="str">
            <v>000000000011140</v>
          </cell>
        </row>
        <row r="95">
          <cell r="C95">
            <v>2</v>
          </cell>
          <cell r="D95">
            <v>46057</v>
          </cell>
          <cell r="E95" t="str">
            <v>26A22-03</v>
          </cell>
          <cell r="F95">
            <v>284</v>
          </cell>
          <cell r="H95" t="str">
            <v/>
          </cell>
          <cell r="K95">
            <v>0</v>
          </cell>
          <cell r="L95" t="str">
            <v/>
          </cell>
          <cell r="P95">
            <v>5.5</v>
          </cell>
          <cell r="U95" t="str">
            <v>000000000011140</v>
          </cell>
        </row>
        <row r="96">
          <cell r="D96">
            <v>46057</v>
          </cell>
          <cell r="E96" t="str">
            <v>26A23-04</v>
          </cell>
          <cell r="F96">
            <v>116</v>
          </cell>
          <cell r="G96">
            <v>20</v>
          </cell>
          <cell r="H96">
            <v>888</v>
          </cell>
          <cell r="I96">
            <v>887.82</v>
          </cell>
          <cell r="K96">
            <v>0</v>
          </cell>
          <cell r="L96" t="str">
            <v/>
          </cell>
          <cell r="M96" t="str">
            <v>合計</v>
          </cell>
          <cell r="N96">
            <v>20</v>
          </cell>
          <cell r="P96">
            <v>0</v>
          </cell>
          <cell r="U96" t="str">
            <v>000000000011140</v>
          </cell>
        </row>
        <row r="97">
          <cell r="C97" t="str">
            <v>LED-A888</v>
          </cell>
          <cell r="D97">
            <v>46058</v>
          </cell>
          <cell r="E97" t="str">
            <v>26A23-04</v>
          </cell>
          <cell r="F97">
            <v>400</v>
          </cell>
          <cell r="G97">
            <v>16</v>
          </cell>
          <cell r="H97">
            <v>887.77</v>
          </cell>
          <cell r="I97">
            <v>888.07</v>
          </cell>
          <cell r="K97">
            <v>0</v>
          </cell>
          <cell r="L97" t="str">
            <v/>
          </cell>
          <cell r="U97" t="str">
            <v>000000000011140</v>
          </cell>
        </row>
        <row r="98">
          <cell r="D98">
            <v>46058</v>
          </cell>
          <cell r="E98" t="str">
            <v>26A23-04</v>
          </cell>
          <cell r="F98">
            <v>400</v>
          </cell>
          <cell r="G98">
            <v>20</v>
          </cell>
          <cell r="H98">
            <v>888</v>
          </cell>
          <cell r="I98">
            <v>888.27</v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000000000011140</v>
          </cell>
        </row>
        <row r="99">
          <cell r="C99">
            <v>20</v>
          </cell>
          <cell r="H99" t="str">
            <v/>
          </cell>
          <cell r="K99">
            <v>0</v>
          </cell>
          <cell r="L99" t="str">
            <v/>
          </cell>
          <cell r="M99" t="str">
            <v>M</v>
          </cell>
          <cell r="N99" t="str">
            <v>C / I</v>
          </cell>
          <cell r="U99" t="str">
            <v>000000000011140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N100" t="str">
            <v>U</v>
          </cell>
          <cell r="R100">
            <v>11</v>
          </cell>
          <cell r="U100" t="str">
            <v>000000000011140</v>
          </cell>
        </row>
        <row r="101">
          <cell r="D101" t="str">
            <v>不良補填</v>
          </cell>
          <cell r="E101" t="str">
            <v>26A21-02</v>
          </cell>
          <cell r="F101">
            <v>11</v>
          </cell>
          <cell r="U101" t="str">
            <v>000000000011140</v>
          </cell>
        </row>
        <row r="102">
          <cell r="C102" t="str">
            <v>8FL281304 5010　L=888</v>
          </cell>
          <cell r="D102">
            <v>46055</v>
          </cell>
          <cell r="E102" t="str">
            <v>26A21-02</v>
          </cell>
          <cell r="F102">
            <v>1</v>
          </cell>
          <cell r="J102" t="str">
            <v>26A21-02</v>
          </cell>
          <cell r="K102">
            <v>1</v>
          </cell>
          <cell r="L102">
            <v>0</v>
          </cell>
          <cell r="M102">
            <v>46059</v>
          </cell>
          <cell r="N102">
            <v>11</v>
          </cell>
          <cell r="P102">
            <v>46059</v>
          </cell>
          <cell r="R102">
            <v>2</v>
          </cell>
          <cell r="U102" t="str">
            <v>000000000011488</v>
          </cell>
        </row>
        <row r="103">
          <cell r="D103">
            <v>46058</v>
          </cell>
          <cell r="E103" t="str">
            <v>26A23-04</v>
          </cell>
          <cell r="F103" t="str">
            <v>初品</v>
          </cell>
          <cell r="G103">
            <v>20</v>
          </cell>
          <cell r="H103">
            <v>888</v>
          </cell>
          <cell r="I103">
            <v>888.18</v>
          </cell>
          <cell r="J103" t="str">
            <v>26A23-04</v>
          </cell>
          <cell r="K103">
            <v>684</v>
          </cell>
          <cell r="L103">
            <v>342</v>
          </cell>
          <cell r="P103">
            <v>1100</v>
          </cell>
          <cell r="U103" t="str">
            <v>000000000011488</v>
          </cell>
        </row>
        <row r="104">
          <cell r="C104">
            <v>1100</v>
          </cell>
          <cell r="D104">
            <v>46058</v>
          </cell>
          <cell r="E104" t="str">
            <v>26A23-04</v>
          </cell>
          <cell r="F104">
            <v>400</v>
          </cell>
          <cell r="G104">
            <v>20</v>
          </cell>
          <cell r="H104">
            <v>888</v>
          </cell>
          <cell r="I104">
            <v>888.18</v>
          </cell>
          <cell r="J104" t="str">
            <v>26A23-05</v>
          </cell>
          <cell r="K104">
            <v>418</v>
          </cell>
          <cell r="L104">
            <v>209</v>
          </cell>
          <cell r="P104">
            <v>551.5</v>
          </cell>
          <cell r="U104" t="str">
            <v>000000000011488</v>
          </cell>
        </row>
        <row r="105">
          <cell r="C105">
            <v>1100</v>
          </cell>
          <cell r="D105">
            <v>46058</v>
          </cell>
          <cell r="E105" t="str">
            <v>26A23-04</v>
          </cell>
          <cell r="F105">
            <v>282</v>
          </cell>
          <cell r="H105" t="str">
            <v/>
          </cell>
          <cell r="I105">
            <v>888.2</v>
          </cell>
          <cell r="K105">
            <v>0</v>
          </cell>
          <cell r="L105" t="str">
            <v/>
          </cell>
          <cell r="P105">
            <v>2</v>
          </cell>
          <cell r="U105" t="str">
            <v>000000000011488</v>
          </cell>
        </row>
        <row r="106">
          <cell r="C106">
            <v>2</v>
          </cell>
          <cell r="D106">
            <v>46058</v>
          </cell>
          <cell r="E106" t="str">
            <v>26A23-05</v>
          </cell>
          <cell r="F106">
            <v>118</v>
          </cell>
          <cell r="G106">
            <v>20</v>
          </cell>
          <cell r="H106">
            <v>888</v>
          </cell>
          <cell r="I106">
            <v>888.23</v>
          </cell>
          <cell r="K106">
            <v>0</v>
          </cell>
          <cell r="L106" t="str">
            <v/>
          </cell>
          <cell r="P106">
            <v>1</v>
          </cell>
          <cell r="U106" t="str">
            <v>000000000011488</v>
          </cell>
        </row>
        <row r="107">
          <cell r="D107">
            <v>46058</v>
          </cell>
          <cell r="E107" t="str">
            <v>26A23-05</v>
          </cell>
          <cell r="F107">
            <v>300</v>
          </cell>
          <cell r="G107">
            <v>20</v>
          </cell>
          <cell r="H107">
            <v>888</v>
          </cell>
          <cell r="K107">
            <v>0</v>
          </cell>
          <cell r="L107" t="str">
            <v/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000000000011488</v>
          </cell>
        </row>
        <row r="108">
          <cell r="C108" t="str">
            <v>LED-A888</v>
          </cell>
          <cell r="H108" t="str">
            <v/>
          </cell>
          <cell r="K108">
            <v>0</v>
          </cell>
          <cell r="L108" t="str">
            <v/>
          </cell>
          <cell r="U108" t="str">
            <v>000000000011488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000000000011488</v>
          </cell>
        </row>
        <row r="110">
          <cell r="C110">
            <v>11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000000000011488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N111" t="str">
            <v>U</v>
          </cell>
          <cell r="R111">
            <v>2</v>
          </cell>
          <cell r="U111" t="str">
            <v>000000000011488</v>
          </cell>
        </row>
        <row r="112">
          <cell r="D112" t="str">
            <v>不良補填</v>
          </cell>
          <cell r="E112" t="str">
            <v>26A23-04</v>
          </cell>
          <cell r="F112">
            <v>2</v>
          </cell>
          <cell r="U112" t="str">
            <v>000000000011488</v>
          </cell>
        </row>
        <row r="113">
          <cell r="C113" t="str">
            <v>灯具カバーPC IN 2110　L=1815</v>
          </cell>
          <cell r="D113">
            <v>46043</v>
          </cell>
          <cell r="E113" t="str">
            <v>26A20-01</v>
          </cell>
          <cell r="F113">
            <v>14</v>
          </cell>
          <cell r="J113" t="str">
            <v>26A20-01</v>
          </cell>
          <cell r="K113">
            <v>14</v>
          </cell>
          <cell r="L113">
            <v>14</v>
          </cell>
          <cell r="M113">
            <v>46062</v>
          </cell>
          <cell r="N113">
            <v>12</v>
          </cell>
          <cell r="P113">
            <v>46062</v>
          </cell>
          <cell r="R113">
            <v>13</v>
          </cell>
          <cell r="U113" t="str">
            <v>000000000011254</v>
          </cell>
        </row>
        <row r="114">
          <cell r="D114">
            <v>46062</v>
          </cell>
          <cell r="E114" t="str">
            <v>26A23-01</v>
          </cell>
          <cell r="F114">
            <v>178</v>
          </cell>
          <cell r="H114" t="str">
            <v/>
          </cell>
          <cell r="J114" t="str">
            <v>26A23-01</v>
          </cell>
          <cell r="K114">
            <v>178</v>
          </cell>
          <cell r="L114">
            <v>178</v>
          </cell>
          <cell r="P114">
            <v>192</v>
          </cell>
          <cell r="U114" t="str">
            <v>000000000011254</v>
          </cell>
        </row>
        <row r="115">
          <cell r="C115">
            <v>192</v>
          </cell>
          <cell r="H115" t="str">
            <v/>
          </cell>
          <cell r="K115">
            <v>0</v>
          </cell>
          <cell r="L115" t="str">
            <v/>
          </cell>
          <cell r="P115">
            <v>192</v>
          </cell>
          <cell r="R115">
            <v>1</v>
          </cell>
          <cell r="U115" t="str">
            <v>000000000011254</v>
          </cell>
        </row>
        <row r="116">
          <cell r="C116">
            <v>192</v>
          </cell>
          <cell r="H116" t="str">
            <v/>
          </cell>
          <cell r="K116">
            <v>0</v>
          </cell>
          <cell r="L116" t="str">
            <v/>
          </cell>
          <cell r="P116">
            <v>14</v>
          </cell>
          <cell r="U116" t="str">
            <v>000000000011254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14</v>
          </cell>
          <cell r="U117" t="str">
            <v>000000000011254</v>
          </cell>
        </row>
        <row r="118"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12</v>
          </cell>
          <cell r="P118">
            <v>0</v>
          </cell>
          <cell r="U118" t="str">
            <v>000000000011254</v>
          </cell>
        </row>
        <row r="119">
          <cell r="C119" t="str">
            <v>灯具-2　L＝1996</v>
          </cell>
          <cell r="H119" t="str">
            <v/>
          </cell>
          <cell r="K119">
            <v>0</v>
          </cell>
          <cell r="L119" t="str">
            <v/>
          </cell>
          <cell r="U119" t="str">
            <v>000000000011254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000000000011254</v>
          </cell>
        </row>
        <row r="121">
          <cell r="C121">
            <v>12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000000000011254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14</v>
          </cell>
          <cell r="U122" t="str">
            <v>000000000011254</v>
          </cell>
        </row>
        <row r="123">
          <cell r="D123" t="str">
            <v>不良補填</v>
          </cell>
          <cell r="F123" t="str">
            <v/>
          </cell>
          <cell r="U123" t="str">
            <v>000000000011254</v>
          </cell>
        </row>
        <row r="124">
          <cell r="C124" t="str">
            <v>灯具カバーPC IN 2050　L=1183.5</v>
          </cell>
          <cell r="D124">
            <v>46044</v>
          </cell>
          <cell r="E124" t="str">
            <v>26A20-01</v>
          </cell>
          <cell r="F124">
            <v>12</v>
          </cell>
          <cell r="J124" t="str">
            <v>26A20-01</v>
          </cell>
          <cell r="K124">
            <v>12</v>
          </cell>
          <cell r="L124">
            <v>12</v>
          </cell>
          <cell r="M124">
            <v>46063</v>
          </cell>
          <cell r="N124">
            <v>11</v>
          </cell>
          <cell r="P124">
            <v>46063</v>
          </cell>
          <cell r="R124">
            <v>14</v>
          </cell>
          <cell r="U124" t="str">
            <v>000000000011489</v>
          </cell>
        </row>
        <row r="125">
          <cell r="D125">
            <v>46063</v>
          </cell>
          <cell r="E125" t="str">
            <v>26A23-01</v>
          </cell>
          <cell r="F125">
            <v>175</v>
          </cell>
          <cell r="H125" t="str">
            <v/>
          </cell>
          <cell r="J125" t="str">
            <v>26A23-01</v>
          </cell>
          <cell r="K125">
            <v>175</v>
          </cell>
          <cell r="L125">
            <v>175</v>
          </cell>
          <cell r="P125">
            <v>176</v>
          </cell>
          <cell r="R125">
            <v>6</v>
          </cell>
          <cell r="U125" t="str">
            <v>000000000011489</v>
          </cell>
        </row>
        <row r="126">
          <cell r="C126">
            <v>176</v>
          </cell>
          <cell r="H126" t="str">
            <v/>
          </cell>
          <cell r="K126">
            <v>0</v>
          </cell>
          <cell r="L126" t="str">
            <v/>
          </cell>
          <cell r="P126">
            <v>187</v>
          </cell>
          <cell r="R126">
            <v>1</v>
          </cell>
          <cell r="U126" t="str">
            <v>000000000011489</v>
          </cell>
        </row>
        <row r="127">
          <cell r="C127">
            <v>176</v>
          </cell>
          <cell r="H127" t="str">
            <v/>
          </cell>
          <cell r="K127">
            <v>0</v>
          </cell>
          <cell r="L127" t="str">
            <v/>
          </cell>
          <cell r="P127">
            <v>21</v>
          </cell>
          <cell r="U127" t="str">
            <v>000000000011489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21</v>
          </cell>
          <cell r="U128" t="str">
            <v>000000000011489</v>
          </cell>
        </row>
        <row r="129"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11</v>
          </cell>
          <cell r="P129">
            <v>0</v>
          </cell>
          <cell r="U129" t="str">
            <v>000000000011489</v>
          </cell>
        </row>
        <row r="130">
          <cell r="C130" t="str">
            <v>灯具-1　L=1370</v>
          </cell>
          <cell r="H130" t="str">
            <v/>
          </cell>
          <cell r="K130">
            <v>0</v>
          </cell>
          <cell r="L130" t="str">
            <v/>
          </cell>
          <cell r="U130" t="str">
            <v>000000000011489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000000000011489</v>
          </cell>
        </row>
        <row r="132">
          <cell r="C132">
            <v>11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000000000011489</v>
          </cell>
        </row>
        <row r="133">
          <cell r="K133">
            <v>0</v>
          </cell>
          <cell r="L133" t="str">
            <v/>
          </cell>
          <cell r="M133" t="str">
            <v>T</v>
          </cell>
          <cell r="R133">
            <v>21</v>
          </cell>
          <cell r="U133" t="str">
            <v>000000000011489</v>
          </cell>
        </row>
        <row r="134">
          <cell r="F134" t="str">
            <v/>
          </cell>
          <cell r="U134" t="str">
            <v>000000000011489</v>
          </cell>
        </row>
        <row r="135">
          <cell r="C135" t="str">
            <v>8FL281304 5010　L=888</v>
          </cell>
          <cell r="D135">
            <v>46059</v>
          </cell>
          <cell r="E135" t="str">
            <v>26A23-04</v>
          </cell>
          <cell r="F135">
            <v>3</v>
          </cell>
          <cell r="J135" t="str">
            <v>26A23-04</v>
          </cell>
          <cell r="K135">
            <v>3</v>
          </cell>
          <cell r="L135">
            <v>1</v>
          </cell>
          <cell r="M135">
            <v>46065</v>
          </cell>
          <cell r="N135">
            <v>10</v>
          </cell>
          <cell r="P135">
            <v>46065</v>
          </cell>
          <cell r="U135" t="str">
            <v>000000000011141</v>
          </cell>
        </row>
        <row r="136">
          <cell r="D136">
            <v>46063</v>
          </cell>
          <cell r="E136" t="str">
            <v>26A23-05</v>
          </cell>
          <cell r="F136">
            <v>397</v>
          </cell>
          <cell r="G136">
            <v>20</v>
          </cell>
          <cell r="H136">
            <v>888</v>
          </cell>
          <cell r="I136">
            <v>887.95</v>
          </cell>
          <cell r="J136" t="str">
            <v>26A23-05</v>
          </cell>
          <cell r="K136">
            <v>997</v>
          </cell>
          <cell r="L136">
            <v>498.5</v>
          </cell>
          <cell r="P136">
            <v>1000</v>
          </cell>
          <cell r="U136" t="str">
            <v>000000000011141</v>
          </cell>
        </row>
        <row r="137">
          <cell r="C137">
            <v>1000</v>
          </cell>
          <cell r="D137">
            <v>46063</v>
          </cell>
          <cell r="E137" t="str">
            <v>26A23-05</v>
          </cell>
          <cell r="F137">
            <v>400</v>
          </cell>
          <cell r="G137">
            <v>18</v>
          </cell>
          <cell r="H137">
            <v>887.88</v>
          </cell>
          <cell r="I137">
            <v>887.98</v>
          </cell>
          <cell r="K137">
            <v>0</v>
          </cell>
          <cell r="L137" t="str">
            <v/>
          </cell>
          <cell r="P137">
            <v>500</v>
          </cell>
          <cell r="U137" t="str">
            <v>000000000011141</v>
          </cell>
        </row>
        <row r="138">
          <cell r="C138">
            <v>1000</v>
          </cell>
          <cell r="D138">
            <v>46063</v>
          </cell>
          <cell r="E138" t="str">
            <v>26A23-05</v>
          </cell>
          <cell r="F138">
            <v>200</v>
          </cell>
          <cell r="G138">
            <v>20</v>
          </cell>
          <cell r="H138">
            <v>888</v>
          </cell>
          <cell r="I138">
            <v>888.1</v>
          </cell>
          <cell r="K138">
            <v>0</v>
          </cell>
          <cell r="L138" t="str">
            <v/>
          </cell>
          <cell r="P138">
            <v>0</v>
          </cell>
          <cell r="U138" t="str">
            <v>000000000011141</v>
          </cell>
        </row>
        <row r="139">
          <cell r="C139">
            <v>2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000000000011141</v>
          </cell>
        </row>
        <row r="140"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10</v>
          </cell>
          <cell r="P140">
            <v>0</v>
          </cell>
          <cell r="U140" t="str">
            <v>000000000011141</v>
          </cell>
        </row>
        <row r="141">
          <cell r="C141" t="str">
            <v>LED-A888</v>
          </cell>
          <cell r="H141" t="str">
            <v/>
          </cell>
          <cell r="K141">
            <v>0</v>
          </cell>
          <cell r="L141" t="str">
            <v/>
          </cell>
          <cell r="U141" t="str">
            <v>000000000011141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000000000011141</v>
          </cell>
        </row>
        <row r="143">
          <cell r="C143">
            <v>10</v>
          </cell>
          <cell r="H143" t="str">
            <v/>
          </cell>
          <cell r="K143">
            <v>0</v>
          </cell>
          <cell r="L143" t="str">
            <v/>
          </cell>
          <cell r="M143" t="str">
            <v>M</v>
          </cell>
          <cell r="N143" t="str">
            <v>C</v>
          </cell>
          <cell r="U143" t="str">
            <v>000000000011141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U</v>
          </cell>
          <cell r="R144">
            <v>0</v>
          </cell>
          <cell r="U144" t="str">
            <v>000000000011141</v>
          </cell>
        </row>
        <row r="145">
          <cell r="D145" t="str">
            <v>不良補填</v>
          </cell>
          <cell r="F145">
            <v>0</v>
          </cell>
          <cell r="U145" t="str">
            <v>000000000011141</v>
          </cell>
        </row>
        <row r="146">
          <cell r="C146" t="str">
            <v>8FL281304 4910　L=592</v>
          </cell>
          <cell r="J146">
            <v>0</v>
          </cell>
          <cell r="K146">
            <v>0</v>
          </cell>
          <cell r="L146" t="str">
            <v/>
          </cell>
          <cell r="M146">
            <v>46038</v>
          </cell>
          <cell r="N146">
            <v>1</v>
          </cell>
          <cell r="P146">
            <v>46066</v>
          </cell>
          <cell r="U146" t="str">
            <v>000000000011136</v>
          </cell>
        </row>
        <row r="147">
          <cell r="D147">
            <v>46037</v>
          </cell>
          <cell r="E147" t="str">
            <v>25L19-08</v>
          </cell>
          <cell r="F147" t="str">
            <v>初品</v>
          </cell>
          <cell r="G147">
            <v>18</v>
          </cell>
          <cell r="H147">
            <v>591.41999999999996</v>
          </cell>
          <cell r="I147">
            <v>591.54</v>
          </cell>
          <cell r="J147" t="str">
            <v>25L19-08</v>
          </cell>
          <cell r="K147">
            <v>144</v>
          </cell>
          <cell r="L147">
            <v>48</v>
          </cell>
          <cell r="M147">
            <v>46066</v>
          </cell>
          <cell r="N147">
            <v>2</v>
          </cell>
          <cell r="P147">
            <v>300</v>
          </cell>
          <cell r="U147" t="str">
            <v>000000000011136</v>
          </cell>
        </row>
        <row r="148">
          <cell r="C148">
            <v>300</v>
          </cell>
          <cell r="D148">
            <v>46037</v>
          </cell>
          <cell r="E148" t="str">
            <v>25L19-08</v>
          </cell>
          <cell r="F148">
            <v>144</v>
          </cell>
          <cell r="G148">
            <v>18</v>
          </cell>
          <cell r="H148">
            <v>591.41999999999996</v>
          </cell>
          <cell r="I148">
            <v>591.35</v>
          </cell>
          <cell r="J148" t="str">
            <v>26A23-05</v>
          </cell>
          <cell r="K148">
            <v>157</v>
          </cell>
          <cell r="L148">
            <v>52.333333333333336</v>
          </cell>
          <cell r="P148">
            <v>100.33333333333333</v>
          </cell>
          <cell r="R148">
            <v>1</v>
          </cell>
          <cell r="U148" t="str">
            <v>000000000011136</v>
          </cell>
        </row>
        <row r="149">
          <cell r="C149">
            <v>300</v>
          </cell>
          <cell r="D149">
            <v>46065</v>
          </cell>
          <cell r="E149" t="str">
            <v>26A23-05</v>
          </cell>
          <cell r="G149">
            <v>20</v>
          </cell>
          <cell r="H149">
            <v>591.5</v>
          </cell>
          <cell r="I149">
            <v>591.6</v>
          </cell>
          <cell r="K149">
            <v>0</v>
          </cell>
          <cell r="L149" t="str">
            <v/>
          </cell>
          <cell r="P149">
            <v>1</v>
          </cell>
          <cell r="U149" t="str">
            <v>000000000011136</v>
          </cell>
        </row>
        <row r="150">
          <cell r="C150">
            <v>3</v>
          </cell>
          <cell r="D150">
            <v>46065</v>
          </cell>
          <cell r="E150" t="str">
            <v>26A23-05</v>
          </cell>
          <cell r="F150">
            <v>156</v>
          </cell>
          <cell r="G150">
            <v>20</v>
          </cell>
          <cell r="H150">
            <v>591.5</v>
          </cell>
          <cell r="I150">
            <v>591.79</v>
          </cell>
          <cell r="K150">
            <v>0</v>
          </cell>
          <cell r="L150" t="str">
            <v/>
          </cell>
          <cell r="P150">
            <v>0.33333333333333331</v>
          </cell>
          <cell r="U150" t="str">
            <v>000000000011136</v>
          </cell>
        </row>
        <row r="151"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000000000011136</v>
          </cell>
        </row>
        <row r="152">
          <cell r="C152" t="str">
            <v>LED-A592</v>
          </cell>
          <cell r="H152" t="str">
            <v/>
          </cell>
          <cell r="K152">
            <v>0</v>
          </cell>
          <cell r="L152" t="str">
            <v/>
          </cell>
          <cell r="U152" t="str">
            <v>000000000011136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000000000011136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M</v>
          </cell>
          <cell r="U154" t="str">
            <v>000000000011136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1</v>
          </cell>
          <cell r="U155" t="str">
            <v>000000000011136</v>
          </cell>
        </row>
        <row r="156">
          <cell r="D156" t="str">
            <v>不良補填</v>
          </cell>
          <cell r="E156" t="str">
            <v>26A23-05</v>
          </cell>
          <cell r="F156">
            <v>1</v>
          </cell>
          <cell r="N156" t="str">
            <v>]</v>
          </cell>
          <cell r="U156" t="str">
            <v>000000000011136</v>
          </cell>
        </row>
        <row r="157">
          <cell r="C157" t="str">
            <v>8FL281304 4810　L=297</v>
          </cell>
          <cell r="D157">
            <v>46055</v>
          </cell>
          <cell r="E157" t="str">
            <v>26A21-02</v>
          </cell>
          <cell r="F157">
            <v>17</v>
          </cell>
          <cell r="J157" t="str">
            <v>26A21-02</v>
          </cell>
          <cell r="K157">
            <v>17</v>
          </cell>
          <cell r="L157">
            <v>2</v>
          </cell>
          <cell r="M157">
            <v>46066</v>
          </cell>
          <cell r="N157">
            <v>3</v>
          </cell>
          <cell r="P157">
            <v>46066</v>
          </cell>
          <cell r="R157">
            <v>1</v>
          </cell>
          <cell r="U157" t="str">
            <v>000000000011133</v>
          </cell>
        </row>
        <row r="158">
          <cell r="D158">
            <v>46065</v>
          </cell>
          <cell r="E158" t="str">
            <v>端材</v>
          </cell>
          <cell r="F158">
            <v>51</v>
          </cell>
          <cell r="H158" t="str">
            <v/>
          </cell>
          <cell r="J158" t="str">
            <v>端材</v>
          </cell>
          <cell r="K158">
            <v>51</v>
          </cell>
          <cell r="L158" t="str">
            <v>0</v>
          </cell>
          <cell r="P158">
            <v>300</v>
          </cell>
          <cell r="U158" t="str">
            <v>000000000011133</v>
          </cell>
        </row>
        <row r="159">
          <cell r="C159">
            <v>300</v>
          </cell>
          <cell r="D159">
            <v>46065</v>
          </cell>
          <cell r="E159" t="str">
            <v>26A23-05</v>
          </cell>
          <cell r="F159">
            <v>120</v>
          </cell>
          <cell r="H159" t="str">
            <v/>
          </cell>
          <cell r="J159" t="str">
            <v>26A23-05</v>
          </cell>
          <cell r="K159">
            <v>120</v>
          </cell>
          <cell r="L159">
            <v>20</v>
          </cell>
          <cell r="P159">
            <v>42</v>
          </cell>
          <cell r="U159" t="str">
            <v>000000000011133</v>
          </cell>
        </row>
        <row r="160">
          <cell r="C160">
            <v>300</v>
          </cell>
          <cell r="D160">
            <v>46065</v>
          </cell>
          <cell r="E160" t="str">
            <v>26A24-06</v>
          </cell>
          <cell r="F160">
            <v>112</v>
          </cell>
          <cell r="H160" t="str">
            <v/>
          </cell>
          <cell r="J160" t="str">
            <v>26A24-06</v>
          </cell>
          <cell r="K160">
            <v>115</v>
          </cell>
          <cell r="L160">
            <v>19.166666666666668</v>
          </cell>
          <cell r="P160">
            <v>3</v>
          </cell>
          <cell r="U160" t="str">
            <v>000000000011133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0.5</v>
          </cell>
          <cell r="U161" t="str">
            <v>000000000011133</v>
          </cell>
        </row>
        <row r="162"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3</v>
          </cell>
          <cell r="P162">
            <v>51</v>
          </cell>
          <cell r="U162" t="str">
            <v>000000000011133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U163" t="str">
            <v>000000000011133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000000000011133</v>
          </cell>
        </row>
        <row r="165">
          <cell r="C165">
            <v>3</v>
          </cell>
          <cell r="H165" t="str">
            <v/>
          </cell>
          <cell r="K165">
            <v>0</v>
          </cell>
          <cell r="L165" t="str">
            <v/>
          </cell>
          <cell r="M165" t="str">
            <v>M</v>
          </cell>
          <cell r="R165">
            <v>2</v>
          </cell>
          <cell r="U165" t="str">
            <v>000000000011133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3</v>
          </cell>
          <cell r="U166" t="str">
            <v>000000000011133</v>
          </cell>
        </row>
        <row r="167">
          <cell r="E167" t="str">
            <v>26A24-06</v>
          </cell>
          <cell r="F167">
            <v>3</v>
          </cell>
          <cell r="U167" t="str">
            <v>000000000011133</v>
          </cell>
        </row>
        <row r="168">
          <cell r="C168" t="str">
            <v>採光ルーバーパネルB　L=1996</v>
          </cell>
          <cell r="D168">
            <v>46353</v>
          </cell>
          <cell r="E168" t="str">
            <v>25K10-06</v>
          </cell>
          <cell r="F168">
            <v>8</v>
          </cell>
          <cell r="J168" t="str">
            <v>25K10-06</v>
          </cell>
          <cell r="K168">
            <v>8</v>
          </cell>
          <cell r="L168">
            <v>8</v>
          </cell>
          <cell r="M168">
            <v>46063</v>
          </cell>
          <cell r="N168">
            <v>3</v>
          </cell>
          <cell r="P168">
            <v>46069</v>
          </cell>
          <cell r="R168">
            <v>13</v>
          </cell>
          <cell r="U168" t="str">
            <v>000000000011736</v>
          </cell>
        </row>
        <row r="169">
          <cell r="D169">
            <v>46062</v>
          </cell>
          <cell r="E169" t="str">
            <v>26B03-02</v>
          </cell>
          <cell r="H169" t="str">
            <v/>
          </cell>
          <cell r="J169" t="str">
            <v>26B03-02</v>
          </cell>
          <cell r="K169">
            <v>300</v>
          </cell>
          <cell r="L169">
            <v>300</v>
          </cell>
          <cell r="M169">
            <v>46065</v>
          </cell>
          <cell r="N169">
            <v>3</v>
          </cell>
          <cell r="P169">
            <v>924</v>
          </cell>
          <cell r="R169">
            <v>260</v>
          </cell>
          <cell r="U169" t="str">
            <v>000000000011736</v>
          </cell>
        </row>
        <row r="170">
          <cell r="C170">
            <v>924</v>
          </cell>
          <cell r="D170">
            <v>46063</v>
          </cell>
          <cell r="E170" t="str">
            <v>26B03-02</v>
          </cell>
          <cell r="F170">
            <v>300</v>
          </cell>
          <cell r="H170" t="str">
            <v/>
          </cell>
          <cell r="J170" t="str">
            <v>26B03-01</v>
          </cell>
          <cell r="K170">
            <v>300</v>
          </cell>
          <cell r="L170">
            <v>300</v>
          </cell>
          <cell r="M170">
            <v>46066</v>
          </cell>
          <cell r="N170">
            <v>9</v>
          </cell>
          <cell r="P170">
            <v>1197</v>
          </cell>
          <cell r="U170" t="str">
            <v>000000000011736</v>
          </cell>
        </row>
        <row r="171">
          <cell r="C171">
            <v>924</v>
          </cell>
          <cell r="D171">
            <v>46065</v>
          </cell>
          <cell r="E171" t="str">
            <v>26B03-01</v>
          </cell>
          <cell r="F171">
            <v>300</v>
          </cell>
          <cell r="H171" t="str">
            <v/>
          </cell>
          <cell r="J171" t="str">
            <v>26B04-03</v>
          </cell>
          <cell r="K171">
            <v>300</v>
          </cell>
          <cell r="L171">
            <v>300</v>
          </cell>
          <cell r="M171">
            <v>46069</v>
          </cell>
          <cell r="N171">
            <v>7</v>
          </cell>
          <cell r="P171">
            <v>273</v>
          </cell>
          <cell r="U171" t="str">
            <v>000000000011736</v>
          </cell>
        </row>
        <row r="172">
          <cell r="C172">
            <v>1</v>
          </cell>
          <cell r="D172">
            <v>46066</v>
          </cell>
          <cell r="E172" t="str">
            <v>26B04-03</v>
          </cell>
          <cell r="F172">
            <v>300</v>
          </cell>
          <cell r="H172" t="str">
            <v/>
          </cell>
          <cell r="J172" t="str">
            <v>26B04-04</v>
          </cell>
          <cell r="K172">
            <v>289</v>
          </cell>
          <cell r="L172">
            <v>289</v>
          </cell>
          <cell r="P172">
            <v>273</v>
          </cell>
          <cell r="U172" t="str">
            <v>000000000011736</v>
          </cell>
        </row>
        <row r="173">
          <cell r="D173">
            <v>46066</v>
          </cell>
          <cell r="E173" t="str">
            <v>26B04-04</v>
          </cell>
          <cell r="F173">
            <v>289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22</v>
          </cell>
          <cell r="P173">
            <v>0</v>
          </cell>
          <cell r="U173" t="str">
            <v>000000000011736</v>
          </cell>
        </row>
        <row r="174">
          <cell r="C174" t="str">
            <v>上-1</v>
          </cell>
          <cell r="H174" t="str">
            <v/>
          </cell>
          <cell r="K174">
            <v>0</v>
          </cell>
          <cell r="L174" t="str">
            <v/>
          </cell>
          <cell r="U174" t="str">
            <v>000000000011736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000000000011736</v>
          </cell>
        </row>
        <row r="176">
          <cell r="C176">
            <v>22</v>
          </cell>
          <cell r="H176" t="str">
            <v/>
          </cell>
          <cell r="K176">
            <v>0</v>
          </cell>
          <cell r="L176" t="str">
            <v/>
          </cell>
          <cell r="M176" t="str">
            <v>C /M</v>
          </cell>
          <cell r="N176" t="str">
            <v>U / I</v>
          </cell>
          <cell r="U176" t="str">
            <v>000000000011736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U</v>
          </cell>
          <cell r="R177">
            <v>273</v>
          </cell>
          <cell r="U177" t="str">
            <v>000000000011736</v>
          </cell>
        </row>
        <row r="178">
          <cell r="F178" t="str">
            <v/>
          </cell>
          <cell r="U178" t="str">
            <v>000000000011736</v>
          </cell>
        </row>
        <row r="179">
          <cell r="C179" t="str">
            <v>8FL281304 5010　L=888</v>
          </cell>
          <cell r="J179">
            <v>0</v>
          </cell>
          <cell r="K179">
            <v>0</v>
          </cell>
          <cell r="L179" t="str">
            <v/>
          </cell>
          <cell r="M179">
            <v>46070</v>
          </cell>
          <cell r="N179">
            <v>9</v>
          </cell>
          <cell r="P179">
            <v>46071</v>
          </cell>
          <cell r="R179">
            <v>2</v>
          </cell>
          <cell r="U179" t="str">
            <v>000000000011142</v>
          </cell>
        </row>
        <row r="180">
          <cell r="D180">
            <v>46069</v>
          </cell>
          <cell r="E180" t="str">
            <v>26A28-07</v>
          </cell>
          <cell r="G180">
            <v>20</v>
          </cell>
          <cell r="H180">
            <v>888</v>
          </cell>
          <cell r="I180">
            <v>887.91</v>
          </cell>
          <cell r="J180" t="str">
            <v>26A28-07</v>
          </cell>
          <cell r="K180">
            <v>956</v>
          </cell>
          <cell r="L180">
            <v>478</v>
          </cell>
          <cell r="M180">
            <v>46071</v>
          </cell>
          <cell r="N180">
            <v>11</v>
          </cell>
          <cell r="P180">
            <v>2000</v>
          </cell>
          <cell r="U180" t="str">
            <v>000000000011142</v>
          </cell>
        </row>
        <row r="181">
          <cell r="C181">
            <v>2000</v>
          </cell>
          <cell r="D181">
            <v>46069</v>
          </cell>
          <cell r="E181" t="str">
            <v>26A28-07</v>
          </cell>
          <cell r="F181">
            <v>400</v>
          </cell>
          <cell r="G181">
            <v>20</v>
          </cell>
          <cell r="H181">
            <v>888</v>
          </cell>
          <cell r="I181">
            <v>887.88</v>
          </cell>
          <cell r="J181" t="str">
            <v>26A24-06</v>
          </cell>
          <cell r="K181">
            <v>604</v>
          </cell>
          <cell r="L181">
            <v>302</v>
          </cell>
          <cell r="P181">
            <v>1002</v>
          </cell>
          <cell r="R181">
            <v>1</v>
          </cell>
          <cell r="U181" t="str">
            <v>000000000011142</v>
          </cell>
        </row>
        <row r="182">
          <cell r="C182">
            <v>2000</v>
          </cell>
          <cell r="D182">
            <v>46069</v>
          </cell>
          <cell r="E182" t="str">
            <v>26A28-07</v>
          </cell>
          <cell r="F182">
            <v>400</v>
          </cell>
          <cell r="G182">
            <v>20</v>
          </cell>
          <cell r="H182">
            <v>888</v>
          </cell>
          <cell r="I182">
            <v>887.86</v>
          </cell>
          <cell r="J182" t="str">
            <v>26A29-08</v>
          </cell>
          <cell r="K182">
            <v>440</v>
          </cell>
          <cell r="L182">
            <v>220</v>
          </cell>
          <cell r="P182">
            <v>4</v>
          </cell>
          <cell r="U182" t="str">
            <v>000000000011142</v>
          </cell>
        </row>
        <row r="183">
          <cell r="C183">
            <v>2</v>
          </cell>
          <cell r="D183">
            <v>46070</v>
          </cell>
          <cell r="E183" t="str">
            <v>26A28-07</v>
          </cell>
          <cell r="F183">
            <v>156</v>
          </cell>
          <cell r="H183" t="str">
            <v/>
          </cell>
          <cell r="J183" t="str">
            <v>26A23-05</v>
          </cell>
          <cell r="K183">
            <v>4</v>
          </cell>
          <cell r="L183">
            <v>2</v>
          </cell>
          <cell r="P183">
            <v>2</v>
          </cell>
          <cell r="U183" t="str">
            <v>000000000011142</v>
          </cell>
        </row>
        <row r="184">
          <cell r="D184">
            <v>46070</v>
          </cell>
          <cell r="E184" t="str">
            <v>26A24-06</v>
          </cell>
          <cell r="F184">
            <v>244</v>
          </cell>
          <cell r="G184">
            <v>18</v>
          </cell>
          <cell r="H184">
            <v>887.88</v>
          </cell>
          <cell r="I184">
            <v>887.91</v>
          </cell>
          <cell r="K184">
            <v>0</v>
          </cell>
          <cell r="L184" t="str">
            <v/>
          </cell>
          <cell r="M184" t="str">
            <v>合計</v>
          </cell>
          <cell r="N184">
            <v>20</v>
          </cell>
          <cell r="P184">
            <v>0</v>
          </cell>
          <cell r="U184" t="str">
            <v>000000000011142</v>
          </cell>
        </row>
        <row r="185">
          <cell r="C185" t="str">
            <v>LED-A888</v>
          </cell>
          <cell r="D185">
            <v>46070</v>
          </cell>
          <cell r="E185" t="str">
            <v>26A24-06</v>
          </cell>
          <cell r="F185">
            <v>360</v>
          </cell>
          <cell r="H185" t="str">
            <v/>
          </cell>
          <cell r="K185">
            <v>0</v>
          </cell>
          <cell r="L185" t="str">
            <v/>
          </cell>
          <cell r="U185" t="str">
            <v>000000000011142</v>
          </cell>
        </row>
        <row r="186">
          <cell r="D186">
            <v>46070</v>
          </cell>
          <cell r="E186" t="str">
            <v>26A29-08</v>
          </cell>
          <cell r="F186">
            <v>40</v>
          </cell>
          <cell r="G186">
            <v>18</v>
          </cell>
          <cell r="H186">
            <v>887.88</v>
          </cell>
          <cell r="I186">
            <v>887.81</v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000000000011142</v>
          </cell>
        </row>
        <row r="187">
          <cell r="C187">
            <v>20</v>
          </cell>
          <cell r="D187">
            <v>46070</v>
          </cell>
          <cell r="E187" t="str">
            <v>26A29-08</v>
          </cell>
          <cell r="F187">
            <v>400</v>
          </cell>
          <cell r="G187">
            <v>20</v>
          </cell>
          <cell r="H187">
            <v>888</v>
          </cell>
          <cell r="I187">
            <v>887.9</v>
          </cell>
          <cell r="K187">
            <v>0</v>
          </cell>
          <cell r="L187" t="str">
            <v/>
          </cell>
          <cell r="M187" t="str">
            <v>M</v>
          </cell>
          <cell r="N187" t="str">
            <v>I</v>
          </cell>
          <cell r="R187">
            <v>1</v>
          </cell>
          <cell r="U187" t="str">
            <v>000000000011142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R188">
            <v>4</v>
          </cell>
          <cell r="U188" t="str">
            <v>000000000011142</v>
          </cell>
        </row>
        <row r="189">
          <cell r="D189">
            <v>46071</v>
          </cell>
          <cell r="E189" t="str">
            <v>26A23-05</v>
          </cell>
          <cell r="F189">
            <v>4</v>
          </cell>
          <cell r="U189" t="str">
            <v>000000000011142</v>
          </cell>
        </row>
        <row r="190">
          <cell r="C190" t="str">
            <v>8FL281304 8310　L=748</v>
          </cell>
          <cell r="D190">
            <v>46037</v>
          </cell>
          <cell r="E190" t="str">
            <v>25L19-08</v>
          </cell>
          <cell r="F190">
            <v>6</v>
          </cell>
          <cell r="J190" t="str">
            <v>25L19-08</v>
          </cell>
          <cell r="K190">
            <v>6</v>
          </cell>
          <cell r="L190">
            <v>3</v>
          </cell>
          <cell r="M190">
            <v>46071</v>
          </cell>
          <cell r="N190">
            <v>4</v>
          </cell>
          <cell r="P190">
            <v>46071</v>
          </cell>
          <cell r="R190">
            <v>2</v>
          </cell>
          <cell r="U190" t="str">
            <v>000000000012193</v>
          </cell>
        </row>
        <row r="191">
          <cell r="D191">
            <v>46070</v>
          </cell>
          <cell r="E191" t="str">
            <v>26A29-08</v>
          </cell>
          <cell r="G191">
            <v>18</v>
          </cell>
          <cell r="H191">
            <v>747.9</v>
          </cell>
          <cell r="I191">
            <v>748.08</v>
          </cell>
          <cell r="J191" t="str">
            <v>26A29-08</v>
          </cell>
          <cell r="K191">
            <v>396</v>
          </cell>
          <cell r="L191">
            <v>198</v>
          </cell>
          <cell r="P191">
            <v>400</v>
          </cell>
          <cell r="U191" t="str">
            <v>000000000012193</v>
          </cell>
        </row>
        <row r="192">
          <cell r="C192">
            <v>400</v>
          </cell>
          <cell r="D192">
            <v>46071</v>
          </cell>
          <cell r="E192" t="str">
            <v>26A29-08</v>
          </cell>
          <cell r="F192">
            <v>394</v>
          </cell>
          <cell r="G192">
            <v>18</v>
          </cell>
          <cell r="H192">
            <v>747.9</v>
          </cell>
          <cell r="I192">
            <v>748.03</v>
          </cell>
          <cell r="K192">
            <v>0</v>
          </cell>
          <cell r="L192" t="str">
            <v/>
          </cell>
          <cell r="P192">
            <v>201</v>
          </cell>
          <cell r="U192" t="str">
            <v>000000000012193</v>
          </cell>
        </row>
        <row r="193">
          <cell r="C193">
            <v>400</v>
          </cell>
          <cell r="H193" t="str">
            <v/>
          </cell>
          <cell r="K193">
            <v>0</v>
          </cell>
          <cell r="L193" t="str">
            <v/>
          </cell>
          <cell r="P193">
            <v>2</v>
          </cell>
          <cell r="U193" t="str">
            <v>000000000012193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1</v>
          </cell>
          <cell r="U194" t="str">
            <v>000000000012193</v>
          </cell>
        </row>
        <row r="195"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4</v>
          </cell>
          <cell r="P195">
            <v>0</v>
          </cell>
          <cell r="U195" t="str">
            <v>000000000012193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U196" t="str">
            <v>000000000012193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000000000012193</v>
          </cell>
        </row>
        <row r="198">
          <cell r="C198">
            <v>4</v>
          </cell>
          <cell r="H198" t="str">
            <v/>
          </cell>
          <cell r="K198">
            <v>0</v>
          </cell>
          <cell r="L198" t="str">
            <v/>
          </cell>
          <cell r="M198" t="str">
            <v>I</v>
          </cell>
          <cell r="U198" t="str">
            <v>000000000012193</v>
          </cell>
        </row>
        <row r="199">
          <cell r="K199">
            <v>0</v>
          </cell>
          <cell r="L199" t="str">
            <v/>
          </cell>
          <cell r="M199" t="str">
            <v>U</v>
          </cell>
          <cell r="R199">
            <v>2</v>
          </cell>
          <cell r="U199" t="str">
            <v>000000000012193</v>
          </cell>
        </row>
        <row r="200">
          <cell r="D200">
            <v>46070</v>
          </cell>
          <cell r="E200" t="str">
            <v>26A29-08</v>
          </cell>
          <cell r="F200">
            <v>2</v>
          </cell>
          <cell r="U200" t="str">
            <v>000000000012193</v>
          </cell>
        </row>
        <row r="201">
          <cell r="C201" t="str">
            <v>991GPK　1018</v>
          </cell>
          <cell r="J201">
            <v>0</v>
          </cell>
          <cell r="K201">
            <v>0</v>
          </cell>
          <cell r="L201" t="str">
            <v/>
          </cell>
          <cell r="M201">
            <v>46072</v>
          </cell>
          <cell r="N201">
            <v>3</v>
          </cell>
          <cell r="P201">
            <v>46072</v>
          </cell>
          <cell r="U201" t="str">
            <v>000000000011342</v>
          </cell>
        </row>
        <row r="202">
          <cell r="D202">
            <v>46071</v>
          </cell>
          <cell r="E202" t="str">
            <v>24-1118</v>
          </cell>
          <cell r="F202" t="str">
            <v>初品</v>
          </cell>
          <cell r="H202">
            <v>1018</v>
          </cell>
          <cell r="I202">
            <v>1018.28</v>
          </cell>
          <cell r="J202" t="str">
            <v>24-1118</v>
          </cell>
          <cell r="K202">
            <v>297</v>
          </cell>
          <cell r="L202">
            <v>297</v>
          </cell>
          <cell r="P202">
            <v>300</v>
          </cell>
          <cell r="U202" t="str">
            <v>000000000011342</v>
          </cell>
        </row>
        <row r="203">
          <cell r="C203">
            <v>297</v>
          </cell>
          <cell r="D203">
            <v>46072</v>
          </cell>
          <cell r="E203" t="str">
            <v>24-1118</v>
          </cell>
          <cell r="F203">
            <v>297</v>
          </cell>
          <cell r="H203">
            <v>1018</v>
          </cell>
          <cell r="I203">
            <v>1018.19</v>
          </cell>
          <cell r="K203">
            <v>0</v>
          </cell>
          <cell r="L203" t="str">
            <v/>
          </cell>
          <cell r="P203">
            <v>297</v>
          </cell>
          <cell r="U203" t="str">
            <v>000000000011342</v>
          </cell>
        </row>
        <row r="204">
          <cell r="C204">
            <v>297</v>
          </cell>
          <cell r="H204">
            <v>1018</v>
          </cell>
          <cell r="K204">
            <v>0</v>
          </cell>
          <cell r="L204" t="str">
            <v/>
          </cell>
          <cell r="P204">
            <v>0</v>
          </cell>
          <cell r="U204" t="str">
            <v>000000000011342</v>
          </cell>
        </row>
        <row r="205">
          <cell r="C205">
            <v>1</v>
          </cell>
          <cell r="H205">
            <v>1018</v>
          </cell>
          <cell r="K205">
            <v>0</v>
          </cell>
          <cell r="L205" t="str">
            <v/>
          </cell>
          <cell r="P205">
            <v>0</v>
          </cell>
          <cell r="U205" t="str">
            <v>000000000011342</v>
          </cell>
        </row>
        <row r="206">
          <cell r="H206">
            <v>1018</v>
          </cell>
          <cell r="K206">
            <v>0</v>
          </cell>
          <cell r="L206" t="str">
            <v/>
          </cell>
          <cell r="M206" t="str">
            <v>合計</v>
          </cell>
          <cell r="N206">
            <v>3</v>
          </cell>
          <cell r="P206">
            <v>0</v>
          </cell>
          <cell r="U206" t="str">
            <v>000000000011342</v>
          </cell>
        </row>
        <row r="207">
          <cell r="C207" t="str">
            <v>T-60</v>
          </cell>
          <cell r="H207">
            <v>1018</v>
          </cell>
          <cell r="K207">
            <v>0</v>
          </cell>
          <cell r="L207" t="str">
            <v/>
          </cell>
          <cell r="U207" t="str">
            <v>000000000011342</v>
          </cell>
        </row>
        <row r="208">
          <cell r="H208">
            <v>1018</v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000000000011342</v>
          </cell>
        </row>
        <row r="209">
          <cell r="C209">
            <v>3</v>
          </cell>
          <cell r="H209">
            <v>1018</v>
          </cell>
          <cell r="K209">
            <v>0</v>
          </cell>
          <cell r="L209" t="str">
            <v/>
          </cell>
          <cell r="M209" t="str">
            <v>C</v>
          </cell>
          <cell r="N209" t="str">
            <v>M</v>
          </cell>
          <cell r="U209" t="str">
            <v>000000000011342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000000000011342</v>
          </cell>
        </row>
        <row r="211">
          <cell r="D211" t="str">
            <v>不良補填</v>
          </cell>
          <cell r="F211" t="str">
            <v/>
          </cell>
          <cell r="U211" t="str">
            <v>000000000011342</v>
          </cell>
        </row>
        <row r="212">
          <cell r="C212" t="str">
            <v>991GPK　418</v>
          </cell>
          <cell r="J212">
            <v>0</v>
          </cell>
          <cell r="K212">
            <v>0</v>
          </cell>
          <cell r="L212" t="str">
            <v/>
          </cell>
          <cell r="M212">
            <v>46072</v>
          </cell>
          <cell r="N212">
            <v>3</v>
          </cell>
          <cell r="P212">
            <v>46072</v>
          </cell>
          <cell r="U212" t="str">
            <v>000000000011337</v>
          </cell>
        </row>
        <row r="213">
          <cell r="D213">
            <v>46072</v>
          </cell>
          <cell r="E213" t="str">
            <v>端材</v>
          </cell>
          <cell r="F213" t="str">
            <v>初品</v>
          </cell>
          <cell r="H213">
            <v>418</v>
          </cell>
          <cell r="I213">
            <v>417.49</v>
          </cell>
          <cell r="J213" t="str">
            <v>端材</v>
          </cell>
          <cell r="K213">
            <v>297</v>
          </cell>
          <cell r="L213" t="str">
            <v>0</v>
          </cell>
          <cell r="P213">
            <v>300</v>
          </cell>
          <cell r="U213" t="str">
            <v>000000000011337</v>
          </cell>
        </row>
        <row r="214">
          <cell r="C214">
            <v>297</v>
          </cell>
          <cell r="D214">
            <v>46072</v>
          </cell>
          <cell r="E214" t="str">
            <v>端材</v>
          </cell>
          <cell r="F214">
            <v>297</v>
          </cell>
          <cell r="H214">
            <v>418</v>
          </cell>
          <cell r="I214">
            <v>417.6</v>
          </cell>
          <cell r="K214">
            <v>0</v>
          </cell>
          <cell r="L214" t="str">
            <v/>
          </cell>
          <cell r="P214">
            <v>0</v>
          </cell>
          <cell r="U214" t="str">
            <v>000000000011337</v>
          </cell>
        </row>
        <row r="215">
          <cell r="C215">
            <v>297</v>
          </cell>
          <cell r="H215">
            <v>418</v>
          </cell>
          <cell r="K215">
            <v>0</v>
          </cell>
          <cell r="L215" t="str">
            <v/>
          </cell>
          <cell r="P215">
            <v>0</v>
          </cell>
          <cell r="U215" t="str">
            <v>000000000011337</v>
          </cell>
        </row>
        <row r="216">
          <cell r="C216">
            <v>3</v>
          </cell>
          <cell r="H216">
            <v>418</v>
          </cell>
          <cell r="K216">
            <v>0</v>
          </cell>
          <cell r="L216" t="str">
            <v/>
          </cell>
          <cell r="P216">
            <v>0</v>
          </cell>
          <cell r="U216" t="str">
            <v>000000000011337</v>
          </cell>
        </row>
        <row r="217">
          <cell r="H217">
            <v>418</v>
          </cell>
          <cell r="K217">
            <v>0</v>
          </cell>
          <cell r="L217" t="str">
            <v/>
          </cell>
          <cell r="M217" t="str">
            <v>合計</v>
          </cell>
          <cell r="N217">
            <v>3</v>
          </cell>
          <cell r="P217">
            <v>297</v>
          </cell>
          <cell r="U217" t="str">
            <v>000000000011337</v>
          </cell>
        </row>
        <row r="218">
          <cell r="C218" t="str">
            <v>S-20</v>
          </cell>
          <cell r="H218">
            <v>418</v>
          </cell>
          <cell r="K218">
            <v>0</v>
          </cell>
          <cell r="L218" t="str">
            <v/>
          </cell>
          <cell r="U218" t="str">
            <v>000000000011337</v>
          </cell>
        </row>
        <row r="219">
          <cell r="H219">
            <v>418</v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000000000011337</v>
          </cell>
        </row>
        <row r="220">
          <cell r="C220">
            <v>3</v>
          </cell>
          <cell r="H220">
            <v>418</v>
          </cell>
          <cell r="K220">
            <v>0</v>
          </cell>
          <cell r="L220" t="str">
            <v/>
          </cell>
          <cell r="M220" t="str">
            <v>C</v>
          </cell>
          <cell r="U220" t="str">
            <v>000000000011337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000000000011337</v>
          </cell>
        </row>
        <row r="222">
          <cell r="D222" t="str">
            <v>不良補填</v>
          </cell>
          <cell r="F222" t="str">
            <v/>
          </cell>
          <cell r="U222" t="str">
            <v>000000000011337</v>
          </cell>
        </row>
        <row r="223">
          <cell r="C223" t="str">
            <v>991GPK　1015</v>
          </cell>
          <cell r="J223">
            <v>0</v>
          </cell>
          <cell r="K223">
            <v>0</v>
          </cell>
          <cell r="L223" t="str">
            <v/>
          </cell>
          <cell r="M223">
            <v>46072</v>
          </cell>
          <cell r="N223">
            <v>1</v>
          </cell>
          <cell r="P223">
            <v>46072</v>
          </cell>
          <cell r="U223" t="str">
            <v>000000000011341</v>
          </cell>
        </row>
        <row r="224">
          <cell r="D224">
            <v>46072</v>
          </cell>
          <cell r="E224" t="str">
            <v>24-1122</v>
          </cell>
          <cell r="F224" t="str">
            <v>初品</v>
          </cell>
          <cell r="H224">
            <v>1015</v>
          </cell>
          <cell r="I224">
            <v>1015.12</v>
          </cell>
          <cell r="J224" t="str">
            <v>24-1122</v>
          </cell>
          <cell r="K224">
            <v>100</v>
          </cell>
          <cell r="L224">
            <v>100</v>
          </cell>
          <cell r="P224">
            <v>100</v>
          </cell>
          <cell r="U224" t="str">
            <v>000000000011341</v>
          </cell>
        </row>
        <row r="225">
          <cell r="C225">
            <v>100</v>
          </cell>
          <cell r="D225">
            <v>46072</v>
          </cell>
          <cell r="E225" t="str">
            <v>24-1122</v>
          </cell>
          <cell r="F225">
            <v>100</v>
          </cell>
          <cell r="H225">
            <v>1015</v>
          </cell>
          <cell r="I225">
            <v>1015.2</v>
          </cell>
          <cell r="K225">
            <v>0</v>
          </cell>
          <cell r="L225" t="str">
            <v/>
          </cell>
          <cell r="P225">
            <v>100</v>
          </cell>
          <cell r="U225" t="str">
            <v>000000000011341</v>
          </cell>
        </row>
        <row r="226">
          <cell r="C226">
            <v>100</v>
          </cell>
          <cell r="H226">
            <v>1015</v>
          </cell>
          <cell r="K226">
            <v>0</v>
          </cell>
          <cell r="L226" t="str">
            <v/>
          </cell>
          <cell r="P226">
            <v>0</v>
          </cell>
          <cell r="U226" t="str">
            <v>000000000011341</v>
          </cell>
        </row>
        <row r="227">
          <cell r="C227">
            <v>1</v>
          </cell>
          <cell r="H227">
            <v>1015</v>
          </cell>
          <cell r="K227">
            <v>0</v>
          </cell>
          <cell r="L227" t="str">
            <v/>
          </cell>
          <cell r="P227">
            <v>0</v>
          </cell>
          <cell r="U227" t="str">
            <v>000000000011341</v>
          </cell>
        </row>
        <row r="228">
          <cell r="H228">
            <v>1015</v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000000000011341</v>
          </cell>
        </row>
        <row r="229">
          <cell r="C229" t="str">
            <v>T-60</v>
          </cell>
          <cell r="H229">
            <v>1015</v>
          </cell>
          <cell r="K229">
            <v>0</v>
          </cell>
          <cell r="L229" t="str">
            <v/>
          </cell>
          <cell r="U229" t="str">
            <v>000000000011341</v>
          </cell>
        </row>
        <row r="230">
          <cell r="H230">
            <v>1015</v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000000000011341</v>
          </cell>
        </row>
        <row r="231">
          <cell r="C231">
            <v>1</v>
          </cell>
          <cell r="H231">
            <v>1015</v>
          </cell>
          <cell r="K231">
            <v>0</v>
          </cell>
          <cell r="L231" t="str">
            <v/>
          </cell>
          <cell r="M231" t="str">
            <v>C</v>
          </cell>
          <cell r="U231" t="str">
            <v>000000000011341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000000000011341</v>
          </cell>
        </row>
        <row r="233">
          <cell r="D233" t="str">
            <v>不良補填</v>
          </cell>
          <cell r="F233" t="str">
            <v/>
          </cell>
          <cell r="U233" t="str">
            <v>000000000011341</v>
          </cell>
        </row>
        <row r="234">
          <cell r="C234" t="str">
            <v>991GPK　414</v>
          </cell>
          <cell r="J234">
            <v>0</v>
          </cell>
          <cell r="K234">
            <v>0</v>
          </cell>
          <cell r="L234" t="str">
            <v/>
          </cell>
          <cell r="M234">
            <v>46072</v>
          </cell>
          <cell r="N234">
            <v>1</v>
          </cell>
          <cell r="P234">
            <v>46072</v>
          </cell>
          <cell r="U234" t="str">
            <v>000000000011336</v>
          </cell>
        </row>
        <row r="235">
          <cell r="D235">
            <v>46072</v>
          </cell>
          <cell r="E235" t="str">
            <v>端材</v>
          </cell>
          <cell r="F235" t="str">
            <v>初品</v>
          </cell>
          <cell r="H235">
            <v>414</v>
          </cell>
          <cell r="I235">
            <v>413.79</v>
          </cell>
          <cell r="J235" t="str">
            <v>端材</v>
          </cell>
          <cell r="K235">
            <v>100</v>
          </cell>
          <cell r="L235" t="str">
            <v>0</v>
          </cell>
          <cell r="P235">
            <v>100</v>
          </cell>
          <cell r="U235" t="str">
            <v>000000000011336</v>
          </cell>
        </row>
        <row r="236">
          <cell r="C236">
            <v>100</v>
          </cell>
          <cell r="D236">
            <v>46072</v>
          </cell>
          <cell r="E236" t="str">
            <v>端材</v>
          </cell>
          <cell r="F236">
            <v>100</v>
          </cell>
          <cell r="H236">
            <v>414</v>
          </cell>
          <cell r="I236">
            <v>413.45</v>
          </cell>
          <cell r="K236">
            <v>0</v>
          </cell>
          <cell r="L236" t="str">
            <v/>
          </cell>
          <cell r="P236">
            <v>0</v>
          </cell>
          <cell r="U236" t="str">
            <v>000000000011336</v>
          </cell>
        </row>
        <row r="237">
          <cell r="C237">
            <v>100</v>
          </cell>
          <cell r="H237">
            <v>414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000000000011336</v>
          </cell>
        </row>
        <row r="238">
          <cell r="C238">
            <v>3</v>
          </cell>
          <cell r="H238">
            <v>414</v>
          </cell>
          <cell r="K238">
            <v>0</v>
          </cell>
          <cell r="L238" t="str">
            <v/>
          </cell>
          <cell r="P238">
            <v>0</v>
          </cell>
          <cell r="U238" t="str">
            <v>000000000011336</v>
          </cell>
        </row>
        <row r="239">
          <cell r="H239">
            <v>414</v>
          </cell>
          <cell r="K239">
            <v>0</v>
          </cell>
          <cell r="L239" t="str">
            <v/>
          </cell>
          <cell r="M239" t="str">
            <v>合計</v>
          </cell>
          <cell r="N239">
            <v>1</v>
          </cell>
          <cell r="P239">
            <v>100</v>
          </cell>
          <cell r="U239" t="str">
            <v>000000000011336</v>
          </cell>
        </row>
        <row r="240">
          <cell r="C240" t="str">
            <v>S-20</v>
          </cell>
          <cell r="H240">
            <v>414</v>
          </cell>
          <cell r="K240">
            <v>0</v>
          </cell>
          <cell r="L240" t="str">
            <v/>
          </cell>
          <cell r="U240" t="str">
            <v>000000000011336</v>
          </cell>
        </row>
        <row r="241">
          <cell r="H241">
            <v>414</v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000000000011336</v>
          </cell>
        </row>
        <row r="242">
          <cell r="C242">
            <v>1</v>
          </cell>
          <cell r="H242">
            <v>414</v>
          </cell>
          <cell r="K242">
            <v>0</v>
          </cell>
          <cell r="L242" t="str">
            <v/>
          </cell>
          <cell r="M242" t="str">
            <v>C</v>
          </cell>
          <cell r="U242" t="str">
            <v>000000000011336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000000000011336</v>
          </cell>
        </row>
        <row r="244">
          <cell r="D244" t="str">
            <v>不良補填</v>
          </cell>
          <cell r="F244" t="str">
            <v/>
          </cell>
          <cell r="U244" t="str">
            <v>000000000011336</v>
          </cell>
        </row>
        <row r="245">
          <cell r="C245" t="str">
            <v>991GPK　868</v>
          </cell>
          <cell r="J245">
            <v>0</v>
          </cell>
          <cell r="K245">
            <v>0</v>
          </cell>
          <cell r="L245" t="str">
            <v/>
          </cell>
          <cell r="M245">
            <v>46072</v>
          </cell>
          <cell r="N245">
            <v>1</v>
          </cell>
          <cell r="P245">
            <v>46072</v>
          </cell>
          <cell r="U245" t="str">
            <v>000000000011340</v>
          </cell>
        </row>
        <row r="246">
          <cell r="D246">
            <v>46072</v>
          </cell>
          <cell r="E246" t="str">
            <v>24-1120</v>
          </cell>
          <cell r="F246" t="str">
            <v>初品</v>
          </cell>
          <cell r="H246">
            <v>868</v>
          </cell>
          <cell r="I246">
            <v>868.04</v>
          </cell>
          <cell r="J246" t="str">
            <v>24-1120</v>
          </cell>
          <cell r="K246">
            <v>100</v>
          </cell>
          <cell r="L246">
            <v>100</v>
          </cell>
          <cell r="P246">
            <v>100</v>
          </cell>
          <cell r="U246" t="str">
            <v>000000000011340</v>
          </cell>
        </row>
        <row r="247">
          <cell r="C247">
            <v>100</v>
          </cell>
          <cell r="D247">
            <v>46072</v>
          </cell>
          <cell r="E247" t="str">
            <v>24-1120</v>
          </cell>
          <cell r="F247">
            <v>100</v>
          </cell>
          <cell r="H247">
            <v>868</v>
          </cell>
          <cell r="I247">
            <v>868.22</v>
          </cell>
          <cell r="K247">
            <v>0</v>
          </cell>
          <cell r="L247" t="str">
            <v/>
          </cell>
          <cell r="P247">
            <v>100</v>
          </cell>
          <cell r="U247" t="str">
            <v>000000000011340</v>
          </cell>
        </row>
        <row r="248">
          <cell r="C248">
            <v>100</v>
          </cell>
          <cell r="H248">
            <v>868</v>
          </cell>
          <cell r="K248">
            <v>0</v>
          </cell>
          <cell r="L248" t="str">
            <v/>
          </cell>
          <cell r="P248">
            <v>0</v>
          </cell>
          <cell r="U248" t="str">
            <v>000000000011340</v>
          </cell>
        </row>
        <row r="249">
          <cell r="C249">
            <v>1</v>
          </cell>
          <cell r="H249">
            <v>868</v>
          </cell>
          <cell r="K249">
            <v>0</v>
          </cell>
          <cell r="L249" t="str">
            <v/>
          </cell>
          <cell r="P249">
            <v>0</v>
          </cell>
          <cell r="U249" t="str">
            <v>000000000011340</v>
          </cell>
        </row>
        <row r="250">
          <cell r="H250">
            <v>868</v>
          </cell>
          <cell r="K250">
            <v>0</v>
          </cell>
          <cell r="L250" t="str">
            <v/>
          </cell>
          <cell r="M250" t="str">
            <v>合計</v>
          </cell>
          <cell r="N250">
            <v>1</v>
          </cell>
          <cell r="P250">
            <v>0</v>
          </cell>
          <cell r="U250" t="str">
            <v>000000000011340</v>
          </cell>
        </row>
        <row r="251">
          <cell r="C251" t="str">
            <v>S-40</v>
          </cell>
          <cell r="H251">
            <v>868</v>
          </cell>
          <cell r="K251">
            <v>0</v>
          </cell>
          <cell r="L251" t="str">
            <v/>
          </cell>
          <cell r="U251" t="str">
            <v>000000000011340</v>
          </cell>
        </row>
        <row r="252">
          <cell r="H252">
            <v>868</v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000000000011340</v>
          </cell>
        </row>
        <row r="253">
          <cell r="C253">
            <v>1</v>
          </cell>
          <cell r="H253">
            <v>868</v>
          </cell>
          <cell r="K253">
            <v>0</v>
          </cell>
          <cell r="L253" t="str">
            <v/>
          </cell>
          <cell r="M253" t="str">
            <v>C</v>
          </cell>
          <cell r="U253" t="str">
            <v>000000000011340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000000000011340</v>
          </cell>
        </row>
        <row r="255">
          <cell r="D255" t="str">
            <v>不良補填</v>
          </cell>
          <cell r="F255" t="str">
            <v/>
          </cell>
          <cell r="U255" t="str">
            <v>000000000011340</v>
          </cell>
        </row>
        <row r="256">
          <cell r="C256" t="str">
            <v>991GPK　715</v>
          </cell>
          <cell r="J256">
            <v>0</v>
          </cell>
          <cell r="K256">
            <v>0</v>
          </cell>
          <cell r="L256" t="str">
            <v/>
          </cell>
          <cell r="M256">
            <v>46072</v>
          </cell>
          <cell r="N256">
            <v>1</v>
          </cell>
          <cell r="P256">
            <v>46072</v>
          </cell>
          <cell r="U256" t="str">
            <v>000000000011338</v>
          </cell>
        </row>
        <row r="257">
          <cell r="D257">
            <v>46072</v>
          </cell>
          <cell r="E257" t="str">
            <v>24-1121</v>
          </cell>
          <cell r="F257" t="str">
            <v>初品</v>
          </cell>
          <cell r="H257">
            <v>715</v>
          </cell>
          <cell r="I257">
            <v>714.7</v>
          </cell>
          <cell r="J257" t="str">
            <v>24-1121</v>
          </cell>
          <cell r="K257">
            <v>100</v>
          </cell>
          <cell r="L257">
            <v>50</v>
          </cell>
          <cell r="P257">
            <v>100</v>
          </cell>
          <cell r="U257" t="str">
            <v>000000000011338</v>
          </cell>
        </row>
        <row r="258">
          <cell r="C258">
            <v>100</v>
          </cell>
          <cell r="D258">
            <v>46072</v>
          </cell>
          <cell r="E258" t="str">
            <v>24-1121</v>
          </cell>
          <cell r="F258">
            <v>100</v>
          </cell>
          <cell r="H258">
            <v>715</v>
          </cell>
          <cell r="I258">
            <v>714.38</v>
          </cell>
          <cell r="K258">
            <v>0</v>
          </cell>
          <cell r="L258" t="str">
            <v/>
          </cell>
          <cell r="P258">
            <v>50</v>
          </cell>
          <cell r="U258" t="str">
            <v>000000000011338</v>
          </cell>
        </row>
        <row r="259">
          <cell r="C259">
            <v>100</v>
          </cell>
          <cell r="H259">
            <v>715</v>
          </cell>
          <cell r="K259">
            <v>0</v>
          </cell>
          <cell r="L259" t="str">
            <v/>
          </cell>
          <cell r="P259">
            <v>0</v>
          </cell>
          <cell r="U259" t="str">
            <v>000000000011338</v>
          </cell>
        </row>
        <row r="260">
          <cell r="C260">
            <v>2</v>
          </cell>
          <cell r="H260">
            <v>715</v>
          </cell>
          <cell r="K260">
            <v>0</v>
          </cell>
          <cell r="L260" t="str">
            <v/>
          </cell>
          <cell r="P260">
            <v>0</v>
          </cell>
          <cell r="U260" t="str">
            <v>000000000011338</v>
          </cell>
        </row>
        <row r="261">
          <cell r="H261">
            <v>715</v>
          </cell>
          <cell r="K261">
            <v>0</v>
          </cell>
          <cell r="L261" t="str">
            <v/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000000000011338</v>
          </cell>
        </row>
        <row r="262">
          <cell r="C262" t="str">
            <v>S-40</v>
          </cell>
          <cell r="H262">
            <v>715</v>
          </cell>
          <cell r="K262">
            <v>0</v>
          </cell>
          <cell r="L262" t="str">
            <v/>
          </cell>
          <cell r="U262" t="str">
            <v>000000000011338</v>
          </cell>
        </row>
        <row r="263">
          <cell r="H263">
            <v>715</v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000000000011338</v>
          </cell>
        </row>
        <row r="264">
          <cell r="C264">
            <v>1</v>
          </cell>
          <cell r="H264">
            <v>715</v>
          </cell>
          <cell r="K264">
            <v>0</v>
          </cell>
          <cell r="L264" t="str">
            <v/>
          </cell>
          <cell r="M264" t="str">
            <v>C</v>
          </cell>
          <cell r="U264" t="str">
            <v>000000000011338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000000000011338</v>
          </cell>
        </row>
        <row r="266">
          <cell r="D266" t="str">
            <v>不良補填</v>
          </cell>
          <cell r="F266" t="str">
            <v/>
          </cell>
          <cell r="U266" t="str">
            <v>000000000011338</v>
          </cell>
        </row>
        <row r="267">
          <cell r="C267" t="str">
            <v>991GPK　268</v>
          </cell>
          <cell r="J267">
            <v>0</v>
          </cell>
          <cell r="K267">
            <v>0</v>
          </cell>
          <cell r="L267" t="str">
            <v/>
          </cell>
          <cell r="M267">
            <v>46072</v>
          </cell>
          <cell r="N267">
            <v>4</v>
          </cell>
          <cell r="P267">
            <v>46072</v>
          </cell>
          <cell r="U267" t="str">
            <v>000000000011335</v>
          </cell>
        </row>
        <row r="268">
          <cell r="D268">
            <v>46072</v>
          </cell>
          <cell r="E268" t="str">
            <v>端材</v>
          </cell>
          <cell r="F268" t="str">
            <v>初品</v>
          </cell>
          <cell r="H268">
            <v>268</v>
          </cell>
          <cell r="I268">
            <v>267.92</v>
          </cell>
          <cell r="J268" t="str">
            <v>端材</v>
          </cell>
          <cell r="K268">
            <v>400</v>
          </cell>
          <cell r="L268" t="str">
            <v>0</v>
          </cell>
          <cell r="P268">
            <v>400</v>
          </cell>
          <cell r="U268" t="str">
            <v>000000000011335</v>
          </cell>
        </row>
        <row r="269">
          <cell r="C269">
            <v>400</v>
          </cell>
          <cell r="D269">
            <v>46072</v>
          </cell>
          <cell r="E269" t="str">
            <v>端材</v>
          </cell>
          <cell r="F269">
            <v>400</v>
          </cell>
          <cell r="H269">
            <v>268</v>
          </cell>
          <cell r="I269">
            <v>267.97000000000003</v>
          </cell>
          <cell r="K269">
            <v>0</v>
          </cell>
          <cell r="L269" t="str">
            <v/>
          </cell>
          <cell r="P269">
            <v>0</v>
          </cell>
          <cell r="U269" t="str">
            <v>000000000011335</v>
          </cell>
        </row>
        <row r="270">
          <cell r="C270">
            <v>400</v>
          </cell>
          <cell r="H270">
            <v>268</v>
          </cell>
          <cell r="K270">
            <v>0</v>
          </cell>
          <cell r="L270" t="str">
            <v/>
          </cell>
          <cell r="P270">
            <v>0</v>
          </cell>
          <cell r="U270" t="str">
            <v>000000000011335</v>
          </cell>
        </row>
        <row r="271">
          <cell r="C271">
            <v>5</v>
          </cell>
          <cell r="H271">
            <v>268</v>
          </cell>
          <cell r="K271">
            <v>0</v>
          </cell>
          <cell r="L271" t="str">
            <v/>
          </cell>
          <cell r="P271">
            <v>0</v>
          </cell>
          <cell r="U271" t="str">
            <v>000000000011335</v>
          </cell>
        </row>
        <row r="272">
          <cell r="H272">
            <v>268</v>
          </cell>
          <cell r="K272">
            <v>0</v>
          </cell>
          <cell r="L272" t="str">
            <v/>
          </cell>
          <cell r="M272" t="str">
            <v>合計</v>
          </cell>
          <cell r="N272">
            <v>4</v>
          </cell>
          <cell r="P272">
            <v>400</v>
          </cell>
          <cell r="U272" t="str">
            <v>000000000011335</v>
          </cell>
        </row>
        <row r="273">
          <cell r="C273" t="str">
            <v>S-10</v>
          </cell>
          <cell r="H273">
            <v>268</v>
          </cell>
          <cell r="K273">
            <v>0</v>
          </cell>
          <cell r="L273" t="str">
            <v/>
          </cell>
          <cell r="U273" t="str">
            <v>000000000011335</v>
          </cell>
        </row>
        <row r="274">
          <cell r="H274">
            <v>268</v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000000000011335</v>
          </cell>
        </row>
        <row r="275">
          <cell r="C275">
            <v>4</v>
          </cell>
          <cell r="H275">
            <v>268</v>
          </cell>
          <cell r="K275">
            <v>0</v>
          </cell>
          <cell r="L275" t="str">
            <v/>
          </cell>
          <cell r="M275" t="str">
            <v>C</v>
          </cell>
          <cell r="U275" t="str">
            <v>000000000011335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000000000011335</v>
          </cell>
        </row>
        <row r="277">
          <cell r="D277" t="str">
            <v>不良補填</v>
          </cell>
          <cell r="F277" t="str">
            <v/>
          </cell>
          <cell r="U277" t="str">
            <v>000000000011335</v>
          </cell>
        </row>
        <row r="278">
          <cell r="C278" t="str">
            <v>991GPK　718</v>
          </cell>
          <cell r="J278">
            <v>0</v>
          </cell>
          <cell r="K278">
            <v>0</v>
          </cell>
          <cell r="L278" t="str">
            <v/>
          </cell>
          <cell r="M278">
            <v>46072</v>
          </cell>
          <cell r="N278">
            <v>3</v>
          </cell>
          <cell r="P278">
            <v>46072</v>
          </cell>
          <cell r="U278" t="str">
            <v>000000000011339</v>
          </cell>
        </row>
        <row r="279">
          <cell r="D279">
            <v>46072</v>
          </cell>
          <cell r="E279" t="str">
            <v>24-1122</v>
          </cell>
          <cell r="F279" t="str">
            <v>初品</v>
          </cell>
          <cell r="H279">
            <v>718</v>
          </cell>
          <cell r="I279">
            <v>717.67</v>
          </cell>
          <cell r="J279" t="str">
            <v>24-1122</v>
          </cell>
          <cell r="K279">
            <v>300</v>
          </cell>
          <cell r="L279">
            <v>150</v>
          </cell>
          <cell r="P279">
            <v>300</v>
          </cell>
          <cell r="U279" t="str">
            <v>000000000011339</v>
          </cell>
        </row>
        <row r="280">
          <cell r="C280">
            <v>300</v>
          </cell>
          <cell r="D280">
            <v>46072</v>
          </cell>
          <cell r="E280" t="str">
            <v>24-1122</v>
          </cell>
          <cell r="F280">
            <v>300</v>
          </cell>
          <cell r="H280">
            <v>718</v>
          </cell>
          <cell r="I280">
            <v>717.92</v>
          </cell>
          <cell r="K280">
            <v>0</v>
          </cell>
          <cell r="L280" t="str">
            <v/>
          </cell>
          <cell r="P280">
            <v>150</v>
          </cell>
          <cell r="U280" t="str">
            <v>000000000011339</v>
          </cell>
        </row>
        <row r="281">
          <cell r="C281">
            <v>300</v>
          </cell>
          <cell r="H281">
            <v>718</v>
          </cell>
          <cell r="K281">
            <v>0</v>
          </cell>
          <cell r="L281" t="str">
            <v/>
          </cell>
          <cell r="P281">
            <v>0</v>
          </cell>
          <cell r="U281" t="str">
            <v>000000000011339</v>
          </cell>
        </row>
        <row r="282">
          <cell r="C282">
            <v>2</v>
          </cell>
          <cell r="H282">
            <v>718</v>
          </cell>
          <cell r="K282">
            <v>0</v>
          </cell>
          <cell r="L282" t="str">
            <v/>
          </cell>
          <cell r="P282">
            <v>0</v>
          </cell>
          <cell r="U282" t="str">
            <v>000000000011339</v>
          </cell>
        </row>
        <row r="283">
          <cell r="H283">
            <v>718</v>
          </cell>
          <cell r="K283">
            <v>0</v>
          </cell>
          <cell r="L283" t="str">
            <v/>
          </cell>
          <cell r="M283" t="str">
            <v>合計</v>
          </cell>
          <cell r="N283">
            <v>3</v>
          </cell>
          <cell r="P283">
            <v>0</v>
          </cell>
          <cell r="U283" t="str">
            <v>000000000011339</v>
          </cell>
        </row>
        <row r="284">
          <cell r="C284" t="str">
            <v>S-40</v>
          </cell>
          <cell r="H284">
            <v>718</v>
          </cell>
          <cell r="K284">
            <v>0</v>
          </cell>
          <cell r="L284" t="str">
            <v/>
          </cell>
          <cell r="U284" t="str">
            <v>000000000011339</v>
          </cell>
        </row>
        <row r="285">
          <cell r="H285">
            <v>718</v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000000000011339</v>
          </cell>
        </row>
        <row r="286">
          <cell r="C286">
            <v>3</v>
          </cell>
          <cell r="H286">
            <v>718</v>
          </cell>
          <cell r="K286">
            <v>0</v>
          </cell>
          <cell r="L286" t="str">
            <v/>
          </cell>
          <cell r="M286" t="str">
            <v>C</v>
          </cell>
          <cell r="N286" t="str">
            <v>M</v>
          </cell>
          <cell r="U286" t="str">
            <v>000000000011339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000000000011339</v>
          </cell>
        </row>
        <row r="288">
          <cell r="D288" t="str">
            <v>不良補填</v>
          </cell>
          <cell r="F288" t="str">
            <v/>
          </cell>
          <cell r="U288" t="str">
            <v>000000000011339</v>
          </cell>
        </row>
        <row r="289">
          <cell r="C289" t="str">
            <v>991GPK　419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000000000011337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 t="e">
            <v>#N/A</v>
          </cell>
          <cell r="U290" t="str">
            <v>000000000011337</v>
          </cell>
        </row>
        <row r="291">
          <cell r="C291">
            <v>297</v>
          </cell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000000000011337</v>
          </cell>
        </row>
        <row r="292">
          <cell r="C292">
            <v>297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000000000011337</v>
          </cell>
        </row>
        <row r="293">
          <cell r="C293">
            <v>4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000000000011337</v>
          </cell>
        </row>
        <row r="294"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000000000011337</v>
          </cell>
        </row>
        <row r="295">
          <cell r="C295" t="str">
            <v>S-21</v>
          </cell>
          <cell r="H295" t="str">
            <v/>
          </cell>
          <cell r="K295">
            <v>0</v>
          </cell>
          <cell r="L295" t="str">
            <v/>
          </cell>
          <cell r="U295" t="str">
            <v>000000000011337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000000000011337</v>
          </cell>
        </row>
        <row r="297">
          <cell r="C297" t="e">
            <v>#N/A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000000000011337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000000000011337</v>
          </cell>
        </row>
        <row r="299">
          <cell r="D299" t="str">
            <v>不良補填</v>
          </cell>
          <cell r="F299" t="str">
            <v/>
          </cell>
          <cell r="U299" t="str">
            <v>000000000011337</v>
          </cell>
        </row>
        <row r="300">
          <cell r="C300" t="str">
            <v>灯具カバーPC IN 2130　L=908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000000000012145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000000000012145</v>
          </cell>
        </row>
        <row r="302">
          <cell r="C302">
            <v>0</v>
          </cell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000000000012145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000000000012145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000000000012145</v>
          </cell>
        </row>
        <row r="305"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000000000012145</v>
          </cell>
        </row>
        <row r="306">
          <cell r="C306" t="str">
            <v>灯具-3　L=970</v>
          </cell>
          <cell r="H306" t="str">
            <v/>
          </cell>
          <cell r="K306">
            <v>0</v>
          </cell>
          <cell r="L306" t="str">
            <v/>
          </cell>
          <cell r="U306" t="str">
            <v>000000000012145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000000000012145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000000000012145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000000000012145</v>
          </cell>
        </row>
        <row r="310">
          <cell r="D310" t="str">
            <v>不良補填</v>
          </cell>
          <cell r="F310" t="str">
            <v/>
          </cell>
          <cell r="U310" t="str">
            <v>000000000012145</v>
          </cell>
        </row>
        <row r="311">
          <cell r="C311" t="str">
            <v>灯具カバーPC IN 2130　L=908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000000000012147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000000000012147</v>
          </cell>
        </row>
        <row r="313">
          <cell r="C313">
            <v>0</v>
          </cell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000000000012147</v>
          </cell>
        </row>
        <row r="314">
          <cell r="C314">
            <v>192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000000000012147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000000000012147</v>
          </cell>
        </row>
        <row r="316"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000000000012147</v>
          </cell>
        </row>
        <row r="317">
          <cell r="C317" t="str">
            <v>灯具-3　L=970</v>
          </cell>
          <cell r="H317" t="str">
            <v/>
          </cell>
          <cell r="K317">
            <v>0</v>
          </cell>
          <cell r="L317" t="str">
            <v/>
          </cell>
          <cell r="U317" t="str">
            <v>000000000012147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000000000012147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000000000012147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000000000012147</v>
          </cell>
        </row>
        <row r="321">
          <cell r="D321" t="str">
            <v>不良補填</v>
          </cell>
          <cell r="F321" t="str">
            <v/>
          </cell>
          <cell r="U321" t="str">
            <v>000000000012147</v>
          </cell>
        </row>
        <row r="322">
          <cell r="C322" t="str">
            <v>灯具カバーPC IN 2110　L=1815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000000000012152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000000000012152</v>
          </cell>
        </row>
        <row r="324">
          <cell r="C324">
            <v>0</v>
          </cell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000000000012152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000000000012152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000000000012152</v>
          </cell>
        </row>
        <row r="327"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000000000012152</v>
          </cell>
        </row>
        <row r="328">
          <cell r="C328" t="str">
            <v>灯具-2　L＝1996</v>
          </cell>
          <cell r="H328" t="str">
            <v/>
          </cell>
          <cell r="K328">
            <v>0</v>
          </cell>
          <cell r="L328" t="str">
            <v/>
          </cell>
          <cell r="U328" t="str">
            <v>000000000012152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000000000012152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000000000012152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000000000012152</v>
          </cell>
        </row>
        <row r="332">
          <cell r="D332" t="str">
            <v>不良補填</v>
          </cell>
          <cell r="F332" t="str">
            <v/>
          </cell>
          <cell r="U332" t="str">
            <v>000000000012152</v>
          </cell>
        </row>
        <row r="333">
          <cell r="C333" t="str">
            <v>灯具カバーPC IN 2090　L=840(切断）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000000000012146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000000000012146</v>
          </cell>
        </row>
        <row r="335">
          <cell r="C335">
            <v>0</v>
          </cell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000000000012146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000000000012146</v>
          </cell>
        </row>
        <row r="337">
          <cell r="C337">
            <v>2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000000000012146</v>
          </cell>
        </row>
        <row r="338"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000000000012146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U339" t="str">
            <v>000000000012146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000000000012146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000000000012146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000000000012146</v>
          </cell>
        </row>
        <row r="343">
          <cell r="D343" t="str">
            <v>不良補填</v>
          </cell>
          <cell r="F343" t="str">
            <v/>
          </cell>
          <cell r="U343" t="str">
            <v>000000000012146</v>
          </cell>
        </row>
        <row r="344">
          <cell r="C344" t="str">
            <v>灯具カバーPC IN 2090　L=840(切断）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000000000012370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000000000012370</v>
          </cell>
        </row>
        <row r="346">
          <cell r="C346">
            <v>0</v>
          </cell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000000000012370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000000000012370</v>
          </cell>
        </row>
        <row r="348">
          <cell r="C348">
            <v>2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000000000012370</v>
          </cell>
        </row>
        <row r="349"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000000000012370</v>
          </cell>
        </row>
        <row r="350">
          <cell r="C350" t="str">
            <v>灯具-3　L=970</v>
          </cell>
          <cell r="H350" t="str">
            <v/>
          </cell>
          <cell r="K350">
            <v>0</v>
          </cell>
          <cell r="L350" t="str">
            <v/>
          </cell>
          <cell r="U350" t="str">
            <v>000000000012370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000000000012370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000000000012370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000000000012370</v>
          </cell>
        </row>
        <row r="354">
          <cell r="D354" t="str">
            <v>不良補填</v>
          </cell>
          <cell r="F354" t="str">
            <v/>
          </cell>
          <cell r="U354" t="str">
            <v>000000000012370</v>
          </cell>
        </row>
        <row r="355">
          <cell r="C355" t="str">
            <v>灯具カバーPC IN 2140　L=547(切断)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000000000012369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000000000012369</v>
          </cell>
        </row>
        <row r="357">
          <cell r="C357">
            <v>0</v>
          </cell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000000000012369</v>
          </cell>
        </row>
        <row r="358">
          <cell r="C358">
            <v>400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000000000012369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000000000012369</v>
          </cell>
        </row>
        <row r="360"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000000000012369</v>
          </cell>
        </row>
        <row r="361">
          <cell r="C361" t="str">
            <v>灯具-1　L=1370</v>
          </cell>
          <cell r="H361" t="str">
            <v/>
          </cell>
          <cell r="K361">
            <v>0</v>
          </cell>
          <cell r="L361" t="str">
            <v/>
          </cell>
          <cell r="U361" t="str">
            <v>000000000012369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000000000012369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000000000012369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000000000012369</v>
          </cell>
        </row>
        <row r="365">
          <cell r="D365" t="str">
            <v>不良補填</v>
          </cell>
          <cell r="F365" t="str">
            <v/>
          </cell>
          <cell r="U365" t="str">
            <v>000000000012369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000000000012153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000000000012153</v>
          </cell>
        </row>
        <row r="368">
          <cell r="C368">
            <v>0</v>
          </cell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000000000012153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000000000012153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000000000012153</v>
          </cell>
        </row>
        <row r="371"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000000000012153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U372" t="str">
            <v>000000000012153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000000000012153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000000000012153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000000000012153</v>
          </cell>
        </row>
        <row r="376">
          <cell r="D376" t="str">
            <v>不良補填</v>
          </cell>
          <cell r="F376" t="str">
            <v/>
          </cell>
          <cell r="U376" t="str">
            <v>000000000012153</v>
          </cell>
        </row>
        <row r="377">
          <cell r="C377" t="str">
            <v>灯具カバーPC  　2160    L=613.3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000000000012155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000000000012155</v>
          </cell>
        </row>
        <row r="379">
          <cell r="C379">
            <v>0</v>
          </cell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000000000012155</v>
          </cell>
        </row>
        <row r="380">
          <cell r="C380">
            <v>20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000000000012155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000000000012155</v>
          </cell>
        </row>
        <row r="382"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000000000012155</v>
          </cell>
        </row>
        <row r="383">
          <cell r="C383" t="str">
            <v>H型ジョイナー端材</v>
          </cell>
          <cell r="H383" t="str">
            <v/>
          </cell>
          <cell r="K383">
            <v>0</v>
          </cell>
          <cell r="L383" t="str">
            <v/>
          </cell>
          <cell r="U383" t="str">
            <v>000000000012155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000000000012155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000000000012155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000000000012155</v>
          </cell>
        </row>
        <row r="387">
          <cell r="D387" t="str">
            <v>不良補填</v>
          </cell>
          <cell r="F387" t="str">
            <v/>
          </cell>
          <cell r="U387" t="str">
            <v>000000000012155</v>
          </cell>
        </row>
        <row r="388">
          <cell r="C388" t="str">
            <v>灯具カバーPC IN 2060　L=1258.5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000000000012150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000000000012150</v>
          </cell>
        </row>
        <row r="390">
          <cell r="C390">
            <v>0</v>
          </cell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000000000012150</v>
          </cell>
        </row>
        <row r="391">
          <cell r="C391">
            <v>96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000000000012150</v>
          </cell>
        </row>
        <row r="392">
          <cell r="C392">
            <v>1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000000000012150</v>
          </cell>
        </row>
        <row r="393"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000000000012150</v>
          </cell>
        </row>
        <row r="394">
          <cell r="C394" t="str">
            <v>灯具-1　L=1370</v>
          </cell>
          <cell r="H394" t="str">
            <v/>
          </cell>
          <cell r="K394">
            <v>0</v>
          </cell>
          <cell r="L394" t="str">
            <v/>
          </cell>
          <cell r="U394" t="str">
            <v>000000000012150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000000000012150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000000000012150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000000000012150</v>
          </cell>
        </row>
        <row r="398">
          <cell r="D398" t="str">
            <v>不良補填</v>
          </cell>
          <cell r="F398" t="str">
            <v/>
          </cell>
          <cell r="U398" t="str">
            <v>000000000012150</v>
          </cell>
        </row>
        <row r="399">
          <cell r="C399" t="str">
            <v>灯具カバーPC IN 2080　L=1540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000000000012151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000000000012151</v>
          </cell>
        </row>
        <row r="401">
          <cell r="C401">
            <v>0</v>
          </cell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000000000012151</v>
          </cell>
        </row>
        <row r="402">
          <cell r="C402">
            <v>96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000000000012151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000000000012151</v>
          </cell>
        </row>
        <row r="404"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000000000012151</v>
          </cell>
        </row>
        <row r="405">
          <cell r="C405" t="str">
            <v>灯具-2　L＝1996</v>
          </cell>
          <cell r="H405" t="str">
            <v/>
          </cell>
          <cell r="K405">
            <v>0</v>
          </cell>
          <cell r="L405" t="str">
            <v/>
          </cell>
          <cell r="U405" t="str">
            <v>000000000012151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000000000012151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000000000012151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000000000012151</v>
          </cell>
        </row>
        <row r="409">
          <cell r="D409" t="str">
            <v>不良補填</v>
          </cell>
          <cell r="F409" t="str">
            <v/>
          </cell>
          <cell r="U409" t="str">
            <v>000000000012151</v>
          </cell>
        </row>
        <row r="410">
          <cell r="C410" t="str">
            <v>灯具カバーPC IN 2050　L=1183.5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000000000012148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000000000012148</v>
          </cell>
        </row>
        <row r="412">
          <cell r="C412">
            <v>0</v>
          </cell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000000000012148</v>
          </cell>
        </row>
        <row r="413">
          <cell r="C413">
            <v>192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000000000012148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000000000012148</v>
          </cell>
        </row>
        <row r="415"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000000000012148</v>
          </cell>
        </row>
        <row r="416">
          <cell r="C416" t="str">
            <v>灯具-1　L=1370</v>
          </cell>
          <cell r="H416" t="str">
            <v/>
          </cell>
          <cell r="K416">
            <v>0</v>
          </cell>
          <cell r="L416" t="str">
            <v/>
          </cell>
          <cell r="U416" t="str">
            <v>000000000012148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000000000012148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000000000012148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000000000012148</v>
          </cell>
        </row>
        <row r="420">
          <cell r="D420" t="str">
            <v>不良補填</v>
          </cell>
          <cell r="F420" t="str">
            <v/>
          </cell>
          <cell r="U420" t="str">
            <v>000000000012148</v>
          </cell>
        </row>
        <row r="421">
          <cell r="C421" t="str">
            <v>灯具カバーPC IN 2050　L=1183.5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000000000012149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000000000012149</v>
          </cell>
        </row>
        <row r="423">
          <cell r="C423">
            <v>0</v>
          </cell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000000000012149</v>
          </cell>
        </row>
        <row r="424">
          <cell r="C424">
            <v>192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000000000012149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000000000012149</v>
          </cell>
        </row>
        <row r="426"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000000000012149</v>
          </cell>
        </row>
        <row r="427">
          <cell r="C427" t="str">
            <v>灯具-1　L=1370</v>
          </cell>
          <cell r="H427" t="str">
            <v/>
          </cell>
          <cell r="K427">
            <v>0</v>
          </cell>
          <cell r="L427" t="str">
            <v/>
          </cell>
          <cell r="U427" t="str">
            <v>000000000012149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000000000012149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000000000012149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000000000012149</v>
          </cell>
        </row>
        <row r="431">
          <cell r="D431" t="str">
            <v>不良補填</v>
          </cell>
          <cell r="F431" t="str">
            <v/>
          </cell>
          <cell r="U431" t="str">
            <v>000000000012149</v>
          </cell>
        </row>
        <row r="432">
          <cell r="C432" t="str">
            <v>灯具カバーPC IN 2110　L=1815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000000000012152</v>
          </cell>
        </row>
        <row r="433">
          <cell r="H433" t="str">
            <v/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000000000012152</v>
          </cell>
        </row>
        <row r="434">
          <cell r="C434">
            <v>0</v>
          </cell>
          <cell r="H434" t="str">
            <v/>
          </cell>
          <cell r="K434">
            <v>0</v>
          </cell>
          <cell r="L434" t="str">
            <v/>
          </cell>
          <cell r="P434">
            <v>0</v>
          </cell>
          <cell r="U434" t="str">
            <v>000000000012152</v>
          </cell>
        </row>
        <row r="435">
          <cell r="C435">
            <v>200</v>
          </cell>
          <cell r="H435" t="str">
            <v/>
          </cell>
          <cell r="K435">
            <v>0</v>
          </cell>
          <cell r="L435" t="str">
            <v/>
          </cell>
          <cell r="P435">
            <v>0</v>
          </cell>
          <cell r="U435" t="str">
            <v>000000000012152</v>
          </cell>
        </row>
        <row r="436">
          <cell r="C436">
            <v>1</v>
          </cell>
          <cell r="H436" t="str">
            <v/>
          </cell>
          <cell r="K436">
            <v>0</v>
          </cell>
          <cell r="L436" t="str">
            <v/>
          </cell>
          <cell r="P436">
            <v>0</v>
          </cell>
          <cell r="U436" t="str">
            <v>000000000012152</v>
          </cell>
        </row>
        <row r="437">
          <cell r="H437" t="str">
            <v/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000000000012152</v>
          </cell>
        </row>
        <row r="438">
          <cell r="C438" t="str">
            <v>灯具-2　L＝1996</v>
          </cell>
          <cell r="H438" t="str">
            <v/>
          </cell>
          <cell r="K438">
            <v>0</v>
          </cell>
          <cell r="L438" t="str">
            <v/>
          </cell>
          <cell r="U438" t="str">
            <v>000000000012152</v>
          </cell>
        </row>
        <row r="439">
          <cell r="H439" t="str">
            <v/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000000000012152</v>
          </cell>
        </row>
        <row r="440">
          <cell r="C440">
            <v>0</v>
          </cell>
          <cell r="H440" t="str">
            <v/>
          </cell>
          <cell r="K440">
            <v>0</v>
          </cell>
          <cell r="L440" t="str">
            <v/>
          </cell>
          <cell r="U440" t="str">
            <v>000000000012152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000000000012152</v>
          </cell>
        </row>
        <row r="442">
          <cell r="D442" t="str">
            <v>不良補填</v>
          </cell>
          <cell r="F442" t="str">
            <v/>
          </cell>
          <cell r="U442" t="str">
            <v>000000000012152</v>
          </cell>
        </row>
        <row r="443">
          <cell r="C443" t="str">
            <v>8FL281304 4810　L=297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000000000012189</v>
          </cell>
        </row>
        <row r="444">
          <cell r="H444" t="str">
            <v/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000000000012189</v>
          </cell>
        </row>
        <row r="445">
          <cell r="C445">
            <v>0</v>
          </cell>
          <cell r="H445" t="str">
            <v/>
          </cell>
          <cell r="K445">
            <v>0</v>
          </cell>
          <cell r="L445" t="str">
            <v/>
          </cell>
          <cell r="P445">
            <v>0</v>
          </cell>
          <cell r="U445" t="str">
            <v>000000000012189</v>
          </cell>
        </row>
        <row r="446">
          <cell r="C446">
            <v>300</v>
          </cell>
          <cell r="H446" t="str">
            <v/>
          </cell>
          <cell r="K446">
            <v>0</v>
          </cell>
          <cell r="L446" t="str">
            <v/>
          </cell>
          <cell r="P446">
            <v>0</v>
          </cell>
          <cell r="U446" t="str">
            <v>000000000012189</v>
          </cell>
        </row>
        <row r="447">
          <cell r="C447">
            <v>6</v>
          </cell>
          <cell r="H447" t="str">
            <v/>
          </cell>
          <cell r="K447">
            <v>0</v>
          </cell>
          <cell r="L447" t="str">
            <v/>
          </cell>
          <cell r="P447">
            <v>0</v>
          </cell>
          <cell r="U447" t="str">
            <v>000000000012189</v>
          </cell>
        </row>
        <row r="448">
          <cell r="H448" t="str">
            <v/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000000000012189</v>
          </cell>
        </row>
        <row r="449">
          <cell r="C449" t="str">
            <v>LED-A300</v>
          </cell>
          <cell r="H449" t="str">
            <v/>
          </cell>
          <cell r="K449">
            <v>0</v>
          </cell>
          <cell r="L449" t="str">
            <v/>
          </cell>
          <cell r="U449" t="str">
            <v>000000000012189</v>
          </cell>
        </row>
        <row r="450">
          <cell r="H450" t="str">
            <v/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000000000012189</v>
          </cell>
        </row>
        <row r="451">
          <cell r="C451">
            <v>0</v>
          </cell>
          <cell r="H451" t="str">
            <v/>
          </cell>
          <cell r="K451">
            <v>0</v>
          </cell>
          <cell r="L451" t="str">
            <v/>
          </cell>
          <cell r="U451" t="str">
            <v>000000000012189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000000000012189</v>
          </cell>
        </row>
        <row r="453">
          <cell r="D453" t="str">
            <v>不良補填</v>
          </cell>
          <cell r="F453">
            <v>0</v>
          </cell>
          <cell r="U453" t="str">
            <v>000000000012189</v>
          </cell>
        </row>
        <row r="454">
          <cell r="C454" t="str">
            <v>8FL281304 4810　L=297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000000000012190</v>
          </cell>
        </row>
        <row r="455">
          <cell r="H455" t="str">
            <v/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000000000012190</v>
          </cell>
        </row>
        <row r="456">
          <cell r="C456">
            <v>0</v>
          </cell>
          <cell r="H456" t="str">
            <v/>
          </cell>
          <cell r="K456">
            <v>0</v>
          </cell>
          <cell r="L456" t="str">
            <v/>
          </cell>
          <cell r="P456">
            <v>0</v>
          </cell>
          <cell r="U456" t="str">
            <v>000000000012190</v>
          </cell>
        </row>
        <row r="457">
          <cell r="C457">
            <v>300</v>
          </cell>
          <cell r="H457" t="str">
            <v/>
          </cell>
          <cell r="K457">
            <v>0</v>
          </cell>
          <cell r="L457" t="str">
            <v/>
          </cell>
          <cell r="P457">
            <v>0</v>
          </cell>
          <cell r="U457" t="str">
            <v>000000000012190</v>
          </cell>
        </row>
        <row r="458">
          <cell r="C458">
            <v>6</v>
          </cell>
          <cell r="H458" t="str">
            <v/>
          </cell>
          <cell r="K458">
            <v>0</v>
          </cell>
          <cell r="L458" t="str">
            <v/>
          </cell>
          <cell r="P458">
            <v>0</v>
          </cell>
          <cell r="U458" t="str">
            <v>000000000012190</v>
          </cell>
        </row>
        <row r="459">
          <cell r="H459" t="str">
            <v/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000000000012190</v>
          </cell>
        </row>
        <row r="460">
          <cell r="C460" t="str">
            <v>LED-A300</v>
          </cell>
          <cell r="H460" t="str">
            <v/>
          </cell>
          <cell r="K460">
            <v>0</v>
          </cell>
          <cell r="L460" t="str">
            <v/>
          </cell>
          <cell r="U460" t="str">
            <v>000000000012190</v>
          </cell>
        </row>
        <row r="461">
          <cell r="H461" t="str">
            <v/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000000000012190</v>
          </cell>
        </row>
        <row r="462">
          <cell r="C462">
            <v>0</v>
          </cell>
          <cell r="H462" t="str">
            <v/>
          </cell>
          <cell r="K462">
            <v>0</v>
          </cell>
          <cell r="L462" t="str">
            <v/>
          </cell>
          <cell r="U462" t="str">
            <v>000000000012190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000000000012190</v>
          </cell>
        </row>
        <row r="464">
          <cell r="D464" t="str">
            <v>不良補填</v>
          </cell>
          <cell r="F464">
            <v>0</v>
          </cell>
          <cell r="U464" t="str">
            <v>000000000012190</v>
          </cell>
        </row>
        <row r="465">
          <cell r="C465" t="str">
            <v>8FL281304 5010　L=888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000000000012195</v>
          </cell>
        </row>
        <row r="466">
          <cell r="H466" t="str">
            <v/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000000000012195</v>
          </cell>
        </row>
        <row r="467">
          <cell r="C467">
            <v>0</v>
          </cell>
          <cell r="H467" t="str">
            <v/>
          </cell>
          <cell r="K467">
            <v>0</v>
          </cell>
          <cell r="L467" t="str">
            <v/>
          </cell>
          <cell r="P467">
            <v>0</v>
          </cell>
          <cell r="U467" t="str">
            <v>000000000012195</v>
          </cell>
        </row>
        <row r="468">
          <cell r="C468">
            <v>1200</v>
          </cell>
          <cell r="H468" t="str">
            <v/>
          </cell>
          <cell r="K468">
            <v>0</v>
          </cell>
          <cell r="L468" t="str">
            <v/>
          </cell>
          <cell r="P468">
            <v>0</v>
          </cell>
          <cell r="U468" t="str">
            <v>000000000012195</v>
          </cell>
        </row>
        <row r="469">
          <cell r="C469">
            <v>2</v>
          </cell>
          <cell r="H469" t="str">
            <v/>
          </cell>
          <cell r="K469">
            <v>0</v>
          </cell>
          <cell r="L469" t="str">
            <v/>
          </cell>
          <cell r="P469">
            <v>0</v>
          </cell>
          <cell r="U469" t="str">
            <v>000000000012195</v>
          </cell>
        </row>
        <row r="470">
          <cell r="H470" t="str">
            <v/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000000000012195</v>
          </cell>
        </row>
        <row r="471">
          <cell r="C471" t="str">
            <v>LED-A888</v>
          </cell>
          <cell r="H471" t="str">
            <v/>
          </cell>
          <cell r="K471">
            <v>0</v>
          </cell>
          <cell r="L471" t="str">
            <v/>
          </cell>
          <cell r="U471" t="str">
            <v>000000000012195</v>
          </cell>
        </row>
        <row r="472">
          <cell r="H472" t="str">
            <v/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000000000012195</v>
          </cell>
        </row>
        <row r="473">
          <cell r="C473">
            <v>0</v>
          </cell>
          <cell r="H473" t="str">
            <v/>
          </cell>
          <cell r="K473">
            <v>0</v>
          </cell>
          <cell r="L473" t="str">
            <v/>
          </cell>
          <cell r="U473" t="str">
            <v>000000000012195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000000000012195</v>
          </cell>
        </row>
        <row r="475">
          <cell r="D475" t="str">
            <v>不良補填</v>
          </cell>
          <cell r="F475">
            <v>0</v>
          </cell>
          <cell r="U475" t="str">
            <v>000000000012195</v>
          </cell>
        </row>
        <row r="476">
          <cell r="C476" t="str">
            <v>8FL281304 6110　L=1478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000000000012197</v>
          </cell>
        </row>
        <row r="477">
          <cell r="H477" t="str">
            <v/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000000000012197</v>
          </cell>
        </row>
        <row r="478">
          <cell r="C478">
            <v>0</v>
          </cell>
          <cell r="H478" t="str">
            <v/>
          </cell>
          <cell r="K478">
            <v>0</v>
          </cell>
          <cell r="L478" t="str">
            <v/>
          </cell>
          <cell r="P478">
            <v>0</v>
          </cell>
          <cell r="U478" t="str">
            <v>000000000012197</v>
          </cell>
        </row>
        <row r="479">
          <cell r="C479">
            <v>100</v>
          </cell>
          <cell r="H479" t="str">
            <v/>
          </cell>
          <cell r="K479">
            <v>0</v>
          </cell>
          <cell r="L479" t="str">
            <v/>
          </cell>
          <cell r="P479">
            <v>0</v>
          </cell>
          <cell r="U479" t="str">
            <v>000000000012197</v>
          </cell>
        </row>
        <row r="480">
          <cell r="C480">
            <v>1</v>
          </cell>
          <cell r="H480" t="str">
            <v/>
          </cell>
          <cell r="K480">
            <v>0</v>
          </cell>
          <cell r="L480" t="str">
            <v/>
          </cell>
          <cell r="P480">
            <v>0</v>
          </cell>
          <cell r="U480" t="str">
            <v>000000000012197</v>
          </cell>
        </row>
        <row r="481">
          <cell r="H481" t="str">
            <v/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000000000012197</v>
          </cell>
        </row>
        <row r="482">
          <cell r="C482" t="str">
            <v>LED-A1478</v>
          </cell>
          <cell r="H482" t="str">
            <v/>
          </cell>
          <cell r="K482">
            <v>0</v>
          </cell>
          <cell r="L482" t="str">
            <v/>
          </cell>
          <cell r="U482" t="str">
            <v>000000000012197</v>
          </cell>
        </row>
        <row r="483">
          <cell r="H483" t="str">
            <v/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000000000012197</v>
          </cell>
        </row>
        <row r="484">
          <cell r="C484">
            <v>0</v>
          </cell>
          <cell r="H484" t="str">
            <v/>
          </cell>
          <cell r="K484">
            <v>0</v>
          </cell>
          <cell r="L484" t="str">
            <v/>
          </cell>
          <cell r="U484" t="str">
            <v>000000000012197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000000000012197</v>
          </cell>
        </row>
        <row r="486">
          <cell r="D486" t="str">
            <v>不良補填</v>
          </cell>
          <cell r="F486">
            <v>0</v>
          </cell>
          <cell r="U486" t="str">
            <v>000000000012197</v>
          </cell>
        </row>
        <row r="487">
          <cell r="C487" t="str">
            <v>8FL281304 5010　L=888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000000000012196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000000000012196</v>
          </cell>
        </row>
        <row r="489">
          <cell r="C489">
            <v>0</v>
          </cell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000000000012196</v>
          </cell>
        </row>
        <row r="490">
          <cell r="C490">
            <v>1200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000000000012196</v>
          </cell>
        </row>
        <row r="491">
          <cell r="C491">
            <v>2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000000000012196</v>
          </cell>
        </row>
        <row r="492"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000000000012196</v>
          </cell>
        </row>
        <row r="493">
          <cell r="C493" t="str">
            <v>LED-A888</v>
          </cell>
          <cell r="H493" t="str">
            <v/>
          </cell>
          <cell r="K493">
            <v>0</v>
          </cell>
          <cell r="L493" t="str">
            <v/>
          </cell>
          <cell r="U493" t="str">
            <v>000000000012196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000000000012196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000000000012196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000000000012196</v>
          </cell>
        </row>
        <row r="497">
          <cell r="D497" t="str">
            <v>不良補填</v>
          </cell>
          <cell r="F497">
            <v>0</v>
          </cell>
          <cell r="U497" t="str">
            <v>000000000012196</v>
          </cell>
        </row>
        <row r="498">
          <cell r="C498" t="str">
            <v>8FL281304 8310　L=748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000000000012194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000000000012194</v>
          </cell>
        </row>
        <row r="500">
          <cell r="C500">
            <v>0</v>
          </cell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000000000012194</v>
          </cell>
        </row>
        <row r="501">
          <cell r="C501">
            <v>400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000000000012194</v>
          </cell>
        </row>
        <row r="502">
          <cell r="C502">
            <v>2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000000000012194</v>
          </cell>
        </row>
        <row r="503"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000000000012194</v>
          </cell>
        </row>
        <row r="504">
          <cell r="C504" t="str">
            <v>LED-A888</v>
          </cell>
          <cell r="H504" t="str">
            <v/>
          </cell>
          <cell r="K504">
            <v>0</v>
          </cell>
          <cell r="L504" t="str">
            <v/>
          </cell>
          <cell r="U504" t="str">
            <v>000000000012194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000000000012194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000000000012194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000000000012194</v>
          </cell>
        </row>
        <row r="508">
          <cell r="D508" t="str">
            <v>不良補填</v>
          </cell>
          <cell r="F508">
            <v>0</v>
          </cell>
          <cell r="U508" t="str">
            <v>000000000012194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000000000012192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000000000012192</v>
          </cell>
        </row>
        <row r="511">
          <cell r="C511">
            <v>0</v>
          </cell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000000000012192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000000000012192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000000000012192</v>
          </cell>
        </row>
        <row r="514"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000000000012192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U515" t="str">
            <v>000000000012192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000000000012192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000000000012192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000000000012192</v>
          </cell>
        </row>
        <row r="519">
          <cell r="D519" t="str">
            <v>不良補填</v>
          </cell>
          <cell r="F519">
            <v>0</v>
          </cell>
          <cell r="U519" t="str">
            <v>000000000012192</v>
          </cell>
        </row>
        <row r="520">
          <cell r="C520" t="str">
            <v>8FL281304 8110　L=444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000000000012191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000000000012191</v>
          </cell>
        </row>
        <row r="522">
          <cell r="C522">
            <v>0</v>
          </cell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000000000012191</v>
          </cell>
        </row>
        <row r="523">
          <cell r="C523">
            <v>100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000000000012191</v>
          </cell>
        </row>
        <row r="524">
          <cell r="C524">
            <v>4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000000000012191</v>
          </cell>
        </row>
        <row r="525"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000000000012191</v>
          </cell>
        </row>
        <row r="526">
          <cell r="C526" t="str">
            <v>LED-A444</v>
          </cell>
          <cell r="H526" t="str">
            <v/>
          </cell>
          <cell r="K526">
            <v>0</v>
          </cell>
          <cell r="L526" t="str">
            <v/>
          </cell>
          <cell r="U526" t="str">
            <v>000000000012191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000000000012191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000000000012191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000000000012191</v>
          </cell>
        </row>
        <row r="530">
          <cell r="D530" t="str">
            <v>不良補填</v>
          </cell>
          <cell r="F530">
            <v>0</v>
          </cell>
          <cell r="U530" t="str">
            <v>000000000012191</v>
          </cell>
        </row>
        <row r="531">
          <cell r="C531" t="str">
            <v>8FL281304 6110　L=1478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000000000012198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000000000012198</v>
          </cell>
        </row>
        <row r="533">
          <cell r="C533">
            <v>0</v>
          </cell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000000000012198</v>
          </cell>
        </row>
        <row r="534">
          <cell r="C534">
            <v>1000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000000000012198</v>
          </cell>
        </row>
        <row r="535">
          <cell r="C535">
            <v>1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000000000012198</v>
          </cell>
        </row>
        <row r="536"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000000000012198</v>
          </cell>
        </row>
        <row r="537">
          <cell r="C537" t="str">
            <v>LED-A1478</v>
          </cell>
          <cell r="H537" t="str">
            <v/>
          </cell>
          <cell r="K537">
            <v>0</v>
          </cell>
          <cell r="L537" t="str">
            <v/>
          </cell>
          <cell r="U537" t="str">
            <v>000000000012198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000000000012198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000000000012198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000000000012198</v>
          </cell>
        </row>
        <row r="541">
          <cell r="D541" t="str">
            <v>不良補填</v>
          </cell>
          <cell r="F541">
            <v>0</v>
          </cell>
          <cell r="U541" t="str">
            <v>000000000012198</v>
          </cell>
        </row>
        <row r="542">
          <cell r="C542" t="str">
            <v>8FL281304 5010　L=888</v>
          </cell>
          <cell r="U542" t="str">
            <v>000000000012199-1</v>
          </cell>
        </row>
        <row r="543">
          <cell r="U543" t="str">
            <v>000000000012199-1</v>
          </cell>
        </row>
        <row r="544">
          <cell r="C544">
            <v>0</v>
          </cell>
          <cell r="U544" t="str">
            <v>000000000012199-1</v>
          </cell>
        </row>
        <row r="545">
          <cell r="C545">
            <v>2000</v>
          </cell>
          <cell r="U545" t="str">
            <v>000000000012199-1</v>
          </cell>
        </row>
        <row r="546">
          <cell r="C546">
            <v>2</v>
          </cell>
          <cell r="U546" t="str">
            <v>000000000012199-1</v>
          </cell>
        </row>
        <row r="547">
          <cell r="U547" t="str">
            <v>000000000012199-1</v>
          </cell>
        </row>
        <row r="548">
          <cell r="C548" t="str">
            <v>LED-A888</v>
          </cell>
          <cell r="U548" t="str">
            <v>000000000012199-1</v>
          </cell>
        </row>
        <row r="549">
          <cell r="U549" t="str">
            <v>000000000012199-1</v>
          </cell>
        </row>
        <row r="550">
          <cell r="U550" t="str">
            <v>000000000012199-1</v>
          </cell>
        </row>
        <row r="551">
          <cell r="U551" t="str">
            <v>000000000012199-1</v>
          </cell>
        </row>
        <row r="552">
          <cell r="U552" t="str">
            <v>000000000012199-1</v>
          </cell>
        </row>
        <row r="553">
          <cell r="C553" t="str">
            <v>8FL281304 5010　L=888</v>
          </cell>
          <cell r="U553" t="str">
            <v>000000000012199-2</v>
          </cell>
        </row>
        <row r="554">
          <cell r="U554" t="str">
            <v>000000000012199-2</v>
          </cell>
        </row>
        <row r="555">
          <cell r="C555">
            <v>0</v>
          </cell>
          <cell r="U555" t="str">
            <v>000000000012199-2</v>
          </cell>
        </row>
        <row r="556">
          <cell r="C556">
            <v>2000</v>
          </cell>
          <cell r="U556" t="str">
            <v>000000000012199-2</v>
          </cell>
        </row>
        <row r="557">
          <cell r="C557">
            <v>2</v>
          </cell>
          <cell r="U557" t="str">
            <v>000000000012199-2</v>
          </cell>
        </row>
        <row r="558">
          <cell r="U558" t="str">
            <v>000000000012199-2</v>
          </cell>
        </row>
        <row r="559">
          <cell r="C559" t="str">
            <v>LED-A888</v>
          </cell>
          <cell r="U559" t="str">
            <v>000000000012199-2</v>
          </cell>
        </row>
        <row r="560">
          <cell r="U560" t="str">
            <v>000000000012199-2</v>
          </cell>
        </row>
        <row r="561">
          <cell r="U561" t="str">
            <v>000000000012199-2</v>
          </cell>
        </row>
        <row r="562">
          <cell r="U562" t="str">
            <v>000000000012199-2</v>
          </cell>
        </row>
        <row r="563">
          <cell r="U563" t="str">
            <v>000000000012199-2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21" zoomScale="85" zoomScaleNormal="85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60" t="s">
        <v>0</v>
      </c>
      <c r="C1" s="40"/>
      <c r="D1" s="40"/>
      <c r="E1" s="11"/>
      <c r="F1" s="11"/>
      <c r="G1" s="11"/>
      <c r="H1" s="11"/>
      <c r="I1" s="11"/>
      <c r="J1" s="11"/>
    </row>
    <row r="2" spans="1:10" ht="14.25" customHeight="1" thickTop="1">
      <c r="A2" s="12"/>
      <c r="B2" s="40"/>
      <c r="C2" s="40"/>
      <c r="D2" s="40"/>
      <c r="E2" s="12"/>
      <c r="F2" s="12"/>
      <c r="G2" s="12"/>
      <c r="H2" s="12"/>
      <c r="I2" s="12"/>
      <c r="J2" s="12"/>
    </row>
    <row r="3" spans="1:10" ht="14.25" customHeight="1">
      <c r="A3" s="43" t="s">
        <v>1</v>
      </c>
      <c r="B3" s="43" t="s">
        <v>2</v>
      </c>
      <c r="C3" s="43" t="s">
        <v>3</v>
      </c>
      <c r="D3" s="66">
        <v>888</v>
      </c>
      <c r="E3" s="43" t="s">
        <v>4</v>
      </c>
      <c r="F3" s="69" t="s">
        <v>5</v>
      </c>
      <c r="G3" s="40"/>
      <c r="H3" s="36"/>
      <c r="I3" s="13" t="s">
        <v>6</v>
      </c>
      <c r="J3" s="13" t="s">
        <v>7</v>
      </c>
    </row>
    <row r="4" spans="1:10" ht="14.25" customHeight="1">
      <c r="A4" s="40"/>
      <c r="B4" s="40"/>
      <c r="C4" s="40"/>
      <c r="D4" s="40"/>
      <c r="E4" s="40"/>
      <c r="F4" s="40"/>
      <c r="G4" s="40"/>
      <c r="H4" s="36"/>
      <c r="I4" s="55"/>
      <c r="J4" s="55"/>
    </row>
    <row r="5" spans="1:10" ht="17.45" customHeight="1">
      <c r="A5" s="54" t="s">
        <v>8</v>
      </c>
      <c r="B5" s="54" t="s">
        <v>9</v>
      </c>
      <c r="E5" s="54" t="s">
        <v>10</v>
      </c>
      <c r="F5" s="39" t="s">
        <v>11</v>
      </c>
      <c r="G5" s="40"/>
      <c r="H5" s="36"/>
      <c r="I5" s="56"/>
      <c r="J5" s="56"/>
    </row>
    <row r="6" spans="1:10" ht="17.45" customHeight="1">
      <c r="A6" s="40"/>
      <c r="B6" s="40"/>
      <c r="E6" s="40"/>
      <c r="F6" s="40"/>
      <c r="G6" s="40"/>
      <c r="H6" s="36"/>
      <c r="I6" s="14"/>
      <c r="J6" s="14"/>
    </row>
    <row r="7" spans="1:10" ht="17.45" customHeight="1">
      <c r="A7" s="54" t="s">
        <v>12</v>
      </c>
      <c r="B7" s="54" t="s">
        <v>13</v>
      </c>
      <c r="E7" s="2" t="s">
        <v>14</v>
      </c>
      <c r="F7" s="51" t="s">
        <v>15</v>
      </c>
      <c r="G7" s="40"/>
      <c r="H7" s="21"/>
    </row>
    <row r="8" spans="1:10" ht="17.45" customHeight="1">
      <c r="A8" s="40"/>
      <c r="B8" s="40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46031</v>
      </c>
      <c r="E9" s="2" t="s">
        <v>19</v>
      </c>
      <c r="F9" s="72">
        <v>100</v>
      </c>
      <c r="G9" s="40"/>
      <c r="H9" s="21"/>
    </row>
    <row r="10" spans="1:10" ht="17.45" customHeight="1">
      <c r="A10" s="2" t="s">
        <v>20</v>
      </c>
      <c r="B10" s="4">
        <v>46031</v>
      </c>
      <c r="E10" s="2" t="s">
        <v>21</v>
      </c>
      <c r="F10" s="21">
        <v>2</v>
      </c>
      <c r="G10" s="58" t="s">
        <v>22</v>
      </c>
      <c r="H10" s="63">
        <v>200</v>
      </c>
      <c r="I10" s="64"/>
      <c r="J10" s="6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59"/>
      <c r="H11" s="59"/>
      <c r="I11" s="37"/>
      <c r="J11" s="38"/>
    </row>
    <row r="12" spans="1:10" ht="13.5" customHeight="1">
      <c r="A12" s="57" t="s">
        <v>25</v>
      </c>
      <c r="B12" s="40"/>
      <c r="C12" s="40"/>
      <c r="D12" s="20"/>
      <c r="F12" s="3"/>
      <c r="G12" s="61" t="s">
        <v>26</v>
      </c>
      <c r="H12" s="71" t="s">
        <v>27</v>
      </c>
      <c r="I12" s="35" t="s">
        <v>28</v>
      </c>
      <c r="J12" s="36"/>
    </row>
    <row r="13" spans="1:10" ht="13.5" customHeight="1">
      <c r="A13" s="40"/>
      <c r="B13" s="40"/>
      <c r="C13" s="40"/>
      <c r="D13" s="20"/>
      <c r="F13" s="3"/>
      <c r="G13" s="62"/>
      <c r="H13" s="62"/>
      <c r="I13" s="37"/>
      <c r="J13" s="38"/>
    </row>
    <row r="14" spans="1:10" ht="13.5" customHeight="1">
      <c r="A14" s="1" t="s">
        <v>29</v>
      </c>
    </row>
    <row r="15" spans="1:10" ht="63" customHeight="1" thickBot="1">
      <c r="A15" s="67"/>
      <c r="B15" s="68"/>
      <c r="C15" s="68"/>
      <c r="D15" s="68"/>
      <c r="E15" s="68"/>
      <c r="F15" s="68"/>
      <c r="G15" s="68"/>
      <c r="H15" s="68"/>
      <c r="I15" s="68"/>
      <c r="J15" s="68"/>
    </row>
    <row r="16" spans="1:10" ht="18.75">
      <c r="A16" s="23" t="s">
        <v>30</v>
      </c>
      <c r="B16" s="16" t="s">
        <v>31</v>
      </c>
      <c r="C16" s="49" t="s">
        <v>32</v>
      </c>
      <c r="D16" s="50"/>
      <c r="E16" s="16" t="s">
        <v>33</v>
      </c>
      <c r="F16" s="49" t="s">
        <v>34</v>
      </c>
      <c r="G16" s="50"/>
      <c r="H16" s="50"/>
      <c r="I16" s="70" t="s">
        <v>35</v>
      </c>
      <c r="J16" s="5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46" t="s">
        <v>37</v>
      </c>
      <c r="D18" s="47"/>
      <c r="E18" s="24" t="s">
        <v>38</v>
      </c>
      <c r="F18" s="46" t="s">
        <v>39</v>
      </c>
      <c r="G18" s="47"/>
      <c r="H18" s="47"/>
      <c r="I18" s="48"/>
      <c r="J18" s="47"/>
    </row>
    <row r="19" spans="1:10" s="7" customFormat="1" ht="16.5" customHeight="1">
      <c r="A19" s="22">
        <v>1</v>
      </c>
      <c r="B19" s="25" t="s">
        <v>36</v>
      </c>
      <c r="C19" s="46" t="s">
        <v>37</v>
      </c>
      <c r="D19" s="47"/>
      <c r="E19" s="24" t="s">
        <v>40</v>
      </c>
      <c r="F19" s="46" t="s">
        <v>41</v>
      </c>
      <c r="G19" s="47"/>
      <c r="H19" s="47"/>
      <c r="I19" s="48"/>
      <c r="J19" s="47"/>
    </row>
    <row r="20" spans="1:10" s="7" customFormat="1" ht="16.5" customHeight="1">
      <c r="A20" s="22"/>
      <c r="B20" s="25"/>
      <c r="C20" s="46"/>
      <c r="D20" s="47"/>
      <c r="E20" s="24"/>
      <c r="F20" s="46"/>
      <c r="G20" s="47"/>
      <c r="H20" s="47"/>
      <c r="I20" s="48"/>
      <c r="J20" s="47"/>
    </row>
    <row r="21" spans="1:10" s="7" customFormat="1" ht="16.5" customHeight="1">
      <c r="A21" s="22"/>
      <c r="B21" s="25"/>
      <c r="C21" s="46"/>
      <c r="D21" s="47"/>
      <c r="E21" s="24"/>
      <c r="F21" s="46"/>
      <c r="G21" s="47"/>
      <c r="H21" s="47"/>
      <c r="I21" s="48"/>
      <c r="J21" s="47"/>
    </row>
    <row r="22" spans="1:10" s="7" customFormat="1" ht="16.5" customHeight="1">
      <c r="A22" s="22"/>
      <c r="B22" s="25"/>
      <c r="C22" s="46"/>
      <c r="D22" s="47"/>
      <c r="E22" s="24"/>
      <c r="F22" s="46"/>
      <c r="G22" s="47"/>
      <c r="H22" s="47"/>
      <c r="I22" s="48"/>
      <c r="J22" s="47"/>
    </row>
    <row r="23" spans="1:10" s="7" customFormat="1" ht="16.5" customHeight="1">
      <c r="A23" s="22"/>
      <c r="B23" s="25"/>
      <c r="C23" s="46"/>
      <c r="D23" s="47"/>
      <c r="E23" s="24"/>
      <c r="F23" s="46"/>
      <c r="G23" s="47"/>
      <c r="H23" s="47"/>
      <c r="I23" s="48"/>
      <c r="J23" s="4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44" t="s">
        <v>42</v>
      </c>
      <c r="B25" s="45"/>
      <c r="C25" s="44" t="s">
        <v>43</v>
      </c>
      <c r="D25" s="45"/>
      <c r="E25" s="45"/>
      <c r="F25" s="17" t="s">
        <v>44</v>
      </c>
      <c r="G25" s="44" t="s">
        <v>45</v>
      </c>
      <c r="H25" s="45"/>
      <c r="I25" s="44" t="s">
        <v>46</v>
      </c>
      <c r="J25" s="45"/>
    </row>
    <row r="26" spans="1:10" ht="14.25" customHeight="1">
      <c r="A26" s="8"/>
      <c r="B26" s="18"/>
      <c r="C26" s="52" t="s">
        <v>47</v>
      </c>
      <c r="D26" s="37"/>
      <c r="E26" s="18"/>
      <c r="F26" s="52" t="s">
        <v>29</v>
      </c>
      <c r="G26" s="37"/>
      <c r="H26" s="37"/>
      <c r="I26" s="37"/>
      <c r="J26" s="37"/>
    </row>
    <row r="27" spans="1:10">
      <c r="A27" s="9"/>
      <c r="C27" s="7"/>
      <c r="D27" s="7"/>
      <c r="E27" s="7"/>
    </row>
    <row r="28" spans="1:10" s="5" customFormat="1" ht="14.25" customHeight="1">
      <c r="A28" s="46" t="s">
        <v>48</v>
      </c>
      <c r="B28" s="42"/>
      <c r="C28" s="46" t="s">
        <v>49</v>
      </c>
      <c r="D28" s="42"/>
      <c r="E28" s="42"/>
      <c r="F28" s="26" t="s">
        <v>27</v>
      </c>
      <c r="G28" s="41">
        <v>100</v>
      </c>
      <c r="H28" s="42"/>
      <c r="I28" s="41">
        <v>1</v>
      </c>
      <c r="J28" s="42"/>
    </row>
    <row r="29" spans="1:10" s="7" customFormat="1" ht="24.95" customHeight="1">
      <c r="A29" s="53" t="s">
        <v>50</v>
      </c>
      <c r="B29" s="47"/>
      <c r="C29" s="46"/>
      <c r="D29" s="47"/>
      <c r="E29" s="47"/>
      <c r="F29" s="46"/>
      <c r="G29" s="47"/>
      <c r="H29" s="47"/>
      <c r="I29" s="47"/>
      <c r="J29" s="47"/>
    </row>
    <row r="30" spans="1:10" s="5" customFormat="1" ht="14.25" customHeight="1">
      <c r="A30" s="46" t="s">
        <v>51</v>
      </c>
      <c r="B30" s="42"/>
      <c r="C30" s="46" t="s">
        <v>52</v>
      </c>
      <c r="D30" s="42"/>
      <c r="E30" s="42"/>
      <c r="F30" s="26" t="s">
        <v>36</v>
      </c>
      <c r="G30" s="41">
        <v>2</v>
      </c>
      <c r="H30" s="42"/>
      <c r="I30" s="41">
        <v>0.02</v>
      </c>
      <c r="J30" s="42"/>
    </row>
    <row r="31" spans="1:10" s="7" customFormat="1" ht="24.95" customHeight="1">
      <c r="A31" s="53" t="s">
        <v>53</v>
      </c>
      <c r="B31" s="47"/>
      <c r="C31" s="46" t="s">
        <v>54</v>
      </c>
      <c r="D31" s="47"/>
      <c r="E31" s="47"/>
      <c r="F31" s="46"/>
      <c r="G31" s="47"/>
      <c r="H31" s="47"/>
      <c r="I31" s="47"/>
      <c r="J31" s="47"/>
    </row>
    <row r="32" spans="1:10" s="5" customFormat="1" ht="14.25" customHeight="1">
      <c r="A32" s="46" t="s">
        <v>55</v>
      </c>
      <c r="B32" s="42"/>
      <c r="C32" s="46" t="s">
        <v>56</v>
      </c>
      <c r="D32" s="42"/>
      <c r="E32" s="42"/>
      <c r="F32" s="26"/>
      <c r="G32" s="41">
        <v>22</v>
      </c>
      <c r="H32" s="42"/>
      <c r="I32" s="41">
        <v>0.22</v>
      </c>
      <c r="J32" s="42"/>
    </row>
    <row r="33" spans="1:14" s="7" customFormat="1" ht="24.95" customHeight="1">
      <c r="A33" s="53" t="s">
        <v>57</v>
      </c>
      <c r="B33" s="47"/>
      <c r="C33" s="46" t="s">
        <v>58</v>
      </c>
      <c r="D33" s="47"/>
      <c r="E33" s="47"/>
      <c r="F33" s="46"/>
      <c r="G33" s="47"/>
      <c r="H33" s="47"/>
      <c r="I33" s="47"/>
      <c r="J33" s="47"/>
    </row>
    <row r="34" spans="1:14" s="5" customFormat="1" ht="14.25" customHeight="1">
      <c r="A34" s="46" t="s">
        <v>59</v>
      </c>
      <c r="B34" s="42"/>
      <c r="C34" s="46" t="s">
        <v>60</v>
      </c>
      <c r="D34" s="42"/>
      <c r="E34" s="42"/>
      <c r="F34" s="26"/>
      <c r="G34" s="41">
        <v>0.2</v>
      </c>
      <c r="H34" s="42"/>
      <c r="I34" s="41">
        <v>2E-3</v>
      </c>
      <c r="J34" s="42"/>
    </row>
    <row r="35" spans="1:14" s="7" customFormat="1" ht="24.95" customHeight="1">
      <c r="A35" s="53" t="s">
        <v>61</v>
      </c>
      <c r="B35" s="47"/>
      <c r="C35" s="46" t="s">
        <v>62</v>
      </c>
      <c r="D35" s="47"/>
      <c r="E35" s="47"/>
      <c r="F35" s="46"/>
      <c r="G35" s="47"/>
      <c r="H35" s="47"/>
      <c r="I35" s="47"/>
      <c r="J35" s="47"/>
    </row>
    <row r="36" spans="1:14" s="5" customFormat="1" ht="14.25" customHeight="1">
      <c r="A36" s="46"/>
      <c r="B36" s="42"/>
      <c r="C36" s="46"/>
      <c r="D36" s="42"/>
      <c r="E36" s="42"/>
      <c r="F36" s="26"/>
      <c r="G36" s="41"/>
      <c r="H36" s="42"/>
      <c r="I36" s="41"/>
      <c r="J36" s="42"/>
    </row>
    <row r="37" spans="1:14" s="7" customFormat="1" ht="24.95" customHeight="1" thickBot="1">
      <c r="A37" s="53"/>
      <c r="B37" s="47"/>
      <c r="C37" s="46"/>
      <c r="D37" s="47"/>
      <c r="E37" s="47"/>
      <c r="F37" s="46"/>
      <c r="G37" s="47"/>
      <c r="H37" s="47"/>
      <c r="I37" s="47"/>
      <c r="J37" s="47"/>
    </row>
    <row r="38" spans="1:14" s="5" customFormat="1" ht="18" customHeight="1">
      <c r="A38" s="73" t="s">
        <v>67</v>
      </c>
      <c r="B38" s="74" t="s">
        <v>70</v>
      </c>
      <c r="C38" s="75" t="s">
        <v>78</v>
      </c>
      <c r="D38" s="76"/>
      <c r="E38" s="77" t="s">
        <v>63</v>
      </c>
      <c r="F38" s="78" t="s">
        <v>79</v>
      </c>
      <c r="G38" s="79" t="s">
        <v>77</v>
      </c>
      <c r="H38" s="80" t="s">
        <v>80</v>
      </c>
      <c r="I38" s="81" t="s">
        <v>81</v>
      </c>
      <c r="J38" s="82"/>
    </row>
    <row r="39" spans="1:14" s="7" customFormat="1" ht="18" customHeight="1">
      <c r="A39" s="83" t="str">
        <f>_xlfn.XLOOKUP(B3,[1]VFDB2!$A:$A,[1]VFDB2!$J:$J)</f>
        <v>〇</v>
      </c>
      <c r="B39" s="84">
        <f>D3</f>
        <v>888</v>
      </c>
      <c r="C39" s="85" t="str">
        <f>_xlfn.XLOOKUP(B3,[1]VFDB2!$A:$A,[1]VFDB2!$Z:$Z)</f>
        <v>LED-A888</v>
      </c>
      <c r="D39" s="86"/>
      <c r="E39" s="87" t="str" cm="1">
        <f t="array" ref="E39">IFERROR(INDEX(_xlfn._xlws.FILTER([2]加工記録２!C:C,[2]加工記録２!U:U=B5),9),"")</f>
        <v/>
      </c>
      <c r="F39" s="88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9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90"/>
      <c r="I39" s="93" t="s">
        <v>65</v>
      </c>
      <c r="J39" s="94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98" t="s">
        <v>71</v>
      </c>
      <c r="B40" s="99" t="s">
        <v>74</v>
      </c>
      <c r="C40" s="85"/>
      <c r="D40" s="86"/>
      <c r="E40" s="87"/>
      <c r="F40" s="100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9"/>
      <c r="H40" s="90"/>
      <c r="I40" s="93" t="s">
        <v>66</v>
      </c>
      <c r="J40" s="95" t="str">
        <v/>
      </c>
      <c r="K40" s="27"/>
    </row>
    <row r="41" spans="1:14" s="7" customFormat="1" ht="18" customHeight="1">
      <c r="A41" s="101" t="str">
        <f>_xlfn.XLOOKUP(B3,[1]VFDB2!$A:$A,[1]VFDB2!$L:$L)</f>
        <v>+0.5</v>
      </c>
      <c r="B41" s="102" t="str">
        <f>_xlfn.XLOOKUP(B3,[1]VFDB2!$A:$A,[1]VFDB2!$AC:$AC)</f>
        <v>換算表確認</v>
      </c>
      <c r="C41" s="103" t="s">
        <v>82</v>
      </c>
      <c r="D41" s="104" t="str">
        <f>_xlfn.XLOOKUP(B3,[1]VFDB2!$A:$A,[1]VFDB2!$W:$W)</f>
        <v>L=888用　クラフト紙</v>
      </c>
      <c r="E41" s="104"/>
      <c r="F41" s="105"/>
      <c r="G41" s="89"/>
      <c r="H41" s="90"/>
      <c r="I41" s="93" t="s">
        <v>83</v>
      </c>
      <c r="J41" s="95" t="str">
        <v/>
      </c>
      <c r="K41" s="28"/>
    </row>
    <row r="42" spans="1:14" s="5" customFormat="1" ht="18" customHeight="1">
      <c r="A42" s="106" t="s">
        <v>75</v>
      </c>
      <c r="B42" s="107" t="s">
        <v>68</v>
      </c>
      <c r="C42" s="103"/>
      <c r="D42" s="104" t="str">
        <f>_xlfn.XLOOKUP(B3,[1]VFDB2!$A:$A,[1]VFDB2!$R:$R)</f>
        <v>ラベル１枚　長手無　鉢巻１回</v>
      </c>
      <c r="E42" s="104"/>
      <c r="F42" s="105"/>
      <c r="G42" s="89"/>
      <c r="H42" s="90"/>
      <c r="I42" s="93" t="s">
        <v>72</v>
      </c>
      <c r="J42" s="95" t="str">
        <v/>
      </c>
      <c r="K42" s="27"/>
    </row>
    <row r="43" spans="1:14" s="7" customFormat="1" ht="18" customHeight="1" thickBot="1">
      <c r="A43" s="108" t="str">
        <f>_xlfn.XLOOKUP(B3,[1]VFDB2!$A:$A,[1]VFDB2!$K:$K)</f>
        <v>－0.5</v>
      </c>
      <c r="B43" s="109">
        <f>_xlfn.XLOOKUP(B3,[1]VFDB2!$A:$A,[1]VFDB2!$P:$P)</f>
        <v>2</v>
      </c>
      <c r="C43" s="110" t="s">
        <v>84</v>
      </c>
      <c r="D43" s="111" t="str">
        <f>_xlfn.XLOOKUP(B3,[1]VFDB2!$A:$A,[1]VFDB2!$V:$V)</f>
        <v>1箱目の梱包数 目視確認　以降、重量測定</v>
      </c>
      <c r="E43" s="111"/>
      <c r="F43" s="112"/>
      <c r="G43" s="91"/>
      <c r="H43" s="92"/>
      <c r="I43" s="93" t="s">
        <v>69</v>
      </c>
      <c r="J43" s="96" t="str">
        <v/>
      </c>
      <c r="K43" s="28"/>
    </row>
    <row r="44" spans="1:14" s="5" customFormat="1" ht="18" customHeight="1" thickBot="1">
      <c r="A44" s="113" t="s">
        <v>76</v>
      </c>
      <c r="B44" s="114" t="str" cm="1">
        <f t="array" ref="B44">IF(SUM(--(ISTEXT(B45:B55)*(B45:B55&lt;&gt;"")))=0,"計測Lot","計測Lot・加工数")</f>
        <v>計測Lot</v>
      </c>
      <c r="C44" s="115" t="s">
        <v>85</v>
      </c>
      <c r="D44" s="116" t="s">
        <v>86</v>
      </c>
      <c r="E44" s="117" t="s">
        <v>87</v>
      </c>
      <c r="F44" s="118" t="str" cm="1">
        <f t="array" ref="F44">IF(SUM(--(ISTEXT(B45:B55)*(B45:B55&lt;&gt;"")))=0,"記入不要","使用Lot")</f>
        <v>記入不要</v>
      </c>
      <c r="G44" s="119" t="s">
        <v>88</v>
      </c>
      <c r="H44" s="120" t="s">
        <v>89</v>
      </c>
      <c r="I44" s="121" t="s">
        <v>73</v>
      </c>
      <c r="J44" s="97" t="str">
        <v/>
      </c>
      <c r="K44" s="27"/>
    </row>
    <row r="45" spans="1:14" s="7" customFormat="1" ht="18" customHeight="1">
      <c r="A45" s="122" t="str" cm="1">
        <f t="array" ref="A45:A55">IFERROR(INDEX(_xlfn._xlws.FILTER([2]加工記録２!$D:$D,[2]加工記録２!$U:$U=B5),_xlfn.SEQUENCE(11),0),"")</f>
        <v/>
      </c>
      <c r="B45" s="126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129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130"/>
      <c r="E45" s="131"/>
      <c r="F45" s="31"/>
      <c r="G45" s="31"/>
      <c r="H45" s="32"/>
      <c r="I45" s="140" t="s">
        <v>64</v>
      </c>
      <c r="J45" s="141"/>
      <c r="K45" s="142"/>
    </row>
    <row r="46" spans="1:14" s="5" customFormat="1" ht="18" customHeight="1">
      <c r="A46" s="123" t="str">
        <v/>
      </c>
      <c r="B46" s="127" t="str">
        <v/>
      </c>
      <c r="C46" s="132"/>
      <c r="D46" s="133"/>
      <c r="E46" s="134"/>
      <c r="F46" s="132"/>
      <c r="G46" s="132"/>
      <c r="H46" s="135"/>
      <c r="I46" s="143" t="s">
        <v>90</v>
      </c>
      <c r="J46" s="135" t="str" cm="1">
        <f t="array" ref="J46:J55">IFERROR(INDEX(_xlfn._xlws.FILTER([2]加工記録２!R:R, [2]加工記録２!U:U=B5),_xlfn.SEQUENCE(10)),"")</f>
        <v/>
      </c>
      <c r="K46" s="142"/>
    </row>
    <row r="47" spans="1:14" s="30" customFormat="1" ht="18.95" customHeight="1">
      <c r="A47" s="124" t="str">
        <v/>
      </c>
      <c r="B47" s="127" t="str">
        <v/>
      </c>
      <c r="C47" s="132"/>
      <c r="D47" s="133"/>
      <c r="E47" s="134"/>
      <c r="F47" s="132"/>
      <c r="G47" s="132"/>
      <c r="H47" s="135"/>
      <c r="I47" s="143" t="s">
        <v>91</v>
      </c>
      <c r="J47" s="135" t="str">
        <v/>
      </c>
      <c r="K47" s="146"/>
      <c r="L47" s="29"/>
      <c r="M47" s="29"/>
      <c r="N47" s="29"/>
    </row>
    <row r="48" spans="1:14" s="34" customFormat="1" ht="18.95" customHeight="1">
      <c r="A48" s="124" t="str">
        <v/>
      </c>
      <c r="B48" s="127" t="str">
        <v/>
      </c>
      <c r="C48" s="132"/>
      <c r="D48" s="133"/>
      <c r="E48" s="134"/>
      <c r="F48" s="132"/>
      <c r="G48" s="132"/>
      <c r="H48" s="135"/>
      <c r="I48" s="143" t="s">
        <v>92</v>
      </c>
      <c r="J48" s="135" t="str">
        <v/>
      </c>
      <c r="K48" s="147"/>
      <c r="L48" s="33"/>
      <c r="M48" s="33"/>
      <c r="N48" s="33"/>
    </row>
    <row r="49" spans="1:14" s="34" customFormat="1" ht="18.95" customHeight="1">
      <c r="A49" s="124" t="str">
        <v/>
      </c>
      <c r="B49" s="127" t="str">
        <v/>
      </c>
      <c r="C49" s="132"/>
      <c r="D49" s="133"/>
      <c r="E49" s="134"/>
      <c r="F49" s="132"/>
      <c r="G49" s="132"/>
      <c r="H49" s="135"/>
      <c r="I49" s="143" t="s">
        <v>93</v>
      </c>
      <c r="J49" s="135" t="str">
        <v/>
      </c>
      <c r="K49" s="147"/>
      <c r="L49" s="33"/>
      <c r="M49" s="33"/>
      <c r="N49" s="33"/>
    </row>
    <row r="50" spans="1:14" s="34" customFormat="1" ht="18.95" customHeight="1">
      <c r="A50" s="124" t="str">
        <v/>
      </c>
      <c r="B50" s="127" t="str">
        <v/>
      </c>
      <c r="C50" s="132"/>
      <c r="D50" s="133"/>
      <c r="E50" s="134"/>
      <c r="F50" s="132"/>
      <c r="G50" s="132"/>
      <c r="H50" s="135"/>
      <c r="I50" s="143" t="s">
        <v>94</v>
      </c>
      <c r="J50" s="135" t="str">
        <v/>
      </c>
      <c r="K50" s="147"/>
      <c r="L50" s="33"/>
      <c r="M50" s="33"/>
      <c r="N50" s="33"/>
    </row>
    <row r="51" spans="1:14" s="34" customFormat="1" ht="18.95" customHeight="1">
      <c r="A51" s="124" t="str">
        <v/>
      </c>
      <c r="B51" s="127" t="str">
        <v/>
      </c>
      <c r="C51" s="132"/>
      <c r="D51" s="133"/>
      <c r="E51" s="134"/>
      <c r="F51" s="132"/>
      <c r="G51" s="132"/>
      <c r="H51" s="135"/>
      <c r="I51" s="143" t="s">
        <v>95</v>
      </c>
      <c r="J51" s="135" t="str">
        <v/>
      </c>
      <c r="K51" s="147"/>
      <c r="L51" s="33"/>
      <c r="M51" s="33"/>
      <c r="N51" s="33"/>
    </row>
    <row r="52" spans="1:14" s="34" customFormat="1" ht="18.95" customHeight="1">
      <c r="A52" s="124" t="str">
        <v/>
      </c>
      <c r="B52" s="127" t="str">
        <v/>
      </c>
      <c r="C52" s="132"/>
      <c r="D52" s="133"/>
      <c r="E52" s="134"/>
      <c r="F52" s="132"/>
      <c r="G52" s="132"/>
      <c r="H52" s="135"/>
      <c r="I52" s="148" t="s">
        <v>96</v>
      </c>
      <c r="J52" s="135" t="str">
        <v/>
      </c>
      <c r="K52" s="147"/>
      <c r="L52" s="33"/>
      <c r="M52" s="33"/>
      <c r="N52" s="33"/>
    </row>
    <row r="53" spans="1:14" s="34" customFormat="1" ht="18.95" customHeight="1">
      <c r="A53" s="124" t="str">
        <v/>
      </c>
      <c r="B53" s="127" t="str">
        <v/>
      </c>
      <c r="C53" s="132"/>
      <c r="D53" s="133"/>
      <c r="E53" s="134"/>
      <c r="F53" s="132"/>
      <c r="G53" s="132"/>
      <c r="H53" s="135"/>
      <c r="I53" s="148" t="s">
        <v>97</v>
      </c>
      <c r="J53" s="135" t="str">
        <v/>
      </c>
      <c r="K53" s="147"/>
      <c r="L53" s="33"/>
      <c r="M53" s="33"/>
      <c r="N53" s="33"/>
    </row>
    <row r="54" spans="1:14" s="34" customFormat="1" ht="18.95" customHeight="1">
      <c r="A54" s="124" t="str">
        <v/>
      </c>
      <c r="B54" s="127" t="str">
        <v/>
      </c>
      <c r="C54" s="132"/>
      <c r="D54" s="133"/>
      <c r="E54" s="134"/>
      <c r="F54" s="132"/>
      <c r="G54" s="132"/>
      <c r="H54" s="135"/>
      <c r="I54" s="143" t="s">
        <v>98</v>
      </c>
      <c r="J54" s="144" t="str">
        <v/>
      </c>
      <c r="K54" s="147"/>
      <c r="L54" s="33"/>
      <c r="M54" s="33"/>
      <c r="N54" s="33"/>
    </row>
    <row r="55" spans="1:14" s="34" customFormat="1" ht="18.95" customHeight="1" thickBot="1">
      <c r="A55" s="125" t="str">
        <v/>
      </c>
      <c r="B55" s="128" t="str">
        <v/>
      </c>
      <c r="C55" s="136"/>
      <c r="D55" s="137"/>
      <c r="E55" s="137"/>
      <c r="F55" s="138"/>
      <c r="G55" s="138"/>
      <c r="H55" s="139"/>
      <c r="I55" s="149" t="s">
        <v>99</v>
      </c>
      <c r="J55" s="145" t="str">
        <v/>
      </c>
      <c r="K55" s="147"/>
      <c r="L55" s="33"/>
      <c r="M55" s="33"/>
      <c r="N55" s="33"/>
    </row>
    <row r="56" spans="1:14" ht="6" customHeight="1" thickBot="1">
      <c r="A56" s="150"/>
      <c r="B56" s="151"/>
      <c r="C56" s="151"/>
      <c r="D56" s="150"/>
      <c r="E56" s="151"/>
      <c r="F56" s="151"/>
      <c r="G56" s="151"/>
      <c r="H56" s="15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C38:D38"/>
    <mergeCell ref="I38:J38"/>
    <mergeCell ref="C39:D40"/>
    <mergeCell ref="E39:E40"/>
    <mergeCell ref="D41:F41"/>
    <mergeCell ref="D42:F42"/>
    <mergeCell ref="D43:F43"/>
    <mergeCell ref="I45:J45"/>
    <mergeCell ref="C41:C42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I32:J32"/>
    <mergeCell ref="A37:B37"/>
    <mergeCell ref="F33:J33"/>
    <mergeCell ref="G36:H36"/>
    <mergeCell ref="I36:J36"/>
    <mergeCell ref="C26:D2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C16:D16"/>
    <mergeCell ref="I16:J16"/>
    <mergeCell ref="I25:J25"/>
    <mergeCell ref="I18:J18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21:J21"/>
    <mergeCell ref="C28:E28"/>
    <mergeCell ref="I12:J13"/>
    <mergeCell ref="F5:H6"/>
    <mergeCell ref="G32:H32"/>
    <mergeCell ref="C3:C4"/>
    <mergeCell ref="G25:H25"/>
    <mergeCell ref="E3:E4"/>
    <mergeCell ref="F18:H18"/>
    <mergeCell ref="F22:H22"/>
    <mergeCell ref="A25:B25"/>
    <mergeCell ref="F31:J31"/>
    <mergeCell ref="C21:D21"/>
    <mergeCell ref="I23:J23"/>
    <mergeCell ref="C30:E30"/>
    <mergeCell ref="C23:D23"/>
    <mergeCell ref="F16:H16"/>
    <mergeCell ref="F7:G7"/>
    <mergeCell ref="F23:H23"/>
    <mergeCell ref="C20:D20"/>
    <mergeCell ref="C22:D22"/>
    <mergeCell ref="F26:J26"/>
  </mergeCells>
  <phoneticPr fontId="2"/>
  <conditionalFormatting sqref="A45:B55 C46:E55 D45:E4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2026-01-05T00:00:18Z</cp:lastPrinted>
  <dcterms:created xsi:type="dcterms:W3CDTF">2024-07-11T02:08:33Z</dcterms:created>
  <dcterms:modified xsi:type="dcterms:W3CDTF">2026-02-19T07:40:28Z</dcterms:modified>
</cp:coreProperties>
</file>