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037BBFCE-0DE2-4927-B9F6-B242810A98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J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<sst xmlns="http://schemas.openxmlformats.org/spreadsheetml/2006/main" count="98" uniqueCount="93">
  <si>
    <t>検査梱包指示書</t>
  </si>
  <si>
    <t>品目番号</t>
  </si>
  <si>
    <t>J1JAZZB10807480</t>
  </si>
  <si>
    <t>Ｌ寸</t>
  </si>
  <si>
    <t>名称</t>
  </si>
  <si>
    <t>8FL2813048310</t>
  </si>
  <si>
    <t>上長</t>
  </si>
  <si>
    <t>係員</t>
  </si>
  <si>
    <t>製造指図№</t>
  </si>
  <si>
    <t>000000000010332</t>
  </si>
  <si>
    <t>原料名</t>
  </si>
  <si>
    <t>(CASE 748MILK-W4)</t>
  </si>
  <si>
    <t>発注明細№</t>
  </si>
  <si>
    <t>000000000815656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</si>
  <si>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</si>
  <si>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</si>
  <si>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</si>
  <si>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</si>
  <si>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</si>
  <si>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</si>
  <si>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</si>
  <si>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</si>
  <si>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</si>
  <si>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</si>
  <si>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</si>
  <si>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*J1JAZZB10807480*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</si>
  <si>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</si>
  <si>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</si>
  <si>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</si>
  <si>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</si>
  <si>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</si>
  <si>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</si>
  <si>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</si>
  <si>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</si>
  <si>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</si>
  <si>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</si>
  <si>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</si>
  <si>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</si>
  <si>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</si>
  <si>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</si>
  <si>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</si>
  <si>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</si>
  <si>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</si>
  <si>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</si>
  <si>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</si>
  <si>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</si>
  <si>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</si>
  <si>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</si>
  <si>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</si>
  <si>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</si>
  <si>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</si>
  <si>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J6DW0089</t>
  </si>
  <si>
    <t>LED-A888　898X275X166</t>
  </si>
  <si>
    <t>*J6DW0089*</t>
  </si>
  <si>
    <t>L888×W275×H166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</si>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</sst>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m/d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m/d"/>
    <numFmt numFmtId="193" formatCode="yy\,mm\,dd"/>
    <numFmt numFmtId="194" formatCode="#&quot;箱&quot;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0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21" fillId="5" borderId="22" xfId="0" applyNumberFormat="1" applyFont="1" applyFill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21" fillId="5" borderId="22" xfId="0" applyNumberFormat="1" applyFont="1" applyFill="1" applyBorder="1" applyAlignment="1">
      <alignment horizontal="left" vertical="center" shrinkToFit="1"/>
    </xf>
    <xf numFmtId="49" fontId="22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21" fillId="5" borderId="22" xfId="0" applyNumberFormat="1" applyFont="1" applyFill="1" applyBorder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185" fontId="21" fillId="5" borderId="22" xfId="0" applyNumberFormat="1" applyFont="1" applyFill="1" applyBorder="1" applyAlignment="1">
      <alignment horizontal="left" vertical="center" shrinkToFit="1"/>
    </xf>
    <xf numFmtId="187" fontId="21" fillId="5" borderId="22" xfId="0" applyNumberFormat="1" applyFont="1" applyFill="1" applyBorder="1" applyAlignment="1">
      <alignment horizontal="left" vertical="center" shrinkToFit="1"/>
    </xf>
    <xf numFmtId="188" fontId="21" fillId="5" borderId="22" xfId="0" applyNumberFormat="1" applyFont="1" applyFill="1" applyBorder="1" applyAlignment="1">
      <alignment horizontal="left" vertical="center" shrinkToFit="1"/>
    </xf>
    <xf numFmtId="190" fontId="21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1" fontId="21" fillId="5" borderId="32" xfId="0" applyNumberFormat="1" applyFont="1" applyFill="1" applyBorder="1" applyAlignment="1">
      <alignment horizontal="left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2" fontId="30" fillId="4" borderId="21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189" fontId="30" fillId="4" borderId="36" xfId="0" applyNumberFormat="1" applyFont="1" applyFill="1" applyBorder="1" applyAlignment="1">
      <alignment horizontal="center" vertical="center"/>
    </xf>
    <xf numFmtId="179" fontId="30" fillId="4" borderId="21" xfId="0" applyNumberFormat="1" applyFont="1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center" vertical="center"/>
    </xf>
    <xf numFmtId="179" fontId="30" fillId="4" borderId="22" xfId="0" applyNumberFormat="1" applyFont="1" applyFill="1" applyBorder="1" applyAlignment="1">
      <alignment horizontal="center" vertical="center"/>
    </xf>
    <xf numFmtId="193" fontId="30" fillId="0" borderId="21" xfId="0" applyNumberFormat="1" applyFont="1" applyBorder="1" applyAlignment="1">
      <alignment horizontal="center" vertical="center"/>
    </xf>
    <xf numFmtId="194" fontId="30" fillId="0" borderId="22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49" fontId="32" fillId="0" borderId="0" xfId="0" applyNumberFormat="1" applyFont="1" applyAlignment="1">
      <alignment vertical="top" shrinkToFit="1"/>
    </xf>
    <xf numFmtId="0" fontId="30" fillId="0" borderId="2" xfId="0" applyFont="1" applyBorder="1" applyAlignment="1">
      <alignment horizontal="center" vertical="center"/>
    </xf>
    <xf numFmtId="195" fontId="30" fillId="0" borderId="2" xfId="0" applyNumberFormat="1" applyFont="1" applyBorder="1" applyAlignment="1">
      <alignment horizontal="center" vertical="center"/>
    </xf>
    <xf numFmtId="195" fontId="30" fillId="0" borderId="22" xfId="0" applyNumberFormat="1" applyFont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22" xfId="0" applyNumberFormat="1" applyFont="1" applyBorder="1" applyAlignment="1">
      <alignment horizontal="center" vertical="center"/>
    </xf>
    <xf numFmtId="193" fontId="30" fillId="0" borderId="24" xfId="0" applyNumberFormat="1" applyFont="1" applyBorder="1" applyAlignment="1">
      <alignment horizontal="center" vertical="center"/>
    </xf>
    <xf numFmtId="194" fontId="30" fillId="0" borderId="37" xfId="0" applyNumberFormat="1" applyFont="1" applyBorder="1" applyAlignment="1">
      <alignment horizontal="center" vertical="center"/>
    </xf>
    <xf numFmtId="192" fontId="30" fillId="4" borderId="30" xfId="0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95" fontId="30" fillId="0" borderId="31" xfId="0" applyNumberFormat="1" applyFont="1" applyBorder="1" applyAlignment="1">
      <alignment horizontal="center" vertical="center"/>
    </xf>
    <xf numFmtId="195" fontId="30" fillId="0" borderId="32" xfId="0" applyNumberFormat="1" applyFont="1" applyBorder="1" applyAlignment="1">
      <alignment horizontal="center" vertical="center"/>
    </xf>
    <xf numFmtId="179" fontId="30" fillId="0" borderId="30" xfId="0" applyNumberFormat="1" applyFont="1" applyBorder="1" applyAlignment="1">
      <alignment horizontal="center" vertical="center"/>
    </xf>
    <xf numFmtId="179" fontId="30" fillId="0" borderId="31" xfId="0" applyNumberFormat="1" applyFont="1" applyBorder="1" applyAlignment="1">
      <alignment horizontal="center" vertical="center"/>
    </xf>
    <xf numFmtId="179" fontId="30" fillId="0" borderId="32" xfId="0" applyNumberFormat="1" applyFont="1" applyBorder="1" applyAlignment="1">
      <alignment horizontal="center" vertical="center"/>
    </xf>
    <xf numFmtId="193" fontId="19" fillId="4" borderId="38" xfId="0" applyNumberFormat="1" applyFont="1" applyFill="1" applyBorder="1" applyAlignment="1">
      <alignment horizontal="center" vertical="center"/>
    </xf>
    <xf numFmtId="196" fontId="30" fillId="0" borderId="39" xfId="0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right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5" fillId="2" borderId="25" xfId="1" applyNumberFormat="1" applyFont="1" applyFill="1" applyBorder="1" applyAlignment="1">
      <alignment horizontal="center" vertical="center" shrinkToFit="1"/>
    </xf>
    <xf numFmtId="49" fontId="25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3" fillId="0" borderId="13" xfId="1" applyFont="1" applyBorder="1" applyAlignment="1">
      <alignment horizontal="center" vertical="center" shrinkToFit="1"/>
    </xf>
    <xf numFmtId="0" fontId="23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5" fillId="2" borderId="25" xfId="0" applyNumberFormat="1" applyFont="1" applyFill="1" applyBorder="1" applyAlignment="1">
      <alignment horizontal="center" vertical="center"/>
    </xf>
    <xf numFmtId="49" fontId="25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161926</xdr:colOff>
      <xdr:row>3</xdr:row>
      <xdr:rowOff>114301</xdr:rowOff>
    </xdr:from>
    <xdr:to>
      <xdr:col>9</xdr:col>
      <xdr:colOff>619126</xdr:colOff>
      <xdr:row>5</xdr:row>
      <xdr:rowOff>171451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1F5C6FC-EAF1-8E81-35E4-6962B8988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1" y="65722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3</xdr:row>
      <xdr:rowOff>85725</xdr:rowOff>
    </xdr:from>
    <xdr:to>
      <xdr:col>8</xdr:col>
      <xdr:colOff>590550</xdr:colOff>
      <xdr:row>5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74ECA7E-9114-0C2C-6109-F7B54D05B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628650"/>
          <a:ext cx="447675" cy="44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6.xlsm" TargetMode="External"/><Relationship Id="rId1" Type="http://schemas.openxmlformats.org/officeDocument/2006/relationships/externalLinkPath" Target="/Users/user/Desktop/sgt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加工記録２"/>
      <sheetName val="8FL基材管理"/>
      <sheetName val="依頼書保管"/>
      <sheetName val="納品明細書"/>
      <sheetName val="Sheet2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6110　L=1478</v>
          </cell>
          <cell r="I3">
            <v>0</v>
          </cell>
          <cell r="K3">
            <v>0</v>
          </cell>
          <cell r="L3">
            <v>46015</v>
          </cell>
          <cell r="M3">
            <v>5</v>
          </cell>
          <cell r="O3">
            <v>46016</v>
          </cell>
          <cell r="P3">
            <v>5</v>
          </cell>
          <cell r="T3" t="str">
            <v>000000000010006</v>
          </cell>
        </row>
        <row r="4">
          <cell r="D4">
            <v>46014</v>
          </cell>
          <cell r="E4" t="str">
            <v>25L15-03</v>
          </cell>
          <cell r="F4">
            <v>20</v>
          </cell>
          <cell r="G4">
            <v>1478</v>
          </cell>
          <cell r="H4">
            <v>1478.02</v>
          </cell>
          <cell r="I4" t="str">
            <v>25L15-03</v>
          </cell>
          <cell r="J4">
            <v>528</v>
          </cell>
          <cell r="K4">
            <v>528</v>
          </cell>
          <cell r="L4">
            <v>46016</v>
          </cell>
          <cell r="M4">
            <v>3</v>
          </cell>
          <cell r="O4">
            <v>800</v>
          </cell>
          <cell r="T4" t="str">
            <v>000000000010006</v>
          </cell>
        </row>
        <row r="5">
          <cell r="C5">
            <v>800</v>
          </cell>
          <cell r="D5">
            <v>46014</v>
          </cell>
          <cell r="E5" t="str">
            <v>25L15-03</v>
          </cell>
          <cell r="F5">
            <v>20</v>
          </cell>
          <cell r="G5">
            <v>1478</v>
          </cell>
          <cell r="H5">
            <v>1478.07</v>
          </cell>
          <cell r="I5" t="str">
            <v>25L16-04</v>
          </cell>
          <cell r="J5">
            <v>277</v>
          </cell>
          <cell r="K5">
            <v>277</v>
          </cell>
          <cell r="O5">
            <v>805</v>
          </cell>
          <cell r="T5" t="str">
            <v>000000000010006</v>
          </cell>
        </row>
        <row r="6">
          <cell r="D6">
            <v>46015</v>
          </cell>
          <cell r="E6" t="str">
            <v>25L15-03</v>
          </cell>
          <cell r="F6">
            <v>20</v>
          </cell>
          <cell r="G6">
            <v>1478</v>
          </cell>
          <cell r="H6">
            <v>1478.13</v>
          </cell>
          <cell r="K6">
            <v>0</v>
          </cell>
          <cell r="O6">
            <v>5</v>
          </cell>
          <cell r="T6" t="str">
            <v>000000000010006</v>
          </cell>
        </row>
        <row r="7">
          <cell r="C7">
            <v>1</v>
          </cell>
          <cell r="D7">
            <v>46015</v>
          </cell>
          <cell r="E7" t="str">
            <v>25L16-04</v>
          </cell>
          <cell r="F7">
            <v>20</v>
          </cell>
          <cell r="G7">
            <v>1478</v>
          </cell>
          <cell r="H7">
            <v>1478.04</v>
          </cell>
          <cell r="K7">
            <v>0</v>
          </cell>
          <cell r="O7">
            <v>5</v>
          </cell>
          <cell r="T7" t="str">
            <v>000000000010006</v>
          </cell>
        </row>
        <row r="8">
          <cell r="C8" t="str">
            <v>LED-A1478</v>
          </cell>
          <cell r="G8" t="str">
            <v/>
          </cell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T8" t="str">
            <v>000000000010006</v>
          </cell>
        </row>
        <row r="9">
          <cell r="C9">
            <v>8</v>
          </cell>
          <cell r="G9" t="str">
            <v/>
          </cell>
          <cell r="K9">
            <v>0</v>
          </cell>
          <cell r="L9" t="str">
            <v>検査</v>
          </cell>
          <cell r="M9" t="str">
            <v>t</v>
          </cell>
          <cell r="T9" t="str">
            <v>000000000010006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O10">
            <v>0</v>
          </cell>
          <cell r="P10">
            <v>5</v>
          </cell>
          <cell r="T10" t="str">
            <v>000000000010006</v>
          </cell>
        </row>
        <row r="11">
          <cell r="C11" t="str">
            <v>8FL281304 8310　L=748</v>
          </cell>
          <cell r="I11">
            <v>0</v>
          </cell>
          <cell r="K11">
            <v>0</v>
          </cell>
          <cell r="L11">
            <v>46016</v>
          </cell>
          <cell r="M11">
            <v>4</v>
          </cell>
          <cell r="O11">
            <v>46016</v>
          </cell>
          <cell r="P11">
            <v>6</v>
          </cell>
          <cell r="T11" t="str">
            <v>000000000010707</v>
          </cell>
        </row>
        <row r="12">
          <cell r="D12">
            <v>46016</v>
          </cell>
          <cell r="E12" t="str">
            <v>25L16-04</v>
          </cell>
          <cell r="F12">
            <v>20</v>
          </cell>
          <cell r="G12">
            <v>748</v>
          </cell>
          <cell r="H12">
            <v>748.06</v>
          </cell>
          <cell r="I12" t="str">
            <v>25L16-04</v>
          </cell>
          <cell r="J12">
            <v>406</v>
          </cell>
          <cell r="K12">
            <v>203</v>
          </cell>
          <cell r="O12">
            <v>400</v>
          </cell>
          <cell r="T12" t="str">
            <v>000000000010707</v>
          </cell>
        </row>
        <row r="13">
          <cell r="C13">
            <v>400</v>
          </cell>
          <cell r="D13">
            <v>46016</v>
          </cell>
          <cell r="F13">
            <v>20</v>
          </cell>
          <cell r="G13">
            <v>748</v>
          </cell>
          <cell r="H13">
            <v>747.94</v>
          </cell>
          <cell r="K13">
            <v>0</v>
          </cell>
          <cell r="O13">
            <v>203</v>
          </cell>
          <cell r="T13" t="str">
            <v>000000000010707</v>
          </cell>
        </row>
        <row r="14">
          <cell r="G14" t="str">
            <v/>
          </cell>
          <cell r="K14">
            <v>0</v>
          </cell>
          <cell r="O14">
            <v>3</v>
          </cell>
          <cell r="T14" t="str">
            <v>000000000010707</v>
          </cell>
        </row>
        <row r="15">
          <cell r="C15">
            <v>2</v>
          </cell>
          <cell r="G15" t="str">
            <v/>
          </cell>
          <cell r="K15">
            <v>0</v>
          </cell>
          <cell r="O15">
            <v>6</v>
          </cell>
          <cell r="T15" t="str">
            <v>000000000010707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切断</v>
          </cell>
          <cell r="M16" t="str">
            <v>c</v>
          </cell>
          <cell r="O16">
            <v>0</v>
          </cell>
          <cell r="T16" t="str">
            <v>000000000010707</v>
          </cell>
        </row>
        <row r="17">
          <cell r="C17">
            <v>4</v>
          </cell>
          <cell r="G17" t="str">
            <v/>
          </cell>
          <cell r="K17">
            <v>0</v>
          </cell>
          <cell r="L17" t="str">
            <v>検査</v>
          </cell>
          <cell r="M17" t="str">
            <v>u</v>
          </cell>
          <cell r="T17" t="str">
            <v>000000000010707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O18">
            <v>0</v>
          </cell>
          <cell r="P18">
            <v>6</v>
          </cell>
          <cell r="T18" t="str">
            <v>000000000010707</v>
          </cell>
        </row>
        <row r="19">
          <cell r="C19" t="str">
            <v>8FL281304 8310　L=748</v>
          </cell>
          <cell r="D19">
            <v>46003</v>
          </cell>
          <cell r="E19" t="str">
            <v>25L14-02</v>
          </cell>
          <cell r="I19" t="str">
            <v>25L14-02</v>
          </cell>
          <cell r="J19">
            <v>2</v>
          </cell>
          <cell r="K19">
            <v>1</v>
          </cell>
          <cell r="L19">
            <v>46016</v>
          </cell>
          <cell r="M19">
            <v>2</v>
          </cell>
          <cell r="O19">
            <v>46016</v>
          </cell>
          <cell r="P19">
            <v>1</v>
          </cell>
          <cell r="T19" t="str">
            <v>000000000010332</v>
          </cell>
        </row>
        <row r="20">
          <cell r="D20">
            <v>46015</v>
          </cell>
          <cell r="E20" t="str">
            <v>25L16-04</v>
          </cell>
          <cell r="F20">
            <v>20</v>
          </cell>
          <cell r="G20">
            <v>748</v>
          </cell>
          <cell r="H20">
            <v>747.99</v>
          </cell>
          <cell r="I20" t="str">
            <v>25L16-04</v>
          </cell>
          <cell r="J20">
            <v>199</v>
          </cell>
          <cell r="K20">
            <v>100</v>
          </cell>
          <cell r="O20">
            <v>200</v>
          </cell>
          <cell r="T20" t="str">
            <v>000000000010332</v>
          </cell>
        </row>
        <row r="21">
          <cell r="C21">
            <v>200</v>
          </cell>
          <cell r="D21">
            <v>46015</v>
          </cell>
          <cell r="E21" t="str">
            <v>25L16-04</v>
          </cell>
          <cell r="F21">
            <v>20</v>
          </cell>
          <cell r="G21">
            <v>748</v>
          </cell>
          <cell r="H21">
            <v>748.08</v>
          </cell>
          <cell r="K21">
            <v>0</v>
          </cell>
          <cell r="O21">
            <v>101</v>
          </cell>
          <cell r="T21" t="str">
            <v>000000000010332</v>
          </cell>
        </row>
        <row r="22">
          <cell r="D22">
            <v>46016</v>
          </cell>
          <cell r="E22" t="str">
            <v>25L16-04</v>
          </cell>
          <cell r="F22">
            <v>20</v>
          </cell>
          <cell r="G22">
            <v>748</v>
          </cell>
          <cell r="H22">
            <v>748.07</v>
          </cell>
          <cell r="K22">
            <v>0</v>
          </cell>
          <cell r="O22">
            <v>1</v>
          </cell>
          <cell r="T22" t="str">
            <v>000000000010332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1</v>
          </cell>
          <cell r="T23" t="str">
            <v>000000000010332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切断</v>
          </cell>
          <cell r="M24" t="str">
            <v>m</v>
          </cell>
          <cell r="O24">
            <v>0</v>
          </cell>
          <cell r="T24" t="str">
            <v>000000000010332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検査</v>
          </cell>
          <cell r="M25" t="str">
            <v>t</v>
          </cell>
          <cell r="T25" t="str">
            <v>000000000010332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O26">
            <v>0</v>
          </cell>
          <cell r="P26">
            <v>1</v>
          </cell>
          <cell r="T26" t="str">
            <v>000000000010332</v>
          </cell>
        </row>
        <row r="27">
          <cell r="C27" t="str">
            <v>8FL281304 8310　L=748</v>
          </cell>
          <cell r="I27">
            <v>0</v>
          </cell>
          <cell r="K27">
            <v>0</v>
          </cell>
          <cell r="L27">
            <v>46016</v>
          </cell>
          <cell r="M27">
            <v>2</v>
          </cell>
          <cell r="O27">
            <v>46016</v>
          </cell>
          <cell r="P27">
            <v>1</v>
          </cell>
          <cell r="T27" t="str">
            <v>000000000010501</v>
          </cell>
        </row>
        <row r="28">
          <cell r="D28">
            <v>46016</v>
          </cell>
          <cell r="E28" t="str">
            <v>25L16-04</v>
          </cell>
          <cell r="F28">
            <v>20</v>
          </cell>
          <cell r="G28">
            <v>748</v>
          </cell>
          <cell r="H28">
            <v>748.89</v>
          </cell>
          <cell r="I28" t="str">
            <v>25L16-04</v>
          </cell>
          <cell r="J28">
            <v>202</v>
          </cell>
          <cell r="K28">
            <v>101</v>
          </cell>
          <cell r="O28">
            <v>200</v>
          </cell>
          <cell r="T28" t="str">
            <v>000000000010501</v>
          </cell>
        </row>
        <row r="29">
          <cell r="C29">
            <v>200</v>
          </cell>
          <cell r="D29">
            <v>46016</v>
          </cell>
          <cell r="E29" t="str">
            <v>25L16-04</v>
          </cell>
          <cell r="F29">
            <v>20</v>
          </cell>
          <cell r="G29">
            <v>748</v>
          </cell>
          <cell r="H29">
            <v>748.18</v>
          </cell>
          <cell r="K29">
            <v>0</v>
          </cell>
          <cell r="O29">
            <v>101</v>
          </cell>
          <cell r="T29" t="str">
            <v>000000000010501</v>
          </cell>
        </row>
        <row r="30">
          <cell r="G30" t="str">
            <v/>
          </cell>
          <cell r="K30">
            <v>0</v>
          </cell>
          <cell r="O30">
            <v>1</v>
          </cell>
          <cell r="T30" t="str">
            <v>000000000010501</v>
          </cell>
        </row>
        <row r="31">
          <cell r="C31">
            <v>2</v>
          </cell>
          <cell r="G31" t="str">
            <v/>
          </cell>
          <cell r="K31">
            <v>0</v>
          </cell>
          <cell r="O31">
            <v>2</v>
          </cell>
          <cell r="T31" t="str">
            <v>000000000010501</v>
          </cell>
        </row>
        <row r="32">
          <cell r="C32" t="str">
            <v>LED-A888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m</v>
          </cell>
          <cell r="O32">
            <v>0</v>
          </cell>
          <cell r="T32" t="str">
            <v>000000000010501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t</v>
          </cell>
          <cell r="P33">
            <v>1</v>
          </cell>
          <cell r="T33" t="str">
            <v>000000000010501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O34">
            <v>0</v>
          </cell>
          <cell r="P34">
            <v>2</v>
          </cell>
          <cell r="T34" t="str">
            <v>000000000010501</v>
          </cell>
        </row>
        <row r="35">
          <cell r="C35" t="str">
            <v>8FL281304 4910　L=592</v>
          </cell>
          <cell r="D35">
            <v>46015</v>
          </cell>
          <cell r="E35" t="str">
            <v>25L15-03</v>
          </cell>
          <cell r="I35" t="str">
            <v>25L15-03</v>
          </cell>
          <cell r="J35">
            <v>1</v>
          </cell>
          <cell r="K35">
            <v>0</v>
          </cell>
          <cell r="L35">
            <v>46017</v>
          </cell>
          <cell r="M35">
            <v>1</v>
          </cell>
          <cell r="O35">
            <v>46017</v>
          </cell>
          <cell r="T35" t="str">
            <v>000000000010000</v>
          </cell>
        </row>
        <row r="36">
          <cell r="D36">
            <v>46016</v>
          </cell>
          <cell r="E36" t="str">
            <v>25L16-04</v>
          </cell>
          <cell r="F36">
            <v>20</v>
          </cell>
          <cell r="G36">
            <v>591.5</v>
          </cell>
          <cell r="H36">
            <v>591.62</v>
          </cell>
          <cell r="I36" t="str">
            <v>25L16-04</v>
          </cell>
          <cell r="J36">
            <v>99</v>
          </cell>
          <cell r="K36">
            <v>33</v>
          </cell>
          <cell r="O36">
            <v>100</v>
          </cell>
          <cell r="T36" t="str">
            <v>000000000010000</v>
          </cell>
        </row>
        <row r="37">
          <cell r="C37">
            <v>100</v>
          </cell>
          <cell r="D37">
            <v>46016</v>
          </cell>
          <cell r="E37" t="str">
            <v>25L16-04</v>
          </cell>
          <cell r="F37">
            <v>20</v>
          </cell>
          <cell r="G37">
            <v>591.5</v>
          </cell>
          <cell r="H37">
            <v>591.64</v>
          </cell>
          <cell r="K37">
            <v>0</v>
          </cell>
          <cell r="O37">
            <v>34</v>
          </cell>
          <cell r="T37" t="str">
            <v>000000000010000</v>
          </cell>
        </row>
        <row r="38">
          <cell r="G38" t="str">
            <v/>
          </cell>
          <cell r="K38">
            <v>0</v>
          </cell>
          <cell r="O38">
            <v>0</v>
          </cell>
          <cell r="T38" t="str">
            <v>000000000010000</v>
          </cell>
        </row>
        <row r="39">
          <cell r="C39">
            <v>3</v>
          </cell>
          <cell r="G39" t="str">
            <v/>
          </cell>
          <cell r="K39">
            <v>0</v>
          </cell>
          <cell r="O39">
            <v>0</v>
          </cell>
          <cell r="T39" t="str">
            <v>000000000010000</v>
          </cell>
        </row>
        <row r="40">
          <cell r="C40" t="str">
            <v>LED-A592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c</v>
          </cell>
          <cell r="O40">
            <v>1</v>
          </cell>
          <cell r="T40" t="str">
            <v>000000000010000</v>
          </cell>
        </row>
        <row r="41">
          <cell r="C41">
            <v>1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t</v>
          </cell>
          <cell r="T41" t="str">
            <v>000000000010000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O42">
            <v>1</v>
          </cell>
          <cell r="P42">
            <v>0</v>
          </cell>
          <cell r="T42" t="str">
            <v>000000000010000</v>
          </cell>
        </row>
        <row r="43">
          <cell r="C43" t="str">
            <v>8FL281304 4810　L=297</v>
          </cell>
          <cell r="D43">
            <v>46015</v>
          </cell>
          <cell r="E43" t="str">
            <v>25L15-03</v>
          </cell>
          <cell r="I43" t="str">
            <v>25L15-03</v>
          </cell>
          <cell r="J43">
            <v>14</v>
          </cell>
          <cell r="K43">
            <v>2</v>
          </cell>
          <cell r="L43">
            <v>46016</v>
          </cell>
          <cell r="M43">
            <v>3</v>
          </cell>
          <cell r="O43">
            <v>46016</v>
          </cell>
          <cell r="P43">
            <v>3</v>
          </cell>
          <cell r="T43" t="str">
            <v>000000000009997</v>
          </cell>
        </row>
        <row r="44">
          <cell r="D44">
            <v>46016</v>
          </cell>
          <cell r="E44" t="str">
            <v>25L16-04</v>
          </cell>
          <cell r="F44">
            <v>20</v>
          </cell>
          <cell r="G44">
            <v>297</v>
          </cell>
          <cell r="H44">
            <v>297.27</v>
          </cell>
          <cell r="I44" t="str">
            <v>25L16-04</v>
          </cell>
          <cell r="J44">
            <v>289</v>
          </cell>
          <cell r="K44">
            <v>49</v>
          </cell>
          <cell r="O44">
            <v>300</v>
          </cell>
          <cell r="T44" t="str">
            <v>000000000009997</v>
          </cell>
        </row>
        <row r="45">
          <cell r="C45">
            <v>300</v>
          </cell>
          <cell r="D45">
            <v>46016</v>
          </cell>
          <cell r="E45" t="str">
            <v>25L16-04</v>
          </cell>
          <cell r="F45">
            <v>20</v>
          </cell>
          <cell r="G45">
            <v>297</v>
          </cell>
          <cell r="H45">
            <v>297.08999999999997</v>
          </cell>
          <cell r="K45">
            <v>0</v>
          </cell>
          <cell r="O45">
            <v>51</v>
          </cell>
          <cell r="T45" t="str">
            <v>000000000009997</v>
          </cell>
        </row>
        <row r="46">
          <cell r="G46" t="str">
            <v/>
          </cell>
          <cell r="K46">
            <v>0</v>
          </cell>
          <cell r="O46">
            <v>1</v>
          </cell>
          <cell r="T46" t="str">
            <v>000000000009997</v>
          </cell>
        </row>
        <row r="47">
          <cell r="C47">
            <v>6</v>
          </cell>
          <cell r="G47" t="str">
            <v/>
          </cell>
          <cell r="K47">
            <v>0</v>
          </cell>
          <cell r="O47">
            <v>3</v>
          </cell>
          <cell r="T47" t="str">
            <v>000000000009997</v>
          </cell>
        </row>
        <row r="48">
          <cell r="C48" t="str">
            <v>LED-A300</v>
          </cell>
          <cell r="G48" t="str">
            <v/>
          </cell>
          <cell r="K48">
            <v>0</v>
          </cell>
          <cell r="L48" t="str">
            <v>切断</v>
          </cell>
          <cell r="M48" t="str">
            <v>c</v>
          </cell>
          <cell r="O48">
            <v>2</v>
          </cell>
          <cell r="T48" t="str">
            <v>000000000009997</v>
          </cell>
        </row>
        <row r="49">
          <cell r="C49">
            <v>3</v>
          </cell>
          <cell r="G49" t="str">
            <v/>
          </cell>
          <cell r="K49">
            <v>0</v>
          </cell>
          <cell r="L49" t="str">
            <v>検査</v>
          </cell>
          <cell r="M49" t="str">
            <v>u</v>
          </cell>
          <cell r="T49" t="str">
            <v>000000000009997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O50">
            <v>2</v>
          </cell>
          <cell r="P50">
            <v>3</v>
          </cell>
          <cell r="T50" t="str">
            <v>000000000009997</v>
          </cell>
        </row>
        <row r="51">
          <cell r="C51" t="str">
            <v>8FL281304 4810　L=297</v>
          </cell>
          <cell r="I51">
            <v>0</v>
          </cell>
          <cell r="K51">
            <v>0</v>
          </cell>
          <cell r="L51">
            <v>46017</v>
          </cell>
          <cell r="M51">
            <v>2</v>
          </cell>
          <cell r="O51">
            <v>46017</v>
          </cell>
          <cell r="T51" t="str">
            <v>000000000009998</v>
          </cell>
        </row>
        <row r="52">
          <cell r="D52">
            <v>46016</v>
          </cell>
          <cell r="E52" t="str">
            <v>25L16-04</v>
          </cell>
          <cell r="F52">
            <v>20</v>
          </cell>
          <cell r="G52">
            <v>297</v>
          </cell>
          <cell r="H52">
            <v>297.3</v>
          </cell>
          <cell r="I52" t="str">
            <v>25L16-04</v>
          </cell>
          <cell r="J52">
            <v>144</v>
          </cell>
          <cell r="K52">
            <v>24</v>
          </cell>
          <cell r="O52">
            <v>200</v>
          </cell>
          <cell r="T52" t="str">
            <v>000000000009998</v>
          </cell>
        </row>
        <row r="53">
          <cell r="C53">
            <v>200</v>
          </cell>
          <cell r="D53">
            <v>46016</v>
          </cell>
          <cell r="E53" t="str">
            <v>25L16-04</v>
          </cell>
          <cell r="F53">
            <v>20</v>
          </cell>
          <cell r="G53">
            <v>297</v>
          </cell>
          <cell r="H53">
            <v>297.38</v>
          </cell>
          <cell r="K53">
            <v>0</v>
          </cell>
          <cell r="O53">
            <v>24</v>
          </cell>
          <cell r="T53" t="str">
            <v>000000000009998</v>
          </cell>
        </row>
        <row r="54">
          <cell r="G54" t="str">
            <v/>
          </cell>
          <cell r="K54">
            <v>0</v>
          </cell>
          <cell r="O54">
            <v>0</v>
          </cell>
          <cell r="T54" t="str">
            <v>000000000009998</v>
          </cell>
        </row>
        <row r="55">
          <cell r="C55">
            <v>6</v>
          </cell>
          <cell r="G55" t="str">
            <v/>
          </cell>
          <cell r="K55">
            <v>0</v>
          </cell>
          <cell r="O55">
            <v>0</v>
          </cell>
          <cell r="T55" t="str">
            <v>000000000009998</v>
          </cell>
        </row>
        <row r="56">
          <cell r="C56" t="str">
            <v>LED-A300</v>
          </cell>
          <cell r="G56" t="str">
            <v/>
          </cell>
          <cell r="K56">
            <v>0</v>
          </cell>
          <cell r="L56" t="str">
            <v>切断</v>
          </cell>
          <cell r="M56" t="str">
            <v>c/m</v>
          </cell>
          <cell r="O56">
            <v>56</v>
          </cell>
          <cell r="T56" t="str">
            <v>000000000009998</v>
          </cell>
        </row>
        <row r="57">
          <cell r="C57">
            <v>2</v>
          </cell>
          <cell r="G57" t="str">
            <v/>
          </cell>
          <cell r="K57">
            <v>0</v>
          </cell>
          <cell r="L57" t="str">
            <v>検査</v>
          </cell>
          <cell r="M57" t="str">
            <v>u/t</v>
          </cell>
          <cell r="O57">
            <v>56</v>
          </cell>
          <cell r="T57" t="str">
            <v>000000000009998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O58">
            <v>0</v>
          </cell>
          <cell r="P58">
            <v>0</v>
          </cell>
          <cell r="T58" t="str">
            <v>000000000009998</v>
          </cell>
        </row>
        <row r="59">
          <cell r="C59" t="str">
            <v>8FL281304 5010　L=888</v>
          </cell>
          <cell r="I59">
            <v>0</v>
          </cell>
          <cell r="K59">
            <v>0</v>
          </cell>
          <cell r="O59">
            <v>0</v>
          </cell>
          <cell r="T59" t="str">
            <v>000000000010003</v>
          </cell>
        </row>
        <row r="60">
          <cell r="G60" t="str">
            <v/>
          </cell>
          <cell r="I60" t="str">
            <v/>
          </cell>
          <cell r="K60">
            <v>0</v>
          </cell>
          <cell r="O60">
            <v>0</v>
          </cell>
          <cell r="T60" t="str">
            <v>000000000010003</v>
          </cell>
        </row>
        <row r="61">
          <cell r="C61">
            <v>900</v>
          </cell>
          <cell r="G61" t="str">
            <v/>
          </cell>
          <cell r="K61">
            <v>0</v>
          </cell>
          <cell r="O61">
            <v>0</v>
          </cell>
          <cell r="T61" t="str">
            <v>000000000010003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000000000010003</v>
          </cell>
        </row>
        <row r="63">
          <cell r="C63">
            <v>2</v>
          </cell>
          <cell r="G63" t="str">
            <v/>
          </cell>
          <cell r="K63">
            <v>0</v>
          </cell>
          <cell r="O63">
            <v>0</v>
          </cell>
          <cell r="T63" t="str">
            <v>000000000010003</v>
          </cell>
        </row>
        <row r="64">
          <cell r="C64" t="str">
            <v>LED-A888</v>
          </cell>
          <cell r="G64" t="str">
            <v/>
          </cell>
          <cell r="K64">
            <v>0</v>
          </cell>
          <cell r="L64" t="str">
            <v>切断</v>
          </cell>
          <cell r="O64">
            <v>0</v>
          </cell>
          <cell r="T64" t="str">
            <v>000000000010003</v>
          </cell>
        </row>
        <row r="65">
          <cell r="C65">
            <v>0</v>
          </cell>
          <cell r="G65" t="str">
            <v/>
          </cell>
          <cell r="K65">
            <v>0</v>
          </cell>
          <cell r="L65" t="str">
            <v>検査</v>
          </cell>
          <cell r="T65" t="str">
            <v>000000000010003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O66">
            <v>0</v>
          </cell>
          <cell r="P66">
            <v>0</v>
          </cell>
          <cell r="T66" t="str">
            <v>000000000010003</v>
          </cell>
        </row>
        <row r="67">
          <cell r="C67" t="str">
            <v>8FL281304 5010　L=888</v>
          </cell>
          <cell r="I67">
            <v>0</v>
          </cell>
          <cell r="K67">
            <v>0</v>
          </cell>
          <cell r="O67">
            <v>0</v>
          </cell>
          <cell r="T67" t="str">
            <v>000000000010790</v>
          </cell>
        </row>
        <row r="68">
          <cell r="G68" t="str">
            <v/>
          </cell>
          <cell r="I68" t="str">
            <v/>
          </cell>
          <cell r="K68">
            <v>0</v>
          </cell>
          <cell r="O68">
            <v>0</v>
          </cell>
          <cell r="T68" t="str">
            <v>000000000010790</v>
          </cell>
        </row>
        <row r="69">
          <cell r="C69">
            <v>0</v>
          </cell>
          <cell r="G69" t="str">
            <v/>
          </cell>
          <cell r="K69">
            <v>0</v>
          </cell>
          <cell r="O69">
            <v>0</v>
          </cell>
          <cell r="T69" t="str">
            <v>000000000010790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000000000010790</v>
          </cell>
        </row>
        <row r="71">
          <cell r="C71">
            <v>2</v>
          </cell>
          <cell r="G71" t="str">
            <v/>
          </cell>
          <cell r="K71">
            <v>0</v>
          </cell>
          <cell r="O71">
            <v>0</v>
          </cell>
          <cell r="T71" t="str">
            <v>000000000010790</v>
          </cell>
        </row>
        <row r="72">
          <cell r="C72" t="str">
            <v>LED-A888</v>
          </cell>
          <cell r="G72" t="str">
            <v/>
          </cell>
          <cell r="K72">
            <v>0</v>
          </cell>
          <cell r="L72" t="str">
            <v>切断</v>
          </cell>
          <cell r="O72">
            <v>0</v>
          </cell>
          <cell r="T72" t="str">
            <v>000000000010790</v>
          </cell>
        </row>
        <row r="73">
          <cell r="C73">
            <v>0</v>
          </cell>
          <cell r="G73" t="str">
            <v/>
          </cell>
          <cell r="K73">
            <v>0</v>
          </cell>
          <cell r="L73" t="str">
            <v>検査</v>
          </cell>
          <cell r="T73" t="str">
            <v>000000000010790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O74">
            <v>0</v>
          </cell>
          <cell r="P74">
            <v>0</v>
          </cell>
          <cell r="T74" t="str">
            <v>000000000010790</v>
          </cell>
        </row>
        <row r="75">
          <cell r="C75" t="str">
            <v>8FL281304 5010　L=888</v>
          </cell>
          <cell r="I75">
            <v>0</v>
          </cell>
          <cell r="K75">
            <v>0</v>
          </cell>
          <cell r="O75">
            <v>0</v>
          </cell>
          <cell r="T75" t="str">
            <v>000000000010004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000000000010004</v>
          </cell>
        </row>
        <row r="77">
          <cell r="C77">
            <v>0</v>
          </cell>
          <cell r="G77" t="str">
            <v/>
          </cell>
          <cell r="K77">
            <v>0</v>
          </cell>
          <cell r="O77">
            <v>0</v>
          </cell>
          <cell r="T77" t="str">
            <v>000000000010004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000000000010004</v>
          </cell>
        </row>
        <row r="79">
          <cell r="C79">
            <v>2</v>
          </cell>
          <cell r="G79" t="str">
            <v/>
          </cell>
          <cell r="K79">
            <v>0</v>
          </cell>
          <cell r="O79">
            <v>0</v>
          </cell>
          <cell r="T79" t="str">
            <v>000000000010004</v>
          </cell>
        </row>
        <row r="80">
          <cell r="C80" t="str">
            <v>LED-A888</v>
          </cell>
          <cell r="G80" t="str">
            <v/>
          </cell>
          <cell r="K80">
            <v>0</v>
          </cell>
          <cell r="L80" t="str">
            <v>切断</v>
          </cell>
          <cell r="O80">
            <v>0</v>
          </cell>
          <cell r="T80" t="str">
            <v>000000000010004</v>
          </cell>
        </row>
        <row r="81">
          <cell r="C81">
            <v>0</v>
          </cell>
          <cell r="G81" t="str">
            <v/>
          </cell>
          <cell r="K81">
            <v>0</v>
          </cell>
          <cell r="L81" t="str">
            <v>検査</v>
          </cell>
          <cell r="T81" t="str">
            <v>000000000010004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O82">
            <v>0</v>
          </cell>
          <cell r="P82">
            <v>0</v>
          </cell>
          <cell r="T82" t="str">
            <v>000000000010004</v>
          </cell>
        </row>
        <row r="83">
          <cell r="C83" t="str">
            <v>8FL281304 5010　L=888</v>
          </cell>
          <cell r="I83">
            <v>0</v>
          </cell>
          <cell r="K83">
            <v>0</v>
          </cell>
          <cell r="O83">
            <v>0</v>
          </cell>
          <cell r="T83" t="str">
            <v>000000000010005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000000000010005</v>
          </cell>
        </row>
        <row r="85">
          <cell r="C85">
            <v>0</v>
          </cell>
          <cell r="G85" t="str">
            <v/>
          </cell>
          <cell r="K85">
            <v>0</v>
          </cell>
          <cell r="O85">
            <v>0</v>
          </cell>
          <cell r="T85" t="str">
            <v>000000000010005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000000000010005</v>
          </cell>
        </row>
        <row r="87">
          <cell r="C87">
            <v>2</v>
          </cell>
          <cell r="G87" t="str">
            <v/>
          </cell>
          <cell r="K87">
            <v>0</v>
          </cell>
          <cell r="O87">
            <v>0</v>
          </cell>
          <cell r="T87" t="str">
            <v>000000000010005</v>
          </cell>
        </row>
        <row r="88">
          <cell r="C88" t="str">
            <v>LED-A888</v>
          </cell>
          <cell r="G88" t="str">
            <v/>
          </cell>
          <cell r="K88">
            <v>0</v>
          </cell>
          <cell r="L88" t="str">
            <v>切断</v>
          </cell>
          <cell r="O88">
            <v>0</v>
          </cell>
          <cell r="T88" t="str">
            <v>000000000010005</v>
          </cell>
        </row>
        <row r="89">
          <cell r="C89">
            <v>0</v>
          </cell>
          <cell r="G89" t="str">
            <v/>
          </cell>
          <cell r="K89">
            <v>0</v>
          </cell>
          <cell r="L89" t="str">
            <v>検査</v>
          </cell>
          <cell r="T89" t="str">
            <v>000000000010005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O90">
            <v>0</v>
          </cell>
          <cell r="P90">
            <v>0</v>
          </cell>
          <cell r="T90" t="str">
            <v>000000000010005</v>
          </cell>
        </row>
        <row r="91">
          <cell r="C91" t="str">
            <v>8FL281304 5010　L=888</v>
          </cell>
          <cell r="I91">
            <v>0</v>
          </cell>
          <cell r="K91">
            <v>0</v>
          </cell>
          <cell r="O91">
            <v>0</v>
          </cell>
          <cell r="T91" t="str">
            <v>000000000010503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000000000010503</v>
          </cell>
        </row>
        <row r="93">
          <cell r="C93">
            <v>0</v>
          </cell>
          <cell r="G93" t="str">
            <v/>
          </cell>
          <cell r="K93">
            <v>0</v>
          </cell>
          <cell r="O93">
            <v>0</v>
          </cell>
          <cell r="T93" t="str">
            <v>000000000010503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000000000010503</v>
          </cell>
        </row>
        <row r="95">
          <cell r="C95">
            <v>2</v>
          </cell>
          <cell r="G95" t="str">
            <v/>
          </cell>
          <cell r="K95">
            <v>0</v>
          </cell>
          <cell r="O95">
            <v>0</v>
          </cell>
          <cell r="T95" t="str">
            <v>000000000010503</v>
          </cell>
        </row>
        <row r="96">
          <cell r="C96" t="str">
            <v>LED-A888</v>
          </cell>
          <cell r="G96" t="str">
            <v/>
          </cell>
          <cell r="K96">
            <v>0</v>
          </cell>
          <cell r="L96" t="str">
            <v>切断</v>
          </cell>
          <cell r="O96">
            <v>0</v>
          </cell>
          <cell r="T96" t="str">
            <v>000000000010503</v>
          </cell>
        </row>
        <row r="97">
          <cell r="C97">
            <v>0</v>
          </cell>
          <cell r="G97" t="str">
            <v/>
          </cell>
          <cell r="K97">
            <v>0</v>
          </cell>
          <cell r="L97" t="str">
            <v>検査</v>
          </cell>
          <cell r="T97" t="str">
            <v>000000000010503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O98">
            <v>0</v>
          </cell>
          <cell r="P98">
            <v>0</v>
          </cell>
          <cell r="T98" t="str">
            <v>000000000010503</v>
          </cell>
        </row>
        <row r="99">
          <cell r="C99" t="str">
            <v>灯具カバーPC IN 2110　L=1815</v>
          </cell>
          <cell r="I99">
            <v>0</v>
          </cell>
          <cell r="K99">
            <v>0</v>
          </cell>
          <cell r="O99">
            <v>0</v>
          </cell>
          <cell r="T99" t="str">
            <v>000000000010803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000000000010803</v>
          </cell>
        </row>
        <row r="101">
          <cell r="C101">
            <v>0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000000000010803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000000000010803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000000000010803</v>
          </cell>
        </row>
        <row r="104">
          <cell r="C104" t="str">
            <v>灯具-2　L＝1996</v>
          </cell>
          <cell r="G104" t="str">
            <v/>
          </cell>
          <cell r="K104">
            <v>0</v>
          </cell>
          <cell r="L104" t="str">
            <v>切断</v>
          </cell>
          <cell r="O104">
            <v>0</v>
          </cell>
          <cell r="T104" t="str">
            <v>000000000010803</v>
          </cell>
        </row>
        <row r="105">
          <cell r="C105">
            <v>0</v>
          </cell>
          <cell r="G105" t="str">
            <v/>
          </cell>
          <cell r="K105">
            <v>0</v>
          </cell>
          <cell r="L105" t="str">
            <v>検査</v>
          </cell>
          <cell r="T105" t="str">
            <v>000000000010803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O106">
            <v>0</v>
          </cell>
          <cell r="P106">
            <v>0</v>
          </cell>
          <cell r="T106" t="str">
            <v>000000000010803</v>
          </cell>
        </row>
        <row r="107">
          <cell r="C107" t="str">
            <v>灯具カバーPC IN 2050　L=1183.5</v>
          </cell>
          <cell r="I107">
            <v>0</v>
          </cell>
          <cell r="K107">
            <v>0</v>
          </cell>
          <cell r="O107">
            <v>0</v>
          </cell>
          <cell r="T107" t="str">
            <v>000000000010799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000000000010799</v>
          </cell>
        </row>
        <row r="109">
          <cell r="C109">
            <v>0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000000000010799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000000000010799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000000000010799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切断</v>
          </cell>
          <cell r="O112">
            <v>0</v>
          </cell>
          <cell r="T112" t="str">
            <v>000000000010799</v>
          </cell>
        </row>
        <row r="113">
          <cell r="C113">
            <v>0</v>
          </cell>
          <cell r="G113" t="str">
            <v/>
          </cell>
          <cell r="K113">
            <v>0</v>
          </cell>
          <cell r="L113" t="str">
            <v>検査</v>
          </cell>
          <cell r="T113" t="str">
            <v>000000000010799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O114">
            <v>0</v>
          </cell>
          <cell r="P114">
            <v>0</v>
          </cell>
          <cell r="T114" t="str">
            <v>000000000010799</v>
          </cell>
        </row>
        <row r="115">
          <cell r="C115" t="str">
            <v>灯具カバーPC IN 2090　L=840</v>
          </cell>
          <cell r="I115">
            <v>0</v>
          </cell>
          <cell r="K115">
            <v>0</v>
          </cell>
          <cell r="O115">
            <v>0</v>
          </cell>
          <cell r="T115" t="str">
            <v>000000000010797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000000000010797</v>
          </cell>
        </row>
        <row r="117">
          <cell r="C117">
            <v>0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000000000010797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000000000010797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000000000010797</v>
          </cell>
        </row>
        <row r="120">
          <cell r="C120" t="str">
            <v>灯具-3　L=970</v>
          </cell>
          <cell r="G120" t="str">
            <v/>
          </cell>
          <cell r="K120">
            <v>0</v>
          </cell>
          <cell r="L120" t="str">
            <v>切断</v>
          </cell>
          <cell r="O120">
            <v>0</v>
          </cell>
          <cell r="T120" t="str">
            <v>000000000010797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検査</v>
          </cell>
          <cell r="T121" t="str">
            <v>000000000010797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O122">
            <v>0</v>
          </cell>
          <cell r="P122">
            <v>0</v>
          </cell>
          <cell r="T122" t="str">
            <v>000000000010797</v>
          </cell>
        </row>
        <row r="123">
          <cell r="C123" t="str">
            <v>灯具カバーPC IN 2130　L=908</v>
          </cell>
          <cell r="I123">
            <v>0</v>
          </cell>
          <cell r="K123">
            <v>0</v>
          </cell>
          <cell r="O123">
            <v>0</v>
          </cell>
          <cell r="T123" t="str">
            <v>000000000010798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000000000010798</v>
          </cell>
        </row>
        <row r="125">
          <cell r="C125">
            <v>0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000000000010798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000000000010798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000000000010798</v>
          </cell>
        </row>
        <row r="128">
          <cell r="C128" t="str">
            <v>灯具-3　L=970</v>
          </cell>
          <cell r="G128" t="str">
            <v/>
          </cell>
          <cell r="K128">
            <v>0</v>
          </cell>
          <cell r="L128" t="str">
            <v>切断</v>
          </cell>
          <cell r="O128">
            <v>0</v>
          </cell>
          <cell r="T128" t="str">
            <v>000000000010798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検査</v>
          </cell>
          <cell r="T129" t="str">
            <v>000000000010798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O130">
            <v>0</v>
          </cell>
          <cell r="P130">
            <v>0</v>
          </cell>
          <cell r="T130" t="str">
            <v>000000000010798</v>
          </cell>
        </row>
        <row r="139">
          <cell r="C139" t="str">
            <v>灯具カバーPC  　2190    L=1240</v>
          </cell>
          <cell r="T139" t="str">
            <v>000000000010793</v>
          </cell>
        </row>
        <row r="140">
          <cell r="T140" t="str">
            <v>000000000010793</v>
          </cell>
        </row>
        <row r="141">
          <cell r="C141">
            <v>0</v>
          </cell>
          <cell r="T141" t="str">
            <v>000000000010793</v>
          </cell>
        </row>
        <row r="142">
          <cell r="T142" t="str">
            <v>000000000010793</v>
          </cell>
        </row>
        <row r="143">
          <cell r="C143">
            <v>1</v>
          </cell>
          <cell r="T143" t="str">
            <v>000000000010793</v>
          </cell>
        </row>
        <row r="144">
          <cell r="C144" t="str">
            <v>H型ジョイナー</v>
          </cell>
          <cell r="T144" t="str">
            <v>000000000010793</v>
          </cell>
        </row>
        <row r="145">
          <cell r="T145" t="str">
            <v>000000000010793</v>
          </cell>
        </row>
        <row r="146">
          <cell r="T146" t="str">
            <v>000000000010793</v>
          </cell>
        </row>
        <row r="147">
          <cell r="C147" t="str">
            <v>灯具カバーPC  　7530    L=565</v>
          </cell>
          <cell r="T147" t="str">
            <v>000000000010792</v>
          </cell>
        </row>
        <row r="148">
          <cell r="T148" t="str">
            <v>000000000010792</v>
          </cell>
        </row>
        <row r="149">
          <cell r="C149">
            <v>0</v>
          </cell>
          <cell r="T149" t="str">
            <v>000000000010792</v>
          </cell>
        </row>
        <row r="150">
          <cell r="T150" t="str">
            <v>000000000010792</v>
          </cell>
        </row>
        <row r="151">
          <cell r="C151">
            <v>2</v>
          </cell>
          <cell r="T151" t="str">
            <v>000000000010792</v>
          </cell>
        </row>
        <row r="152">
          <cell r="C152" t="str">
            <v>H型ジョイナー端材</v>
          </cell>
          <cell r="T152" t="str">
            <v>000000000010792</v>
          </cell>
        </row>
        <row r="153">
          <cell r="T153" t="str">
            <v>000000000010792</v>
          </cell>
        </row>
        <row r="154">
          <cell r="T154" t="str">
            <v>000000000010792</v>
          </cell>
        </row>
        <row r="155">
          <cell r="C155" t="str">
            <v>灯具カバーPC IN 2060　L=1258.5</v>
          </cell>
          <cell r="T155" t="str">
            <v>000000000010801</v>
          </cell>
        </row>
        <row r="156">
          <cell r="T156" t="str">
            <v>000000000010801</v>
          </cell>
        </row>
        <row r="157">
          <cell r="C157">
            <v>0</v>
          </cell>
          <cell r="T157" t="str">
            <v>000000000010801</v>
          </cell>
        </row>
        <row r="158">
          <cell r="T158" t="str">
            <v>000000000010801</v>
          </cell>
        </row>
        <row r="159">
          <cell r="C159">
            <v>1</v>
          </cell>
          <cell r="T159" t="str">
            <v>000000000010801</v>
          </cell>
        </row>
        <row r="160">
          <cell r="C160" t="str">
            <v>灯具-1　L=1370</v>
          </cell>
          <cell r="T160" t="str">
            <v>000000000010801</v>
          </cell>
        </row>
        <row r="161">
          <cell r="T161" t="str">
            <v>000000000010801</v>
          </cell>
        </row>
        <row r="162">
          <cell r="T162" t="str">
            <v>000000000010801</v>
          </cell>
        </row>
        <row r="163">
          <cell r="C163" t="str">
            <v>灯具カバーPC  　2180    L=1309.5</v>
          </cell>
          <cell r="T163" t="str">
            <v>000000000010795</v>
          </cell>
        </row>
        <row r="164">
          <cell r="T164" t="str">
            <v>000000000010795</v>
          </cell>
        </row>
        <row r="165">
          <cell r="C165">
            <v>0</v>
          </cell>
          <cell r="T165" t="str">
            <v>000000000010795</v>
          </cell>
        </row>
        <row r="166">
          <cell r="T166" t="str">
            <v>000000000010795</v>
          </cell>
        </row>
        <row r="167">
          <cell r="C167">
            <v>1</v>
          </cell>
          <cell r="T167" t="str">
            <v>000000000010795</v>
          </cell>
        </row>
        <row r="168">
          <cell r="C168" t="str">
            <v>H型ジョイナー</v>
          </cell>
          <cell r="T168" t="str">
            <v>000000000010795</v>
          </cell>
        </row>
        <row r="169">
          <cell r="T169" t="str">
            <v>000000000010795</v>
          </cell>
        </row>
        <row r="170">
          <cell r="T170" t="str">
            <v>000000000010795</v>
          </cell>
        </row>
        <row r="171">
          <cell r="C171" t="str">
            <v>灯具カバーPC  　2170    L=1279</v>
          </cell>
          <cell r="T171" t="str">
            <v>000000000010794</v>
          </cell>
        </row>
        <row r="172">
          <cell r="T172" t="str">
            <v>000000000010794</v>
          </cell>
        </row>
        <row r="173">
          <cell r="C173">
            <v>0</v>
          </cell>
          <cell r="T173" t="str">
            <v>000000000010794</v>
          </cell>
        </row>
        <row r="174">
          <cell r="T174" t="str">
            <v>000000000010794</v>
          </cell>
        </row>
        <row r="175">
          <cell r="C175">
            <v>1</v>
          </cell>
          <cell r="T175" t="str">
            <v>000000000010794</v>
          </cell>
        </row>
        <row r="176">
          <cell r="C176" t="str">
            <v>H型ジョイナー</v>
          </cell>
          <cell r="T176" t="str">
            <v>000000000010794</v>
          </cell>
        </row>
        <row r="177">
          <cell r="T177" t="str">
            <v>000000000010794</v>
          </cell>
        </row>
        <row r="178">
          <cell r="T178" t="str">
            <v>000000000010794</v>
          </cell>
        </row>
        <row r="179">
          <cell r="C179" t="str">
            <v>灯具カバーPC IN 2080　L=1540</v>
          </cell>
          <cell r="T179" t="str">
            <v>000000000010802</v>
          </cell>
        </row>
        <row r="180">
          <cell r="T180" t="str">
            <v>000000000010802</v>
          </cell>
        </row>
        <row r="181">
          <cell r="C181">
            <v>0</v>
          </cell>
          <cell r="T181" t="str">
            <v>000000000010802</v>
          </cell>
        </row>
        <row r="182">
          <cell r="T182" t="str">
            <v>000000000010802</v>
          </cell>
        </row>
        <row r="183">
          <cell r="C183">
            <v>1</v>
          </cell>
          <cell r="T183" t="str">
            <v>000000000010802</v>
          </cell>
        </row>
        <row r="184">
          <cell r="C184" t="str">
            <v>灯具-2　L＝1996</v>
          </cell>
          <cell r="T184" t="str">
            <v>000000000010802</v>
          </cell>
        </row>
        <row r="185">
          <cell r="T185" t="str">
            <v>000000000010802</v>
          </cell>
        </row>
        <row r="186">
          <cell r="T186" t="str">
            <v>000000000010802</v>
          </cell>
        </row>
        <row r="187">
          <cell r="C187" t="str">
            <v>灯具カバーPC IN 2100　L=1923</v>
          </cell>
          <cell r="T187" t="str">
            <v>000000000010805</v>
          </cell>
        </row>
        <row r="188">
          <cell r="T188" t="str">
            <v>000000000010805</v>
          </cell>
        </row>
        <row r="189">
          <cell r="C189">
            <v>0</v>
          </cell>
          <cell r="T189" t="str">
            <v>000000000010805</v>
          </cell>
        </row>
        <row r="190">
          <cell r="T190" t="str">
            <v>000000000010805</v>
          </cell>
        </row>
        <row r="191">
          <cell r="C191">
            <v>1</v>
          </cell>
          <cell r="T191" t="str">
            <v>000000000010805</v>
          </cell>
        </row>
        <row r="192">
          <cell r="C192" t="str">
            <v>灯具-2　L＝1996</v>
          </cell>
          <cell r="T192" t="str">
            <v>000000000010805</v>
          </cell>
        </row>
        <row r="193">
          <cell r="T193" t="str">
            <v>000000000010805</v>
          </cell>
        </row>
        <row r="194">
          <cell r="T194" t="str">
            <v>000000000010805</v>
          </cell>
        </row>
        <row r="195">
          <cell r="C195" t="str">
            <v>灯具カバーPC IN 2110　L=1815</v>
          </cell>
          <cell r="T195" t="str">
            <v>000000000010804</v>
          </cell>
        </row>
        <row r="196">
          <cell r="T196" t="str">
            <v>000000000010804</v>
          </cell>
        </row>
        <row r="197">
          <cell r="C197">
            <v>0</v>
          </cell>
          <cell r="T197" t="str">
            <v>000000000010804</v>
          </cell>
        </row>
        <row r="198">
          <cell r="T198" t="str">
            <v>000000000010804</v>
          </cell>
        </row>
        <row r="199">
          <cell r="C199">
            <v>1</v>
          </cell>
          <cell r="T199" t="str">
            <v>000000000010804</v>
          </cell>
        </row>
        <row r="200">
          <cell r="C200" t="str">
            <v>灯具-2　L＝1996</v>
          </cell>
          <cell r="T200" t="str">
            <v>000000000010804</v>
          </cell>
        </row>
        <row r="201">
          <cell r="T201" t="str">
            <v>000000000010804</v>
          </cell>
        </row>
        <row r="202">
          <cell r="T202" t="str">
            <v>000000000010804</v>
          </cell>
        </row>
        <row r="203">
          <cell r="C203" t="str">
            <v>灯具カバーPC IN 2070　L=1966</v>
          </cell>
          <cell r="T203" t="str">
            <v>000000000010806</v>
          </cell>
        </row>
        <row r="204">
          <cell r="T204" t="str">
            <v>000000000010806</v>
          </cell>
        </row>
        <row r="205">
          <cell r="C205">
            <v>0</v>
          </cell>
          <cell r="T205" t="str">
            <v>000000000010806</v>
          </cell>
        </row>
        <row r="206">
          <cell r="T206" t="str">
            <v>000000000010806</v>
          </cell>
        </row>
        <row r="207">
          <cell r="C207">
            <v>1</v>
          </cell>
          <cell r="T207" t="str">
            <v>000000000010806</v>
          </cell>
        </row>
        <row r="208">
          <cell r="C208" t="str">
            <v>灯具-2　L＝1996</v>
          </cell>
          <cell r="T208" t="str">
            <v>000000000010806</v>
          </cell>
        </row>
        <row r="209">
          <cell r="T209" t="str">
            <v>000000000010806</v>
          </cell>
        </row>
        <row r="210">
          <cell r="T210" t="str">
            <v>000000000010806</v>
          </cell>
        </row>
        <row r="211">
          <cell r="C211" t="str">
            <v>灯具カバーPC  　2200    L=221.8</v>
          </cell>
          <cell r="T211" t="str">
            <v>000000000010791</v>
          </cell>
        </row>
        <row r="212">
          <cell r="T212" t="str">
            <v>000000000010791</v>
          </cell>
        </row>
        <row r="213">
          <cell r="C213">
            <v>0</v>
          </cell>
          <cell r="T213" t="str">
            <v>000000000010791</v>
          </cell>
        </row>
        <row r="214">
          <cell r="T214" t="str">
            <v>000000000010791</v>
          </cell>
        </row>
        <row r="215">
          <cell r="C215">
            <v>2</v>
          </cell>
          <cell r="T215" t="str">
            <v>000000000010791</v>
          </cell>
        </row>
        <row r="216">
          <cell r="C216" t="str">
            <v>H型ジョイナー端材</v>
          </cell>
          <cell r="T216" t="str">
            <v>000000000010791</v>
          </cell>
        </row>
        <row r="217">
          <cell r="T217" t="str">
            <v>000000000010791</v>
          </cell>
        </row>
        <row r="218">
          <cell r="T218" t="str">
            <v>000000000010791</v>
          </cell>
        </row>
        <row r="219">
          <cell r="C219" t="str">
            <v>灯具カバーPC IN 2140　L=547</v>
          </cell>
          <cell r="T219" t="str">
            <v>000000000010796</v>
          </cell>
        </row>
        <row r="220">
          <cell r="T220" t="str">
            <v>000000000010796</v>
          </cell>
        </row>
        <row r="221">
          <cell r="C221">
            <v>0</v>
          </cell>
          <cell r="T221" t="str">
            <v>000000000010796</v>
          </cell>
        </row>
        <row r="222">
          <cell r="T222" t="str">
            <v>000000000010796</v>
          </cell>
        </row>
        <row r="223">
          <cell r="C223">
            <v>1</v>
          </cell>
          <cell r="T223" t="str">
            <v>000000000010796</v>
          </cell>
        </row>
        <row r="224">
          <cell r="C224" t="str">
            <v>灯具-1　L=1370</v>
          </cell>
          <cell r="T224" t="str">
            <v>000000000010796</v>
          </cell>
        </row>
        <row r="225">
          <cell r="T225" t="str">
            <v>000000000010796</v>
          </cell>
        </row>
        <row r="226">
          <cell r="T226" t="str">
            <v>000000000010796</v>
          </cell>
        </row>
        <row r="227">
          <cell r="C227" t="str">
            <v>灯具カバーPC IN 2050　L=1183.5</v>
          </cell>
          <cell r="T227" t="str">
            <v>000000000010800</v>
          </cell>
        </row>
        <row r="228">
          <cell r="T228" t="str">
            <v>000000000010800</v>
          </cell>
        </row>
        <row r="229">
          <cell r="C229">
            <v>0</v>
          </cell>
          <cell r="T229" t="str">
            <v>000000000010800</v>
          </cell>
        </row>
        <row r="230">
          <cell r="T230" t="str">
            <v>000000000010800</v>
          </cell>
        </row>
        <row r="231">
          <cell r="C231">
            <v>1</v>
          </cell>
          <cell r="T231" t="str">
            <v>000000000010800</v>
          </cell>
        </row>
        <row r="232">
          <cell r="C232" t="str">
            <v>灯具-1　L=1370</v>
          </cell>
          <cell r="T232" t="str">
            <v>000000000010800</v>
          </cell>
        </row>
        <row r="233">
          <cell r="T233" t="str">
            <v>000000000010800</v>
          </cell>
        </row>
        <row r="234">
          <cell r="T234" t="str">
            <v>000000000010800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24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11" t="s">
        <v>0</v>
      </c>
      <c r="C1" s="86"/>
      <c r="D1" s="8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6"/>
      <c r="C2" s="86"/>
      <c r="D2" s="86"/>
      <c r="E2" s="12"/>
      <c r="F2" s="12"/>
      <c r="G2" s="12"/>
      <c r="H2" s="12"/>
      <c r="I2" s="12"/>
      <c r="J2" s="12"/>
    </row>
    <row r="3" spans="1:10" ht="14.25" customHeight="1">
      <c r="A3" s="95" t="s">
        <v>1</v>
      </c>
      <c r="B3" s="95" t="s">
        <v>2</v>
      </c>
      <c r="C3" s="95" t="s">
        <v>3</v>
      </c>
      <c r="D3" s="117">
        <v>748</v>
      </c>
      <c r="E3" s="95" t="s">
        <v>4</v>
      </c>
      <c r="F3" s="120" t="s">
        <v>5</v>
      </c>
      <c r="G3" s="86"/>
      <c r="H3" s="89"/>
      <c r="I3" s="13" t="s">
        <v>6</v>
      </c>
      <c r="J3" s="13" t="s">
        <v>7</v>
      </c>
    </row>
    <row r="4" spans="1:10" ht="14.25" customHeight="1">
      <c r="A4" s="86"/>
      <c r="B4" s="86"/>
      <c r="C4" s="86"/>
      <c r="D4" s="86"/>
      <c r="E4" s="86"/>
      <c r="F4" s="86"/>
      <c r="G4" s="86"/>
      <c r="H4" s="89"/>
      <c r="I4" s="100"/>
      <c r="J4" s="100"/>
    </row>
    <row r="5" spans="1:10" ht="17.45" customHeight="1">
      <c r="A5" s="85" t="s">
        <v>8</v>
      </c>
      <c r="B5" s="85" t="s">
        <v>9</v>
      </c>
      <c r="E5" s="85" t="s">
        <v>10</v>
      </c>
      <c r="F5" s="92" t="s">
        <v>11</v>
      </c>
      <c r="G5" s="86"/>
      <c r="H5" s="89"/>
      <c r="I5" s="101"/>
      <c r="J5" s="101"/>
    </row>
    <row r="6" spans="1:10" ht="17.45" customHeight="1">
      <c r="A6" s="86"/>
      <c r="B6" s="86"/>
      <c r="E6" s="86"/>
      <c r="F6" s="86"/>
      <c r="G6" s="86"/>
      <c r="H6" s="89"/>
      <c r="I6" s="14"/>
      <c r="J6" s="14"/>
    </row>
    <row r="7" spans="1:10" ht="17.45" customHeight="1">
      <c r="A7" s="85" t="s">
        <v>12</v>
      </c>
      <c r="B7" s="85" t="s">
        <v>13</v>
      </c>
      <c r="E7" s="2" t="s">
        <v>14</v>
      </c>
      <c r="F7" s="110" t="s">
        <v>15</v>
      </c>
      <c r="G7" s="86"/>
      <c r="H7" s="21"/>
    </row>
    <row r="8" spans="1:10" ht="17.45" customHeight="1">
      <c r="A8" s="86"/>
      <c r="B8" s="86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46031</v>
      </c>
      <c r="E9" s="2" t="s">
        <v>19</v>
      </c>
      <c r="F9" s="132">
        <v>100</v>
      </c>
      <c r="G9" s="86"/>
      <c r="H9" s="21"/>
    </row>
    <row r="10" spans="1:10" ht="17.45" customHeight="1">
      <c r="A10" s="2" t="s">
        <v>20</v>
      </c>
      <c r="B10" s="4">
        <v>46031</v>
      </c>
      <c r="E10" s="2" t="s">
        <v>21</v>
      </c>
      <c r="F10" s="21">
        <v>2</v>
      </c>
      <c r="G10" s="103" t="s">
        <v>22</v>
      </c>
      <c r="H10" s="114">
        <v>200</v>
      </c>
      <c r="I10" s="115"/>
      <c r="J10" s="11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04"/>
      <c r="H11" s="104"/>
      <c r="I11" s="90"/>
      <c r="J11" s="91"/>
    </row>
    <row r="12" spans="1:10" ht="13.5" customHeight="1">
      <c r="A12" s="102" t="s">
        <v>25</v>
      </c>
      <c r="B12" s="86"/>
      <c r="C12" s="86"/>
      <c r="D12" s="20"/>
      <c r="F12" s="3"/>
      <c r="G12" s="112" t="s">
        <v>26</v>
      </c>
      <c r="H12" s="131" t="s">
        <v>27</v>
      </c>
      <c r="I12" s="88" t="s">
        <v>28</v>
      </c>
      <c r="J12" s="89"/>
    </row>
    <row r="13" spans="1:10" ht="13.5" customHeight="1">
      <c r="A13" s="86"/>
      <c r="B13" s="86"/>
      <c r="C13" s="86"/>
      <c r="D13" s="20"/>
      <c r="F13" s="3"/>
      <c r="G13" s="113"/>
      <c r="H13" s="113"/>
      <c r="I13" s="90"/>
      <c r="J13" s="91"/>
    </row>
    <row r="14" spans="1:10" ht="13.5" customHeight="1">
      <c r="A14" s="1" t="s">
        <v>29</v>
      </c>
    </row>
    <row r="15" spans="1:10" ht="63" customHeight="1" thickBot="1">
      <c r="A15" s="118"/>
      <c r="B15" s="119"/>
      <c r="C15" s="119"/>
      <c r="D15" s="119"/>
      <c r="E15" s="119"/>
      <c r="F15" s="119"/>
      <c r="G15" s="119"/>
      <c r="H15" s="119"/>
      <c r="I15" s="119"/>
      <c r="J15" s="119"/>
    </row>
    <row r="16" spans="1:10" ht="18.75">
      <c r="A16" s="23" t="s">
        <v>30</v>
      </c>
      <c r="B16" s="16" t="s">
        <v>31</v>
      </c>
      <c r="C16" s="107" t="s">
        <v>32</v>
      </c>
      <c r="D16" s="108"/>
      <c r="E16" s="16" t="s">
        <v>33</v>
      </c>
      <c r="F16" s="107" t="s">
        <v>34</v>
      </c>
      <c r="G16" s="108"/>
      <c r="H16" s="108"/>
      <c r="I16" s="109" t="s">
        <v>35</v>
      </c>
      <c r="J16" s="10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87" t="s">
        <v>37</v>
      </c>
      <c r="D18" s="84"/>
      <c r="E18" s="24" t="s">
        <v>38</v>
      </c>
      <c r="F18" s="87" t="s">
        <v>39</v>
      </c>
      <c r="G18" s="84"/>
      <c r="H18" s="84"/>
      <c r="I18" s="99"/>
      <c r="J18" s="84"/>
    </row>
    <row r="19" spans="1:10" s="7" customFormat="1" ht="16.5" customHeight="1">
      <c r="A19" s="22">
        <v>1</v>
      </c>
      <c r="B19" s="25" t="s">
        <v>36</v>
      </c>
      <c r="C19" s="87" t="s">
        <v>37</v>
      </c>
      <c r="D19" s="84"/>
      <c r="E19" s="24" t="s">
        <v>40</v>
      </c>
      <c r="F19" s="87" t="s">
        <v>41</v>
      </c>
      <c r="G19" s="84"/>
      <c r="H19" s="84"/>
      <c r="I19" s="99"/>
      <c r="J19" s="84"/>
    </row>
    <row r="20" spans="1:10" s="7" customFormat="1" ht="16.5" customHeight="1">
      <c r="A20" s="22"/>
      <c r="B20" s="25"/>
      <c r="C20" s="87"/>
      <c r="D20" s="84"/>
      <c r="E20" s="24"/>
      <c r="F20" s="87"/>
      <c r="G20" s="84"/>
      <c r="H20" s="84"/>
      <c r="I20" s="99"/>
      <c r="J20" s="84"/>
    </row>
    <row r="21" spans="1:10" s="7" customFormat="1" ht="16.5" customHeight="1">
      <c r="A21" s="22"/>
      <c r="B21" s="25"/>
      <c r="C21" s="87"/>
      <c r="D21" s="84"/>
      <c r="E21" s="24"/>
      <c r="F21" s="87"/>
      <c r="G21" s="84"/>
      <c r="H21" s="84"/>
      <c r="I21" s="99"/>
      <c r="J21" s="84"/>
    </row>
    <row r="22" spans="1:10" s="7" customFormat="1" ht="16.5" customHeight="1">
      <c r="A22" s="22"/>
      <c r="B22" s="25"/>
      <c r="C22" s="87"/>
      <c r="D22" s="84"/>
      <c r="E22" s="24"/>
      <c r="F22" s="87"/>
      <c r="G22" s="84"/>
      <c r="H22" s="84"/>
      <c r="I22" s="99"/>
      <c r="J22" s="84"/>
    </row>
    <row r="23" spans="1:10" s="7" customFormat="1" ht="16.5" customHeight="1">
      <c r="A23" s="22"/>
      <c r="B23" s="25"/>
      <c r="C23" s="87"/>
      <c r="D23" s="84"/>
      <c r="E23" s="24"/>
      <c r="F23" s="87"/>
      <c r="G23" s="84"/>
      <c r="H23" s="84"/>
      <c r="I23" s="99"/>
      <c r="J23" s="84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96" t="s">
        <v>42</v>
      </c>
      <c r="B25" s="97"/>
      <c r="C25" s="96" t="s">
        <v>43</v>
      </c>
      <c r="D25" s="97"/>
      <c r="E25" s="97"/>
      <c r="F25" s="17" t="s">
        <v>44</v>
      </c>
      <c r="G25" s="96" t="s">
        <v>45</v>
      </c>
      <c r="H25" s="97"/>
      <c r="I25" s="96" t="s">
        <v>46</v>
      </c>
      <c r="J25" s="97"/>
    </row>
    <row r="26" spans="1:10" ht="14.25" customHeight="1">
      <c r="A26" s="8"/>
      <c r="B26" s="18"/>
      <c r="C26" s="98" t="s">
        <v>47</v>
      </c>
      <c r="D26" s="90"/>
      <c r="E26" s="18"/>
      <c r="F26" s="98" t="s">
        <v>29</v>
      </c>
      <c r="G26" s="90"/>
      <c r="H26" s="90"/>
      <c r="I26" s="90"/>
      <c r="J26" s="90"/>
    </row>
    <row r="27" spans="1:10">
      <c r="A27" s="9"/>
      <c r="C27" s="7"/>
      <c r="D27" s="7"/>
      <c r="E27" s="7"/>
    </row>
    <row r="28" spans="1:10" s="5" customFormat="1" ht="14.25" customHeight="1">
      <c r="A28" s="87" t="s">
        <v>48</v>
      </c>
      <c r="B28" s="94"/>
      <c r="C28" s="87" t="s">
        <v>49</v>
      </c>
      <c r="D28" s="94"/>
      <c r="E28" s="94"/>
      <c r="F28" s="26" t="s">
        <v>27</v>
      </c>
      <c r="G28" s="93">
        <v>100</v>
      </c>
      <c r="H28" s="94"/>
      <c r="I28" s="93">
        <v>1</v>
      </c>
      <c r="J28" s="94"/>
    </row>
    <row r="29" spans="1:10" s="7" customFormat="1" ht="24.95" customHeight="1">
      <c r="A29" s="83" t="s">
        <v>50</v>
      </c>
      <c r="B29" s="84"/>
      <c r="C29" s="87"/>
      <c r="D29" s="84"/>
      <c r="E29" s="84"/>
      <c r="F29" s="87"/>
      <c r="G29" s="84"/>
      <c r="H29" s="84"/>
      <c r="I29" s="84"/>
      <c r="J29" s="84"/>
    </row>
    <row r="30" spans="1:10" s="5" customFormat="1" ht="14.25" customHeight="1">
      <c r="A30" s="87" t="s">
        <v>51</v>
      </c>
      <c r="B30" s="94"/>
      <c r="C30" s="87" t="s">
        <v>52</v>
      </c>
      <c r="D30" s="94"/>
      <c r="E30" s="94"/>
      <c r="F30" s="26" t="s">
        <v>36</v>
      </c>
      <c r="G30" s="93">
        <v>2</v>
      </c>
      <c r="H30" s="94"/>
      <c r="I30" s="93">
        <v>0.02</v>
      </c>
      <c r="J30" s="94"/>
    </row>
    <row r="31" spans="1:10" s="7" customFormat="1" ht="24.95" customHeight="1">
      <c r="A31" s="83" t="s">
        <v>53</v>
      </c>
      <c r="B31" s="84"/>
      <c r="C31" s="87" t="s">
        <v>54</v>
      </c>
      <c r="D31" s="84"/>
      <c r="E31" s="84"/>
      <c r="F31" s="87"/>
      <c r="G31" s="84"/>
      <c r="H31" s="84"/>
      <c r="I31" s="84"/>
      <c r="J31" s="84"/>
    </row>
    <row r="32" spans="1:10" s="5" customFormat="1" ht="14.25" customHeight="1">
      <c r="A32" s="87" t="s">
        <v>55</v>
      </c>
      <c r="B32" s="94"/>
      <c r="C32" s="87" t="s">
        <v>56</v>
      </c>
      <c r="D32" s="94"/>
      <c r="E32" s="94"/>
      <c r="F32" s="26"/>
      <c r="G32" s="93">
        <v>0.2</v>
      </c>
      <c r="H32" s="94"/>
      <c r="I32" s="93">
        <v>2E-3</v>
      </c>
      <c r="J32" s="94"/>
    </row>
    <row r="33" spans="1:14" s="7" customFormat="1" ht="24.95" customHeight="1">
      <c r="A33" s="83" t="s">
        <v>57</v>
      </c>
      <c r="B33" s="84"/>
      <c r="C33" s="87" t="s">
        <v>58</v>
      </c>
      <c r="D33" s="84"/>
      <c r="E33" s="84"/>
      <c r="F33" s="87"/>
      <c r="G33" s="84"/>
      <c r="H33" s="84"/>
      <c r="I33" s="84"/>
      <c r="J33" s="84"/>
    </row>
    <row r="34" spans="1:14" s="5" customFormat="1" ht="14.25" customHeight="1">
      <c r="A34" s="87" t="s">
        <v>59</v>
      </c>
      <c r="B34" s="94"/>
      <c r="C34" s="87" t="s">
        <v>60</v>
      </c>
      <c r="D34" s="94"/>
      <c r="E34" s="94"/>
      <c r="F34" s="26"/>
      <c r="G34" s="93">
        <v>0.2</v>
      </c>
      <c r="H34" s="94"/>
      <c r="I34" s="93">
        <v>2E-3</v>
      </c>
      <c r="J34" s="94"/>
    </row>
    <row r="35" spans="1:14" s="7" customFormat="1" ht="24.95" customHeight="1">
      <c r="A35" s="83" t="s">
        <v>61</v>
      </c>
      <c r="B35" s="84"/>
      <c r="C35" s="87" t="s">
        <v>62</v>
      </c>
      <c r="D35" s="84"/>
      <c r="E35" s="84"/>
      <c r="F35" s="87"/>
      <c r="G35" s="84"/>
      <c r="H35" s="84"/>
      <c r="I35" s="84"/>
      <c r="J35" s="84"/>
    </row>
    <row r="36" spans="1:14" s="5" customFormat="1" ht="14.25" customHeight="1">
      <c r="A36" s="87"/>
      <c r="B36" s="94"/>
      <c r="C36" s="87"/>
      <c r="D36" s="94"/>
      <c r="E36" s="94"/>
      <c r="F36" s="26"/>
      <c r="G36" s="93"/>
      <c r="H36" s="94"/>
      <c r="I36" s="93"/>
      <c r="J36" s="94"/>
    </row>
    <row r="37" spans="1:14" s="7" customFormat="1" ht="24.95" customHeight="1" thickBot="1">
      <c r="A37" s="83"/>
      <c r="B37" s="84"/>
      <c r="C37" s="87"/>
      <c r="D37" s="84"/>
      <c r="E37" s="84"/>
      <c r="F37" s="87"/>
      <c r="G37" s="84"/>
      <c r="H37" s="84"/>
      <c r="I37" s="84"/>
      <c r="J37" s="84"/>
    </row>
    <row r="38" spans="1:14" s="5" customFormat="1" ht="18" customHeight="1">
      <c r="A38" s="105" t="s">
        <v>63</v>
      </c>
      <c r="B38" s="106"/>
      <c r="C38" s="106"/>
      <c r="D38" s="106"/>
      <c r="E38" s="121" t="s">
        <v>64</v>
      </c>
      <c r="F38" s="122"/>
      <c r="G38" s="27" t="s">
        <v>65</v>
      </c>
      <c r="H38" s="123" t="s">
        <v>66</v>
      </c>
      <c r="I38" s="124"/>
      <c r="J38" s="28" t="s">
        <v>67</v>
      </c>
    </row>
    <row r="39" spans="1:14" s="7" customFormat="1" ht="18" customHeight="1">
      <c r="A39" s="125" t="str">
        <f>_xlfn.XLOOKUP(B3,[1]VFDB2!A:A,[1]VFDB2!B:B)</f>
        <v>8FL281304 8310　L=748</v>
      </c>
      <c r="B39" s="126"/>
      <c r="C39" s="126"/>
      <c r="D39" s="126"/>
      <c r="E39" s="129" t="str" cm="1">
        <f t="array" ref="E39">IFERROR(IF(ISBLANK(INDEX(_xlfn._xlws.FILTER([1]加工記録２!$C$3:$C$999107, [1]加工記録２!$T$3:$T$999107=B5), 6)), "", INDEX(_xlfn._xlws.FILTER([1]加工記録２!$C$3:$C$999107, [1]加工記録２!$T$3:$T$999107=B5), 6)),"")</f>
        <v>LED-A888</v>
      </c>
      <c r="F39" s="130"/>
      <c r="G39" s="133" cm="1">
        <f t="array" ref="G39">IFERROR(IF(ISBLANK(INDEX(_xlfn._xlws.FILTER([1]加工記録２!$C$3:$C$999107, [1]加工記録２!$T$3:$T$999107=B5), 7)), " ", INDEX(_xlfn._xlws.FILTER([1]加工記録２!$C$3:$C$999107, [1]加工記録２!$T$3:$T$999107=B5), 7))," ")</f>
        <v>2</v>
      </c>
      <c r="H39" s="29" t="s">
        <v>68</v>
      </c>
      <c r="I39" s="30" cm="1">
        <f t="array" ref="I39:J39">IFERROR(IF(ISBLANK(INDEX(_xlfn._xlws.FILTER([1]加工記録２!$O$3:$P$999170, [1]加工記録２!$T$3:$T$999170=B5), 1)), "", INDEX(_xlfn._xlws.FILTER([1]加工記録２!$O$3:$P$999170, [1]加工記録２!$T$3:$T$999170=B5), 1)),"")</f>
        <v>46016</v>
      </c>
      <c r="J39" s="31">
        <v>1</v>
      </c>
    </row>
    <row r="40" spans="1:14" s="5" customFormat="1" ht="18" customHeight="1">
      <c r="A40" s="127"/>
      <c r="B40" s="128"/>
      <c r="C40" s="128"/>
      <c r="D40" s="128"/>
      <c r="E40" s="129"/>
      <c r="F40" s="130"/>
      <c r="G40" s="133"/>
      <c r="H40" s="29" t="s">
        <v>69</v>
      </c>
      <c r="I40" s="32" cm="1">
        <f t="array" ref="I40:J40">IFERROR(IF(ISBLANK(INDEX(_xlfn._xlws.FILTER([1]加工記録２!$O$3:$P$999170, [1]加工記録２!$T$3:$T$999170=B5), 2)), "", INDEX(_xlfn._xlws.FILTER([1]加工記録２!$O$3:$P$999170, [1]加工記録２!$T$3:$T$999170=B5), 2)),"")</f>
        <v>200</v>
      </c>
      <c r="J40" s="33" t="str">
        <v/>
      </c>
      <c r="K40" s="34"/>
    </row>
    <row r="41" spans="1:14" s="7" customFormat="1" ht="18" customHeight="1">
      <c r="A41" s="134" t="s">
        <v>70</v>
      </c>
      <c r="B41" s="147" t="str">
        <f>_xlfn.XLOOKUP(B3,[1]VFDB2!A:A,[1]VFDB2!J:J)</f>
        <v>〇</v>
      </c>
      <c r="C41" s="149" t="s">
        <v>71</v>
      </c>
      <c r="D41" s="151">
        <f>_xlfn.XLOOKUP(B3,[1]VFDB2!A:A,[1]VFDB2!P:P)</f>
        <v>2</v>
      </c>
      <c r="E41" s="129" t="str">
        <f>_xlfn.XLOOKUP(B3,[1]VFDB2!A:A,[1]VFDB2!V:V)</f>
        <v>1箱目の梱包数 目視確認　以降、重量測定</v>
      </c>
      <c r="F41" s="130"/>
      <c r="G41" s="142"/>
      <c r="H41" s="35" t="s">
        <v>72</v>
      </c>
      <c r="I41" s="32" cm="1">
        <f t="array" ref="I41:J41">IFERROR(IF(ISBLANK(INDEX(_xlfn._xlws.FILTER([1]加工記録２!$O$3:$P$999170, [1]加工記録２!$T$3:$T$999170=B5), 3)), "", INDEX(_xlfn._xlws.FILTER([1]加工記録２!$O$3:$P$999170, [1]加工記録２!$T$3:$T$999170=B5), 3)),"")</f>
        <v>101</v>
      </c>
      <c r="J41" s="36" t="str">
        <v/>
      </c>
      <c r="K41" s="37"/>
    </row>
    <row r="42" spans="1:14" s="5" customFormat="1" ht="18" customHeight="1">
      <c r="A42" s="146"/>
      <c r="B42" s="148"/>
      <c r="C42" s="150"/>
      <c r="D42" s="152"/>
      <c r="E42" s="129"/>
      <c r="F42" s="130"/>
      <c r="G42" s="142"/>
      <c r="H42" s="35" t="s">
        <v>73</v>
      </c>
      <c r="I42" s="32" cm="1">
        <f t="array" ref="I42:J42">IFERROR(IF(ISBLANK(INDEX(_xlfn._xlws.FILTER([1]加工記録２!$O$3:$P$999170, [1]加工記録２!$T$3:$T$999170=B5), 4)), "", INDEX(_xlfn._xlws.FILTER([1]加工記録２!$O$3:$P$999170, [1]加工記録２!$T$3:$T$999170=B5), 4)),"")</f>
        <v>1</v>
      </c>
      <c r="J42" s="38" t="str">
        <v/>
      </c>
      <c r="K42" s="34"/>
    </row>
    <row r="43" spans="1:14" s="7" customFormat="1" ht="18" customHeight="1">
      <c r="A43" s="153" t="s">
        <v>74</v>
      </c>
      <c r="B43" s="155">
        <f>D3</f>
        <v>748</v>
      </c>
      <c r="C43" s="157" t="s">
        <v>75</v>
      </c>
      <c r="D43" s="140" t="str">
        <f>_xlfn.XLOOKUP(B3,[1]VFDB2!A:A,[1]VFDB2!L:L)</f>
        <v>+0.5</v>
      </c>
      <c r="E43" s="129" t="str">
        <f>_xlfn.XLOOKUP(B3,[1]VFDB2!A:A,[1]VFDB2!W:W)</f>
        <v>L=888用　クラフト紙</v>
      </c>
      <c r="F43" s="130"/>
      <c r="G43" s="142"/>
      <c r="H43" s="35" t="s">
        <v>76</v>
      </c>
      <c r="I43" s="32" cm="1">
        <f t="array" ref="I43:J43">IFERROR(IF(ISBLANK(INDEX(_xlfn._xlws.FILTER([1]加工記録２!$O$3:$P$999170, [1]加工記録２!$T$3:$T$999170=B5), 5)), "", INDEX(_xlfn._xlws.FILTER([1]加工記録２!$O$3:$P$999170, [1]加工記録２!$T$3:$T$999170=B5), 5)),"")</f>
        <v>1</v>
      </c>
      <c r="J43" s="39" t="str">
        <v/>
      </c>
      <c r="K43" s="37"/>
    </row>
    <row r="44" spans="1:14" s="5" customFormat="1" ht="18" customHeight="1">
      <c r="A44" s="154"/>
      <c r="B44" s="156"/>
      <c r="C44" s="158"/>
      <c r="D44" s="159"/>
      <c r="E44" s="129"/>
      <c r="F44" s="130"/>
      <c r="G44" s="142"/>
      <c r="H44" s="35" t="s">
        <v>77</v>
      </c>
      <c r="I44" s="32" cm="1">
        <f t="array" ref="I44:J44">IFERROR(IF(ISBLANK(INDEX(_xlfn._xlws.FILTER([1]加工記録２!$O$3:$P$999170, [1]加工記録２!$T$3:$T$999170=B5), 6)), "", INDEX(_xlfn._xlws.FILTER([1]加工記録２!$O$3:$P$999170, [1]加工記録２!$T$3:$T$999170=B5), 6)),"")</f>
        <v>0</v>
      </c>
      <c r="J44" s="40" t="str">
        <v/>
      </c>
      <c r="K44" s="34"/>
    </row>
    <row r="45" spans="1:14" s="7" customFormat="1" ht="18" customHeight="1">
      <c r="A45" s="134" t="s">
        <v>78</v>
      </c>
      <c r="B45" s="136" t="str">
        <f>_xlfn.XLOOKUP(B3,[1]VFDB2!A:A,[1]VFDB2!AC:AC)</f>
        <v>換算表確認</v>
      </c>
      <c r="C45" s="138" t="s">
        <v>79</v>
      </c>
      <c r="D45" s="140" t="str">
        <f>_xlfn.XLOOKUP(B3,[1]VFDB2!A:A,[1]VFDB2!K:K)</f>
        <v>－0.5</v>
      </c>
      <c r="E45" s="129" t="str">
        <f>_xlfn.XLOOKUP(B3,[1]VFDB2!A:A,[1]VFDB2!R:R)</f>
        <v>ラベル１枚　長手無　鉢巻１回</v>
      </c>
      <c r="F45" s="130"/>
      <c r="G45" s="142"/>
      <c r="H45" s="35" t="s">
        <v>80</v>
      </c>
      <c r="I45" s="32" t="str" cm="1">
        <f t="array" ref="I45">IFERROR(IF(ISBLANK(INDEX(_xlfn._xlws.FILTER([1]加工記録２!$M$3:$M$999170, [1]加工記録２!$T$3:$T$999170=B5), 6)), "", INDEX(_xlfn._xlws.FILTER([1]加工記録２!$M$3:$M$999170, [1]加工記録２!$T$3:$T$999170=B5), 6)),"")</f>
        <v>m</v>
      </c>
      <c r="J45" s="41" t="str" cm="1">
        <f t="array" ref="J45">IFERROR(IF(ISBLANK(INDEX(_xlfn._xlws.FILTER([1]加工記録２!$P$3:$P$999170, [1]加工記録２!$T$3:$T$999170=B5), 7)), "", INDEX(_xlfn._xlws.FILTER([1]加工記録２!$P$3:$P$999170, [1]加工記録２!$T$3:$T$999170=B5), 7)),"")</f>
        <v/>
      </c>
      <c r="K45" s="37"/>
    </row>
    <row r="46" spans="1:14" s="5" customFormat="1" ht="18" customHeight="1" thickBot="1">
      <c r="A46" s="135"/>
      <c r="B46" s="137"/>
      <c r="C46" s="139"/>
      <c r="D46" s="141"/>
      <c r="E46" s="143"/>
      <c r="F46" s="144"/>
      <c r="G46" s="145"/>
      <c r="H46" s="42" t="s">
        <v>81</v>
      </c>
      <c r="I46" s="32" t="str" cm="1">
        <f t="array" ref="I46">IFERROR(IF(ISBLANK(INDEX(_xlfn._xlws.FILTER([1]加工記録２!$M$3:$M$999170, [1]加工記録２!$T$3:$T$999170=B5), 7)), "", INDEX(_xlfn._xlws.FILTER([1]加工記録２!$M$3:$M$999170, [1]加工記録２!$T$3:$T$999170=B5), 7)),"")</f>
        <v>t</v>
      </c>
      <c r="J46" s="43">
        <f>SUM(J39:J45)</f>
        <v>1</v>
      </c>
    </row>
    <row r="47" spans="1:14" s="54" customFormat="1" ht="18.95" customHeight="1">
      <c r="A47" s="44" t="s">
        <v>82</v>
      </c>
      <c r="B47" s="45" t="s">
        <v>83</v>
      </c>
      <c r="C47" s="46" t="s">
        <v>84</v>
      </c>
      <c r="D47" s="46" t="s">
        <v>85</v>
      </c>
      <c r="E47" s="47" t="s">
        <v>86</v>
      </c>
      <c r="F47" s="48" t="s">
        <v>87</v>
      </c>
      <c r="G47" s="49" t="s">
        <v>88</v>
      </c>
      <c r="H47" s="50" t="s">
        <v>89</v>
      </c>
      <c r="I47" s="51" t="s">
        <v>90</v>
      </c>
      <c r="J47" s="52" t="s">
        <v>91</v>
      </c>
      <c r="K47" s="53"/>
      <c r="L47" s="53"/>
      <c r="M47" s="53"/>
      <c r="N47" s="53"/>
    </row>
    <row r="48" spans="1:14" s="65" customFormat="1" ht="18.95" customHeight="1">
      <c r="A48" s="55" cm="1">
        <f t="array" ref="A48:J48">IFERROR(IF(ISBLANK(INDEX(_xlfn._xlws.FILTER([1]加工記録２!$D$3:$M$999170, [1]加工記録２!$T$3:$T$999170=B5), 1)), "", INDEX(_xlfn._xlws.FILTER([1]加工記録２!$D$3:$M$999170, [1]加工記録２!$T$3:$T$999170=B5), 1)),"")</f>
        <v>46003</v>
      </c>
      <c r="B48" s="56" t="str">
        <v>25L14-02</v>
      </c>
      <c r="C48" s="57" t="str">
        <v/>
      </c>
      <c r="D48" s="57" t="str">
        <v/>
      </c>
      <c r="E48" s="58" t="str">
        <v/>
      </c>
      <c r="F48" s="59" t="str">
        <v>25L14-02</v>
      </c>
      <c r="G48" s="60">
        <v>2</v>
      </c>
      <c r="H48" s="61">
        <v>1</v>
      </c>
      <c r="I48" s="62">
        <v>46016</v>
      </c>
      <c r="J48" s="63">
        <v>2</v>
      </c>
      <c r="K48" s="64"/>
      <c r="L48" s="64"/>
      <c r="M48" s="64"/>
      <c r="N48" s="64"/>
    </row>
    <row r="49" spans="1:14" s="65" customFormat="1" ht="18.95" customHeight="1">
      <c r="A49" s="55" cm="1">
        <f t="array" ref="A49:J49">IFERROR(IF(ISBLANK(INDEX(_xlfn._xlws.FILTER([1]加工記録２!$D$3:$M$999170, [1]加工記録２!$T$3:$T$999170=B5), 2)), "", INDEX(_xlfn._xlws.FILTER([1]加工記録２!$D$3:$M$999170, [1]加工記録２!$T$3:$T$999170=B5), 2)),"")</f>
        <v>46015</v>
      </c>
      <c r="B49" s="66" t="str">
        <v>25L16-04</v>
      </c>
      <c r="C49" s="66">
        <v>20</v>
      </c>
      <c r="D49" s="67">
        <v>748</v>
      </c>
      <c r="E49" s="68">
        <v>747.99</v>
      </c>
      <c r="F49" s="69" t="str">
        <v>25L16-04</v>
      </c>
      <c r="G49" s="70">
        <v>199</v>
      </c>
      <c r="H49" s="71">
        <v>100</v>
      </c>
      <c r="I49" s="62" t="str">
        <v/>
      </c>
      <c r="J49" s="63" t="str">
        <v/>
      </c>
      <c r="K49" s="64"/>
      <c r="L49" s="64"/>
      <c r="M49" s="64"/>
      <c r="N49" s="64"/>
    </row>
    <row r="50" spans="1:14" s="65" customFormat="1" ht="18.95" customHeight="1">
      <c r="A50" s="55" cm="1">
        <f t="array" ref="A50:J50">IFERROR(IF(ISBLANK(INDEX(_xlfn._xlws.FILTER([1]加工記録２!$D$3:$M$999170, [1]加工記録２!$T$3:$T$999170=B5), 3)), "", INDEX(_xlfn._xlws.FILTER([1]加工記録２!$D$3:$M$999170, [1]加工記録２!$T$3:$T$999170=B5), 3)),"")</f>
        <v>46015</v>
      </c>
      <c r="B50" s="66" t="str">
        <v>25L16-04</v>
      </c>
      <c r="C50" s="66">
        <v>20</v>
      </c>
      <c r="D50" s="67">
        <v>748</v>
      </c>
      <c r="E50" s="68">
        <v>748.08</v>
      </c>
      <c r="F50" s="69" t="str">
        <v/>
      </c>
      <c r="G50" s="70" t="str">
        <v/>
      </c>
      <c r="H50" s="71">
        <v>0</v>
      </c>
      <c r="I50" s="62" t="str">
        <v/>
      </c>
      <c r="J50" s="63" t="str">
        <v/>
      </c>
      <c r="K50" s="64"/>
      <c r="L50" s="64"/>
      <c r="M50" s="64"/>
      <c r="N50" s="64"/>
    </row>
    <row r="51" spans="1:14" s="65" customFormat="1" ht="18.95" customHeight="1">
      <c r="A51" s="55" cm="1">
        <f t="array" ref="A51:J51">IFERROR(IF(ISBLANK(INDEX(_xlfn._xlws.FILTER([1]加工記録２!$D$3:$M$999170, [1]加工記録２!$T$3:$T$999170=B5), 4)), "", INDEX(_xlfn._xlws.FILTER([1]加工記録２!$D$3:$M$999170, [1]加工記録２!$T$3:$T$999170=B5), 4)),"")</f>
        <v>46016</v>
      </c>
      <c r="B51" s="66" t="str">
        <v>25L16-04</v>
      </c>
      <c r="C51" s="66">
        <v>20</v>
      </c>
      <c r="D51" s="67">
        <v>748</v>
      </c>
      <c r="E51" s="68">
        <v>748.07</v>
      </c>
      <c r="F51" s="69" t="str">
        <v/>
      </c>
      <c r="G51" s="70" t="str">
        <v/>
      </c>
      <c r="H51" s="71">
        <v>0</v>
      </c>
      <c r="I51" s="62" t="str">
        <v/>
      </c>
      <c r="J51" s="63" t="str">
        <v/>
      </c>
      <c r="K51" s="64"/>
      <c r="L51" s="64"/>
      <c r="M51" s="64"/>
      <c r="N51" s="64"/>
    </row>
    <row r="52" spans="1:14" s="65" customFormat="1" ht="18.95" customHeight="1">
      <c r="A52" s="55" t="str" cm="1">
        <f t="array" ref="A52:J52">IFERROR(IF(ISBLANK(INDEX(_xlfn._xlws.FILTER([1]加工記録２!$D$3:$M$999170, [1]加工記録２!$T$3:$T$999170=B5), 5)), "", INDEX(_xlfn._xlws.FILTER([1]加工記録２!$D$3:$M$999170, [1]加工記録２!$T$3:$T$999170=B5),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64"/>
      <c r="L52" s="64"/>
      <c r="M52" s="64"/>
      <c r="N52" s="64"/>
    </row>
    <row r="53" spans="1:14" s="65" customFormat="1" ht="18.95" customHeight="1">
      <c r="A53" s="55" t="str" cm="1">
        <f t="array" ref="A53:H53">IFERROR(IF(ISBLANK(INDEX(_xlfn._xlws.FILTER([1]加工記録２!$D$3:$K$999170, [1]加工記録２!$T$3:$T$999170=B5), 6)), "", INDEX(_xlfn._xlws.FILTER([1]加工記録２!$D$3:$K$999170, [1]加工記録２!$T$3:$T$999170=B5),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>
        <v>0</v>
      </c>
      <c r="I53" s="72"/>
      <c r="J53" s="73"/>
      <c r="K53" s="64"/>
      <c r="L53" s="64"/>
      <c r="M53" s="64"/>
      <c r="N53" s="64"/>
    </row>
    <row r="54" spans="1:14" s="65" customFormat="1" ht="18.95" customHeight="1" thickBot="1">
      <c r="A54" s="55" t="str" cm="1">
        <f t="array" ref="A54:H54">IFERROR(IF(ISBLANK(INDEX(_xlfn._xlws.FILTER([1]加工記録２!$D$3:$K$999170, [1]加工記録２!$T$3:$T$999170=B5), 7)), "", INDEX(_xlfn._xlws.FILTER([1]加工記録２!$D$3:$K$999170, [1]加工記録２!$T$3:$T$999170=B5),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>
        <v>0</v>
      </c>
      <c r="I54" s="72"/>
      <c r="J54" s="73"/>
      <c r="K54" s="64"/>
      <c r="L54" s="64"/>
      <c r="M54" s="64"/>
      <c r="N54" s="64"/>
    </row>
    <row r="55" spans="1:14" s="65" customFormat="1" ht="18.95" customHeight="1" thickBot="1">
      <c r="A55" s="74" t="str" cm="1">
        <f t="array" ref="A55:H55">IFERROR(IF(ISBLANK(INDEX(_xlfn._xlws.FILTER([1]加工記録２!$D$3:$K$999170, [1]加工記録２!$T$3:$T$999170=B5), 8)), "", INDEX(_xlfn._xlws.FILTER([1]加工記録２!$D$3:$K$999170, [1]加工記録２!$T$3:$T$999170=B5),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>
        <v>0</v>
      </c>
      <c r="I55" s="81" t="s">
        <v>92</v>
      </c>
      <c r="J55" s="82"/>
      <c r="K55" s="64"/>
      <c r="L55" s="64"/>
      <c r="M55" s="64"/>
      <c r="N55" s="64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A38:D38"/>
    <mergeCell ref="C16:D16"/>
    <mergeCell ref="I16:J16"/>
    <mergeCell ref="I25:J25"/>
    <mergeCell ref="F33:J33"/>
    <mergeCell ref="I18:J18"/>
    <mergeCell ref="F7:G7"/>
    <mergeCell ref="F23:H23"/>
    <mergeCell ref="C20:D20"/>
    <mergeCell ref="C22:D22"/>
    <mergeCell ref="F26:J26"/>
    <mergeCell ref="I21:J21"/>
    <mergeCell ref="C28:E28"/>
    <mergeCell ref="C21:D21"/>
    <mergeCell ref="I23:J23"/>
    <mergeCell ref="C30:E30"/>
    <mergeCell ref="C23:D23"/>
    <mergeCell ref="F16:H16"/>
    <mergeCell ref="E38:F38"/>
    <mergeCell ref="H38:I38"/>
    <mergeCell ref="G36:H36"/>
    <mergeCell ref="I36:J36"/>
    <mergeCell ref="C26:D26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12:J13"/>
    <mergeCell ref="F5:H6"/>
    <mergeCell ref="G32:H32"/>
    <mergeCell ref="C3:C4"/>
    <mergeCell ref="G25:H25"/>
    <mergeCell ref="E3:E4"/>
    <mergeCell ref="F18:H18"/>
    <mergeCell ref="F22:H22"/>
  </mergeCells>
  <phoneticPr fontId="2"/>
  <conditionalFormatting sqref="D50:D55">
    <cfRule type="cellIs" dxfId="1" priority="2" operator="equal">
      <formula>$D49</formula>
    </cfRule>
  </conditionalFormatting>
  <conditionalFormatting sqref="I39:I46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2025-12-16T00:17:27Z</cp:lastPrinted>
  <dcterms:created xsi:type="dcterms:W3CDTF">2024-07-11T02:08:33Z</dcterms:created>
  <dcterms:modified xsi:type="dcterms:W3CDTF">2026-01-04T23:14:35Z</dcterms:modified>
</cp:coreProperties>
</file>