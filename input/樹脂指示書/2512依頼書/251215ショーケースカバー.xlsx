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CB6DC8E7-6F69-4A60-865E-9F8AE2B05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9" i="1" l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J160" i="1" l="1"/>
  <c r="J46" i="1"/>
  <c r="J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<sst xmlns="http://schemas.openxmlformats.org/spreadsheetml/2006/main" count="294" uniqueCount="104">
  <si>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</si>
  <si>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</si>
  <si>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</si>
  <si>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</si>
  <si>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</si>
  <si>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</si>
  <si>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</si>
  <si>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</si>
  <si>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</si>
  <si>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000000000010501</t>
  </si>
  <si>
    <t>原料名</t>
  </si>
  <si>
    <t>(CASE 748MILK-W4)</t>
  </si>
  <si>
    <t>発注明細№</t>
  </si>
  <si>
    <t>000000000816864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</si>
  <si>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</si>
  <si>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</si>
  <si>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</si>
  <si>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</si>
  <si>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</si>
  <si>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</si>
  <si>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</si>
  <si>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</si>
  <si>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</si>
  <si>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</si>
  <si>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</si>
  <si>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</si>
  <si>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</si>
  <si>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</si>
  <si>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</si>
  <si>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</si>
  <si>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</si>
  <si>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</si>
  <si>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</si>
  <si>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</si>
  <si>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</si>
  <si>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</si>
  <si>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</si>
  <si>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</si>
  <si>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</si>
  <si>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</si>
  <si>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</si>
  <si>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</si>
  <si>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</si>
  <si>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</si>
  <si>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</si>
  <si>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</si>
  <si>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</si>
  <si>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</si>
  <si>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</si>
  <si>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</si>
  <si>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</si>
  <si>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</si>
  <si>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</si>
  <si>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</si>
  <si>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</si>
  <si>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</si>
  <si>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</si>
  <si>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</si>
  <si>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</si>
  <si>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</si>
  <si>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</si>
  <si>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</si>
  <si>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</si>
  <si>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J1JAZZB10808880</t>
  </si>
  <si>
    <t>8FL2813045010</t>
  </si>
  <si>
    <t>000000000010502</t>
  </si>
  <si>
    <t>(CASE 888MILK-W4)</t>
  </si>
  <si>
    <t>000000000816865</t>
  </si>
  <si>
    <t>*J1JAZZB10808880*</t>
  </si>
  <si>
    <t>J6XX0044</t>
  </si>
  <si>
    <t>*J6XX0044*</t>
  </si>
  <si>
    <t>400＊900</t>
  </si>
  <si>
    <t>000000000010503</t>
  </si>
  <si>
    <t>000000000816866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</si>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</sst>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7" fontId="10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righ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7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9" fillId="0" borderId="0" xfId="1" applyNumberFormat="1" applyFont="1" applyAlignment="1">
      <alignment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200026</xdr:colOff>
      <xdr:row>3</xdr:row>
      <xdr:rowOff>114301</xdr:rowOff>
    </xdr:from>
    <xdr:to>
      <xdr:col>9</xdr:col>
      <xdr:colOff>619126</xdr:colOff>
      <xdr:row>5</xdr:row>
      <xdr:rowOff>133351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AF2B5C-6D45-EFD7-BC8E-A911AB494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1" y="657226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60</xdr:row>
      <xdr:rowOff>152400</xdr:rowOff>
    </xdr:from>
    <xdr:to>
      <xdr:col>9</xdr:col>
      <xdr:colOff>552450</xdr:colOff>
      <xdr:row>62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9C16D9-E0F8-AC78-B0F7-5B27C00C8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3925550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117</xdr:row>
      <xdr:rowOff>95250</xdr:rowOff>
    </xdr:from>
    <xdr:to>
      <xdr:col>9</xdr:col>
      <xdr:colOff>619125</xdr:colOff>
      <xdr:row>119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CD9B63-15E6-3EFE-B3BF-402FA0492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270986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3</xdr:row>
      <xdr:rowOff>104776</xdr:rowOff>
    </xdr:from>
    <xdr:to>
      <xdr:col>8</xdr:col>
      <xdr:colOff>590551</xdr:colOff>
      <xdr:row>5</xdr:row>
      <xdr:rowOff>123826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F824C9-7599-0D3D-538A-B4B74664F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647701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60</xdr:row>
      <xdr:rowOff>85725</xdr:rowOff>
    </xdr:from>
    <xdr:to>
      <xdr:col>8</xdr:col>
      <xdr:colOff>590550</xdr:colOff>
      <xdr:row>62</xdr:row>
      <xdr:rowOff>104775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ABD818-2723-4821-9B9D-D617181C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3858875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117</xdr:row>
      <xdr:rowOff>95250</xdr:rowOff>
    </xdr:from>
    <xdr:to>
      <xdr:col>8</xdr:col>
      <xdr:colOff>600075</xdr:colOff>
      <xdr:row>119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1ACAC18-1223-445E-BB05-6904E85A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27098625"/>
          <a:ext cx="419100" cy="41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.xlsm" TargetMode="External"/><Relationship Id="rId1" Type="http://schemas.openxmlformats.org/officeDocument/2006/relationships/externalLinkPath" Target="/Users/user/Desktop/sgt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 (2)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6110　L=1478</v>
          </cell>
          <cell r="I3">
            <v>0</v>
          </cell>
          <cell r="K3">
            <v>0</v>
          </cell>
          <cell r="L3">
            <v>46015</v>
          </cell>
          <cell r="M3">
            <v>5</v>
          </cell>
          <cell r="O3">
            <v>46016</v>
          </cell>
          <cell r="P3">
            <v>5</v>
          </cell>
          <cell r="T3" t="str">
            <v>000000000010006</v>
          </cell>
        </row>
        <row r="4">
          <cell r="D4">
            <v>46014</v>
          </cell>
          <cell r="E4" t="str">
            <v>25L15-03</v>
          </cell>
          <cell r="F4">
            <v>20</v>
          </cell>
          <cell r="G4">
            <v>1478</v>
          </cell>
          <cell r="H4">
            <v>1478.02</v>
          </cell>
          <cell r="I4" t="str">
            <v>25L15-03</v>
          </cell>
          <cell r="J4">
            <v>528</v>
          </cell>
          <cell r="K4">
            <v>528</v>
          </cell>
          <cell r="L4">
            <v>46016</v>
          </cell>
          <cell r="M4">
            <v>3</v>
          </cell>
          <cell r="O4">
            <v>800</v>
          </cell>
          <cell r="T4" t="str">
            <v>000000000010006</v>
          </cell>
        </row>
        <row r="5">
          <cell r="C5">
            <v>800</v>
          </cell>
          <cell r="D5">
            <v>46014</v>
          </cell>
          <cell r="E5" t="str">
            <v>25L15-03</v>
          </cell>
          <cell r="F5">
            <v>20</v>
          </cell>
          <cell r="G5">
            <v>1478</v>
          </cell>
          <cell r="H5">
            <v>1478.07</v>
          </cell>
          <cell r="I5" t="str">
            <v>25L16-04</v>
          </cell>
          <cell r="J5">
            <v>277</v>
          </cell>
          <cell r="K5">
            <v>277</v>
          </cell>
          <cell r="O5">
            <v>805</v>
          </cell>
          <cell r="T5" t="str">
            <v>000000000010006</v>
          </cell>
        </row>
        <row r="6">
          <cell r="D6">
            <v>46015</v>
          </cell>
          <cell r="E6" t="str">
            <v>25L15-03</v>
          </cell>
          <cell r="F6">
            <v>20</v>
          </cell>
          <cell r="G6">
            <v>1478</v>
          </cell>
          <cell r="H6">
            <v>1478.13</v>
          </cell>
          <cell r="K6">
            <v>0</v>
          </cell>
          <cell r="O6">
            <v>5</v>
          </cell>
          <cell r="T6" t="str">
            <v>000000000010006</v>
          </cell>
        </row>
        <row r="7">
          <cell r="C7">
            <v>1</v>
          </cell>
          <cell r="D7">
            <v>46015</v>
          </cell>
          <cell r="E7" t="str">
            <v>25L16-04</v>
          </cell>
          <cell r="F7">
            <v>20</v>
          </cell>
          <cell r="G7">
            <v>1478</v>
          </cell>
          <cell r="H7">
            <v>1478.04</v>
          </cell>
          <cell r="K7">
            <v>0</v>
          </cell>
          <cell r="O7">
            <v>5</v>
          </cell>
          <cell r="T7" t="str">
            <v>000000000010006</v>
          </cell>
        </row>
        <row r="8">
          <cell r="C8" t="str">
            <v>LED-A1478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000000000010006</v>
          </cell>
        </row>
        <row r="9">
          <cell r="C9">
            <v>8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000000000010006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5</v>
          </cell>
          <cell r="T10" t="str">
            <v>000000000010006</v>
          </cell>
        </row>
        <row r="11">
          <cell r="C11" t="str">
            <v>8FL281304 8310　L=748</v>
          </cell>
          <cell r="I11">
            <v>0</v>
          </cell>
          <cell r="K11">
            <v>0</v>
          </cell>
          <cell r="L11">
            <v>46016</v>
          </cell>
          <cell r="M11">
            <v>4</v>
          </cell>
          <cell r="O11">
            <v>46016</v>
          </cell>
          <cell r="P11">
            <v>6</v>
          </cell>
          <cell r="T11" t="str">
            <v>000000000010707</v>
          </cell>
        </row>
        <row r="12">
          <cell r="D12">
            <v>46016</v>
          </cell>
          <cell r="E12" t="str">
            <v>25L16-04</v>
          </cell>
          <cell r="F12">
            <v>20</v>
          </cell>
          <cell r="G12">
            <v>748</v>
          </cell>
          <cell r="H12">
            <v>748.06</v>
          </cell>
          <cell r="I12" t="str">
            <v>25L16-04</v>
          </cell>
          <cell r="J12">
            <v>406</v>
          </cell>
          <cell r="K12">
            <v>203</v>
          </cell>
          <cell r="O12">
            <v>400</v>
          </cell>
          <cell r="T12" t="str">
            <v>000000000010707</v>
          </cell>
        </row>
        <row r="13">
          <cell r="C13">
            <v>400</v>
          </cell>
          <cell r="D13">
            <v>46016</v>
          </cell>
          <cell r="F13">
            <v>20</v>
          </cell>
          <cell r="G13">
            <v>748</v>
          </cell>
          <cell r="H13">
            <v>747.94</v>
          </cell>
          <cell r="K13">
            <v>0</v>
          </cell>
          <cell r="O13">
            <v>203</v>
          </cell>
          <cell r="T13" t="str">
            <v>000000000010707</v>
          </cell>
        </row>
        <row r="14">
          <cell r="G14" t="str">
            <v/>
          </cell>
          <cell r="K14">
            <v>0</v>
          </cell>
          <cell r="O14">
            <v>3</v>
          </cell>
          <cell r="T14" t="str">
            <v>000000000010707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6</v>
          </cell>
          <cell r="T15" t="str">
            <v>000000000010707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c</v>
          </cell>
          <cell r="O16">
            <v>0</v>
          </cell>
          <cell r="T16" t="str">
            <v>000000000010707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000000000010707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O18">
            <v>0</v>
          </cell>
          <cell r="P18">
            <v>6</v>
          </cell>
          <cell r="T18" t="str">
            <v>000000000010707</v>
          </cell>
        </row>
        <row r="19">
          <cell r="C19" t="str">
            <v>8FL281304 8310　L=748</v>
          </cell>
          <cell r="D19">
            <v>46003</v>
          </cell>
          <cell r="E19" t="str">
            <v>25L14-02</v>
          </cell>
          <cell r="I19" t="str">
            <v>25L14-02</v>
          </cell>
          <cell r="J19">
            <v>2</v>
          </cell>
          <cell r="K19">
            <v>1</v>
          </cell>
          <cell r="L19">
            <v>46016</v>
          </cell>
          <cell r="M19">
            <v>2</v>
          </cell>
          <cell r="O19">
            <v>46016</v>
          </cell>
          <cell r="P19">
            <v>1</v>
          </cell>
          <cell r="T19" t="str">
            <v>000000000010332</v>
          </cell>
        </row>
        <row r="20">
          <cell r="D20">
            <v>46015</v>
          </cell>
          <cell r="E20" t="str">
            <v>25L16-04</v>
          </cell>
          <cell r="F20">
            <v>20</v>
          </cell>
          <cell r="G20">
            <v>748</v>
          </cell>
          <cell r="H20">
            <v>747.99</v>
          </cell>
          <cell r="I20" t="str">
            <v>25L16-04</v>
          </cell>
          <cell r="J20">
            <v>199</v>
          </cell>
          <cell r="K20">
            <v>100</v>
          </cell>
          <cell r="O20">
            <v>200</v>
          </cell>
          <cell r="T20" t="str">
            <v>000000000010332</v>
          </cell>
        </row>
        <row r="21">
          <cell r="C21">
            <v>200</v>
          </cell>
          <cell r="D21">
            <v>46015</v>
          </cell>
          <cell r="E21" t="str">
            <v>25L16-04</v>
          </cell>
          <cell r="F21">
            <v>20</v>
          </cell>
          <cell r="G21">
            <v>748</v>
          </cell>
          <cell r="H21">
            <v>748.08</v>
          </cell>
          <cell r="K21">
            <v>0</v>
          </cell>
          <cell r="O21">
            <v>101</v>
          </cell>
          <cell r="T21" t="str">
            <v>000000000010332</v>
          </cell>
        </row>
        <row r="22">
          <cell r="D22">
            <v>46016</v>
          </cell>
          <cell r="E22" t="str">
            <v>25L16-04</v>
          </cell>
          <cell r="F22">
            <v>20</v>
          </cell>
          <cell r="G22">
            <v>748</v>
          </cell>
          <cell r="H22">
            <v>748.07</v>
          </cell>
          <cell r="K22">
            <v>0</v>
          </cell>
          <cell r="O22">
            <v>1</v>
          </cell>
          <cell r="T22" t="str">
            <v>000000000010332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000000000010332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m</v>
          </cell>
          <cell r="O24">
            <v>0</v>
          </cell>
          <cell r="T24" t="str">
            <v>000000000010332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t</v>
          </cell>
          <cell r="T25" t="str">
            <v>000000000010332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O26">
            <v>0</v>
          </cell>
          <cell r="P26">
            <v>1</v>
          </cell>
          <cell r="T26" t="str">
            <v>000000000010332</v>
          </cell>
        </row>
        <row r="27">
          <cell r="C27" t="str">
            <v>8FL281304 8310　L=748</v>
          </cell>
          <cell r="I27">
            <v>0</v>
          </cell>
          <cell r="K27">
            <v>0</v>
          </cell>
          <cell r="L27">
            <v>46016</v>
          </cell>
          <cell r="M27">
            <v>2</v>
          </cell>
          <cell r="O27">
            <v>46016</v>
          </cell>
          <cell r="P27">
            <v>1</v>
          </cell>
          <cell r="T27" t="str">
            <v>000000000010501</v>
          </cell>
        </row>
        <row r="28">
          <cell r="D28">
            <v>46016</v>
          </cell>
          <cell r="E28" t="str">
            <v>25L16-04</v>
          </cell>
          <cell r="F28">
            <v>20</v>
          </cell>
          <cell r="G28">
            <v>748</v>
          </cell>
          <cell r="H28">
            <v>748.89</v>
          </cell>
          <cell r="I28" t="str">
            <v>25L16-04</v>
          </cell>
          <cell r="J28">
            <v>202</v>
          </cell>
          <cell r="K28">
            <v>101</v>
          </cell>
          <cell r="O28">
            <v>200</v>
          </cell>
          <cell r="T28" t="str">
            <v>000000000010501</v>
          </cell>
        </row>
        <row r="29">
          <cell r="C29">
            <v>200</v>
          </cell>
          <cell r="D29">
            <v>46016</v>
          </cell>
          <cell r="E29" t="str">
            <v>25L16-04</v>
          </cell>
          <cell r="F29">
            <v>20</v>
          </cell>
          <cell r="G29">
            <v>748</v>
          </cell>
          <cell r="H29">
            <v>748.18</v>
          </cell>
          <cell r="K29">
            <v>0</v>
          </cell>
          <cell r="O29">
            <v>101</v>
          </cell>
          <cell r="T29" t="str">
            <v>000000000010501</v>
          </cell>
        </row>
        <row r="30">
          <cell r="G30" t="str">
            <v/>
          </cell>
          <cell r="K30">
            <v>0</v>
          </cell>
          <cell r="O30">
            <v>1</v>
          </cell>
          <cell r="T30" t="str">
            <v>000000000010501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2</v>
          </cell>
          <cell r="T31" t="str">
            <v>000000000010501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0</v>
          </cell>
          <cell r="T32" t="str">
            <v>000000000010501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000000000010501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0</v>
          </cell>
          <cell r="P34">
            <v>2</v>
          </cell>
          <cell r="T34" t="str">
            <v>000000000010501</v>
          </cell>
        </row>
        <row r="35">
          <cell r="C35" t="str">
            <v>8FL281304 4910　L=592</v>
          </cell>
          <cell r="D35">
            <v>46015</v>
          </cell>
          <cell r="E35" t="str">
            <v>25L15-03</v>
          </cell>
          <cell r="I35" t="str">
            <v>25L15-03</v>
          </cell>
          <cell r="J35">
            <v>1</v>
          </cell>
          <cell r="K35">
            <v>0</v>
          </cell>
          <cell r="L35">
            <v>46017</v>
          </cell>
          <cell r="M35">
            <v>1</v>
          </cell>
          <cell r="O35">
            <v>46017</v>
          </cell>
          <cell r="T35" t="str">
            <v>000000000010000</v>
          </cell>
        </row>
        <row r="36">
          <cell r="D36">
            <v>46016</v>
          </cell>
          <cell r="E36" t="str">
            <v>25L16-04</v>
          </cell>
          <cell r="F36">
            <v>20</v>
          </cell>
          <cell r="G36">
            <v>591.5</v>
          </cell>
          <cell r="H36">
            <v>591.62</v>
          </cell>
          <cell r="I36" t="str">
            <v>25L16-04</v>
          </cell>
          <cell r="J36">
            <v>99</v>
          </cell>
          <cell r="K36">
            <v>33</v>
          </cell>
          <cell r="O36">
            <v>100</v>
          </cell>
          <cell r="T36" t="str">
            <v>000000000010000</v>
          </cell>
        </row>
        <row r="37">
          <cell r="C37">
            <v>100</v>
          </cell>
          <cell r="D37">
            <v>46016</v>
          </cell>
          <cell r="E37" t="str">
            <v>25L16-04</v>
          </cell>
          <cell r="F37">
            <v>20</v>
          </cell>
          <cell r="G37">
            <v>591.5</v>
          </cell>
          <cell r="H37">
            <v>591.64</v>
          </cell>
          <cell r="K37">
            <v>0</v>
          </cell>
          <cell r="O37">
            <v>34</v>
          </cell>
          <cell r="T37" t="str">
            <v>000000000010000</v>
          </cell>
        </row>
        <row r="38">
          <cell r="G38" t="str">
            <v/>
          </cell>
          <cell r="K38">
            <v>0</v>
          </cell>
          <cell r="O38">
            <v>0</v>
          </cell>
          <cell r="T38" t="str">
            <v>000000000010000</v>
          </cell>
        </row>
        <row r="39">
          <cell r="C39">
            <v>3</v>
          </cell>
          <cell r="G39" t="str">
            <v/>
          </cell>
          <cell r="K39">
            <v>0</v>
          </cell>
          <cell r="O39">
            <v>0</v>
          </cell>
          <cell r="T39" t="str">
            <v>000000000010000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1</v>
          </cell>
          <cell r="T40" t="str">
            <v>000000000010000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T41" t="str">
            <v>000000000010000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1</v>
          </cell>
          <cell r="P42">
            <v>0</v>
          </cell>
          <cell r="T42" t="str">
            <v>000000000010000</v>
          </cell>
        </row>
        <row r="43">
          <cell r="C43" t="str">
            <v>8FL281304 4810　L=297</v>
          </cell>
          <cell r="D43">
            <v>46015</v>
          </cell>
          <cell r="E43" t="str">
            <v>25L15-03</v>
          </cell>
          <cell r="I43" t="str">
            <v>25L15-03</v>
          </cell>
          <cell r="J43">
            <v>14</v>
          </cell>
          <cell r="K43">
            <v>2</v>
          </cell>
          <cell r="L43">
            <v>46016</v>
          </cell>
          <cell r="M43">
            <v>3</v>
          </cell>
          <cell r="O43">
            <v>46016</v>
          </cell>
          <cell r="P43">
            <v>3</v>
          </cell>
          <cell r="T43" t="str">
            <v>000000000009997</v>
          </cell>
        </row>
        <row r="44">
          <cell r="D44">
            <v>46016</v>
          </cell>
          <cell r="E44" t="str">
            <v>25L16-04</v>
          </cell>
          <cell r="F44">
            <v>20</v>
          </cell>
          <cell r="G44">
            <v>297</v>
          </cell>
          <cell r="H44">
            <v>297.27</v>
          </cell>
          <cell r="I44" t="str">
            <v>25L16-04</v>
          </cell>
          <cell r="J44">
            <v>289</v>
          </cell>
          <cell r="K44">
            <v>49</v>
          </cell>
          <cell r="O44">
            <v>300</v>
          </cell>
          <cell r="T44" t="str">
            <v>000000000009997</v>
          </cell>
        </row>
        <row r="45">
          <cell r="C45">
            <v>300</v>
          </cell>
          <cell r="D45">
            <v>46016</v>
          </cell>
          <cell r="E45" t="str">
            <v>25L16-04</v>
          </cell>
          <cell r="F45">
            <v>20</v>
          </cell>
          <cell r="G45">
            <v>297</v>
          </cell>
          <cell r="H45">
            <v>297.08999999999997</v>
          </cell>
          <cell r="K45">
            <v>0</v>
          </cell>
          <cell r="O45">
            <v>51</v>
          </cell>
          <cell r="T45" t="str">
            <v>000000000009997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000000000009997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3</v>
          </cell>
          <cell r="T47" t="str">
            <v>000000000009997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c</v>
          </cell>
          <cell r="O48">
            <v>2</v>
          </cell>
          <cell r="T48" t="str">
            <v>000000000009997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u</v>
          </cell>
          <cell r="T49" t="str">
            <v>000000000009997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2</v>
          </cell>
          <cell r="P50">
            <v>3</v>
          </cell>
          <cell r="T50" t="str">
            <v>000000000009997</v>
          </cell>
        </row>
        <row r="51">
          <cell r="C51" t="str">
            <v>8FL281304 4810　L=297</v>
          </cell>
          <cell r="I51">
            <v>0</v>
          </cell>
          <cell r="K51">
            <v>0</v>
          </cell>
          <cell r="L51">
            <v>46017</v>
          </cell>
          <cell r="M51">
            <v>2</v>
          </cell>
          <cell r="O51">
            <v>46017</v>
          </cell>
          <cell r="T51" t="str">
            <v>000000000009998</v>
          </cell>
        </row>
        <row r="52">
          <cell r="D52">
            <v>46016</v>
          </cell>
          <cell r="E52" t="str">
            <v>25L16-04</v>
          </cell>
          <cell r="F52">
            <v>20</v>
          </cell>
          <cell r="G52">
            <v>297</v>
          </cell>
          <cell r="H52">
            <v>297.3</v>
          </cell>
          <cell r="I52" t="str">
            <v>25L16-04</v>
          </cell>
          <cell r="J52">
            <v>144</v>
          </cell>
          <cell r="K52">
            <v>24</v>
          </cell>
          <cell r="O52">
            <v>200</v>
          </cell>
          <cell r="T52" t="str">
            <v>000000000009998</v>
          </cell>
        </row>
        <row r="53">
          <cell r="C53">
            <v>200</v>
          </cell>
          <cell r="D53">
            <v>46016</v>
          </cell>
          <cell r="E53" t="str">
            <v>25L16-04</v>
          </cell>
          <cell r="F53">
            <v>20</v>
          </cell>
          <cell r="G53">
            <v>297</v>
          </cell>
          <cell r="H53">
            <v>297.38</v>
          </cell>
          <cell r="K53">
            <v>0</v>
          </cell>
          <cell r="O53">
            <v>24</v>
          </cell>
          <cell r="T53" t="str">
            <v>000000000009998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000000000009998</v>
          </cell>
        </row>
        <row r="55">
          <cell r="C55">
            <v>6</v>
          </cell>
          <cell r="G55" t="str">
            <v/>
          </cell>
          <cell r="K55">
            <v>0</v>
          </cell>
          <cell r="O55">
            <v>0</v>
          </cell>
          <cell r="T55" t="str">
            <v>000000000009998</v>
          </cell>
        </row>
        <row r="56">
          <cell r="C56" t="str">
            <v>LED-A300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c/m</v>
          </cell>
          <cell r="O56">
            <v>56</v>
          </cell>
          <cell r="T56" t="str">
            <v>000000000009998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u/t</v>
          </cell>
          <cell r="O57">
            <v>56</v>
          </cell>
          <cell r="T57" t="str">
            <v>000000000009998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O58">
            <v>0</v>
          </cell>
          <cell r="P58">
            <v>0</v>
          </cell>
          <cell r="T58" t="str">
            <v>000000000009998</v>
          </cell>
        </row>
        <row r="59">
          <cell r="C59" t="str">
            <v>8FL281304 5010　L=888</v>
          </cell>
          <cell r="D59">
            <v>46379</v>
          </cell>
          <cell r="E59" t="str">
            <v>25L14-02</v>
          </cell>
          <cell r="I59" t="str">
            <v>25L14-02</v>
          </cell>
          <cell r="J59">
            <v>7</v>
          </cell>
          <cell r="K59">
            <v>3</v>
          </cell>
          <cell r="L59">
            <v>46017</v>
          </cell>
          <cell r="M59">
            <v>9</v>
          </cell>
          <cell r="O59">
            <v>46027</v>
          </cell>
          <cell r="P59">
            <v>10</v>
          </cell>
          <cell r="T59" t="str">
            <v>000000000010003</v>
          </cell>
        </row>
        <row r="60">
          <cell r="D60">
            <v>46381</v>
          </cell>
          <cell r="E60" t="str">
            <v>25L17-05</v>
          </cell>
          <cell r="F60">
            <v>20</v>
          </cell>
          <cell r="G60">
            <v>888</v>
          </cell>
          <cell r="H60">
            <v>887.98</v>
          </cell>
          <cell r="I60" t="str">
            <v>25L17-05</v>
          </cell>
          <cell r="J60">
            <v>1600</v>
          </cell>
          <cell r="K60">
            <v>800</v>
          </cell>
          <cell r="L60">
            <v>46027</v>
          </cell>
          <cell r="M60">
            <v>11</v>
          </cell>
          <cell r="O60">
            <v>2000</v>
          </cell>
          <cell r="T60" t="str">
            <v>000000000010003</v>
          </cell>
        </row>
        <row r="61">
          <cell r="C61">
            <v>2000</v>
          </cell>
          <cell r="D61">
            <v>46381</v>
          </cell>
          <cell r="E61" t="str">
            <v>25L17-05</v>
          </cell>
          <cell r="F61">
            <v>18</v>
          </cell>
          <cell r="G61">
            <v>887.88</v>
          </cell>
          <cell r="H61">
            <v>887.89</v>
          </cell>
          <cell r="I61" t="str">
            <v>25L118-06</v>
          </cell>
          <cell r="J61">
            <v>407</v>
          </cell>
          <cell r="K61">
            <v>204</v>
          </cell>
          <cell r="O61">
            <v>1007</v>
          </cell>
          <cell r="P61">
            <v>3</v>
          </cell>
          <cell r="T61" t="str">
            <v>000000000010003</v>
          </cell>
        </row>
        <row r="62">
          <cell r="D62">
            <v>46382</v>
          </cell>
          <cell r="E62" t="str">
            <v>25L17-05</v>
          </cell>
          <cell r="F62">
            <v>16</v>
          </cell>
          <cell r="G62">
            <v>887.77</v>
          </cell>
          <cell r="H62">
            <v>887.91</v>
          </cell>
          <cell r="K62">
            <v>0</v>
          </cell>
          <cell r="O62">
            <v>7</v>
          </cell>
          <cell r="T62" t="str">
            <v>000000000010003</v>
          </cell>
        </row>
        <row r="63">
          <cell r="C63">
            <v>2</v>
          </cell>
          <cell r="D63">
            <v>46382</v>
          </cell>
          <cell r="E63" t="str">
            <v>25L17-05</v>
          </cell>
          <cell r="F63">
            <v>16</v>
          </cell>
          <cell r="G63">
            <v>887.77</v>
          </cell>
          <cell r="H63">
            <v>887.94</v>
          </cell>
          <cell r="K63">
            <v>0</v>
          </cell>
          <cell r="O63">
            <v>14</v>
          </cell>
          <cell r="T63" t="str">
            <v>000000000010003</v>
          </cell>
        </row>
        <row r="64">
          <cell r="C64" t="str">
            <v>LED-A888</v>
          </cell>
          <cell r="D64">
            <v>46382</v>
          </cell>
          <cell r="E64" t="str">
            <v>25L118-06</v>
          </cell>
          <cell r="F64">
            <v>16</v>
          </cell>
          <cell r="G64">
            <v>887.77</v>
          </cell>
          <cell r="H64">
            <v>887.91</v>
          </cell>
          <cell r="K64">
            <v>0</v>
          </cell>
          <cell r="L64" t="str">
            <v>切断</v>
          </cell>
          <cell r="M64" t="str">
            <v>m</v>
          </cell>
          <cell r="O64">
            <v>1</v>
          </cell>
          <cell r="T64" t="str">
            <v>000000000010003</v>
          </cell>
        </row>
        <row r="65">
          <cell r="C65">
            <v>20</v>
          </cell>
          <cell r="D65">
            <v>46027</v>
          </cell>
          <cell r="E65" t="str">
            <v>25L118-06</v>
          </cell>
          <cell r="F65">
            <v>14</v>
          </cell>
          <cell r="G65">
            <v>887.65</v>
          </cell>
          <cell r="H65">
            <v>888.07</v>
          </cell>
          <cell r="K65">
            <v>0</v>
          </cell>
          <cell r="L65" t="str">
            <v>検査</v>
          </cell>
          <cell r="M65" t="str">
            <v>t/u</v>
          </cell>
          <cell r="P65">
            <v>1</v>
          </cell>
          <cell r="T65" t="str">
            <v>000000000010003</v>
          </cell>
        </row>
        <row r="66">
          <cell r="D66">
            <v>46027</v>
          </cell>
          <cell r="E66" t="str">
            <v>25L118-06</v>
          </cell>
          <cell r="F66">
            <v>14</v>
          </cell>
          <cell r="G66">
            <v>887.65</v>
          </cell>
          <cell r="H66">
            <v>888.03</v>
          </cell>
          <cell r="K66">
            <v>0</v>
          </cell>
          <cell r="L66" t="str">
            <v>α端材</v>
          </cell>
          <cell r="O66">
            <v>1</v>
          </cell>
          <cell r="P66">
            <v>14</v>
          </cell>
          <cell r="T66" t="str">
            <v>000000000010003</v>
          </cell>
        </row>
        <row r="67">
          <cell r="C67" t="str">
            <v>8FL281304 5010　L=888</v>
          </cell>
          <cell r="I67">
            <v>0</v>
          </cell>
          <cell r="K67">
            <v>0</v>
          </cell>
          <cell r="L67">
            <v>46027</v>
          </cell>
          <cell r="M67">
            <v>2</v>
          </cell>
          <cell r="O67">
            <v>46027</v>
          </cell>
          <cell r="T67" t="str">
            <v>000000000010790</v>
          </cell>
        </row>
        <row r="68">
          <cell r="D68">
            <v>46027</v>
          </cell>
          <cell r="E68" t="str">
            <v>25L18-06</v>
          </cell>
          <cell r="F68">
            <v>16</v>
          </cell>
          <cell r="G68">
            <v>887.77</v>
          </cell>
          <cell r="H68">
            <v>887.98</v>
          </cell>
          <cell r="I68" t="str">
            <v>25L18-06</v>
          </cell>
          <cell r="J68">
            <v>200</v>
          </cell>
          <cell r="K68">
            <v>100</v>
          </cell>
          <cell r="O68">
            <v>200</v>
          </cell>
          <cell r="T68" t="str">
            <v>000000000010790</v>
          </cell>
        </row>
        <row r="69">
          <cell r="C69">
            <v>200</v>
          </cell>
          <cell r="D69">
            <v>46027</v>
          </cell>
          <cell r="E69" t="str">
            <v>25L18-06</v>
          </cell>
          <cell r="F69">
            <v>16</v>
          </cell>
          <cell r="G69">
            <v>887.77</v>
          </cell>
          <cell r="H69">
            <v>887.92</v>
          </cell>
          <cell r="K69">
            <v>0</v>
          </cell>
          <cell r="O69">
            <v>100</v>
          </cell>
          <cell r="T69" t="str">
            <v>000000000010790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000000000010790</v>
          </cell>
        </row>
        <row r="71">
          <cell r="C71">
            <v>2</v>
          </cell>
          <cell r="G71" t="str">
            <v/>
          </cell>
          <cell r="K71">
            <v>0</v>
          </cell>
          <cell r="O71">
            <v>0</v>
          </cell>
          <cell r="T71" t="str">
            <v>000000000010790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切断</v>
          </cell>
          <cell r="M72" t="str">
            <v>m</v>
          </cell>
          <cell r="O72">
            <v>0</v>
          </cell>
          <cell r="T72" t="str">
            <v>000000000010790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検査</v>
          </cell>
          <cell r="M73" t="str">
            <v>u</v>
          </cell>
          <cell r="T73" t="str">
            <v>000000000010790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000000000010790</v>
          </cell>
        </row>
        <row r="75">
          <cell r="C75" t="str">
            <v>8FL281304 5010　L=888</v>
          </cell>
          <cell r="I75">
            <v>0</v>
          </cell>
          <cell r="K75">
            <v>0</v>
          </cell>
          <cell r="L75">
            <v>46028</v>
          </cell>
          <cell r="M75">
            <v>9</v>
          </cell>
          <cell r="O75">
            <v>46028</v>
          </cell>
          <cell r="P75">
            <v>5</v>
          </cell>
          <cell r="T75" t="str">
            <v>000000000010004</v>
          </cell>
        </row>
        <row r="76">
          <cell r="D76">
            <v>46027</v>
          </cell>
          <cell r="E76" t="str">
            <v>25L18-06</v>
          </cell>
          <cell r="F76">
            <v>16</v>
          </cell>
          <cell r="G76">
            <v>887.77</v>
          </cell>
          <cell r="H76">
            <v>887.94</v>
          </cell>
          <cell r="I76" t="str">
            <v>25L18-06</v>
          </cell>
          <cell r="J76">
            <v>907</v>
          </cell>
          <cell r="K76">
            <v>454</v>
          </cell>
          <cell r="O76">
            <v>900</v>
          </cell>
          <cell r="T76" t="str">
            <v>000000000010004</v>
          </cell>
        </row>
        <row r="77">
          <cell r="C77">
            <v>900</v>
          </cell>
          <cell r="D77">
            <v>46027</v>
          </cell>
          <cell r="E77" t="str">
            <v>25L18-06</v>
          </cell>
          <cell r="F77">
            <v>16</v>
          </cell>
          <cell r="G77">
            <v>887.77</v>
          </cell>
          <cell r="H77">
            <v>888.06</v>
          </cell>
          <cell r="K77">
            <v>0</v>
          </cell>
          <cell r="O77">
            <v>454</v>
          </cell>
          <cell r="P77">
            <v>2</v>
          </cell>
          <cell r="T77" t="str">
            <v>000000000010004</v>
          </cell>
        </row>
        <row r="78">
          <cell r="G78" t="str">
            <v/>
          </cell>
          <cell r="K78">
            <v>0</v>
          </cell>
          <cell r="O78">
            <v>4</v>
          </cell>
          <cell r="T78" t="str">
            <v>000000000010004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7</v>
          </cell>
          <cell r="T79" t="str">
            <v>000000000010004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切断</v>
          </cell>
          <cell r="M80" t="str">
            <v>m</v>
          </cell>
          <cell r="O80">
            <v>0</v>
          </cell>
          <cell r="T80" t="str">
            <v>000000000010004</v>
          </cell>
        </row>
        <row r="81">
          <cell r="C81">
            <v>9</v>
          </cell>
          <cell r="G81" t="str">
            <v/>
          </cell>
          <cell r="K81">
            <v>0</v>
          </cell>
          <cell r="L81" t="str">
            <v>検査</v>
          </cell>
          <cell r="M81" t="str">
            <v>ｔ/u</v>
          </cell>
          <cell r="T81" t="str">
            <v>000000000010004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7</v>
          </cell>
          <cell r="T82" t="str">
            <v>000000000010004</v>
          </cell>
        </row>
        <row r="83">
          <cell r="C83" t="str">
            <v>8FL281304 5010　L=888</v>
          </cell>
          <cell r="I83">
            <v>0</v>
          </cell>
          <cell r="K83">
            <v>0</v>
          </cell>
          <cell r="L83">
            <v>46028</v>
          </cell>
          <cell r="M83">
            <v>5</v>
          </cell>
          <cell r="O83">
            <v>46029</v>
          </cell>
          <cell r="P83">
            <v>3</v>
          </cell>
          <cell r="T83" t="str">
            <v>000000000010005</v>
          </cell>
        </row>
        <row r="84">
          <cell r="D84">
            <v>46027</v>
          </cell>
          <cell r="E84" t="str">
            <v>25L18-06</v>
          </cell>
          <cell r="F84">
            <v>16</v>
          </cell>
          <cell r="G84">
            <v>887.77</v>
          </cell>
          <cell r="H84">
            <v>888</v>
          </cell>
          <cell r="I84" t="str">
            <v>25L18-06</v>
          </cell>
          <cell r="J84">
            <v>80</v>
          </cell>
          <cell r="K84">
            <v>40</v>
          </cell>
          <cell r="L84">
            <v>46029</v>
          </cell>
          <cell r="M84">
            <v>5</v>
          </cell>
          <cell r="O84">
            <v>1000</v>
          </cell>
          <cell r="T84" t="str">
            <v>000000000010005</v>
          </cell>
        </row>
        <row r="85">
          <cell r="C85">
            <v>1000</v>
          </cell>
          <cell r="D85">
            <v>46027</v>
          </cell>
          <cell r="E85" t="str">
            <v>25L19-07</v>
          </cell>
          <cell r="F85">
            <v>16</v>
          </cell>
          <cell r="G85">
            <v>887.77</v>
          </cell>
          <cell r="H85">
            <v>888.96</v>
          </cell>
          <cell r="I85" t="str">
            <v>25L19-07</v>
          </cell>
          <cell r="J85">
            <v>923</v>
          </cell>
          <cell r="K85">
            <v>462</v>
          </cell>
          <cell r="O85">
            <v>502</v>
          </cell>
          <cell r="T85" t="str">
            <v>000000000010005</v>
          </cell>
        </row>
        <row r="86">
          <cell r="D86">
            <v>46028</v>
          </cell>
          <cell r="E86" t="str">
            <v>25L19-07</v>
          </cell>
          <cell r="F86">
            <v>16</v>
          </cell>
          <cell r="G86">
            <v>887.77</v>
          </cell>
          <cell r="H86">
            <v>887.95</v>
          </cell>
          <cell r="K86">
            <v>0</v>
          </cell>
          <cell r="O86">
            <v>2</v>
          </cell>
          <cell r="T86" t="str">
            <v>000000000010005</v>
          </cell>
        </row>
        <row r="87">
          <cell r="C87">
            <v>2</v>
          </cell>
          <cell r="D87">
            <v>46028</v>
          </cell>
          <cell r="E87" t="str">
            <v>25L19-07</v>
          </cell>
          <cell r="F87">
            <v>16</v>
          </cell>
          <cell r="G87">
            <v>887.77</v>
          </cell>
          <cell r="H87">
            <v>887.96</v>
          </cell>
          <cell r="K87">
            <v>0</v>
          </cell>
          <cell r="O87">
            <v>3</v>
          </cell>
          <cell r="T87" t="str">
            <v>000000000010005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M88" t="str">
            <v>c/m</v>
          </cell>
          <cell r="O88">
            <v>0</v>
          </cell>
          <cell r="T88" t="str">
            <v>000000000010005</v>
          </cell>
        </row>
        <row r="89">
          <cell r="C89">
            <v>10</v>
          </cell>
          <cell r="G89" t="str">
            <v/>
          </cell>
          <cell r="K89">
            <v>0</v>
          </cell>
          <cell r="L89" t="str">
            <v>検査</v>
          </cell>
          <cell r="M89" t="str">
            <v>t/u</v>
          </cell>
          <cell r="T89" t="str">
            <v>000000000010005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3</v>
          </cell>
          <cell r="T90" t="str">
            <v>000000000010005</v>
          </cell>
        </row>
        <row r="91">
          <cell r="C91" t="str">
            <v>8FL281304 5010　L=888</v>
          </cell>
          <cell r="I91">
            <v>0</v>
          </cell>
          <cell r="K91">
            <v>0</v>
          </cell>
          <cell r="L91">
            <v>46029</v>
          </cell>
          <cell r="M91">
            <v>4</v>
          </cell>
          <cell r="O91">
            <v>46029</v>
          </cell>
          <cell r="T91" t="str">
            <v>000000000010503</v>
          </cell>
        </row>
        <row r="92">
          <cell r="D92">
            <v>46028</v>
          </cell>
          <cell r="E92" t="str">
            <v>25L19-07</v>
          </cell>
          <cell r="F92">
            <v>16</v>
          </cell>
          <cell r="G92">
            <v>887.77</v>
          </cell>
          <cell r="H92">
            <v>887.99</v>
          </cell>
          <cell r="I92" t="str">
            <v>25L19-07</v>
          </cell>
          <cell r="J92">
            <v>400</v>
          </cell>
          <cell r="K92">
            <v>200</v>
          </cell>
          <cell r="O92">
            <v>400</v>
          </cell>
          <cell r="T92" t="str">
            <v>000000000010503</v>
          </cell>
        </row>
        <row r="93">
          <cell r="C93">
            <v>400</v>
          </cell>
          <cell r="D93">
            <v>46028</v>
          </cell>
          <cell r="E93" t="str">
            <v>25L19-07</v>
          </cell>
          <cell r="F93">
            <v>16</v>
          </cell>
          <cell r="G93">
            <v>887.77</v>
          </cell>
          <cell r="H93">
            <v>888.1</v>
          </cell>
          <cell r="K93">
            <v>0</v>
          </cell>
          <cell r="O93">
            <v>200</v>
          </cell>
          <cell r="T93" t="str">
            <v>000000000010503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000000000010503</v>
          </cell>
        </row>
        <row r="95">
          <cell r="C95">
            <v>2</v>
          </cell>
          <cell r="G95" t="str">
            <v/>
          </cell>
          <cell r="K95">
            <v>0</v>
          </cell>
          <cell r="O95">
            <v>0</v>
          </cell>
          <cell r="T95" t="str">
            <v>000000000010503</v>
          </cell>
        </row>
        <row r="96">
          <cell r="C96" t="str">
            <v>LED-A888</v>
          </cell>
          <cell r="G96" t="str">
            <v/>
          </cell>
          <cell r="K96">
            <v>0</v>
          </cell>
          <cell r="L96" t="str">
            <v>切断</v>
          </cell>
          <cell r="M96" t="str">
            <v>m</v>
          </cell>
          <cell r="O96">
            <v>0</v>
          </cell>
          <cell r="T96" t="str">
            <v>000000000010503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M97" t="str">
            <v>t</v>
          </cell>
          <cell r="T97" t="str">
            <v>000000000010503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000000000010503</v>
          </cell>
        </row>
        <row r="99">
          <cell r="C99" t="str">
            <v>8FL281304 5010　L=888</v>
          </cell>
          <cell r="I99">
            <v>0</v>
          </cell>
          <cell r="K99">
            <v>0</v>
          </cell>
          <cell r="L99">
            <v>46029</v>
          </cell>
          <cell r="M99">
            <v>1</v>
          </cell>
          <cell r="O99">
            <v>46029</v>
          </cell>
          <cell r="P99">
            <v>1</v>
          </cell>
          <cell r="T99" t="str">
            <v>000000000011064</v>
          </cell>
        </row>
        <row r="100">
          <cell r="D100">
            <v>46029</v>
          </cell>
          <cell r="E100" t="str">
            <v>25L19-07</v>
          </cell>
          <cell r="F100">
            <v>20</v>
          </cell>
          <cell r="G100">
            <v>888</v>
          </cell>
          <cell r="H100">
            <v>888.03</v>
          </cell>
          <cell r="I100" t="str">
            <v>25L19-07</v>
          </cell>
          <cell r="J100">
            <v>101</v>
          </cell>
          <cell r="K100">
            <v>51</v>
          </cell>
          <cell r="O100">
            <v>100</v>
          </cell>
          <cell r="T100" t="str">
            <v>000000000011064</v>
          </cell>
        </row>
        <row r="101">
          <cell r="C101">
            <v>100</v>
          </cell>
          <cell r="D101">
            <v>46029</v>
          </cell>
          <cell r="E101" t="str">
            <v>25L19-07</v>
          </cell>
          <cell r="F101">
            <v>20</v>
          </cell>
          <cell r="G101">
            <v>888</v>
          </cell>
          <cell r="H101">
            <v>888.08</v>
          </cell>
          <cell r="K101">
            <v>0</v>
          </cell>
          <cell r="O101">
            <v>51</v>
          </cell>
          <cell r="T101" t="str">
            <v>000000000011064</v>
          </cell>
        </row>
        <row r="102">
          <cell r="G102" t="str">
            <v/>
          </cell>
          <cell r="K102">
            <v>0</v>
          </cell>
          <cell r="O102">
            <v>1</v>
          </cell>
          <cell r="T102" t="str">
            <v>000000000011064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1</v>
          </cell>
          <cell r="T103" t="str">
            <v>000000000011064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M104" t="str">
            <v>m</v>
          </cell>
          <cell r="O104">
            <v>0</v>
          </cell>
          <cell r="T104" t="str">
            <v>000000000011064</v>
          </cell>
        </row>
        <row r="105">
          <cell r="C105">
            <v>1</v>
          </cell>
          <cell r="G105" t="str">
            <v/>
          </cell>
          <cell r="K105">
            <v>0</v>
          </cell>
          <cell r="L105" t="str">
            <v>検査</v>
          </cell>
          <cell r="M105" t="str">
            <v>t</v>
          </cell>
          <cell r="T105" t="str">
            <v>000000000011064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1</v>
          </cell>
          <cell r="T106" t="str">
            <v>000000000011064</v>
          </cell>
        </row>
        <row r="107">
          <cell r="C107" t="str">
            <v>灯具カバーPC IN 2110　L=1815</v>
          </cell>
          <cell r="D107">
            <v>46002</v>
          </cell>
          <cell r="E107" t="str">
            <v>25L05-02</v>
          </cell>
          <cell r="I107" t="str">
            <v>25L05-02</v>
          </cell>
          <cell r="J107">
            <v>15</v>
          </cell>
          <cell r="K107">
            <v>15</v>
          </cell>
          <cell r="L107">
            <v>46030</v>
          </cell>
          <cell r="M107">
            <v>11</v>
          </cell>
          <cell r="O107">
            <v>46030</v>
          </cell>
          <cell r="P107">
            <v>25</v>
          </cell>
          <cell r="T107" t="str">
            <v>000000000010803</v>
          </cell>
        </row>
        <row r="108">
          <cell r="D108">
            <v>46030</v>
          </cell>
          <cell r="E108" t="str">
            <v>25L24-01</v>
          </cell>
          <cell r="G108" t="str">
            <v/>
          </cell>
          <cell r="I108" t="str">
            <v>25L24-01</v>
          </cell>
          <cell r="J108">
            <v>192</v>
          </cell>
          <cell r="K108">
            <v>192</v>
          </cell>
          <cell r="O108">
            <v>176</v>
          </cell>
          <cell r="P108">
            <v>5</v>
          </cell>
          <cell r="T108" t="str">
            <v>000000000010803</v>
          </cell>
        </row>
        <row r="109">
          <cell r="C109">
            <v>176</v>
          </cell>
          <cell r="G109" t="str">
            <v/>
          </cell>
          <cell r="K109">
            <v>0</v>
          </cell>
          <cell r="O109">
            <v>207</v>
          </cell>
          <cell r="P109">
            <v>1</v>
          </cell>
          <cell r="T109" t="str">
            <v>000000000010803</v>
          </cell>
        </row>
        <row r="110">
          <cell r="G110" t="str">
            <v/>
          </cell>
          <cell r="K110">
            <v>0</v>
          </cell>
          <cell r="O110">
            <v>31</v>
          </cell>
          <cell r="T110" t="str">
            <v>000000000010803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31</v>
          </cell>
          <cell r="T111" t="str">
            <v>000000000010803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切断</v>
          </cell>
          <cell r="M112" t="str">
            <v>-</v>
          </cell>
          <cell r="O112">
            <v>0</v>
          </cell>
          <cell r="T112" t="str">
            <v>000000000010803</v>
          </cell>
        </row>
        <row r="113">
          <cell r="C113">
            <v>11</v>
          </cell>
          <cell r="G113" t="str">
            <v/>
          </cell>
          <cell r="K113">
            <v>0</v>
          </cell>
          <cell r="L113" t="str">
            <v>検査</v>
          </cell>
          <cell r="M113" t="str">
            <v>t</v>
          </cell>
          <cell r="T113" t="str">
            <v>000000000010803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31</v>
          </cell>
          <cell r="T114" t="str">
            <v>000000000010803</v>
          </cell>
        </row>
        <row r="115">
          <cell r="C115" t="str">
            <v>灯具カバーPC IN 2050　L=1183.5</v>
          </cell>
          <cell r="I115">
            <v>0</v>
          </cell>
          <cell r="K115">
            <v>0</v>
          </cell>
          <cell r="O115">
            <v>0</v>
          </cell>
          <cell r="T115" t="str">
            <v>000000000010799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000000000010799</v>
          </cell>
        </row>
        <row r="117">
          <cell r="C117">
            <v>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000000000010799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000000000010799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000000000010799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000000000010799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000000000010799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000000000010799</v>
          </cell>
        </row>
        <row r="123">
          <cell r="C123" t="str">
            <v>灯具カバーPC IN 2090　L=840</v>
          </cell>
          <cell r="I123">
            <v>0</v>
          </cell>
          <cell r="K123">
            <v>0</v>
          </cell>
          <cell r="O123">
            <v>0</v>
          </cell>
          <cell r="T123" t="str">
            <v>000000000010797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000000000010797</v>
          </cell>
        </row>
        <row r="125">
          <cell r="C125">
            <v>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000000000010797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000000000010797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000000000010797</v>
          </cell>
        </row>
        <row r="128">
          <cell r="C128" t="str">
            <v>灯具-3　L=970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000000000010797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000000000010797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000000000010797</v>
          </cell>
        </row>
        <row r="131">
          <cell r="C131" t="str">
            <v>灯具カバーPC IN 2130　L=908</v>
          </cell>
          <cell r="I131">
            <v>0</v>
          </cell>
          <cell r="K131">
            <v>0</v>
          </cell>
          <cell r="O131">
            <v>0</v>
          </cell>
          <cell r="T131" t="str">
            <v>000000000010798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000000000010798</v>
          </cell>
        </row>
        <row r="133">
          <cell r="C133">
            <v>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000000000010798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000000000010798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000000000010798</v>
          </cell>
        </row>
        <row r="136">
          <cell r="C136" t="str">
            <v>灯具-3　L=970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000000000010798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000000000010798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000000000010798</v>
          </cell>
        </row>
        <row r="139">
          <cell r="C139" t="str">
            <v>灯具カバーPC  　2190    L=1240</v>
          </cell>
          <cell r="I139">
            <v>0</v>
          </cell>
          <cell r="K139">
            <v>0</v>
          </cell>
          <cell r="O139">
            <v>0</v>
          </cell>
          <cell r="T139" t="str">
            <v>000000000010793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000000000010793</v>
          </cell>
        </row>
        <row r="141">
          <cell r="C141">
            <v>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000000000010793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000000000010793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000000000010793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000000000010793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000000000010793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000000000010793</v>
          </cell>
        </row>
        <row r="147">
          <cell r="C147" t="str">
            <v>8FL281304 8310　L=748</v>
          </cell>
          <cell r="I147">
            <v>0</v>
          </cell>
          <cell r="K147">
            <v>0</v>
          </cell>
          <cell r="O147">
            <v>0</v>
          </cell>
          <cell r="T147" t="str">
            <v>000000000011137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000000000011137</v>
          </cell>
        </row>
        <row r="149">
          <cell r="C149">
            <v>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000000000011137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000000000011137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000000000011137</v>
          </cell>
        </row>
        <row r="152">
          <cell r="C152" t="str">
            <v>LED-A888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000000000011137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000000000011137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000000000011137</v>
          </cell>
        </row>
        <row r="155">
          <cell r="C155" t="str">
            <v>8FL281304 8110　L=444</v>
          </cell>
          <cell r="I155">
            <v>0</v>
          </cell>
          <cell r="K155">
            <v>0</v>
          </cell>
          <cell r="O155">
            <v>0</v>
          </cell>
          <cell r="T155" t="str">
            <v>000000000011134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000000000011134</v>
          </cell>
        </row>
        <row r="157">
          <cell r="C157">
            <v>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000000000011134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000000000011134</v>
          </cell>
        </row>
        <row r="159">
          <cell r="C159">
            <v>4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000000000011134</v>
          </cell>
        </row>
        <row r="160">
          <cell r="C160" t="str">
            <v>LED-A444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000000000011134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000000000011134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000000000011134</v>
          </cell>
        </row>
        <row r="163">
          <cell r="C163" t="str">
            <v>8FL281304 4810　L=297</v>
          </cell>
          <cell r="I163">
            <v>0</v>
          </cell>
          <cell r="K163">
            <v>0</v>
          </cell>
          <cell r="O163">
            <v>0</v>
          </cell>
          <cell r="T163" t="str">
            <v>000000000011131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000000000011131</v>
          </cell>
        </row>
        <row r="165">
          <cell r="C165">
            <v>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000000000011131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000000000011131</v>
          </cell>
        </row>
        <row r="167">
          <cell r="C167">
            <v>6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000000000011131</v>
          </cell>
        </row>
        <row r="168">
          <cell r="C168" t="str">
            <v>LED-A300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000000000011131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000000000011131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000000000011131</v>
          </cell>
        </row>
        <row r="171">
          <cell r="C171" t="str">
            <v>8FL281304 4810　L=297</v>
          </cell>
          <cell r="I171">
            <v>0</v>
          </cell>
          <cell r="K171">
            <v>0</v>
          </cell>
          <cell r="O171">
            <v>0</v>
          </cell>
          <cell r="T171" t="str">
            <v>000000000011132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000000000011132</v>
          </cell>
        </row>
        <row r="173">
          <cell r="C173">
            <v>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000000000011132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000000000011132</v>
          </cell>
        </row>
        <row r="175">
          <cell r="C175">
            <v>6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000000000011132</v>
          </cell>
        </row>
        <row r="176">
          <cell r="C176" t="str">
            <v>LED-A300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000000000011132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000000000011132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000000000011132</v>
          </cell>
        </row>
        <row r="179">
          <cell r="C179" t="str">
            <v>8FL281304 5010　L=888</v>
          </cell>
          <cell r="I179">
            <v>0</v>
          </cell>
          <cell r="K179">
            <v>0</v>
          </cell>
          <cell r="O179">
            <v>0</v>
          </cell>
          <cell r="T179" t="str">
            <v>000000000011144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000000000011144</v>
          </cell>
        </row>
        <row r="181">
          <cell r="C181">
            <v>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000000000011144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000000000011144</v>
          </cell>
        </row>
        <row r="183">
          <cell r="C183">
            <v>2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000000000011144</v>
          </cell>
        </row>
        <row r="184">
          <cell r="C184" t="str">
            <v>LED-A888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000000000011144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000000000011144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000000000011144</v>
          </cell>
        </row>
        <row r="187">
          <cell r="C187" t="str">
            <v>8FL281304 5010　L=888</v>
          </cell>
          <cell r="I187">
            <v>0</v>
          </cell>
          <cell r="K187">
            <v>0</v>
          </cell>
          <cell r="O187">
            <v>0</v>
          </cell>
          <cell r="T187" t="str">
            <v>000000000011138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000000000011138</v>
          </cell>
        </row>
        <row r="189">
          <cell r="C189">
            <v>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000000000011138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000000000011138</v>
          </cell>
        </row>
        <row r="191">
          <cell r="C191">
            <v>2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000000000011138</v>
          </cell>
        </row>
        <row r="192">
          <cell r="C192" t="str">
            <v>LED-A888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000000000011138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000000000011138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000000000011138</v>
          </cell>
        </row>
        <row r="195">
          <cell r="C195" t="str">
            <v>灯具カバーPC IN 2100　L=1923</v>
          </cell>
          <cell r="I195">
            <v>0</v>
          </cell>
          <cell r="K195">
            <v>0</v>
          </cell>
          <cell r="O195">
            <v>0</v>
          </cell>
          <cell r="T195" t="str">
            <v>000000000010805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000000000010805</v>
          </cell>
        </row>
        <row r="197">
          <cell r="C197">
            <v>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000000000010805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000000000010805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000000000010805</v>
          </cell>
        </row>
        <row r="200">
          <cell r="C200" t="str">
            <v>灯具-2　L＝1996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000000000010805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000000000010805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000000000010805</v>
          </cell>
        </row>
        <row r="203">
          <cell r="C203" t="str">
            <v>灯具カバーPC IN 2110　L=1815</v>
          </cell>
          <cell r="I203">
            <v>0</v>
          </cell>
          <cell r="K203">
            <v>0</v>
          </cell>
          <cell r="O203">
            <v>0</v>
          </cell>
          <cell r="T203" t="str">
            <v>000000000010804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000000000010804</v>
          </cell>
        </row>
        <row r="205">
          <cell r="C205">
            <v>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000000000010804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000000000010804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000000000010804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000000000010804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000000000010804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000000000010804</v>
          </cell>
        </row>
        <row r="211">
          <cell r="C211" t="str">
            <v>灯具カバーPC IN 2050　L=1183.5</v>
          </cell>
          <cell r="I211">
            <v>0</v>
          </cell>
          <cell r="K211">
            <v>0</v>
          </cell>
          <cell r="O211">
            <v>0</v>
          </cell>
          <cell r="T211" t="str">
            <v>000000000010800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000000000010800</v>
          </cell>
        </row>
        <row r="213">
          <cell r="C213">
            <v>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000000000010800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000000000010800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000000000010800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000000000010800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000000000010800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000000000010800</v>
          </cell>
        </row>
        <row r="219">
          <cell r="C219" t="str">
            <v>灯具カバーPC IN 2100　L=1923</v>
          </cell>
          <cell r="I219">
            <v>0</v>
          </cell>
          <cell r="K219">
            <v>0</v>
          </cell>
          <cell r="O219">
            <v>0</v>
          </cell>
          <cell r="T219" t="str">
            <v>000000000010805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000000000010805</v>
          </cell>
        </row>
        <row r="221">
          <cell r="C221">
            <v>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000000000010805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000000000010805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000000000010805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000000000010805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000000000010805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000000000010805</v>
          </cell>
        </row>
        <row r="227">
          <cell r="C227" t="str">
            <v>灯具カバーPC IN 2070　L=1966</v>
          </cell>
          <cell r="I227">
            <v>0</v>
          </cell>
          <cell r="K227">
            <v>0</v>
          </cell>
          <cell r="O227">
            <v>0</v>
          </cell>
          <cell r="T227" t="str">
            <v>000000000010806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000000000010806</v>
          </cell>
        </row>
        <row r="229">
          <cell r="C229">
            <v>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000000000010806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000000000010806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000000000010806</v>
          </cell>
        </row>
        <row r="232">
          <cell r="C232" t="str">
            <v>灯具-2　L＝1996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000000000010806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000000000010806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000000000010806</v>
          </cell>
        </row>
        <row r="235">
          <cell r="C235" t="str">
            <v>灯具カバーPC  　2200    L=221.8</v>
          </cell>
          <cell r="I235">
            <v>0</v>
          </cell>
          <cell r="K235">
            <v>0</v>
          </cell>
          <cell r="O235">
            <v>0</v>
          </cell>
          <cell r="T235" t="str">
            <v>000000000010791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000000000010791</v>
          </cell>
        </row>
        <row r="237">
          <cell r="C237">
            <v>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000000000010791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000000000010791</v>
          </cell>
        </row>
        <row r="239">
          <cell r="C239">
            <v>2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000000000010791</v>
          </cell>
        </row>
        <row r="240">
          <cell r="C240" t="str">
            <v>H型ジョイナー端材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000000000010791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000000000010791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O242">
            <v>0</v>
          </cell>
          <cell r="P242">
            <v>0</v>
          </cell>
          <cell r="T242" t="str">
            <v>000000000010791</v>
          </cell>
        </row>
        <row r="243">
          <cell r="C243" t="str">
            <v>灯具カバーPC IN 2140　L=547</v>
          </cell>
          <cell r="T243" t="str">
            <v>000000000010796</v>
          </cell>
        </row>
        <row r="244">
          <cell r="T244" t="str">
            <v>000000000010796</v>
          </cell>
        </row>
        <row r="245">
          <cell r="C245">
            <v>0</v>
          </cell>
          <cell r="T245" t="str">
            <v>000000000010796</v>
          </cell>
        </row>
        <row r="246">
          <cell r="T246" t="str">
            <v>000000000010796</v>
          </cell>
        </row>
        <row r="247">
          <cell r="C247">
            <v>1</v>
          </cell>
          <cell r="T247" t="str">
            <v>000000000010796</v>
          </cell>
        </row>
        <row r="248">
          <cell r="C248" t="str">
            <v>灯具-1　L=1370</v>
          </cell>
          <cell r="T248" t="str">
            <v>000000000010796</v>
          </cell>
        </row>
        <row r="249">
          <cell r="T249" t="str">
            <v>000000000010796</v>
          </cell>
        </row>
        <row r="250">
          <cell r="T250" t="str">
            <v>000000000010796</v>
          </cell>
        </row>
        <row r="251">
          <cell r="C251" t="str">
            <v>灯具カバーPC  　2190    L=1240</v>
          </cell>
          <cell r="T251" t="str">
            <v>000000000010793</v>
          </cell>
        </row>
        <row r="252">
          <cell r="T252" t="str">
            <v>000000000010793</v>
          </cell>
        </row>
        <row r="253">
          <cell r="C253">
            <v>0</v>
          </cell>
          <cell r="T253" t="str">
            <v>000000000010793</v>
          </cell>
        </row>
        <row r="254">
          <cell r="T254" t="str">
            <v>000000000010793</v>
          </cell>
        </row>
        <row r="255">
          <cell r="C255">
            <v>1</v>
          </cell>
          <cell r="T255" t="str">
            <v>000000000010793</v>
          </cell>
        </row>
        <row r="256">
          <cell r="C256" t="str">
            <v>H型ジョイナー</v>
          </cell>
          <cell r="T256" t="str">
            <v>000000000010793</v>
          </cell>
        </row>
        <row r="257">
          <cell r="T257" t="str">
            <v>000000000010793</v>
          </cell>
        </row>
        <row r="258">
          <cell r="T258" t="str">
            <v>000000000010793</v>
          </cell>
        </row>
        <row r="259">
          <cell r="C259" t="str">
            <v>灯具カバーPC  　7530    L=565</v>
          </cell>
          <cell r="T259" t="str">
            <v>000000000010792</v>
          </cell>
        </row>
        <row r="260">
          <cell r="T260" t="str">
            <v>000000000010792</v>
          </cell>
        </row>
        <row r="261">
          <cell r="C261">
            <v>0</v>
          </cell>
          <cell r="T261" t="str">
            <v>000000000010792</v>
          </cell>
        </row>
        <row r="262">
          <cell r="T262" t="str">
            <v>000000000010792</v>
          </cell>
        </row>
        <row r="263">
          <cell r="C263">
            <v>2</v>
          </cell>
          <cell r="T263" t="str">
            <v>000000000010792</v>
          </cell>
        </row>
        <row r="264">
          <cell r="C264" t="str">
            <v>H型ジョイナー端材</v>
          </cell>
          <cell r="T264" t="str">
            <v>000000000010792</v>
          </cell>
        </row>
        <row r="265">
          <cell r="T265" t="str">
            <v>000000000010792</v>
          </cell>
        </row>
        <row r="266">
          <cell r="T266" t="str">
            <v>000000000010792</v>
          </cell>
        </row>
        <row r="267">
          <cell r="C267" t="str">
            <v>灯具カバーPC IN 2060　L=1258.5</v>
          </cell>
          <cell r="T267" t="str">
            <v>000000000010801</v>
          </cell>
        </row>
        <row r="268">
          <cell r="T268" t="str">
            <v>000000000010801</v>
          </cell>
        </row>
        <row r="269">
          <cell r="C269">
            <v>0</v>
          </cell>
          <cell r="T269" t="str">
            <v>000000000010801</v>
          </cell>
        </row>
        <row r="270">
          <cell r="T270" t="str">
            <v>000000000010801</v>
          </cell>
        </row>
        <row r="271">
          <cell r="C271">
            <v>1</v>
          </cell>
          <cell r="T271" t="str">
            <v>000000000010801</v>
          </cell>
        </row>
        <row r="272">
          <cell r="C272" t="str">
            <v>灯具-1　L=1370</v>
          </cell>
          <cell r="T272" t="str">
            <v>000000000010801</v>
          </cell>
        </row>
        <row r="273">
          <cell r="T273" t="str">
            <v>000000000010801</v>
          </cell>
        </row>
        <row r="274">
          <cell r="T274" t="str">
            <v>000000000010801</v>
          </cell>
        </row>
        <row r="275">
          <cell r="C275" t="str">
            <v>灯具カバーPC  　2180    L=1309.5</v>
          </cell>
          <cell r="T275" t="str">
            <v>000000000010795</v>
          </cell>
        </row>
        <row r="276">
          <cell r="T276" t="str">
            <v>000000000010795</v>
          </cell>
        </row>
        <row r="277">
          <cell r="C277">
            <v>0</v>
          </cell>
          <cell r="T277" t="str">
            <v>000000000010795</v>
          </cell>
        </row>
        <row r="278">
          <cell r="T278" t="str">
            <v>000000000010795</v>
          </cell>
        </row>
        <row r="279">
          <cell r="C279">
            <v>1</v>
          </cell>
          <cell r="T279" t="str">
            <v>000000000010795</v>
          </cell>
        </row>
        <row r="280">
          <cell r="C280" t="str">
            <v>H型ジョイナー</v>
          </cell>
          <cell r="T280" t="str">
            <v>000000000010795</v>
          </cell>
        </row>
        <row r="281">
          <cell r="T281" t="str">
            <v>000000000010795</v>
          </cell>
        </row>
        <row r="282">
          <cell r="T282" t="str">
            <v>000000000010795</v>
          </cell>
        </row>
        <row r="283">
          <cell r="C283" t="str">
            <v>灯具カバーPC  　2170    L=1279</v>
          </cell>
          <cell r="T283" t="str">
            <v>000000000010794</v>
          </cell>
        </row>
        <row r="284">
          <cell r="T284" t="str">
            <v>000000000010794</v>
          </cell>
        </row>
        <row r="285">
          <cell r="C285">
            <v>0</v>
          </cell>
          <cell r="T285" t="str">
            <v>000000000010794</v>
          </cell>
        </row>
        <row r="286">
          <cell r="T286" t="str">
            <v>000000000010794</v>
          </cell>
        </row>
        <row r="287">
          <cell r="C287">
            <v>1</v>
          </cell>
          <cell r="T287" t="str">
            <v>000000000010794</v>
          </cell>
        </row>
        <row r="288">
          <cell r="C288" t="str">
            <v>H型ジョイナー</v>
          </cell>
          <cell r="T288" t="str">
            <v>000000000010794</v>
          </cell>
        </row>
        <row r="289">
          <cell r="T289" t="str">
            <v>000000000010794</v>
          </cell>
        </row>
        <row r="290">
          <cell r="T290" t="str">
            <v>000000000010794</v>
          </cell>
        </row>
        <row r="291">
          <cell r="C291" t="str">
            <v>灯具カバーPC IN 2080　L=1540</v>
          </cell>
          <cell r="T291" t="str">
            <v>000000000010802</v>
          </cell>
        </row>
        <row r="292">
          <cell r="T292" t="str">
            <v>000000000010802</v>
          </cell>
        </row>
        <row r="293">
          <cell r="C293">
            <v>0</v>
          </cell>
          <cell r="T293" t="str">
            <v>000000000010802</v>
          </cell>
        </row>
        <row r="294">
          <cell r="T294" t="str">
            <v>000000000010802</v>
          </cell>
        </row>
        <row r="295">
          <cell r="C295">
            <v>1</v>
          </cell>
          <cell r="T295" t="str">
            <v>000000000010802</v>
          </cell>
        </row>
        <row r="296">
          <cell r="C296" t="str">
            <v>灯具-2　L＝1996</v>
          </cell>
          <cell r="T296" t="str">
            <v>000000000010802</v>
          </cell>
        </row>
        <row r="297">
          <cell r="T297" t="str">
            <v>000000000010802</v>
          </cell>
        </row>
        <row r="298">
          <cell r="T298" t="str">
            <v>000000000010802</v>
          </cell>
        </row>
        <row r="299">
          <cell r="C299" t="str">
            <v>8FL281304 5010　L=888</v>
          </cell>
          <cell r="T299" t="str">
            <v>000000000011139</v>
          </cell>
        </row>
        <row r="300">
          <cell r="T300" t="str">
            <v>000000000011139</v>
          </cell>
        </row>
        <row r="301">
          <cell r="C301">
            <v>0</v>
          </cell>
          <cell r="T301" t="str">
            <v>000000000011139</v>
          </cell>
        </row>
        <row r="302">
          <cell r="T302" t="str">
            <v>000000000011139</v>
          </cell>
        </row>
        <row r="303">
          <cell r="C303">
            <v>2</v>
          </cell>
          <cell r="T303" t="str">
            <v>000000000011139</v>
          </cell>
        </row>
        <row r="304">
          <cell r="C304" t="str">
            <v>LED-A888</v>
          </cell>
          <cell r="T304" t="str">
            <v>000000000011139</v>
          </cell>
        </row>
        <row r="305">
          <cell r="T305" t="str">
            <v>000000000011139</v>
          </cell>
        </row>
        <row r="306">
          <cell r="T306" t="str">
            <v>000000000011139</v>
          </cell>
        </row>
        <row r="307">
          <cell r="C307" t="str">
            <v>8FL281304 6110　L=1478</v>
          </cell>
          <cell r="T307" t="str">
            <v>000000000011143</v>
          </cell>
        </row>
        <row r="308">
          <cell r="T308" t="str">
            <v>000000000011143</v>
          </cell>
        </row>
        <row r="309">
          <cell r="C309">
            <v>0</v>
          </cell>
          <cell r="T309" t="str">
            <v>000000000011143</v>
          </cell>
        </row>
        <row r="310">
          <cell r="T310" t="str">
            <v>000000000011143</v>
          </cell>
        </row>
        <row r="311">
          <cell r="C311">
            <v>1</v>
          </cell>
          <cell r="T311" t="str">
            <v>000000000011143</v>
          </cell>
        </row>
        <row r="312">
          <cell r="C312" t="str">
            <v>LED-A1478</v>
          </cell>
          <cell r="T312" t="str">
            <v>000000000011143</v>
          </cell>
        </row>
        <row r="313">
          <cell r="T313" t="str">
            <v>000000000011143</v>
          </cell>
        </row>
        <row r="314">
          <cell r="T314" t="str">
            <v>000000000011143</v>
          </cell>
        </row>
        <row r="315">
          <cell r="C315" t="str">
            <v>8FL281304 5010　L=888</v>
          </cell>
          <cell r="T315" t="str">
            <v>000000000011140</v>
          </cell>
        </row>
        <row r="316">
          <cell r="T316" t="str">
            <v>000000000011140</v>
          </cell>
        </row>
        <row r="317">
          <cell r="C317">
            <v>0</v>
          </cell>
          <cell r="T317" t="str">
            <v>000000000011140</v>
          </cell>
        </row>
        <row r="318">
          <cell r="T318" t="str">
            <v>000000000011140</v>
          </cell>
        </row>
        <row r="319">
          <cell r="C319">
            <v>2</v>
          </cell>
          <cell r="T319" t="str">
            <v>000000000011140</v>
          </cell>
        </row>
        <row r="320">
          <cell r="C320" t="str">
            <v>LED-A888</v>
          </cell>
          <cell r="T320" t="str">
            <v>000000000011140</v>
          </cell>
        </row>
        <row r="321">
          <cell r="T321" t="str">
            <v>000000000011140</v>
          </cell>
        </row>
        <row r="322">
          <cell r="T322" t="str">
            <v>000000000011140</v>
          </cell>
        </row>
        <row r="323">
          <cell r="C323" t="str">
            <v>8FL281304 5010　L=888</v>
          </cell>
          <cell r="T323" t="str">
            <v>000000000011141</v>
          </cell>
        </row>
        <row r="324">
          <cell r="T324" t="str">
            <v>000000000011141</v>
          </cell>
        </row>
        <row r="325">
          <cell r="C325">
            <v>0</v>
          </cell>
          <cell r="T325" t="str">
            <v>000000000011141</v>
          </cell>
        </row>
        <row r="326">
          <cell r="T326" t="str">
            <v>000000000011141</v>
          </cell>
        </row>
        <row r="327">
          <cell r="C327">
            <v>2</v>
          </cell>
          <cell r="T327" t="str">
            <v>000000000011141</v>
          </cell>
        </row>
        <row r="328">
          <cell r="C328" t="str">
            <v>LED-A888</v>
          </cell>
          <cell r="T328" t="str">
            <v>000000000011141</v>
          </cell>
        </row>
        <row r="329">
          <cell r="T329" t="str">
            <v>000000000011141</v>
          </cell>
        </row>
        <row r="330">
          <cell r="T330" t="str">
            <v>000000000011141</v>
          </cell>
        </row>
        <row r="331">
          <cell r="C331" t="str">
            <v>8FL281304 4810　L=297</v>
          </cell>
          <cell r="T331" t="str">
            <v>000000000011133</v>
          </cell>
        </row>
        <row r="332">
          <cell r="T332" t="str">
            <v>000000000011133</v>
          </cell>
        </row>
        <row r="333">
          <cell r="C333">
            <v>0</v>
          </cell>
          <cell r="T333" t="str">
            <v>000000000011133</v>
          </cell>
        </row>
        <row r="334">
          <cell r="T334" t="str">
            <v>000000000011133</v>
          </cell>
        </row>
        <row r="335">
          <cell r="C335">
            <v>6</v>
          </cell>
          <cell r="T335" t="str">
            <v>000000000011133</v>
          </cell>
        </row>
        <row r="336">
          <cell r="C336" t="str">
            <v>LED-A300</v>
          </cell>
          <cell r="T336" t="str">
            <v>000000000011133</v>
          </cell>
        </row>
        <row r="337">
          <cell r="T337" t="str">
            <v>000000000011133</v>
          </cell>
        </row>
        <row r="338">
          <cell r="T338" t="str">
            <v>000000000011133</v>
          </cell>
        </row>
        <row r="339">
          <cell r="C339" t="str">
            <v>8FL281304 4910　L=592</v>
          </cell>
          <cell r="T339" t="str">
            <v>000000000011135</v>
          </cell>
        </row>
        <row r="340">
          <cell r="T340" t="str">
            <v>000000000011135</v>
          </cell>
        </row>
        <row r="341">
          <cell r="C341">
            <v>0</v>
          </cell>
          <cell r="T341" t="str">
            <v>000000000011135</v>
          </cell>
        </row>
        <row r="342">
          <cell r="T342" t="str">
            <v>000000000011135</v>
          </cell>
        </row>
        <row r="343">
          <cell r="C343">
            <v>3</v>
          </cell>
          <cell r="T343" t="str">
            <v>000000000011135</v>
          </cell>
        </row>
        <row r="344">
          <cell r="C344" t="str">
            <v>LED-A592</v>
          </cell>
          <cell r="T344" t="str">
            <v>000000000011135</v>
          </cell>
        </row>
        <row r="345">
          <cell r="T345" t="str">
            <v>000000000011135</v>
          </cell>
        </row>
        <row r="346">
          <cell r="T346" t="str">
            <v>000000000011135</v>
          </cell>
        </row>
        <row r="347">
          <cell r="C347" t="str">
            <v>8FL281304 4910　L=592</v>
          </cell>
          <cell r="T347" t="str">
            <v>000000000011136</v>
          </cell>
        </row>
        <row r="348">
          <cell r="T348" t="str">
            <v>000000000011136</v>
          </cell>
        </row>
        <row r="349">
          <cell r="C349">
            <v>0</v>
          </cell>
          <cell r="T349" t="str">
            <v>000000000011136</v>
          </cell>
        </row>
        <row r="350">
          <cell r="T350" t="str">
            <v>000000000011136</v>
          </cell>
        </row>
        <row r="351">
          <cell r="C351">
            <v>3</v>
          </cell>
          <cell r="T351" t="str">
            <v>000000000011136</v>
          </cell>
        </row>
        <row r="352">
          <cell r="C352" t="str">
            <v>LED-A592</v>
          </cell>
          <cell r="T352" t="str">
            <v>000000000011136</v>
          </cell>
        </row>
        <row r="353">
          <cell r="T353" t="str">
            <v>000000000011136</v>
          </cell>
        </row>
        <row r="354">
          <cell r="T354" t="str">
            <v>000000000011136</v>
          </cell>
        </row>
        <row r="355">
          <cell r="C355" t="str">
            <v>8FL281304 5010　L=888</v>
          </cell>
          <cell r="T355" t="str">
            <v>000000000011142</v>
          </cell>
        </row>
        <row r="356">
          <cell r="T356" t="str">
            <v>000000000011142</v>
          </cell>
        </row>
        <row r="357">
          <cell r="C357">
            <v>0</v>
          </cell>
          <cell r="T357" t="str">
            <v>000000000011142</v>
          </cell>
        </row>
        <row r="358">
          <cell r="T358" t="str">
            <v>000000000011142</v>
          </cell>
        </row>
        <row r="359">
          <cell r="C359">
            <v>2</v>
          </cell>
          <cell r="T359" t="str">
            <v>000000000011142</v>
          </cell>
        </row>
        <row r="360">
          <cell r="C360" t="str">
            <v>LED-A888</v>
          </cell>
          <cell r="T360" t="str">
            <v>000000000011142</v>
          </cell>
        </row>
        <row r="361">
          <cell r="T361" t="str">
            <v>000000000011142</v>
          </cell>
        </row>
        <row r="362">
          <cell r="T362" t="str">
            <v>000000000011142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Sheet2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D3"/>
          <cell r="E3"/>
          <cell r="F3"/>
          <cell r="G3"/>
          <cell r="H3"/>
          <cell r="I3">
            <v>0</v>
          </cell>
          <cell r="J3"/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C4"/>
          <cell r="D4">
            <v>45986</v>
          </cell>
          <cell r="E4" t="str">
            <v>25K09-05</v>
          </cell>
          <cell r="F4">
            <v>20</v>
          </cell>
          <cell r="G4">
            <v>1997</v>
          </cell>
          <cell r="H4">
            <v>1997.2</v>
          </cell>
          <cell r="I4" t="str">
            <v>25K09-05</v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C5">
            <v>504</v>
          </cell>
          <cell r="D5">
            <v>45986</v>
          </cell>
          <cell r="E5" t="str">
            <v>25K09-05</v>
          </cell>
          <cell r="F5">
            <v>20</v>
          </cell>
          <cell r="G5">
            <v>1997</v>
          </cell>
          <cell r="H5">
            <v>1997.2</v>
          </cell>
          <cell r="I5" t="str">
            <v>25K10-06</v>
          </cell>
          <cell r="J5">
            <v>292</v>
          </cell>
          <cell r="K5">
            <v>292</v>
          </cell>
          <cell r="L5"/>
          <cell r="M5"/>
          <cell r="O5">
            <v>592</v>
          </cell>
          <cell r="P5">
            <v>4</v>
          </cell>
          <cell r="T5" t="str">
            <v>000000000009311</v>
          </cell>
        </row>
        <row r="6">
          <cell r="C6"/>
          <cell r="D6">
            <v>45987</v>
          </cell>
          <cell r="E6" t="str">
            <v>25K10-06</v>
          </cell>
          <cell r="F6">
            <v>20</v>
          </cell>
          <cell r="G6">
            <v>1997</v>
          </cell>
          <cell r="H6">
            <v>1997</v>
          </cell>
          <cell r="I6"/>
          <cell r="J6"/>
          <cell r="K6">
            <v>0</v>
          </cell>
          <cell r="L6"/>
          <cell r="M6"/>
          <cell r="O6">
            <v>88</v>
          </cell>
          <cell r="P6"/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1997</v>
          </cell>
          <cell r="H7">
            <v>1997.3</v>
          </cell>
          <cell r="I7"/>
          <cell r="J7"/>
          <cell r="K7">
            <v>0</v>
          </cell>
          <cell r="L7"/>
          <cell r="M7"/>
          <cell r="O7">
            <v>88</v>
          </cell>
          <cell r="P7"/>
          <cell r="T7" t="str">
            <v>000000000009311</v>
          </cell>
        </row>
        <row r="8">
          <cell r="C8" t="str">
            <v>上-1</v>
          </cell>
          <cell r="D8"/>
          <cell r="E8"/>
          <cell r="F8"/>
          <cell r="G8" t="str">
            <v/>
          </cell>
          <cell r="H8"/>
          <cell r="I8"/>
          <cell r="J8"/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P8"/>
          <cell r="T8" t="str">
            <v>000000000009311</v>
          </cell>
        </row>
        <row r="9">
          <cell r="C9">
            <v>12</v>
          </cell>
          <cell r="D9"/>
          <cell r="E9"/>
          <cell r="F9"/>
          <cell r="G9" t="str">
            <v/>
          </cell>
          <cell r="H9"/>
          <cell r="I9"/>
          <cell r="J9"/>
          <cell r="K9">
            <v>0</v>
          </cell>
          <cell r="L9" t="str">
            <v>検査</v>
          </cell>
          <cell r="M9" t="str">
            <v>T</v>
          </cell>
          <cell r="O9"/>
          <cell r="P9"/>
          <cell r="T9" t="str">
            <v>000000000009311</v>
          </cell>
        </row>
        <row r="10">
          <cell r="C10"/>
          <cell r="D10"/>
          <cell r="E10"/>
          <cell r="F10"/>
          <cell r="G10" t="str">
            <v/>
          </cell>
          <cell r="H10"/>
          <cell r="I10"/>
          <cell r="J10"/>
          <cell r="K10">
            <v>0</v>
          </cell>
          <cell r="L10" t="str">
            <v>α端材</v>
          </cell>
          <cell r="M10"/>
          <cell r="O10">
            <v>0</v>
          </cell>
          <cell r="P10">
            <v>88</v>
          </cell>
          <cell r="T10" t="str">
            <v>000000000009311</v>
          </cell>
        </row>
        <row r="11">
          <cell r="C11" t="str">
            <v>GA-770 (特注)BR</v>
          </cell>
          <cell r="D11"/>
          <cell r="E11"/>
          <cell r="F11"/>
          <cell r="G11"/>
          <cell r="H11"/>
          <cell r="I11">
            <v>0</v>
          </cell>
          <cell r="J11"/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P11"/>
          <cell r="T11" t="str">
            <v>000000000009857</v>
          </cell>
        </row>
        <row r="12">
          <cell r="C12"/>
          <cell r="D12">
            <v>45989</v>
          </cell>
          <cell r="E12" t="str">
            <v>22L27B</v>
          </cell>
          <cell r="F12"/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L12"/>
          <cell r="M12"/>
          <cell r="O12">
            <v>6</v>
          </cell>
          <cell r="P12"/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F13"/>
          <cell r="G13" t="str">
            <v/>
          </cell>
          <cell r="H13">
            <v>734.8</v>
          </cell>
          <cell r="I13"/>
          <cell r="J13"/>
          <cell r="K13" t="e">
            <v>#VALUE!</v>
          </cell>
          <cell r="L13"/>
          <cell r="M13"/>
          <cell r="O13">
            <v>3</v>
          </cell>
          <cell r="P13"/>
          <cell r="T13" t="str">
            <v>000000000009857</v>
          </cell>
        </row>
        <row r="14">
          <cell r="C14"/>
          <cell r="D14"/>
          <cell r="E14"/>
          <cell r="F14"/>
          <cell r="G14" t="str">
            <v/>
          </cell>
          <cell r="H14"/>
          <cell r="I14"/>
          <cell r="J14"/>
          <cell r="K14" t="e">
            <v>#VALUE!</v>
          </cell>
          <cell r="L14"/>
          <cell r="M14"/>
          <cell r="O14" t="str">
            <v/>
          </cell>
          <cell r="P14"/>
          <cell r="T14" t="str">
            <v>000000000009857</v>
          </cell>
        </row>
        <row r="15">
          <cell r="C15" t="str">
            <v>図面確認</v>
          </cell>
          <cell r="D15"/>
          <cell r="E15"/>
          <cell r="F15"/>
          <cell r="G15" t="str">
            <v/>
          </cell>
          <cell r="H15"/>
          <cell r="I15"/>
          <cell r="J15"/>
          <cell r="K15" t="e">
            <v>#VALUE!</v>
          </cell>
          <cell r="L15"/>
          <cell r="M15"/>
          <cell r="O15">
            <v>0</v>
          </cell>
          <cell r="P15"/>
          <cell r="T15" t="str">
            <v>000000000009857</v>
          </cell>
        </row>
        <row r="16">
          <cell r="C16" t="str">
            <v>SB-246</v>
          </cell>
          <cell r="D16"/>
          <cell r="E16"/>
          <cell r="F16"/>
          <cell r="G16" t="str">
            <v/>
          </cell>
          <cell r="H16"/>
          <cell r="I16"/>
          <cell r="J16"/>
          <cell r="K16" t="e">
            <v>#VALUE!</v>
          </cell>
          <cell r="L16" t="str">
            <v>切断</v>
          </cell>
          <cell r="M16" t="str">
            <v>M</v>
          </cell>
          <cell r="O16">
            <v>0</v>
          </cell>
          <cell r="P16"/>
          <cell r="T16" t="str">
            <v>000000000009857</v>
          </cell>
        </row>
        <row r="17">
          <cell r="C17">
            <v>1</v>
          </cell>
          <cell r="D17"/>
          <cell r="E17"/>
          <cell r="F17"/>
          <cell r="G17" t="str">
            <v/>
          </cell>
          <cell r="H17"/>
          <cell r="I17"/>
          <cell r="J17"/>
          <cell r="K17" t="e">
            <v>#VALUE!</v>
          </cell>
          <cell r="L17" t="str">
            <v>検査</v>
          </cell>
          <cell r="M17" t="str">
            <v>M</v>
          </cell>
          <cell r="O17"/>
          <cell r="P17"/>
          <cell r="T17" t="str">
            <v>000000000009857</v>
          </cell>
        </row>
        <row r="18">
          <cell r="C18"/>
          <cell r="D18"/>
          <cell r="E18"/>
          <cell r="F18"/>
          <cell r="G18" t="str">
            <v/>
          </cell>
          <cell r="H18"/>
          <cell r="I18"/>
          <cell r="J18"/>
          <cell r="K18" t="e">
            <v>#VALUE!</v>
          </cell>
          <cell r="L18" t="str">
            <v>α端材</v>
          </cell>
          <cell r="M18"/>
          <cell r="O18">
            <v>0</v>
          </cell>
          <cell r="P18">
            <v>0</v>
          </cell>
          <cell r="T18" t="str">
            <v>000000000009857</v>
          </cell>
        </row>
        <row r="19">
          <cell r="C19" t="str">
            <v>8FL281304 5010　L=888</v>
          </cell>
          <cell r="D19">
            <v>45987</v>
          </cell>
          <cell r="E19" t="str">
            <v>25J23-09</v>
          </cell>
          <cell r="F19"/>
          <cell r="G19"/>
          <cell r="H19"/>
          <cell r="I19" t="str">
            <v>25J23-09</v>
          </cell>
          <cell r="J19">
            <v>2</v>
          </cell>
          <cell r="K19">
            <v>1</v>
          </cell>
          <cell r="L19">
            <v>45989</v>
          </cell>
          <cell r="M19">
            <v>3</v>
          </cell>
          <cell r="O19">
            <v>45993</v>
          </cell>
          <cell r="P19">
            <v>9</v>
          </cell>
          <cell r="T19" t="str">
            <v>000000000009234</v>
          </cell>
        </row>
        <row r="20">
          <cell r="C20"/>
          <cell r="D20">
            <v>45988</v>
          </cell>
          <cell r="E20" t="str">
            <v>25J23-09</v>
          </cell>
          <cell r="F20">
            <v>20</v>
          </cell>
          <cell r="G20">
            <v>1478</v>
          </cell>
          <cell r="H20">
            <v>888.14</v>
          </cell>
          <cell r="I20" t="str">
            <v>25J23-09</v>
          </cell>
          <cell r="J20">
            <v>712</v>
          </cell>
          <cell r="K20">
            <v>356</v>
          </cell>
          <cell r="L20">
            <v>45992</v>
          </cell>
          <cell r="M20">
            <v>10</v>
          </cell>
          <cell r="O20">
            <v>2000</v>
          </cell>
          <cell r="P20"/>
          <cell r="T20" t="str">
            <v>000000000009234</v>
          </cell>
        </row>
        <row r="21">
          <cell r="C21">
            <v>2000</v>
          </cell>
          <cell r="D21">
            <v>45988</v>
          </cell>
          <cell r="E21" t="str">
            <v>25J23-09</v>
          </cell>
          <cell r="F21">
            <v>18</v>
          </cell>
          <cell r="G21">
            <v>1477.81</v>
          </cell>
          <cell r="H21">
            <v>888.17</v>
          </cell>
          <cell r="I21" t="str">
            <v>25J23-10</v>
          </cell>
          <cell r="J21">
            <v>1298</v>
          </cell>
          <cell r="K21">
            <v>649</v>
          </cell>
          <cell r="L21">
            <v>45993</v>
          </cell>
          <cell r="M21">
            <v>7</v>
          </cell>
          <cell r="O21">
            <v>2012</v>
          </cell>
          <cell r="P21">
            <v>2</v>
          </cell>
          <cell r="T21" t="str">
            <v>000000000009234</v>
          </cell>
        </row>
        <row r="22">
          <cell r="C22"/>
          <cell r="D22">
            <v>45989</v>
          </cell>
          <cell r="E22" t="str">
            <v>25J23-09</v>
          </cell>
          <cell r="F22">
            <v>20</v>
          </cell>
          <cell r="G22">
            <v>1478</v>
          </cell>
          <cell r="H22">
            <v>888.22</v>
          </cell>
          <cell r="I22"/>
          <cell r="J22"/>
          <cell r="K22">
            <v>0</v>
          </cell>
          <cell r="L22"/>
          <cell r="M22"/>
          <cell r="O22">
            <v>12</v>
          </cell>
          <cell r="P22"/>
          <cell r="T22" t="str">
            <v>000000000009234</v>
          </cell>
        </row>
        <row r="23">
          <cell r="C23">
            <v>2</v>
          </cell>
          <cell r="D23">
            <v>45989</v>
          </cell>
          <cell r="E23" t="str">
            <v>25J23-10</v>
          </cell>
          <cell r="F23">
            <v>20</v>
          </cell>
          <cell r="G23">
            <v>1478</v>
          </cell>
          <cell r="H23">
            <v>888.21</v>
          </cell>
          <cell r="I23"/>
          <cell r="J23"/>
          <cell r="K23">
            <v>0</v>
          </cell>
          <cell r="L23"/>
          <cell r="M23"/>
          <cell r="O23">
            <v>12</v>
          </cell>
          <cell r="P23"/>
          <cell r="T23" t="str">
            <v>000000000009234</v>
          </cell>
        </row>
        <row r="24">
          <cell r="C24" t="str">
            <v>LED-A888</v>
          </cell>
          <cell r="D24">
            <v>45989</v>
          </cell>
          <cell r="E24" t="str">
            <v>25J23-10</v>
          </cell>
          <cell r="F24">
            <v>20</v>
          </cell>
          <cell r="G24">
            <v>1478</v>
          </cell>
          <cell r="H24">
            <v>888.19</v>
          </cell>
          <cell r="I24"/>
          <cell r="J24"/>
          <cell r="K24">
            <v>0</v>
          </cell>
          <cell r="L24" t="str">
            <v>切断</v>
          </cell>
          <cell r="M24" t="str">
            <v>m</v>
          </cell>
          <cell r="O24">
            <v>1</v>
          </cell>
          <cell r="P24"/>
          <cell r="T24" t="str">
            <v>000000000009234</v>
          </cell>
        </row>
        <row r="25">
          <cell r="C25">
            <v>3</v>
          </cell>
          <cell r="D25">
            <v>45992</v>
          </cell>
          <cell r="E25" t="str">
            <v>25J23-10</v>
          </cell>
          <cell r="F25">
            <v>22</v>
          </cell>
          <cell r="G25">
            <v>1478.19</v>
          </cell>
          <cell r="H25">
            <v>888.18</v>
          </cell>
          <cell r="I25"/>
          <cell r="J25"/>
          <cell r="K25">
            <v>0</v>
          </cell>
          <cell r="L25" t="str">
            <v>検査</v>
          </cell>
          <cell r="M25" t="str">
            <v>t</v>
          </cell>
          <cell r="O25"/>
          <cell r="P25">
            <v>1</v>
          </cell>
          <cell r="T25" t="str">
            <v>000000000009234</v>
          </cell>
        </row>
        <row r="26">
          <cell r="C26"/>
          <cell r="D26">
            <v>45992</v>
          </cell>
          <cell r="E26" t="str">
            <v>25J23-10</v>
          </cell>
          <cell r="F26">
            <v>22</v>
          </cell>
          <cell r="G26">
            <v>1478.19</v>
          </cell>
          <cell r="H26">
            <v>888.1</v>
          </cell>
          <cell r="I26"/>
          <cell r="J26"/>
          <cell r="K26">
            <v>0</v>
          </cell>
          <cell r="L26" t="str">
            <v>α端材</v>
          </cell>
          <cell r="M26"/>
          <cell r="O26">
            <v>1</v>
          </cell>
          <cell r="P26">
            <v>12</v>
          </cell>
          <cell r="T26" t="str">
            <v>000000000009234</v>
          </cell>
        </row>
        <row r="27">
          <cell r="C27" t="str">
            <v>8FL281304 6110　L=1478</v>
          </cell>
          <cell r="D27">
            <v>45978</v>
          </cell>
          <cell r="E27" t="str">
            <v>25J21-07</v>
          </cell>
          <cell r="F27"/>
          <cell r="G27"/>
          <cell r="H27"/>
          <cell r="I27" t="str">
            <v>25J21-07</v>
          </cell>
          <cell r="J27">
            <v>5</v>
          </cell>
          <cell r="K27">
            <v>5</v>
          </cell>
          <cell r="L27">
            <v>45989</v>
          </cell>
          <cell r="M27">
            <v>3</v>
          </cell>
          <cell r="O27">
            <v>45989</v>
          </cell>
          <cell r="P27">
            <v>3</v>
          </cell>
          <cell r="T27" t="str">
            <v>000000000009237</v>
          </cell>
        </row>
        <row r="28">
          <cell r="C28"/>
          <cell r="D28">
            <v>45988</v>
          </cell>
          <cell r="E28" t="str">
            <v>25J23-09</v>
          </cell>
          <cell r="F28">
            <v>20</v>
          </cell>
          <cell r="G28">
            <v>888</v>
          </cell>
          <cell r="H28">
            <v>1478.18</v>
          </cell>
          <cell r="I28" t="str">
            <v>25J23-09</v>
          </cell>
          <cell r="J28">
            <v>300</v>
          </cell>
          <cell r="K28">
            <v>300</v>
          </cell>
          <cell r="L28"/>
          <cell r="M28"/>
          <cell r="O28">
            <v>300</v>
          </cell>
          <cell r="P28"/>
          <cell r="T28" t="str">
            <v>000000000009237</v>
          </cell>
        </row>
        <row r="29">
          <cell r="C29">
            <v>300</v>
          </cell>
          <cell r="D29">
            <v>45988</v>
          </cell>
          <cell r="E29" t="str">
            <v>25J23-09</v>
          </cell>
          <cell r="F29">
            <v>20</v>
          </cell>
          <cell r="G29">
            <v>888</v>
          </cell>
          <cell r="H29">
            <v>1478.23</v>
          </cell>
          <cell r="I29"/>
          <cell r="J29"/>
          <cell r="K29">
            <v>0</v>
          </cell>
          <cell r="L29"/>
          <cell r="M29"/>
          <cell r="O29">
            <v>153</v>
          </cell>
          <cell r="P29">
            <v>1</v>
          </cell>
          <cell r="T29" t="str">
            <v>000000000009237</v>
          </cell>
        </row>
        <row r="30">
          <cell r="C30"/>
          <cell r="D30"/>
          <cell r="E30"/>
          <cell r="F30"/>
          <cell r="G30" t="str">
            <v/>
          </cell>
          <cell r="H30"/>
          <cell r="I30"/>
          <cell r="J30"/>
          <cell r="K30">
            <v>0</v>
          </cell>
          <cell r="L30"/>
          <cell r="M30"/>
          <cell r="O30">
            <v>3</v>
          </cell>
          <cell r="P30"/>
          <cell r="T30" t="str">
            <v>000000000009237</v>
          </cell>
        </row>
        <row r="31">
          <cell r="C31">
            <v>1</v>
          </cell>
          <cell r="D31"/>
          <cell r="E31"/>
          <cell r="F31"/>
          <cell r="G31" t="str">
            <v/>
          </cell>
          <cell r="H31"/>
          <cell r="I31"/>
          <cell r="J31"/>
          <cell r="K31">
            <v>0</v>
          </cell>
          <cell r="L31"/>
          <cell r="M31"/>
          <cell r="O31">
            <v>5</v>
          </cell>
          <cell r="P31"/>
          <cell r="T31" t="str">
            <v>000000000009237</v>
          </cell>
        </row>
        <row r="32">
          <cell r="C32" t="str">
            <v>LED-A1478</v>
          </cell>
          <cell r="D32"/>
          <cell r="E32"/>
          <cell r="F32"/>
          <cell r="G32" t="str">
            <v/>
          </cell>
          <cell r="H32"/>
          <cell r="I32"/>
          <cell r="J32"/>
          <cell r="K32">
            <v>0</v>
          </cell>
          <cell r="L32" t="str">
            <v>切断</v>
          </cell>
          <cell r="M32" t="str">
            <v>m</v>
          </cell>
          <cell r="O32">
            <v>-5</v>
          </cell>
          <cell r="P32"/>
          <cell r="T32" t="str">
            <v>000000000009237</v>
          </cell>
        </row>
        <row r="33">
          <cell r="C33">
            <v>20</v>
          </cell>
          <cell r="D33"/>
          <cell r="E33"/>
          <cell r="F33"/>
          <cell r="G33" t="str">
            <v/>
          </cell>
          <cell r="H33"/>
          <cell r="I33"/>
          <cell r="J33"/>
          <cell r="K33">
            <v>0</v>
          </cell>
          <cell r="L33" t="str">
            <v>検査</v>
          </cell>
          <cell r="M33" t="str">
            <v>t</v>
          </cell>
          <cell r="O33"/>
          <cell r="P33">
            <v>1</v>
          </cell>
          <cell r="T33" t="str">
            <v>000000000009237</v>
          </cell>
        </row>
        <row r="34">
          <cell r="C34"/>
          <cell r="D34"/>
          <cell r="E34"/>
          <cell r="F34"/>
          <cell r="G34" t="str">
            <v/>
          </cell>
          <cell r="H34"/>
          <cell r="I34"/>
          <cell r="J34"/>
          <cell r="K34">
            <v>0</v>
          </cell>
          <cell r="L34" t="str">
            <v>α端材</v>
          </cell>
          <cell r="M34"/>
          <cell r="O34">
            <v>-5</v>
          </cell>
          <cell r="P34">
            <v>5</v>
          </cell>
          <cell r="T34" t="str">
            <v>000000000009237</v>
          </cell>
        </row>
        <row r="35">
          <cell r="C35" t="str">
            <v>8FL281304 4910　L=592</v>
          </cell>
          <cell r="D35">
            <v>45967</v>
          </cell>
          <cell r="E35" t="str">
            <v>25J20-06</v>
          </cell>
          <cell r="F35"/>
          <cell r="G35"/>
          <cell r="H35"/>
          <cell r="I35" t="str">
            <v>25J20-06</v>
          </cell>
          <cell r="J35">
            <v>6</v>
          </cell>
          <cell r="K35">
            <v>2</v>
          </cell>
          <cell r="L35">
            <v>45994</v>
          </cell>
          <cell r="M35">
            <v>3</v>
          </cell>
          <cell r="O35">
            <v>45994</v>
          </cell>
          <cell r="P35"/>
          <cell r="T35" t="str">
            <v>000000000009231</v>
          </cell>
        </row>
        <row r="36">
          <cell r="C36"/>
          <cell r="D36">
            <v>45992</v>
          </cell>
          <cell r="E36" t="str">
            <v>25J23-10</v>
          </cell>
          <cell r="F36">
            <v>20</v>
          </cell>
          <cell r="G36">
            <v>591.5</v>
          </cell>
          <cell r="H36">
            <v>591.6</v>
          </cell>
          <cell r="I36" t="str">
            <v>25J23-10</v>
          </cell>
          <cell r="J36">
            <v>295</v>
          </cell>
          <cell r="K36">
            <v>99</v>
          </cell>
          <cell r="L36"/>
          <cell r="M36"/>
          <cell r="O36">
            <v>300</v>
          </cell>
          <cell r="P36"/>
          <cell r="T36" t="str">
            <v>000000000009231</v>
          </cell>
        </row>
        <row r="37">
          <cell r="C37">
            <v>300</v>
          </cell>
          <cell r="D37">
            <v>45992</v>
          </cell>
          <cell r="E37" t="str">
            <v>25J23-10</v>
          </cell>
          <cell r="F37">
            <v>20</v>
          </cell>
          <cell r="G37">
            <v>591.5</v>
          </cell>
          <cell r="H37">
            <v>591.71</v>
          </cell>
          <cell r="I37"/>
          <cell r="J37"/>
          <cell r="K37">
            <v>0</v>
          </cell>
          <cell r="L37"/>
          <cell r="M37"/>
          <cell r="O37">
            <v>101</v>
          </cell>
          <cell r="P37"/>
          <cell r="T37" t="str">
            <v>000000000009231</v>
          </cell>
        </row>
        <row r="38">
          <cell r="C38"/>
          <cell r="D38">
            <v>45993</v>
          </cell>
          <cell r="E38" t="str">
            <v>25J23-10</v>
          </cell>
          <cell r="F38">
            <v>20</v>
          </cell>
          <cell r="G38">
            <v>591.5</v>
          </cell>
          <cell r="H38">
            <v>591.44000000000005</v>
          </cell>
          <cell r="I38"/>
          <cell r="J38"/>
          <cell r="K38">
            <v>0</v>
          </cell>
          <cell r="L38"/>
          <cell r="M38"/>
          <cell r="O38">
            <v>1</v>
          </cell>
          <cell r="P38"/>
          <cell r="T38" t="str">
            <v>000000000009231</v>
          </cell>
        </row>
        <row r="39">
          <cell r="C39">
            <v>3</v>
          </cell>
          <cell r="D39">
            <v>45993</v>
          </cell>
          <cell r="E39" t="str">
            <v>25J23-10</v>
          </cell>
          <cell r="F39">
            <v>20</v>
          </cell>
          <cell r="G39">
            <v>591.5</v>
          </cell>
          <cell r="H39">
            <v>591.44000000000005</v>
          </cell>
          <cell r="I39"/>
          <cell r="J39"/>
          <cell r="K39">
            <v>0</v>
          </cell>
          <cell r="L39"/>
          <cell r="M39"/>
          <cell r="O39">
            <v>1</v>
          </cell>
          <cell r="P39"/>
          <cell r="T39" t="str">
            <v>000000000009231</v>
          </cell>
        </row>
        <row r="40">
          <cell r="C40" t="str">
            <v>LED-A592</v>
          </cell>
          <cell r="D40"/>
          <cell r="E40"/>
          <cell r="F40"/>
          <cell r="G40" t="str">
            <v/>
          </cell>
          <cell r="H40"/>
          <cell r="I40"/>
          <cell r="J40"/>
          <cell r="K40">
            <v>0</v>
          </cell>
          <cell r="L40" t="str">
            <v>切断</v>
          </cell>
          <cell r="M40" t="str">
            <v>m</v>
          </cell>
          <cell r="O40">
            <v>0</v>
          </cell>
          <cell r="P40"/>
          <cell r="T40" t="str">
            <v>000000000009231</v>
          </cell>
        </row>
        <row r="41">
          <cell r="C41">
            <v>3</v>
          </cell>
          <cell r="D41"/>
          <cell r="E41"/>
          <cell r="F41"/>
          <cell r="G41" t="str">
            <v/>
          </cell>
          <cell r="H41"/>
          <cell r="I41"/>
          <cell r="J41"/>
          <cell r="K41">
            <v>0</v>
          </cell>
          <cell r="L41" t="str">
            <v>検査</v>
          </cell>
          <cell r="M41" t="str">
            <v>t</v>
          </cell>
          <cell r="O41"/>
          <cell r="P41">
            <v>1</v>
          </cell>
          <cell r="T41" t="str">
            <v>000000000009231</v>
          </cell>
        </row>
        <row r="42">
          <cell r="C42"/>
          <cell r="D42"/>
          <cell r="E42"/>
          <cell r="F42"/>
          <cell r="G42" t="str">
            <v/>
          </cell>
          <cell r="H42"/>
          <cell r="I42"/>
          <cell r="J42"/>
          <cell r="K42">
            <v>0</v>
          </cell>
          <cell r="L42" t="str">
            <v>α端材</v>
          </cell>
          <cell r="M42"/>
          <cell r="O42">
            <v>0</v>
          </cell>
          <cell r="P42">
            <v>1</v>
          </cell>
          <cell r="T42" t="str">
            <v>000000000009231</v>
          </cell>
        </row>
        <row r="43">
          <cell r="C43" t="str">
            <v>8FL281304 4810　L=297</v>
          </cell>
          <cell r="D43">
            <v>45967</v>
          </cell>
          <cell r="E43" t="str">
            <v>25J20-06</v>
          </cell>
          <cell r="F43"/>
          <cell r="G43"/>
          <cell r="H43"/>
          <cell r="I43" t="str">
            <v xml:space="preserve"> </v>
          </cell>
          <cell r="J43">
            <v>18</v>
          </cell>
          <cell r="K43">
            <v>3</v>
          </cell>
          <cell r="L43">
            <v>45994</v>
          </cell>
          <cell r="M43">
            <v>3</v>
          </cell>
          <cell r="O43">
            <v>45994</v>
          </cell>
          <cell r="P43">
            <v>1</v>
          </cell>
          <cell r="T43" t="str">
            <v>000000000009230</v>
          </cell>
        </row>
        <row r="44">
          <cell r="C44"/>
          <cell r="D44">
            <v>45993</v>
          </cell>
          <cell r="E44" t="str">
            <v>25J23-10</v>
          </cell>
          <cell r="F44">
            <v>20</v>
          </cell>
          <cell r="G44">
            <v>297</v>
          </cell>
          <cell r="H44">
            <v>297.02999999999997</v>
          </cell>
          <cell r="I44" t="str">
            <v>25J23-10</v>
          </cell>
          <cell r="J44">
            <v>286</v>
          </cell>
          <cell r="K44">
            <v>48</v>
          </cell>
          <cell r="L44"/>
          <cell r="M44"/>
          <cell r="O44">
            <v>300</v>
          </cell>
          <cell r="P44"/>
          <cell r="T44" t="str">
            <v>000000000009230</v>
          </cell>
        </row>
        <row r="45">
          <cell r="C45">
            <v>300</v>
          </cell>
          <cell r="D45">
            <v>45993</v>
          </cell>
          <cell r="E45" t="str">
            <v>25J23-10</v>
          </cell>
          <cell r="F45">
            <v>20</v>
          </cell>
          <cell r="G45">
            <v>297</v>
          </cell>
          <cell r="H45">
            <v>297.19</v>
          </cell>
          <cell r="I45"/>
          <cell r="J45"/>
          <cell r="K45">
            <v>0</v>
          </cell>
          <cell r="L45"/>
          <cell r="M45"/>
          <cell r="O45">
            <v>51</v>
          </cell>
          <cell r="P45"/>
          <cell r="T45" t="str">
            <v>000000000009230</v>
          </cell>
        </row>
        <row r="46">
          <cell r="C46"/>
          <cell r="D46"/>
          <cell r="E46"/>
          <cell r="F46"/>
          <cell r="G46" t="str">
            <v/>
          </cell>
          <cell r="H46"/>
          <cell r="I46"/>
          <cell r="J46"/>
          <cell r="K46">
            <v>0</v>
          </cell>
          <cell r="L46"/>
          <cell r="M46"/>
          <cell r="O46">
            <v>1</v>
          </cell>
          <cell r="P46"/>
          <cell r="T46" t="str">
            <v>000000000009230</v>
          </cell>
        </row>
        <row r="47">
          <cell r="C47">
            <v>6</v>
          </cell>
          <cell r="D47"/>
          <cell r="E47"/>
          <cell r="F47"/>
          <cell r="G47" t="str">
            <v/>
          </cell>
          <cell r="H47"/>
          <cell r="I47"/>
          <cell r="J47"/>
          <cell r="K47">
            <v>0</v>
          </cell>
          <cell r="L47"/>
          <cell r="M47"/>
          <cell r="O47">
            <v>4</v>
          </cell>
          <cell r="P47"/>
          <cell r="T47" t="str">
            <v>000000000009230</v>
          </cell>
        </row>
        <row r="48">
          <cell r="C48" t="str">
            <v>LED-A300</v>
          </cell>
          <cell r="D48"/>
          <cell r="E48"/>
          <cell r="F48"/>
          <cell r="G48" t="str">
            <v/>
          </cell>
          <cell r="H48"/>
          <cell r="I48"/>
          <cell r="J48"/>
          <cell r="K48">
            <v>0</v>
          </cell>
          <cell r="L48" t="str">
            <v>切断</v>
          </cell>
          <cell r="M48" t="str">
            <v>m</v>
          </cell>
          <cell r="O48">
            <v>116</v>
          </cell>
          <cell r="P48"/>
          <cell r="T48" t="str">
            <v>000000000009230</v>
          </cell>
        </row>
        <row r="49">
          <cell r="C49">
            <v>3</v>
          </cell>
          <cell r="D49"/>
          <cell r="E49"/>
          <cell r="F49"/>
          <cell r="G49" t="str">
            <v/>
          </cell>
          <cell r="H49"/>
          <cell r="I49"/>
          <cell r="J49"/>
          <cell r="K49">
            <v>0</v>
          </cell>
          <cell r="L49" t="str">
            <v>検査</v>
          </cell>
          <cell r="M49" t="str">
            <v>t</v>
          </cell>
          <cell r="O49"/>
          <cell r="P49">
            <v>3</v>
          </cell>
          <cell r="T49" t="str">
            <v>000000000009230</v>
          </cell>
        </row>
        <row r="50">
          <cell r="C50"/>
          <cell r="D50"/>
          <cell r="E50"/>
          <cell r="F50"/>
          <cell r="G50" t="str">
            <v/>
          </cell>
          <cell r="H50"/>
          <cell r="I50"/>
          <cell r="J50"/>
          <cell r="K50">
            <v>0</v>
          </cell>
          <cell r="L50" t="str">
            <v>α端材</v>
          </cell>
          <cell r="M50"/>
          <cell r="O50">
            <v>0</v>
          </cell>
          <cell r="P50">
            <v>4</v>
          </cell>
          <cell r="T50" t="str">
            <v>000000000009230</v>
          </cell>
        </row>
        <row r="51">
          <cell r="C51" t="str">
            <v>ランプシェード　SL-600</v>
          </cell>
          <cell r="D51"/>
          <cell r="E51"/>
          <cell r="F51"/>
          <cell r="G51"/>
          <cell r="H51"/>
          <cell r="I51">
            <v>0</v>
          </cell>
          <cell r="J51"/>
          <cell r="K51">
            <v>0</v>
          </cell>
          <cell r="L51">
            <v>45995</v>
          </cell>
          <cell r="M51">
            <v>2</v>
          </cell>
          <cell r="O51">
            <v>45996</v>
          </cell>
          <cell r="P51"/>
          <cell r="T51" t="str">
            <v>000000000008890</v>
          </cell>
        </row>
        <row r="52">
          <cell r="C52"/>
          <cell r="D52">
            <v>45994</v>
          </cell>
          <cell r="E52" t="str">
            <v>25K20B　69</v>
          </cell>
          <cell r="F52">
            <v>24</v>
          </cell>
          <cell r="G52">
            <v>554.1</v>
          </cell>
          <cell r="H52">
            <v>554.30999999999995</v>
          </cell>
          <cell r="I52" t="str">
            <v>25K20B　69</v>
          </cell>
          <cell r="J52">
            <v>300</v>
          </cell>
          <cell r="K52">
            <v>150</v>
          </cell>
          <cell r="L52">
            <v>45996</v>
          </cell>
          <cell r="M52">
            <v>2</v>
          </cell>
          <cell r="O52">
            <v>1311</v>
          </cell>
          <cell r="P52">
            <v>1</v>
          </cell>
          <cell r="T52" t="str">
            <v>000000000008890</v>
          </cell>
        </row>
        <row r="53">
          <cell r="C53">
            <v>1200</v>
          </cell>
          <cell r="D53">
            <v>45994</v>
          </cell>
          <cell r="E53" t="str">
            <v>25K20B　69</v>
          </cell>
          <cell r="F53">
            <v>20</v>
          </cell>
          <cell r="G53">
            <v>554</v>
          </cell>
          <cell r="H53">
            <v>554.23</v>
          </cell>
          <cell r="I53" t="str">
            <v>25K20B　70</v>
          </cell>
          <cell r="J53">
            <v>300</v>
          </cell>
          <cell r="K53">
            <v>150</v>
          </cell>
          <cell r="L53"/>
          <cell r="M53"/>
          <cell r="O53">
            <v>656</v>
          </cell>
          <cell r="P53"/>
          <cell r="T53" t="str">
            <v>000000000008890</v>
          </cell>
        </row>
        <row r="54">
          <cell r="C54"/>
          <cell r="D54">
            <v>45994</v>
          </cell>
          <cell r="E54" t="str">
            <v>25K20B　70</v>
          </cell>
          <cell r="F54">
            <v>20</v>
          </cell>
          <cell r="G54">
            <v>554</v>
          </cell>
          <cell r="H54">
            <v>554.30999999999995</v>
          </cell>
          <cell r="I54" t="str">
            <v>25K20B　71</v>
          </cell>
          <cell r="J54">
            <v>300</v>
          </cell>
          <cell r="K54">
            <v>150</v>
          </cell>
          <cell r="L54"/>
          <cell r="M54"/>
          <cell r="O54">
            <v>1</v>
          </cell>
          <cell r="P54"/>
          <cell r="T54" t="str">
            <v>000000000008890</v>
          </cell>
        </row>
        <row r="55">
          <cell r="C55">
            <v>2</v>
          </cell>
          <cell r="D55">
            <v>45994</v>
          </cell>
          <cell r="E55" t="str">
            <v>25K20B　71</v>
          </cell>
          <cell r="F55">
            <v>20</v>
          </cell>
          <cell r="G55">
            <v>554</v>
          </cell>
          <cell r="H55">
            <v>554.29999999999995</v>
          </cell>
          <cell r="I55" t="str">
            <v>25K20B　72</v>
          </cell>
          <cell r="J55">
            <v>300</v>
          </cell>
          <cell r="K55">
            <v>150</v>
          </cell>
          <cell r="L55"/>
          <cell r="M55"/>
          <cell r="O55">
            <v>1</v>
          </cell>
          <cell r="P55"/>
          <cell r="T55" t="str">
            <v>000000000008890</v>
          </cell>
        </row>
        <row r="56">
          <cell r="C56"/>
          <cell r="D56">
            <v>45994</v>
          </cell>
          <cell r="E56" t="str">
            <v>25K20B　72</v>
          </cell>
          <cell r="F56">
            <v>18</v>
          </cell>
          <cell r="G56">
            <v>553.9</v>
          </cell>
          <cell r="H56">
            <v>554.26</v>
          </cell>
          <cell r="I56" t="str">
            <v>25K20B　68</v>
          </cell>
          <cell r="J56">
            <v>112</v>
          </cell>
          <cell r="K56">
            <v>56</v>
          </cell>
          <cell r="L56" t="str">
            <v>切断</v>
          </cell>
          <cell r="M56" t="str">
            <v>c/m</v>
          </cell>
          <cell r="O56">
            <v>0</v>
          </cell>
          <cell r="P56"/>
          <cell r="T56" t="str">
            <v>000000000008890</v>
          </cell>
        </row>
        <row r="57">
          <cell r="C57">
            <v>4</v>
          </cell>
          <cell r="D57">
            <v>45996</v>
          </cell>
          <cell r="E57" t="str">
            <v>25K20B　68</v>
          </cell>
          <cell r="F57">
            <v>16</v>
          </cell>
          <cell r="G57">
            <v>553.9</v>
          </cell>
          <cell r="H57">
            <v>554.26</v>
          </cell>
          <cell r="I57"/>
          <cell r="J57"/>
          <cell r="K57">
            <v>0</v>
          </cell>
          <cell r="L57" t="str">
            <v>検査</v>
          </cell>
          <cell r="M57" t="str">
            <v>t</v>
          </cell>
          <cell r="O57"/>
          <cell r="P57"/>
          <cell r="T57" t="str">
            <v>000000000008890</v>
          </cell>
        </row>
        <row r="58">
          <cell r="C58"/>
          <cell r="D58">
            <v>45996</v>
          </cell>
          <cell r="E58" t="str">
            <v>25K20B　68</v>
          </cell>
          <cell r="F58">
            <v>18</v>
          </cell>
          <cell r="G58">
            <v>553.9</v>
          </cell>
          <cell r="H58">
            <v>554.1</v>
          </cell>
          <cell r="I58"/>
          <cell r="J58"/>
          <cell r="K58">
            <v>0</v>
          </cell>
          <cell r="L58" t="str">
            <v>α端材</v>
          </cell>
          <cell r="M58"/>
          <cell r="O58">
            <v>0</v>
          </cell>
          <cell r="P58">
            <v>1</v>
          </cell>
          <cell r="T58" t="str">
            <v>000000000008890</v>
          </cell>
        </row>
        <row r="59">
          <cell r="C59" t="str">
            <v>照明ｶﾊﾞｰS15　L=550</v>
          </cell>
          <cell r="D59"/>
          <cell r="E59"/>
          <cell r="F59"/>
          <cell r="G59"/>
          <cell r="H59"/>
          <cell r="I59">
            <v>0</v>
          </cell>
          <cell r="J59"/>
          <cell r="K59">
            <v>0</v>
          </cell>
          <cell r="L59">
            <v>45993</v>
          </cell>
          <cell r="M59">
            <v>10</v>
          </cell>
          <cell r="O59">
            <v>45993</v>
          </cell>
          <cell r="P59"/>
          <cell r="T59" t="str">
            <v>000000000009943</v>
          </cell>
        </row>
        <row r="60">
          <cell r="C60"/>
          <cell r="D60">
            <v>45993</v>
          </cell>
          <cell r="E60" t="str">
            <v>25A17A</v>
          </cell>
          <cell r="F60">
            <v>20</v>
          </cell>
          <cell r="G60">
            <v>550</v>
          </cell>
          <cell r="H60">
            <v>549.9</v>
          </cell>
          <cell r="I60" t="str">
            <v>25A17A</v>
          </cell>
          <cell r="J60">
            <v>480</v>
          </cell>
          <cell r="K60">
            <v>160</v>
          </cell>
          <cell r="L60"/>
          <cell r="M60"/>
          <cell r="O60">
            <v>500</v>
          </cell>
          <cell r="P60"/>
          <cell r="T60" t="str">
            <v>000000000009943</v>
          </cell>
        </row>
        <row r="61">
          <cell r="C61">
            <v>500</v>
          </cell>
          <cell r="D61">
            <v>45993</v>
          </cell>
          <cell r="E61" t="str">
            <v>004H19</v>
          </cell>
          <cell r="F61">
            <v>18</v>
          </cell>
          <cell r="G61">
            <v>549.9</v>
          </cell>
          <cell r="H61">
            <v>549.9</v>
          </cell>
          <cell r="I61" t="str">
            <v>004H19</v>
          </cell>
          <cell r="J61">
            <v>20</v>
          </cell>
          <cell r="K61">
            <v>7</v>
          </cell>
          <cell r="L61"/>
          <cell r="M61"/>
          <cell r="O61">
            <v>167</v>
          </cell>
          <cell r="P61"/>
          <cell r="T61" t="str">
            <v>000000000009943</v>
          </cell>
        </row>
        <row r="62">
          <cell r="C62"/>
          <cell r="D62"/>
          <cell r="E62"/>
          <cell r="F62"/>
          <cell r="G62" t="str">
            <v/>
          </cell>
          <cell r="H62"/>
          <cell r="I62"/>
          <cell r="J62"/>
          <cell r="K62">
            <v>0</v>
          </cell>
          <cell r="L62"/>
          <cell r="M62"/>
          <cell r="O62">
            <v>0</v>
          </cell>
          <cell r="P62"/>
          <cell r="T62" t="str">
            <v>000000000009943</v>
          </cell>
        </row>
        <row r="63">
          <cell r="C63">
            <v>3</v>
          </cell>
          <cell r="D63"/>
          <cell r="E63"/>
          <cell r="F63"/>
          <cell r="G63" t="str">
            <v/>
          </cell>
          <cell r="H63"/>
          <cell r="I63"/>
          <cell r="J63"/>
          <cell r="K63">
            <v>0</v>
          </cell>
          <cell r="L63"/>
          <cell r="M63"/>
          <cell r="O63">
            <v>0</v>
          </cell>
          <cell r="P63"/>
          <cell r="T63" t="str">
            <v>000000000009943</v>
          </cell>
        </row>
        <row r="64">
          <cell r="C64" t="str">
            <v>基材梱包箱</v>
          </cell>
          <cell r="D64"/>
          <cell r="E64"/>
          <cell r="F64"/>
          <cell r="G64" t="str">
            <v/>
          </cell>
          <cell r="H64"/>
          <cell r="I64"/>
          <cell r="J64"/>
          <cell r="K64">
            <v>0</v>
          </cell>
          <cell r="L64" t="str">
            <v>切断</v>
          </cell>
          <cell r="M64" t="str">
            <v>m</v>
          </cell>
          <cell r="O64">
            <v>0</v>
          </cell>
          <cell r="P64"/>
          <cell r="T64" t="str">
            <v>000000000009943</v>
          </cell>
        </row>
        <row r="65">
          <cell r="C65">
            <v>30</v>
          </cell>
          <cell r="D65"/>
          <cell r="E65"/>
          <cell r="F65"/>
          <cell r="G65" t="str">
            <v/>
          </cell>
          <cell r="H65"/>
          <cell r="I65"/>
          <cell r="J65"/>
          <cell r="K65">
            <v>0</v>
          </cell>
          <cell r="L65" t="str">
            <v>検査</v>
          </cell>
          <cell r="M65" t="str">
            <v>m</v>
          </cell>
          <cell r="O65"/>
          <cell r="P65"/>
          <cell r="T65" t="str">
            <v>000000000009943</v>
          </cell>
        </row>
        <row r="66">
          <cell r="C66"/>
          <cell r="D66"/>
          <cell r="E66"/>
          <cell r="F66"/>
          <cell r="G66" t="str">
            <v/>
          </cell>
          <cell r="H66"/>
          <cell r="I66"/>
          <cell r="J66"/>
          <cell r="K66">
            <v>0</v>
          </cell>
          <cell r="L66" t="str">
            <v>α端材</v>
          </cell>
          <cell r="M66"/>
          <cell r="O66">
            <v>0</v>
          </cell>
          <cell r="P66">
            <v>0</v>
          </cell>
          <cell r="T66" t="str">
            <v>000000000009943</v>
          </cell>
        </row>
        <row r="67">
          <cell r="C67" t="str">
            <v>灯具カバーPC IN 2100　L=1923</v>
          </cell>
          <cell r="D67">
            <v>45940</v>
          </cell>
          <cell r="E67" t="str">
            <v>25I26-01</v>
          </cell>
          <cell r="F67"/>
          <cell r="G67"/>
          <cell r="H67"/>
          <cell r="I67" t="str">
            <v>25I26-01</v>
          </cell>
          <cell r="J67">
            <v>9</v>
          </cell>
          <cell r="K67">
            <v>9</v>
          </cell>
          <cell r="L67">
            <v>45999</v>
          </cell>
          <cell r="M67">
            <v>12</v>
          </cell>
          <cell r="O67">
            <v>45999</v>
          </cell>
          <cell r="P67">
            <v>17</v>
          </cell>
          <cell r="T67" t="str">
            <v>000000000009642</v>
          </cell>
        </row>
        <row r="68">
          <cell r="C68"/>
          <cell r="D68">
            <v>45999</v>
          </cell>
          <cell r="E68" t="str">
            <v>25L03-01</v>
          </cell>
          <cell r="F68"/>
          <cell r="G68" t="str">
            <v/>
          </cell>
          <cell r="H68"/>
          <cell r="I68" t="str">
            <v>25L03-01</v>
          </cell>
          <cell r="J68">
            <v>200</v>
          </cell>
          <cell r="K68">
            <v>200</v>
          </cell>
          <cell r="L68"/>
          <cell r="M68"/>
          <cell r="O68">
            <v>192</v>
          </cell>
          <cell r="P68"/>
          <cell r="T68" t="str">
            <v>000000000009642</v>
          </cell>
        </row>
        <row r="69">
          <cell r="C69">
            <v>192</v>
          </cell>
          <cell r="D69"/>
          <cell r="E69"/>
          <cell r="F69"/>
          <cell r="G69" t="str">
            <v/>
          </cell>
          <cell r="H69"/>
          <cell r="I69"/>
          <cell r="J69"/>
          <cell r="K69">
            <v>0</v>
          </cell>
          <cell r="L69"/>
          <cell r="M69"/>
          <cell r="O69">
            <v>209</v>
          </cell>
          <cell r="P69"/>
          <cell r="T69" t="str">
            <v>000000000009642</v>
          </cell>
        </row>
        <row r="70">
          <cell r="C70"/>
          <cell r="D70"/>
          <cell r="E70"/>
          <cell r="F70"/>
          <cell r="G70" t="str">
            <v/>
          </cell>
          <cell r="H70"/>
          <cell r="I70"/>
          <cell r="J70"/>
          <cell r="K70">
            <v>0</v>
          </cell>
          <cell r="L70"/>
          <cell r="M70"/>
          <cell r="O70">
            <v>17</v>
          </cell>
          <cell r="P70"/>
          <cell r="T70" t="str">
            <v>000000000009642</v>
          </cell>
        </row>
        <row r="71">
          <cell r="C71">
            <v>1</v>
          </cell>
          <cell r="D71"/>
          <cell r="E71"/>
          <cell r="F71"/>
          <cell r="G71" t="str">
            <v/>
          </cell>
          <cell r="H71"/>
          <cell r="I71"/>
          <cell r="J71"/>
          <cell r="K71">
            <v>0</v>
          </cell>
          <cell r="L71"/>
          <cell r="M71"/>
          <cell r="O71">
            <v>17</v>
          </cell>
          <cell r="P71"/>
          <cell r="T71" t="str">
            <v>000000000009642</v>
          </cell>
        </row>
        <row r="72">
          <cell r="C72" t="str">
            <v>灯具-2　L＝1996</v>
          </cell>
          <cell r="D72"/>
          <cell r="E72"/>
          <cell r="F72"/>
          <cell r="G72" t="str">
            <v/>
          </cell>
          <cell r="H72"/>
          <cell r="I72"/>
          <cell r="J72"/>
          <cell r="K72">
            <v>0</v>
          </cell>
          <cell r="L72" t="str">
            <v>切断</v>
          </cell>
          <cell r="M72" t="str">
            <v>-</v>
          </cell>
          <cell r="O72">
            <v>0</v>
          </cell>
          <cell r="P72"/>
          <cell r="T72" t="str">
            <v>000000000009642</v>
          </cell>
        </row>
        <row r="73">
          <cell r="C73">
            <v>12</v>
          </cell>
          <cell r="D73"/>
          <cell r="E73"/>
          <cell r="F73"/>
          <cell r="G73" t="str">
            <v/>
          </cell>
          <cell r="H73"/>
          <cell r="I73"/>
          <cell r="J73"/>
          <cell r="K73">
            <v>0</v>
          </cell>
          <cell r="L73" t="str">
            <v>検査</v>
          </cell>
          <cell r="M73" t="str">
            <v>t</v>
          </cell>
          <cell r="O73"/>
          <cell r="P73"/>
          <cell r="T73" t="str">
            <v>000000000009642</v>
          </cell>
        </row>
        <row r="74">
          <cell r="C74"/>
          <cell r="D74"/>
          <cell r="E74"/>
          <cell r="F74"/>
          <cell r="G74" t="str">
            <v/>
          </cell>
          <cell r="H74"/>
          <cell r="I74"/>
          <cell r="J74"/>
          <cell r="K74">
            <v>0</v>
          </cell>
          <cell r="L74" t="str">
            <v>α端材</v>
          </cell>
          <cell r="M74"/>
          <cell r="O74">
            <v>0</v>
          </cell>
          <cell r="P74">
            <v>17</v>
          </cell>
          <cell r="T74" t="str">
            <v>000000000009642</v>
          </cell>
        </row>
        <row r="75">
          <cell r="C75" t="str">
            <v>灯具カバーPC IN 2110　L=1815</v>
          </cell>
          <cell r="D75">
            <v>45980</v>
          </cell>
          <cell r="E75" t="str">
            <v>25I28-02</v>
          </cell>
          <cell r="F75"/>
          <cell r="G75"/>
          <cell r="H75"/>
          <cell r="I75" t="str">
            <v>25I28-02</v>
          </cell>
          <cell r="J75">
            <v>11</v>
          </cell>
          <cell r="K75">
            <v>11</v>
          </cell>
          <cell r="L75">
            <v>46000</v>
          </cell>
          <cell r="M75">
            <v>10</v>
          </cell>
          <cell r="O75">
            <v>46000</v>
          </cell>
          <cell r="P75">
            <v>46</v>
          </cell>
          <cell r="T75" t="str">
            <v>000000000009641-1</v>
          </cell>
        </row>
        <row r="76">
          <cell r="C76"/>
          <cell r="D76">
            <v>46000</v>
          </cell>
          <cell r="E76" t="str">
            <v>25L04-01</v>
          </cell>
          <cell r="F76"/>
          <cell r="G76" t="str">
            <v/>
          </cell>
          <cell r="H76"/>
          <cell r="I76" t="str">
            <v>25L04-01</v>
          </cell>
          <cell r="J76">
            <v>196</v>
          </cell>
          <cell r="K76">
            <v>196</v>
          </cell>
          <cell r="L76"/>
          <cell r="M76"/>
          <cell r="O76">
            <v>160</v>
          </cell>
          <cell r="P76"/>
          <cell r="T76" t="str">
            <v>000000000009641-1</v>
          </cell>
        </row>
        <row r="77">
          <cell r="C77">
            <v>160</v>
          </cell>
          <cell r="D77"/>
          <cell r="E77"/>
          <cell r="F77"/>
          <cell r="G77" t="str">
            <v/>
          </cell>
          <cell r="H77"/>
          <cell r="I77"/>
          <cell r="J77"/>
          <cell r="K77">
            <v>0</v>
          </cell>
          <cell r="L77"/>
          <cell r="M77"/>
          <cell r="O77">
            <v>207</v>
          </cell>
          <cell r="P77">
            <v>1</v>
          </cell>
          <cell r="T77" t="str">
            <v>000000000009641-1</v>
          </cell>
        </row>
        <row r="78">
          <cell r="C78"/>
          <cell r="D78"/>
          <cell r="E78"/>
          <cell r="F78"/>
          <cell r="G78" t="str">
            <v/>
          </cell>
          <cell r="H78"/>
          <cell r="I78"/>
          <cell r="J78"/>
          <cell r="K78">
            <v>0</v>
          </cell>
          <cell r="L78"/>
          <cell r="M78"/>
          <cell r="O78">
            <v>47</v>
          </cell>
          <cell r="P78"/>
          <cell r="T78" t="str">
            <v>000000000009641-1</v>
          </cell>
        </row>
        <row r="79">
          <cell r="C79">
            <v>1</v>
          </cell>
          <cell r="D79"/>
          <cell r="E79"/>
          <cell r="F79"/>
          <cell r="G79" t="str">
            <v/>
          </cell>
          <cell r="H79"/>
          <cell r="I79"/>
          <cell r="J79"/>
          <cell r="K79">
            <v>0</v>
          </cell>
          <cell r="L79"/>
          <cell r="M79"/>
          <cell r="O79">
            <v>47</v>
          </cell>
          <cell r="P79"/>
          <cell r="T79" t="str">
            <v>000000000009641-1</v>
          </cell>
        </row>
        <row r="80">
          <cell r="C80" t="str">
            <v>灯具-2　L＝1996</v>
          </cell>
          <cell r="D80"/>
          <cell r="E80"/>
          <cell r="F80"/>
          <cell r="G80" t="str">
            <v/>
          </cell>
          <cell r="H80"/>
          <cell r="I80"/>
          <cell r="J80"/>
          <cell r="K80">
            <v>0</v>
          </cell>
          <cell r="L80" t="str">
            <v>切断</v>
          </cell>
          <cell r="M80" t="str">
            <v>-</v>
          </cell>
          <cell r="O80">
            <v>0</v>
          </cell>
          <cell r="P80"/>
          <cell r="T80" t="str">
            <v>000000000009641-1</v>
          </cell>
        </row>
        <row r="81">
          <cell r="C81">
            <v>10</v>
          </cell>
          <cell r="D81"/>
          <cell r="E81"/>
          <cell r="F81"/>
          <cell r="G81" t="str">
            <v/>
          </cell>
          <cell r="H81"/>
          <cell r="I81"/>
          <cell r="J81"/>
          <cell r="K81">
            <v>0</v>
          </cell>
          <cell r="L81" t="str">
            <v>検査</v>
          </cell>
          <cell r="M81" t="str">
            <v>t</v>
          </cell>
          <cell r="O81"/>
          <cell r="P81"/>
          <cell r="T81" t="str">
            <v>000000000009641-1</v>
          </cell>
        </row>
        <row r="82">
          <cell r="C82"/>
          <cell r="D82"/>
          <cell r="E82"/>
          <cell r="F82"/>
          <cell r="G82" t="str">
            <v/>
          </cell>
          <cell r="H82"/>
          <cell r="I82"/>
          <cell r="J82"/>
          <cell r="K82">
            <v>0</v>
          </cell>
          <cell r="L82" t="str">
            <v>α端材</v>
          </cell>
          <cell r="M82"/>
          <cell r="O82">
            <v>0</v>
          </cell>
          <cell r="P82">
            <v>47</v>
          </cell>
          <cell r="T82" t="str">
            <v>000000000009641-1</v>
          </cell>
        </row>
        <row r="83">
          <cell r="C83" t="str">
            <v>灯具カバーPC IN 2060　L=1258.5</v>
          </cell>
          <cell r="D83"/>
          <cell r="E83"/>
          <cell r="F83"/>
          <cell r="G83"/>
          <cell r="H83"/>
          <cell r="I83">
            <v>0</v>
          </cell>
          <cell r="J83"/>
          <cell r="K83">
            <v>0</v>
          </cell>
          <cell r="L83">
            <v>46001</v>
          </cell>
          <cell r="M83">
            <v>10</v>
          </cell>
          <cell r="O83">
            <v>46001</v>
          </cell>
          <cell r="P83">
            <v>16</v>
          </cell>
          <cell r="T83" t="str">
            <v>000000000009639</v>
          </cell>
        </row>
        <row r="84">
          <cell r="C84"/>
          <cell r="D84">
            <v>46001</v>
          </cell>
          <cell r="E84" t="str">
            <v>25L02-01</v>
          </cell>
          <cell r="F84"/>
          <cell r="G84" t="str">
            <v/>
          </cell>
          <cell r="H84"/>
          <cell r="I84" t="str">
            <v>25L02-01</v>
          </cell>
          <cell r="J84">
            <v>191</v>
          </cell>
          <cell r="K84">
            <v>191</v>
          </cell>
          <cell r="L84"/>
          <cell r="M84"/>
          <cell r="O84">
            <v>160</v>
          </cell>
          <cell r="P84">
            <v>8</v>
          </cell>
          <cell r="T84" t="str">
            <v>000000000009639</v>
          </cell>
        </row>
        <row r="85">
          <cell r="C85">
            <v>160</v>
          </cell>
          <cell r="D85"/>
          <cell r="E85"/>
          <cell r="F85"/>
          <cell r="G85" t="str">
            <v/>
          </cell>
          <cell r="H85"/>
          <cell r="I85"/>
          <cell r="J85"/>
          <cell r="K85">
            <v>0</v>
          </cell>
          <cell r="L85"/>
          <cell r="M85"/>
          <cell r="O85">
            <v>191</v>
          </cell>
          <cell r="P85">
            <v>7</v>
          </cell>
          <cell r="T85" t="str">
            <v>000000000009639</v>
          </cell>
        </row>
        <row r="86">
          <cell r="C86"/>
          <cell r="D86"/>
          <cell r="E86"/>
          <cell r="F86"/>
          <cell r="G86" t="str">
            <v/>
          </cell>
          <cell r="H86"/>
          <cell r="I86"/>
          <cell r="J86"/>
          <cell r="K86">
            <v>0</v>
          </cell>
          <cell r="L86"/>
          <cell r="M86"/>
          <cell r="O86">
            <v>31</v>
          </cell>
          <cell r="P86"/>
          <cell r="T86" t="str">
            <v>000000000009639</v>
          </cell>
        </row>
        <row r="87">
          <cell r="C87">
            <v>1</v>
          </cell>
          <cell r="D87"/>
          <cell r="E87"/>
          <cell r="F87"/>
          <cell r="G87" t="str">
            <v/>
          </cell>
          <cell r="H87"/>
          <cell r="I87"/>
          <cell r="J87"/>
          <cell r="K87">
            <v>0</v>
          </cell>
          <cell r="L87"/>
          <cell r="M87"/>
          <cell r="O87">
            <v>31</v>
          </cell>
          <cell r="P87"/>
          <cell r="T87" t="str">
            <v>000000000009639</v>
          </cell>
        </row>
        <row r="88">
          <cell r="C88" t="str">
            <v>灯具-1　L=1370</v>
          </cell>
          <cell r="D88"/>
          <cell r="E88"/>
          <cell r="F88"/>
          <cell r="G88" t="str">
            <v/>
          </cell>
          <cell r="H88"/>
          <cell r="I88"/>
          <cell r="J88"/>
          <cell r="K88">
            <v>0</v>
          </cell>
          <cell r="L88" t="str">
            <v>切断</v>
          </cell>
          <cell r="M88" t="str">
            <v>-</v>
          </cell>
          <cell r="O88">
            <v>0</v>
          </cell>
          <cell r="P88"/>
          <cell r="T88" t="str">
            <v>000000000009639</v>
          </cell>
        </row>
        <row r="89">
          <cell r="C89">
            <v>10</v>
          </cell>
          <cell r="D89"/>
          <cell r="E89"/>
          <cell r="F89"/>
          <cell r="G89" t="str">
            <v/>
          </cell>
          <cell r="H89"/>
          <cell r="I89"/>
          <cell r="J89"/>
          <cell r="K89">
            <v>0</v>
          </cell>
          <cell r="L89" t="str">
            <v>検査</v>
          </cell>
          <cell r="M89" t="str">
            <v>t</v>
          </cell>
          <cell r="O89"/>
          <cell r="P89"/>
          <cell r="T89" t="str">
            <v>000000000009639</v>
          </cell>
        </row>
        <row r="90">
          <cell r="C90"/>
          <cell r="D90"/>
          <cell r="E90"/>
          <cell r="F90"/>
          <cell r="G90" t="str">
            <v/>
          </cell>
          <cell r="H90"/>
          <cell r="I90"/>
          <cell r="J90"/>
          <cell r="K90">
            <v>0</v>
          </cell>
          <cell r="L90" t="str">
            <v>α端材</v>
          </cell>
          <cell r="M90"/>
          <cell r="O90">
            <v>0</v>
          </cell>
          <cell r="P90">
            <v>31</v>
          </cell>
          <cell r="T90" t="str">
            <v>000000000009639</v>
          </cell>
        </row>
        <row r="91">
          <cell r="C91" t="str">
            <v>灯具カバーPC IN 2110　L=1815</v>
          </cell>
          <cell r="D91">
            <v>46000</v>
          </cell>
          <cell r="E91" t="str">
            <v>25L04-01</v>
          </cell>
          <cell r="F91"/>
          <cell r="G91"/>
          <cell r="H91"/>
          <cell r="I91" t="str">
            <v>25L04-01</v>
          </cell>
          <cell r="J91">
            <v>4</v>
          </cell>
          <cell r="K91">
            <v>4</v>
          </cell>
          <cell r="L91">
            <v>46002</v>
          </cell>
          <cell r="M91">
            <v>7</v>
          </cell>
          <cell r="O91">
            <v>46002</v>
          </cell>
          <cell r="P91">
            <v>65</v>
          </cell>
          <cell r="T91" t="str">
            <v>000000000009641-2</v>
          </cell>
        </row>
        <row r="92">
          <cell r="C92"/>
          <cell r="D92">
            <v>46002</v>
          </cell>
          <cell r="E92" t="str">
            <v>25L05-02</v>
          </cell>
          <cell r="F92"/>
          <cell r="G92" t="str">
            <v/>
          </cell>
          <cell r="H92"/>
          <cell r="I92" t="str">
            <v>25L05-02</v>
          </cell>
          <cell r="J92">
            <v>175</v>
          </cell>
          <cell r="K92">
            <v>175</v>
          </cell>
          <cell r="L92"/>
          <cell r="M92"/>
          <cell r="O92">
            <v>112</v>
          </cell>
          <cell r="P92"/>
          <cell r="T92" t="str">
            <v>000000000009641-2</v>
          </cell>
        </row>
        <row r="93">
          <cell r="C93">
            <v>112</v>
          </cell>
          <cell r="D93"/>
          <cell r="E93"/>
          <cell r="F93"/>
          <cell r="G93" t="str">
            <v/>
          </cell>
          <cell r="H93"/>
          <cell r="I93"/>
          <cell r="J93"/>
          <cell r="K93">
            <v>0</v>
          </cell>
          <cell r="L93"/>
          <cell r="M93"/>
          <cell r="O93">
            <v>179</v>
          </cell>
          <cell r="P93"/>
          <cell r="T93" t="str">
            <v>000000000009641-2</v>
          </cell>
        </row>
        <row r="94">
          <cell r="C94"/>
          <cell r="D94"/>
          <cell r="E94"/>
          <cell r="F94"/>
          <cell r="G94" t="str">
            <v/>
          </cell>
          <cell r="H94"/>
          <cell r="I94"/>
          <cell r="J94"/>
          <cell r="K94">
            <v>0</v>
          </cell>
          <cell r="L94"/>
          <cell r="M94"/>
          <cell r="O94">
            <v>67</v>
          </cell>
          <cell r="P94">
            <v>1</v>
          </cell>
          <cell r="T94" t="str">
            <v>000000000009641-2</v>
          </cell>
        </row>
        <row r="95">
          <cell r="C95">
            <v>1</v>
          </cell>
          <cell r="D95"/>
          <cell r="E95"/>
          <cell r="F95"/>
          <cell r="G95" t="str">
            <v/>
          </cell>
          <cell r="H95"/>
          <cell r="I95"/>
          <cell r="J95"/>
          <cell r="K95">
            <v>0</v>
          </cell>
          <cell r="L95"/>
          <cell r="M95"/>
          <cell r="O95">
            <v>67</v>
          </cell>
          <cell r="P95"/>
          <cell r="T95" t="str">
            <v>000000000009641-2</v>
          </cell>
        </row>
        <row r="96">
          <cell r="C96" t="str">
            <v>灯具-2　L＝1996</v>
          </cell>
          <cell r="D96"/>
          <cell r="E96"/>
          <cell r="F96"/>
          <cell r="G96" t="str">
            <v/>
          </cell>
          <cell r="H96"/>
          <cell r="I96"/>
          <cell r="J96"/>
          <cell r="K96">
            <v>0</v>
          </cell>
          <cell r="L96" t="str">
            <v>切断</v>
          </cell>
          <cell r="M96" t="str">
            <v>-</v>
          </cell>
          <cell r="O96">
            <v>0</v>
          </cell>
          <cell r="P96"/>
          <cell r="T96" t="str">
            <v>000000000009641-2</v>
          </cell>
        </row>
        <row r="97">
          <cell r="C97">
            <v>7</v>
          </cell>
          <cell r="D97"/>
          <cell r="E97"/>
          <cell r="F97"/>
          <cell r="G97" t="str">
            <v/>
          </cell>
          <cell r="H97"/>
          <cell r="I97"/>
          <cell r="J97"/>
          <cell r="K97">
            <v>0</v>
          </cell>
          <cell r="L97" t="str">
            <v>検査</v>
          </cell>
          <cell r="M97" t="str">
            <v>t</v>
          </cell>
          <cell r="O97"/>
          <cell r="P97">
            <v>1</v>
          </cell>
          <cell r="T97" t="str">
            <v>000000000009641-2</v>
          </cell>
        </row>
        <row r="98">
          <cell r="C98"/>
          <cell r="D98"/>
          <cell r="E98"/>
          <cell r="F98"/>
          <cell r="G98" t="str">
            <v/>
          </cell>
          <cell r="H98"/>
          <cell r="I98"/>
          <cell r="J98"/>
          <cell r="K98">
            <v>0</v>
          </cell>
          <cell r="L98" t="str">
            <v>α端材</v>
          </cell>
          <cell r="M98"/>
          <cell r="O98">
            <v>0</v>
          </cell>
          <cell r="P98">
            <v>67</v>
          </cell>
          <cell r="T98" t="str">
            <v>000000000009641-2</v>
          </cell>
        </row>
        <row r="99">
          <cell r="C99" t="str">
            <v>灯具カバーPC IN 2090　L=840</v>
          </cell>
          <cell r="D99">
            <v>45988</v>
          </cell>
          <cell r="E99" t="str">
            <v>25J25-01</v>
          </cell>
          <cell r="F99"/>
          <cell r="G99"/>
          <cell r="H99"/>
          <cell r="I99" t="str">
            <v>25J25-01</v>
          </cell>
          <cell r="J99">
            <v>4</v>
          </cell>
          <cell r="K99">
            <v>4</v>
          </cell>
          <cell r="L99">
            <v>46003</v>
          </cell>
          <cell r="M99">
            <v>6</v>
          </cell>
          <cell r="O99">
            <v>46006</v>
          </cell>
          <cell r="P99">
            <v>8</v>
          </cell>
          <cell r="T99" t="str">
            <v>000000000009636</v>
          </cell>
        </row>
        <row r="100">
          <cell r="C100"/>
          <cell r="D100">
            <v>46003</v>
          </cell>
          <cell r="E100" t="str">
            <v>25L05-01</v>
          </cell>
          <cell r="F100"/>
          <cell r="G100" t="str">
            <v/>
          </cell>
          <cell r="H100"/>
          <cell r="I100" t="str">
            <v>25L05-01</v>
          </cell>
          <cell r="J100">
            <v>197</v>
          </cell>
          <cell r="K100">
            <v>197</v>
          </cell>
          <cell r="L100">
            <v>46006</v>
          </cell>
          <cell r="M100">
            <v>6</v>
          </cell>
          <cell r="O100">
            <v>192</v>
          </cell>
          <cell r="P100">
            <v>1</v>
          </cell>
          <cell r="T100" t="str">
            <v>000000000009636</v>
          </cell>
        </row>
        <row r="101">
          <cell r="C101">
            <v>192</v>
          </cell>
          <cell r="D101">
            <v>46006</v>
          </cell>
          <cell r="E101" t="str">
            <v>25L05-01</v>
          </cell>
          <cell r="F101"/>
          <cell r="G101" t="str">
            <v/>
          </cell>
          <cell r="H101"/>
          <cell r="I101"/>
          <cell r="J101"/>
          <cell r="K101">
            <v>0</v>
          </cell>
          <cell r="L101"/>
          <cell r="M101"/>
          <cell r="O101">
            <v>201</v>
          </cell>
          <cell r="P101"/>
          <cell r="T101" t="str">
            <v>000000000009636</v>
          </cell>
        </row>
        <row r="102">
          <cell r="C102"/>
          <cell r="D102"/>
          <cell r="E102"/>
          <cell r="F102"/>
          <cell r="G102" t="str">
            <v/>
          </cell>
          <cell r="H102"/>
          <cell r="I102"/>
          <cell r="J102"/>
          <cell r="K102">
            <v>0</v>
          </cell>
          <cell r="L102"/>
          <cell r="M102"/>
          <cell r="O102">
            <v>9</v>
          </cell>
          <cell r="P102"/>
          <cell r="T102" t="str">
            <v>000000000009636</v>
          </cell>
        </row>
        <row r="103">
          <cell r="C103">
            <v>1</v>
          </cell>
          <cell r="D103"/>
          <cell r="E103"/>
          <cell r="F103"/>
          <cell r="G103" t="str">
            <v/>
          </cell>
          <cell r="H103"/>
          <cell r="I103"/>
          <cell r="J103"/>
          <cell r="K103">
            <v>0</v>
          </cell>
          <cell r="L103"/>
          <cell r="M103"/>
          <cell r="O103">
            <v>9</v>
          </cell>
          <cell r="P103"/>
          <cell r="T103" t="str">
            <v>000000000009636</v>
          </cell>
        </row>
        <row r="104">
          <cell r="C104" t="str">
            <v>灯具-3　L=970</v>
          </cell>
          <cell r="D104"/>
          <cell r="E104"/>
          <cell r="F104"/>
          <cell r="G104" t="str">
            <v/>
          </cell>
          <cell r="H104"/>
          <cell r="I104"/>
          <cell r="J104"/>
          <cell r="K104">
            <v>0</v>
          </cell>
          <cell r="L104" t="str">
            <v>切断</v>
          </cell>
          <cell r="M104" t="str">
            <v>-</v>
          </cell>
          <cell r="O104">
            <v>0</v>
          </cell>
          <cell r="P104"/>
          <cell r="T104" t="str">
            <v>000000000009636</v>
          </cell>
        </row>
        <row r="105">
          <cell r="C105">
            <v>12</v>
          </cell>
          <cell r="D105"/>
          <cell r="E105"/>
          <cell r="F105"/>
          <cell r="G105" t="str">
            <v/>
          </cell>
          <cell r="H105"/>
          <cell r="I105"/>
          <cell r="J105"/>
          <cell r="K105">
            <v>0</v>
          </cell>
          <cell r="L105" t="str">
            <v>検査</v>
          </cell>
          <cell r="M105" t="str">
            <v>t</v>
          </cell>
          <cell r="O105"/>
          <cell r="P105"/>
          <cell r="T105" t="str">
            <v>000000000009636</v>
          </cell>
        </row>
        <row r="106">
          <cell r="C106"/>
          <cell r="D106"/>
          <cell r="E106"/>
          <cell r="F106"/>
          <cell r="G106" t="str">
            <v/>
          </cell>
          <cell r="H106"/>
          <cell r="I106"/>
          <cell r="J106"/>
          <cell r="K106">
            <v>0</v>
          </cell>
          <cell r="L106" t="str">
            <v>α端材</v>
          </cell>
          <cell r="M106"/>
          <cell r="O106">
            <v>0</v>
          </cell>
          <cell r="P106">
            <v>9</v>
          </cell>
          <cell r="T106" t="str">
            <v>000000000009636</v>
          </cell>
        </row>
        <row r="107">
          <cell r="C107" t="str">
            <v>灯具カバーPC IN 2130　L=908</v>
          </cell>
          <cell r="D107">
            <v>45968</v>
          </cell>
          <cell r="E107" t="str">
            <v>25J25-02</v>
          </cell>
          <cell r="F107"/>
          <cell r="G107"/>
          <cell r="H107"/>
          <cell r="I107" t="str">
            <v>25J25-02</v>
          </cell>
          <cell r="J107">
            <v>13</v>
          </cell>
          <cell r="K107">
            <v>13</v>
          </cell>
          <cell r="L107">
            <v>46006</v>
          </cell>
          <cell r="M107">
            <v>12</v>
          </cell>
          <cell r="O107">
            <v>46006</v>
          </cell>
          <cell r="P107">
            <v>13</v>
          </cell>
          <cell r="T107" t="str">
            <v>000000000009637</v>
          </cell>
        </row>
        <row r="108">
          <cell r="C108"/>
          <cell r="D108">
            <v>46006</v>
          </cell>
          <cell r="E108" t="str">
            <v>25L05-01</v>
          </cell>
          <cell r="F108"/>
          <cell r="G108" t="str">
            <v/>
          </cell>
          <cell r="H108"/>
          <cell r="I108" t="str">
            <v>25L05-01</v>
          </cell>
          <cell r="J108">
            <v>194</v>
          </cell>
          <cell r="K108">
            <v>194</v>
          </cell>
          <cell r="L108"/>
          <cell r="M108"/>
          <cell r="O108">
            <v>192</v>
          </cell>
          <cell r="P108">
            <v>2</v>
          </cell>
          <cell r="T108" t="str">
            <v>000000000009637</v>
          </cell>
        </row>
        <row r="109">
          <cell r="C109">
            <v>192</v>
          </cell>
          <cell r="D109"/>
          <cell r="E109"/>
          <cell r="F109"/>
          <cell r="G109" t="str">
            <v/>
          </cell>
          <cell r="H109"/>
          <cell r="I109"/>
          <cell r="J109"/>
          <cell r="K109">
            <v>0</v>
          </cell>
          <cell r="L109"/>
          <cell r="M109"/>
          <cell r="O109">
            <v>207</v>
          </cell>
          <cell r="P109"/>
          <cell r="T109" t="str">
            <v>000000000009637</v>
          </cell>
        </row>
        <row r="110">
          <cell r="C110"/>
          <cell r="D110"/>
          <cell r="E110"/>
          <cell r="F110"/>
          <cell r="G110" t="str">
            <v/>
          </cell>
          <cell r="H110"/>
          <cell r="I110"/>
          <cell r="J110"/>
          <cell r="K110">
            <v>0</v>
          </cell>
          <cell r="L110"/>
          <cell r="M110"/>
          <cell r="O110">
            <v>15</v>
          </cell>
          <cell r="P110"/>
          <cell r="T110" t="str">
            <v>000000000009637</v>
          </cell>
        </row>
        <row r="111">
          <cell r="C111">
            <v>1</v>
          </cell>
          <cell r="D111"/>
          <cell r="E111"/>
          <cell r="F111"/>
          <cell r="G111" t="str">
            <v/>
          </cell>
          <cell r="H111"/>
          <cell r="I111"/>
          <cell r="J111"/>
          <cell r="K111">
            <v>0</v>
          </cell>
          <cell r="L111"/>
          <cell r="M111"/>
          <cell r="O111">
            <v>15</v>
          </cell>
          <cell r="P111"/>
          <cell r="T111" t="str">
            <v>000000000009637</v>
          </cell>
        </row>
        <row r="112">
          <cell r="C112" t="str">
            <v>灯具-3　L=970</v>
          </cell>
          <cell r="D112"/>
          <cell r="E112"/>
          <cell r="F112"/>
          <cell r="G112" t="str">
            <v/>
          </cell>
          <cell r="H112"/>
          <cell r="I112"/>
          <cell r="J112"/>
          <cell r="K112">
            <v>0</v>
          </cell>
          <cell r="L112" t="str">
            <v>切断</v>
          </cell>
          <cell r="M112" t="str">
            <v>-</v>
          </cell>
          <cell r="O112">
            <v>0</v>
          </cell>
          <cell r="P112"/>
          <cell r="T112" t="str">
            <v>000000000009637</v>
          </cell>
        </row>
        <row r="113">
          <cell r="C113">
            <v>12</v>
          </cell>
          <cell r="D113"/>
          <cell r="E113"/>
          <cell r="F113"/>
          <cell r="G113" t="str">
            <v/>
          </cell>
          <cell r="H113"/>
          <cell r="I113"/>
          <cell r="J113"/>
          <cell r="K113">
            <v>0</v>
          </cell>
          <cell r="L113" t="str">
            <v>検査</v>
          </cell>
          <cell r="M113" t="str">
            <v>t</v>
          </cell>
          <cell r="O113"/>
          <cell r="P113"/>
          <cell r="T113" t="str">
            <v>000000000009637</v>
          </cell>
        </row>
        <row r="114">
          <cell r="C114"/>
          <cell r="D114"/>
          <cell r="E114"/>
          <cell r="F114"/>
          <cell r="G114" t="str">
            <v/>
          </cell>
          <cell r="H114"/>
          <cell r="I114"/>
          <cell r="J114"/>
          <cell r="K114">
            <v>0</v>
          </cell>
          <cell r="L114" t="str">
            <v>α端材</v>
          </cell>
          <cell r="M114"/>
          <cell r="O114">
            <v>0</v>
          </cell>
          <cell r="P114">
            <v>15</v>
          </cell>
          <cell r="T114" t="str">
            <v>000000000009637</v>
          </cell>
        </row>
        <row r="115">
          <cell r="C115" t="str">
            <v>灯具カバーPC IN 2070　L=1966</v>
          </cell>
          <cell r="D115">
            <v>45978</v>
          </cell>
          <cell r="E115" t="str">
            <v>25J25-01</v>
          </cell>
          <cell r="F115"/>
          <cell r="G115"/>
          <cell r="H115"/>
          <cell r="I115" t="str">
            <v>25J25-01</v>
          </cell>
          <cell r="J115">
            <v>5</v>
          </cell>
          <cell r="K115">
            <v>5</v>
          </cell>
          <cell r="L115">
            <v>46007</v>
          </cell>
          <cell r="M115">
            <v>11</v>
          </cell>
          <cell r="O115">
            <v>46007</v>
          </cell>
          <cell r="P115">
            <v>16</v>
          </cell>
          <cell r="T115" t="str">
            <v>000000000009643-1</v>
          </cell>
        </row>
        <row r="116">
          <cell r="C116"/>
          <cell r="D116">
            <v>46007</v>
          </cell>
          <cell r="E116" t="str">
            <v>25L03-01</v>
          </cell>
          <cell r="F116"/>
          <cell r="G116" t="str">
            <v/>
          </cell>
          <cell r="H116"/>
          <cell r="I116" t="str">
            <v>25L03-01</v>
          </cell>
          <cell r="J116">
            <v>189</v>
          </cell>
          <cell r="K116">
            <v>189</v>
          </cell>
          <cell r="L116"/>
          <cell r="M116"/>
          <cell r="O116">
            <v>176</v>
          </cell>
          <cell r="P116">
            <v>2</v>
          </cell>
          <cell r="T116" t="str">
            <v>000000000009643-1</v>
          </cell>
        </row>
        <row r="117">
          <cell r="C117">
            <v>176</v>
          </cell>
          <cell r="D117"/>
          <cell r="E117"/>
          <cell r="F117"/>
          <cell r="G117" t="str">
            <v/>
          </cell>
          <cell r="H117"/>
          <cell r="I117"/>
          <cell r="J117"/>
          <cell r="K117">
            <v>0</v>
          </cell>
          <cell r="L117"/>
          <cell r="M117"/>
          <cell r="O117">
            <v>194</v>
          </cell>
          <cell r="P117"/>
          <cell r="T117" t="str">
            <v>000000000009643-1</v>
          </cell>
        </row>
        <row r="118">
          <cell r="C118"/>
          <cell r="D118"/>
          <cell r="E118"/>
          <cell r="F118"/>
          <cell r="G118" t="str">
            <v/>
          </cell>
          <cell r="H118"/>
          <cell r="I118"/>
          <cell r="J118"/>
          <cell r="K118">
            <v>0</v>
          </cell>
          <cell r="L118"/>
          <cell r="M118"/>
          <cell r="O118">
            <v>18</v>
          </cell>
          <cell r="P118"/>
          <cell r="T118" t="str">
            <v>000000000009643-1</v>
          </cell>
        </row>
        <row r="119">
          <cell r="C119">
            <v>1</v>
          </cell>
          <cell r="D119"/>
          <cell r="E119"/>
          <cell r="F119"/>
          <cell r="G119" t="str">
            <v/>
          </cell>
          <cell r="H119"/>
          <cell r="I119"/>
          <cell r="J119"/>
          <cell r="K119">
            <v>0</v>
          </cell>
          <cell r="L119"/>
          <cell r="M119"/>
          <cell r="O119">
            <v>18</v>
          </cell>
          <cell r="P119"/>
          <cell r="T119" t="str">
            <v>000000000009643-1</v>
          </cell>
        </row>
        <row r="120">
          <cell r="C120" t="str">
            <v>灯具-2　L＝1996</v>
          </cell>
          <cell r="D120"/>
          <cell r="E120"/>
          <cell r="F120"/>
          <cell r="G120" t="str">
            <v/>
          </cell>
          <cell r="H120"/>
          <cell r="I120"/>
          <cell r="J120"/>
          <cell r="K120">
            <v>0</v>
          </cell>
          <cell r="L120" t="str">
            <v>切断</v>
          </cell>
          <cell r="M120" t="str">
            <v>-</v>
          </cell>
          <cell r="O120">
            <v>0</v>
          </cell>
          <cell r="P120"/>
          <cell r="T120" t="str">
            <v>000000000009643-1</v>
          </cell>
        </row>
        <row r="121">
          <cell r="C121">
            <v>11</v>
          </cell>
          <cell r="D121"/>
          <cell r="E121"/>
          <cell r="F121"/>
          <cell r="G121" t="str">
            <v/>
          </cell>
          <cell r="H121"/>
          <cell r="I121"/>
          <cell r="J121"/>
          <cell r="K121">
            <v>0</v>
          </cell>
          <cell r="L121" t="str">
            <v>検査</v>
          </cell>
          <cell r="M121" t="str">
            <v>t</v>
          </cell>
          <cell r="O121"/>
          <cell r="P121"/>
          <cell r="T121" t="str">
            <v>000000000009643-1</v>
          </cell>
        </row>
        <row r="122">
          <cell r="C122"/>
          <cell r="D122"/>
          <cell r="E122"/>
          <cell r="F122"/>
          <cell r="G122" t="str">
            <v/>
          </cell>
          <cell r="H122"/>
          <cell r="I122"/>
          <cell r="J122"/>
          <cell r="K122">
            <v>0</v>
          </cell>
          <cell r="L122" t="str">
            <v>α端材</v>
          </cell>
          <cell r="M122"/>
          <cell r="O122">
            <v>0</v>
          </cell>
          <cell r="P122">
            <v>18</v>
          </cell>
          <cell r="T122" t="str">
            <v>000000000009643-1</v>
          </cell>
        </row>
        <row r="123">
          <cell r="C123" t="str">
            <v>灯具カバーPC IN 2080　L=1540</v>
          </cell>
          <cell r="D123">
            <v>45960</v>
          </cell>
          <cell r="E123" t="str">
            <v>25J26-01</v>
          </cell>
          <cell r="F123"/>
          <cell r="G123"/>
          <cell r="H123"/>
          <cell r="I123" t="str">
            <v>25J26-01</v>
          </cell>
          <cell r="J123">
            <v>10</v>
          </cell>
          <cell r="K123">
            <v>10</v>
          </cell>
          <cell r="L123">
            <v>46008</v>
          </cell>
          <cell r="M123">
            <v>5</v>
          </cell>
          <cell r="O123">
            <v>46008</v>
          </cell>
          <cell r="P123">
            <v>17</v>
          </cell>
          <cell r="T123" t="str">
            <v>000000000009640</v>
          </cell>
        </row>
        <row r="124">
          <cell r="C124"/>
          <cell r="D124">
            <v>46008</v>
          </cell>
          <cell r="E124" t="str">
            <v>25L06-01</v>
          </cell>
          <cell r="F124"/>
          <cell r="G124" t="str">
            <v/>
          </cell>
          <cell r="H124"/>
          <cell r="I124" t="str">
            <v>25L06-01</v>
          </cell>
          <cell r="J124">
            <v>87</v>
          </cell>
          <cell r="K124">
            <v>87</v>
          </cell>
          <cell r="L124"/>
          <cell r="M124"/>
          <cell r="O124">
            <v>80</v>
          </cell>
          <cell r="P124"/>
          <cell r="T124" t="str">
            <v>000000000009640</v>
          </cell>
        </row>
        <row r="125">
          <cell r="C125">
            <v>80</v>
          </cell>
          <cell r="D125"/>
          <cell r="E125"/>
          <cell r="F125"/>
          <cell r="G125" t="str">
            <v/>
          </cell>
          <cell r="H125"/>
          <cell r="I125"/>
          <cell r="J125"/>
          <cell r="K125">
            <v>0</v>
          </cell>
          <cell r="L125"/>
          <cell r="M125"/>
          <cell r="O125">
            <v>97</v>
          </cell>
          <cell r="P125"/>
          <cell r="T125" t="str">
            <v>000000000009640</v>
          </cell>
        </row>
        <row r="126">
          <cell r="C126"/>
          <cell r="D126"/>
          <cell r="E126"/>
          <cell r="F126"/>
          <cell r="G126" t="str">
            <v/>
          </cell>
          <cell r="H126"/>
          <cell r="I126"/>
          <cell r="J126"/>
          <cell r="K126">
            <v>0</v>
          </cell>
          <cell r="L126"/>
          <cell r="M126"/>
          <cell r="O126">
            <v>17</v>
          </cell>
          <cell r="P126"/>
          <cell r="T126" t="str">
            <v>000000000009640</v>
          </cell>
        </row>
        <row r="127">
          <cell r="C127">
            <v>1</v>
          </cell>
          <cell r="D127"/>
          <cell r="E127"/>
          <cell r="F127"/>
          <cell r="G127" t="str">
            <v/>
          </cell>
          <cell r="H127"/>
          <cell r="I127"/>
          <cell r="J127"/>
          <cell r="K127">
            <v>0</v>
          </cell>
          <cell r="L127"/>
          <cell r="M127"/>
          <cell r="O127">
            <v>17</v>
          </cell>
          <cell r="P127"/>
          <cell r="T127" t="str">
            <v>000000000009640</v>
          </cell>
        </row>
        <row r="128">
          <cell r="C128" t="str">
            <v>灯具-2　L＝1996</v>
          </cell>
          <cell r="D128"/>
          <cell r="E128"/>
          <cell r="F128"/>
          <cell r="G128" t="str">
            <v/>
          </cell>
          <cell r="H128"/>
          <cell r="I128"/>
          <cell r="J128"/>
          <cell r="K128">
            <v>0</v>
          </cell>
          <cell r="L128" t="str">
            <v>切断</v>
          </cell>
          <cell r="M128" t="str">
            <v>-</v>
          </cell>
          <cell r="O128">
            <v>0</v>
          </cell>
          <cell r="P128"/>
          <cell r="T128" t="str">
            <v>000000000009640</v>
          </cell>
        </row>
        <row r="129">
          <cell r="C129">
            <v>5</v>
          </cell>
          <cell r="D129"/>
          <cell r="E129"/>
          <cell r="F129"/>
          <cell r="G129" t="str">
            <v/>
          </cell>
          <cell r="H129"/>
          <cell r="I129"/>
          <cell r="J129"/>
          <cell r="K129">
            <v>0</v>
          </cell>
          <cell r="L129" t="str">
            <v>検査</v>
          </cell>
          <cell r="M129" t="str">
            <v>t</v>
          </cell>
          <cell r="O129"/>
          <cell r="P129"/>
          <cell r="T129" t="str">
            <v>000000000009640</v>
          </cell>
        </row>
        <row r="130">
          <cell r="C130"/>
          <cell r="D130"/>
          <cell r="E130"/>
          <cell r="F130"/>
          <cell r="G130" t="str">
            <v/>
          </cell>
          <cell r="H130"/>
          <cell r="I130"/>
          <cell r="J130"/>
          <cell r="K130">
            <v>0</v>
          </cell>
          <cell r="L130" t="str">
            <v>α端材</v>
          </cell>
          <cell r="M130"/>
          <cell r="O130">
            <v>0</v>
          </cell>
          <cell r="P130">
            <v>17</v>
          </cell>
          <cell r="T130" t="str">
            <v>000000000009640</v>
          </cell>
        </row>
        <row r="131">
          <cell r="C131" t="str">
            <v>灯具カバーPC IN 2050　L=1183.5</v>
          </cell>
          <cell r="D131">
            <v>45979</v>
          </cell>
          <cell r="E131" t="str">
            <v>25J24-02</v>
          </cell>
          <cell r="F131"/>
          <cell r="G131"/>
          <cell r="H131"/>
          <cell r="I131" t="str">
            <v>25J24-02</v>
          </cell>
          <cell r="J131">
            <v>15</v>
          </cell>
          <cell r="K131">
            <v>15</v>
          </cell>
          <cell r="L131">
            <v>46008</v>
          </cell>
          <cell r="M131">
            <v>3</v>
          </cell>
          <cell r="O131">
            <v>46009</v>
          </cell>
          <cell r="P131">
            <v>96</v>
          </cell>
          <cell r="T131" t="str">
            <v>000000000009638</v>
          </cell>
        </row>
        <row r="132">
          <cell r="C132"/>
          <cell r="D132">
            <v>46008</v>
          </cell>
          <cell r="E132" t="str">
            <v>25L06-01</v>
          </cell>
          <cell r="F132"/>
          <cell r="G132" t="str">
            <v/>
          </cell>
          <cell r="H132"/>
          <cell r="I132" t="str">
            <v>25L06-01</v>
          </cell>
          <cell r="J132">
            <v>194</v>
          </cell>
          <cell r="K132">
            <v>194</v>
          </cell>
          <cell r="L132">
            <v>46009</v>
          </cell>
          <cell r="M132">
            <v>4</v>
          </cell>
          <cell r="O132">
            <v>112</v>
          </cell>
          <cell r="P132"/>
          <cell r="T132" t="str">
            <v>000000000009638</v>
          </cell>
        </row>
        <row r="133">
          <cell r="C133">
            <v>112</v>
          </cell>
          <cell r="D133">
            <v>46009</v>
          </cell>
          <cell r="E133" t="str">
            <v>25L06-01</v>
          </cell>
          <cell r="F133"/>
          <cell r="G133" t="str">
            <v/>
          </cell>
          <cell r="H133"/>
          <cell r="I133"/>
          <cell r="J133"/>
          <cell r="K133">
            <v>0</v>
          </cell>
          <cell r="L133"/>
          <cell r="M133"/>
          <cell r="O133">
            <v>209</v>
          </cell>
          <cell r="P133">
            <v>1</v>
          </cell>
          <cell r="T133" t="str">
            <v>000000000009638</v>
          </cell>
        </row>
        <row r="134">
          <cell r="C134"/>
          <cell r="D134"/>
          <cell r="E134"/>
          <cell r="F134"/>
          <cell r="G134" t="str">
            <v/>
          </cell>
          <cell r="H134"/>
          <cell r="I134"/>
          <cell r="J134"/>
          <cell r="K134">
            <v>0</v>
          </cell>
          <cell r="L134"/>
          <cell r="M134"/>
          <cell r="O134">
            <v>97</v>
          </cell>
          <cell r="P134"/>
          <cell r="T134" t="str">
            <v>000000000009638</v>
          </cell>
        </row>
        <row r="135">
          <cell r="C135">
            <v>1</v>
          </cell>
          <cell r="D135"/>
          <cell r="E135"/>
          <cell r="F135"/>
          <cell r="G135" t="str">
            <v/>
          </cell>
          <cell r="H135"/>
          <cell r="I135"/>
          <cell r="J135"/>
          <cell r="K135">
            <v>0</v>
          </cell>
          <cell r="L135"/>
          <cell r="M135"/>
          <cell r="O135">
            <v>97</v>
          </cell>
          <cell r="P135"/>
          <cell r="T135" t="str">
            <v>000000000009638</v>
          </cell>
        </row>
        <row r="136">
          <cell r="C136" t="str">
            <v>灯具-1　L=1370</v>
          </cell>
          <cell r="D136"/>
          <cell r="E136"/>
          <cell r="F136"/>
          <cell r="G136" t="str">
            <v/>
          </cell>
          <cell r="H136"/>
          <cell r="I136"/>
          <cell r="J136"/>
          <cell r="K136">
            <v>0</v>
          </cell>
          <cell r="L136" t="str">
            <v>切断</v>
          </cell>
          <cell r="M136" t="str">
            <v>-</v>
          </cell>
          <cell r="O136">
            <v>0</v>
          </cell>
          <cell r="P136"/>
          <cell r="T136" t="str">
            <v>000000000009638</v>
          </cell>
        </row>
        <row r="137">
          <cell r="C137">
            <v>7</v>
          </cell>
          <cell r="D137"/>
          <cell r="E137"/>
          <cell r="F137"/>
          <cell r="G137" t="str">
            <v/>
          </cell>
          <cell r="H137"/>
          <cell r="I137"/>
          <cell r="J137"/>
          <cell r="K137">
            <v>0</v>
          </cell>
          <cell r="L137" t="str">
            <v>検査</v>
          </cell>
          <cell r="M137" t="str">
            <v>t</v>
          </cell>
          <cell r="O137"/>
          <cell r="P137"/>
          <cell r="T137" t="str">
            <v>000000000009638</v>
          </cell>
        </row>
        <row r="138">
          <cell r="C138"/>
          <cell r="D138"/>
          <cell r="E138"/>
          <cell r="F138"/>
          <cell r="G138" t="str">
            <v/>
          </cell>
          <cell r="H138"/>
          <cell r="I138"/>
          <cell r="J138"/>
          <cell r="K138">
            <v>0</v>
          </cell>
          <cell r="L138" t="str">
            <v>α端材</v>
          </cell>
          <cell r="M138"/>
          <cell r="O138">
            <v>0</v>
          </cell>
          <cell r="P138">
            <v>97</v>
          </cell>
          <cell r="T138" t="str">
            <v>000000000009638</v>
          </cell>
        </row>
        <row r="139">
          <cell r="C139" t="str">
            <v>灯具カバーPC IN 2140　L=547</v>
          </cell>
          <cell r="D139"/>
          <cell r="E139"/>
          <cell r="F139"/>
          <cell r="G139"/>
          <cell r="H139"/>
          <cell r="I139">
            <v>0</v>
          </cell>
          <cell r="J139"/>
          <cell r="K139">
            <v>0</v>
          </cell>
          <cell r="L139">
            <v>46009</v>
          </cell>
          <cell r="M139">
            <v>6</v>
          </cell>
          <cell r="O139">
            <v>46010</v>
          </cell>
          <cell r="P139">
            <v>4</v>
          </cell>
          <cell r="T139" t="str">
            <v>000000000009635</v>
          </cell>
        </row>
        <row r="140">
          <cell r="C140"/>
          <cell r="D140">
            <v>46009</v>
          </cell>
          <cell r="E140" t="str">
            <v>25L05-01</v>
          </cell>
          <cell r="F140"/>
          <cell r="G140" t="str">
            <v/>
          </cell>
          <cell r="H140"/>
          <cell r="I140" t="str">
            <v>25L05-01</v>
          </cell>
          <cell r="J140">
            <v>197</v>
          </cell>
          <cell r="K140">
            <v>197</v>
          </cell>
          <cell r="L140">
            <v>46010</v>
          </cell>
          <cell r="M140">
            <v>6</v>
          </cell>
          <cell r="O140">
            <v>192</v>
          </cell>
          <cell r="P140">
            <v>1</v>
          </cell>
          <cell r="T140" t="str">
            <v>000000000009635</v>
          </cell>
        </row>
        <row r="141">
          <cell r="C141">
            <v>192</v>
          </cell>
          <cell r="D141">
            <v>46010</v>
          </cell>
          <cell r="E141" t="str">
            <v>25L05-01</v>
          </cell>
          <cell r="F141"/>
          <cell r="G141" t="str">
            <v/>
          </cell>
          <cell r="H141"/>
          <cell r="I141"/>
          <cell r="J141"/>
          <cell r="K141">
            <v>0</v>
          </cell>
          <cell r="L141"/>
          <cell r="M141"/>
          <cell r="O141">
            <v>197</v>
          </cell>
          <cell r="P141"/>
          <cell r="T141" t="str">
            <v>000000000009635</v>
          </cell>
        </row>
        <row r="142">
          <cell r="C142"/>
          <cell r="D142"/>
          <cell r="E142"/>
          <cell r="F142"/>
          <cell r="G142" t="str">
            <v/>
          </cell>
          <cell r="H142"/>
          <cell r="I142"/>
          <cell r="J142"/>
          <cell r="K142">
            <v>0</v>
          </cell>
          <cell r="L142"/>
          <cell r="M142"/>
          <cell r="O142">
            <v>5</v>
          </cell>
          <cell r="P142"/>
          <cell r="T142" t="str">
            <v>000000000009635</v>
          </cell>
        </row>
        <row r="143">
          <cell r="C143">
            <v>1</v>
          </cell>
          <cell r="D143"/>
          <cell r="E143"/>
          <cell r="F143"/>
          <cell r="G143" t="str">
            <v/>
          </cell>
          <cell r="H143"/>
          <cell r="I143"/>
          <cell r="J143"/>
          <cell r="K143">
            <v>0</v>
          </cell>
          <cell r="L143"/>
          <cell r="M143"/>
          <cell r="O143">
            <v>5</v>
          </cell>
          <cell r="P143"/>
          <cell r="T143" t="str">
            <v>000000000009635</v>
          </cell>
        </row>
        <row r="144">
          <cell r="C144" t="str">
            <v>灯具-1　L=1370</v>
          </cell>
          <cell r="D144"/>
          <cell r="E144"/>
          <cell r="F144"/>
          <cell r="G144" t="str">
            <v/>
          </cell>
          <cell r="H144"/>
          <cell r="I144"/>
          <cell r="J144"/>
          <cell r="K144">
            <v>0</v>
          </cell>
          <cell r="L144" t="str">
            <v>切断</v>
          </cell>
          <cell r="M144" t="str">
            <v>-</v>
          </cell>
          <cell r="O144">
            <v>0</v>
          </cell>
          <cell r="P144"/>
          <cell r="T144" t="str">
            <v>000000000009635</v>
          </cell>
        </row>
        <row r="145">
          <cell r="C145">
            <v>6</v>
          </cell>
          <cell r="D145"/>
          <cell r="E145"/>
          <cell r="F145"/>
          <cell r="G145" t="str">
            <v/>
          </cell>
          <cell r="H145"/>
          <cell r="I145"/>
          <cell r="J145"/>
          <cell r="K145">
            <v>0</v>
          </cell>
          <cell r="L145" t="str">
            <v>検査</v>
          </cell>
          <cell r="M145" t="str">
            <v>t</v>
          </cell>
          <cell r="O145"/>
          <cell r="P145"/>
          <cell r="T145" t="str">
            <v>000000000009635</v>
          </cell>
        </row>
        <row r="146">
          <cell r="C146"/>
          <cell r="D146"/>
          <cell r="E146"/>
          <cell r="F146"/>
          <cell r="G146" t="str">
            <v/>
          </cell>
          <cell r="H146"/>
          <cell r="I146"/>
          <cell r="J146"/>
          <cell r="K146">
            <v>0</v>
          </cell>
          <cell r="L146" t="str">
            <v>α端材</v>
          </cell>
          <cell r="M146"/>
          <cell r="O146">
            <v>0</v>
          </cell>
          <cell r="P146">
            <v>5</v>
          </cell>
          <cell r="T146" t="str">
            <v>000000000009635</v>
          </cell>
        </row>
        <row r="147">
          <cell r="C147" t="str">
            <v>灯具カバーPC IN 2070　L=1966</v>
          </cell>
          <cell r="D147">
            <v>46007</v>
          </cell>
          <cell r="E147" t="str">
            <v>25L03-01</v>
          </cell>
          <cell r="F147"/>
          <cell r="G147"/>
          <cell r="H147"/>
          <cell r="I147" t="str">
            <v>25L03-01</v>
          </cell>
          <cell r="J147">
            <v>11</v>
          </cell>
          <cell r="K147">
            <v>11</v>
          </cell>
          <cell r="L147">
            <v>46010</v>
          </cell>
          <cell r="M147">
            <v>8</v>
          </cell>
          <cell r="O147">
            <v>46013</v>
          </cell>
          <cell r="P147">
            <v>34</v>
          </cell>
          <cell r="T147" t="str">
            <v>000000000009643-2</v>
          </cell>
        </row>
        <row r="148">
          <cell r="C148"/>
          <cell r="D148">
            <v>46010</v>
          </cell>
          <cell r="E148" t="str">
            <v>25L04-02</v>
          </cell>
          <cell r="F148"/>
          <cell r="G148" t="str">
            <v/>
          </cell>
          <cell r="H148"/>
          <cell r="I148" t="str">
            <v>25L04-02</v>
          </cell>
          <cell r="J148">
            <v>200</v>
          </cell>
          <cell r="K148">
            <v>200</v>
          </cell>
          <cell r="L148">
            <v>46013</v>
          </cell>
          <cell r="M148">
            <v>3</v>
          </cell>
          <cell r="O148">
            <v>176</v>
          </cell>
          <cell r="P148">
            <v>1</v>
          </cell>
          <cell r="T148" t="str">
            <v>000000000009643-2</v>
          </cell>
        </row>
        <row r="149">
          <cell r="C149">
            <v>176</v>
          </cell>
          <cell r="D149">
            <v>46013</v>
          </cell>
          <cell r="E149" t="str">
            <v>25L04-02</v>
          </cell>
          <cell r="F149"/>
          <cell r="G149" t="str">
            <v/>
          </cell>
          <cell r="H149"/>
          <cell r="I149"/>
          <cell r="J149"/>
          <cell r="K149">
            <v>0</v>
          </cell>
          <cell r="L149"/>
          <cell r="M149"/>
          <cell r="O149">
            <v>211</v>
          </cell>
          <cell r="P149"/>
          <cell r="T149" t="str">
            <v>000000000009643-2</v>
          </cell>
        </row>
        <row r="150">
          <cell r="C150"/>
          <cell r="D150"/>
          <cell r="E150"/>
          <cell r="F150"/>
          <cell r="G150" t="str">
            <v/>
          </cell>
          <cell r="H150"/>
          <cell r="I150"/>
          <cell r="J150"/>
          <cell r="K150">
            <v>0</v>
          </cell>
          <cell r="L150"/>
          <cell r="M150"/>
          <cell r="O150">
            <v>35</v>
          </cell>
          <cell r="P150"/>
          <cell r="T150" t="str">
            <v>000000000009643-2</v>
          </cell>
        </row>
        <row r="151">
          <cell r="C151">
            <v>1</v>
          </cell>
          <cell r="D151"/>
          <cell r="E151"/>
          <cell r="F151"/>
          <cell r="G151" t="str">
            <v/>
          </cell>
          <cell r="H151"/>
          <cell r="I151"/>
          <cell r="J151"/>
          <cell r="K151">
            <v>0</v>
          </cell>
          <cell r="L151"/>
          <cell r="M151"/>
          <cell r="O151">
            <v>35</v>
          </cell>
          <cell r="P151"/>
          <cell r="T151" t="str">
            <v>000000000009643-2</v>
          </cell>
        </row>
        <row r="152">
          <cell r="C152" t="str">
            <v>灯具-2　L＝1996</v>
          </cell>
          <cell r="D152"/>
          <cell r="E152"/>
          <cell r="F152"/>
          <cell r="G152" t="str">
            <v/>
          </cell>
          <cell r="H152"/>
          <cell r="I152"/>
          <cell r="J152"/>
          <cell r="K152">
            <v>0</v>
          </cell>
          <cell r="L152" t="str">
            <v>切断</v>
          </cell>
          <cell r="M152" t="str">
            <v>-</v>
          </cell>
          <cell r="O152">
            <v>0</v>
          </cell>
          <cell r="P152"/>
          <cell r="T152" t="str">
            <v>000000000009643-2</v>
          </cell>
        </row>
        <row r="153">
          <cell r="C153">
            <v>11</v>
          </cell>
          <cell r="D153"/>
          <cell r="E153"/>
          <cell r="F153"/>
          <cell r="G153" t="str">
            <v/>
          </cell>
          <cell r="H153"/>
          <cell r="I153"/>
          <cell r="J153"/>
          <cell r="K153">
            <v>0</v>
          </cell>
          <cell r="L153" t="str">
            <v>検査</v>
          </cell>
          <cell r="M153" t="str">
            <v>t</v>
          </cell>
          <cell r="O153"/>
          <cell r="P153"/>
          <cell r="T153" t="str">
            <v>000000000009643-2</v>
          </cell>
        </row>
        <row r="154">
          <cell r="C154"/>
          <cell r="D154"/>
          <cell r="E154"/>
          <cell r="F154"/>
          <cell r="G154" t="str">
            <v/>
          </cell>
          <cell r="H154"/>
          <cell r="I154"/>
          <cell r="J154"/>
          <cell r="K154">
            <v>0</v>
          </cell>
          <cell r="L154" t="str">
            <v>α端材</v>
          </cell>
          <cell r="M154"/>
          <cell r="O154">
            <v>0</v>
          </cell>
          <cell r="P154">
            <v>35</v>
          </cell>
          <cell r="T154" t="str">
            <v>000000000009643-2</v>
          </cell>
        </row>
        <row r="155">
          <cell r="C155" t="str">
            <v>8FL281304 8310　L=748</v>
          </cell>
          <cell r="D155">
            <v>45986</v>
          </cell>
          <cell r="E155" t="str">
            <v>25J23-09</v>
          </cell>
          <cell r="F155"/>
          <cell r="G155"/>
          <cell r="H155"/>
          <cell r="I155" t="str">
            <v>25J23-09</v>
          </cell>
          <cell r="J155">
            <v>4</v>
          </cell>
          <cell r="K155">
            <v>2</v>
          </cell>
          <cell r="L155">
            <v>46013</v>
          </cell>
          <cell r="M155">
            <v>2</v>
          </cell>
          <cell r="O155">
            <v>46013</v>
          </cell>
          <cell r="P155">
            <v>1</v>
          </cell>
          <cell r="T155" t="str">
            <v>000000000010001</v>
          </cell>
        </row>
        <row r="156">
          <cell r="C156"/>
          <cell r="D156">
            <v>46010</v>
          </cell>
          <cell r="E156" t="str">
            <v>25L14-02</v>
          </cell>
          <cell r="F156">
            <v>22</v>
          </cell>
          <cell r="G156">
            <v>748.1</v>
          </cell>
          <cell r="H156">
            <v>748.18</v>
          </cell>
          <cell r="I156" t="str">
            <v>25L14-02</v>
          </cell>
          <cell r="J156">
            <v>198</v>
          </cell>
          <cell r="K156">
            <v>99</v>
          </cell>
          <cell r="L156"/>
          <cell r="M156"/>
          <cell r="O156">
            <v>200</v>
          </cell>
          <cell r="P156"/>
          <cell r="T156" t="str">
            <v>000000000010001</v>
          </cell>
        </row>
        <row r="157">
          <cell r="C157">
            <v>200</v>
          </cell>
          <cell r="D157">
            <v>46010</v>
          </cell>
          <cell r="E157" t="str">
            <v>25L14-02</v>
          </cell>
          <cell r="F157">
            <v>20</v>
          </cell>
          <cell r="G157">
            <v>748</v>
          </cell>
          <cell r="H157">
            <v>748.21</v>
          </cell>
          <cell r="I157"/>
          <cell r="J157"/>
          <cell r="K157">
            <v>0</v>
          </cell>
          <cell r="L157"/>
          <cell r="M157"/>
          <cell r="O157">
            <v>101</v>
          </cell>
          <cell r="P157">
            <v>1</v>
          </cell>
          <cell r="T157" t="str">
            <v>000000000010001</v>
          </cell>
        </row>
        <row r="158">
          <cell r="C158"/>
          <cell r="D158"/>
          <cell r="E158"/>
          <cell r="F158"/>
          <cell r="G158" t="str">
            <v/>
          </cell>
          <cell r="H158"/>
          <cell r="I158"/>
          <cell r="J158"/>
          <cell r="K158">
            <v>0</v>
          </cell>
          <cell r="L158"/>
          <cell r="M158"/>
          <cell r="O158">
            <v>1</v>
          </cell>
          <cell r="P158"/>
          <cell r="T158" t="str">
            <v>000000000010001</v>
          </cell>
        </row>
        <row r="159">
          <cell r="C159">
            <v>2</v>
          </cell>
          <cell r="D159"/>
          <cell r="E159"/>
          <cell r="F159"/>
          <cell r="G159" t="str">
            <v/>
          </cell>
          <cell r="H159"/>
          <cell r="I159"/>
          <cell r="J159"/>
          <cell r="K159">
            <v>0</v>
          </cell>
          <cell r="L159"/>
          <cell r="M159"/>
          <cell r="O159">
            <v>2</v>
          </cell>
          <cell r="P159"/>
          <cell r="T159" t="str">
            <v>000000000010001</v>
          </cell>
        </row>
        <row r="160">
          <cell r="C160" t="str">
            <v>LED-A888</v>
          </cell>
          <cell r="D160"/>
          <cell r="E160"/>
          <cell r="F160"/>
          <cell r="G160" t="str">
            <v/>
          </cell>
          <cell r="H160"/>
          <cell r="I160"/>
          <cell r="J160"/>
          <cell r="K160">
            <v>0</v>
          </cell>
          <cell r="L160" t="str">
            <v>切断</v>
          </cell>
          <cell r="M160" t="str">
            <v>m</v>
          </cell>
          <cell r="O160">
            <v>0</v>
          </cell>
          <cell r="P160"/>
          <cell r="T160" t="str">
            <v>000000000010001</v>
          </cell>
        </row>
        <row r="161">
          <cell r="C161">
            <v>2</v>
          </cell>
          <cell r="D161"/>
          <cell r="E161"/>
          <cell r="F161"/>
          <cell r="G161" t="str">
            <v/>
          </cell>
          <cell r="H161"/>
          <cell r="I161"/>
          <cell r="J161"/>
          <cell r="K161">
            <v>0</v>
          </cell>
          <cell r="L161" t="str">
            <v>検査</v>
          </cell>
          <cell r="M161" t="str">
            <v>u</v>
          </cell>
          <cell r="O161"/>
          <cell r="P161"/>
          <cell r="T161" t="str">
            <v>000000000010001</v>
          </cell>
        </row>
        <row r="162">
          <cell r="C162"/>
          <cell r="D162"/>
          <cell r="E162"/>
          <cell r="F162"/>
          <cell r="G162" t="str">
            <v/>
          </cell>
          <cell r="H162"/>
          <cell r="I162"/>
          <cell r="J162"/>
          <cell r="K162">
            <v>0</v>
          </cell>
          <cell r="L162" t="str">
            <v>α端材</v>
          </cell>
          <cell r="M162"/>
          <cell r="O162">
            <v>0</v>
          </cell>
          <cell r="P162">
            <v>2</v>
          </cell>
          <cell r="T162" t="str">
            <v>000000000010001</v>
          </cell>
        </row>
        <row r="163">
          <cell r="C163" t="str">
            <v>8FL281304 5010　L=888</v>
          </cell>
          <cell r="D163">
            <v>45994</v>
          </cell>
          <cell r="E163" t="str">
            <v>25J23-10</v>
          </cell>
          <cell r="F163"/>
          <cell r="G163"/>
          <cell r="H163"/>
          <cell r="I163" t="str">
            <v>25J23-10</v>
          </cell>
          <cell r="J163">
            <v>7</v>
          </cell>
          <cell r="K163">
            <v>3</v>
          </cell>
          <cell r="L163">
            <v>46008</v>
          </cell>
          <cell r="M163">
            <v>5</v>
          </cell>
          <cell r="O163">
            <v>46014</v>
          </cell>
          <cell r="P163">
            <v>12</v>
          </cell>
          <cell r="T163" t="str">
            <v>000000000010002</v>
          </cell>
        </row>
        <row r="164">
          <cell r="C164"/>
          <cell r="D164">
            <v>46007</v>
          </cell>
          <cell r="E164" t="str">
            <v>25L13-01</v>
          </cell>
          <cell r="F164">
            <v>22</v>
          </cell>
          <cell r="G164">
            <v>888.12</v>
          </cell>
          <cell r="H164">
            <v>888.17</v>
          </cell>
          <cell r="I164" t="str">
            <v>25L13-01</v>
          </cell>
          <cell r="J164">
            <v>1600</v>
          </cell>
          <cell r="K164">
            <v>800</v>
          </cell>
          <cell r="L164">
            <v>46009</v>
          </cell>
          <cell r="M164">
            <v>5</v>
          </cell>
          <cell r="O164">
            <v>2800</v>
          </cell>
          <cell r="P164"/>
          <cell r="T164" t="str">
            <v>000000000010002</v>
          </cell>
        </row>
        <row r="165">
          <cell r="C165">
            <v>2800</v>
          </cell>
          <cell r="D165">
            <v>46007</v>
          </cell>
          <cell r="E165" t="str">
            <v>25L13-01</v>
          </cell>
          <cell r="F165">
            <v>20</v>
          </cell>
          <cell r="G165">
            <v>888</v>
          </cell>
          <cell r="H165">
            <v>888.08</v>
          </cell>
          <cell r="I165" t="str">
            <v>25L14-02</v>
          </cell>
          <cell r="J165">
            <v>1207</v>
          </cell>
          <cell r="K165">
            <v>604</v>
          </cell>
          <cell r="L165">
            <v>46010</v>
          </cell>
          <cell r="M165">
            <v>5</v>
          </cell>
          <cell r="O165">
            <v>1407</v>
          </cell>
          <cell r="P165">
            <v>1</v>
          </cell>
          <cell r="T165" t="str">
            <v>000000000010002</v>
          </cell>
        </row>
        <row r="166">
          <cell r="C166"/>
          <cell r="D166">
            <v>46008</v>
          </cell>
          <cell r="E166" t="str">
            <v>25L13-01</v>
          </cell>
          <cell r="F166">
            <v>16</v>
          </cell>
          <cell r="G166">
            <v>887.77</v>
          </cell>
          <cell r="H166">
            <v>887.84</v>
          </cell>
          <cell r="I166"/>
          <cell r="J166"/>
          <cell r="K166">
            <v>0</v>
          </cell>
          <cell r="L166">
            <v>46013</v>
          </cell>
          <cell r="M166">
            <v>6</v>
          </cell>
          <cell r="O166">
            <v>7</v>
          </cell>
          <cell r="P166"/>
          <cell r="T166" t="str">
            <v>000000000010002</v>
          </cell>
        </row>
        <row r="167">
          <cell r="C167">
            <v>2</v>
          </cell>
          <cell r="D167">
            <v>46008</v>
          </cell>
          <cell r="E167" t="str">
            <v>25L13-01</v>
          </cell>
          <cell r="F167">
            <v>18</v>
          </cell>
          <cell r="G167">
            <v>887.88</v>
          </cell>
          <cell r="H167">
            <v>888.05</v>
          </cell>
          <cell r="I167"/>
          <cell r="J167"/>
          <cell r="K167">
            <v>0</v>
          </cell>
          <cell r="L167">
            <v>46014</v>
          </cell>
          <cell r="M167">
            <v>7</v>
          </cell>
          <cell r="O167">
            <v>14</v>
          </cell>
          <cell r="P167"/>
          <cell r="T167" t="str">
            <v>000000000010002</v>
          </cell>
        </row>
        <row r="168">
          <cell r="C168" t="str">
            <v>LED-A888</v>
          </cell>
          <cell r="D168">
            <v>46013</v>
          </cell>
          <cell r="E168" t="str">
            <v>25L14-02</v>
          </cell>
          <cell r="F168">
            <v>20</v>
          </cell>
          <cell r="G168">
            <v>888</v>
          </cell>
          <cell r="H168">
            <v>887.69</v>
          </cell>
          <cell r="I168"/>
          <cell r="J168"/>
          <cell r="K168">
            <v>0</v>
          </cell>
          <cell r="L168" t="str">
            <v>切断</v>
          </cell>
          <cell r="M168" t="str">
            <v>m/c</v>
          </cell>
          <cell r="O168">
            <v>1</v>
          </cell>
          <cell r="P168"/>
          <cell r="T168" t="str">
            <v>000000000010002</v>
          </cell>
        </row>
        <row r="169">
          <cell r="C169">
            <v>28</v>
          </cell>
          <cell r="D169">
            <v>46013</v>
          </cell>
          <cell r="E169" t="str">
            <v>25L14-02</v>
          </cell>
          <cell r="F169">
            <v>20</v>
          </cell>
          <cell r="G169">
            <v>888</v>
          </cell>
          <cell r="H169">
            <v>887.93</v>
          </cell>
          <cell r="I169"/>
          <cell r="J169"/>
          <cell r="K169">
            <v>0</v>
          </cell>
          <cell r="L169" t="str">
            <v>検査</v>
          </cell>
          <cell r="M169" t="str">
            <v>t/u</v>
          </cell>
          <cell r="O169"/>
          <cell r="P169">
            <v>1</v>
          </cell>
          <cell r="T169" t="str">
            <v>000000000010002</v>
          </cell>
        </row>
        <row r="170">
          <cell r="C170"/>
          <cell r="D170">
            <v>46013</v>
          </cell>
          <cell r="E170" t="str">
            <v>25L14-02</v>
          </cell>
          <cell r="F170">
            <v>20</v>
          </cell>
          <cell r="G170">
            <v>888</v>
          </cell>
          <cell r="H170">
            <v>887.88</v>
          </cell>
          <cell r="I170"/>
          <cell r="J170"/>
          <cell r="K170">
            <v>0</v>
          </cell>
          <cell r="L170" t="str">
            <v>α端材</v>
          </cell>
          <cell r="M170"/>
          <cell r="O170">
            <v>1</v>
          </cell>
          <cell r="P170">
            <v>14</v>
          </cell>
          <cell r="T170" t="str">
            <v>000000000010002</v>
          </cell>
        </row>
        <row r="171">
          <cell r="C171" t="str">
            <v>8FL281304 5010　L=888</v>
          </cell>
          <cell r="D171"/>
          <cell r="E171"/>
          <cell r="F171"/>
          <cell r="G171"/>
          <cell r="H171"/>
          <cell r="I171">
            <v>0</v>
          </cell>
          <cell r="J171"/>
          <cell r="K171">
            <v>0</v>
          </cell>
          <cell r="L171">
            <v>46014</v>
          </cell>
          <cell r="M171">
            <v>5</v>
          </cell>
          <cell r="O171">
            <v>46014</v>
          </cell>
          <cell r="P171">
            <v>2</v>
          </cell>
          <cell r="T171" t="str">
            <v>000000000010502</v>
          </cell>
        </row>
        <row r="172">
          <cell r="C172"/>
          <cell r="D172">
            <v>46013</v>
          </cell>
          <cell r="E172" t="str">
            <v>25L14-02</v>
          </cell>
          <cell r="F172">
            <v>20</v>
          </cell>
          <cell r="G172">
            <v>888</v>
          </cell>
          <cell r="H172">
            <v>887.89</v>
          </cell>
          <cell r="I172" t="str">
            <v>25L14-02</v>
          </cell>
          <cell r="J172">
            <v>192</v>
          </cell>
          <cell r="K172">
            <v>96</v>
          </cell>
          <cell r="L172"/>
          <cell r="M172"/>
          <cell r="O172">
            <v>500</v>
          </cell>
          <cell r="P172"/>
          <cell r="T172" t="str">
            <v>000000000010502</v>
          </cell>
        </row>
        <row r="173">
          <cell r="C173">
            <v>500</v>
          </cell>
          <cell r="D173">
            <v>46013</v>
          </cell>
          <cell r="E173" t="str">
            <v>25L15-03</v>
          </cell>
          <cell r="F173">
            <v>20</v>
          </cell>
          <cell r="G173">
            <v>888</v>
          </cell>
          <cell r="H173">
            <v>887.95</v>
          </cell>
          <cell r="I173" t="str">
            <v>25L15-03</v>
          </cell>
          <cell r="J173">
            <v>310</v>
          </cell>
          <cell r="K173">
            <v>155</v>
          </cell>
          <cell r="L173"/>
          <cell r="M173"/>
          <cell r="O173">
            <v>251</v>
          </cell>
          <cell r="P173"/>
          <cell r="T173" t="str">
            <v>000000000010502</v>
          </cell>
        </row>
        <row r="174">
          <cell r="C174"/>
          <cell r="D174">
            <v>46014</v>
          </cell>
          <cell r="E174" t="str">
            <v>25L15-03</v>
          </cell>
          <cell r="F174">
            <v>16</v>
          </cell>
          <cell r="G174">
            <v>887.77</v>
          </cell>
          <cell r="H174">
            <v>887.8</v>
          </cell>
          <cell r="I174"/>
          <cell r="J174"/>
          <cell r="K174">
            <v>0</v>
          </cell>
          <cell r="L174"/>
          <cell r="M174"/>
          <cell r="O174">
            <v>1</v>
          </cell>
          <cell r="P174"/>
          <cell r="T174" t="str">
            <v>000000000010502</v>
          </cell>
        </row>
        <row r="175">
          <cell r="C175">
            <v>2</v>
          </cell>
          <cell r="D175">
            <v>46014</v>
          </cell>
          <cell r="E175" t="str">
            <v>25L15-03</v>
          </cell>
          <cell r="F175">
            <v>22</v>
          </cell>
          <cell r="G175">
            <v>888.12</v>
          </cell>
          <cell r="H175">
            <v>887.99</v>
          </cell>
          <cell r="I175"/>
          <cell r="J175"/>
          <cell r="K175">
            <v>0</v>
          </cell>
          <cell r="L175"/>
          <cell r="M175"/>
          <cell r="O175">
            <v>2</v>
          </cell>
          <cell r="P175"/>
          <cell r="T175" t="str">
            <v>000000000010502</v>
          </cell>
        </row>
        <row r="176">
          <cell r="C176" t="str">
            <v>LED-A888</v>
          </cell>
          <cell r="D176"/>
          <cell r="E176"/>
          <cell r="F176"/>
          <cell r="G176" t="str">
            <v/>
          </cell>
          <cell r="H176"/>
          <cell r="I176"/>
          <cell r="J176"/>
          <cell r="K176">
            <v>0</v>
          </cell>
          <cell r="L176" t="str">
            <v>切断</v>
          </cell>
          <cell r="M176" t="str">
            <v>m</v>
          </cell>
          <cell r="O176">
            <v>0</v>
          </cell>
          <cell r="P176"/>
          <cell r="T176" t="str">
            <v>000000000010502</v>
          </cell>
        </row>
        <row r="177">
          <cell r="C177">
            <v>5</v>
          </cell>
          <cell r="D177"/>
          <cell r="E177"/>
          <cell r="F177"/>
          <cell r="G177" t="str">
            <v/>
          </cell>
          <cell r="H177"/>
          <cell r="I177"/>
          <cell r="J177"/>
          <cell r="K177">
            <v>0</v>
          </cell>
          <cell r="L177" t="str">
            <v>検査</v>
          </cell>
          <cell r="M177" t="str">
            <v>t</v>
          </cell>
          <cell r="O177"/>
          <cell r="P177"/>
          <cell r="T177" t="str">
            <v>000000000010502</v>
          </cell>
        </row>
        <row r="178">
          <cell r="C178"/>
          <cell r="D178"/>
          <cell r="E178"/>
          <cell r="F178"/>
          <cell r="G178" t="str">
            <v/>
          </cell>
          <cell r="H178"/>
          <cell r="I178"/>
          <cell r="J178"/>
          <cell r="K178">
            <v>0</v>
          </cell>
          <cell r="L178" t="str">
            <v>α端材</v>
          </cell>
          <cell r="M178"/>
          <cell r="O178">
            <v>0</v>
          </cell>
          <cell r="P178">
            <v>2</v>
          </cell>
          <cell r="T178" t="str">
            <v>000000000010502</v>
          </cell>
        </row>
        <row r="179">
          <cell r="C179" t="str">
            <v>8FL281304 4910　L=592</v>
          </cell>
          <cell r="D179">
            <v>45994</v>
          </cell>
          <cell r="E179" t="str">
            <v>25J23-10</v>
          </cell>
          <cell r="F179"/>
          <cell r="G179"/>
          <cell r="H179"/>
          <cell r="I179" t="str">
            <v>25J23-10</v>
          </cell>
          <cell r="J179">
            <v>5</v>
          </cell>
          <cell r="K179">
            <v>1</v>
          </cell>
          <cell r="L179">
            <v>46014</v>
          </cell>
          <cell r="M179">
            <v>1</v>
          </cell>
          <cell r="O179">
            <v>46015</v>
          </cell>
          <cell r="P179"/>
          <cell r="T179" t="str">
            <v>000000000009999</v>
          </cell>
        </row>
        <row r="180">
          <cell r="C180"/>
          <cell r="D180">
            <v>46014</v>
          </cell>
          <cell r="E180" t="str">
            <v>25L15-03</v>
          </cell>
          <cell r="F180">
            <v>20</v>
          </cell>
          <cell r="G180">
            <v>591.5</v>
          </cell>
          <cell r="H180">
            <v>591.63</v>
          </cell>
          <cell r="I180" t="str">
            <v>25L15-03</v>
          </cell>
          <cell r="J180">
            <v>195</v>
          </cell>
          <cell r="K180">
            <v>65</v>
          </cell>
          <cell r="L180">
            <v>46015</v>
          </cell>
          <cell r="M180">
            <v>1</v>
          </cell>
          <cell r="O180">
            <v>200</v>
          </cell>
          <cell r="P180"/>
          <cell r="T180" t="str">
            <v>000000000009999</v>
          </cell>
        </row>
        <row r="181">
          <cell r="C181">
            <v>200</v>
          </cell>
          <cell r="D181">
            <v>46014</v>
          </cell>
          <cell r="E181" t="str">
            <v>25L15-03</v>
          </cell>
          <cell r="F181">
            <v>22</v>
          </cell>
          <cell r="G181">
            <v>591.58000000000004</v>
          </cell>
          <cell r="H181">
            <v>591.61</v>
          </cell>
          <cell r="I181"/>
          <cell r="J181"/>
          <cell r="K181">
            <v>0</v>
          </cell>
          <cell r="L181"/>
          <cell r="M181"/>
          <cell r="O181">
            <v>67</v>
          </cell>
          <cell r="P181"/>
          <cell r="T181" t="str">
            <v>000000000009999</v>
          </cell>
        </row>
        <row r="182">
          <cell r="C182"/>
          <cell r="D182"/>
          <cell r="E182"/>
          <cell r="F182"/>
          <cell r="G182" t="str">
            <v/>
          </cell>
          <cell r="H182"/>
          <cell r="I182"/>
          <cell r="J182"/>
          <cell r="K182">
            <v>0</v>
          </cell>
          <cell r="L182"/>
          <cell r="M182"/>
          <cell r="O182">
            <v>0</v>
          </cell>
          <cell r="P182"/>
          <cell r="T182" t="str">
            <v>000000000009999</v>
          </cell>
        </row>
        <row r="183">
          <cell r="C183">
            <v>3</v>
          </cell>
          <cell r="D183"/>
          <cell r="E183"/>
          <cell r="F183"/>
          <cell r="G183" t="str">
            <v/>
          </cell>
          <cell r="H183"/>
          <cell r="I183"/>
          <cell r="J183"/>
          <cell r="K183">
            <v>0</v>
          </cell>
          <cell r="L183"/>
          <cell r="M183"/>
          <cell r="O183">
            <v>0</v>
          </cell>
          <cell r="P183"/>
          <cell r="T183" t="str">
            <v>000000000009999</v>
          </cell>
        </row>
        <row r="184">
          <cell r="C184" t="str">
            <v>LED-A592</v>
          </cell>
          <cell r="D184"/>
          <cell r="E184"/>
          <cell r="F184"/>
          <cell r="G184" t="str">
            <v/>
          </cell>
          <cell r="H184"/>
          <cell r="I184"/>
          <cell r="J184"/>
          <cell r="K184">
            <v>0</v>
          </cell>
          <cell r="L184" t="str">
            <v>切断</v>
          </cell>
          <cell r="M184" t="str">
            <v>m</v>
          </cell>
          <cell r="O184">
            <v>2</v>
          </cell>
          <cell r="P184"/>
          <cell r="T184" t="str">
            <v>000000000009999</v>
          </cell>
        </row>
        <row r="185">
          <cell r="C185">
            <v>2</v>
          </cell>
          <cell r="D185"/>
          <cell r="E185"/>
          <cell r="F185"/>
          <cell r="G185" t="str">
            <v/>
          </cell>
          <cell r="H185"/>
          <cell r="I185"/>
          <cell r="J185"/>
          <cell r="K185">
            <v>0</v>
          </cell>
          <cell r="L185" t="str">
            <v>検査</v>
          </cell>
          <cell r="M185" t="str">
            <v>t/u</v>
          </cell>
          <cell r="O185"/>
          <cell r="P185"/>
          <cell r="T185" t="str">
            <v>000000000009999</v>
          </cell>
        </row>
        <row r="186">
          <cell r="C186"/>
          <cell r="D186"/>
          <cell r="E186"/>
          <cell r="F186"/>
          <cell r="G186" t="str">
            <v/>
          </cell>
          <cell r="H186"/>
          <cell r="I186"/>
          <cell r="J186"/>
          <cell r="K186">
            <v>0</v>
          </cell>
          <cell r="L186" t="str">
            <v>α端材</v>
          </cell>
          <cell r="M186"/>
          <cell r="O186">
            <v>2</v>
          </cell>
          <cell r="P186">
            <v>0</v>
          </cell>
          <cell r="T186" t="str">
            <v>000000000009999</v>
          </cell>
        </row>
        <row r="187">
          <cell r="C187" t="str">
            <v>8FL281304 4810　L=297</v>
          </cell>
          <cell r="D187">
            <v>45994</v>
          </cell>
          <cell r="E187" t="str">
            <v>25J23-10</v>
          </cell>
          <cell r="F187"/>
          <cell r="G187"/>
          <cell r="H187"/>
          <cell r="I187" t="str">
            <v>25J23-10</v>
          </cell>
          <cell r="J187">
            <v>14</v>
          </cell>
          <cell r="K187">
            <v>2</v>
          </cell>
          <cell r="L187">
            <v>46015</v>
          </cell>
          <cell r="M187">
            <v>3</v>
          </cell>
          <cell r="O187">
            <v>46015</v>
          </cell>
          <cell r="P187">
            <v>1</v>
          </cell>
          <cell r="T187" t="str">
            <v>000000000009996</v>
          </cell>
        </row>
        <row r="188">
          <cell r="C188"/>
          <cell r="D188">
            <v>46014</v>
          </cell>
          <cell r="E188" t="str">
            <v>25L15-03</v>
          </cell>
          <cell r="F188">
            <v>20</v>
          </cell>
          <cell r="G188">
            <v>297</v>
          </cell>
          <cell r="H188">
            <v>296.89999999999998</v>
          </cell>
          <cell r="I188" t="str">
            <v>25L15-03</v>
          </cell>
          <cell r="J188">
            <v>250</v>
          </cell>
          <cell r="K188">
            <v>42</v>
          </cell>
          <cell r="L188"/>
          <cell r="M188"/>
          <cell r="O188">
            <v>300</v>
          </cell>
          <cell r="P188"/>
          <cell r="T188" t="str">
            <v>000000000009996</v>
          </cell>
        </row>
        <row r="189">
          <cell r="C189">
            <v>300</v>
          </cell>
          <cell r="D189">
            <v>46014</v>
          </cell>
          <cell r="E189" t="str">
            <v>25L15-03</v>
          </cell>
          <cell r="F189">
            <v>20</v>
          </cell>
          <cell r="G189">
            <v>297</v>
          </cell>
          <cell r="H189">
            <v>296.99</v>
          </cell>
          <cell r="I189"/>
          <cell r="J189"/>
          <cell r="K189">
            <v>0</v>
          </cell>
          <cell r="L189"/>
          <cell r="M189"/>
          <cell r="O189">
            <v>44</v>
          </cell>
          <cell r="P189"/>
          <cell r="T189" t="str">
            <v>000000000009996</v>
          </cell>
        </row>
        <row r="190">
          <cell r="C190"/>
          <cell r="D190"/>
          <cell r="E190"/>
          <cell r="F190"/>
          <cell r="G190" t="str">
            <v/>
          </cell>
          <cell r="H190"/>
          <cell r="I190"/>
          <cell r="J190"/>
          <cell r="K190">
            <v>0</v>
          </cell>
          <cell r="L190"/>
          <cell r="M190"/>
          <cell r="O190">
            <v>1</v>
          </cell>
          <cell r="P190"/>
          <cell r="T190" t="str">
            <v>000000000009996</v>
          </cell>
        </row>
        <row r="191">
          <cell r="C191">
            <v>6</v>
          </cell>
          <cell r="D191"/>
          <cell r="E191"/>
          <cell r="F191"/>
          <cell r="G191" t="str">
            <v/>
          </cell>
          <cell r="H191"/>
          <cell r="I191"/>
          <cell r="J191"/>
          <cell r="K191">
            <v>0</v>
          </cell>
          <cell r="L191"/>
          <cell r="M191"/>
          <cell r="O191">
            <v>1</v>
          </cell>
          <cell r="P191"/>
          <cell r="T191" t="str">
            <v>000000000009996</v>
          </cell>
        </row>
        <row r="192">
          <cell r="C192" t="str">
            <v>LED-A300</v>
          </cell>
          <cell r="D192"/>
          <cell r="E192"/>
          <cell r="F192"/>
          <cell r="G192" t="str">
            <v/>
          </cell>
          <cell r="H192"/>
          <cell r="I192"/>
          <cell r="J192"/>
          <cell r="K192">
            <v>0</v>
          </cell>
          <cell r="L192" t="str">
            <v>切断</v>
          </cell>
          <cell r="M192" t="str">
            <v>m</v>
          </cell>
          <cell r="O192">
            <v>39</v>
          </cell>
          <cell r="P192"/>
          <cell r="T192" t="str">
            <v>000000000009996</v>
          </cell>
        </row>
        <row r="193">
          <cell r="C193">
            <v>3</v>
          </cell>
          <cell r="D193"/>
          <cell r="E193"/>
          <cell r="F193"/>
          <cell r="G193" t="str">
            <v/>
          </cell>
          <cell r="H193"/>
          <cell r="I193"/>
          <cell r="J193"/>
          <cell r="K193">
            <v>0</v>
          </cell>
          <cell r="L193" t="str">
            <v>検査</v>
          </cell>
          <cell r="M193" t="str">
            <v>u</v>
          </cell>
          <cell r="O193">
            <v>37</v>
          </cell>
          <cell r="P193"/>
          <cell r="T193" t="str">
            <v>000000000009996</v>
          </cell>
        </row>
        <row r="194">
          <cell r="C194"/>
          <cell r="D194"/>
          <cell r="E194"/>
          <cell r="F194"/>
          <cell r="G194" t="str">
            <v/>
          </cell>
          <cell r="H194"/>
          <cell r="I194"/>
          <cell r="J194"/>
          <cell r="K194">
            <v>0</v>
          </cell>
          <cell r="L194" t="str">
            <v>α端材</v>
          </cell>
          <cell r="M194"/>
          <cell r="O194">
            <v>2</v>
          </cell>
          <cell r="P194">
            <v>1</v>
          </cell>
          <cell r="T194" t="str">
            <v>000000000009996</v>
          </cell>
        </row>
        <row r="195">
          <cell r="C195" t="str">
            <v>8FL281304 6110　L=1478</v>
          </cell>
          <cell r="D195"/>
          <cell r="E195"/>
          <cell r="F195"/>
          <cell r="G195"/>
          <cell r="H195"/>
          <cell r="I195">
            <v>0</v>
          </cell>
          <cell r="J195"/>
          <cell r="K195">
            <v>0</v>
          </cell>
          <cell r="L195">
            <v>46015</v>
          </cell>
          <cell r="M195">
            <v>5</v>
          </cell>
          <cell r="O195">
            <v>46016</v>
          </cell>
          <cell r="P195">
            <v>5</v>
          </cell>
          <cell r="T195" t="str">
            <v>000000000010006</v>
          </cell>
        </row>
        <row r="196">
          <cell r="C196"/>
          <cell r="D196">
            <v>46014</v>
          </cell>
          <cell r="E196" t="str">
            <v>25L15-03</v>
          </cell>
          <cell r="F196">
            <v>20</v>
          </cell>
          <cell r="G196">
            <v>1478</v>
          </cell>
          <cell r="H196">
            <v>1478.02</v>
          </cell>
          <cell r="I196" t="str">
            <v>25L15-03</v>
          </cell>
          <cell r="J196">
            <v>528</v>
          </cell>
          <cell r="K196">
            <v>528</v>
          </cell>
          <cell r="L196">
            <v>46016</v>
          </cell>
          <cell r="M196">
            <v>3</v>
          </cell>
          <cell r="O196">
            <v>800</v>
          </cell>
          <cell r="P196"/>
          <cell r="T196" t="str">
            <v>000000000010006</v>
          </cell>
        </row>
        <row r="197">
          <cell r="C197">
            <v>800</v>
          </cell>
          <cell r="D197">
            <v>46014</v>
          </cell>
          <cell r="E197" t="str">
            <v>25L15-03</v>
          </cell>
          <cell r="F197">
            <v>20</v>
          </cell>
          <cell r="G197">
            <v>1478</v>
          </cell>
          <cell r="H197">
            <v>1478.07</v>
          </cell>
          <cell r="I197" t="str">
            <v>25L16-04</v>
          </cell>
          <cell r="J197">
            <v>277</v>
          </cell>
          <cell r="K197">
            <v>277</v>
          </cell>
          <cell r="L197"/>
          <cell r="M197"/>
          <cell r="O197">
            <v>805</v>
          </cell>
          <cell r="P197"/>
          <cell r="T197" t="str">
            <v>000000000010006</v>
          </cell>
        </row>
        <row r="198">
          <cell r="C198"/>
          <cell r="D198">
            <v>46015</v>
          </cell>
          <cell r="E198" t="str">
            <v>25L15-03</v>
          </cell>
          <cell r="F198">
            <v>20</v>
          </cell>
          <cell r="G198">
            <v>1478</v>
          </cell>
          <cell r="H198">
            <v>1478.13</v>
          </cell>
          <cell r="I198"/>
          <cell r="J198"/>
          <cell r="K198">
            <v>0</v>
          </cell>
          <cell r="L198"/>
          <cell r="M198"/>
          <cell r="O198">
            <v>5</v>
          </cell>
          <cell r="P198"/>
          <cell r="T198" t="str">
            <v>000000000010006</v>
          </cell>
        </row>
        <row r="199">
          <cell r="C199">
            <v>1</v>
          </cell>
          <cell r="D199">
            <v>46015</v>
          </cell>
          <cell r="E199" t="str">
            <v>25L16-04</v>
          </cell>
          <cell r="F199">
            <v>20</v>
          </cell>
          <cell r="G199">
            <v>1478</v>
          </cell>
          <cell r="H199">
            <v>1478.04</v>
          </cell>
          <cell r="I199"/>
          <cell r="J199"/>
          <cell r="K199">
            <v>0</v>
          </cell>
          <cell r="L199"/>
          <cell r="M199"/>
          <cell r="O199">
            <v>5</v>
          </cell>
          <cell r="P199"/>
          <cell r="T199" t="str">
            <v>000000000010006</v>
          </cell>
        </row>
        <row r="200">
          <cell r="C200" t="str">
            <v>LED-A1478</v>
          </cell>
          <cell r="D200"/>
          <cell r="E200"/>
          <cell r="F200"/>
          <cell r="G200" t="str">
            <v/>
          </cell>
          <cell r="H200"/>
          <cell r="I200"/>
          <cell r="J200"/>
          <cell r="K200">
            <v>0</v>
          </cell>
          <cell r="L200" t="str">
            <v>切断</v>
          </cell>
          <cell r="M200" t="str">
            <v>m</v>
          </cell>
          <cell r="O200">
            <v>0</v>
          </cell>
          <cell r="P200"/>
          <cell r="T200" t="str">
            <v>000000000010006</v>
          </cell>
        </row>
        <row r="201">
          <cell r="C201">
            <v>8</v>
          </cell>
          <cell r="D201"/>
          <cell r="E201"/>
          <cell r="F201"/>
          <cell r="G201" t="str">
            <v/>
          </cell>
          <cell r="H201"/>
          <cell r="I201"/>
          <cell r="J201"/>
          <cell r="K201">
            <v>0</v>
          </cell>
          <cell r="L201" t="str">
            <v>検査</v>
          </cell>
          <cell r="M201" t="str">
            <v>t</v>
          </cell>
          <cell r="O201"/>
          <cell r="P201"/>
          <cell r="T201" t="str">
            <v>000000000010006</v>
          </cell>
        </row>
        <row r="202">
          <cell r="C202"/>
          <cell r="D202"/>
          <cell r="E202"/>
          <cell r="F202"/>
          <cell r="G202" t="str">
            <v/>
          </cell>
          <cell r="H202"/>
          <cell r="I202"/>
          <cell r="J202"/>
          <cell r="K202">
            <v>0</v>
          </cell>
          <cell r="L202" t="str">
            <v>α端材</v>
          </cell>
          <cell r="M202"/>
          <cell r="O202">
            <v>0</v>
          </cell>
          <cell r="P202">
            <v>5</v>
          </cell>
          <cell r="T202" t="str">
            <v>000000000010006</v>
          </cell>
        </row>
        <row r="203">
          <cell r="C203" t="str">
            <v>8FL281304 8310　L=748</v>
          </cell>
          <cell r="D203"/>
          <cell r="E203"/>
          <cell r="F203"/>
          <cell r="G203"/>
          <cell r="H203"/>
          <cell r="I203">
            <v>0</v>
          </cell>
          <cell r="J203"/>
          <cell r="K203">
            <v>0</v>
          </cell>
          <cell r="L203">
            <v>46016</v>
          </cell>
          <cell r="M203">
            <v>4</v>
          </cell>
          <cell r="O203">
            <v>46016</v>
          </cell>
          <cell r="P203">
            <v>6</v>
          </cell>
          <cell r="T203" t="str">
            <v>000000000010707</v>
          </cell>
        </row>
        <row r="204">
          <cell r="C204"/>
          <cell r="D204">
            <v>46016</v>
          </cell>
          <cell r="E204" t="str">
            <v>25L16-04</v>
          </cell>
          <cell r="F204">
            <v>20</v>
          </cell>
          <cell r="G204">
            <v>748</v>
          </cell>
          <cell r="H204">
            <v>748.06</v>
          </cell>
          <cell r="I204" t="str">
            <v>25L16-04</v>
          </cell>
          <cell r="J204">
            <v>406</v>
          </cell>
          <cell r="K204">
            <v>203</v>
          </cell>
          <cell r="L204"/>
          <cell r="M204"/>
          <cell r="O204">
            <v>400</v>
          </cell>
          <cell r="P204"/>
          <cell r="T204" t="str">
            <v>000000000010707</v>
          </cell>
        </row>
        <row r="205">
          <cell r="C205">
            <v>400</v>
          </cell>
          <cell r="D205">
            <v>46016</v>
          </cell>
          <cell r="E205"/>
          <cell r="F205">
            <v>20</v>
          </cell>
          <cell r="G205">
            <v>748</v>
          </cell>
          <cell r="H205">
            <v>747.94</v>
          </cell>
          <cell r="I205"/>
          <cell r="J205"/>
          <cell r="K205">
            <v>0</v>
          </cell>
          <cell r="L205"/>
          <cell r="M205"/>
          <cell r="O205">
            <v>203</v>
          </cell>
          <cell r="P205"/>
          <cell r="T205" t="str">
            <v>000000000010707</v>
          </cell>
        </row>
        <row r="206">
          <cell r="C206"/>
          <cell r="D206"/>
          <cell r="E206"/>
          <cell r="F206"/>
          <cell r="G206" t="str">
            <v/>
          </cell>
          <cell r="H206"/>
          <cell r="I206"/>
          <cell r="J206"/>
          <cell r="K206">
            <v>0</v>
          </cell>
          <cell r="L206"/>
          <cell r="M206"/>
          <cell r="O206">
            <v>3</v>
          </cell>
          <cell r="P206"/>
          <cell r="T206" t="str">
            <v>000000000010707</v>
          </cell>
        </row>
        <row r="207">
          <cell r="C207">
            <v>2</v>
          </cell>
          <cell r="D207"/>
          <cell r="E207"/>
          <cell r="F207"/>
          <cell r="G207" t="str">
            <v/>
          </cell>
          <cell r="H207"/>
          <cell r="I207"/>
          <cell r="J207"/>
          <cell r="K207">
            <v>0</v>
          </cell>
          <cell r="L207"/>
          <cell r="M207"/>
          <cell r="O207">
            <v>6</v>
          </cell>
          <cell r="P207"/>
          <cell r="T207" t="str">
            <v>000000000010707</v>
          </cell>
        </row>
        <row r="208">
          <cell r="C208" t="str">
            <v>LED-A888</v>
          </cell>
          <cell r="D208"/>
          <cell r="E208"/>
          <cell r="F208"/>
          <cell r="G208" t="str">
            <v/>
          </cell>
          <cell r="H208"/>
          <cell r="I208"/>
          <cell r="J208"/>
          <cell r="K208">
            <v>0</v>
          </cell>
          <cell r="L208" t="str">
            <v>切断</v>
          </cell>
          <cell r="M208" t="str">
            <v>c</v>
          </cell>
          <cell r="O208">
            <v>0</v>
          </cell>
          <cell r="P208"/>
          <cell r="T208" t="str">
            <v>000000000010707</v>
          </cell>
        </row>
        <row r="209">
          <cell r="C209">
            <v>4</v>
          </cell>
          <cell r="D209"/>
          <cell r="E209"/>
          <cell r="F209"/>
          <cell r="G209" t="str">
            <v/>
          </cell>
          <cell r="H209"/>
          <cell r="I209"/>
          <cell r="J209"/>
          <cell r="K209">
            <v>0</v>
          </cell>
          <cell r="L209" t="str">
            <v>検査</v>
          </cell>
          <cell r="M209" t="str">
            <v>u</v>
          </cell>
          <cell r="O209"/>
          <cell r="P209"/>
          <cell r="T209" t="str">
            <v>000000000010707</v>
          </cell>
        </row>
        <row r="210">
          <cell r="C210"/>
          <cell r="D210"/>
          <cell r="E210"/>
          <cell r="F210"/>
          <cell r="G210" t="str">
            <v/>
          </cell>
          <cell r="H210"/>
          <cell r="I210"/>
          <cell r="J210"/>
          <cell r="K210">
            <v>0</v>
          </cell>
          <cell r="L210" t="str">
            <v>α端材</v>
          </cell>
          <cell r="M210"/>
          <cell r="O210">
            <v>0</v>
          </cell>
          <cell r="P210">
            <v>6</v>
          </cell>
          <cell r="T210" t="str">
            <v>000000000010707</v>
          </cell>
        </row>
        <row r="211">
          <cell r="C211" t="str">
            <v>8FL281304 8310　L=748</v>
          </cell>
          <cell r="D211">
            <v>46003</v>
          </cell>
          <cell r="E211" t="str">
            <v>25L14-02</v>
          </cell>
          <cell r="F211"/>
          <cell r="G211"/>
          <cell r="H211"/>
          <cell r="I211" t="str">
            <v>25L14-02</v>
          </cell>
          <cell r="J211">
            <v>2</v>
          </cell>
          <cell r="K211">
            <v>1</v>
          </cell>
          <cell r="L211">
            <v>46016</v>
          </cell>
          <cell r="M211">
            <v>2</v>
          </cell>
          <cell r="O211">
            <v>46016</v>
          </cell>
          <cell r="P211">
            <v>1</v>
          </cell>
          <cell r="T211" t="str">
            <v>000000000010332</v>
          </cell>
        </row>
        <row r="212">
          <cell r="C212"/>
          <cell r="D212">
            <v>46015</v>
          </cell>
          <cell r="E212" t="str">
            <v>25L16-04</v>
          </cell>
          <cell r="F212">
            <v>20</v>
          </cell>
          <cell r="G212">
            <v>748</v>
          </cell>
          <cell r="H212">
            <v>747.99</v>
          </cell>
          <cell r="I212" t="str">
            <v>25L16-04</v>
          </cell>
          <cell r="J212">
            <v>199</v>
          </cell>
          <cell r="K212">
            <v>100</v>
          </cell>
          <cell r="L212"/>
          <cell r="M212"/>
          <cell r="O212">
            <v>200</v>
          </cell>
          <cell r="P212"/>
          <cell r="T212" t="str">
            <v>000000000010332</v>
          </cell>
        </row>
        <row r="213">
          <cell r="C213">
            <v>200</v>
          </cell>
          <cell r="D213">
            <v>46015</v>
          </cell>
          <cell r="E213" t="str">
            <v>25L16-04</v>
          </cell>
          <cell r="F213">
            <v>20</v>
          </cell>
          <cell r="G213">
            <v>748</v>
          </cell>
          <cell r="H213">
            <v>748.08</v>
          </cell>
          <cell r="I213"/>
          <cell r="J213"/>
          <cell r="K213">
            <v>0</v>
          </cell>
          <cell r="L213"/>
          <cell r="M213"/>
          <cell r="O213">
            <v>101</v>
          </cell>
          <cell r="P213"/>
          <cell r="T213" t="str">
            <v>000000000010332</v>
          </cell>
        </row>
        <row r="214">
          <cell r="C214"/>
          <cell r="D214">
            <v>46016</v>
          </cell>
          <cell r="E214" t="str">
            <v>25L16-04</v>
          </cell>
          <cell r="F214">
            <v>20</v>
          </cell>
          <cell r="G214">
            <v>748</v>
          </cell>
          <cell r="H214">
            <v>748.07</v>
          </cell>
          <cell r="I214"/>
          <cell r="J214"/>
          <cell r="K214">
            <v>0</v>
          </cell>
          <cell r="L214"/>
          <cell r="M214"/>
          <cell r="O214">
            <v>1</v>
          </cell>
          <cell r="P214"/>
          <cell r="T214" t="str">
            <v>000000000010332</v>
          </cell>
        </row>
        <row r="215">
          <cell r="C215">
            <v>2</v>
          </cell>
          <cell r="D215"/>
          <cell r="E215"/>
          <cell r="F215"/>
          <cell r="G215" t="str">
            <v/>
          </cell>
          <cell r="H215"/>
          <cell r="I215"/>
          <cell r="J215"/>
          <cell r="K215">
            <v>0</v>
          </cell>
          <cell r="L215"/>
          <cell r="M215"/>
          <cell r="O215">
            <v>1</v>
          </cell>
          <cell r="P215"/>
          <cell r="T215" t="str">
            <v>000000000010332</v>
          </cell>
        </row>
        <row r="216">
          <cell r="C216" t="str">
            <v>LED-A888</v>
          </cell>
          <cell r="D216"/>
          <cell r="E216"/>
          <cell r="F216"/>
          <cell r="G216" t="str">
            <v/>
          </cell>
          <cell r="H216"/>
          <cell r="I216"/>
          <cell r="J216"/>
          <cell r="K216">
            <v>0</v>
          </cell>
          <cell r="L216" t="str">
            <v>切断</v>
          </cell>
          <cell r="M216" t="str">
            <v>m</v>
          </cell>
          <cell r="O216">
            <v>0</v>
          </cell>
          <cell r="P216"/>
          <cell r="T216" t="str">
            <v>000000000010332</v>
          </cell>
        </row>
        <row r="217">
          <cell r="C217">
            <v>2</v>
          </cell>
          <cell r="D217"/>
          <cell r="E217"/>
          <cell r="F217"/>
          <cell r="G217" t="str">
            <v/>
          </cell>
          <cell r="H217"/>
          <cell r="I217"/>
          <cell r="J217"/>
          <cell r="K217">
            <v>0</v>
          </cell>
          <cell r="L217" t="str">
            <v>検査</v>
          </cell>
          <cell r="M217" t="str">
            <v>t</v>
          </cell>
          <cell r="O217"/>
          <cell r="P217"/>
          <cell r="T217" t="str">
            <v>000000000010332</v>
          </cell>
        </row>
        <row r="218">
          <cell r="C218"/>
          <cell r="D218"/>
          <cell r="E218"/>
          <cell r="F218"/>
          <cell r="G218" t="str">
            <v/>
          </cell>
          <cell r="H218"/>
          <cell r="I218"/>
          <cell r="J218"/>
          <cell r="K218">
            <v>0</v>
          </cell>
          <cell r="L218" t="str">
            <v>α端材</v>
          </cell>
          <cell r="M218"/>
          <cell r="O218">
            <v>0</v>
          </cell>
          <cell r="P218">
            <v>1</v>
          </cell>
          <cell r="T218" t="str">
            <v>000000000010332</v>
          </cell>
        </row>
        <row r="219">
          <cell r="C219" t="str">
            <v>8FL281304 8310　L=748</v>
          </cell>
          <cell r="D219"/>
          <cell r="E219"/>
          <cell r="F219"/>
          <cell r="G219"/>
          <cell r="H219"/>
          <cell r="I219">
            <v>0</v>
          </cell>
          <cell r="J219"/>
          <cell r="K219">
            <v>0</v>
          </cell>
          <cell r="L219">
            <v>46016</v>
          </cell>
          <cell r="M219">
            <v>2</v>
          </cell>
          <cell r="O219">
            <v>46016</v>
          </cell>
          <cell r="P219">
            <v>1</v>
          </cell>
          <cell r="T219" t="str">
            <v>000000000010501</v>
          </cell>
        </row>
        <row r="220">
          <cell r="C220"/>
          <cell r="D220">
            <v>46016</v>
          </cell>
          <cell r="E220" t="str">
            <v>25L16-04</v>
          </cell>
          <cell r="F220">
            <v>20</v>
          </cell>
          <cell r="G220">
            <v>748</v>
          </cell>
          <cell r="H220">
            <v>748.89</v>
          </cell>
          <cell r="I220" t="str">
            <v>25L16-04</v>
          </cell>
          <cell r="J220">
            <v>202</v>
          </cell>
          <cell r="K220">
            <v>101</v>
          </cell>
          <cell r="L220"/>
          <cell r="M220"/>
          <cell r="O220">
            <v>200</v>
          </cell>
          <cell r="P220"/>
          <cell r="T220" t="str">
            <v>000000000010501</v>
          </cell>
        </row>
        <row r="221">
          <cell r="C221">
            <v>200</v>
          </cell>
          <cell r="D221">
            <v>46016</v>
          </cell>
          <cell r="E221" t="str">
            <v>25L16-04</v>
          </cell>
          <cell r="F221">
            <v>20</v>
          </cell>
          <cell r="G221">
            <v>748</v>
          </cell>
          <cell r="H221">
            <v>748.18</v>
          </cell>
          <cell r="I221"/>
          <cell r="J221"/>
          <cell r="K221">
            <v>0</v>
          </cell>
          <cell r="L221"/>
          <cell r="M221"/>
          <cell r="O221">
            <v>101</v>
          </cell>
          <cell r="P221"/>
          <cell r="T221" t="str">
            <v>000000000010501</v>
          </cell>
        </row>
        <row r="222">
          <cell r="C222"/>
          <cell r="D222"/>
          <cell r="E222"/>
          <cell r="F222"/>
          <cell r="G222" t="str">
            <v/>
          </cell>
          <cell r="H222"/>
          <cell r="I222"/>
          <cell r="J222"/>
          <cell r="K222">
            <v>0</v>
          </cell>
          <cell r="L222"/>
          <cell r="M222"/>
          <cell r="O222">
            <v>1</v>
          </cell>
          <cell r="P222"/>
          <cell r="T222" t="str">
            <v>000000000010501</v>
          </cell>
        </row>
        <row r="223">
          <cell r="C223">
            <v>2</v>
          </cell>
          <cell r="D223"/>
          <cell r="E223"/>
          <cell r="F223"/>
          <cell r="G223" t="str">
            <v/>
          </cell>
          <cell r="H223"/>
          <cell r="I223"/>
          <cell r="J223"/>
          <cell r="K223">
            <v>0</v>
          </cell>
          <cell r="L223"/>
          <cell r="M223"/>
          <cell r="O223">
            <v>2</v>
          </cell>
          <cell r="P223"/>
          <cell r="T223" t="str">
            <v>000000000010501</v>
          </cell>
        </row>
        <row r="224">
          <cell r="C224" t="str">
            <v>LED-A888</v>
          </cell>
          <cell r="D224"/>
          <cell r="E224"/>
          <cell r="F224"/>
          <cell r="G224" t="str">
            <v/>
          </cell>
          <cell r="H224"/>
          <cell r="I224"/>
          <cell r="J224"/>
          <cell r="K224">
            <v>0</v>
          </cell>
          <cell r="L224" t="str">
            <v>切断</v>
          </cell>
          <cell r="M224" t="str">
            <v>m</v>
          </cell>
          <cell r="O224">
            <v>0</v>
          </cell>
          <cell r="P224"/>
          <cell r="T224" t="str">
            <v>000000000010501</v>
          </cell>
        </row>
        <row r="225">
          <cell r="C225">
            <v>2</v>
          </cell>
          <cell r="D225"/>
          <cell r="E225"/>
          <cell r="F225"/>
          <cell r="G225" t="str">
            <v/>
          </cell>
          <cell r="H225"/>
          <cell r="I225"/>
          <cell r="J225"/>
          <cell r="K225">
            <v>0</v>
          </cell>
          <cell r="L225" t="str">
            <v>検査</v>
          </cell>
          <cell r="M225" t="str">
            <v>t</v>
          </cell>
          <cell r="O225"/>
          <cell r="P225">
            <v>1</v>
          </cell>
          <cell r="T225" t="str">
            <v>000000000010501</v>
          </cell>
        </row>
        <row r="226">
          <cell r="C226"/>
          <cell r="D226"/>
          <cell r="E226"/>
          <cell r="F226"/>
          <cell r="G226" t="str">
            <v/>
          </cell>
          <cell r="H226"/>
          <cell r="I226"/>
          <cell r="J226"/>
          <cell r="K226">
            <v>0</v>
          </cell>
          <cell r="L226" t="str">
            <v>α端材</v>
          </cell>
          <cell r="M226"/>
          <cell r="O226">
            <v>0</v>
          </cell>
          <cell r="P226">
            <v>2</v>
          </cell>
          <cell r="T226" t="str">
            <v>000000000010501</v>
          </cell>
        </row>
        <row r="227">
          <cell r="C227" t="str">
            <v>8FL281304 4910　L=592</v>
          </cell>
          <cell r="D227">
            <v>46015</v>
          </cell>
          <cell r="E227" t="str">
            <v>25L15-03</v>
          </cell>
          <cell r="F227"/>
          <cell r="G227"/>
          <cell r="H227"/>
          <cell r="I227" t="str">
            <v>25L15-03</v>
          </cell>
          <cell r="J227">
            <v>1</v>
          </cell>
          <cell r="K227">
            <v>0</v>
          </cell>
          <cell r="L227">
            <v>46017</v>
          </cell>
          <cell r="M227">
            <v>1</v>
          </cell>
          <cell r="O227">
            <v>46017</v>
          </cell>
          <cell r="P227"/>
          <cell r="T227" t="str">
            <v>000000000010000</v>
          </cell>
        </row>
        <row r="228">
          <cell r="C228"/>
          <cell r="D228">
            <v>46016</v>
          </cell>
          <cell r="E228" t="str">
            <v>25L16-04</v>
          </cell>
          <cell r="F228">
            <v>20</v>
          </cell>
          <cell r="G228">
            <v>591.5</v>
          </cell>
          <cell r="H228">
            <v>591.62</v>
          </cell>
          <cell r="I228" t="str">
            <v>25L16-04</v>
          </cell>
          <cell r="J228">
            <v>99</v>
          </cell>
          <cell r="K228">
            <v>33</v>
          </cell>
          <cell r="L228"/>
          <cell r="M228"/>
          <cell r="O228">
            <v>100</v>
          </cell>
          <cell r="P228"/>
          <cell r="T228" t="str">
            <v>000000000010000</v>
          </cell>
        </row>
        <row r="229">
          <cell r="C229">
            <v>100</v>
          </cell>
          <cell r="D229">
            <v>46016</v>
          </cell>
          <cell r="E229" t="str">
            <v>25L16-04</v>
          </cell>
          <cell r="F229">
            <v>20</v>
          </cell>
          <cell r="G229">
            <v>591.5</v>
          </cell>
          <cell r="H229">
            <v>591.64</v>
          </cell>
          <cell r="I229"/>
          <cell r="J229"/>
          <cell r="K229">
            <v>0</v>
          </cell>
          <cell r="L229"/>
          <cell r="M229"/>
          <cell r="O229">
            <v>34</v>
          </cell>
          <cell r="P229"/>
          <cell r="T229" t="str">
            <v>000000000010000</v>
          </cell>
        </row>
        <row r="230">
          <cell r="C230"/>
          <cell r="D230"/>
          <cell r="E230"/>
          <cell r="F230"/>
          <cell r="G230" t="str">
            <v/>
          </cell>
          <cell r="H230"/>
          <cell r="I230"/>
          <cell r="J230"/>
          <cell r="K230">
            <v>0</v>
          </cell>
          <cell r="L230"/>
          <cell r="M230"/>
          <cell r="O230">
            <v>0</v>
          </cell>
          <cell r="P230"/>
          <cell r="T230" t="str">
            <v>000000000010000</v>
          </cell>
        </row>
        <row r="231">
          <cell r="C231">
            <v>3</v>
          </cell>
          <cell r="D231"/>
          <cell r="E231"/>
          <cell r="F231"/>
          <cell r="G231" t="str">
            <v/>
          </cell>
          <cell r="H231"/>
          <cell r="I231"/>
          <cell r="J231"/>
          <cell r="K231">
            <v>0</v>
          </cell>
          <cell r="L231"/>
          <cell r="M231"/>
          <cell r="O231">
            <v>0</v>
          </cell>
          <cell r="P231"/>
          <cell r="T231" t="str">
            <v>000000000010000</v>
          </cell>
        </row>
        <row r="232">
          <cell r="C232" t="str">
            <v>LED-A592</v>
          </cell>
          <cell r="D232"/>
          <cell r="E232"/>
          <cell r="F232"/>
          <cell r="G232" t="str">
            <v/>
          </cell>
          <cell r="H232"/>
          <cell r="I232"/>
          <cell r="J232"/>
          <cell r="K232">
            <v>0</v>
          </cell>
          <cell r="L232" t="str">
            <v>切断</v>
          </cell>
          <cell r="M232" t="str">
            <v>c</v>
          </cell>
          <cell r="O232">
            <v>1</v>
          </cell>
          <cell r="P232"/>
          <cell r="T232" t="str">
            <v>000000000010000</v>
          </cell>
        </row>
        <row r="233">
          <cell r="C233">
            <v>1</v>
          </cell>
          <cell r="D233"/>
          <cell r="E233"/>
          <cell r="F233"/>
          <cell r="G233" t="str">
            <v/>
          </cell>
          <cell r="H233"/>
          <cell r="I233"/>
          <cell r="J233"/>
          <cell r="K233">
            <v>0</v>
          </cell>
          <cell r="L233" t="str">
            <v>検査</v>
          </cell>
          <cell r="M233" t="str">
            <v>t</v>
          </cell>
          <cell r="O233"/>
          <cell r="P233"/>
          <cell r="T233" t="str">
            <v>000000000010000</v>
          </cell>
        </row>
        <row r="234">
          <cell r="C234"/>
          <cell r="D234"/>
          <cell r="E234"/>
          <cell r="F234"/>
          <cell r="G234" t="str">
            <v/>
          </cell>
          <cell r="H234"/>
          <cell r="I234"/>
          <cell r="J234"/>
          <cell r="K234">
            <v>0</v>
          </cell>
          <cell r="L234" t="str">
            <v>α端材</v>
          </cell>
          <cell r="M234"/>
          <cell r="O234">
            <v>1</v>
          </cell>
          <cell r="P234">
            <v>0</v>
          </cell>
          <cell r="T234" t="str">
            <v>000000000010000</v>
          </cell>
        </row>
        <row r="235">
          <cell r="C235" t="str">
            <v>8FL281304 4810　L=297</v>
          </cell>
          <cell r="D235">
            <v>46015</v>
          </cell>
          <cell r="E235" t="str">
            <v>25L15-03</v>
          </cell>
          <cell r="F235"/>
          <cell r="G235"/>
          <cell r="H235"/>
          <cell r="I235" t="str">
            <v>25L15-03</v>
          </cell>
          <cell r="J235">
            <v>14</v>
          </cell>
          <cell r="K235">
            <v>2</v>
          </cell>
          <cell r="L235">
            <v>46016</v>
          </cell>
          <cell r="M235">
            <v>2</v>
          </cell>
          <cell r="O235">
            <v>46016</v>
          </cell>
          <cell r="P235">
            <v>3</v>
          </cell>
          <cell r="T235" t="str">
            <v>000000000009997</v>
          </cell>
        </row>
        <row r="236">
          <cell r="C236"/>
          <cell r="D236">
            <v>46016</v>
          </cell>
          <cell r="E236" t="str">
            <v>25L16-04</v>
          </cell>
          <cell r="F236">
            <v>20</v>
          </cell>
          <cell r="G236">
            <v>297</v>
          </cell>
          <cell r="H236">
            <v>297.27</v>
          </cell>
          <cell r="I236" t="str">
            <v>25L16-04</v>
          </cell>
          <cell r="J236">
            <v>289</v>
          </cell>
          <cell r="K236">
            <v>49</v>
          </cell>
          <cell r="L236"/>
          <cell r="M236"/>
          <cell r="O236">
            <v>300</v>
          </cell>
          <cell r="P236"/>
          <cell r="T236" t="str">
            <v>000000000009997</v>
          </cell>
        </row>
        <row r="237">
          <cell r="C237">
            <v>300</v>
          </cell>
          <cell r="D237">
            <v>46016</v>
          </cell>
          <cell r="E237" t="str">
            <v>25L16-04</v>
          </cell>
          <cell r="F237">
            <v>20</v>
          </cell>
          <cell r="G237">
            <v>297</v>
          </cell>
          <cell r="H237">
            <v>297.08999999999997</v>
          </cell>
          <cell r="I237"/>
          <cell r="J237"/>
          <cell r="K237">
            <v>0</v>
          </cell>
          <cell r="L237"/>
          <cell r="M237"/>
          <cell r="O237">
            <v>51</v>
          </cell>
          <cell r="P237"/>
          <cell r="T237" t="str">
            <v>000000000009997</v>
          </cell>
        </row>
        <row r="238">
          <cell r="C238"/>
          <cell r="D238"/>
          <cell r="E238"/>
          <cell r="F238"/>
          <cell r="G238" t="str">
            <v/>
          </cell>
          <cell r="H238"/>
          <cell r="I238"/>
          <cell r="J238"/>
          <cell r="K238">
            <v>0</v>
          </cell>
          <cell r="L238"/>
          <cell r="M238"/>
          <cell r="O238">
            <v>1</v>
          </cell>
          <cell r="P238"/>
          <cell r="T238" t="str">
            <v>000000000009997</v>
          </cell>
        </row>
        <row r="239">
          <cell r="C239">
            <v>6</v>
          </cell>
          <cell r="D239"/>
          <cell r="E239"/>
          <cell r="F239"/>
          <cell r="G239" t="str">
            <v/>
          </cell>
          <cell r="H239"/>
          <cell r="I239"/>
          <cell r="J239"/>
          <cell r="K239">
            <v>0</v>
          </cell>
          <cell r="L239"/>
          <cell r="M239"/>
          <cell r="O239">
            <v>3</v>
          </cell>
          <cell r="P239"/>
          <cell r="T239" t="str">
            <v>000000000009997</v>
          </cell>
        </row>
        <row r="240">
          <cell r="C240" t="str">
            <v>LED-A300</v>
          </cell>
          <cell r="D240"/>
          <cell r="E240"/>
          <cell r="F240"/>
          <cell r="G240" t="str">
            <v/>
          </cell>
          <cell r="H240"/>
          <cell r="I240"/>
          <cell r="J240"/>
          <cell r="K240">
            <v>0</v>
          </cell>
          <cell r="L240" t="str">
            <v>切断</v>
          </cell>
          <cell r="M240" t="str">
            <v>c</v>
          </cell>
          <cell r="O240">
            <v>2</v>
          </cell>
          <cell r="P240"/>
          <cell r="T240" t="str">
            <v>000000000009997</v>
          </cell>
        </row>
        <row r="241">
          <cell r="C241">
            <v>2</v>
          </cell>
          <cell r="D241"/>
          <cell r="E241"/>
          <cell r="F241"/>
          <cell r="G241" t="str">
            <v/>
          </cell>
          <cell r="H241"/>
          <cell r="I241"/>
          <cell r="J241"/>
          <cell r="K241">
            <v>0</v>
          </cell>
          <cell r="L241" t="str">
            <v>検査</v>
          </cell>
          <cell r="M241" t="str">
            <v>u</v>
          </cell>
          <cell r="O241"/>
          <cell r="P241"/>
          <cell r="T241" t="str">
            <v>000000000009997</v>
          </cell>
        </row>
        <row r="242">
          <cell r="C242"/>
          <cell r="D242"/>
          <cell r="E242"/>
          <cell r="F242"/>
          <cell r="G242" t="str">
            <v/>
          </cell>
          <cell r="H242"/>
          <cell r="I242"/>
          <cell r="J242"/>
          <cell r="K242">
            <v>0</v>
          </cell>
          <cell r="L242" t="str">
            <v>α端材</v>
          </cell>
          <cell r="M242"/>
          <cell r="O242">
            <v>2</v>
          </cell>
          <cell r="P242">
            <v>3</v>
          </cell>
          <cell r="T242" t="str">
            <v>000000000009997</v>
          </cell>
        </row>
        <row r="243">
          <cell r="C243" t="str">
            <v>8FL281304 4810　L=297</v>
          </cell>
          <cell r="D243"/>
          <cell r="E243"/>
          <cell r="F243"/>
          <cell r="G243"/>
          <cell r="H243"/>
          <cell r="I243">
            <v>0</v>
          </cell>
          <cell r="J243"/>
          <cell r="K243">
            <v>0</v>
          </cell>
          <cell r="L243">
            <v>46016</v>
          </cell>
          <cell r="M243">
            <v>1</v>
          </cell>
          <cell r="O243">
            <v>46017</v>
          </cell>
          <cell r="P243"/>
          <cell r="T243" t="str">
            <v>000000000009998</v>
          </cell>
        </row>
        <row r="244">
          <cell r="C244"/>
          <cell r="D244">
            <v>46016</v>
          </cell>
          <cell r="E244" t="str">
            <v>25L16-04</v>
          </cell>
          <cell r="F244">
            <v>20</v>
          </cell>
          <cell r="G244">
            <v>297</v>
          </cell>
          <cell r="H244">
            <v>297.3</v>
          </cell>
          <cell r="I244" t="str">
            <v>25L16-04</v>
          </cell>
          <cell r="J244">
            <v>144</v>
          </cell>
          <cell r="K244">
            <v>24</v>
          </cell>
          <cell r="L244">
            <v>46017</v>
          </cell>
          <cell r="M244">
            <v>1</v>
          </cell>
          <cell r="O244">
            <v>200</v>
          </cell>
          <cell r="P244"/>
          <cell r="T244" t="str">
            <v>000000000009998</v>
          </cell>
        </row>
        <row r="245">
          <cell r="C245">
            <v>200</v>
          </cell>
          <cell r="D245">
            <v>46016</v>
          </cell>
          <cell r="E245" t="str">
            <v>25L16-04</v>
          </cell>
          <cell r="F245">
            <v>20</v>
          </cell>
          <cell r="G245">
            <v>297</v>
          </cell>
          <cell r="H245">
            <v>297.38</v>
          </cell>
          <cell r="I245"/>
          <cell r="J245"/>
          <cell r="K245">
            <v>0</v>
          </cell>
          <cell r="L245"/>
          <cell r="M245"/>
          <cell r="O245">
            <v>24</v>
          </cell>
          <cell r="P245"/>
          <cell r="T245" t="str">
            <v>000000000009998</v>
          </cell>
        </row>
        <row r="246">
          <cell r="C246"/>
          <cell r="D246"/>
          <cell r="E246"/>
          <cell r="F246"/>
          <cell r="G246" t="str">
            <v/>
          </cell>
          <cell r="H246"/>
          <cell r="I246"/>
          <cell r="J246"/>
          <cell r="K246">
            <v>0</v>
          </cell>
          <cell r="L246"/>
          <cell r="M246"/>
          <cell r="O246">
            <v>0</v>
          </cell>
          <cell r="P246"/>
          <cell r="T246" t="str">
            <v>000000000009998</v>
          </cell>
        </row>
        <row r="247">
          <cell r="C247">
            <v>6</v>
          </cell>
          <cell r="D247"/>
          <cell r="E247"/>
          <cell r="F247"/>
          <cell r="G247" t="str">
            <v/>
          </cell>
          <cell r="H247"/>
          <cell r="I247"/>
          <cell r="J247"/>
          <cell r="K247">
            <v>0</v>
          </cell>
          <cell r="L247"/>
          <cell r="M247"/>
          <cell r="O247">
            <v>0</v>
          </cell>
          <cell r="P247"/>
          <cell r="T247" t="str">
            <v>000000000009998</v>
          </cell>
        </row>
        <row r="248">
          <cell r="C248" t="str">
            <v>LED-A300</v>
          </cell>
          <cell r="D248"/>
          <cell r="E248"/>
          <cell r="F248"/>
          <cell r="G248" t="str">
            <v/>
          </cell>
          <cell r="H248"/>
          <cell r="I248"/>
          <cell r="J248"/>
          <cell r="K248">
            <v>0</v>
          </cell>
          <cell r="L248" t="str">
            <v>切断</v>
          </cell>
          <cell r="M248" t="str">
            <v>c/m</v>
          </cell>
          <cell r="O248">
            <v>56</v>
          </cell>
          <cell r="P248"/>
          <cell r="T248" t="str">
            <v>000000000009998</v>
          </cell>
        </row>
        <row r="249">
          <cell r="C249">
            <v>2</v>
          </cell>
          <cell r="D249"/>
          <cell r="E249"/>
          <cell r="F249"/>
          <cell r="G249" t="str">
            <v/>
          </cell>
          <cell r="H249"/>
          <cell r="I249"/>
          <cell r="J249"/>
          <cell r="K249">
            <v>0</v>
          </cell>
          <cell r="L249" t="str">
            <v>検査</v>
          </cell>
          <cell r="M249" t="str">
            <v>u/t</v>
          </cell>
          <cell r="O249">
            <v>56</v>
          </cell>
          <cell r="P249"/>
          <cell r="T249" t="str">
            <v>000000000009998</v>
          </cell>
        </row>
        <row r="250">
          <cell r="C250"/>
          <cell r="D250"/>
          <cell r="E250"/>
          <cell r="F250"/>
          <cell r="G250" t="str">
            <v/>
          </cell>
          <cell r="H250"/>
          <cell r="I250"/>
          <cell r="J250"/>
          <cell r="K250">
            <v>0</v>
          </cell>
          <cell r="L250" t="str">
            <v>α端材</v>
          </cell>
          <cell r="M250"/>
          <cell r="O250">
            <v>0</v>
          </cell>
          <cell r="P250">
            <v>0</v>
          </cell>
          <cell r="T250" t="str">
            <v>000000000009998</v>
          </cell>
        </row>
        <row r="251">
          <cell r="C251" t="str">
            <v>8FL281304 5010　L=888</v>
          </cell>
          <cell r="D251"/>
          <cell r="E251"/>
          <cell r="F251"/>
          <cell r="G251"/>
          <cell r="H251"/>
          <cell r="I251">
            <v>0</v>
          </cell>
          <cell r="J251"/>
          <cell r="K251">
            <v>0</v>
          </cell>
          <cell r="L251"/>
          <cell r="M251"/>
          <cell r="O251">
            <v>0</v>
          </cell>
          <cell r="P251"/>
          <cell r="T251" t="str">
            <v>000000000010003</v>
          </cell>
        </row>
        <row r="252">
          <cell r="C252"/>
          <cell r="D252"/>
          <cell r="E252"/>
          <cell r="F252"/>
          <cell r="G252" t="str">
            <v/>
          </cell>
          <cell r="H252"/>
          <cell r="I252" t="str">
            <v/>
          </cell>
          <cell r="J252"/>
          <cell r="K252">
            <v>0</v>
          </cell>
          <cell r="L252"/>
          <cell r="M252"/>
          <cell r="O252">
            <v>0</v>
          </cell>
          <cell r="P252"/>
          <cell r="T252" t="str">
            <v>000000000010003</v>
          </cell>
        </row>
        <row r="253">
          <cell r="C253">
            <v>100</v>
          </cell>
          <cell r="D253"/>
          <cell r="E253"/>
          <cell r="F253"/>
          <cell r="G253" t="str">
            <v/>
          </cell>
          <cell r="H253"/>
          <cell r="I253"/>
          <cell r="J253"/>
          <cell r="K253">
            <v>0</v>
          </cell>
          <cell r="L253"/>
          <cell r="M253"/>
          <cell r="O253">
            <v>0</v>
          </cell>
          <cell r="P253"/>
          <cell r="T253" t="str">
            <v>000000000010003</v>
          </cell>
        </row>
        <row r="254">
          <cell r="C254"/>
          <cell r="D254"/>
          <cell r="E254"/>
          <cell r="F254"/>
          <cell r="G254" t="str">
            <v/>
          </cell>
          <cell r="H254"/>
          <cell r="I254"/>
          <cell r="J254"/>
          <cell r="K254">
            <v>0</v>
          </cell>
          <cell r="L254"/>
          <cell r="M254"/>
          <cell r="O254">
            <v>0</v>
          </cell>
          <cell r="P254"/>
          <cell r="T254" t="str">
            <v>000000000010003</v>
          </cell>
        </row>
        <row r="255">
          <cell r="C255">
            <v>2</v>
          </cell>
          <cell r="D255"/>
          <cell r="E255"/>
          <cell r="F255"/>
          <cell r="G255" t="str">
            <v/>
          </cell>
          <cell r="H255"/>
          <cell r="I255"/>
          <cell r="J255"/>
          <cell r="K255">
            <v>0</v>
          </cell>
          <cell r="L255"/>
          <cell r="M255"/>
          <cell r="O255">
            <v>0</v>
          </cell>
          <cell r="P255"/>
          <cell r="T255" t="str">
            <v>000000000010003</v>
          </cell>
        </row>
        <row r="256">
          <cell r="C256" t="str">
            <v>LED-A888</v>
          </cell>
          <cell r="D256"/>
          <cell r="E256"/>
          <cell r="F256"/>
          <cell r="G256" t="str">
            <v/>
          </cell>
          <cell r="H256"/>
          <cell r="I256"/>
          <cell r="J256"/>
          <cell r="K256">
            <v>0</v>
          </cell>
          <cell r="L256" t="str">
            <v>切断</v>
          </cell>
          <cell r="M256"/>
          <cell r="O256">
            <v>0</v>
          </cell>
          <cell r="P256"/>
          <cell r="T256" t="str">
            <v>000000000010003</v>
          </cell>
        </row>
        <row r="257">
          <cell r="C257">
            <v>0</v>
          </cell>
          <cell r="D257"/>
          <cell r="E257"/>
          <cell r="F257"/>
          <cell r="G257" t="str">
            <v/>
          </cell>
          <cell r="H257"/>
          <cell r="I257"/>
          <cell r="J257"/>
          <cell r="K257">
            <v>0</v>
          </cell>
          <cell r="L257" t="str">
            <v>検査</v>
          </cell>
          <cell r="M257"/>
          <cell r="O257"/>
          <cell r="P257"/>
          <cell r="T257" t="str">
            <v>000000000010003</v>
          </cell>
        </row>
        <row r="258">
          <cell r="C258"/>
          <cell r="D258"/>
          <cell r="E258"/>
          <cell r="F258"/>
          <cell r="G258" t="str">
            <v/>
          </cell>
          <cell r="H258"/>
          <cell r="I258"/>
          <cell r="J258"/>
          <cell r="K258">
            <v>0</v>
          </cell>
          <cell r="L258" t="str">
            <v>α端材</v>
          </cell>
          <cell r="M258"/>
          <cell r="O258">
            <v>0</v>
          </cell>
          <cell r="P258">
            <v>0</v>
          </cell>
          <cell r="T258" t="str">
            <v>000000000010003</v>
          </cell>
        </row>
        <row r="259">
          <cell r="C259" t="str">
            <v>8FL281304 5010　L=888</v>
          </cell>
          <cell r="D259"/>
          <cell r="E259"/>
          <cell r="F259"/>
          <cell r="G259"/>
          <cell r="H259"/>
          <cell r="I259">
            <v>0</v>
          </cell>
          <cell r="J259"/>
          <cell r="K259">
            <v>0</v>
          </cell>
          <cell r="L259"/>
          <cell r="M259"/>
          <cell r="O259">
            <v>0</v>
          </cell>
          <cell r="P259"/>
          <cell r="T259" t="str">
            <v>000000000010790</v>
          </cell>
        </row>
        <row r="260">
          <cell r="C260"/>
          <cell r="D260"/>
          <cell r="E260"/>
          <cell r="F260"/>
          <cell r="G260" t="str">
            <v/>
          </cell>
          <cell r="H260"/>
          <cell r="I260" t="str">
            <v/>
          </cell>
          <cell r="J260"/>
          <cell r="K260">
            <v>0</v>
          </cell>
          <cell r="L260"/>
          <cell r="M260"/>
          <cell r="O260">
            <v>0</v>
          </cell>
          <cell r="P260"/>
          <cell r="T260" t="str">
            <v>000000000010790</v>
          </cell>
        </row>
        <row r="261">
          <cell r="C261">
            <v>0</v>
          </cell>
          <cell r="D261"/>
          <cell r="E261"/>
          <cell r="F261"/>
          <cell r="G261" t="str">
            <v/>
          </cell>
          <cell r="H261"/>
          <cell r="I261"/>
          <cell r="J261"/>
          <cell r="K261">
            <v>0</v>
          </cell>
          <cell r="L261"/>
          <cell r="M261"/>
          <cell r="O261">
            <v>0</v>
          </cell>
          <cell r="P261"/>
          <cell r="T261" t="str">
            <v>000000000010790</v>
          </cell>
        </row>
        <row r="262">
          <cell r="C262"/>
          <cell r="D262"/>
          <cell r="E262"/>
          <cell r="F262"/>
          <cell r="G262" t="str">
            <v/>
          </cell>
          <cell r="H262"/>
          <cell r="I262"/>
          <cell r="J262"/>
          <cell r="K262">
            <v>0</v>
          </cell>
          <cell r="L262"/>
          <cell r="M262"/>
          <cell r="O262">
            <v>0</v>
          </cell>
          <cell r="P262"/>
          <cell r="T262" t="str">
            <v>000000000010790</v>
          </cell>
        </row>
        <row r="263">
          <cell r="C263">
            <v>2</v>
          </cell>
          <cell r="D263"/>
          <cell r="E263"/>
          <cell r="F263"/>
          <cell r="G263" t="str">
            <v/>
          </cell>
          <cell r="H263"/>
          <cell r="I263"/>
          <cell r="J263"/>
          <cell r="K263">
            <v>0</v>
          </cell>
          <cell r="L263"/>
          <cell r="M263"/>
          <cell r="O263">
            <v>0</v>
          </cell>
          <cell r="P263"/>
          <cell r="T263" t="str">
            <v>000000000010790</v>
          </cell>
        </row>
        <row r="264">
          <cell r="C264" t="str">
            <v>LED-A888</v>
          </cell>
          <cell r="D264"/>
          <cell r="E264"/>
          <cell r="F264"/>
          <cell r="G264" t="str">
            <v/>
          </cell>
          <cell r="H264"/>
          <cell r="I264"/>
          <cell r="J264"/>
          <cell r="K264">
            <v>0</v>
          </cell>
          <cell r="L264" t="str">
            <v>切断</v>
          </cell>
          <cell r="M264"/>
          <cell r="O264">
            <v>0</v>
          </cell>
          <cell r="P264"/>
          <cell r="T264" t="str">
            <v>000000000010790</v>
          </cell>
        </row>
        <row r="265">
          <cell r="C265">
            <v>0</v>
          </cell>
          <cell r="D265"/>
          <cell r="E265"/>
          <cell r="F265"/>
          <cell r="G265" t="str">
            <v/>
          </cell>
          <cell r="H265"/>
          <cell r="I265"/>
          <cell r="J265"/>
          <cell r="K265">
            <v>0</v>
          </cell>
          <cell r="L265" t="str">
            <v>検査</v>
          </cell>
          <cell r="M265"/>
          <cell r="O265"/>
          <cell r="P265"/>
          <cell r="T265" t="str">
            <v>000000000010790</v>
          </cell>
        </row>
        <row r="266">
          <cell r="C266"/>
          <cell r="D266"/>
          <cell r="E266"/>
          <cell r="F266"/>
          <cell r="G266" t="str">
            <v/>
          </cell>
          <cell r="H266"/>
          <cell r="I266"/>
          <cell r="J266"/>
          <cell r="K266">
            <v>0</v>
          </cell>
          <cell r="L266" t="str">
            <v>α端材</v>
          </cell>
          <cell r="M266"/>
          <cell r="O266">
            <v>0</v>
          </cell>
          <cell r="P266">
            <v>0</v>
          </cell>
          <cell r="T266" t="str">
            <v>000000000010790</v>
          </cell>
        </row>
        <row r="267">
          <cell r="C267" t="str">
            <v>8FL281304 5010　L=888</v>
          </cell>
          <cell r="D267"/>
          <cell r="E267"/>
          <cell r="F267"/>
          <cell r="G267"/>
          <cell r="H267"/>
          <cell r="I267">
            <v>0</v>
          </cell>
          <cell r="J267"/>
          <cell r="K267">
            <v>0</v>
          </cell>
          <cell r="L267"/>
          <cell r="M267"/>
          <cell r="O267">
            <v>0</v>
          </cell>
          <cell r="P267"/>
          <cell r="T267" t="str">
            <v>000000000010004</v>
          </cell>
        </row>
        <row r="268">
          <cell r="C268"/>
          <cell r="D268"/>
          <cell r="E268"/>
          <cell r="F268"/>
          <cell r="G268" t="str">
            <v/>
          </cell>
          <cell r="H268"/>
          <cell r="I268" t="str">
            <v/>
          </cell>
          <cell r="J268"/>
          <cell r="K268">
            <v>0</v>
          </cell>
          <cell r="L268"/>
          <cell r="M268"/>
          <cell r="O268">
            <v>0</v>
          </cell>
          <cell r="P268"/>
          <cell r="T268" t="str">
            <v>000000000010004</v>
          </cell>
        </row>
        <row r="269">
          <cell r="C269">
            <v>0</v>
          </cell>
          <cell r="D269"/>
          <cell r="E269"/>
          <cell r="F269"/>
          <cell r="G269" t="str">
            <v/>
          </cell>
          <cell r="H269"/>
          <cell r="I269"/>
          <cell r="J269"/>
          <cell r="K269">
            <v>0</v>
          </cell>
          <cell r="L269"/>
          <cell r="M269"/>
          <cell r="O269">
            <v>0</v>
          </cell>
          <cell r="P269"/>
          <cell r="T269" t="str">
            <v>000000000010004</v>
          </cell>
        </row>
        <row r="270">
          <cell r="C270"/>
          <cell r="D270"/>
          <cell r="E270"/>
          <cell r="F270"/>
          <cell r="G270" t="str">
            <v/>
          </cell>
          <cell r="H270"/>
          <cell r="I270"/>
          <cell r="J270"/>
          <cell r="K270">
            <v>0</v>
          </cell>
          <cell r="L270"/>
          <cell r="M270"/>
          <cell r="O270">
            <v>0</v>
          </cell>
          <cell r="P270"/>
          <cell r="T270" t="str">
            <v>000000000010004</v>
          </cell>
        </row>
        <row r="271">
          <cell r="C271">
            <v>2</v>
          </cell>
          <cell r="D271"/>
          <cell r="E271"/>
          <cell r="F271"/>
          <cell r="G271" t="str">
            <v/>
          </cell>
          <cell r="H271"/>
          <cell r="I271"/>
          <cell r="J271"/>
          <cell r="K271">
            <v>0</v>
          </cell>
          <cell r="L271"/>
          <cell r="M271"/>
          <cell r="O271">
            <v>0</v>
          </cell>
          <cell r="P271"/>
          <cell r="T271" t="str">
            <v>000000000010004</v>
          </cell>
        </row>
        <row r="272">
          <cell r="C272" t="str">
            <v>LED-A888</v>
          </cell>
          <cell r="D272"/>
          <cell r="E272"/>
          <cell r="F272"/>
          <cell r="G272" t="str">
            <v/>
          </cell>
          <cell r="H272"/>
          <cell r="I272"/>
          <cell r="J272"/>
          <cell r="K272">
            <v>0</v>
          </cell>
          <cell r="L272" t="str">
            <v>切断</v>
          </cell>
          <cell r="M272"/>
          <cell r="O272">
            <v>0</v>
          </cell>
          <cell r="P272"/>
          <cell r="T272" t="str">
            <v>000000000010004</v>
          </cell>
        </row>
        <row r="273">
          <cell r="C273">
            <v>0</v>
          </cell>
          <cell r="D273"/>
          <cell r="E273"/>
          <cell r="F273"/>
          <cell r="G273" t="str">
            <v/>
          </cell>
          <cell r="H273"/>
          <cell r="I273"/>
          <cell r="J273"/>
          <cell r="K273">
            <v>0</v>
          </cell>
          <cell r="L273" t="str">
            <v>検査</v>
          </cell>
          <cell r="M273"/>
          <cell r="O273"/>
          <cell r="P273"/>
          <cell r="T273" t="str">
            <v>000000000010004</v>
          </cell>
        </row>
        <row r="274">
          <cell r="C274"/>
          <cell r="D274"/>
          <cell r="E274"/>
          <cell r="F274"/>
          <cell r="G274" t="str">
            <v/>
          </cell>
          <cell r="H274"/>
          <cell r="I274"/>
          <cell r="J274"/>
          <cell r="K274">
            <v>0</v>
          </cell>
          <cell r="L274" t="str">
            <v>α端材</v>
          </cell>
          <cell r="M274"/>
          <cell r="O274">
            <v>0</v>
          </cell>
          <cell r="P274">
            <v>0</v>
          </cell>
          <cell r="T274" t="str">
            <v>000000000010004</v>
          </cell>
        </row>
        <row r="275">
          <cell r="C275" t="str">
            <v>8FL281304 5010　L=888</v>
          </cell>
          <cell r="D275"/>
          <cell r="E275"/>
          <cell r="F275"/>
          <cell r="G275"/>
          <cell r="H275"/>
          <cell r="I275">
            <v>0</v>
          </cell>
          <cell r="J275"/>
          <cell r="K275">
            <v>0</v>
          </cell>
          <cell r="L275"/>
          <cell r="M275"/>
          <cell r="O275">
            <v>0</v>
          </cell>
          <cell r="P275"/>
          <cell r="T275" t="str">
            <v>000000000010005</v>
          </cell>
        </row>
        <row r="276">
          <cell r="C276"/>
          <cell r="D276"/>
          <cell r="E276"/>
          <cell r="F276"/>
          <cell r="G276" t="str">
            <v/>
          </cell>
          <cell r="H276"/>
          <cell r="I276" t="str">
            <v/>
          </cell>
          <cell r="J276"/>
          <cell r="K276">
            <v>0</v>
          </cell>
          <cell r="L276"/>
          <cell r="M276"/>
          <cell r="O276">
            <v>0</v>
          </cell>
          <cell r="P276"/>
          <cell r="T276" t="str">
            <v>000000000010005</v>
          </cell>
        </row>
        <row r="277">
          <cell r="C277">
            <v>0</v>
          </cell>
          <cell r="D277"/>
          <cell r="E277"/>
          <cell r="F277"/>
          <cell r="G277" t="str">
            <v/>
          </cell>
          <cell r="H277"/>
          <cell r="I277"/>
          <cell r="J277"/>
          <cell r="K277">
            <v>0</v>
          </cell>
          <cell r="L277"/>
          <cell r="M277"/>
          <cell r="O277">
            <v>0</v>
          </cell>
          <cell r="P277"/>
          <cell r="T277" t="str">
            <v>000000000010005</v>
          </cell>
        </row>
        <row r="278">
          <cell r="C278"/>
          <cell r="D278"/>
          <cell r="E278"/>
          <cell r="F278"/>
          <cell r="G278" t="str">
            <v/>
          </cell>
          <cell r="H278"/>
          <cell r="I278"/>
          <cell r="J278"/>
          <cell r="K278">
            <v>0</v>
          </cell>
          <cell r="L278"/>
          <cell r="M278"/>
          <cell r="O278">
            <v>0</v>
          </cell>
          <cell r="P278"/>
          <cell r="T278" t="str">
            <v>000000000010005</v>
          </cell>
        </row>
        <row r="279">
          <cell r="C279">
            <v>2</v>
          </cell>
          <cell r="D279"/>
          <cell r="E279"/>
          <cell r="F279"/>
          <cell r="G279" t="str">
            <v/>
          </cell>
          <cell r="H279"/>
          <cell r="I279"/>
          <cell r="J279"/>
          <cell r="K279">
            <v>0</v>
          </cell>
          <cell r="L279"/>
          <cell r="M279"/>
          <cell r="O279">
            <v>0</v>
          </cell>
          <cell r="P279"/>
          <cell r="T279" t="str">
            <v>000000000010005</v>
          </cell>
        </row>
        <row r="280">
          <cell r="C280" t="str">
            <v>LED-A888</v>
          </cell>
          <cell r="D280"/>
          <cell r="E280"/>
          <cell r="F280"/>
          <cell r="G280" t="str">
            <v/>
          </cell>
          <cell r="H280"/>
          <cell r="I280"/>
          <cell r="J280"/>
          <cell r="K280">
            <v>0</v>
          </cell>
          <cell r="L280" t="str">
            <v>切断</v>
          </cell>
          <cell r="M280"/>
          <cell r="O280">
            <v>0</v>
          </cell>
          <cell r="P280"/>
          <cell r="T280" t="str">
            <v>000000000010005</v>
          </cell>
        </row>
        <row r="281">
          <cell r="C281">
            <v>0</v>
          </cell>
          <cell r="D281"/>
          <cell r="E281"/>
          <cell r="F281"/>
          <cell r="G281" t="str">
            <v/>
          </cell>
          <cell r="H281"/>
          <cell r="I281"/>
          <cell r="J281"/>
          <cell r="K281">
            <v>0</v>
          </cell>
          <cell r="L281" t="str">
            <v>検査</v>
          </cell>
          <cell r="M281"/>
          <cell r="O281"/>
          <cell r="P281"/>
          <cell r="T281" t="str">
            <v>000000000010005</v>
          </cell>
        </row>
        <row r="282">
          <cell r="C282"/>
          <cell r="D282"/>
          <cell r="E282"/>
          <cell r="F282"/>
          <cell r="G282" t="str">
            <v/>
          </cell>
          <cell r="H282"/>
          <cell r="I282"/>
          <cell r="J282"/>
          <cell r="K282">
            <v>0</v>
          </cell>
          <cell r="L282" t="str">
            <v>α端材</v>
          </cell>
          <cell r="M282"/>
          <cell r="O282">
            <v>0</v>
          </cell>
          <cell r="P282">
            <v>0</v>
          </cell>
          <cell r="T282" t="str">
            <v>000000000010005</v>
          </cell>
        </row>
        <row r="283">
          <cell r="C283" t="str">
            <v>8FL281304 5010　L=888</v>
          </cell>
          <cell r="D283"/>
          <cell r="E283"/>
          <cell r="F283"/>
          <cell r="G283"/>
          <cell r="H283"/>
          <cell r="I283">
            <v>0</v>
          </cell>
          <cell r="J283"/>
          <cell r="K283">
            <v>0</v>
          </cell>
          <cell r="L283"/>
          <cell r="M283"/>
          <cell r="O283">
            <v>0</v>
          </cell>
          <cell r="P283"/>
          <cell r="T283" t="str">
            <v>000000000010503</v>
          </cell>
        </row>
        <row r="284">
          <cell r="C284"/>
          <cell r="D284"/>
          <cell r="E284"/>
          <cell r="F284"/>
          <cell r="G284" t="str">
            <v/>
          </cell>
          <cell r="H284"/>
          <cell r="I284" t="str">
            <v/>
          </cell>
          <cell r="J284"/>
          <cell r="K284">
            <v>0</v>
          </cell>
          <cell r="L284"/>
          <cell r="M284"/>
          <cell r="O284">
            <v>0</v>
          </cell>
          <cell r="P284"/>
          <cell r="T284" t="str">
            <v>000000000010503</v>
          </cell>
        </row>
        <row r="285">
          <cell r="C285">
            <v>0</v>
          </cell>
          <cell r="D285"/>
          <cell r="E285"/>
          <cell r="F285"/>
          <cell r="G285" t="str">
            <v/>
          </cell>
          <cell r="H285"/>
          <cell r="I285"/>
          <cell r="J285"/>
          <cell r="K285">
            <v>0</v>
          </cell>
          <cell r="L285"/>
          <cell r="M285"/>
          <cell r="O285">
            <v>0</v>
          </cell>
          <cell r="P285"/>
          <cell r="T285" t="str">
            <v>000000000010503</v>
          </cell>
        </row>
        <row r="286">
          <cell r="C286"/>
          <cell r="D286"/>
          <cell r="E286"/>
          <cell r="F286"/>
          <cell r="G286" t="str">
            <v/>
          </cell>
          <cell r="H286"/>
          <cell r="I286"/>
          <cell r="J286"/>
          <cell r="K286">
            <v>0</v>
          </cell>
          <cell r="L286"/>
          <cell r="M286"/>
          <cell r="O286">
            <v>0</v>
          </cell>
          <cell r="P286"/>
          <cell r="T286" t="str">
            <v>000000000010503</v>
          </cell>
        </row>
        <row r="287">
          <cell r="C287">
            <v>2</v>
          </cell>
          <cell r="D287"/>
          <cell r="E287"/>
          <cell r="F287"/>
          <cell r="G287" t="str">
            <v/>
          </cell>
          <cell r="H287"/>
          <cell r="I287"/>
          <cell r="J287"/>
          <cell r="K287">
            <v>0</v>
          </cell>
          <cell r="L287"/>
          <cell r="M287"/>
          <cell r="O287">
            <v>0</v>
          </cell>
          <cell r="P287"/>
          <cell r="T287" t="str">
            <v>000000000010503</v>
          </cell>
        </row>
        <row r="288">
          <cell r="C288" t="str">
            <v>LED-A888</v>
          </cell>
          <cell r="D288"/>
          <cell r="E288"/>
          <cell r="F288"/>
          <cell r="G288" t="str">
            <v/>
          </cell>
          <cell r="H288"/>
          <cell r="I288"/>
          <cell r="J288"/>
          <cell r="K288">
            <v>0</v>
          </cell>
          <cell r="L288" t="str">
            <v>切断</v>
          </cell>
          <cell r="M288"/>
          <cell r="O288">
            <v>0</v>
          </cell>
          <cell r="P288"/>
          <cell r="T288" t="str">
            <v>000000000010503</v>
          </cell>
        </row>
        <row r="289">
          <cell r="C289">
            <v>0</v>
          </cell>
          <cell r="D289"/>
          <cell r="E289"/>
          <cell r="F289"/>
          <cell r="G289" t="str">
            <v/>
          </cell>
          <cell r="H289"/>
          <cell r="I289"/>
          <cell r="J289"/>
          <cell r="K289">
            <v>0</v>
          </cell>
          <cell r="L289" t="str">
            <v>検査</v>
          </cell>
          <cell r="M289"/>
          <cell r="O289"/>
          <cell r="P289"/>
          <cell r="T289" t="str">
            <v>000000000010503</v>
          </cell>
        </row>
        <row r="290">
          <cell r="C290"/>
          <cell r="D290"/>
          <cell r="E290"/>
          <cell r="F290"/>
          <cell r="G290" t="str">
            <v/>
          </cell>
          <cell r="H290"/>
          <cell r="I290"/>
          <cell r="J290"/>
          <cell r="K290">
            <v>0</v>
          </cell>
          <cell r="L290" t="str">
            <v>α端材</v>
          </cell>
          <cell r="M290"/>
          <cell r="O290">
            <v>0</v>
          </cell>
          <cell r="P290">
            <v>0</v>
          </cell>
          <cell r="T290" t="str">
            <v>000000000010503</v>
          </cell>
        </row>
        <row r="291">
          <cell r="C291" t="str">
            <v>灯具カバーPC IN 2110　L=1815</v>
          </cell>
          <cell r="D291"/>
          <cell r="E291"/>
          <cell r="F291"/>
          <cell r="G291"/>
          <cell r="H291"/>
          <cell r="I291">
            <v>0</v>
          </cell>
          <cell r="J291"/>
          <cell r="K291">
            <v>0</v>
          </cell>
          <cell r="L291"/>
          <cell r="M291"/>
          <cell r="O291">
            <v>0</v>
          </cell>
          <cell r="P291"/>
          <cell r="T291" t="str">
            <v>000000000010803</v>
          </cell>
        </row>
        <row r="292">
          <cell r="C292"/>
          <cell r="D292"/>
          <cell r="E292"/>
          <cell r="F292"/>
          <cell r="G292" t="str">
            <v/>
          </cell>
          <cell r="H292"/>
          <cell r="I292" t="str">
            <v/>
          </cell>
          <cell r="J292"/>
          <cell r="K292">
            <v>0</v>
          </cell>
          <cell r="L292"/>
          <cell r="M292"/>
          <cell r="O292">
            <v>0</v>
          </cell>
          <cell r="P292"/>
          <cell r="T292" t="str">
            <v>000000000010803</v>
          </cell>
        </row>
        <row r="293">
          <cell r="C293">
            <v>0</v>
          </cell>
          <cell r="D293"/>
          <cell r="E293"/>
          <cell r="F293"/>
          <cell r="G293" t="str">
            <v/>
          </cell>
          <cell r="H293"/>
          <cell r="I293"/>
          <cell r="J293"/>
          <cell r="K293">
            <v>0</v>
          </cell>
          <cell r="L293"/>
          <cell r="M293"/>
          <cell r="O293">
            <v>0</v>
          </cell>
          <cell r="P293"/>
          <cell r="T293" t="str">
            <v>000000000010803</v>
          </cell>
        </row>
        <row r="294">
          <cell r="C294"/>
          <cell r="D294"/>
          <cell r="E294"/>
          <cell r="F294"/>
          <cell r="G294" t="str">
            <v/>
          </cell>
          <cell r="H294"/>
          <cell r="I294"/>
          <cell r="J294"/>
          <cell r="K294">
            <v>0</v>
          </cell>
          <cell r="L294"/>
          <cell r="M294"/>
          <cell r="O294">
            <v>0</v>
          </cell>
          <cell r="P294"/>
          <cell r="T294" t="str">
            <v>000000000010803</v>
          </cell>
        </row>
        <row r="295">
          <cell r="C295">
            <v>1</v>
          </cell>
          <cell r="D295"/>
          <cell r="E295"/>
          <cell r="F295"/>
          <cell r="G295" t="str">
            <v/>
          </cell>
          <cell r="H295"/>
          <cell r="I295"/>
          <cell r="J295"/>
          <cell r="K295">
            <v>0</v>
          </cell>
          <cell r="L295"/>
          <cell r="M295"/>
          <cell r="O295">
            <v>0</v>
          </cell>
          <cell r="P295"/>
          <cell r="T295" t="str">
            <v>000000000010803</v>
          </cell>
        </row>
        <row r="296">
          <cell r="C296" t="str">
            <v>灯具-2　L＝1996</v>
          </cell>
          <cell r="D296"/>
          <cell r="E296"/>
          <cell r="F296"/>
          <cell r="G296" t="str">
            <v/>
          </cell>
          <cell r="H296"/>
          <cell r="I296"/>
          <cell r="J296"/>
          <cell r="K296">
            <v>0</v>
          </cell>
          <cell r="L296" t="str">
            <v>切断</v>
          </cell>
          <cell r="M296"/>
          <cell r="O296">
            <v>0</v>
          </cell>
          <cell r="P296"/>
          <cell r="T296" t="str">
            <v>000000000010803</v>
          </cell>
        </row>
        <row r="297">
          <cell r="C297">
            <v>0</v>
          </cell>
          <cell r="D297"/>
          <cell r="E297"/>
          <cell r="F297"/>
          <cell r="G297" t="str">
            <v/>
          </cell>
          <cell r="H297"/>
          <cell r="I297"/>
          <cell r="J297"/>
          <cell r="K297">
            <v>0</v>
          </cell>
          <cell r="L297" t="str">
            <v>検査</v>
          </cell>
          <cell r="M297"/>
          <cell r="O297"/>
          <cell r="P297"/>
          <cell r="T297" t="str">
            <v>000000000010803</v>
          </cell>
        </row>
        <row r="298">
          <cell r="C298"/>
          <cell r="D298"/>
          <cell r="E298"/>
          <cell r="F298"/>
          <cell r="G298" t="str">
            <v/>
          </cell>
          <cell r="H298"/>
          <cell r="I298"/>
          <cell r="J298"/>
          <cell r="K298">
            <v>0</v>
          </cell>
          <cell r="L298" t="str">
            <v>α端材</v>
          </cell>
          <cell r="M298"/>
          <cell r="O298">
            <v>0</v>
          </cell>
          <cell r="P298">
            <v>0</v>
          </cell>
          <cell r="T298" t="str">
            <v>000000000010803</v>
          </cell>
        </row>
        <row r="299">
          <cell r="C299" t="str">
            <v>灯具カバーPC IN 2050　L=1183.5</v>
          </cell>
          <cell r="D299"/>
          <cell r="E299"/>
          <cell r="F299"/>
          <cell r="G299"/>
          <cell r="H299"/>
          <cell r="I299">
            <v>0</v>
          </cell>
          <cell r="J299"/>
          <cell r="K299">
            <v>0</v>
          </cell>
          <cell r="L299"/>
          <cell r="M299"/>
          <cell r="O299">
            <v>0</v>
          </cell>
          <cell r="P299"/>
          <cell r="T299" t="str">
            <v>000000000010799</v>
          </cell>
        </row>
        <row r="300">
          <cell r="C300"/>
          <cell r="D300"/>
          <cell r="E300"/>
          <cell r="F300"/>
          <cell r="G300" t="str">
            <v/>
          </cell>
          <cell r="H300"/>
          <cell r="I300" t="str">
            <v/>
          </cell>
          <cell r="J300"/>
          <cell r="K300">
            <v>0</v>
          </cell>
          <cell r="L300"/>
          <cell r="M300"/>
          <cell r="O300">
            <v>0</v>
          </cell>
          <cell r="P300"/>
          <cell r="T300" t="str">
            <v>000000000010799</v>
          </cell>
        </row>
        <row r="301">
          <cell r="C301">
            <v>0</v>
          </cell>
          <cell r="D301"/>
          <cell r="E301"/>
          <cell r="F301"/>
          <cell r="G301" t="str">
            <v/>
          </cell>
          <cell r="H301"/>
          <cell r="I301"/>
          <cell r="J301"/>
          <cell r="K301">
            <v>0</v>
          </cell>
          <cell r="L301"/>
          <cell r="M301"/>
          <cell r="O301">
            <v>0</v>
          </cell>
          <cell r="P301"/>
          <cell r="T301" t="str">
            <v>000000000010799</v>
          </cell>
        </row>
        <row r="302">
          <cell r="C302"/>
          <cell r="D302"/>
          <cell r="E302"/>
          <cell r="F302"/>
          <cell r="G302" t="str">
            <v/>
          </cell>
          <cell r="H302"/>
          <cell r="I302"/>
          <cell r="J302"/>
          <cell r="K302">
            <v>0</v>
          </cell>
          <cell r="L302"/>
          <cell r="M302"/>
          <cell r="O302">
            <v>0</v>
          </cell>
          <cell r="P302"/>
          <cell r="T302" t="str">
            <v>000000000010799</v>
          </cell>
        </row>
        <row r="303">
          <cell r="C303">
            <v>1</v>
          </cell>
          <cell r="D303"/>
          <cell r="E303"/>
          <cell r="F303"/>
          <cell r="G303" t="str">
            <v/>
          </cell>
          <cell r="H303"/>
          <cell r="I303"/>
          <cell r="J303"/>
          <cell r="K303">
            <v>0</v>
          </cell>
          <cell r="L303"/>
          <cell r="M303"/>
          <cell r="O303">
            <v>0</v>
          </cell>
          <cell r="P303"/>
          <cell r="T303" t="str">
            <v>000000000010799</v>
          </cell>
        </row>
        <row r="304">
          <cell r="C304" t="str">
            <v>灯具-1　L=1370</v>
          </cell>
          <cell r="D304"/>
          <cell r="E304"/>
          <cell r="F304"/>
          <cell r="G304" t="str">
            <v/>
          </cell>
          <cell r="H304"/>
          <cell r="I304"/>
          <cell r="J304"/>
          <cell r="K304">
            <v>0</v>
          </cell>
          <cell r="L304" t="str">
            <v>切断</v>
          </cell>
          <cell r="M304"/>
          <cell r="O304">
            <v>0</v>
          </cell>
          <cell r="P304"/>
          <cell r="T304" t="str">
            <v>000000000010799</v>
          </cell>
        </row>
        <row r="305">
          <cell r="C305">
            <v>0</v>
          </cell>
          <cell r="D305"/>
          <cell r="E305"/>
          <cell r="F305"/>
          <cell r="G305" t="str">
            <v/>
          </cell>
          <cell r="H305"/>
          <cell r="I305"/>
          <cell r="J305"/>
          <cell r="K305">
            <v>0</v>
          </cell>
          <cell r="L305" t="str">
            <v>検査</v>
          </cell>
          <cell r="M305"/>
          <cell r="O305"/>
          <cell r="P305"/>
          <cell r="T305" t="str">
            <v>000000000010799</v>
          </cell>
        </row>
        <row r="306">
          <cell r="C306"/>
          <cell r="D306"/>
          <cell r="E306"/>
          <cell r="F306"/>
          <cell r="G306" t="str">
            <v/>
          </cell>
          <cell r="H306"/>
          <cell r="I306"/>
          <cell r="J306"/>
          <cell r="K306">
            <v>0</v>
          </cell>
          <cell r="L306" t="str">
            <v>α端材</v>
          </cell>
          <cell r="M306"/>
          <cell r="O306">
            <v>0</v>
          </cell>
          <cell r="P306">
            <v>0</v>
          </cell>
          <cell r="T306" t="str">
            <v>000000000010799</v>
          </cell>
        </row>
        <row r="307">
          <cell r="C307" t="str">
            <v>灯具カバーPC IN 2090　L=840</v>
          </cell>
          <cell r="D307"/>
          <cell r="E307"/>
          <cell r="F307"/>
          <cell r="G307"/>
          <cell r="H307"/>
          <cell r="I307">
            <v>0</v>
          </cell>
          <cell r="J307"/>
          <cell r="K307">
            <v>0</v>
          </cell>
          <cell r="L307"/>
          <cell r="M307"/>
          <cell r="O307">
            <v>0</v>
          </cell>
          <cell r="P307"/>
          <cell r="T307" t="str">
            <v>000000000010797</v>
          </cell>
        </row>
        <row r="308">
          <cell r="C308"/>
          <cell r="D308"/>
          <cell r="E308"/>
          <cell r="F308"/>
          <cell r="G308" t="str">
            <v/>
          </cell>
          <cell r="H308"/>
          <cell r="I308" t="str">
            <v/>
          </cell>
          <cell r="J308"/>
          <cell r="K308">
            <v>0</v>
          </cell>
          <cell r="L308"/>
          <cell r="M308"/>
          <cell r="O308">
            <v>0</v>
          </cell>
          <cell r="P308"/>
          <cell r="T308" t="str">
            <v>000000000010797</v>
          </cell>
        </row>
        <row r="309">
          <cell r="C309">
            <v>0</v>
          </cell>
          <cell r="D309"/>
          <cell r="E309"/>
          <cell r="F309"/>
          <cell r="G309" t="str">
            <v/>
          </cell>
          <cell r="H309"/>
          <cell r="I309"/>
          <cell r="J309"/>
          <cell r="K309">
            <v>0</v>
          </cell>
          <cell r="L309"/>
          <cell r="M309"/>
          <cell r="O309">
            <v>0</v>
          </cell>
          <cell r="P309"/>
          <cell r="T309" t="str">
            <v>000000000010797</v>
          </cell>
        </row>
        <row r="310">
          <cell r="C310"/>
          <cell r="D310"/>
          <cell r="E310"/>
          <cell r="F310"/>
          <cell r="G310" t="str">
            <v/>
          </cell>
          <cell r="H310"/>
          <cell r="I310"/>
          <cell r="J310"/>
          <cell r="K310">
            <v>0</v>
          </cell>
          <cell r="L310"/>
          <cell r="M310"/>
          <cell r="O310">
            <v>0</v>
          </cell>
          <cell r="P310"/>
          <cell r="T310" t="str">
            <v>000000000010797</v>
          </cell>
        </row>
        <row r="311">
          <cell r="C311">
            <v>1</v>
          </cell>
          <cell r="D311"/>
          <cell r="E311"/>
          <cell r="F311"/>
          <cell r="G311" t="str">
            <v/>
          </cell>
          <cell r="H311"/>
          <cell r="I311"/>
          <cell r="J311"/>
          <cell r="K311">
            <v>0</v>
          </cell>
          <cell r="L311"/>
          <cell r="M311"/>
          <cell r="O311">
            <v>0</v>
          </cell>
          <cell r="P311"/>
          <cell r="T311" t="str">
            <v>000000000010797</v>
          </cell>
        </row>
        <row r="312">
          <cell r="C312" t="str">
            <v>灯具-3　L=970</v>
          </cell>
          <cell r="D312"/>
          <cell r="E312"/>
          <cell r="F312"/>
          <cell r="G312" t="str">
            <v/>
          </cell>
          <cell r="H312"/>
          <cell r="I312"/>
          <cell r="J312"/>
          <cell r="K312">
            <v>0</v>
          </cell>
          <cell r="L312" t="str">
            <v>切断</v>
          </cell>
          <cell r="M312"/>
          <cell r="O312">
            <v>0</v>
          </cell>
          <cell r="P312"/>
          <cell r="T312" t="str">
            <v>000000000010797</v>
          </cell>
        </row>
        <row r="313">
          <cell r="C313">
            <v>0</v>
          </cell>
          <cell r="D313"/>
          <cell r="E313"/>
          <cell r="F313"/>
          <cell r="G313" t="str">
            <v/>
          </cell>
          <cell r="H313"/>
          <cell r="I313"/>
          <cell r="J313"/>
          <cell r="K313">
            <v>0</v>
          </cell>
          <cell r="L313" t="str">
            <v>検査</v>
          </cell>
          <cell r="M313"/>
          <cell r="O313"/>
          <cell r="P313"/>
          <cell r="T313" t="str">
            <v>000000000010797</v>
          </cell>
        </row>
        <row r="314">
          <cell r="C314"/>
          <cell r="D314"/>
          <cell r="E314"/>
          <cell r="F314"/>
          <cell r="G314" t="str">
            <v/>
          </cell>
          <cell r="H314"/>
          <cell r="I314"/>
          <cell r="J314"/>
          <cell r="K314">
            <v>0</v>
          </cell>
          <cell r="L314" t="str">
            <v>α端材</v>
          </cell>
          <cell r="M314"/>
          <cell r="O314">
            <v>0</v>
          </cell>
          <cell r="P314">
            <v>0</v>
          </cell>
          <cell r="T314" t="str">
            <v>000000000010797</v>
          </cell>
        </row>
        <row r="315">
          <cell r="C315" t="str">
            <v>灯具カバーPC IN 2130　L=908</v>
          </cell>
          <cell r="D315"/>
          <cell r="E315"/>
          <cell r="F315"/>
          <cell r="G315"/>
          <cell r="H315"/>
          <cell r="I315">
            <v>0</v>
          </cell>
          <cell r="J315"/>
          <cell r="K315">
            <v>0</v>
          </cell>
          <cell r="L315"/>
          <cell r="M315"/>
          <cell r="O315">
            <v>0</v>
          </cell>
          <cell r="P315"/>
          <cell r="T315" t="str">
            <v>000000000010798</v>
          </cell>
        </row>
        <row r="316">
          <cell r="C316"/>
          <cell r="D316"/>
          <cell r="E316"/>
          <cell r="F316"/>
          <cell r="G316" t="str">
            <v/>
          </cell>
          <cell r="H316"/>
          <cell r="I316" t="str">
            <v/>
          </cell>
          <cell r="J316"/>
          <cell r="K316">
            <v>0</v>
          </cell>
          <cell r="L316"/>
          <cell r="M316"/>
          <cell r="O316">
            <v>0</v>
          </cell>
          <cell r="P316"/>
          <cell r="T316" t="str">
            <v>000000000010798</v>
          </cell>
        </row>
        <row r="317">
          <cell r="C317">
            <v>0</v>
          </cell>
          <cell r="D317"/>
          <cell r="E317"/>
          <cell r="F317"/>
          <cell r="G317" t="str">
            <v/>
          </cell>
          <cell r="H317"/>
          <cell r="I317"/>
          <cell r="J317"/>
          <cell r="K317">
            <v>0</v>
          </cell>
          <cell r="L317"/>
          <cell r="M317"/>
          <cell r="O317">
            <v>0</v>
          </cell>
          <cell r="P317"/>
          <cell r="T317" t="str">
            <v>000000000010798</v>
          </cell>
        </row>
        <row r="318">
          <cell r="C318"/>
          <cell r="D318"/>
          <cell r="E318"/>
          <cell r="F318"/>
          <cell r="G318" t="str">
            <v/>
          </cell>
          <cell r="H318"/>
          <cell r="I318"/>
          <cell r="J318"/>
          <cell r="K318">
            <v>0</v>
          </cell>
          <cell r="L318"/>
          <cell r="M318"/>
          <cell r="O318">
            <v>0</v>
          </cell>
          <cell r="P318"/>
          <cell r="T318" t="str">
            <v>000000000010798</v>
          </cell>
        </row>
        <row r="319">
          <cell r="C319">
            <v>1</v>
          </cell>
          <cell r="D319"/>
          <cell r="E319"/>
          <cell r="F319"/>
          <cell r="G319" t="str">
            <v/>
          </cell>
          <cell r="H319"/>
          <cell r="I319"/>
          <cell r="J319"/>
          <cell r="K319">
            <v>0</v>
          </cell>
          <cell r="L319"/>
          <cell r="M319"/>
          <cell r="O319">
            <v>0</v>
          </cell>
          <cell r="P319"/>
          <cell r="T319" t="str">
            <v>000000000010798</v>
          </cell>
        </row>
        <row r="320">
          <cell r="C320" t="str">
            <v>灯具-3　L=970</v>
          </cell>
          <cell r="D320"/>
          <cell r="E320"/>
          <cell r="F320"/>
          <cell r="G320" t="str">
            <v/>
          </cell>
          <cell r="H320"/>
          <cell r="I320"/>
          <cell r="J320"/>
          <cell r="K320">
            <v>0</v>
          </cell>
          <cell r="L320" t="str">
            <v>切断</v>
          </cell>
          <cell r="M320"/>
          <cell r="O320">
            <v>0</v>
          </cell>
          <cell r="P320"/>
          <cell r="T320" t="str">
            <v>000000000010798</v>
          </cell>
        </row>
        <row r="321">
          <cell r="C321">
            <v>0</v>
          </cell>
          <cell r="D321"/>
          <cell r="E321"/>
          <cell r="F321"/>
          <cell r="G321" t="str">
            <v/>
          </cell>
          <cell r="H321"/>
          <cell r="I321"/>
          <cell r="J321"/>
          <cell r="K321">
            <v>0</v>
          </cell>
          <cell r="L321" t="str">
            <v>検査</v>
          </cell>
          <cell r="M321"/>
          <cell r="O321"/>
          <cell r="P321"/>
          <cell r="T321" t="str">
            <v>000000000010798</v>
          </cell>
        </row>
        <row r="322">
          <cell r="C322"/>
          <cell r="D322"/>
          <cell r="E322"/>
          <cell r="F322"/>
          <cell r="G322" t="str">
            <v/>
          </cell>
          <cell r="H322"/>
          <cell r="I322"/>
          <cell r="J322"/>
          <cell r="K322">
            <v>0</v>
          </cell>
          <cell r="L322" t="str">
            <v>α端材</v>
          </cell>
          <cell r="M322"/>
          <cell r="O322">
            <v>0</v>
          </cell>
          <cell r="P322">
            <v>0</v>
          </cell>
          <cell r="T322" t="str">
            <v>000000000010798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1"/>
  <sheetViews>
    <sheetView tabSelected="1" topLeftCell="A148" workbookViewId="0">
      <selection activeCell="A152" sqref="A152:XFD17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9" t="s">
        <v>0</v>
      </c>
      <c r="C1" s="105"/>
      <c r="D1" s="105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5"/>
      <c r="C2" s="105"/>
      <c r="D2" s="105"/>
      <c r="E2" s="12"/>
      <c r="F2" s="12"/>
      <c r="G2" s="12"/>
      <c r="H2" s="12"/>
      <c r="I2" s="12"/>
      <c r="J2" s="12"/>
    </row>
    <row r="3" spans="1:10" ht="14.25" customHeight="1">
      <c r="A3" s="109" t="s">
        <v>1</v>
      </c>
      <c r="B3" s="109" t="s">
        <v>2</v>
      </c>
      <c r="C3" s="109" t="s">
        <v>3</v>
      </c>
      <c r="D3" s="118">
        <v>748</v>
      </c>
      <c r="E3" s="109" t="s">
        <v>4</v>
      </c>
      <c r="F3" s="151" t="s">
        <v>5</v>
      </c>
      <c r="G3" s="105"/>
      <c r="H3" s="144"/>
      <c r="I3" s="13" t="s">
        <v>6</v>
      </c>
      <c r="J3" s="13" t="s">
        <v>7</v>
      </c>
    </row>
    <row r="4" spans="1:10" ht="14.25" customHeight="1">
      <c r="A4" s="105"/>
      <c r="B4" s="105"/>
      <c r="C4" s="105"/>
      <c r="D4" s="105"/>
      <c r="E4" s="105"/>
      <c r="F4" s="105"/>
      <c r="G4" s="105"/>
      <c r="H4" s="144"/>
      <c r="I4" s="146"/>
      <c r="J4" s="146"/>
    </row>
    <row r="5" spans="1:10" ht="17.45" customHeight="1">
      <c r="A5" s="104" t="s">
        <v>8</v>
      </c>
      <c r="B5" s="104" t="s">
        <v>9</v>
      </c>
      <c r="E5" s="104" t="s">
        <v>10</v>
      </c>
      <c r="F5" s="143" t="s">
        <v>11</v>
      </c>
      <c r="G5" s="105"/>
      <c r="H5" s="144"/>
      <c r="I5" s="147"/>
      <c r="J5" s="147"/>
    </row>
    <row r="6" spans="1:10" ht="17.45" customHeight="1">
      <c r="A6" s="105"/>
      <c r="B6" s="105"/>
      <c r="E6" s="105"/>
      <c r="F6" s="105"/>
      <c r="G6" s="105"/>
      <c r="H6" s="144"/>
      <c r="I6" s="14"/>
      <c r="J6" s="14"/>
    </row>
    <row r="7" spans="1:10" ht="17.45" customHeight="1">
      <c r="A7" s="104" t="s">
        <v>12</v>
      </c>
      <c r="B7" s="104" t="s">
        <v>13</v>
      </c>
      <c r="E7" s="2" t="s">
        <v>14</v>
      </c>
      <c r="F7" s="154" t="s">
        <v>15</v>
      </c>
      <c r="G7" s="105"/>
      <c r="H7" s="21"/>
    </row>
    <row r="8" spans="1:10" ht="17.45" customHeight="1">
      <c r="A8" s="105"/>
      <c r="B8" s="105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46043</v>
      </c>
      <c r="E9" s="2" t="s">
        <v>19</v>
      </c>
      <c r="F9" s="106">
        <v>100</v>
      </c>
      <c r="G9" s="105"/>
      <c r="H9" s="21"/>
    </row>
    <row r="10" spans="1:10" ht="17.45" customHeight="1">
      <c r="A10" s="2" t="s">
        <v>20</v>
      </c>
      <c r="B10" s="4">
        <v>46043</v>
      </c>
      <c r="E10" s="2" t="s">
        <v>21</v>
      </c>
      <c r="F10" s="21">
        <v>2</v>
      </c>
      <c r="G10" s="145" t="s">
        <v>22</v>
      </c>
      <c r="H10" s="110">
        <v>200</v>
      </c>
      <c r="I10" s="111"/>
      <c r="J10" s="11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3"/>
      <c r="H11" s="113"/>
      <c r="I11" s="114"/>
      <c r="J11" s="115"/>
    </row>
    <row r="12" spans="1:10" ht="13.5" customHeight="1">
      <c r="A12" s="150" t="s">
        <v>25</v>
      </c>
      <c r="B12" s="105"/>
      <c r="C12" s="105"/>
      <c r="D12" s="20"/>
      <c r="F12" s="3"/>
      <c r="G12" s="148" t="s">
        <v>26</v>
      </c>
      <c r="H12" s="155" t="s">
        <v>27</v>
      </c>
      <c r="I12" s="156" t="s">
        <v>28</v>
      </c>
      <c r="J12" s="144"/>
    </row>
    <row r="13" spans="1:10" ht="13.5" customHeight="1">
      <c r="A13" s="105"/>
      <c r="B13" s="105"/>
      <c r="C13" s="105"/>
      <c r="D13" s="20"/>
      <c r="F13" s="3"/>
      <c r="G13" s="149"/>
      <c r="H13" s="149"/>
      <c r="I13" s="114"/>
      <c r="J13" s="115"/>
    </row>
    <row r="14" spans="1:10" ht="13.5" customHeight="1">
      <c r="A14" s="1" t="s">
        <v>29</v>
      </c>
    </row>
    <row r="15" spans="1:10" ht="63" customHeight="1" thickBot="1">
      <c r="A15" s="157"/>
      <c r="B15" s="158"/>
      <c r="C15" s="158"/>
      <c r="D15" s="158"/>
      <c r="E15" s="158"/>
      <c r="F15" s="158"/>
      <c r="G15" s="158"/>
      <c r="H15" s="158"/>
      <c r="I15" s="158"/>
      <c r="J15" s="158"/>
    </row>
    <row r="16" spans="1:10" ht="18.75">
      <c r="A16" s="23" t="s">
        <v>30</v>
      </c>
      <c r="B16" s="16" t="s">
        <v>31</v>
      </c>
      <c r="C16" s="120" t="s">
        <v>32</v>
      </c>
      <c r="D16" s="121"/>
      <c r="E16" s="16" t="s">
        <v>33</v>
      </c>
      <c r="F16" s="120" t="s">
        <v>34</v>
      </c>
      <c r="G16" s="121"/>
      <c r="H16" s="121"/>
      <c r="I16" s="153" t="s">
        <v>35</v>
      </c>
      <c r="J16" s="12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7" t="s">
        <v>37</v>
      </c>
      <c r="D18" s="108"/>
      <c r="E18" s="24" t="s">
        <v>38</v>
      </c>
      <c r="F18" s="107" t="s">
        <v>39</v>
      </c>
      <c r="G18" s="108"/>
      <c r="H18" s="108"/>
      <c r="I18" s="123"/>
      <c r="J18" s="108"/>
    </row>
    <row r="19" spans="1:10" s="7" customFormat="1" ht="16.5" customHeight="1">
      <c r="A19" s="22">
        <v>1</v>
      </c>
      <c r="B19" s="25" t="s">
        <v>36</v>
      </c>
      <c r="C19" s="107" t="s">
        <v>37</v>
      </c>
      <c r="D19" s="108"/>
      <c r="E19" s="24" t="s">
        <v>40</v>
      </c>
      <c r="F19" s="107" t="s">
        <v>41</v>
      </c>
      <c r="G19" s="108"/>
      <c r="H19" s="108"/>
      <c r="I19" s="123"/>
      <c r="J19" s="108"/>
    </row>
    <row r="20" spans="1:10" s="7" customFormat="1" ht="16.5" customHeight="1">
      <c r="A20" s="22"/>
      <c r="B20" s="25"/>
      <c r="C20" s="107"/>
      <c r="D20" s="108"/>
      <c r="E20" s="24"/>
      <c r="F20" s="107"/>
      <c r="G20" s="108"/>
      <c r="H20" s="108"/>
      <c r="I20" s="123"/>
      <c r="J20" s="108"/>
    </row>
    <row r="21" spans="1:10" s="7" customFormat="1" ht="16.5" customHeight="1">
      <c r="A21" s="22"/>
      <c r="B21" s="25"/>
      <c r="C21" s="107"/>
      <c r="D21" s="108"/>
      <c r="E21" s="24"/>
      <c r="F21" s="107"/>
      <c r="G21" s="108"/>
      <c r="H21" s="108"/>
      <c r="I21" s="123"/>
      <c r="J21" s="108"/>
    </row>
    <row r="22" spans="1:10" s="7" customFormat="1" ht="16.5" customHeight="1">
      <c r="A22" s="22"/>
      <c r="B22" s="25"/>
      <c r="C22" s="107"/>
      <c r="D22" s="108"/>
      <c r="E22" s="24"/>
      <c r="F22" s="107"/>
      <c r="G22" s="108"/>
      <c r="H22" s="108"/>
      <c r="I22" s="123"/>
      <c r="J22" s="108"/>
    </row>
    <row r="23" spans="1:10" s="7" customFormat="1" ht="16.5" customHeight="1">
      <c r="A23" s="22"/>
      <c r="B23" s="25"/>
      <c r="C23" s="107"/>
      <c r="D23" s="108"/>
      <c r="E23" s="24"/>
      <c r="F23" s="107"/>
      <c r="G23" s="108"/>
      <c r="H23" s="108"/>
      <c r="I23" s="123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6" t="s">
        <v>42</v>
      </c>
      <c r="B25" s="117"/>
      <c r="C25" s="116" t="s">
        <v>43</v>
      </c>
      <c r="D25" s="117"/>
      <c r="E25" s="117"/>
      <c r="F25" s="17" t="s">
        <v>44</v>
      </c>
      <c r="G25" s="116" t="s">
        <v>45</v>
      </c>
      <c r="H25" s="117"/>
      <c r="I25" s="116" t="s">
        <v>46</v>
      </c>
      <c r="J25" s="117"/>
    </row>
    <row r="26" spans="1:10" ht="14.25" customHeight="1">
      <c r="A26" s="8"/>
      <c r="B26" s="18"/>
      <c r="C26" s="152" t="s">
        <v>47</v>
      </c>
      <c r="D26" s="114"/>
      <c r="E26" s="18"/>
      <c r="F26" s="152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9"/>
      <c r="C28" s="107" t="s">
        <v>49</v>
      </c>
      <c r="D28" s="119"/>
      <c r="E28" s="119"/>
      <c r="F28" s="26" t="s">
        <v>27</v>
      </c>
      <c r="G28" s="122">
        <v>100</v>
      </c>
      <c r="H28" s="119"/>
      <c r="I28" s="122">
        <v>1</v>
      </c>
      <c r="J28" s="119"/>
    </row>
    <row r="29" spans="1:10" s="7" customFormat="1" ht="24.95" customHeight="1">
      <c r="A29" s="142" t="s">
        <v>50</v>
      </c>
      <c r="B29" s="108"/>
      <c r="C29" s="107"/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51</v>
      </c>
      <c r="B30" s="119"/>
      <c r="C30" s="107" t="s">
        <v>52</v>
      </c>
      <c r="D30" s="119"/>
      <c r="E30" s="119"/>
      <c r="F30" s="26" t="s">
        <v>36</v>
      </c>
      <c r="G30" s="122">
        <v>2</v>
      </c>
      <c r="H30" s="119"/>
      <c r="I30" s="122">
        <v>0.02</v>
      </c>
      <c r="J30" s="119"/>
    </row>
    <row r="31" spans="1:10" s="7" customFormat="1" ht="24.95" customHeight="1">
      <c r="A31" s="142" t="s">
        <v>53</v>
      </c>
      <c r="B31" s="108"/>
      <c r="C31" s="107" t="s">
        <v>54</v>
      </c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55</v>
      </c>
      <c r="B32" s="119"/>
      <c r="C32" s="107" t="s">
        <v>56</v>
      </c>
      <c r="D32" s="119"/>
      <c r="E32" s="119"/>
      <c r="F32" s="26"/>
      <c r="G32" s="122">
        <v>0.2</v>
      </c>
      <c r="H32" s="119"/>
      <c r="I32" s="122">
        <v>2E-3</v>
      </c>
      <c r="J32" s="119"/>
    </row>
    <row r="33" spans="1:14" s="7" customFormat="1" ht="24.95" customHeight="1">
      <c r="A33" s="142" t="s">
        <v>57</v>
      </c>
      <c r="B33" s="108"/>
      <c r="C33" s="107" t="s">
        <v>58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 t="s">
        <v>59</v>
      </c>
      <c r="B34" s="119"/>
      <c r="C34" s="107" t="s">
        <v>60</v>
      </c>
      <c r="D34" s="119"/>
      <c r="E34" s="119"/>
      <c r="F34" s="26"/>
      <c r="G34" s="122">
        <v>0.2</v>
      </c>
      <c r="H34" s="119"/>
      <c r="I34" s="122">
        <v>2E-3</v>
      </c>
      <c r="J34" s="119"/>
    </row>
    <row r="35" spans="1:14" s="7" customFormat="1" ht="24.95" customHeight="1">
      <c r="A35" s="142" t="s">
        <v>61</v>
      </c>
      <c r="B35" s="108"/>
      <c r="C35" s="107" t="s">
        <v>62</v>
      </c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9"/>
      <c r="C36" s="107"/>
      <c r="D36" s="119"/>
      <c r="E36" s="119"/>
      <c r="F36" s="26"/>
      <c r="G36" s="122"/>
      <c r="H36" s="119"/>
      <c r="I36" s="122"/>
      <c r="J36" s="119"/>
    </row>
    <row r="37" spans="1:14" s="7" customFormat="1" ht="24.95" customHeight="1" thickBot="1">
      <c r="A37" s="142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136" t="s">
        <v>74</v>
      </c>
      <c r="B38" s="137"/>
      <c r="C38" s="137"/>
      <c r="D38" s="137"/>
      <c r="E38" s="138" t="s">
        <v>75</v>
      </c>
      <c r="F38" s="139"/>
      <c r="G38" s="27" t="s">
        <v>76</v>
      </c>
      <c r="H38" s="140" t="s">
        <v>77</v>
      </c>
      <c r="I38" s="141"/>
      <c r="J38" s="28" t="s">
        <v>78</v>
      </c>
    </row>
    <row r="39" spans="1:14" s="7" customFormat="1" ht="18" customHeight="1">
      <c r="A39" s="124" t="str">
        <f>_xlfn.XLOOKUP(B3,[1]VFDB2!A:A,[1]VFDB2!B:B)</f>
        <v>8FL281304 8310　L=748</v>
      </c>
      <c r="B39" s="125"/>
      <c r="C39" s="125"/>
      <c r="D39" s="125"/>
      <c r="E39" s="91" t="str" cm="1">
        <f t="array" ref="E39">IFERROR(IF(ISBLANK(INDEX(_xlfn._xlws.FILTER([1]加工記録２!$C$3:$C$999107, [1]加工記録２!$T$3:$T$999107=B5), 6)), "", INDEX(_xlfn._xlws.FILTER([1]加工記録２!$C$3:$C$999107, [1]加工記録２!$T$3:$T$999107=B5), 6)),"")</f>
        <v>LED-A888</v>
      </c>
      <c r="F39" s="92"/>
      <c r="G39" s="128" cm="1">
        <f t="array" ref="G39">IFERROR(IF(ISBLANK(INDEX(_xlfn._xlws.FILTER([1]加工記録２!$C$3:$C$999107, [1]加工記録２!$T$3:$T$999107=B5), 7)), " ", INDEX(_xlfn._xlws.FILTER([1]加工記録２!$C$3:$C$999107, [1]加工記録２!$T$3:$T$999107=B5), 7))," ")</f>
        <v>2</v>
      </c>
      <c r="H39" s="29" t="s">
        <v>79</v>
      </c>
      <c r="I39" s="30" cm="1">
        <f t="array" ref="I39:J39">IFERROR(IF(ISBLANK(INDEX(_xlfn._xlws.FILTER([1]加工記録２!$O$3:$P$999170, [1]加工記録２!$T$3:$T$999170=B5), 1)), "", INDEX(_xlfn._xlws.FILTER([1]加工記録２!$O$3:$P$999170, [1]加工記録２!$T$3:$T$999170=B5), 1)),"")</f>
        <v>46016</v>
      </c>
      <c r="J39" s="31">
        <v>1</v>
      </c>
    </row>
    <row r="40" spans="1:14" s="5" customFormat="1" ht="18" customHeight="1">
      <c r="A40" s="126"/>
      <c r="B40" s="127"/>
      <c r="C40" s="127"/>
      <c r="D40" s="127"/>
      <c r="E40" s="91"/>
      <c r="F40" s="92"/>
      <c r="G40" s="128"/>
      <c r="H40" s="29" t="s">
        <v>80</v>
      </c>
      <c r="I40" s="32" cm="1">
        <f t="array" ref="I40:J40">IFERROR(IF(ISBLANK(INDEX(_xlfn._xlws.FILTER([1]加工記録２!$O$3:$P$999170, [1]加工記録２!$T$3:$T$999170=B5), 2)), "", INDEX(_xlfn._xlws.FILTER([1]加工記録２!$O$3:$P$999170, [1]加工記録２!$T$3:$T$999170=B5), 2)),"")</f>
        <v>200</v>
      </c>
      <c r="J40" s="33" t="str">
        <v/>
      </c>
      <c r="K40" s="34"/>
    </row>
    <row r="41" spans="1:14" s="7" customFormat="1" ht="18" customHeight="1">
      <c r="A41" s="94" t="s">
        <v>81</v>
      </c>
      <c r="B41" s="130" t="str">
        <f>_xlfn.XLOOKUP(B3,[1]VFDB2!A:A,[1]VFDB2!J:J)</f>
        <v>〇</v>
      </c>
      <c r="C41" s="132" t="s">
        <v>82</v>
      </c>
      <c r="D41" s="134">
        <f>_xlfn.XLOOKUP(B3,[1]VFDB2!A:A,[1]VFDB2!P:P)</f>
        <v>2</v>
      </c>
      <c r="E41" s="91" t="str">
        <f>_xlfn.XLOOKUP(B3,[1]VFDB2!A:A,[1]VFDB2!V:V)</f>
        <v>1箱目の梱包数 目視確認　以降、重量測定</v>
      </c>
      <c r="F41" s="92"/>
      <c r="G41" s="93"/>
      <c r="H41" s="35" t="s">
        <v>83</v>
      </c>
      <c r="I41" s="32" cm="1">
        <f t="array" ref="I41:J41">IFERROR(IF(ISBLANK(INDEX(_xlfn._xlws.FILTER([1]加工記録２!$O$3:$P$999170, [1]加工記録２!$T$3:$T$999170=B5), 3)), "", INDEX(_xlfn._xlws.FILTER([1]加工記録２!$O$3:$P$999170, [1]加工記録２!$T$3:$T$999170=B5), 3)),"")</f>
        <v>101</v>
      </c>
      <c r="J41" s="36" t="str">
        <v/>
      </c>
      <c r="K41" s="37"/>
    </row>
    <row r="42" spans="1:14" s="5" customFormat="1" ht="18" customHeight="1">
      <c r="A42" s="129"/>
      <c r="B42" s="131"/>
      <c r="C42" s="133"/>
      <c r="D42" s="135"/>
      <c r="E42" s="91"/>
      <c r="F42" s="92"/>
      <c r="G42" s="93"/>
      <c r="H42" s="35" t="s">
        <v>84</v>
      </c>
      <c r="I42" s="32" cm="1">
        <f t="array" ref="I42:J42">IFERROR(IF(ISBLANK(INDEX(_xlfn._xlws.FILTER([1]加工記録２!$O$3:$P$999170, [1]加工記録２!$T$3:$T$999170=B5), 4)), "", INDEX(_xlfn._xlws.FILTER([1]加工記録２!$O$3:$P$999170, [1]加工記録２!$T$3:$T$999170=B5), 4)),"")</f>
        <v>1</v>
      </c>
      <c r="J42" s="38" t="str">
        <v/>
      </c>
      <c r="K42" s="34"/>
    </row>
    <row r="43" spans="1:14" s="7" customFormat="1" ht="18" customHeight="1">
      <c r="A43" s="83" t="s">
        <v>85</v>
      </c>
      <c r="B43" s="85">
        <f>D3</f>
        <v>748</v>
      </c>
      <c r="C43" s="87" t="s">
        <v>86</v>
      </c>
      <c r="D43" s="89" t="str">
        <f>_xlfn.XLOOKUP(B3,[1]VFDB2!A:A,[1]VFDB2!L:L)</f>
        <v>+0.5</v>
      </c>
      <c r="E43" s="91" t="str">
        <f>_xlfn.XLOOKUP(B3,[1]VFDB2!A:A,[1]VFDB2!W:W)</f>
        <v>L=888用　クラフト紙</v>
      </c>
      <c r="F43" s="92"/>
      <c r="G43" s="93"/>
      <c r="H43" s="35" t="s">
        <v>87</v>
      </c>
      <c r="I43" s="32" cm="1">
        <f t="array" ref="I43:J43">IFERROR(IF(ISBLANK(INDEX(_xlfn._xlws.FILTER([1]加工記録２!$O$3:$P$999170, [1]加工記録２!$T$3:$T$999170=B5), 5)), "", INDEX(_xlfn._xlws.FILTER([1]加工記録２!$O$3:$P$999170, [1]加工記録２!$T$3:$T$999170=B5), 5)),"")</f>
        <v>2</v>
      </c>
      <c r="J43" s="39" t="str">
        <v/>
      </c>
      <c r="K43" s="37"/>
    </row>
    <row r="44" spans="1:14" s="5" customFormat="1" ht="18" customHeight="1">
      <c r="A44" s="84"/>
      <c r="B44" s="86"/>
      <c r="C44" s="88"/>
      <c r="D44" s="90"/>
      <c r="E44" s="91"/>
      <c r="F44" s="92"/>
      <c r="G44" s="93"/>
      <c r="H44" s="35" t="s">
        <v>88</v>
      </c>
      <c r="I44" s="32" cm="1">
        <f t="array" ref="I44:J44">IFERROR(IF(ISBLANK(INDEX(_xlfn._xlws.FILTER([1]加工記録２!$O$3:$P$999170, [1]加工記録２!$T$3:$T$999170=B5), 6)), "", INDEX(_xlfn._xlws.FILTER([1]加工記録２!$O$3:$P$999170, [1]加工記録２!$T$3:$T$999170=B5), 6)),"")</f>
        <v>0</v>
      </c>
      <c r="J44" s="40" t="str">
        <v/>
      </c>
      <c r="K44" s="34"/>
    </row>
    <row r="45" spans="1:14" s="7" customFormat="1" ht="18" customHeight="1">
      <c r="A45" s="94" t="s">
        <v>89</v>
      </c>
      <c r="B45" s="96" t="str">
        <f>_xlfn.XLOOKUP(B3,[1]VFDB2!A:A,[1]VFDB2!AC:AC)</f>
        <v>換算表確認</v>
      </c>
      <c r="C45" s="98" t="s">
        <v>90</v>
      </c>
      <c r="D45" s="89" t="str">
        <f>_xlfn.XLOOKUP(B3,[1]VFDB2!A:A,[1]VFDB2!K:K)</f>
        <v>－0.5</v>
      </c>
      <c r="E45" s="91" t="str">
        <f>_xlfn.XLOOKUP(B3,[1]VFDB2!A:A,[1]VFDB2!R:R)</f>
        <v>ラベル１枚　長手無　鉢巻１回</v>
      </c>
      <c r="F45" s="92"/>
      <c r="G45" s="93"/>
      <c r="H45" s="35" t="s">
        <v>91</v>
      </c>
      <c r="I45" s="32" t="str" cm="1">
        <f t="array" ref="I45">IFERROR(IF(ISBLANK(INDEX(_xlfn._xlws.FILTER([1]加工記録２!$M$3:$M$999170, [1]加工記録２!$T$3:$T$999170=B5), 6)), "", INDEX(_xlfn._xlws.FILTER([1]加工記録２!$M$3:$M$999170, [1]加工記録２!$T$3:$T$999170=B5), 6)),"")</f>
        <v>m</v>
      </c>
      <c r="J45" s="41" cm="1">
        <f t="array" ref="J45">IFERROR(IF(ISBLANK(INDEX(_xlfn._xlws.FILTER([1]加工記録２!$P$3:$P$999170, [1]加工記録２!$T$3:$T$999170=B5), 7)), "", INDEX(_xlfn._xlws.FILTER([1]加工記録２!$P$3:$P$999170, [1]加工記録２!$T$3:$T$999170=B5), 7)),"")</f>
        <v>1</v>
      </c>
      <c r="K45" s="37"/>
    </row>
    <row r="46" spans="1:14" s="5" customFormat="1" ht="18" customHeight="1" thickBot="1">
      <c r="A46" s="95"/>
      <c r="B46" s="97"/>
      <c r="C46" s="99"/>
      <c r="D46" s="100"/>
      <c r="E46" s="101"/>
      <c r="F46" s="102"/>
      <c r="G46" s="103"/>
      <c r="H46" s="42" t="s">
        <v>92</v>
      </c>
      <c r="I46" s="32" t="str" cm="1">
        <f t="array" ref="I46">IFERROR(IF(ISBLANK(INDEX(_xlfn._xlws.FILTER([1]加工記録２!$M$3:$M$999170, [1]加工記録２!$T$3:$T$999170=B5), 7)), "", INDEX(_xlfn._xlws.FILTER([1]加工記録２!$M$3:$M$999170, [1]加工記録２!$T$3:$T$999170=B5), 7)),"")</f>
        <v>t</v>
      </c>
      <c r="J46" s="43">
        <f>SUM(J39:J45)</f>
        <v>2</v>
      </c>
    </row>
    <row r="47" spans="1:14" s="54" customFormat="1" ht="18.95" customHeight="1">
      <c r="A47" s="44" t="s">
        <v>93</v>
      </c>
      <c r="B47" s="45" t="s">
        <v>94</v>
      </c>
      <c r="C47" s="46" t="s">
        <v>95</v>
      </c>
      <c r="D47" s="46" t="s">
        <v>96</v>
      </c>
      <c r="E47" s="47" t="s">
        <v>97</v>
      </c>
      <c r="F47" s="48" t="s">
        <v>98</v>
      </c>
      <c r="G47" s="49" t="s">
        <v>99</v>
      </c>
      <c r="H47" s="50" t="s">
        <v>100</v>
      </c>
      <c r="I47" s="51" t="s">
        <v>101</v>
      </c>
      <c r="J47" s="52" t="s">
        <v>102</v>
      </c>
      <c r="K47" s="53"/>
      <c r="L47" s="53"/>
      <c r="M47" s="53"/>
      <c r="N47" s="53"/>
    </row>
    <row r="48" spans="1:14" s="65" customFormat="1" ht="18.95" customHeight="1">
      <c r="A48" s="55" t="str" cm="1">
        <f t="array" ref="A48:J48">IFERROR(IF(ISBLANK(INDEX(_xlfn._xlws.FILTER([1]加工記録２!$D$3:$M$999170, [1]加工記録２!$T$3:$T$999170=B5), 1)), "", INDEX(_xlfn._xlws.FILTER([1]加工記録２!$D$3:$M$999170, [1]加工記録２!$T$3:$T$999170=B5), 1)),"")</f>
        <v/>
      </c>
      <c r="B48" s="56" t="str">
        <v/>
      </c>
      <c r="C48" s="57" t="str">
        <v/>
      </c>
      <c r="D48" s="57" t="str">
        <v/>
      </c>
      <c r="E48" s="58" t="str">
        <v/>
      </c>
      <c r="F48" s="59">
        <v>0</v>
      </c>
      <c r="G48" s="60" t="str">
        <v/>
      </c>
      <c r="H48" s="61">
        <v>0</v>
      </c>
      <c r="I48" s="62">
        <v>46016</v>
      </c>
      <c r="J48" s="63">
        <v>2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IFERROR(IF(ISBLANK(INDEX(_xlfn._xlws.FILTER([1]加工記録２!$D$3:$M$999170, [1]加工記録２!$T$3:$T$999170=B5), 2)), "", INDEX(_xlfn._xlws.FILTER([1]加工記録２!$D$3:$M$999170, [1]加工記録２!$T$3:$T$999170=B5), 2)),"")</f>
        <v>46016</v>
      </c>
      <c r="B49" s="66" t="str">
        <v>25L16-04</v>
      </c>
      <c r="C49" s="66">
        <v>20</v>
      </c>
      <c r="D49" s="67">
        <v>748</v>
      </c>
      <c r="E49" s="68">
        <v>748.89</v>
      </c>
      <c r="F49" s="69" t="str">
        <v>25L16-04</v>
      </c>
      <c r="G49" s="70">
        <v>202</v>
      </c>
      <c r="H49" s="71">
        <v>101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IFERROR(IF(ISBLANK(INDEX(_xlfn._xlws.FILTER([1]加工記録２!$D$3:$M$999170, [1]加工記録２!$T$3:$T$999170=B5), 3)), "", INDEX(_xlfn._xlws.FILTER([1]加工記録２!$D$3:$M$999170, [1]加工記録２!$T$3:$T$999170=B5), 3)),"")</f>
        <v>46016</v>
      </c>
      <c r="B50" s="66" t="str">
        <v>25L16-04</v>
      </c>
      <c r="C50" s="66">
        <v>20</v>
      </c>
      <c r="D50" s="67">
        <v>748</v>
      </c>
      <c r="E50" s="68">
        <v>748.18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IFERROR(IF(ISBLANK(INDEX(_xlfn._xlws.FILTER([1]加工記録２!$D$3:$M$999170, [1]加工記録２!$T$3:$T$999170=B5), 4)), "", INDEX(_xlfn._xlws.FILTER([1]加工記録２!$D$3:$M$999170, [1]加工記録２!$T$3:$T$999170=B5),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IFERROR(IF(ISBLANK(INDEX(_xlfn._xlws.FILTER([1]加工記録２!$D$3:$M$999170, [1]加工記録２!$T$3:$T$999170=B5), 5)), "", INDEX(_xlfn._xlws.FILTER([1]加工記録２!$D$3:$M$999170, [1]加工記録２!$T$3:$T$999170=B5),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IFERROR(IF(ISBLANK(INDEX(_xlfn._xlws.FILTER([1]加工記録２!$D$3:$K$999170, [1]加工記録２!$T$3:$T$999170=B5), 6)), "", INDEX(_xlfn._xlws.FILTER([1]加工記録２!$D$3:$K$999170, [1]加工記録２!$T$3:$T$999170=B5),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IFERROR(IF(ISBLANK(INDEX(_xlfn._xlws.FILTER([1]加工記録２!$D$3:$K$999170, [1]加工記録２!$T$3:$T$999170=B5), 7)), "", INDEX(_xlfn._xlws.FILTER([1]加工記録２!$D$3:$K$999170, [1]加工記録２!$T$3:$T$999170=B5),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IFERROR(IF(ISBLANK(INDEX(_xlfn._xlws.FILTER([1]加工記録２!$D$3:$K$999170, [1]加工記録２!$T$3:$T$999170=B5), 8)), "", INDEX(_xlfn._xlws.FILTER([1]加工記録２!$D$3:$K$999170, [1]加工記録２!$T$3:$T$999170=B5),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103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9" t="s">
        <v>0</v>
      </c>
      <c r="C58" s="105"/>
      <c r="D58" s="105"/>
      <c r="E58" s="11"/>
      <c r="F58" s="11"/>
      <c r="G58" s="11"/>
      <c r="H58" s="11"/>
      <c r="I58" s="11"/>
      <c r="J58" s="11"/>
    </row>
    <row r="59" spans="1:14" ht="14.25" customHeight="1">
      <c r="A59" s="12"/>
      <c r="B59" s="105"/>
      <c r="C59" s="105"/>
      <c r="D59" s="105"/>
      <c r="E59" s="12"/>
      <c r="F59" s="12"/>
      <c r="G59" s="12"/>
      <c r="H59" s="12"/>
      <c r="I59" s="12"/>
      <c r="J59" s="12"/>
    </row>
    <row r="60" spans="1:14" ht="14.25" customHeight="1">
      <c r="A60" s="109" t="s">
        <v>1</v>
      </c>
      <c r="B60" s="109" t="s">
        <v>63</v>
      </c>
      <c r="C60" s="109" t="s">
        <v>3</v>
      </c>
      <c r="D60" s="118">
        <v>888</v>
      </c>
      <c r="E60" s="109" t="s">
        <v>4</v>
      </c>
      <c r="F60" s="151" t="s">
        <v>64</v>
      </c>
      <c r="G60" s="105"/>
      <c r="H60" s="144"/>
      <c r="I60" s="13" t="s">
        <v>6</v>
      </c>
      <c r="J60" s="13" t="s">
        <v>7</v>
      </c>
    </row>
    <row r="61" spans="1:14" ht="14.25" customHeight="1">
      <c r="A61" s="105"/>
      <c r="B61" s="105"/>
      <c r="C61" s="105"/>
      <c r="D61" s="105"/>
      <c r="E61" s="105"/>
      <c r="F61" s="105"/>
      <c r="G61" s="105"/>
      <c r="H61" s="144"/>
      <c r="I61" s="146"/>
      <c r="J61" s="146"/>
    </row>
    <row r="62" spans="1:14" ht="17.45" customHeight="1">
      <c r="A62" s="104" t="s">
        <v>8</v>
      </c>
      <c r="B62" s="104" t="s">
        <v>65</v>
      </c>
      <c r="E62" s="104" t="s">
        <v>10</v>
      </c>
      <c r="F62" s="143" t="s">
        <v>66</v>
      </c>
      <c r="G62" s="105"/>
      <c r="H62" s="144"/>
      <c r="I62" s="147"/>
      <c r="J62" s="147"/>
    </row>
    <row r="63" spans="1:14" ht="17.45" customHeight="1">
      <c r="A63" s="105"/>
      <c r="B63" s="105"/>
      <c r="E63" s="105"/>
      <c r="F63" s="105"/>
      <c r="G63" s="105"/>
      <c r="H63" s="144"/>
      <c r="I63" s="14"/>
      <c r="J63" s="14"/>
    </row>
    <row r="64" spans="1:14" ht="17.45" customHeight="1">
      <c r="A64" s="104" t="s">
        <v>12</v>
      </c>
      <c r="B64" s="104" t="s">
        <v>67</v>
      </c>
      <c r="E64" s="2" t="s">
        <v>14</v>
      </c>
      <c r="F64" s="154" t="s">
        <v>15</v>
      </c>
      <c r="G64" s="105"/>
      <c r="H64" s="21"/>
    </row>
    <row r="65" spans="1:10" ht="17.45" customHeight="1">
      <c r="A65" s="105"/>
      <c r="B65" s="105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46015</v>
      </c>
      <c r="E66" s="2" t="s">
        <v>19</v>
      </c>
      <c r="F66" s="106">
        <v>100</v>
      </c>
      <c r="G66" s="105"/>
      <c r="H66" s="21"/>
    </row>
    <row r="67" spans="1:10" ht="17.45" customHeight="1">
      <c r="A67" s="2" t="s">
        <v>20</v>
      </c>
      <c r="B67" s="4">
        <v>46015</v>
      </c>
      <c r="E67" s="2" t="s">
        <v>21</v>
      </c>
      <c r="F67" s="21">
        <v>5</v>
      </c>
      <c r="G67" s="145" t="s">
        <v>22</v>
      </c>
      <c r="H67" s="110">
        <v>500</v>
      </c>
      <c r="I67" s="111"/>
      <c r="J67" s="11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13"/>
      <c r="H68" s="113"/>
      <c r="I68" s="114"/>
      <c r="J68" s="115"/>
    </row>
    <row r="69" spans="1:10" ht="13.5" customHeight="1">
      <c r="A69" s="150" t="s">
        <v>68</v>
      </c>
      <c r="B69" s="105"/>
      <c r="C69" s="105"/>
      <c r="D69" s="20"/>
      <c r="F69" s="3"/>
      <c r="G69" s="148" t="s">
        <v>26</v>
      </c>
      <c r="H69" s="155" t="s">
        <v>27</v>
      </c>
      <c r="I69" s="156" t="s">
        <v>28</v>
      </c>
      <c r="J69" s="144"/>
    </row>
    <row r="70" spans="1:10" ht="13.5" customHeight="1">
      <c r="A70" s="105"/>
      <c r="B70" s="105"/>
      <c r="C70" s="105"/>
      <c r="D70" s="20"/>
      <c r="F70" s="3"/>
      <c r="G70" s="149"/>
      <c r="H70" s="149"/>
      <c r="I70" s="114"/>
      <c r="J70" s="115"/>
    </row>
    <row r="71" spans="1:10" ht="13.5" customHeight="1">
      <c r="A71" s="1" t="s">
        <v>29</v>
      </c>
    </row>
    <row r="72" spans="1:10" ht="63" customHeight="1">
      <c r="A72" s="157"/>
      <c r="B72" s="158"/>
      <c r="C72" s="158"/>
      <c r="D72" s="158"/>
      <c r="E72" s="158"/>
      <c r="F72" s="158"/>
      <c r="G72" s="158"/>
      <c r="H72" s="158"/>
      <c r="I72" s="158"/>
      <c r="J72" s="158"/>
    </row>
    <row r="73" spans="1:10" ht="18.75">
      <c r="A73" s="23" t="s">
        <v>30</v>
      </c>
      <c r="B73" s="16" t="s">
        <v>31</v>
      </c>
      <c r="C73" s="120" t="s">
        <v>32</v>
      </c>
      <c r="D73" s="121"/>
      <c r="E73" s="16" t="s">
        <v>33</v>
      </c>
      <c r="F73" s="120" t="s">
        <v>34</v>
      </c>
      <c r="G73" s="121"/>
      <c r="H73" s="121"/>
      <c r="I73" s="153" t="s">
        <v>35</v>
      </c>
      <c r="J73" s="12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07" t="s">
        <v>37</v>
      </c>
      <c r="D75" s="105"/>
      <c r="E75" s="24" t="s">
        <v>38</v>
      </c>
      <c r="F75" s="107" t="s">
        <v>39</v>
      </c>
      <c r="G75" s="105"/>
      <c r="H75" s="105"/>
      <c r="I75" s="123"/>
      <c r="J75" s="105"/>
    </row>
    <row r="76" spans="1:10" ht="16.5" customHeight="1">
      <c r="A76" s="22">
        <v>1</v>
      </c>
      <c r="B76" s="25" t="s">
        <v>36</v>
      </c>
      <c r="C76" s="107" t="s">
        <v>37</v>
      </c>
      <c r="D76" s="105"/>
      <c r="E76" s="24" t="s">
        <v>40</v>
      </c>
      <c r="F76" s="107" t="s">
        <v>41</v>
      </c>
      <c r="G76" s="105"/>
      <c r="H76" s="105"/>
      <c r="I76" s="123"/>
      <c r="J76" s="105"/>
    </row>
    <row r="77" spans="1:10" ht="16.5" customHeight="1">
      <c r="A77" s="22"/>
      <c r="B77" s="25"/>
      <c r="C77" s="107"/>
      <c r="D77" s="105"/>
      <c r="E77" s="24"/>
      <c r="F77" s="107"/>
      <c r="G77" s="105"/>
      <c r="H77" s="105"/>
      <c r="I77" s="123"/>
      <c r="J77" s="105"/>
    </row>
    <row r="78" spans="1:10" ht="16.5" customHeight="1">
      <c r="A78" s="22"/>
      <c r="B78" s="25"/>
      <c r="C78" s="107"/>
      <c r="D78" s="105"/>
      <c r="E78" s="24"/>
      <c r="F78" s="107"/>
      <c r="G78" s="105"/>
      <c r="H78" s="105"/>
      <c r="I78" s="123"/>
      <c r="J78" s="105"/>
    </row>
    <row r="79" spans="1:10" ht="16.5" customHeight="1">
      <c r="A79" s="22"/>
      <c r="B79" s="25"/>
      <c r="C79" s="107"/>
      <c r="D79" s="105"/>
      <c r="E79" s="24"/>
      <c r="F79" s="107"/>
      <c r="G79" s="105"/>
      <c r="H79" s="105"/>
      <c r="I79" s="123"/>
      <c r="J79" s="105"/>
    </row>
    <row r="80" spans="1:10" ht="16.5" customHeight="1">
      <c r="A80" s="22"/>
      <c r="B80" s="25"/>
      <c r="C80" s="107"/>
      <c r="D80" s="105"/>
      <c r="E80" s="24"/>
      <c r="F80" s="107"/>
      <c r="G80" s="105"/>
      <c r="H80" s="105"/>
      <c r="I80" s="123"/>
      <c r="J80" s="105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6" t="s">
        <v>42</v>
      </c>
      <c r="B82" s="117"/>
      <c r="C82" s="116" t="s">
        <v>43</v>
      </c>
      <c r="D82" s="117"/>
      <c r="E82" s="117"/>
      <c r="F82" s="17" t="s">
        <v>44</v>
      </c>
      <c r="G82" s="116" t="s">
        <v>45</v>
      </c>
      <c r="H82" s="117"/>
      <c r="I82" s="116" t="s">
        <v>46</v>
      </c>
      <c r="J82" s="117"/>
    </row>
    <row r="83" spans="1:10" ht="14.25" customHeight="1">
      <c r="A83" s="8"/>
      <c r="B83" s="18"/>
      <c r="C83" s="152" t="s">
        <v>47</v>
      </c>
      <c r="D83" s="114"/>
      <c r="E83" s="18"/>
      <c r="F83" s="152" t="s">
        <v>29</v>
      </c>
      <c r="G83" s="114"/>
      <c r="H83" s="114"/>
      <c r="I83" s="114"/>
      <c r="J83" s="114"/>
    </row>
    <row r="84" spans="1:10">
      <c r="A84" s="9"/>
      <c r="C84" s="7"/>
      <c r="D84" s="7"/>
      <c r="E84" s="7"/>
    </row>
    <row r="85" spans="1:10" ht="14.25" customHeight="1">
      <c r="A85" s="107" t="s">
        <v>48</v>
      </c>
      <c r="B85" s="105"/>
      <c r="C85" s="107" t="s">
        <v>49</v>
      </c>
      <c r="D85" s="105"/>
      <c r="E85" s="105"/>
      <c r="F85" s="26" t="s">
        <v>27</v>
      </c>
      <c r="G85" s="122">
        <v>250</v>
      </c>
      <c r="H85" s="105"/>
      <c r="I85" s="122">
        <v>2.5</v>
      </c>
      <c r="J85" s="105"/>
    </row>
    <row r="86" spans="1:10" ht="24.95" customHeight="1">
      <c r="A86" s="142" t="s">
        <v>50</v>
      </c>
      <c r="B86" s="105"/>
      <c r="C86" s="107"/>
      <c r="D86" s="105"/>
      <c r="E86" s="105"/>
      <c r="F86" s="107"/>
      <c r="G86" s="105"/>
      <c r="H86" s="105"/>
      <c r="I86" s="105"/>
      <c r="J86" s="105"/>
    </row>
    <row r="87" spans="1:10" ht="14.25" customHeight="1">
      <c r="A87" s="107" t="s">
        <v>51</v>
      </c>
      <c r="B87" s="105"/>
      <c r="C87" s="107" t="s">
        <v>52</v>
      </c>
      <c r="D87" s="105"/>
      <c r="E87" s="105"/>
      <c r="F87" s="26" t="s">
        <v>36</v>
      </c>
      <c r="G87" s="122">
        <v>5</v>
      </c>
      <c r="H87" s="105"/>
      <c r="I87" s="122">
        <v>0.05</v>
      </c>
      <c r="J87" s="105"/>
    </row>
    <row r="88" spans="1:10" ht="24.95" customHeight="1">
      <c r="A88" s="142" t="s">
        <v>53</v>
      </c>
      <c r="B88" s="105"/>
      <c r="C88" s="107" t="s">
        <v>54</v>
      </c>
      <c r="D88" s="105"/>
      <c r="E88" s="105"/>
      <c r="F88" s="107"/>
      <c r="G88" s="105"/>
      <c r="H88" s="105"/>
      <c r="I88" s="105"/>
      <c r="J88" s="105"/>
    </row>
    <row r="89" spans="1:10" ht="14.25" customHeight="1">
      <c r="A89" s="107" t="s">
        <v>69</v>
      </c>
      <c r="B89" s="105"/>
      <c r="C89" s="107" t="s">
        <v>56</v>
      </c>
      <c r="D89" s="105"/>
      <c r="E89" s="105"/>
      <c r="F89" s="26"/>
      <c r="G89" s="122">
        <v>55</v>
      </c>
      <c r="H89" s="105"/>
      <c r="I89" s="122">
        <v>0.55000000000000004</v>
      </c>
      <c r="J89" s="105"/>
    </row>
    <row r="90" spans="1:10" ht="24.95" customHeight="1">
      <c r="A90" s="142" t="s">
        <v>70</v>
      </c>
      <c r="B90" s="105"/>
      <c r="C90" s="107" t="s">
        <v>71</v>
      </c>
      <c r="D90" s="105"/>
      <c r="E90" s="105"/>
      <c r="F90" s="107"/>
      <c r="G90" s="105"/>
      <c r="H90" s="105"/>
      <c r="I90" s="105"/>
      <c r="J90" s="105"/>
    </row>
    <row r="91" spans="1:10" ht="14.25" customHeight="1">
      <c r="A91" s="107" t="s">
        <v>59</v>
      </c>
      <c r="B91" s="105"/>
      <c r="C91" s="107" t="s">
        <v>60</v>
      </c>
      <c r="D91" s="105"/>
      <c r="E91" s="105"/>
      <c r="F91" s="26"/>
      <c r="G91" s="122">
        <v>0.5</v>
      </c>
      <c r="H91" s="105"/>
      <c r="I91" s="122">
        <v>5.0000000000000001E-3</v>
      </c>
      <c r="J91" s="105"/>
    </row>
    <row r="92" spans="1:10" ht="24.95" customHeight="1">
      <c r="A92" s="142" t="s">
        <v>61</v>
      </c>
      <c r="B92" s="105"/>
      <c r="C92" s="107" t="s">
        <v>62</v>
      </c>
      <c r="D92" s="105"/>
      <c r="E92" s="105"/>
      <c r="F92" s="107"/>
      <c r="G92" s="105"/>
      <c r="H92" s="105"/>
      <c r="I92" s="105"/>
      <c r="J92" s="105"/>
    </row>
    <row r="93" spans="1:10" ht="14.25" customHeight="1">
      <c r="A93" s="107"/>
      <c r="B93" s="105"/>
      <c r="C93" s="107"/>
      <c r="D93" s="105"/>
      <c r="E93" s="105"/>
      <c r="F93" s="26"/>
      <c r="G93" s="122"/>
      <c r="H93" s="105"/>
      <c r="I93" s="122"/>
      <c r="J93" s="105"/>
    </row>
    <row r="94" spans="1:10" ht="24.95" customHeight="1" thickBot="1">
      <c r="A94" s="142"/>
      <c r="B94" s="105"/>
      <c r="C94" s="107"/>
      <c r="D94" s="105"/>
      <c r="E94" s="105"/>
      <c r="F94" s="107"/>
      <c r="G94" s="105"/>
      <c r="H94" s="105"/>
      <c r="I94" s="105"/>
      <c r="J94" s="105"/>
    </row>
    <row r="95" spans="1:10" s="5" customFormat="1" ht="18" customHeight="1">
      <c r="A95" s="136" t="s">
        <v>74</v>
      </c>
      <c r="B95" s="137"/>
      <c r="C95" s="137"/>
      <c r="D95" s="137"/>
      <c r="E95" s="138" t="s">
        <v>75</v>
      </c>
      <c r="F95" s="139"/>
      <c r="G95" s="27" t="s">
        <v>76</v>
      </c>
      <c r="H95" s="140" t="s">
        <v>77</v>
      </c>
      <c r="I95" s="141"/>
      <c r="J95" s="28" t="s">
        <v>78</v>
      </c>
    </row>
    <row r="96" spans="1:10" s="7" customFormat="1" ht="18" customHeight="1">
      <c r="A96" s="124" t="str">
        <f>_xlfn.XLOOKUP(B60,[2]VFDB2!A:A,[2]VFDB2!B:B)</f>
        <v>8FL281304 5010　L=888</v>
      </c>
      <c r="B96" s="125"/>
      <c r="C96" s="125"/>
      <c r="D96" s="125"/>
      <c r="E96" s="91" t="str" cm="1">
        <f t="array" ref="E96">IFERROR(IF(ISBLANK(INDEX(_xlfn._xlws.FILTER([2]加工記録２!$C$3:$C$999501, [2]加工記録２!$T$3:$T$999501=B62), 6)), "", INDEX(_xlfn._xlws.FILTER([2]加工記録２!$C$3:$C$999501, [2]加工記録２!$T$3:$T$999501=B62), 6)),"")</f>
        <v>LED-A888</v>
      </c>
      <c r="F96" s="92"/>
      <c r="G96" s="128" cm="1">
        <f t="array" ref="G96">IFERROR(IF(ISBLANK(INDEX(_xlfn._xlws.FILTER([2]加工記録２!$C$3:$C$999501, [2]加工記録２!$T$3:$T$999501=B62), 7)), " ", INDEX(_xlfn._xlws.FILTER([2]加工記録２!$C$3:$C$999501, [2]加工記録２!$T$3:$T$999501=B62), 7))," ")</f>
        <v>5</v>
      </c>
      <c r="H96" s="29" t="s">
        <v>79</v>
      </c>
      <c r="I96" s="30" cm="1">
        <f t="array" ref="I96:J96">IFERROR(IF(ISBLANK(INDEX(_xlfn._xlws.FILTER([2]加工記録２!$O$3:$P$999564, [2]加工記録２!$T$3:$T$999564=B62), 1)), "", INDEX(_xlfn._xlws.FILTER([2]加工記録２!$O$3:$P$999564, [2]加工記録２!$T$3:$T$999564=B62), 1)),"")</f>
        <v>46014</v>
      </c>
      <c r="J96" s="31">
        <v>2</v>
      </c>
    </row>
    <row r="97" spans="1:14" s="5" customFormat="1" ht="18" customHeight="1">
      <c r="A97" s="126"/>
      <c r="B97" s="127"/>
      <c r="C97" s="127"/>
      <c r="D97" s="127"/>
      <c r="E97" s="91"/>
      <c r="F97" s="92"/>
      <c r="G97" s="128"/>
      <c r="H97" s="29" t="s">
        <v>80</v>
      </c>
      <c r="I97" s="32" cm="1">
        <f t="array" ref="I97:J97">IFERROR(IF(ISBLANK(INDEX(_xlfn._xlws.FILTER([2]加工記録２!$O$3:$P$999564, [2]加工記録２!$T$3:$T$999564=B62), 2)), "", INDEX(_xlfn._xlws.FILTER([2]加工記録２!$O$3:$P$999564, [2]加工記録２!$T$3:$T$999564=B62), 2)),"")</f>
        <v>500</v>
      </c>
      <c r="J97" s="33" t="str">
        <v/>
      </c>
      <c r="K97" s="34"/>
    </row>
    <row r="98" spans="1:14" s="7" customFormat="1" ht="18" customHeight="1">
      <c r="A98" s="94" t="s">
        <v>81</v>
      </c>
      <c r="B98" s="130" t="str">
        <f>_xlfn.XLOOKUP(B60,[2]VFDB2!A:A,[2]VFDB2!J:J)</f>
        <v>〇</v>
      </c>
      <c r="C98" s="132" t="s">
        <v>82</v>
      </c>
      <c r="D98" s="134">
        <f>_xlfn.XLOOKUP(B60,[2]VFDB2!A:A,[2]VFDB2!P:P)</f>
        <v>2</v>
      </c>
      <c r="E98" s="91" t="str">
        <f>_xlfn.XLOOKUP(B60,[2]VFDB2!A:A,[2]VFDB2!V:V)</f>
        <v>1箱目の梱包数 目視確認　以降、重量測定</v>
      </c>
      <c r="F98" s="92"/>
      <c r="G98" s="93"/>
      <c r="H98" s="35" t="s">
        <v>83</v>
      </c>
      <c r="I98" s="32" cm="1">
        <f t="array" ref="I98:J98">IFERROR(IF(ISBLANK(INDEX(_xlfn._xlws.FILTER([2]加工記録２!$O$3:$P$999564, [2]加工記録２!$T$3:$T$999564=B62), 3)), "", INDEX(_xlfn._xlws.FILTER([2]加工記録２!$O$3:$P$999564, [2]加工記録２!$T$3:$T$999564=B62), 3)),"")</f>
        <v>251</v>
      </c>
      <c r="J98" s="36" t="str">
        <v/>
      </c>
      <c r="K98" s="37"/>
    </row>
    <row r="99" spans="1:14" s="5" customFormat="1" ht="18" customHeight="1">
      <c r="A99" s="129"/>
      <c r="B99" s="131"/>
      <c r="C99" s="133"/>
      <c r="D99" s="135"/>
      <c r="E99" s="91"/>
      <c r="F99" s="92"/>
      <c r="G99" s="93"/>
      <c r="H99" s="35" t="s">
        <v>84</v>
      </c>
      <c r="I99" s="32" cm="1">
        <f t="array" ref="I99:J99">IFERROR(IF(ISBLANK(INDEX(_xlfn._xlws.FILTER([2]加工記録２!$O$3:$P$999564, [2]加工記録２!$T$3:$T$999564=B62), 4)), "", INDEX(_xlfn._xlws.FILTER([2]加工記録２!$O$3:$P$999564, [2]加工記録２!$T$3:$T$999564=B62), 4)),"")</f>
        <v>1</v>
      </c>
      <c r="J99" s="38" t="str">
        <v/>
      </c>
      <c r="K99" s="34"/>
    </row>
    <row r="100" spans="1:14" s="7" customFormat="1" ht="18" customHeight="1">
      <c r="A100" s="83" t="s">
        <v>85</v>
      </c>
      <c r="B100" s="85">
        <f>D60</f>
        <v>888</v>
      </c>
      <c r="C100" s="87" t="s">
        <v>86</v>
      </c>
      <c r="D100" s="89" t="str">
        <f>_xlfn.XLOOKUP(B60,[2]VFDB2!A:A,[2]VFDB2!L:L)</f>
        <v>+0.5</v>
      </c>
      <c r="E100" s="91" t="str">
        <f>_xlfn.XLOOKUP(B60,[2]VFDB2!A:A,[2]VFDB2!W:W)</f>
        <v>L=888用　クラフト紙</v>
      </c>
      <c r="F100" s="92"/>
      <c r="G100" s="93"/>
      <c r="H100" s="35" t="s">
        <v>87</v>
      </c>
      <c r="I100" s="32" cm="1">
        <f t="array" ref="I100:J100">IFERROR(IF(ISBLANK(INDEX(_xlfn._xlws.FILTER([2]加工記録２!$O$3:$P$999564, [2]加工記録２!$T$3:$T$999564=B62), 5)), "", INDEX(_xlfn._xlws.FILTER([2]加工記録２!$O$3:$P$999564, [2]加工記録２!$T$3:$T$999564=B62), 5)),"")</f>
        <v>2</v>
      </c>
      <c r="J100" s="39" t="str">
        <v/>
      </c>
      <c r="K100" s="37"/>
    </row>
    <row r="101" spans="1:14" s="5" customFormat="1" ht="18" customHeight="1">
      <c r="A101" s="84"/>
      <c r="B101" s="86"/>
      <c r="C101" s="88"/>
      <c r="D101" s="90"/>
      <c r="E101" s="91"/>
      <c r="F101" s="92"/>
      <c r="G101" s="93"/>
      <c r="H101" s="35" t="s">
        <v>88</v>
      </c>
      <c r="I101" s="32" cm="1">
        <f t="array" ref="I101:J101">IFERROR(IF(ISBLANK(INDEX(_xlfn._xlws.FILTER([2]加工記録２!$O$3:$P$999564, [2]加工記録２!$T$3:$T$999564=B62), 6)), "", INDEX(_xlfn._xlws.FILTER([2]加工記録２!$O$3:$P$999564, [2]加工記録２!$T$3:$T$999564=B62), 6)),"")</f>
        <v>0</v>
      </c>
      <c r="J101" s="40" t="str">
        <v/>
      </c>
      <c r="K101" s="34"/>
    </row>
    <row r="102" spans="1:14" s="7" customFormat="1" ht="18" customHeight="1">
      <c r="A102" s="94" t="s">
        <v>89</v>
      </c>
      <c r="B102" s="96" t="str">
        <f>_xlfn.XLOOKUP(B60,[2]VFDB2!A:A,[2]VFDB2!AC:AC)</f>
        <v>換算表確認</v>
      </c>
      <c r="C102" s="98" t="s">
        <v>90</v>
      </c>
      <c r="D102" s="89" t="str">
        <f>_xlfn.XLOOKUP(B60,[2]VFDB2!A:A,[2]VFDB2!K:K)</f>
        <v>－0.5</v>
      </c>
      <c r="E102" s="91" t="str">
        <f>_xlfn.XLOOKUP(B60,[2]VFDB2!A:A,[2]VFDB2!R:R)</f>
        <v>ラベル１枚　長手無　鉢巻１回</v>
      </c>
      <c r="F102" s="92"/>
      <c r="G102" s="93"/>
      <c r="H102" s="35" t="s">
        <v>91</v>
      </c>
      <c r="I102" s="32" t="str" cm="1">
        <f t="array" ref="I102">IFERROR(IF(ISBLANK(INDEX(_xlfn._xlws.FILTER([2]加工記録２!$M$3:$M$999564, [2]加工記録２!$T$3:$T$999564=B62), 6)), "", INDEX(_xlfn._xlws.FILTER([2]加工記録２!$M$3:$M$999564, [2]加工記録２!$T$3:$T$999564=B62), 6)),"")</f>
        <v>m</v>
      </c>
      <c r="J102" s="41" t="str" cm="1">
        <f t="array" ref="J102">IFERROR(IF(ISBLANK(INDEX(_xlfn._xlws.FILTER([2]加工記録２!$P$3:$P$999564, [2]加工記録２!$T$3:$T$999564=B62), 7)), "", INDEX(_xlfn._xlws.FILTER([2]加工記録２!$P$3:$P$999564, [2]加工記録２!$T$3:$T$999564=B62), 7)),"")</f>
        <v/>
      </c>
      <c r="K102" s="37"/>
    </row>
    <row r="103" spans="1:14" s="5" customFormat="1" ht="18" customHeight="1" thickBot="1">
      <c r="A103" s="95"/>
      <c r="B103" s="97"/>
      <c r="C103" s="99"/>
      <c r="D103" s="100"/>
      <c r="E103" s="101"/>
      <c r="F103" s="102"/>
      <c r="G103" s="103"/>
      <c r="H103" s="42" t="s">
        <v>92</v>
      </c>
      <c r="I103" s="32" t="str" cm="1">
        <f t="array" ref="I103">IFERROR(IF(ISBLANK(INDEX(_xlfn._xlws.FILTER([2]加工記録２!$M$3:$M$999564, [2]加工記録２!$T$3:$T$999564=B62), 7)), "", INDEX(_xlfn._xlws.FILTER([2]加工記録２!$M$3:$M$999564, [2]加工記録２!$T$3:$T$999564=B62), 7)),"")</f>
        <v>t</v>
      </c>
      <c r="J103" s="43">
        <f>SUM(J96:J102)</f>
        <v>2</v>
      </c>
    </row>
    <row r="104" spans="1:14" s="54" customFormat="1" ht="18.95" customHeight="1">
      <c r="A104" s="44" t="s">
        <v>93</v>
      </c>
      <c r="B104" s="45" t="s">
        <v>94</v>
      </c>
      <c r="C104" s="46" t="s">
        <v>95</v>
      </c>
      <c r="D104" s="46" t="s">
        <v>96</v>
      </c>
      <c r="E104" s="47" t="s">
        <v>97</v>
      </c>
      <c r="F104" s="48" t="s">
        <v>98</v>
      </c>
      <c r="G104" s="49" t="s">
        <v>99</v>
      </c>
      <c r="H104" s="50" t="s">
        <v>100</v>
      </c>
      <c r="I104" s="51" t="s">
        <v>101</v>
      </c>
      <c r="J104" s="52" t="s">
        <v>102</v>
      </c>
      <c r="K104" s="53"/>
      <c r="L104" s="53"/>
      <c r="M104" s="53"/>
      <c r="N104" s="53"/>
    </row>
    <row r="105" spans="1:14" s="65" customFormat="1" ht="18.95" customHeight="1">
      <c r="A105" s="55" t="str" cm="1">
        <f t="array" ref="A105:J105">IFERROR(IF(ISBLANK(INDEX(_xlfn._xlws.FILTER([2]加工記録２!$D$3:$M$999564, [2]加工記録２!$T$3:$T$999564=B62), 1)), "", INDEX(_xlfn._xlws.FILTER([2]加工記録２!$D$3:$M$999564, [2]加工記録２!$T$3:$T$999564=B62), 1)),"")</f>
        <v/>
      </c>
      <c r="B105" s="56" t="str">
        <v/>
      </c>
      <c r="C105" s="57" t="str">
        <v/>
      </c>
      <c r="D105" s="57" t="str">
        <v/>
      </c>
      <c r="E105" s="58" t="str">
        <v/>
      </c>
      <c r="F105" s="59">
        <v>0</v>
      </c>
      <c r="G105" s="60" t="str">
        <v/>
      </c>
      <c r="H105" s="61">
        <v>0</v>
      </c>
      <c r="I105" s="62">
        <v>46014</v>
      </c>
      <c r="J105" s="63">
        <v>5</v>
      </c>
      <c r="K105" s="64"/>
      <c r="L105" s="64"/>
      <c r="M105" s="64"/>
      <c r="N105" s="64"/>
    </row>
    <row r="106" spans="1:14" s="65" customFormat="1" ht="18.95" customHeight="1">
      <c r="A106" s="55" cm="1">
        <f t="array" ref="A106:J106">IFERROR(IF(ISBLANK(INDEX(_xlfn._xlws.FILTER([2]加工記録２!$D$3:$M$999564, [2]加工記録２!$T$3:$T$999564=B62), 2)), "", INDEX(_xlfn._xlws.FILTER([2]加工記録２!$D$3:$M$999564, [2]加工記録２!$T$3:$T$999564=B62), 2)),"")</f>
        <v>46013</v>
      </c>
      <c r="B106" s="66" t="str">
        <v>25L14-02</v>
      </c>
      <c r="C106" s="66">
        <v>20</v>
      </c>
      <c r="D106" s="67">
        <v>888</v>
      </c>
      <c r="E106" s="68">
        <v>887.89</v>
      </c>
      <c r="F106" s="69" t="str">
        <v>25L14-02</v>
      </c>
      <c r="G106" s="70">
        <v>192</v>
      </c>
      <c r="H106" s="71">
        <v>96</v>
      </c>
      <c r="I106" s="62" t="str">
        <v/>
      </c>
      <c r="J106" s="63" t="str">
        <v/>
      </c>
      <c r="K106" s="64"/>
      <c r="L106" s="64"/>
      <c r="M106" s="64"/>
      <c r="N106" s="64"/>
    </row>
    <row r="107" spans="1:14" s="65" customFormat="1" ht="18.95" customHeight="1">
      <c r="A107" s="55" cm="1">
        <f t="array" ref="A107:J107">IFERROR(IF(ISBLANK(INDEX(_xlfn._xlws.FILTER([2]加工記録２!$D$3:$M$999564, [2]加工記録２!$T$3:$T$999564=B62), 3)), "", INDEX(_xlfn._xlws.FILTER([2]加工記録２!$D$3:$M$999564, [2]加工記録２!$T$3:$T$999564=B62), 3)),"")</f>
        <v>46013</v>
      </c>
      <c r="B107" s="66" t="str">
        <v>25L15-03</v>
      </c>
      <c r="C107" s="66">
        <v>20</v>
      </c>
      <c r="D107" s="67">
        <v>888</v>
      </c>
      <c r="E107" s="68">
        <v>887.95</v>
      </c>
      <c r="F107" s="69" t="str">
        <v>25L15-03</v>
      </c>
      <c r="G107" s="70">
        <v>310</v>
      </c>
      <c r="H107" s="71">
        <v>155</v>
      </c>
      <c r="I107" s="62" t="str">
        <v/>
      </c>
      <c r="J107" s="63" t="str">
        <v/>
      </c>
      <c r="K107" s="64"/>
      <c r="L107" s="64"/>
      <c r="M107" s="64"/>
      <c r="N107" s="64"/>
    </row>
    <row r="108" spans="1:14" s="65" customFormat="1" ht="18.95" customHeight="1">
      <c r="A108" s="55" cm="1">
        <f t="array" ref="A108:J108">IFERROR(IF(ISBLANK(INDEX(_xlfn._xlws.FILTER([2]加工記録２!$D$3:$M$999564, [2]加工記録２!$T$3:$T$999564=B62), 4)), "", INDEX(_xlfn._xlws.FILTER([2]加工記録２!$D$3:$M$999564, [2]加工記録２!$T$3:$T$999564=B62), 4)),"")</f>
        <v>46014</v>
      </c>
      <c r="B108" s="66" t="str">
        <v>25L15-03</v>
      </c>
      <c r="C108" s="66">
        <v>16</v>
      </c>
      <c r="D108" s="67">
        <v>887.77</v>
      </c>
      <c r="E108" s="68">
        <v>887.8</v>
      </c>
      <c r="F108" s="69" t="str">
        <v/>
      </c>
      <c r="G108" s="70" t="str">
        <v/>
      </c>
      <c r="H108" s="71">
        <v>0</v>
      </c>
      <c r="I108" s="62" t="str">
        <v/>
      </c>
      <c r="J108" s="63" t="str">
        <v/>
      </c>
      <c r="K108" s="64"/>
      <c r="L108" s="64"/>
      <c r="M108" s="64"/>
      <c r="N108" s="64"/>
    </row>
    <row r="109" spans="1:14" s="65" customFormat="1" ht="18.95" customHeight="1">
      <c r="A109" s="55" cm="1">
        <f t="array" ref="A109:J109">IFERROR(IF(ISBLANK(INDEX(_xlfn._xlws.FILTER([2]加工記録２!$D$3:$M$999564, [2]加工記録２!$T$3:$T$999564=B62), 5)), "", INDEX(_xlfn._xlws.FILTER([2]加工記録２!$D$3:$M$999564, [2]加工記録２!$T$3:$T$999564=B62), 5)),"")</f>
        <v>46014</v>
      </c>
      <c r="B109" s="66" t="str">
        <v>25L15-03</v>
      </c>
      <c r="C109" s="66">
        <v>22</v>
      </c>
      <c r="D109" s="67">
        <v>888.12</v>
      </c>
      <c r="E109" s="68">
        <v>887.99</v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64"/>
      <c r="L109" s="64"/>
      <c r="M109" s="64"/>
      <c r="N109" s="64"/>
    </row>
    <row r="110" spans="1:14" s="65" customFormat="1" ht="18.95" customHeight="1">
      <c r="A110" s="55" t="str" cm="1">
        <f t="array" ref="A110:H110">IFERROR(IF(ISBLANK(INDEX(_xlfn._xlws.FILTER([2]加工記録２!$D$3:$K$999564, [2]加工記録２!$T$3:$T$999564=B62), 6)), "", INDEX(_xlfn._xlws.FILTER([2]加工記録２!$D$3:$K$999564, [2]加工記録２!$T$3:$T$999564=B62),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64"/>
      <c r="L110" s="64"/>
      <c r="M110" s="64"/>
      <c r="N110" s="64"/>
    </row>
    <row r="111" spans="1:14" s="65" customFormat="1" ht="18.95" customHeight="1" thickBot="1">
      <c r="A111" s="55" t="str" cm="1">
        <f t="array" ref="A111:H111">IFERROR(IF(ISBLANK(INDEX(_xlfn._xlws.FILTER([2]加工記録２!$D$3:$K$999564, [2]加工記録２!$T$3:$T$999564=B62), 7)), "", INDEX(_xlfn._xlws.FILTER([2]加工記録２!$D$3:$K$999564, [2]加工記録２!$T$3:$T$999564=B62),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64"/>
      <c r="L111" s="64"/>
      <c r="M111" s="64"/>
      <c r="N111" s="64"/>
    </row>
    <row r="112" spans="1:14" s="65" customFormat="1" ht="18.95" customHeight="1" thickBot="1">
      <c r="A112" s="74" t="str" cm="1">
        <f t="array" ref="A112:H112">IFERROR(IF(ISBLANK(INDEX(_xlfn._xlws.FILTER([2]加工記録２!$D$3:$K$999564, [2]加工記録２!$T$3:$T$999564=B62), 8)), "", INDEX(_xlfn._xlws.FILTER([2]加工記録２!$D$3:$K$999564, [2]加工記録２!$T$3:$T$999564=B62),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 t="s">
        <v>103</v>
      </c>
      <c r="J112" s="82"/>
      <c r="K112" s="64"/>
      <c r="L112" s="64"/>
      <c r="M112" s="64"/>
      <c r="N112" s="64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9" t="s">
        <v>0</v>
      </c>
      <c r="C115" s="105"/>
      <c r="D115" s="105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5"/>
      <c r="C116" s="105"/>
      <c r="D116" s="105"/>
      <c r="E116" s="12"/>
      <c r="F116" s="12"/>
      <c r="G116" s="12"/>
      <c r="H116" s="12"/>
      <c r="I116" s="12"/>
      <c r="J116" s="12"/>
    </row>
    <row r="117" spans="1:10" ht="14.25" customHeight="1">
      <c r="A117" s="109" t="s">
        <v>1</v>
      </c>
      <c r="B117" s="109" t="s">
        <v>63</v>
      </c>
      <c r="C117" s="109" t="s">
        <v>3</v>
      </c>
      <c r="D117" s="118">
        <v>888</v>
      </c>
      <c r="E117" s="109" t="s">
        <v>4</v>
      </c>
      <c r="F117" s="151" t="s">
        <v>64</v>
      </c>
      <c r="G117" s="105"/>
      <c r="H117" s="144"/>
      <c r="I117" s="13" t="s">
        <v>6</v>
      </c>
      <c r="J117" s="13" t="s">
        <v>7</v>
      </c>
    </row>
    <row r="118" spans="1:10" ht="14.25" customHeight="1">
      <c r="A118" s="105"/>
      <c r="B118" s="105"/>
      <c r="C118" s="105"/>
      <c r="D118" s="105"/>
      <c r="E118" s="105"/>
      <c r="F118" s="105"/>
      <c r="G118" s="105"/>
      <c r="H118" s="144"/>
      <c r="I118" s="146"/>
      <c r="J118" s="146"/>
    </row>
    <row r="119" spans="1:10" ht="17.45" customHeight="1">
      <c r="A119" s="104" t="s">
        <v>8</v>
      </c>
      <c r="B119" s="104" t="s">
        <v>72</v>
      </c>
      <c r="E119" s="104" t="s">
        <v>10</v>
      </c>
      <c r="F119" s="143" t="s">
        <v>66</v>
      </c>
      <c r="G119" s="105"/>
      <c r="H119" s="144"/>
      <c r="I119" s="147"/>
      <c r="J119" s="147"/>
    </row>
    <row r="120" spans="1:10" ht="17.45" customHeight="1">
      <c r="A120" s="105"/>
      <c r="B120" s="105"/>
      <c r="E120" s="105"/>
      <c r="F120" s="105"/>
      <c r="G120" s="105"/>
      <c r="H120" s="144"/>
      <c r="I120" s="14"/>
      <c r="J120" s="14"/>
    </row>
    <row r="121" spans="1:10" ht="17.45" customHeight="1">
      <c r="A121" s="104" t="s">
        <v>12</v>
      </c>
      <c r="B121" s="104" t="s">
        <v>73</v>
      </c>
      <c r="E121" s="2" t="s">
        <v>14</v>
      </c>
      <c r="F121" s="154" t="s">
        <v>15</v>
      </c>
      <c r="G121" s="105"/>
      <c r="H121" s="21"/>
    </row>
    <row r="122" spans="1:10" ht="17.45" customHeight="1">
      <c r="A122" s="105"/>
      <c r="B122" s="105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46043</v>
      </c>
      <c r="E123" s="2" t="s">
        <v>19</v>
      </c>
      <c r="F123" s="106">
        <v>100</v>
      </c>
      <c r="G123" s="105"/>
      <c r="H123" s="21"/>
    </row>
    <row r="124" spans="1:10" ht="17.45" customHeight="1">
      <c r="A124" s="2" t="s">
        <v>20</v>
      </c>
      <c r="B124" s="4">
        <v>46043</v>
      </c>
      <c r="E124" s="2" t="s">
        <v>21</v>
      </c>
      <c r="F124" s="21">
        <v>4</v>
      </c>
      <c r="G124" s="145" t="s">
        <v>22</v>
      </c>
      <c r="H124" s="110">
        <v>400</v>
      </c>
      <c r="I124" s="111"/>
      <c r="J124" s="11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13"/>
      <c r="H125" s="113"/>
      <c r="I125" s="114"/>
      <c r="J125" s="115"/>
    </row>
    <row r="126" spans="1:10" ht="13.5" customHeight="1">
      <c r="A126" s="150" t="s">
        <v>68</v>
      </c>
      <c r="B126" s="105"/>
      <c r="C126" s="105"/>
      <c r="D126" s="20"/>
      <c r="F126" s="3"/>
      <c r="G126" s="148" t="s">
        <v>26</v>
      </c>
      <c r="H126" s="155" t="s">
        <v>27</v>
      </c>
      <c r="I126" s="156" t="s">
        <v>28</v>
      </c>
      <c r="J126" s="144"/>
    </row>
    <row r="127" spans="1:10" ht="13.5" customHeight="1">
      <c r="A127" s="105"/>
      <c r="B127" s="105"/>
      <c r="C127" s="105"/>
      <c r="D127" s="20"/>
      <c r="F127" s="3"/>
      <c r="G127" s="149"/>
      <c r="H127" s="149"/>
      <c r="I127" s="114"/>
      <c r="J127" s="115"/>
    </row>
    <row r="128" spans="1:10" ht="13.5" customHeight="1">
      <c r="A128" s="1" t="s">
        <v>29</v>
      </c>
    </row>
    <row r="129" spans="1:10" ht="63" customHeight="1">
      <c r="A129" s="157"/>
      <c r="B129" s="158"/>
      <c r="C129" s="158"/>
      <c r="D129" s="158"/>
      <c r="E129" s="158"/>
      <c r="F129" s="158"/>
      <c r="G129" s="158"/>
      <c r="H129" s="158"/>
      <c r="I129" s="158"/>
      <c r="J129" s="158"/>
    </row>
    <row r="130" spans="1:10" ht="18.75">
      <c r="A130" s="23" t="s">
        <v>30</v>
      </c>
      <c r="B130" s="16" t="s">
        <v>31</v>
      </c>
      <c r="C130" s="120" t="s">
        <v>32</v>
      </c>
      <c r="D130" s="121"/>
      <c r="E130" s="16" t="s">
        <v>33</v>
      </c>
      <c r="F130" s="120" t="s">
        <v>34</v>
      </c>
      <c r="G130" s="121"/>
      <c r="H130" s="121"/>
      <c r="I130" s="153" t="s">
        <v>35</v>
      </c>
      <c r="J130" s="121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07" t="s">
        <v>37</v>
      </c>
      <c r="D132" s="105"/>
      <c r="E132" s="24" t="s">
        <v>38</v>
      </c>
      <c r="F132" s="107" t="s">
        <v>39</v>
      </c>
      <c r="G132" s="105"/>
      <c r="H132" s="105"/>
      <c r="I132" s="123"/>
      <c r="J132" s="105"/>
    </row>
    <row r="133" spans="1:10" ht="16.5" customHeight="1">
      <c r="A133" s="22">
        <v>1</v>
      </c>
      <c r="B133" s="25" t="s">
        <v>36</v>
      </c>
      <c r="C133" s="107" t="s">
        <v>37</v>
      </c>
      <c r="D133" s="105"/>
      <c r="E133" s="24" t="s">
        <v>40</v>
      </c>
      <c r="F133" s="107" t="s">
        <v>41</v>
      </c>
      <c r="G133" s="105"/>
      <c r="H133" s="105"/>
      <c r="I133" s="123"/>
      <c r="J133" s="105"/>
    </row>
    <row r="134" spans="1:10" ht="16.5" customHeight="1">
      <c r="A134" s="22"/>
      <c r="B134" s="25"/>
      <c r="C134" s="107"/>
      <c r="D134" s="105"/>
      <c r="E134" s="24"/>
      <c r="F134" s="107"/>
      <c r="G134" s="105"/>
      <c r="H134" s="105"/>
      <c r="I134" s="123"/>
      <c r="J134" s="105"/>
    </row>
    <row r="135" spans="1:10" ht="16.5" customHeight="1">
      <c r="A135" s="22"/>
      <c r="B135" s="25"/>
      <c r="C135" s="107"/>
      <c r="D135" s="105"/>
      <c r="E135" s="24"/>
      <c r="F135" s="107"/>
      <c r="G135" s="105"/>
      <c r="H135" s="105"/>
      <c r="I135" s="123"/>
      <c r="J135" s="105"/>
    </row>
    <row r="136" spans="1:10" ht="16.5" customHeight="1">
      <c r="A136" s="22"/>
      <c r="B136" s="25"/>
      <c r="C136" s="107"/>
      <c r="D136" s="105"/>
      <c r="E136" s="24"/>
      <c r="F136" s="107"/>
      <c r="G136" s="105"/>
      <c r="H136" s="105"/>
      <c r="I136" s="123"/>
      <c r="J136" s="105"/>
    </row>
    <row r="137" spans="1:10" ht="16.5" customHeight="1">
      <c r="A137" s="22"/>
      <c r="B137" s="25"/>
      <c r="C137" s="107"/>
      <c r="D137" s="105"/>
      <c r="E137" s="24"/>
      <c r="F137" s="107"/>
      <c r="G137" s="105"/>
      <c r="H137" s="105"/>
      <c r="I137" s="123"/>
      <c r="J137" s="105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16" t="s">
        <v>42</v>
      </c>
      <c r="B139" s="117"/>
      <c r="C139" s="116" t="s">
        <v>43</v>
      </c>
      <c r="D139" s="117"/>
      <c r="E139" s="117"/>
      <c r="F139" s="17" t="s">
        <v>44</v>
      </c>
      <c r="G139" s="116" t="s">
        <v>45</v>
      </c>
      <c r="H139" s="117"/>
      <c r="I139" s="116" t="s">
        <v>46</v>
      </c>
      <c r="J139" s="117"/>
    </row>
    <row r="140" spans="1:10" ht="14.25" customHeight="1">
      <c r="A140" s="8"/>
      <c r="B140" s="18"/>
      <c r="C140" s="152" t="s">
        <v>47</v>
      </c>
      <c r="D140" s="114"/>
      <c r="E140" s="18"/>
      <c r="F140" s="152" t="s">
        <v>29</v>
      </c>
      <c r="G140" s="114"/>
      <c r="H140" s="114"/>
      <c r="I140" s="114"/>
      <c r="J140" s="114"/>
    </row>
    <row r="141" spans="1:10">
      <c r="A141" s="9"/>
      <c r="C141" s="7"/>
      <c r="D141" s="7"/>
      <c r="E141" s="7"/>
    </row>
    <row r="142" spans="1:10" ht="14.25" customHeight="1">
      <c r="A142" s="107" t="s">
        <v>48</v>
      </c>
      <c r="B142" s="105"/>
      <c r="C142" s="107" t="s">
        <v>49</v>
      </c>
      <c r="D142" s="105"/>
      <c r="E142" s="105"/>
      <c r="F142" s="26" t="s">
        <v>27</v>
      </c>
      <c r="G142" s="122">
        <v>200</v>
      </c>
      <c r="H142" s="105"/>
      <c r="I142" s="122">
        <v>2</v>
      </c>
      <c r="J142" s="105"/>
    </row>
    <row r="143" spans="1:10" ht="24.95" customHeight="1">
      <c r="A143" s="142" t="s">
        <v>50</v>
      </c>
      <c r="B143" s="105"/>
      <c r="C143" s="107"/>
      <c r="D143" s="105"/>
      <c r="E143" s="105"/>
      <c r="F143" s="107"/>
      <c r="G143" s="105"/>
      <c r="H143" s="105"/>
      <c r="I143" s="105"/>
      <c r="J143" s="105"/>
    </row>
    <row r="144" spans="1:10" ht="14.25" customHeight="1">
      <c r="A144" s="107" t="s">
        <v>51</v>
      </c>
      <c r="B144" s="105"/>
      <c r="C144" s="107" t="s">
        <v>52</v>
      </c>
      <c r="D144" s="105"/>
      <c r="E144" s="105"/>
      <c r="F144" s="26" t="s">
        <v>36</v>
      </c>
      <c r="G144" s="122">
        <v>4</v>
      </c>
      <c r="H144" s="105"/>
      <c r="I144" s="122">
        <v>0.04</v>
      </c>
      <c r="J144" s="105"/>
    </row>
    <row r="145" spans="1:11" ht="24.95" customHeight="1">
      <c r="A145" s="142" t="s">
        <v>53</v>
      </c>
      <c r="B145" s="105"/>
      <c r="C145" s="107" t="s">
        <v>54</v>
      </c>
      <c r="D145" s="105"/>
      <c r="E145" s="105"/>
      <c r="F145" s="107"/>
      <c r="G145" s="105"/>
      <c r="H145" s="105"/>
      <c r="I145" s="105"/>
      <c r="J145" s="105"/>
    </row>
    <row r="146" spans="1:11" ht="14.25" customHeight="1">
      <c r="A146" s="107" t="s">
        <v>69</v>
      </c>
      <c r="B146" s="105"/>
      <c r="C146" s="107" t="s">
        <v>56</v>
      </c>
      <c r="D146" s="105"/>
      <c r="E146" s="105"/>
      <c r="F146" s="26"/>
      <c r="G146" s="122">
        <v>44</v>
      </c>
      <c r="H146" s="105"/>
      <c r="I146" s="122">
        <v>0.44</v>
      </c>
      <c r="J146" s="105"/>
    </row>
    <row r="147" spans="1:11" ht="24.95" customHeight="1">
      <c r="A147" s="142" t="s">
        <v>70</v>
      </c>
      <c r="B147" s="105"/>
      <c r="C147" s="107" t="s">
        <v>71</v>
      </c>
      <c r="D147" s="105"/>
      <c r="E147" s="105"/>
      <c r="F147" s="107"/>
      <c r="G147" s="105"/>
      <c r="H147" s="105"/>
      <c r="I147" s="105"/>
      <c r="J147" s="105"/>
    </row>
    <row r="148" spans="1:11" ht="14.25" customHeight="1">
      <c r="A148" s="107" t="s">
        <v>59</v>
      </c>
      <c r="B148" s="105"/>
      <c r="C148" s="107" t="s">
        <v>60</v>
      </c>
      <c r="D148" s="105"/>
      <c r="E148" s="105"/>
      <c r="F148" s="26"/>
      <c r="G148" s="122">
        <v>0.4</v>
      </c>
      <c r="H148" s="105"/>
      <c r="I148" s="122">
        <v>4.0000000000000001E-3</v>
      </c>
      <c r="J148" s="105"/>
    </row>
    <row r="149" spans="1:11" ht="24.95" customHeight="1">
      <c r="A149" s="142" t="s">
        <v>61</v>
      </c>
      <c r="B149" s="105"/>
      <c r="C149" s="107" t="s">
        <v>62</v>
      </c>
      <c r="D149" s="105"/>
      <c r="E149" s="105"/>
      <c r="F149" s="107"/>
      <c r="G149" s="105"/>
      <c r="H149" s="105"/>
      <c r="I149" s="105"/>
      <c r="J149" s="105"/>
    </row>
    <row r="150" spans="1:11" ht="14.25" customHeight="1">
      <c r="A150" s="107"/>
      <c r="B150" s="105"/>
      <c r="C150" s="107"/>
      <c r="D150" s="105"/>
      <c r="E150" s="105"/>
      <c r="F150" s="26"/>
      <c r="G150" s="122"/>
      <c r="H150" s="105"/>
      <c r="I150" s="122"/>
      <c r="J150" s="105"/>
    </row>
    <row r="151" spans="1:11" ht="24.95" customHeight="1" thickBot="1">
      <c r="A151" s="142"/>
      <c r="B151" s="105"/>
      <c r="C151" s="107"/>
      <c r="D151" s="105"/>
      <c r="E151" s="105"/>
      <c r="F151" s="107"/>
      <c r="G151" s="105"/>
      <c r="H151" s="105"/>
      <c r="I151" s="105"/>
      <c r="J151" s="105"/>
    </row>
    <row r="152" spans="1:11" s="5" customFormat="1" ht="18" customHeight="1">
      <c r="A152" s="136" t="s">
        <v>74</v>
      </c>
      <c r="B152" s="137"/>
      <c r="C152" s="137"/>
      <c r="D152" s="137"/>
      <c r="E152" s="138" t="s">
        <v>75</v>
      </c>
      <c r="F152" s="139"/>
      <c r="G152" s="27" t="s">
        <v>76</v>
      </c>
      <c r="H152" s="140" t="s">
        <v>77</v>
      </c>
      <c r="I152" s="141"/>
      <c r="J152" s="28" t="s">
        <v>78</v>
      </c>
    </row>
    <row r="153" spans="1:11" s="7" customFormat="1" ht="18" customHeight="1">
      <c r="A153" s="124" t="str">
        <f>_xlfn.XLOOKUP(B117,[1]VFDB2!A:A,[1]VFDB2!B:B)</f>
        <v>8FL281304 5010　L=888</v>
      </c>
      <c r="B153" s="125"/>
      <c r="C153" s="125"/>
      <c r="D153" s="125"/>
      <c r="E153" s="91" t="str" cm="1">
        <f t="array" ref="E153">IFERROR(IF(ISBLANK(INDEX(_xlfn._xlws.FILTER([1]加工記録２!$C$3:$C$999107, [1]加工記録２!$T$3:$T$999107=B119), 6)), "", INDEX(_xlfn._xlws.FILTER([1]加工記録２!$C$3:$C$999107, [1]加工記録２!$T$3:$T$999107=B119), 6)),"")</f>
        <v>LED-A888</v>
      </c>
      <c r="F153" s="92"/>
      <c r="G153" s="128" cm="1">
        <f t="array" ref="G153">IFERROR(IF(ISBLANK(INDEX(_xlfn._xlws.FILTER([1]加工記録２!$C$3:$C$999107, [1]加工記録２!$T$3:$T$999107=B119), 7)), " ", INDEX(_xlfn._xlws.FILTER([1]加工記録２!$C$3:$C$999107, [1]加工記録２!$T$3:$T$999107=B119), 7))," ")</f>
        <v>4</v>
      </c>
      <c r="H153" s="29" t="s">
        <v>79</v>
      </c>
      <c r="I153" s="30" cm="1">
        <f t="array" ref="I153:J153">IFERROR(IF(ISBLANK(INDEX(_xlfn._xlws.FILTER([1]加工記録２!$O$3:$P$999170, [1]加工記録２!$T$3:$T$999170=B119), 1)), "", INDEX(_xlfn._xlws.FILTER([1]加工記録２!$O$3:$P$999170, [1]加工記録２!$T$3:$T$999170=B119), 1)),"")</f>
        <v>46029</v>
      </c>
      <c r="J153" s="31" t="str">
        <v/>
      </c>
    </row>
    <row r="154" spans="1:11" s="5" customFormat="1" ht="18" customHeight="1">
      <c r="A154" s="126"/>
      <c r="B154" s="127"/>
      <c r="C154" s="127"/>
      <c r="D154" s="127"/>
      <c r="E154" s="91"/>
      <c r="F154" s="92"/>
      <c r="G154" s="128"/>
      <c r="H154" s="29" t="s">
        <v>80</v>
      </c>
      <c r="I154" s="32" cm="1">
        <f t="array" ref="I154:J154">IFERROR(IF(ISBLANK(INDEX(_xlfn._xlws.FILTER([1]加工記録２!$O$3:$P$999170, [1]加工記録２!$T$3:$T$999170=B119), 2)), "", INDEX(_xlfn._xlws.FILTER([1]加工記録２!$O$3:$P$999170, [1]加工記録２!$T$3:$T$999170=B119), 2)),"")</f>
        <v>400</v>
      </c>
      <c r="J154" s="33" t="str">
        <v/>
      </c>
      <c r="K154" s="34"/>
    </row>
    <row r="155" spans="1:11" s="7" customFormat="1" ht="18" customHeight="1">
      <c r="A155" s="94" t="s">
        <v>81</v>
      </c>
      <c r="B155" s="130" t="str">
        <f>_xlfn.XLOOKUP(B117,[1]VFDB2!A:A,[1]VFDB2!J:J)</f>
        <v>〇</v>
      </c>
      <c r="C155" s="132" t="s">
        <v>82</v>
      </c>
      <c r="D155" s="134">
        <f>_xlfn.XLOOKUP(B117,[1]VFDB2!A:A,[1]VFDB2!P:P)</f>
        <v>2</v>
      </c>
      <c r="E155" s="91" t="str">
        <f>_xlfn.XLOOKUP(B117,[1]VFDB2!A:A,[1]VFDB2!V:V)</f>
        <v>1箱目の梱包数 目視確認　以降、重量測定</v>
      </c>
      <c r="F155" s="92"/>
      <c r="G155" s="93"/>
      <c r="H155" s="35" t="s">
        <v>83</v>
      </c>
      <c r="I155" s="32" cm="1">
        <f t="array" ref="I155:J155">IFERROR(IF(ISBLANK(INDEX(_xlfn._xlws.FILTER([1]加工記録２!$O$3:$P$999170, [1]加工記録２!$T$3:$T$999170=B119), 3)), "", INDEX(_xlfn._xlws.FILTER([1]加工記録２!$O$3:$P$999170, [1]加工記録２!$T$3:$T$999170=B119), 3)),"")</f>
        <v>200</v>
      </c>
      <c r="J155" s="36" t="str">
        <v/>
      </c>
      <c r="K155" s="37"/>
    </row>
    <row r="156" spans="1:11" s="5" customFormat="1" ht="18" customHeight="1">
      <c r="A156" s="129"/>
      <c r="B156" s="131"/>
      <c r="C156" s="133"/>
      <c r="D156" s="135"/>
      <c r="E156" s="91"/>
      <c r="F156" s="92"/>
      <c r="G156" s="93"/>
      <c r="H156" s="35" t="s">
        <v>84</v>
      </c>
      <c r="I156" s="32" cm="1">
        <f t="array" ref="I156:J156">IFERROR(IF(ISBLANK(INDEX(_xlfn._xlws.FILTER([1]加工記録２!$O$3:$P$999170, [1]加工記録２!$T$3:$T$999170=B119), 4)), "", INDEX(_xlfn._xlws.FILTER([1]加工記録２!$O$3:$P$999170, [1]加工記録２!$T$3:$T$999170=B119), 4)),"")</f>
        <v>0</v>
      </c>
      <c r="J156" s="38" t="str">
        <v/>
      </c>
      <c r="K156" s="34"/>
    </row>
    <row r="157" spans="1:11" s="7" customFormat="1" ht="18" customHeight="1">
      <c r="A157" s="83" t="s">
        <v>85</v>
      </c>
      <c r="B157" s="85">
        <f>D117</f>
        <v>888</v>
      </c>
      <c r="C157" s="87" t="s">
        <v>86</v>
      </c>
      <c r="D157" s="89" t="str">
        <f>_xlfn.XLOOKUP(B117,[1]VFDB2!A:A,[1]VFDB2!L:L)</f>
        <v>+0.5</v>
      </c>
      <c r="E157" s="91" t="str">
        <f>_xlfn.XLOOKUP(B117,[1]VFDB2!A:A,[1]VFDB2!W:W)</f>
        <v>L=888用　クラフト紙</v>
      </c>
      <c r="F157" s="92"/>
      <c r="G157" s="93"/>
      <c r="H157" s="35" t="s">
        <v>87</v>
      </c>
      <c r="I157" s="32" cm="1">
        <f t="array" ref="I157:J157">IFERROR(IF(ISBLANK(INDEX(_xlfn._xlws.FILTER([1]加工記録２!$O$3:$P$999170, [1]加工記録２!$T$3:$T$999170=B119), 5)), "", INDEX(_xlfn._xlws.FILTER([1]加工記録２!$O$3:$P$999170, [1]加工記録２!$T$3:$T$999170=B119), 5)),"")</f>
        <v>0</v>
      </c>
      <c r="J157" s="39" t="str">
        <v/>
      </c>
      <c r="K157" s="37"/>
    </row>
    <row r="158" spans="1:11" s="5" customFormat="1" ht="18" customHeight="1">
      <c r="A158" s="84"/>
      <c r="B158" s="86"/>
      <c r="C158" s="88"/>
      <c r="D158" s="90"/>
      <c r="E158" s="91"/>
      <c r="F158" s="92"/>
      <c r="G158" s="93"/>
      <c r="H158" s="35" t="s">
        <v>88</v>
      </c>
      <c r="I158" s="32" cm="1">
        <f t="array" ref="I158:J158">IFERROR(IF(ISBLANK(INDEX(_xlfn._xlws.FILTER([1]加工記録２!$O$3:$P$999170, [1]加工記録２!$T$3:$T$999170=B119), 6)), "", INDEX(_xlfn._xlws.FILTER([1]加工記録２!$O$3:$P$999170, [1]加工記録２!$T$3:$T$999170=B119), 6)),"")</f>
        <v>0</v>
      </c>
      <c r="J158" s="40" t="str">
        <v/>
      </c>
      <c r="K158" s="34"/>
    </row>
    <row r="159" spans="1:11" s="7" customFormat="1" ht="18" customHeight="1">
      <c r="A159" s="94" t="s">
        <v>89</v>
      </c>
      <c r="B159" s="96" t="str">
        <f>_xlfn.XLOOKUP(B117,[1]VFDB2!A:A,[1]VFDB2!AC:AC)</f>
        <v>換算表確認</v>
      </c>
      <c r="C159" s="98" t="s">
        <v>90</v>
      </c>
      <c r="D159" s="89" t="str">
        <f>_xlfn.XLOOKUP(B117,[1]VFDB2!A:A,[1]VFDB2!K:K)</f>
        <v>－0.5</v>
      </c>
      <c r="E159" s="91" t="str">
        <f>_xlfn.XLOOKUP(B117,[1]VFDB2!A:A,[1]VFDB2!R:R)</f>
        <v>ラベル１枚　長手無　鉢巻１回</v>
      </c>
      <c r="F159" s="92"/>
      <c r="G159" s="93"/>
      <c r="H159" s="35" t="s">
        <v>91</v>
      </c>
      <c r="I159" s="32" t="str" cm="1">
        <f t="array" ref="I159">IFERROR(IF(ISBLANK(INDEX(_xlfn._xlws.FILTER([1]加工記録２!$M$3:$M$999170, [1]加工記録２!$T$3:$T$999170=B119), 6)), "", INDEX(_xlfn._xlws.FILTER([1]加工記録２!$M$3:$M$999170, [1]加工記録２!$T$3:$T$999170=B119), 6)),"")</f>
        <v>m</v>
      </c>
      <c r="J159" s="41" t="str" cm="1">
        <f t="array" ref="J159">IFERROR(IF(ISBLANK(INDEX(_xlfn._xlws.FILTER([1]加工記録２!$P$3:$P$999170, [1]加工記録２!$T$3:$T$999170=B119), 7)), "", INDEX(_xlfn._xlws.FILTER([1]加工記録２!$P$3:$P$999170, [1]加工記録２!$T$3:$T$999170=B119), 7)),"")</f>
        <v/>
      </c>
      <c r="K159" s="37"/>
    </row>
    <row r="160" spans="1:11" s="5" customFormat="1" ht="18" customHeight="1" thickBot="1">
      <c r="A160" s="95"/>
      <c r="B160" s="97"/>
      <c r="C160" s="99"/>
      <c r="D160" s="100"/>
      <c r="E160" s="101"/>
      <c r="F160" s="102"/>
      <c r="G160" s="103"/>
      <c r="H160" s="42" t="s">
        <v>92</v>
      </c>
      <c r="I160" s="32" t="str" cm="1">
        <f t="array" ref="I160">IFERROR(IF(ISBLANK(INDEX(_xlfn._xlws.FILTER([1]加工記録２!$M$3:$M$999170, [1]加工記録２!$T$3:$T$999170=B119), 7)), "", INDEX(_xlfn._xlws.FILTER([1]加工記録２!$M$3:$M$999170, [1]加工記録２!$T$3:$T$999170=B119), 7)),"")</f>
        <v>t</v>
      </c>
      <c r="J160" s="43">
        <f>SUM(J153:J159)</f>
        <v>0</v>
      </c>
    </row>
    <row r="161" spans="1:14" s="54" customFormat="1" ht="18.95" customHeight="1">
      <c r="A161" s="44" t="s">
        <v>93</v>
      </c>
      <c r="B161" s="45" t="s">
        <v>94</v>
      </c>
      <c r="C161" s="46" t="s">
        <v>95</v>
      </c>
      <c r="D161" s="46" t="s">
        <v>96</v>
      </c>
      <c r="E161" s="47" t="s">
        <v>97</v>
      </c>
      <c r="F161" s="48" t="s">
        <v>98</v>
      </c>
      <c r="G161" s="49" t="s">
        <v>99</v>
      </c>
      <c r="H161" s="50" t="s">
        <v>100</v>
      </c>
      <c r="I161" s="51" t="s">
        <v>101</v>
      </c>
      <c r="J161" s="52" t="s">
        <v>102</v>
      </c>
      <c r="K161" s="53"/>
      <c r="L161" s="53"/>
      <c r="M161" s="53"/>
      <c r="N161" s="53"/>
    </row>
    <row r="162" spans="1:14" s="65" customFormat="1" ht="18.95" customHeight="1">
      <c r="A162" s="55" t="str" cm="1">
        <f t="array" ref="A162:J162">IFERROR(IF(ISBLANK(INDEX(_xlfn._xlws.FILTER([1]加工記録２!$D$3:$M$999170, [1]加工記録２!$T$3:$T$999170=B119), 1)), "", INDEX(_xlfn._xlws.FILTER([1]加工記録２!$D$3:$M$999170, [1]加工記録２!$T$3:$T$999170=B119), 1)),"")</f>
        <v/>
      </c>
      <c r="B162" s="56" t="str">
        <v/>
      </c>
      <c r="C162" s="57" t="str">
        <v/>
      </c>
      <c r="D162" s="57" t="str">
        <v/>
      </c>
      <c r="E162" s="58" t="str">
        <v/>
      </c>
      <c r="F162" s="59">
        <v>0</v>
      </c>
      <c r="G162" s="60" t="str">
        <v/>
      </c>
      <c r="H162" s="61">
        <v>0</v>
      </c>
      <c r="I162" s="62">
        <v>46029</v>
      </c>
      <c r="J162" s="63">
        <v>4</v>
      </c>
      <c r="K162" s="64"/>
      <c r="L162" s="64"/>
      <c r="M162" s="64"/>
      <c r="N162" s="64"/>
    </row>
    <row r="163" spans="1:14" s="65" customFormat="1" ht="18.95" customHeight="1">
      <c r="A163" s="55" cm="1">
        <f t="array" ref="A163:J163">IFERROR(IF(ISBLANK(INDEX(_xlfn._xlws.FILTER([1]加工記録２!$D$3:$M$999170, [1]加工記録２!$T$3:$T$999170=B119), 2)), "", INDEX(_xlfn._xlws.FILTER([1]加工記録２!$D$3:$M$999170, [1]加工記録２!$T$3:$T$999170=B119), 2)),"")</f>
        <v>46028</v>
      </c>
      <c r="B163" s="66" t="str">
        <v>25L19-07</v>
      </c>
      <c r="C163" s="66">
        <v>16</v>
      </c>
      <c r="D163" s="67">
        <v>887.77</v>
      </c>
      <c r="E163" s="68">
        <v>887.99</v>
      </c>
      <c r="F163" s="69" t="str">
        <v>25L19-07</v>
      </c>
      <c r="G163" s="70">
        <v>400</v>
      </c>
      <c r="H163" s="71">
        <v>200</v>
      </c>
      <c r="I163" s="62" t="str">
        <v/>
      </c>
      <c r="J163" s="63" t="str">
        <v/>
      </c>
      <c r="K163" s="64"/>
      <c r="L163" s="64"/>
      <c r="M163" s="64"/>
      <c r="N163" s="64"/>
    </row>
    <row r="164" spans="1:14" s="65" customFormat="1" ht="18.95" customHeight="1">
      <c r="A164" s="55" cm="1">
        <f t="array" ref="A164:J164">IFERROR(IF(ISBLANK(INDEX(_xlfn._xlws.FILTER([1]加工記録２!$D$3:$M$999170, [1]加工記録２!$T$3:$T$999170=B119), 3)), "", INDEX(_xlfn._xlws.FILTER([1]加工記録２!$D$3:$M$999170, [1]加工記録２!$T$3:$T$999170=B119), 3)),"")</f>
        <v>46028</v>
      </c>
      <c r="B164" s="66" t="str">
        <v>25L19-07</v>
      </c>
      <c r="C164" s="66">
        <v>16</v>
      </c>
      <c r="D164" s="67">
        <v>887.77</v>
      </c>
      <c r="E164" s="68">
        <v>888.1</v>
      </c>
      <c r="F164" s="69" t="str">
        <v/>
      </c>
      <c r="G164" s="70" t="str">
        <v/>
      </c>
      <c r="H164" s="71">
        <v>0</v>
      </c>
      <c r="I164" s="62" t="str">
        <v/>
      </c>
      <c r="J164" s="63" t="str">
        <v/>
      </c>
      <c r="K164" s="64"/>
      <c r="L164" s="64"/>
      <c r="M164" s="64"/>
      <c r="N164" s="64"/>
    </row>
    <row r="165" spans="1:14" s="65" customFormat="1" ht="18.95" customHeight="1">
      <c r="A165" s="55" t="str" cm="1">
        <f t="array" ref="A165:J165">IFERROR(IF(ISBLANK(INDEX(_xlfn._xlws.FILTER([1]加工記録２!$D$3:$M$999170, [1]加工記録２!$T$3:$T$999170=B119), 4)), "", INDEX(_xlfn._xlws.FILTER([1]加工記録２!$D$3:$M$999170, [1]加工記録２!$T$3:$T$999170=B119), 4)),"")</f>
        <v/>
      </c>
      <c r="B165" s="66" t="str">
        <v/>
      </c>
      <c r="C165" s="66" t="str">
        <v/>
      </c>
      <c r="D165" s="67" t="str">
        <v/>
      </c>
      <c r="E165" s="68" t="str">
        <v/>
      </c>
      <c r="F165" s="69" t="str">
        <v/>
      </c>
      <c r="G165" s="70" t="str">
        <v/>
      </c>
      <c r="H165" s="71">
        <v>0</v>
      </c>
      <c r="I165" s="62" t="str">
        <v/>
      </c>
      <c r="J165" s="63" t="str">
        <v/>
      </c>
      <c r="K165" s="64"/>
      <c r="L165" s="64"/>
      <c r="M165" s="64"/>
      <c r="N165" s="64"/>
    </row>
    <row r="166" spans="1:14" s="65" customFormat="1" ht="18.95" customHeight="1">
      <c r="A166" s="55" t="str" cm="1">
        <f t="array" ref="A166:J166">IFERROR(IF(ISBLANK(INDEX(_xlfn._xlws.FILTER([1]加工記録２!$D$3:$M$999170, [1]加工記録２!$T$3:$T$999170=B119), 5)), "", INDEX(_xlfn._xlws.FILTER([1]加工記録２!$D$3:$M$999170, [1]加工記録２!$T$3:$T$999170=B119), 5)),"")</f>
        <v/>
      </c>
      <c r="B166" s="66" t="str">
        <v/>
      </c>
      <c r="C166" s="66" t="str">
        <v/>
      </c>
      <c r="D166" s="67" t="str">
        <v/>
      </c>
      <c r="E166" s="68" t="str">
        <v/>
      </c>
      <c r="F166" s="69" t="str">
        <v/>
      </c>
      <c r="G166" s="70" t="str">
        <v/>
      </c>
      <c r="H166" s="71">
        <v>0</v>
      </c>
      <c r="I166" s="72" t="str">
        <v/>
      </c>
      <c r="J166" s="73" t="str">
        <v/>
      </c>
      <c r="K166" s="64"/>
      <c r="L166" s="64"/>
      <c r="M166" s="64"/>
      <c r="N166" s="64"/>
    </row>
    <row r="167" spans="1:14" s="65" customFormat="1" ht="18.95" customHeight="1">
      <c r="A167" s="55" t="str" cm="1">
        <f t="array" ref="A167:H167">IFERROR(IF(ISBLANK(INDEX(_xlfn._xlws.FILTER([1]加工記録２!$D$3:$K$999170, [1]加工記録２!$T$3:$T$999170=B119), 6)), "", INDEX(_xlfn._xlws.FILTER([1]加工記録２!$D$3:$K$999170, [1]加工記録２!$T$3:$T$999170=B119),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>
        <v>0</v>
      </c>
      <c r="I167" s="72"/>
      <c r="J167" s="73"/>
      <c r="K167" s="64"/>
      <c r="L167" s="64"/>
      <c r="M167" s="64"/>
      <c r="N167" s="64"/>
    </row>
    <row r="168" spans="1:14" s="65" customFormat="1" ht="18.95" customHeight="1" thickBot="1">
      <c r="A168" s="55" t="str" cm="1">
        <f t="array" ref="A168:H168">IFERROR(IF(ISBLANK(INDEX(_xlfn._xlws.FILTER([1]加工記録２!$D$3:$K$999170, [1]加工記録２!$T$3:$T$999170=B119), 7)), "", INDEX(_xlfn._xlws.FILTER([1]加工記録２!$D$3:$K$999170, [1]加工記録２!$T$3:$T$999170=B119),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>
        <v>0</v>
      </c>
      <c r="I168" s="72"/>
      <c r="J168" s="73"/>
      <c r="K168" s="64"/>
      <c r="L168" s="64"/>
      <c r="M168" s="64"/>
      <c r="N168" s="64"/>
    </row>
    <row r="169" spans="1:14" s="65" customFormat="1" ht="18.95" customHeight="1" thickBot="1">
      <c r="A169" s="74" t="str" cm="1">
        <f t="array" ref="A169:H169">IFERROR(IF(ISBLANK(INDEX(_xlfn._xlws.FILTER([1]加工記録２!$D$3:$K$999170, [1]加工記録２!$T$3:$T$999170=B119), 8)), "", INDEX(_xlfn._xlws.FILTER([1]加工記録２!$D$3:$K$999170, [1]加工記録２!$T$3:$T$999170=B119),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>
        <v>0</v>
      </c>
      <c r="I169" s="81" t="s">
        <v>103</v>
      </c>
      <c r="J169" s="82"/>
      <c r="K169" s="64"/>
      <c r="L169" s="64"/>
      <c r="M169" s="64"/>
      <c r="N169" s="64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321"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D98:D99"/>
    <mergeCell ref="E98:G99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G12:G13"/>
    <mergeCell ref="A28:B28"/>
    <mergeCell ref="I30:J30"/>
    <mergeCell ref="A30:B30"/>
    <mergeCell ref="C94:E94"/>
    <mergeCell ref="C150:E150"/>
    <mergeCell ref="C144:E144"/>
    <mergeCell ref="C80:D80"/>
    <mergeCell ref="G87:H87"/>
    <mergeCell ref="I87:J87"/>
    <mergeCell ref="J118:J119"/>
    <mergeCell ref="C37:E37"/>
    <mergeCell ref="C26:D26"/>
    <mergeCell ref="G82:H82"/>
    <mergeCell ref="C134:D134"/>
    <mergeCell ref="F117:H118"/>
    <mergeCell ref="F29:J29"/>
    <mergeCell ref="I139:J139"/>
    <mergeCell ref="C146:E146"/>
    <mergeCell ref="A148:B148"/>
    <mergeCell ref="F18:H18"/>
    <mergeCell ref="A143:B143"/>
    <mergeCell ref="G126:G127"/>
    <mergeCell ref="A36:B36"/>
    <mergeCell ref="C23:D23"/>
    <mergeCell ref="B41:B42"/>
    <mergeCell ref="C41:C42"/>
    <mergeCell ref="A100:A101"/>
    <mergeCell ref="B100:B101"/>
    <mergeCell ref="C100:C101"/>
    <mergeCell ref="D100:D101"/>
    <mergeCell ref="E100:G101"/>
    <mergeCell ref="A102:A103"/>
    <mergeCell ref="B102:B103"/>
    <mergeCell ref="C102:C103"/>
    <mergeCell ref="F60:H61"/>
    <mergeCell ref="C79:D79"/>
    <mergeCell ref="C73:D73"/>
    <mergeCell ref="A38:D38"/>
    <mergeCell ref="E38:F38"/>
    <mergeCell ref="H38:I38"/>
    <mergeCell ref="A39:D40"/>
    <mergeCell ref="E39:F40"/>
    <mergeCell ref="G39:G40"/>
    <mergeCell ref="A41:A42"/>
    <mergeCell ref="A72:J72"/>
    <mergeCell ref="I69:J70"/>
    <mergeCell ref="F75:H75"/>
    <mergeCell ref="A3:A4"/>
    <mergeCell ref="F86:J86"/>
    <mergeCell ref="G146:H146"/>
    <mergeCell ref="I75:J75"/>
    <mergeCell ref="I146:J146"/>
    <mergeCell ref="A149:B149"/>
    <mergeCell ref="A5:A6"/>
    <mergeCell ref="A86:B86"/>
    <mergeCell ref="A144:B144"/>
    <mergeCell ref="A12:C13"/>
    <mergeCell ref="F19:H19"/>
    <mergeCell ref="H126:H127"/>
    <mergeCell ref="I78:J78"/>
    <mergeCell ref="I136:J136"/>
    <mergeCell ref="B117:B118"/>
    <mergeCell ref="B115:D116"/>
    <mergeCell ref="I25:J25"/>
    <mergeCell ref="F143:J143"/>
    <mergeCell ref="C16:D16"/>
    <mergeCell ref="F119:H120"/>
    <mergeCell ref="G124:G125"/>
    <mergeCell ref="I34:J34"/>
    <mergeCell ref="G144:H144"/>
    <mergeCell ref="C83:D83"/>
    <mergeCell ref="B1:D2"/>
    <mergeCell ref="I20:J20"/>
    <mergeCell ref="G85:H85"/>
    <mergeCell ref="A117:A118"/>
    <mergeCell ref="C143:E143"/>
    <mergeCell ref="A119:A120"/>
    <mergeCell ref="B3:B4"/>
    <mergeCell ref="I80:J80"/>
    <mergeCell ref="A87:B87"/>
    <mergeCell ref="H69:H70"/>
    <mergeCell ref="A89:B89"/>
    <mergeCell ref="B58:D59"/>
    <mergeCell ref="F140:J140"/>
    <mergeCell ref="F9:G9"/>
    <mergeCell ref="G36:H36"/>
    <mergeCell ref="I36:J36"/>
    <mergeCell ref="C22:D22"/>
    <mergeCell ref="C28:E28"/>
    <mergeCell ref="I73:J73"/>
    <mergeCell ref="A29:B29"/>
    <mergeCell ref="D60:D61"/>
    <mergeCell ref="A64:A65"/>
    <mergeCell ref="A31:B31"/>
    <mergeCell ref="A129:J129"/>
    <mergeCell ref="A32:B32"/>
    <mergeCell ref="C135:D135"/>
    <mergeCell ref="A90:B90"/>
    <mergeCell ref="C91:E91"/>
    <mergeCell ref="B119:B120"/>
    <mergeCell ref="A33:B33"/>
    <mergeCell ref="B64:B65"/>
    <mergeCell ref="A35:B35"/>
    <mergeCell ref="I93:J93"/>
    <mergeCell ref="E119:E120"/>
    <mergeCell ref="A93:B93"/>
    <mergeCell ref="C34:E34"/>
    <mergeCell ref="C93:E93"/>
    <mergeCell ref="H124:J125"/>
    <mergeCell ref="C82:E82"/>
    <mergeCell ref="C86:E86"/>
    <mergeCell ref="D102:D103"/>
    <mergeCell ref="E102:G103"/>
    <mergeCell ref="F130:H130"/>
    <mergeCell ref="F66:G66"/>
    <mergeCell ref="F132:H132"/>
    <mergeCell ref="C87:E87"/>
    <mergeCell ref="C89:E89"/>
    <mergeCell ref="C88:E88"/>
    <mergeCell ref="F136:H136"/>
    <mergeCell ref="C76:D76"/>
    <mergeCell ref="F78:H78"/>
    <mergeCell ref="C92:E92"/>
    <mergeCell ref="C149:E149"/>
    <mergeCell ref="I130:J130"/>
    <mergeCell ref="C130:D130"/>
    <mergeCell ref="I132:J132"/>
    <mergeCell ref="A142:B142"/>
    <mergeCell ref="A139:B139"/>
    <mergeCell ref="C133:D133"/>
    <mergeCell ref="F79:H79"/>
    <mergeCell ref="I118:I119"/>
    <mergeCell ref="F90:J90"/>
    <mergeCell ref="I137:J137"/>
    <mergeCell ref="C140:D140"/>
    <mergeCell ref="F121:G121"/>
    <mergeCell ref="B121:B122"/>
    <mergeCell ref="F133:H133"/>
    <mergeCell ref="F135:H135"/>
    <mergeCell ref="C90:E90"/>
    <mergeCell ref="C139:E139"/>
    <mergeCell ref="I126:J127"/>
    <mergeCell ref="G148:H148"/>
    <mergeCell ref="D3:D4"/>
    <mergeCell ref="F35:J35"/>
    <mergeCell ref="C60:C61"/>
    <mergeCell ref="H12:H13"/>
    <mergeCell ref="C33:E33"/>
    <mergeCell ref="G25:H25"/>
    <mergeCell ref="C35:E35"/>
    <mergeCell ref="F64:G64"/>
    <mergeCell ref="I12:J13"/>
    <mergeCell ref="C30:E30"/>
    <mergeCell ref="I28:J28"/>
    <mergeCell ref="G30:H30"/>
    <mergeCell ref="G34:H34"/>
    <mergeCell ref="J61:J62"/>
    <mergeCell ref="E60:E61"/>
    <mergeCell ref="C36:E36"/>
    <mergeCell ref="F26:J26"/>
    <mergeCell ref="F31:J31"/>
    <mergeCell ref="A15:J15"/>
    <mergeCell ref="C18:D18"/>
    <mergeCell ref="A34:B34"/>
    <mergeCell ref="F22:H22"/>
    <mergeCell ref="F33:J33"/>
    <mergeCell ref="I23:J23"/>
    <mergeCell ref="F3:H4"/>
    <mergeCell ref="F5:H6"/>
    <mergeCell ref="G89:H89"/>
    <mergeCell ref="F37:J37"/>
    <mergeCell ref="I21:J21"/>
    <mergeCell ref="C21:D21"/>
    <mergeCell ref="F80:H80"/>
    <mergeCell ref="C29:E29"/>
    <mergeCell ref="H10:J11"/>
    <mergeCell ref="I32:J32"/>
    <mergeCell ref="F83:J83"/>
    <mergeCell ref="I16:J16"/>
    <mergeCell ref="I18:J18"/>
    <mergeCell ref="C3:C4"/>
    <mergeCell ref="E3:E4"/>
    <mergeCell ref="E5:E6"/>
    <mergeCell ref="F7:G7"/>
    <mergeCell ref="I4:I5"/>
    <mergeCell ref="G10:G11"/>
    <mergeCell ref="J4:J5"/>
    <mergeCell ref="C19:D19"/>
    <mergeCell ref="F21:H21"/>
    <mergeCell ref="C25:E25"/>
    <mergeCell ref="C85:E85"/>
    <mergeCell ref="G28:H28"/>
    <mergeCell ref="F149:J149"/>
    <mergeCell ref="A91:B91"/>
    <mergeCell ref="I148:J148"/>
    <mergeCell ref="A7:A8"/>
    <mergeCell ref="A88:B88"/>
    <mergeCell ref="A85:B85"/>
    <mergeCell ref="B7:B8"/>
    <mergeCell ref="F23:H23"/>
    <mergeCell ref="C20:D20"/>
    <mergeCell ref="I79:J79"/>
    <mergeCell ref="F73:H73"/>
    <mergeCell ref="I76:J76"/>
    <mergeCell ref="I82:J82"/>
    <mergeCell ref="A69:C70"/>
    <mergeCell ref="I134:J134"/>
    <mergeCell ref="A37:B37"/>
    <mergeCell ref="C137:D137"/>
    <mergeCell ref="A92:B92"/>
    <mergeCell ref="A94:B94"/>
    <mergeCell ref="A62:A63"/>
    <mergeCell ref="A126:C127"/>
    <mergeCell ref="A145:B145"/>
    <mergeCell ref="F145:J145"/>
    <mergeCell ref="A152:D152"/>
    <mergeCell ref="E152:F152"/>
    <mergeCell ref="H152:I152"/>
    <mergeCell ref="A147:B147"/>
    <mergeCell ref="C132:D132"/>
    <mergeCell ref="G142:H142"/>
    <mergeCell ref="I142:J142"/>
    <mergeCell ref="F62:H63"/>
    <mergeCell ref="C151:E151"/>
    <mergeCell ref="I77:J77"/>
    <mergeCell ref="E117:E118"/>
    <mergeCell ref="I133:J133"/>
    <mergeCell ref="G67:G68"/>
    <mergeCell ref="I61:I62"/>
    <mergeCell ref="G69:G70"/>
    <mergeCell ref="C75:D75"/>
    <mergeCell ref="I91:J91"/>
    <mergeCell ref="F134:H134"/>
    <mergeCell ref="G150:H150"/>
    <mergeCell ref="A151:B151"/>
    <mergeCell ref="A150:B150"/>
    <mergeCell ref="I150:J150"/>
    <mergeCell ref="F147:J147"/>
    <mergeCell ref="I144:J144"/>
    <mergeCell ref="A153:D154"/>
    <mergeCell ref="E153:F154"/>
    <mergeCell ref="G153:G154"/>
    <mergeCell ref="A155:A156"/>
    <mergeCell ref="I85:J85"/>
    <mergeCell ref="C117:C118"/>
    <mergeCell ref="F94:J94"/>
    <mergeCell ref="G93:H93"/>
    <mergeCell ref="F151:J151"/>
    <mergeCell ref="C136:D136"/>
    <mergeCell ref="F88:J88"/>
    <mergeCell ref="C142:E142"/>
    <mergeCell ref="B155:B156"/>
    <mergeCell ref="C155:C156"/>
    <mergeCell ref="D155:D156"/>
    <mergeCell ref="E155:G156"/>
    <mergeCell ref="I135:J135"/>
    <mergeCell ref="A146:B146"/>
    <mergeCell ref="I89:J89"/>
    <mergeCell ref="F137:H137"/>
    <mergeCell ref="F92:J92"/>
    <mergeCell ref="G91:H91"/>
    <mergeCell ref="G139:H139"/>
    <mergeCell ref="C148:E148"/>
    <mergeCell ref="B5:B6"/>
    <mergeCell ref="F123:G123"/>
    <mergeCell ref="C78:D78"/>
    <mergeCell ref="C147:E147"/>
    <mergeCell ref="F20:H20"/>
    <mergeCell ref="A60:A61"/>
    <mergeCell ref="H67:J68"/>
    <mergeCell ref="A25:B25"/>
    <mergeCell ref="E62:E63"/>
    <mergeCell ref="F76:H76"/>
    <mergeCell ref="C31:E31"/>
    <mergeCell ref="B62:B63"/>
    <mergeCell ref="A82:B82"/>
    <mergeCell ref="B60:B61"/>
    <mergeCell ref="F77:H77"/>
    <mergeCell ref="C145:E145"/>
    <mergeCell ref="D117:D118"/>
    <mergeCell ref="A121:A122"/>
    <mergeCell ref="C77:D77"/>
    <mergeCell ref="C32:E32"/>
    <mergeCell ref="F16:H16"/>
    <mergeCell ref="G32:H32"/>
    <mergeCell ref="I22:J22"/>
    <mergeCell ref="I19:J19"/>
    <mergeCell ref="A157:A158"/>
    <mergeCell ref="B157:B158"/>
    <mergeCell ref="C157:C158"/>
    <mergeCell ref="D157:D158"/>
    <mergeCell ref="E157:G158"/>
    <mergeCell ref="A159:A160"/>
    <mergeCell ref="B159:B160"/>
    <mergeCell ref="C159:C160"/>
    <mergeCell ref="D159:D160"/>
    <mergeCell ref="E159:G160"/>
  </mergeCells>
  <phoneticPr fontId="2"/>
  <conditionalFormatting sqref="D50:D55">
    <cfRule type="cellIs" dxfId="5" priority="6" operator="equal">
      <formula>$D49</formula>
    </cfRule>
  </conditionalFormatting>
  <conditionalFormatting sqref="D107:D112">
    <cfRule type="cellIs" dxfId="4" priority="8" operator="equal">
      <formula>$D106</formula>
    </cfRule>
  </conditionalFormatting>
  <conditionalFormatting sqref="D164:D169">
    <cfRule type="cellIs" dxfId="3" priority="2" operator="equal">
      <formula>$D163</formula>
    </cfRule>
  </conditionalFormatting>
  <conditionalFormatting sqref="I39:I46">
    <cfRule type="cellIs" dxfId="2" priority="5" operator="lessThan">
      <formula>1</formula>
    </cfRule>
  </conditionalFormatting>
  <conditionalFormatting sqref="I96:I103">
    <cfRule type="cellIs" dxfId="1" priority="7" operator="lessThan">
      <formula>1</formula>
    </cfRule>
  </conditionalFormatting>
  <conditionalFormatting sqref="I153:I160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2" manualBreakCount="2">
    <brk id="57" max="16383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2025-12-25T22:49:19Z</cp:lastPrinted>
  <dcterms:created xsi:type="dcterms:W3CDTF">2024-07-11T02:08:33Z</dcterms:created>
  <dcterms:modified xsi:type="dcterms:W3CDTF">2026-01-08T23:32:54Z</dcterms:modified>
</cp:coreProperties>
</file>