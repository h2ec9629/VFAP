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2605_cloud_bundle/input/樹脂指示書/"/>
    </mc:Choice>
  </mc:AlternateContent>
  <xr:revisionPtr revIDLastSave="1368" documentId="13_ncr:1_{DFA8255D-C13D-4153-824F-DF7BC0942F93}" xr6:coauthVersionLast="47" xr6:coauthVersionMax="47" xr10:uidLastSave="{A5CE831C-284C-41B8-8084-399CDA9AAE96}"/>
  <bookViews>
    <workbookView xWindow="-120" yWindow="-120" windowWidth="29040" windowHeight="15720" xr2:uid="{032A0203-6DC9-488F-A26F-4928247C8B2B}"/>
  </bookViews>
  <sheets>
    <sheet name="帳票レイアウト Copy (2)" sheetId="1" r:id="rId1"/>
  </sheets>
  <definedNames>
    <definedName name="D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8" i="1" l="1" a="1"/>
  <c r="F158" i="1" s="1"/>
  <c r="B158" i="1" a="1"/>
  <c r="B158" i="1" s="1"/>
  <c r="F101" i="1" a="1"/>
  <c r="F101" i="1" s="1"/>
  <c r="B101" i="1" a="1"/>
  <c r="B101" i="1" s="1"/>
  <c r="F44" i="1" a="1"/>
  <c r="F44" i="1" s="1"/>
  <c r="B44" i="1" a="1"/>
  <c r="B44" i="1" s="1"/>
  <c r="F272" i="1" a="1"/>
  <c r="F272" i="1" s="1"/>
  <c r="B272" i="1" a="1"/>
  <c r="B272" i="1" s="1"/>
  <c r="F215" i="1" a="1"/>
  <c r="F215" i="1" s="1"/>
  <c r="B215" i="1" a="1"/>
  <c r="B2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<sst xmlns="http://schemas.openxmlformats.org/spreadsheetml/2006/main" count="588" uniqueCount="151">
  <si>
    <t>検査梱包指示書</t>
  </si>
  <si>
    <t>品目番号</t>
  </si>
  <si>
    <t>J1EKACB22204150</t>
  </si>
  <si>
    <t>Ｌ寸</t>
  </si>
  <si>
    <t>名称</t>
  </si>
  <si>
    <t>001EGAW 415</t>
  </si>
  <si>
    <t>上長</t>
  </si>
  <si>
    <t>係員</t>
  </si>
  <si>
    <t>製造指図№</t>
  </si>
  <si>
    <t>000000000013441</t>
  </si>
  <si>
    <t>原料名</t>
  </si>
  <si>
    <t>(J1VB075) (J6VT048)</t>
  </si>
  <si>
    <t>発注明細№</t>
  </si>
  <si>
    <t>000000000844652</t>
  </si>
  <si>
    <t>色　名</t>
  </si>
  <si>
    <t>ﾎﾜｲﾄ</t>
  </si>
  <si>
    <t>製品Grp</t>
  </si>
  <si>
    <t>J1EC</t>
  </si>
  <si>
    <t>開始日</t>
  </si>
  <si>
    <t>入り数</t>
  </si>
  <si>
    <t>終了日</t>
  </si>
  <si>
    <t>梱包数</t>
  </si>
  <si>
    <t>指示数量</t>
  </si>
  <si>
    <t>金　型</t>
  </si>
  <si>
    <t>3714</t>
  </si>
  <si>
    <t>*J1EKACB22204150*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</si>
  <si>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</si>
  <si>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</si>
  <si>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</si>
  <si>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</si>
  <si>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</si>
  <si>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</si>
  <si>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</si>
  <si>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</si>
  <si>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</si>
  <si>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</si>
  <si>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</si>
  <si>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</si>
  <si>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</si>
  <si>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</si>
  <si>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</si>
  <si>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</si>
  <si>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</si>
  <si>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</si>
  <si>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</si>
  <si>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</si>
  <si>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</si>
  <si>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</si>
  <si>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J1EKAC022215000</t>
  </si>
  <si>
    <t>001EGAW 1500</t>
  </si>
  <si>
    <t>*J1EKAC022215000*</t>
  </si>
  <si>
    <t>J6DK0003</t>
  </si>
  <si>
    <t>S-20</t>
  </si>
  <si>
    <t>*J6DK0003*</t>
  </si>
  <si>
    <t>J1EKACB22205080</t>
  </si>
  <si>
    <t>001EGAW 508</t>
  </si>
  <si>
    <t>000000000013442</t>
  </si>
  <si>
    <t>000000000844653</t>
  </si>
  <si>
    <t>*J1EKACB22205080*</t>
  </si>
  <si>
    <t>J6DK0004</t>
  </si>
  <si>
    <t>S-30</t>
  </si>
  <si>
    <t>*J6DK0004*</t>
  </si>
  <si>
    <t>J1EKACB22205650</t>
  </si>
  <si>
    <t>001EGAW 565</t>
  </si>
  <si>
    <t>000000000013443</t>
  </si>
  <si>
    <t>000000000844654</t>
  </si>
  <si>
    <t>*J1EKACB22205650*</t>
  </si>
  <si>
    <t>J1EKACB22206520</t>
  </si>
  <si>
    <t>001EGAW 652</t>
  </si>
  <si>
    <t>000000000013444</t>
  </si>
  <si>
    <t>000000000844655</t>
  </si>
  <si>
    <t>*J1EKACB22206520*</t>
  </si>
  <si>
    <t>J6DK0005</t>
  </si>
  <si>
    <t>S-40</t>
  </si>
  <si>
    <t>*J6DK0005*</t>
  </si>
  <si>
    <t>J1EKACB22207150</t>
  </si>
  <si>
    <t>001EGAW 715</t>
  </si>
  <si>
    <t>000000000013445</t>
  </si>
  <si>
    <t>000000000844656</t>
  </si>
  <si>
    <t>*J1EKACB22207150*</t>
  </si>
  <si>
    <t>S-40</t>
    <phoneticPr fontId="2"/>
  </si>
  <si>
    <t>J6DK0005</t>
    <phoneticPr fontId="2"/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</si>
  <si>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</si>
  <si>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</si>
  <si>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</si>
  <si>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</si>
  <si>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</si>
  <si>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</si>
  <si>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</si>
  <si>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</si>
  <si>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</si>
  <si>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</si>
  <si>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</si>
  <si>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</si>
  <si>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</si>
  <si>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</si>
  <si>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</si>
  <si>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</si>
  <si>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</si>
  <si>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</si>
  <si>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</si>
  <si>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</si>
  <si>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</si>
  <si>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</si>
  <si>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</si>
  <si>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</si>
  <si>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</si>
  <si>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</si>
  <si>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</si>
  <si>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</si>
  <si>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</si>
  <si>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</si>
  <si>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</si>
  <si>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</si>
  <si>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</si>
  <si>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</si>
  <si>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</si>
  <si>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</si>
  <si>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</si>
  <si>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-</t>
  </si>
  <si>
    <t>※使用基材、取数は依頼書にて確認</t>
  </si>
  <si>
    <t>ラベル２枚　長手有　鉢巻無</t>
  </si>
  <si>
    <t>26D21B</t>
  </si>
  <si>
    <t>26D21B × 600</t>
  </si>
  <si>
    <t>26D21C</t>
  </si>
  <si>
    <t>26D22A</t>
  </si>
  <si>
    <t>26D21C × 200</t>
  </si>
  <si>
    <t>26D21A</t>
  </si>
  <si>
    <t>26D20C</t>
  </si>
  <si>
    <t>26D22A × 200</t>
  </si>
  <si>
    <t>26D21A × 1400</t>
  </si>
  <si>
    <t>26D20C × 1200</t>
  </si>
  <si>
    <t>不良補填</t>
  </si>
  <si>
    <t/>
  </si>
  <si>
    <t xml:space="preserve">切断加工：I / </t>
  </si>
  <si>
    <t xml:space="preserve">外観検査： / </t>
  </si>
  <si>
    <t>26D21B × 100</t>
  </si>
  <si>
    <t>端材 × 650</t>
  </si>
  <si>
    <t>端材</t>
  </si>
  <si>
    <t>26D21C × 600</t>
  </si>
  <si>
    <t>26D21B × 50</t>
  </si>
  <si>
    <t>26D22A × 100</t>
  </si>
  <si>
    <t>26D17B × 50</t>
  </si>
  <si>
    <t>26D17B</t>
  </si>
  <si>
    <t>26D17B × 100</t>
  </si>
  <si>
    <t>26D22A × 600</t>
  </si>
  <si>
    <t>26D20C × 100</t>
  </si>
  <si>
    <t>26D20B</t>
  </si>
  <si>
    <t>26D20B × 300</t>
  </si>
  <si>
    <t>26D20C × 400</t>
  </si>
  <si>
    <t>26D20B ×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</si>
</sst>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#,##0.0_ "/>
    <numFmt numFmtId="177" formatCode="[$-F800]dddd\,\ mmmm\ dd\,\ yyyy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72"/>
      <name val="K's BarCodeFont Code39"/>
      <family val="2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36"/>
      <name val="K's BarCodeFont Code39"/>
      <family val="2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1" fillId="2" borderId="0" applyNumberFormat="0" applyBorder="0" applyAlignment="0" applyProtection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5" fillId="0" borderId="0" xfId="1" applyNumberFormat="1" applyFont="1" applyAlignment="1">
      <alignment vertical="center" shrinkToFit="1"/>
    </xf>
    <xf numFmtId="49" fontId="5" fillId="0" borderId="0" xfId="1" applyNumberFormat="1" applyFon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49" fontId="5" fillId="0" borderId="0" xfId="1" applyNumberFormat="1" applyFont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177" fontId="5" fillId="0" borderId="0" xfId="1" applyNumberFormat="1" applyFont="1" applyAlignment="1">
      <alignment horizontal="left" vertical="center" shrinkToFit="1"/>
    </xf>
    <xf numFmtId="49" fontId="6" fillId="0" borderId="0" xfId="1" applyNumberFormat="1" applyFont="1" applyAlignment="1">
      <alignment horizontal="center"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7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0" fontId="1" fillId="0" borderId="0" xfId="0" applyFont="1">
      <alignment vertical="center"/>
    </xf>
    <xf numFmtId="0" fontId="1" fillId="0" borderId="0" xfId="0" applyFont="1" applyAlignment="1"/>
    <xf numFmtId="49" fontId="1" fillId="0" borderId="13" xfId="1" applyNumberFormat="1" applyBorder="1" applyAlignment="1">
      <alignment vertical="center" shrinkToFit="1"/>
    </xf>
    <xf numFmtId="49" fontId="1" fillId="0" borderId="15" xfId="1" applyNumberFormat="1" applyBorder="1" applyAlignment="1">
      <alignment vertical="center" shrinkToFit="1"/>
    </xf>
    <xf numFmtId="49" fontId="8" fillId="0" borderId="10" xfId="1" applyNumberFormat="1" applyFon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0" fontId="12" fillId="3" borderId="16" xfId="0" applyFont="1" applyFill="1" applyBorder="1" applyAlignment="1">
      <alignment horizontal="center" vertical="center"/>
    </xf>
    <xf numFmtId="49" fontId="13" fillId="3" borderId="16" xfId="1" applyNumberFormat="1" applyFont="1" applyFill="1" applyBorder="1" applyAlignment="1">
      <alignment horizontal="center" vertical="center" shrinkToFit="1"/>
    </xf>
    <xf numFmtId="0" fontId="14" fillId="4" borderId="18" xfId="0" applyFont="1" applyFill="1" applyBorder="1" applyAlignment="1">
      <alignment horizontal="center" vertical="center"/>
    </xf>
    <xf numFmtId="49" fontId="15" fillId="4" borderId="19" xfId="1" applyNumberFormat="1" applyFont="1" applyFill="1" applyBorder="1" applyAlignment="1">
      <alignment horizontal="center" vertical="center" shrinkToFit="1"/>
    </xf>
    <xf numFmtId="49" fontId="16" fillId="5" borderId="20" xfId="1" applyNumberFormat="1" applyFont="1" applyFill="1" applyBorder="1" applyAlignment="1">
      <alignment horizontal="center" vertical="center" shrinkToFit="1"/>
    </xf>
    <xf numFmtId="49" fontId="16" fillId="5" borderId="19" xfId="1" applyNumberFormat="1" applyFont="1" applyFill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/>
    </xf>
    <xf numFmtId="179" fontId="16" fillId="0" borderId="21" xfId="0" applyNumberFormat="1" applyFont="1" applyBorder="1" applyAlignment="1">
      <alignment horizontal="center" vertical="center"/>
    </xf>
    <xf numFmtId="182" fontId="17" fillId="0" borderId="23" xfId="1" applyNumberFormat="1" applyFont="1" applyBorder="1" applyAlignment="1">
      <alignment vertical="center" shrinkToFit="1"/>
    </xf>
    <xf numFmtId="183" fontId="19" fillId="0" borderId="24" xfId="1" applyNumberFormat="1" applyFont="1" applyBorder="1" applyAlignment="1">
      <alignment horizontal="center" vertical="center" shrinkToFit="1"/>
    </xf>
    <xf numFmtId="184" fontId="19" fillId="0" borderId="23" xfId="1" applyNumberFormat="1" applyFont="1" applyBorder="1" applyAlignment="1">
      <alignment horizontal="center" vertical="center" shrinkToFit="1"/>
    </xf>
    <xf numFmtId="49" fontId="15" fillId="0" borderId="22" xfId="1" applyNumberFormat="1" applyFont="1" applyBorder="1" applyAlignment="1">
      <alignment horizontal="center" vertical="center" shrinkToFit="1"/>
    </xf>
    <xf numFmtId="185" fontId="15" fillId="0" borderId="23" xfId="1" applyNumberFormat="1" applyFont="1" applyBorder="1" applyAlignment="1">
      <alignment horizontal="center" vertical="center" shrinkToFit="1"/>
    </xf>
    <xf numFmtId="180" fontId="19" fillId="0" borderId="23" xfId="1" applyNumberFormat="1" applyFont="1" applyBorder="1" applyAlignment="1">
      <alignment horizontal="center" vertical="center" shrinkToFit="1"/>
    </xf>
    <xf numFmtId="180" fontId="19" fillId="0" borderId="25" xfId="1" applyNumberFormat="1" applyFont="1" applyBorder="1" applyAlignment="1">
      <alignment horizontal="center" vertical="center" shrinkToFit="1"/>
    </xf>
    <xf numFmtId="180" fontId="19" fillId="0" borderId="26" xfId="1" applyNumberFormat="1" applyFont="1" applyBorder="1" applyAlignment="1">
      <alignment horizontal="center" vertical="center" shrinkToFit="1"/>
    </xf>
    <xf numFmtId="49" fontId="20" fillId="3" borderId="21" xfId="0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186" fontId="17" fillId="0" borderId="23" xfId="1" applyNumberFormat="1" applyFont="1" applyBorder="1" applyAlignment="1">
      <alignment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6" fillId="0" borderId="21" xfId="0" applyFont="1" applyBorder="1" applyAlignment="1">
      <alignment horizontal="center" vertical="center"/>
    </xf>
    <xf numFmtId="187" fontId="16" fillId="0" borderId="21" xfId="0" applyNumberFormat="1" applyFont="1" applyBorder="1" applyAlignment="1">
      <alignment horizontal="center" vertical="center"/>
    </xf>
    <xf numFmtId="49" fontId="23" fillId="0" borderId="0" xfId="1" applyNumberFormat="1" applyFont="1" applyAlignment="1">
      <alignment horizontal="left" vertical="center" shrinkToFit="1"/>
    </xf>
    <xf numFmtId="49" fontId="20" fillId="3" borderId="21" xfId="1" applyNumberFormat="1" applyFont="1" applyFill="1" applyBorder="1" applyAlignment="1">
      <alignment horizontal="center" vertical="center" shrinkToFit="1"/>
    </xf>
    <xf numFmtId="49" fontId="13" fillId="3" borderId="21" xfId="1" applyNumberFormat="1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24" fillId="0" borderId="27" xfId="1" applyFont="1" applyBorder="1" applyAlignment="1">
      <alignment horizontal="center" vertical="center" shrinkToFit="1"/>
    </xf>
    <xf numFmtId="49" fontId="22" fillId="5" borderId="28" xfId="1" applyNumberFormat="1" applyFont="1" applyFill="1" applyBorder="1" applyAlignment="1">
      <alignment horizontal="center" vertical="center" shrinkToFit="1"/>
    </xf>
    <xf numFmtId="183" fontId="19" fillId="0" borderId="30" xfId="1" applyNumberFormat="1" applyFont="1" applyBorder="1" applyAlignment="1">
      <alignment horizontal="center" vertical="center" shrinkToFit="1"/>
    </xf>
    <xf numFmtId="184" fontId="19" fillId="0" borderId="26" xfId="1" applyNumberFormat="1" applyFont="1" applyBorder="1" applyAlignment="1">
      <alignment horizontal="center" vertical="center" shrinkToFit="1"/>
    </xf>
    <xf numFmtId="0" fontId="25" fillId="7" borderId="16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/>
    </xf>
    <xf numFmtId="49" fontId="25" fillId="7" borderId="4" xfId="1" applyNumberFormat="1" applyFont="1" applyFill="1" applyBorder="1" applyAlignment="1">
      <alignment horizontal="center" vertical="center" shrinkToFit="1"/>
    </xf>
    <xf numFmtId="49" fontId="25" fillId="7" borderId="4" xfId="0" applyNumberFormat="1" applyFont="1" applyFill="1" applyBorder="1" applyAlignment="1">
      <alignment horizontal="center" vertical="center" shrinkToFit="1"/>
    </xf>
    <xf numFmtId="0" fontId="25" fillId="7" borderId="9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 shrinkToFit="1"/>
    </xf>
    <xf numFmtId="49" fontId="25" fillId="7" borderId="18" xfId="0" applyNumberFormat="1" applyFont="1" applyFill="1" applyBorder="1" applyAlignment="1">
      <alignment horizontal="center" vertical="center" shrinkToFit="1"/>
    </xf>
    <xf numFmtId="49" fontId="25" fillId="7" borderId="19" xfId="0" applyNumberFormat="1" applyFont="1" applyFill="1" applyBorder="1" applyAlignment="1">
      <alignment horizontal="center" vertical="center" shrinkToFit="1"/>
    </xf>
    <xf numFmtId="49" fontId="15" fillId="0" borderId="28" xfId="1" applyNumberFormat="1" applyFont="1" applyBorder="1" applyAlignment="1">
      <alignment horizontal="center" vertical="center" shrinkToFit="1"/>
    </xf>
    <xf numFmtId="188" fontId="14" fillId="5" borderId="21" xfId="0" applyNumberFormat="1" applyFont="1" applyFill="1" applyBorder="1" applyAlignment="1">
      <alignment horizontal="center" vertical="center"/>
    </xf>
    <xf numFmtId="189" fontId="14" fillId="0" borderId="21" xfId="3" applyNumberFormat="1" applyFont="1" applyBorder="1" applyAlignment="1">
      <alignment horizontal="center" vertical="center" shrinkToFit="1"/>
    </xf>
    <xf numFmtId="190" fontId="14" fillId="0" borderId="21" xfId="3" applyNumberFormat="1" applyFont="1" applyBorder="1" applyAlignment="1">
      <alignment horizontal="center" vertical="center" shrinkToFit="1"/>
    </xf>
    <xf numFmtId="191" fontId="26" fillId="5" borderId="27" xfId="3" applyNumberFormat="1" applyFont="1" applyFill="1" applyBorder="1" applyAlignment="1">
      <alignment horizontal="center" vertical="center" shrinkToFit="1"/>
    </xf>
    <xf numFmtId="192" fontId="14" fillId="5" borderId="22" xfId="1" applyNumberFormat="1" applyFont="1" applyFill="1" applyBorder="1" applyAlignment="1">
      <alignment horizontal="left" vertical="center" wrapText="1" shrinkToFit="1"/>
    </xf>
    <xf numFmtId="49" fontId="14" fillId="0" borderId="22" xfId="3" applyNumberFormat="1" applyFont="1" applyBorder="1" applyAlignment="1">
      <alignment horizontal="left" vertical="center" shrinkToFit="1"/>
    </xf>
    <xf numFmtId="49" fontId="14" fillId="5" borderId="28" xfId="3" applyNumberFormat="1" applyFont="1" applyFill="1" applyBorder="1" applyAlignment="1">
      <alignment horizontal="left" vertical="center" shrinkToFit="1"/>
    </xf>
    <xf numFmtId="0" fontId="15" fillId="5" borderId="31" xfId="3" applyFont="1" applyFill="1" applyBorder="1" applyAlignment="1">
      <alignment vertical="center" shrinkToFit="1"/>
    </xf>
    <xf numFmtId="187" fontId="14" fillId="5" borderId="31" xfId="0" applyNumberFormat="1" applyFont="1" applyFill="1" applyBorder="1" applyAlignment="1">
      <alignment horizontal="center" vertical="center"/>
    </xf>
    <xf numFmtId="187" fontId="14" fillId="5" borderId="32" xfId="0" applyNumberFormat="1" applyFont="1" applyFill="1" applyBorder="1" applyAlignment="1">
      <alignment horizontal="right" vertical="center"/>
    </xf>
    <xf numFmtId="180" fontId="14" fillId="5" borderId="22" xfId="0" applyNumberFormat="1" applyFont="1" applyFill="1" applyBorder="1" applyAlignment="1">
      <alignment horizontal="center" vertical="center"/>
    </xf>
    <xf numFmtId="180" fontId="14" fillId="5" borderId="6" xfId="0" applyNumberFormat="1" applyFont="1" applyFill="1" applyBorder="1" applyAlignment="1">
      <alignment horizontal="center" vertical="center"/>
    </xf>
    <xf numFmtId="180" fontId="14" fillId="5" borderId="23" xfId="0" applyNumberFormat="1" applyFont="1" applyFill="1" applyBorder="1" applyAlignment="1">
      <alignment horizontal="center" vertical="center"/>
    </xf>
    <xf numFmtId="49" fontId="15" fillId="0" borderId="0" xfId="1" applyNumberFormat="1" applyFont="1" applyAlignment="1">
      <alignment horizontal="left" vertical="center" shrinkToFit="1"/>
    </xf>
    <xf numFmtId="180" fontId="14" fillId="0" borderId="6" xfId="3" applyNumberFormat="1" applyFont="1" applyBorder="1" applyAlignment="1">
      <alignment horizontal="center" vertical="center" shrinkToFit="1"/>
    </xf>
    <xf numFmtId="187" fontId="14" fillId="0" borderId="6" xfId="3" applyNumberFormat="1" applyFont="1" applyBorder="1" applyAlignment="1">
      <alignment horizontal="center" vertical="center" shrinkToFit="1"/>
    </xf>
    <xf numFmtId="187" fontId="14" fillId="0" borderId="5" xfId="3" applyNumberFormat="1" applyFont="1" applyBorder="1" applyAlignment="1">
      <alignment horizontal="right" vertical="center" shrinkToFit="1"/>
    </xf>
    <xf numFmtId="180" fontId="14" fillId="0" borderId="22" xfId="3" applyNumberFormat="1" applyFont="1" applyBorder="1" applyAlignment="1">
      <alignment horizontal="center" vertical="center" shrinkToFit="1"/>
    </xf>
    <xf numFmtId="180" fontId="14" fillId="0" borderId="23" xfId="3" applyNumberFormat="1" applyFont="1" applyBorder="1" applyAlignment="1">
      <alignment horizontal="center" vertical="center" shrinkToFit="1"/>
    </xf>
    <xf numFmtId="0" fontId="26" fillId="0" borderId="22" xfId="2" applyFont="1" applyFill="1" applyBorder="1" applyAlignment="1">
      <alignment horizontal="center" vertical="center"/>
    </xf>
    <xf numFmtId="180" fontId="19" fillId="0" borderId="23" xfId="0" applyNumberFormat="1" applyFont="1" applyBorder="1" applyAlignment="1">
      <alignment horizontal="center" vertical="top" shrinkToFit="1"/>
    </xf>
    <xf numFmtId="180" fontId="24" fillId="0" borderId="26" xfId="1" applyNumberFormat="1" applyFont="1" applyBorder="1" applyAlignment="1">
      <alignment horizontal="center" vertical="center" shrinkToFit="1"/>
    </xf>
    <xf numFmtId="49" fontId="28" fillId="0" borderId="0" xfId="0" applyNumberFormat="1" applyFont="1">
      <alignment vertical="center"/>
    </xf>
    <xf numFmtId="0" fontId="28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49" fontId="29" fillId="0" borderId="0" xfId="0" applyNumberFormat="1" applyFont="1">
      <alignment vertical="center"/>
    </xf>
    <xf numFmtId="0" fontId="29" fillId="0" borderId="0" xfId="0" applyFont="1">
      <alignment vertical="center"/>
    </xf>
    <xf numFmtId="49" fontId="15" fillId="0" borderId="0" xfId="0" applyNumberFormat="1" applyFont="1" applyAlignment="1">
      <alignment vertical="top" shrinkToFit="1"/>
    </xf>
    <xf numFmtId="49" fontId="15" fillId="0" borderId="22" xfId="0" applyNumberFormat="1" applyFont="1" applyBorder="1" applyAlignment="1">
      <alignment horizontal="center" vertical="top" shrinkToFit="1"/>
    </xf>
    <xf numFmtId="180" fontId="14" fillId="5" borderId="34" xfId="3" applyNumberFormat="1" applyFont="1" applyFill="1" applyBorder="1" applyAlignment="1">
      <alignment horizontal="center" vertical="center" shrinkToFit="1"/>
    </xf>
    <xf numFmtId="187" fontId="14" fillId="5" borderId="34" xfId="3" applyNumberFormat="1" applyFont="1" applyFill="1" applyBorder="1" applyAlignment="1">
      <alignment horizontal="right" vertical="center" shrinkToFit="1"/>
    </xf>
    <xf numFmtId="187" fontId="14" fillId="5" borderId="35" xfId="3" applyNumberFormat="1" applyFont="1" applyFill="1" applyBorder="1" applyAlignment="1">
      <alignment horizontal="right" vertical="center" shrinkToFit="1"/>
    </xf>
    <xf numFmtId="180" fontId="14" fillId="5" borderId="28" xfId="3" applyNumberFormat="1" applyFont="1" applyFill="1" applyBorder="1" applyAlignment="1">
      <alignment horizontal="center" vertical="center" shrinkToFit="1"/>
    </xf>
    <xf numFmtId="180" fontId="14" fillId="5" borderId="29" xfId="3" applyNumberFormat="1" applyFont="1" applyFill="1" applyBorder="1" applyAlignment="1">
      <alignment horizontal="center" vertical="center" shrinkToFit="1"/>
    </xf>
    <xf numFmtId="180" fontId="14" fillId="5" borderId="26" xfId="3" applyNumberFormat="1" applyFont="1" applyFill="1" applyBorder="1" applyAlignment="1">
      <alignment horizontal="center" vertical="center" shrinkToFit="1"/>
    </xf>
    <xf numFmtId="0" fontId="26" fillId="0" borderId="28" xfId="2" applyFont="1" applyFill="1" applyBorder="1" applyAlignment="1">
      <alignment horizontal="center" vertical="center"/>
    </xf>
    <xf numFmtId="49" fontId="30" fillId="0" borderId="0" xfId="3" applyNumberFormat="1" applyFont="1" applyAlignment="1">
      <alignment horizontal="center" vertical="center" shrinkToFit="1"/>
    </xf>
    <xf numFmtId="49" fontId="30" fillId="0" borderId="0" xfId="3" applyNumberFormat="1" applyFont="1" applyAlignment="1">
      <alignment vertical="center" shrinkToFit="1"/>
    </xf>
    <xf numFmtId="180" fontId="18" fillId="6" borderId="22" xfId="0" applyNumberFormat="1" applyFont="1" applyFill="1" applyBorder="1" applyAlignment="1">
      <alignment horizontal="center" vertical="center" shrinkToFit="1"/>
    </xf>
    <xf numFmtId="180" fontId="18" fillId="6" borderId="6" xfId="0" applyNumberFormat="1" applyFont="1" applyFill="1" applyBorder="1" applyAlignment="1">
      <alignment horizontal="center" vertical="center" shrinkToFit="1"/>
    </xf>
    <xf numFmtId="181" fontId="18" fillId="0" borderId="6" xfId="1" applyNumberFormat="1" applyFont="1" applyBorder="1" applyAlignment="1">
      <alignment horizontal="center" vertical="center" shrinkToFit="1"/>
    </xf>
    <xf numFmtId="49" fontId="22" fillId="5" borderId="22" xfId="1" applyNumberFormat="1" applyFont="1" applyFill="1" applyBorder="1" applyAlignment="1">
      <alignment horizontal="center" vertical="center" wrapText="1" shrinkToFit="1"/>
    </xf>
    <xf numFmtId="180" fontId="16" fillId="6" borderId="6" xfId="0" applyNumberFormat="1" applyFont="1" applyFill="1" applyBorder="1" applyAlignment="1">
      <alignment horizontal="left" vertical="center" shrinkToFit="1"/>
    </xf>
    <xf numFmtId="180" fontId="16" fillId="6" borderId="23" xfId="0" applyNumberFormat="1" applyFont="1" applyFill="1" applyBorder="1" applyAlignment="1">
      <alignment horizontal="left" vertical="center" shrinkToFit="1"/>
    </xf>
    <xf numFmtId="180" fontId="16" fillId="6" borderId="29" xfId="0" applyNumberFormat="1" applyFont="1" applyFill="1" applyBorder="1" applyAlignment="1">
      <alignment horizontal="left" vertical="center" shrinkToFit="1"/>
    </xf>
    <xf numFmtId="180" fontId="16" fillId="6" borderId="26" xfId="0" applyNumberFormat="1" applyFont="1" applyFill="1" applyBorder="1" applyAlignment="1">
      <alignment horizontal="left" vertical="center" shrinkToFit="1"/>
    </xf>
    <xf numFmtId="49" fontId="27" fillId="5" borderId="16" xfId="0" applyNumberFormat="1" applyFont="1" applyFill="1" applyBorder="1" applyAlignment="1">
      <alignment horizontal="center" vertical="top" shrinkToFit="1"/>
    </xf>
    <xf numFmtId="49" fontId="27" fillId="5" borderId="33" xfId="0" applyNumberFormat="1" applyFont="1" applyFill="1" applyBorder="1" applyAlignment="1">
      <alignment horizontal="center" vertical="top" shrinkToFit="1"/>
    </xf>
    <xf numFmtId="49" fontId="16" fillId="5" borderId="17" xfId="1" applyNumberFormat="1" applyFont="1" applyFill="1" applyBorder="1" applyAlignment="1">
      <alignment horizontal="center" vertical="center" shrinkToFit="1"/>
    </xf>
    <xf numFmtId="49" fontId="16" fillId="5" borderId="19" xfId="1" applyNumberFormat="1" applyFont="1" applyFill="1" applyBorder="1" applyAlignment="1">
      <alignment horizontal="center" vertical="center" shrinkToFit="1"/>
    </xf>
    <xf numFmtId="0" fontId="1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6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horizontal="left" vertical="center" shrinkToFit="1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49" fontId="1" fillId="0" borderId="15" xfId="1" applyNumberFormat="1" applyBorder="1" applyAlignment="1">
      <alignment vertical="center" shrinkToFit="1"/>
    </xf>
    <xf numFmtId="0" fontId="0" fillId="0" borderId="15" xfId="0" applyBorder="1" applyAlignment="1"/>
    <xf numFmtId="49" fontId="1" fillId="0" borderId="10" xfId="1" applyNumberFormat="1" applyBorder="1" applyAlignment="1">
      <alignment vertical="center" shrinkToFit="1"/>
    </xf>
    <xf numFmtId="0" fontId="0" fillId="0" borderId="10" xfId="0" applyBorder="1" applyAlignment="1"/>
    <xf numFmtId="49" fontId="1" fillId="0" borderId="0" xfId="1" applyNumberFormat="1" applyAlignment="1">
      <alignment horizontal="right" vertical="center" shrinkToFit="1"/>
    </xf>
    <xf numFmtId="49" fontId="6" fillId="0" borderId="0" xfId="1" applyNumberFormat="1" applyFont="1" applyAlignment="1">
      <alignment vertical="center" shrinkToFit="1"/>
    </xf>
    <xf numFmtId="49" fontId="5" fillId="0" borderId="6" xfId="1" applyNumberFormat="1" applyFont="1" applyBorder="1" applyAlignment="1">
      <alignment vertical="center" shrinkToFit="1"/>
    </xf>
    <xf numFmtId="0" fontId="0" fillId="0" borderId="4" xfId="0" applyBorder="1" applyAlignment="1"/>
    <xf numFmtId="49" fontId="5" fillId="0" borderId="4" xfId="1" applyNumberFormat="1" applyFont="1" applyBorder="1" applyAlignment="1">
      <alignment vertical="center" shrinkToFit="1"/>
    </xf>
    <xf numFmtId="49" fontId="5" fillId="0" borderId="11" xfId="1" applyNumberFormat="1" applyFont="1" applyBorder="1" applyAlignment="1">
      <alignment vertical="center" shrinkToFit="1"/>
    </xf>
    <xf numFmtId="0" fontId="0" fillId="0" borderId="12" xfId="0" applyBorder="1" applyAlignment="1"/>
    <xf numFmtId="0" fontId="0" fillId="0" borderId="11" xfId="0" applyBorder="1" applyAlignment="1"/>
    <xf numFmtId="49" fontId="5" fillId="0" borderId="13" xfId="1" applyNumberFormat="1" applyFont="1" applyBorder="1" applyAlignment="1">
      <alignment vertical="center" shrinkToFit="1"/>
    </xf>
    <xf numFmtId="0" fontId="0" fillId="0" borderId="13" xfId="0" applyBorder="1" applyAlignment="1"/>
    <xf numFmtId="49" fontId="1" fillId="0" borderId="14" xfId="1" applyNumberFormat="1" applyBorder="1" applyAlignment="1">
      <alignment vertical="center" shrinkToFit="1"/>
    </xf>
    <xf numFmtId="0" fontId="0" fillId="0" borderId="14" xfId="0" applyBorder="1" applyAlignment="1"/>
    <xf numFmtId="49" fontId="1" fillId="0" borderId="14" xfId="1" applyNumberFormat="1" applyBorder="1" applyAlignment="1">
      <alignment horizontal="right" vertical="center" shrinkToFit="1"/>
    </xf>
    <xf numFmtId="49" fontId="5" fillId="0" borderId="0" xfId="1" applyNumberFormat="1" applyFont="1" applyAlignment="1">
      <alignment vertical="center" shrinkToFit="1"/>
    </xf>
    <xf numFmtId="49" fontId="5" fillId="0" borderId="0" xfId="1" applyNumberFormat="1" applyFont="1" applyAlignment="1">
      <alignment horizontal="left" vertical="center" shrinkToFit="1"/>
    </xf>
    <xf numFmtId="178" fontId="5" fillId="0" borderId="0" xfId="1" applyNumberFormat="1" applyFont="1" applyAlignment="1">
      <alignment horizontal="left" vertical="center" shrinkToFit="1"/>
    </xf>
    <xf numFmtId="49" fontId="5" fillId="0" borderId="5" xfId="1" applyNumberFormat="1" applyFont="1" applyBorder="1" applyAlignment="1">
      <alignment horizontal="center" vertical="center" shrinkToFit="1"/>
    </xf>
    <xf numFmtId="0" fontId="0" fillId="0" borderId="9" xfId="0" applyBorder="1" applyAlignment="1"/>
    <xf numFmtId="178" fontId="5" fillId="0" borderId="6" xfId="1" applyNumberFormat="1" applyFont="1" applyBorder="1" applyAlignment="1">
      <alignment horizontal="center" vertical="center" shrinkToFit="1"/>
    </xf>
    <xf numFmtId="0" fontId="0" fillId="0" borderId="7" xfId="0" applyBorder="1" applyAlignment="1"/>
    <xf numFmtId="0" fontId="0" fillId="0" borderId="8" xfId="0" applyBorder="1" applyAlignment="1"/>
    <xf numFmtId="49" fontId="3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vertical="center" shrinkToFit="1"/>
    </xf>
    <xf numFmtId="176" fontId="4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3" xfId="0" applyBorder="1" applyAlignment="1"/>
  </cellXfs>
  <cellStyles count="4">
    <cellStyle name="どちらでもない" xfId="2" builtinId="28"/>
    <cellStyle name="標準" xfId="0" builtinId="0"/>
    <cellStyle name="標準 2" xfId="1" xr:uid="{D9406A6F-B4D4-48F0-BA43-F896170BC71B}"/>
    <cellStyle name="標準 2 4" xfId="3" xr:uid="{7850EDEE-BAA6-4EC1-872A-922F62C2F98F}"/>
  </cellStyles>
  <dxfs count="20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28576</xdr:colOff>
      <xdr:row>232</xdr:row>
      <xdr:rowOff>28576</xdr:rowOff>
    </xdr:from>
    <xdr:to>
      <xdr:col>9</xdr:col>
      <xdr:colOff>733426</xdr:colOff>
      <xdr:row>235</xdr:row>
      <xdr:rowOff>76201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73E220C-C110-4447-BDD0-340222EE2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1" y="53749576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66676</xdr:colOff>
      <xdr:row>232</xdr:row>
      <xdr:rowOff>28576</xdr:rowOff>
    </xdr:from>
    <xdr:to>
      <xdr:col>8</xdr:col>
      <xdr:colOff>771526</xdr:colOff>
      <xdr:row>235</xdr:row>
      <xdr:rowOff>76201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96110EB-8634-4672-96D9-C273F997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6" y="53749576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175</xdr:row>
      <xdr:rowOff>38100</xdr:rowOff>
    </xdr:from>
    <xdr:to>
      <xdr:col>9</xdr:col>
      <xdr:colOff>752475</xdr:colOff>
      <xdr:row>178</xdr:row>
      <xdr:rowOff>85725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74B1100-51DD-4078-9B48-D8E117F29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405288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175</xdr:row>
      <xdr:rowOff>38100</xdr:rowOff>
    </xdr:from>
    <xdr:to>
      <xdr:col>8</xdr:col>
      <xdr:colOff>790575</xdr:colOff>
      <xdr:row>178</xdr:row>
      <xdr:rowOff>85725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A701201-2119-4A9F-A715-C57B8D517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405288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118</xdr:row>
      <xdr:rowOff>19050</xdr:rowOff>
    </xdr:from>
    <xdr:to>
      <xdr:col>9</xdr:col>
      <xdr:colOff>752475</xdr:colOff>
      <xdr:row>121</xdr:row>
      <xdr:rowOff>66675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F829424-B1D4-478A-B2C9-8DEEC4554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272796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118</xdr:row>
      <xdr:rowOff>19050</xdr:rowOff>
    </xdr:from>
    <xdr:to>
      <xdr:col>8</xdr:col>
      <xdr:colOff>790575</xdr:colOff>
      <xdr:row>121</xdr:row>
      <xdr:rowOff>66675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75C0844-DBD4-42B2-8F2D-9E254F10A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272796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61</xdr:row>
      <xdr:rowOff>28575</xdr:rowOff>
    </xdr:from>
    <xdr:to>
      <xdr:col>9</xdr:col>
      <xdr:colOff>742950</xdr:colOff>
      <xdr:row>64</xdr:row>
      <xdr:rowOff>76200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08720A3-CCFF-4D75-AB7F-1D82EC9E6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40589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28575</xdr:rowOff>
    </xdr:from>
    <xdr:to>
      <xdr:col>8</xdr:col>
      <xdr:colOff>781050</xdr:colOff>
      <xdr:row>64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1D2D263-F00C-4CE6-90C5-0B2AD579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140589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38100</xdr:rowOff>
    </xdr:from>
    <xdr:to>
      <xdr:col>9</xdr:col>
      <xdr:colOff>742950</xdr:colOff>
      <xdr:row>7</xdr:row>
      <xdr:rowOff>85725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1C7D9F8-0FBF-406A-9C25-7DD4931B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8382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</xdr:row>
      <xdr:rowOff>38100</xdr:rowOff>
    </xdr:from>
    <xdr:to>
      <xdr:col>8</xdr:col>
      <xdr:colOff>781050</xdr:colOff>
      <xdr:row>7</xdr:row>
      <xdr:rowOff>85725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39CAC9-F678-4F6F-9077-A39F6CD3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838200"/>
          <a:ext cx="704850" cy="7048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C1D9-2FE7-48D7-B69B-0E81FF66CBA2}">
  <sheetPr codeName="Sheet1"/>
  <dimension ref="A1:N285"/>
  <sheetViews>
    <sheetView tabSelected="1" topLeftCell="A129" workbookViewId="0">
      <selection activeCell="A152" sqref="A152:J169"/>
    </sheetView>
  </sheetViews>
  <sheetFormatPr defaultColWidth="1.625" defaultRowHeight="13.5"/>
  <cols>
    <col min="1" max="1" width="9" style="2" customWidth="1"/>
    <col min="2" max="2" width="19.25" style="2" customWidth="1"/>
    <col min="3" max="3" width="5.875" style="2" customWidth="1"/>
    <col min="4" max="4" width="12.5" style="2" customWidth="1"/>
    <col min="5" max="5" width="9.25" style="2" customWidth="1"/>
    <col min="6" max="6" width="23.75" style="2" customWidth="1"/>
    <col min="7" max="7" width="10.25" style="2" customWidth="1"/>
    <col min="8" max="10" width="10.625" style="2" customWidth="1"/>
    <col min="11" max="11" width="1.625" style="2" customWidth="1"/>
    <col min="12" max="16384" width="1.625" style="2"/>
  </cols>
  <sheetData>
    <row r="1" spans="1:10" ht="14.25" customHeight="1" thickBot="1">
      <c r="A1" s="3"/>
      <c r="B1" s="146" t="s">
        <v>0</v>
      </c>
      <c r="C1" s="116"/>
      <c r="D1" s="116"/>
      <c r="E1" s="3"/>
      <c r="F1" s="3"/>
      <c r="G1" s="3"/>
      <c r="H1" s="3"/>
      <c r="I1" s="3"/>
      <c r="J1" s="3"/>
    </row>
    <row r="2" spans="1:10" ht="14.25" customHeight="1" thickTop="1">
      <c r="A2" s="4"/>
      <c r="B2" s="116"/>
      <c r="C2" s="116"/>
      <c r="D2" s="116"/>
      <c r="E2" s="4"/>
      <c r="F2" s="4"/>
      <c r="G2" s="4"/>
      <c r="H2" s="4"/>
      <c r="I2" s="4"/>
      <c r="J2" s="4"/>
    </row>
    <row r="3" spans="1:10" ht="14.25" customHeight="1">
      <c r="A3" s="147" t="s">
        <v>1</v>
      </c>
      <c r="B3" s="147" t="s">
        <v>2</v>
      </c>
      <c r="C3" s="147" t="s">
        <v>3</v>
      </c>
      <c r="D3" s="148">
        <v>415</v>
      </c>
      <c r="E3" s="147" t="s">
        <v>4</v>
      </c>
      <c r="F3" s="149" t="s">
        <v>5</v>
      </c>
      <c r="G3" s="116"/>
      <c r="H3" s="116"/>
      <c r="I3" s="5" t="s">
        <v>6</v>
      </c>
      <c r="J3" s="5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50"/>
      <c r="J4" s="150"/>
    </row>
    <row r="5" spans="1:10" ht="17.45" customHeight="1">
      <c r="A5" s="138" t="s">
        <v>8</v>
      </c>
      <c r="B5" s="138" t="s">
        <v>9</v>
      </c>
      <c r="E5" s="138" t="s">
        <v>10</v>
      </c>
      <c r="F5" s="139" t="s">
        <v>11</v>
      </c>
      <c r="G5" s="116"/>
      <c r="H5" s="116"/>
      <c r="I5" s="151"/>
      <c r="J5" s="151"/>
    </row>
    <row r="6" spans="1:10" ht="17.45" customHeight="1">
      <c r="A6" s="116"/>
      <c r="B6" s="116"/>
      <c r="E6" s="116"/>
      <c r="F6" s="116"/>
      <c r="G6" s="116"/>
      <c r="H6" s="116"/>
      <c r="I6" s="8"/>
      <c r="J6" s="8"/>
    </row>
    <row r="7" spans="1:10" ht="17.45" customHeight="1">
      <c r="A7" s="138" t="s">
        <v>12</v>
      </c>
      <c r="B7" s="138" t="s">
        <v>13</v>
      </c>
      <c r="E7" s="9" t="s">
        <v>14</v>
      </c>
      <c r="F7" s="139" t="s">
        <v>15</v>
      </c>
      <c r="G7" s="116"/>
      <c r="H7" s="7"/>
      <c r="I7" s="8"/>
      <c r="J7" s="8"/>
    </row>
    <row r="8" spans="1:10" ht="17.45" customHeight="1">
      <c r="A8" s="116"/>
      <c r="B8" s="116"/>
      <c r="E8" s="9" t="s">
        <v>16</v>
      </c>
      <c r="F8" s="7" t="s">
        <v>17</v>
      </c>
      <c r="G8" s="7"/>
      <c r="H8" s="7"/>
      <c r="I8" s="10"/>
      <c r="J8" s="10"/>
    </row>
    <row r="9" spans="1:10" ht="17.45" customHeight="1">
      <c r="A9" s="9" t="s">
        <v>18</v>
      </c>
      <c r="B9" s="11">
        <v>46156</v>
      </c>
      <c r="E9" s="9" t="s">
        <v>19</v>
      </c>
      <c r="F9" s="140">
        <v>200</v>
      </c>
      <c r="G9" s="116"/>
      <c r="H9" s="7"/>
    </row>
    <row r="10" spans="1:10" ht="17.45" customHeight="1">
      <c r="A10" s="9" t="s">
        <v>20</v>
      </c>
      <c r="B10" s="11">
        <v>46156</v>
      </c>
      <c r="E10" s="9" t="s">
        <v>21</v>
      </c>
      <c r="F10" s="7">
        <v>7.5</v>
      </c>
      <c r="G10" s="141" t="s">
        <v>22</v>
      </c>
      <c r="H10" s="143">
        <v>1500</v>
      </c>
      <c r="I10" s="144"/>
      <c r="J10" s="145"/>
    </row>
    <row r="11" spans="1:10" ht="17.45" customHeight="1">
      <c r="A11" s="12"/>
      <c r="B11" s="13"/>
      <c r="C11" s="13"/>
      <c r="D11" s="13"/>
      <c r="E11" s="9" t="s">
        <v>23</v>
      </c>
      <c r="F11" s="7" t="s">
        <v>24</v>
      </c>
      <c r="G11" s="142"/>
      <c r="H11" s="142"/>
      <c r="I11" s="124"/>
      <c r="J11" s="132"/>
    </row>
    <row r="12" spans="1:10" ht="13.5" customHeight="1">
      <c r="A12" s="126" t="s">
        <v>25</v>
      </c>
      <c r="B12" s="116"/>
      <c r="C12" s="116"/>
      <c r="D12" s="13"/>
      <c r="F12" s="6"/>
      <c r="G12" s="127" t="s">
        <v>26</v>
      </c>
      <c r="H12" s="129" t="s">
        <v>27</v>
      </c>
      <c r="I12" s="130" t="s">
        <v>28</v>
      </c>
      <c r="J12" s="131"/>
    </row>
    <row r="13" spans="1:10" ht="13.5" customHeight="1">
      <c r="A13" s="116"/>
      <c r="B13" s="116"/>
      <c r="C13" s="116"/>
      <c r="D13" s="13"/>
      <c r="F13" s="6"/>
      <c r="G13" s="128"/>
      <c r="H13" s="128"/>
      <c r="I13" s="124"/>
      <c r="J13" s="132"/>
    </row>
    <row r="14" spans="1:10" ht="13.5" customHeight="1">
      <c r="A14" s="2" t="s">
        <v>29</v>
      </c>
    </row>
    <row r="15" spans="1:10" ht="63" customHeight="1" thickBot="1">
      <c r="A15" s="133"/>
      <c r="B15" s="134"/>
      <c r="C15" s="134"/>
      <c r="D15" s="134"/>
      <c r="E15" s="134"/>
      <c r="F15" s="134"/>
      <c r="G15" s="134"/>
      <c r="H15" s="134"/>
      <c r="I15" s="134"/>
      <c r="J15" s="134"/>
    </row>
    <row r="16" spans="1:10" ht="18.75">
      <c r="A16" s="14" t="s">
        <v>30</v>
      </c>
      <c r="B16" s="15" t="s">
        <v>31</v>
      </c>
      <c r="C16" s="135" t="s">
        <v>32</v>
      </c>
      <c r="D16" s="136"/>
      <c r="E16" s="15" t="s">
        <v>33</v>
      </c>
      <c r="F16" s="135" t="s">
        <v>34</v>
      </c>
      <c r="G16" s="136"/>
      <c r="H16" s="136"/>
      <c r="I16" s="137" t="s">
        <v>35</v>
      </c>
      <c r="J16" s="136"/>
    </row>
    <row r="17" spans="1:10" ht="14.2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16.5" customHeight="1">
      <c r="A18" s="17">
        <v>1</v>
      </c>
      <c r="B18" s="18" t="s">
        <v>36</v>
      </c>
      <c r="C18" s="115" t="s">
        <v>37</v>
      </c>
      <c r="D18" s="116"/>
      <c r="E18" s="18" t="s">
        <v>38</v>
      </c>
      <c r="F18" s="115" t="s">
        <v>39</v>
      </c>
      <c r="G18" s="116"/>
      <c r="H18" s="116"/>
      <c r="I18" s="125"/>
      <c r="J18" s="116"/>
    </row>
    <row r="19" spans="1:10" ht="16.5" customHeight="1">
      <c r="A19" s="17">
        <v>1</v>
      </c>
      <c r="B19" s="19" t="s">
        <v>36</v>
      </c>
      <c r="C19" s="115" t="s">
        <v>37</v>
      </c>
      <c r="D19" s="116"/>
      <c r="E19" s="18" t="s">
        <v>40</v>
      </c>
      <c r="F19" s="115" t="s">
        <v>41</v>
      </c>
      <c r="G19" s="116"/>
      <c r="H19" s="116"/>
      <c r="I19" s="125"/>
      <c r="J19" s="116"/>
    </row>
    <row r="20" spans="1:10" ht="16.5" customHeight="1">
      <c r="A20" s="17"/>
      <c r="B20" s="19"/>
      <c r="C20" s="115"/>
      <c r="D20" s="116"/>
      <c r="E20" s="18"/>
      <c r="F20" s="115"/>
      <c r="G20" s="116"/>
      <c r="H20" s="116"/>
      <c r="I20" s="125"/>
      <c r="J20" s="116"/>
    </row>
    <row r="21" spans="1:10" ht="16.5" customHeight="1">
      <c r="A21" s="17"/>
      <c r="B21" s="19"/>
      <c r="C21" s="115"/>
      <c r="D21" s="116"/>
      <c r="E21" s="18"/>
      <c r="F21" s="115"/>
      <c r="G21" s="116"/>
      <c r="H21" s="116"/>
      <c r="I21" s="125"/>
      <c r="J21" s="116"/>
    </row>
    <row r="22" spans="1:10" ht="16.5" customHeight="1">
      <c r="A22" s="17"/>
      <c r="B22" s="19"/>
      <c r="C22" s="115"/>
      <c r="D22" s="116"/>
      <c r="E22" s="18"/>
      <c r="F22" s="115"/>
      <c r="G22" s="116"/>
      <c r="H22" s="116"/>
      <c r="I22" s="125"/>
      <c r="J22" s="116"/>
    </row>
    <row r="23" spans="1:10" ht="16.5" customHeight="1">
      <c r="A23" s="17"/>
      <c r="B23" s="19"/>
      <c r="C23" s="115"/>
      <c r="D23" s="116"/>
      <c r="E23" s="18"/>
      <c r="F23" s="115"/>
      <c r="G23" s="116"/>
      <c r="H23" s="116"/>
      <c r="I23" s="125"/>
      <c r="J23" s="116"/>
    </row>
    <row r="24" spans="1:10" ht="16.5" customHeight="1" thickBot="1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18.75">
      <c r="A25" s="121" t="s">
        <v>42</v>
      </c>
      <c r="B25" s="122"/>
      <c r="C25" s="121" t="s">
        <v>43</v>
      </c>
      <c r="D25" s="122"/>
      <c r="E25" s="122"/>
      <c r="F25" s="21" t="s">
        <v>44</v>
      </c>
      <c r="G25" s="121" t="s">
        <v>45</v>
      </c>
      <c r="H25" s="122"/>
      <c r="I25" s="121" t="s">
        <v>46</v>
      </c>
      <c r="J25" s="122"/>
    </row>
    <row r="26" spans="1:10" ht="14.25" customHeight="1">
      <c r="A26" s="22"/>
      <c r="B26" s="23"/>
      <c r="C26" s="123" t="s">
        <v>47</v>
      </c>
      <c r="D26" s="124"/>
      <c r="E26" s="23"/>
      <c r="F26" s="123" t="s">
        <v>29</v>
      </c>
      <c r="G26" s="124"/>
      <c r="H26" s="124"/>
      <c r="I26" s="124"/>
      <c r="J26" s="124"/>
    </row>
    <row r="27" spans="1:10">
      <c r="A27" s="24"/>
      <c r="C27" s="25"/>
      <c r="D27" s="25"/>
      <c r="E27" s="25"/>
    </row>
    <row r="28" spans="1:10" ht="14.25" customHeight="1">
      <c r="A28" s="115" t="s">
        <v>48</v>
      </c>
      <c r="B28" s="116"/>
      <c r="C28" s="115" t="s">
        <v>49</v>
      </c>
      <c r="D28" s="116"/>
      <c r="E28" s="116"/>
      <c r="F28" s="18" t="s">
        <v>27</v>
      </c>
      <c r="G28" s="117">
        <v>499.5</v>
      </c>
      <c r="H28" s="116"/>
      <c r="I28" s="117">
        <v>2.4975000000000001</v>
      </c>
      <c r="J28" s="116"/>
    </row>
    <row r="29" spans="1:10" ht="24.95" customHeight="1">
      <c r="A29" s="118" t="s">
        <v>50</v>
      </c>
      <c r="B29" s="116"/>
      <c r="C29" s="115" t="s">
        <v>11</v>
      </c>
      <c r="D29" s="116"/>
      <c r="E29" s="116"/>
      <c r="F29" s="115"/>
      <c r="G29" s="116"/>
      <c r="H29" s="116"/>
      <c r="I29" s="116"/>
      <c r="J29" s="116"/>
    </row>
    <row r="30" spans="1:10" ht="14.25" customHeight="1">
      <c r="A30" s="115" t="s">
        <v>51</v>
      </c>
      <c r="B30" s="116"/>
      <c r="C30" s="115" t="s">
        <v>52</v>
      </c>
      <c r="D30" s="116"/>
      <c r="E30" s="116"/>
      <c r="F30" s="18" t="s">
        <v>27</v>
      </c>
      <c r="G30" s="117">
        <v>7.5</v>
      </c>
      <c r="H30" s="116"/>
      <c r="I30" s="117">
        <v>3.7499999999999999E-2</v>
      </c>
      <c r="J30" s="116"/>
    </row>
    <row r="31" spans="1:10" ht="24.95" customHeight="1">
      <c r="A31" s="118" t="s">
        <v>53</v>
      </c>
      <c r="B31" s="116"/>
      <c r="C31" s="115"/>
      <c r="D31" s="116"/>
      <c r="E31" s="116"/>
      <c r="F31" s="115"/>
      <c r="G31" s="116"/>
      <c r="H31" s="116"/>
      <c r="I31" s="116"/>
      <c r="J31" s="116"/>
    </row>
    <row r="32" spans="1:10" ht="14.25" customHeight="1">
      <c r="A32" s="115"/>
      <c r="B32" s="116"/>
      <c r="C32" s="115"/>
      <c r="D32" s="116"/>
      <c r="E32" s="116"/>
      <c r="F32" s="18"/>
      <c r="G32" s="117"/>
      <c r="H32" s="116"/>
      <c r="I32" s="117"/>
      <c r="J32" s="116"/>
    </row>
    <row r="33" spans="1:14" ht="24.95" customHeight="1">
      <c r="A33" s="118"/>
      <c r="B33" s="116"/>
      <c r="C33" s="115"/>
      <c r="D33" s="116"/>
      <c r="E33" s="116"/>
      <c r="F33" s="115"/>
      <c r="G33" s="116"/>
      <c r="H33" s="116"/>
      <c r="I33" s="116"/>
      <c r="J33" s="116"/>
    </row>
    <row r="34" spans="1:14" ht="14.25" customHeight="1">
      <c r="A34" s="115"/>
      <c r="B34" s="116"/>
      <c r="C34" s="115"/>
      <c r="D34" s="116"/>
      <c r="E34" s="116"/>
      <c r="F34" s="18"/>
      <c r="G34" s="117"/>
      <c r="H34" s="116"/>
      <c r="I34" s="117"/>
      <c r="J34" s="116"/>
    </row>
    <row r="35" spans="1:14" ht="24.95" customHeight="1">
      <c r="A35" s="118"/>
      <c r="B35" s="116"/>
      <c r="C35" s="115"/>
      <c r="D35" s="116"/>
      <c r="E35" s="116"/>
      <c r="F35" s="115"/>
      <c r="G35" s="116"/>
      <c r="H35" s="116"/>
      <c r="I35" s="116"/>
      <c r="J35" s="116"/>
    </row>
    <row r="36" spans="1:14" ht="14.25" customHeight="1">
      <c r="A36" s="115"/>
      <c r="B36" s="116"/>
      <c r="C36" s="115"/>
      <c r="D36" s="116"/>
      <c r="E36" s="116"/>
      <c r="F36" s="18"/>
      <c r="G36" s="117"/>
      <c r="H36" s="116"/>
      <c r="I36" s="117"/>
      <c r="J36" s="116"/>
    </row>
    <row r="37" spans="1:14" ht="24.95" customHeight="1" thickBot="1">
      <c r="A37" s="118"/>
      <c r="B37" s="116"/>
      <c r="C37" s="115"/>
      <c r="D37" s="116"/>
      <c r="E37" s="116"/>
      <c r="F37" s="115"/>
      <c r="G37" s="116"/>
      <c r="H37" s="116"/>
      <c r="I37" s="116"/>
      <c r="J37" s="116"/>
    </row>
    <row r="38" spans="1:14" s="16" customFormat="1" ht="18" customHeight="1">
      <c r="A38" s="26" t="s">
        <v>82</v>
      </c>
      <c r="B38" s="27" t="s">
        <v>83</v>
      </c>
      <c r="C38" s="119" t="s">
        <v>84</v>
      </c>
      <c r="D38" s="120"/>
      <c r="E38" s="28" t="s">
        <v>85</v>
      </c>
      <c r="F38" s="29" t="s">
        <v>86</v>
      </c>
      <c r="G38" s="30" t="s">
        <v>87</v>
      </c>
      <c r="H38" s="31" t="s">
        <v>88</v>
      </c>
      <c r="I38" s="113" t="s">
        <v>89</v>
      </c>
      <c r="J38" s="114"/>
    </row>
    <row r="39" spans="1:14" s="25" customFormat="1" ht="18" customHeight="1">
      <c r="A39" s="32" t="s">
        <v>119</v>
      </c>
      <c r="B39" s="33">
        <v>415</v>
      </c>
      <c r="C39" s="103" t="s">
        <v>52</v>
      </c>
      <c r="D39" s="104"/>
      <c r="E39" s="105">
        <v>8</v>
      </c>
      <c r="F39" s="34" t="s">
        <v>134</v>
      </c>
      <c r="G39" s="35">
        <v>46153</v>
      </c>
      <c r="H39" s="36">
        <v>6</v>
      </c>
      <c r="I39" s="37" t="s">
        <v>90</v>
      </c>
      <c r="J39" s="38">
        <v>46154</v>
      </c>
    </row>
    <row r="40" spans="1:14" s="16" customFormat="1" ht="18" customHeight="1">
      <c r="A40" s="42" t="s">
        <v>91</v>
      </c>
      <c r="B40" s="43" t="s">
        <v>92</v>
      </c>
      <c r="C40" s="103"/>
      <c r="D40" s="104"/>
      <c r="E40" s="105"/>
      <c r="F40" s="44" t="s">
        <v>135</v>
      </c>
      <c r="G40" s="35">
        <v>46154</v>
      </c>
      <c r="H40" s="36">
        <v>2</v>
      </c>
      <c r="I40" s="37" t="s">
        <v>93</v>
      </c>
      <c r="J40" s="39">
        <v>1500</v>
      </c>
      <c r="K40" s="45"/>
    </row>
    <row r="41" spans="1:14" s="25" customFormat="1" ht="18" customHeight="1">
      <c r="A41" s="46">
        <v>0</v>
      </c>
      <c r="B41" s="47">
        <v>414.5</v>
      </c>
      <c r="C41" s="106" t="s">
        <v>94</v>
      </c>
      <c r="D41" s="107" t="s">
        <v>120</v>
      </c>
      <c r="E41" s="107"/>
      <c r="F41" s="108"/>
      <c r="G41" s="35"/>
      <c r="H41" s="36"/>
      <c r="I41" s="37" t="s">
        <v>95</v>
      </c>
      <c r="J41" s="39">
        <v>284</v>
      </c>
      <c r="K41" s="48"/>
    </row>
    <row r="42" spans="1:14" s="16" customFormat="1" ht="18" customHeight="1">
      <c r="A42" s="49" t="s">
        <v>96</v>
      </c>
      <c r="B42" s="50" t="s">
        <v>97</v>
      </c>
      <c r="C42" s="106"/>
      <c r="D42" s="107" t="s">
        <v>121</v>
      </c>
      <c r="E42" s="107"/>
      <c r="F42" s="108"/>
      <c r="G42" s="35"/>
      <c r="H42" s="36"/>
      <c r="I42" s="37" t="s">
        <v>98</v>
      </c>
      <c r="J42" s="39">
        <v>0</v>
      </c>
      <c r="K42" s="45"/>
    </row>
    <row r="43" spans="1:14" s="25" customFormat="1" ht="18" customHeight="1" thickBot="1">
      <c r="A43" s="51">
        <v>-1</v>
      </c>
      <c r="B43" s="52">
        <v>3</v>
      </c>
      <c r="C43" s="53" t="s">
        <v>99</v>
      </c>
      <c r="D43" s="109"/>
      <c r="E43" s="109"/>
      <c r="F43" s="110"/>
      <c r="G43" s="54"/>
      <c r="H43" s="55"/>
      <c r="I43" s="37" t="s">
        <v>100</v>
      </c>
      <c r="J43" s="40">
        <v>0</v>
      </c>
      <c r="K43" s="48"/>
    </row>
    <row r="44" spans="1:14" s="16" customFormat="1" ht="18" customHeight="1" thickBot="1">
      <c r="A44" s="56" t="s">
        <v>101</v>
      </c>
      <c r="B44" s="57" t="str" cm="1">
        <f t="array" ref="B44">IF(SUM(--(ISTEXT(B45:B55)*(B45:B55&lt;&gt;"")))=0,"計測Lot","計測Lot・加工数")</f>
        <v>計測Lot・加工数</v>
      </c>
      <c r="C44" s="58" t="s">
        <v>102</v>
      </c>
      <c r="D44" s="59" t="s">
        <v>103</v>
      </c>
      <c r="E44" s="60" t="s">
        <v>104</v>
      </c>
      <c r="F44" s="61" t="str" cm="1">
        <f t="array" ref="F44">IF(SUM(--(ISTEXT(B45:B55)*(B45:B55&lt;&gt;"")))=0,"記入不要","使用Lot")</f>
        <v>使用Lot</v>
      </c>
      <c r="G44" s="62" t="s">
        <v>105</v>
      </c>
      <c r="H44" s="63" t="s">
        <v>106</v>
      </c>
      <c r="I44" s="64" t="s">
        <v>107</v>
      </c>
      <c r="J44" s="41">
        <v>650</v>
      </c>
      <c r="K44" s="45"/>
    </row>
    <row r="45" spans="1:14" s="25" customFormat="1" ht="18" customHeight="1">
      <c r="A45" s="65"/>
      <c r="B45" s="69"/>
      <c r="C45" s="72"/>
      <c r="D45" s="73"/>
      <c r="E45" s="74"/>
      <c r="F45" s="75">
        <v>0</v>
      </c>
      <c r="G45" s="76">
        <v>0</v>
      </c>
      <c r="H45" s="77"/>
      <c r="I45" s="111" t="s">
        <v>108</v>
      </c>
      <c r="J45" s="112"/>
      <c r="K45" s="78"/>
    </row>
    <row r="46" spans="1:14" s="16" customFormat="1" ht="18" customHeight="1">
      <c r="A46" s="66">
        <v>46153</v>
      </c>
      <c r="B46" s="70" t="s">
        <v>137</v>
      </c>
      <c r="C46" s="79"/>
      <c r="D46" s="80">
        <v>414.5</v>
      </c>
      <c r="E46" s="81"/>
      <c r="F46" s="82" t="s">
        <v>138</v>
      </c>
      <c r="G46" s="79">
        <v>650</v>
      </c>
      <c r="H46" s="83">
        <v>0</v>
      </c>
      <c r="I46" s="84" t="s">
        <v>109</v>
      </c>
      <c r="J46" s="83"/>
      <c r="K46" s="78"/>
    </row>
    <row r="47" spans="1:14" s="89" customFormat="1" ht="18.95" customHeight="1">
      <c r="A47" s="67">
        <v>46153</v>
      </c>
      <c r="B47" s="70" t="s">
        <v>139</v>
      </c>
      <c r="C47" s="79"/>
      <c r="D47" s="80">
        <v>414.5</v>
      </c>
      <c r="E47" s="81"/>
      <c r="F47" s="82" t="s">
        <v>124</v>
      </c>
      <c r="G47" s="79">
        <v>600</v>
      </c>
      <c r="H47" s="83">
        <v>200</v>
      </c>
      <c r="I47" s="84" t="s">
        <v>110</v>
      </c>
      <c r="J47" s="83"/>
      <c r="K47" s="87"/>
      <c r="L47" s="88"/>
      <c r="M47" s="88"/>
      <c r="N47" s="88"/>
    </row>
    <row r="48" spans="1:14" s="92" customFormat="1" ht="18.95" customHeight="1">
      <c r="A48" s="67">
        <v>46153</v>
      </c>
      <c r="B48" s="70" t="s">
        <v>140</v>
      </c>
      <c r="C48" s="79"/>
      <c r="D48" s="80">
        <v>414.5</v>
      </c>
      <c r="E48" s="81"/>
      <c r="F48" s="82" t="s">
        <v>122</v>
      </c>
      <c r="G48" s="79">
        <v>100</v>
      </c>
      <c r="H48" s="83">
        <v>33.333333333333336</v>
      </c>
      <c r="I48" s="84" t="s">
        <v>111</v>
      </c>
      <c r="J48" s="83"/>
      <c r="K48" s="90"/>
      <c r="L48" s="91"/>
      <c r="M48" s="91"/>
      <c r="N48" s="91"/>
    </row>
    <row r="49" spans="1:14" s="92" customFormat="1" ht="18.95" customHeight="1">
      <c r="A49" s="67">
        <v>46153</v>
      </c>
      <c r="B49" s="70" t="s">
        <v>141</v>
      </c>
      <c r="C49" s="79"/>
      <c r="D49" s="80">
        <v>414.5</v>
      </c>
      <c r="E49" s="81"/>
      <c r="F49" s="82" t="s">
        <v>125</v>
      </c>
      <c r="G49" s="79">
        <v>100</v>
      </c>
      <c r="H49" s="83">
        <v>33.333333333333336</v>
      </c>
      <c r="I49" s="84" t="s">
        <v>112</v>
      </c>
      <c r="J49" s="83"/>
      <c r="K49" s="90"/>
      <c r="L49" s="91"/>
      <c r="M49" s="91"/>
      <c r="N49" s="91"/>
    </row>
    <row r="50" spans="1:14" s="92" customFormat="1" ht="18.95" customHeight="1">
      <c r="A50" s="67">
        <v>46154</v>
      </c>
      <c r="B50" s="70" t="s">
        <v>142</v>
      </c>
      <c r="C50" s="79"/>
      <c r="D50" s="80">
        <v>414.5</v>
      </c>
      <c r="E50" s="81"/>
      <c r="F50" s="82" t="s">
        <v>143</v>
      </c>
      <c r="G50" s="79">
        <v>50</v>
      </c>
      <c r="H50" s="83">
        <v>16.666666666666668</v>
      </c>
      <c r="I50" s="84" t="s">
        <v>113</v>
      </c>
      <c r="J50" s="83"/>
      <c r="K50" s="90"/>
      <c r="L50" s="91"/>
      <c r="M50" s="91"/>
      <c r="N50" s="91"/>
    </row>
    <row r="51" spans="1:14" s="92" customFormat="1" ht="18.95" customHeight="1">
      <c r="A51" s="67">
        <v>46154</v>
      </c>
      <c r="B51" s="70" t="s">
        <v>140</v>
      </c>
      <c r="C51" s="79"/>
      <c r="D51" s="80">
        <v>414.5</v>
      </c>
      <c r="E51" s="81"/>
      <c r="F51" s="82"/>
      <c r="G51" s="79">
        <v>0</v>
      </c>
      <c r="H51" s="83"/>
      <c r="I51" s="84" t="s">
        <v>114</v>
      </c>
      <c r="J51" s="83"/>
      <c r="K51" s="90"/>
      <c r="L51" s="91"/>
      <c r="M51" s="91"/>
      <c r="N51" s="91"/>
    </row>
    <row r="52" spans="1:14" s="92" customFormat="1" ht="18.95" customHeight="1">
      <c r="A52" s="67"/>
      <c r="B52" s="70" t="s">
        <v>133</v>
      </c>
      <c r="C52" s="79"/>
      <c r="D52" s="80">
        <v>414.5</v>
      </c>
      <c r="E52" s="81"/>
      <c r="F52" s="82"/>
      <c r="G52" s="79">
        <v>0</v>
      </c>
      <c r="H52" s="83"/>
      <c r="I52" s="93" t="s">
        <v>115</v>
      </c>
      <c r="J52" s="83"/>
      <c r="K52" s="90"/>
      <c r="L52" s="91"/>
      <c r="M52" s="91"/>
      <c r="N52" s="91"/>
    </row>
    <row r="53" spans="1:14" s="92" customFormat="1" ht="18.95" customHeight="1">
      <c r="A53" s="67"/>
      <c r="B53" s="70" t="s">
        <v>133</v>
      </c>
      <c r="C53" s="79"/>
      <c r="D53" s="80">
        <v>414.5</v>
      </c>
      <c r="E53" s="81"/>
      <c r="F53" s="82"/>
      <c r="G53" s="79">
        <v>0</v>
      </c>
      <c r="H53" s="83"/>
      <c r="I53" s="93" t="s">
        <v>116</v>
      </c>
      <c r="J53" s="83"/>
      <c r="K53" s="90"/>
      <c r="L53" s="91"/>
      <c r="M53" s="91"/>
      <c r="N53" s="91"/>
    </row>
    <row r="54" spans="1:14" s="92" customFormat="1" ht="18.95" customHeight="1">
      <c r="A54" s="67"/>
      <c r="B54" s="70" t="s">
        <v>133</v>
      </c>
      <c r="C54" s="79"/>
      <c r="D54" s="80"/>
      <c r="E54" s="81"/>
      <c r="F54" s="82"/>
      <c r="G54" s="79">
        <v>0</v>
      </c>
      <c r="H54" s="83"/>
      <c r="I54" s="84" t="s">
        <v>117</v>
      </c>
      <c r="J54" s="85"/>
      <c r="K54" s="90"/>
      <c r="L54" s="91"/>
      <c r="M54" s="91"/>
      <c r="N54" s="91"/>
    </row>
    <row r="55" spans="1:14" s="92" customFormat="1" ht="18.95" customHeight="1" thickBot="1">
      <c r="A55" s="68" t="s">
        <v>132</v>
      </c>
      <c r="B55" s="71" t="s">
        <v>133</v>
      </c>
      <c r="C55" s="94"/>
      <c r="D55" s="95"/>
      <c r="E55" s="96"/>
      <c r="F55" s="97"/>
      <c r="G55" s="98"/>
      <c r="H55" s="99"/>
      <c r="I55" s="100" t="s">
        <v>118</v>
      </c>
      <c r="J55" s="86">
        <v>0</v>
      </c>
      <c r="K55" s="90"/>
      <c r="L55" s="91"/>
      <c r="M55" s="91"/>
      <c r="N55" s="91"/>
    </row>
    <row r="56" spans="1:14" ht="6" customHeight="1" thickBot="1">
      <c r="A56" s="101"/>
      <c r="B56" s="102"/>
      <c r="C56" s="102"/>
      <c r="D56" s="101"/>
      <c r="E56" s="102"/>
      <c r="F56" s="102"/>
      <c r="G56" s="102"/>
      <c r="H56" s="102"/>
    </row>
    <row r="57" spans="1:14" ht="6" customHeight="1" thickTop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4" ht="14.25" customHeight="1" thickBot="1">
      <c r="A58" s="3"/>
      <c r="B58" s="146" t="s">
        <v>0</v>
      </c>
      <c r="C58" s="116"/>
      <c r="D58" s="116"/>
      <c r="E58" s="3"/>
      <c r="F58" s="3"/>
      <c r="G58" s="3"/>
      <c r="H58" s="3"/>
      <c r="I58" s="3"/>
      <c r="J58" s="3"/>
    </row>
    <row r="59" spans="1:14" ht="14.25" customHeight="1" thickTop="1">
      <c r="A59" s="4"/>
      <c r="B59" s="116"/>
      <c r="C59" s="116"/>
      <c r="D59" s="116"/>
      <c r="E59" s="4"/>
      <c r="F59" s="4"/>
      <c r="G59" s="4"/>
      <c r="H59" s="4"/>
      <c r="I59" s="4"/>
      <c r="J59" s="4"/>
    </row>
    <row r="60" spans="1:14" ht="14.25" customHeight="1">
      <c r="A60" s="147" t="s">
        <v>1</v>
      </c>
      <c r="B60" s="147" t="s">
        <v>54</v>
      </c>
      <c r="C60" s="147" t="s">
        <v>3</v>
      </c>
      <c r="D60" s="148">
        <v>508</v>
      </c>
      <c r="E60" s="147" t="s">
        <v>4</v>
      </c>
      <c r="F60" s="149" t="s">
        <v>55</v>
      </c>
      <c r="G60" s="116"/>
      <c r="H60" s="116"/>
      <c r="I60" s="5" t="s">
        <v>6</v>
      </c>
      <c r="J60" s="5" t="s">
        <v>7</v>
      </c>
    </row>
    <row r="61" spans="1:14" ht="14.25" customHeight="1">
      <c r="A61" s="116"/>
      <c r="B61" s="116"/>
      <c r="C61" s="116"/>
      <c r="D61" s="116"/>
      <c r="E61" s="116"/>
      <c r="F61" s="116"/>
      <c r="G61" s="116"/>
      <c r="H61" s="116"/>
      <c r="I61" s="150"/>
      <c r="J61" s="150"/>
    </row>
    <row r="62" spans="1:14" ht="17.45" customHeight="1">
      <c r="A62" s="138" t="s">
        <v>8</v>
      </c>
      <c r="B62" s="138" t="s">
        <v>56</v>
      </c>
      <c r="E62" s="138" t="s">
        <v>10</v>
      </c>
      <c r="F62" s="139" t="s">
        <v>11</v>
      </c>
      <c r="G62" s="116"/>
      <c r="H62" s="116"/>
      <c r="I62" s="151"/>
      <c r="J62" s="151"/>
    </row>
    <row r="63" spans="1:14" ht="17.45" customHeight="1">
      <c r="A63" s="116"/>
      <c r="B63" s="116"/>
      <c r="E63" s="116"/>
      <c r="F63" s="116"/>
      <c r="G63" s="116"/>
      <c r="H63" s="116"/>
      <c r="I63" s="8"/>
      <c r="J63" s="8"/>
    </row>
    <row r="64" spans="1:14" ht="17.45" customHeight="1">
      <c r="A64" s="138" t="s">
        <v>12</v>
      </c>
      <c r="B64" s="138" t="s">
        <v>57</v>
      </c>
      <c r="E64" s="9" t="s">
        <v>14</v>
      </c>
      <c r="F64" s="139" t="s">
        <v>15</v>
      </c>
      <c r="G64" s="116"/>
      <c r="H64" s="7"/>
      <c r="I64" s="8"/>
      <c r="J64" s="8"/>
    </row>
    <row r="65" spans="1:10" ht="17.45" customHeight="1">
      <c r="A65" s="116"/>
      <c r="B65" s="116"/>
      <c r="E65" s="9" t="s">
        <v>16</v>
      </c>
      <c r="F65" s="7" t="s">
        <v>17</v>
      </c>
      <c r="G65" s="7"/>
      <c r="H65" s="7"/>
      <c r="I65" s="10"/>
      <c r="J65" s="10"/>
    </row>
    <row r="66" spans="1:10" ht="17.45" customHeight="1">
      <c r="A66" s="9" t="s">
        <v>18</v>
      </c>
      <c r="B66" s="11">
        <v>46156</v>
      </c>
      <c r="E66" s="9" t="s">
        <v>19</v>
      </c>
      <c r="F66" s="140">
        <v>200</v>
      </c>
      <c r="G66" s="116"/>
      <c r="H66" s="7"/>
    </row>
    <row r="67" spans="1:10" ht="17.45" customHeight="1">
      <c r="A67" s="9" t="s">
        <v>20</v>
      </c>
      <c r="B67" s="11">
        <v>46156</v>
      </c>
      <c r="E67" s="9" t="s">
        <v>21</v>
      </c>
      <c r="F67" s="7">
        <v>6.5</v>
      </c>
      <c r="G67" s="141" t="s">
        <v>22</v>
      </c>
      <c r="H67" s="143">
        <v>1300</v>
      </c>
      <c r="I67" s="144"/>
      <c r="J67" s="145"/>
    </row>
    <row r="68" spans="1:10" ht="17.45" customHeight="1">
      <c r="A68" s="12"/>
      <c r="B68" s="13"/>
      <c r="C68" s="13"/>
      <c r="D68" s="13"/>
      <c r="E68" s="9" t="s">
        <v>23</v>
      </c>
      <c r="F68" s="7" t="s">
        <v>24</v>
      </c>
      <c r="G68" s="142"/>
      <c r="H68" s="142"/>
      <c r="I68" s="124"/>
      <c r="J68" s="132"/>
    </row>
    <row r="69" spans="1:10" ht="13.5" customHeight="1">
      <c r="A69" s="126" t="s">
        <v>58</v>
      </c>
      <c r="B69" s="116"/>
      <c r="C69" s="116"/>
      <c r="D69" s="13"/>
      <c r="F69" s="6"/>
      <c r="G69" s="127" t="s">
        <v>26</v>
      </c>
      <c r="H69" s="129" t="s">
        <v>27</v>
      </c>
      <c r="I69" s="130" t="s">
        <v>28</v>
      </c>
      <c r="J69" s="131"/>
    </row>
    <row r="70" spans="1:10" ht="13.5" customHeight="1">
      <c r="A70" s="116"/>
      <c r="B70" s="116"/>
      <c r="C70" s="116"/>
      <c r="D70" s="13"/>
      <c r="F70" s="6"/>
      <c r="G70" s="128"/>
      <c r="H70" s="128"/>
      <c r="I70" s="124"/>
      <c r="J70" s="132"/>
    </row>
    <row r="71" spans="1:10" ht="13.5" customHeight="1">
      <c r="A71" s="2" t="s">
        <v>29</v>
      </c>
    </row>
    <row r="72" spans="1:10" ht="63" customHeight="1" thickBot="1">
      <c r="A72" s="133"/>
      <c r="B72" s="134"/>
      <c r="C72" s="134"/>
      <c r="D72" s="134"/>
      <c r="E72" s="134"/>
      <c r="F72" s="134"/>
      <c r="G72" s="134"/>
      <c r="H72" s="134"/>
      <c r="I72" s="134"/>
      <c r="J72" s="134"/>
    </row>
    <row r="73" spans="1:10" ht="18.75">
      <c r="A73" s="14" t="s">
        <v>30</v>
      </c>
      <c r="B73" s="15" t="s">
        <v>31</v>
      </c>
      <c r="C73" s="135" t="s">
        <v>32</v>
      </c>
      <c r="D73" s="136"/>
      <c r="E73" s="15" t="s">
        <v>33</v>
      </c>
      <c r="F73" s="135" t="s">
        <v>34</v>
      </c>
      <c r="G73" s="136"/>
      <c r="H73" s="136"/>
      <c r="I73" s="137" t="s">
        <v>35</v>
      </c>
      <c r="J73" s="136"/>
    </row>
    <row r="74" spans="1:10" ht="14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ht="16.5" customHeight="1">
      <c r="A75" s="17">
        <v>1</v>
      </c>
      <c r="B75" s="18" t="s">
        <v>36</v>
      </c>
      <c r="C75" s="115" t="s">
        <v>37</v>
      </c>
      <c r="D75" s="116"/>
      <c r="E75" s="18" t="s">
        <v>38</v>
      </c>
      <c r="F75" s="115" t="s">
        <v>39</v>
      </c>
      <c r="G75" s="116"/>
      <c r="H75" s="116"/>
      <c r="I75" s="125"/>
      <c r="J75" s="116"/>
    </row>
    <row r="76" spans="1:10" ht="16.5" customHeight="1">
      <c r="A76" s="17">
        <v>1</v>
      </c>
      <c r="B76" s="19" t="s">
        <v>36</v>
      </c>
      <c r="C76" s="115" t="s">
        <v>37</v>
      </c>
      <c r="D76" s="116"/>
      <c r="E76" s="18" t="s">
        <v>40</v>
      </c>
      <c r="F76" s="115" t="s">
        <v>41</v>
      </c>
      <c r="G76" s="116"/>
      <c r="H76" s="116"/>
      <c r="I76" s="125"/>
      <c r="J76" s="116"/>
    </row>
    <row r="77" spans="1:10" ht="16.5" customHeight="1">
      <c r="A77" s="17"/>
      <c r="B77" s="19"/>
      <c r="C77" s="115"/>
      <c r="D77" s="116"/>
      <c r="E77" s="18"/>
      <c r="F77" s="115"/>
      <c r="G77" s="116"/>
      <c r="H77" s="116"/>
      <c r="I77" s="125"/>
      <c r="J77" s="116"/>
    </row>
    <row r="78" spans="1:10" ht="16.5" customHeight="1">
      <c r="A78" s="17"/>
      <c r="B78" s="19"/>
      <c r="C78" s="115"/>
      <c r="D78" s="116"/>
      <c r="E78" s="18"/>
      <c r="F78" s="115"/>
      <c r="G78" s="116"/>
      <c r="H78" s="116"/>
      <c r="I78" s="125"/>
      <c r="J78" s="116"/>
    </row>
    <row r="79" spans="1:10" ht="16.5" customHeight="1">
      <c r="A79" s="17"/>
      <c r="B79" s="19"/>
      <c r="C79" s="115"/>
      <c r="D79" s="116"/>
      <c r="E79" s="18"/>
      <c r="F79" s="115"/>
      <c r="G79" s="116"/>
      <c r="H79" s="116"/>
      <c r="I79" s="125"/>
      <c r="J79" s="116"/>
    </row>
    <row r="80" spans="1:10" ht="16.5" customHeight="1">
      <c r="A80" s="17"/>
      <c r="B80" s="19"/>
      <c r="C80" s="115"/>
      <c r="D80" s="116"/>
      <c r="E80" s="18"/>
      <c r="F80" s="115"/>
      <c r="G80" s="116"/>
      <c r="H80" s="116"/>
      <c r="I80" s="125"/>
      <c r="J80" s="116"/>
    </row>
    <row r="81" spans="1:10" ht="16.5" customHeight="1" thickBot="1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spans="1:10" ht="18.75">
      <c r="A82" s="121" t="s">
        <v>42</v>
      </c>
      <c r="B82" s="122"/>
      <c r="C82" s="121" t="s">
        <v>43</v>
      </c>
      <c r="D82" s="122"/>
      <c r="E82" s="122"/>
      <c r="F82" s="21" t="s">
        <v>44</v>
      </c>
      <c r="G82" s="121" t="s">
        <v>45</v>
      </c>
      <c r="H82" s="122"/>
      <c r="I82" s="121" t="s">
        <v>46</v>
      </c>
      <c r="J82" s="122"/>
    </row>
    <row r="83" spans="1:10" ht="14.25" customHeight="1">
      <c r="A83" s="22"/>
      <c r="B83" s="23"/>
      <c r="C83" s="123" t="s">
        <v>47</v>
      </c>
      <c r="D83" s="124"/>
      <c r="E83" s="23"/>
      <c r="F83" s="123" t="s">
        <v>29</v>
      </c>
      <c r="G83" s="124"/>
      <c r="H83" s="124"/>
      <c r="I83" s="124"/>
      <c r="J83" s="124"/>
    </row>
    <row r="84" spans="1:10">
      <c r="A84" s="24"/>
      <c r="C84" s="25"/>
      <c r="D84" s="25"/>
      <c r="E84" s="25"/>
    </row>
    <row r="85" spans="1:10" ht="14.25" customHeight="1">
      <c r="A85" s="115" t="s">
        <v>48</v>
      </c>
      <c r="B85" s="116"/>
      <c r="C85" s="115" t="s">
        <v>49</v>
      </c>
      <c r="D85" s="116"/>
      <c r="E85" s="116"/>
      <c r="F85" s="18" t="s">
        <v>27</v>
      </c>
      <c r="G85" s="117">
        <v>650</v>
      </c>
      <c r="H85" s="116"/>
      <c r="I85" s="117">
        <v>3.25</v>
      </c>
      <c r="J85" s="116"/>
    </row>
    <row r="86" spans="1:10" ht="24.95" customHeight="1">
      <c r="A86" s="118" t="s">
        <v>50</v>
      </c>
      <c r="B86" s="116"/>
      <c r="C86" s="115" t="s">
        <v>11</v>
      </c>
      <c r="D86" s="116"/>
      <c r="E86" s="116"/>
      <c r="F86" s="115"/>
      <c r="G86" s="116"/>
      <c r="H86" s="116"/>
      <c r="I86" s="116"/>
      <c r="J86" s="116"/>
    </row>
    <row r="87" spans="1:10" ht="14.25" customHeight="1">
      <c r="A87" s="115" t="s">
        <v>59</v>
      </c>
      <c r="B87" s="116"/>
      <c r="C87" s="115" t="s">
        <v>60</v>
      </c>
      <c r="D87" s="116"/>
      <c r="E87" s="116"/>
      <c r="F87" s="18" t="s">
        <v>27</v>
      </c>
      <c r="G87" s="117">
        <v>6.5</v>
      </c>
      <c r="H87" s="116"/>
      <c r="I87" s="117">
        <v>3.2500000000000001E-2</v>
      </c>
      <c r="J87" s="116"/>
    </row>
    <row r="88" spans="1:10" ht="24.95" customHeight="1">
      <c r="A88" s="118" t="s">
        <v>61</v>
      </c>
      <c r="B88" s="116"/>
      <c r="C88" s="115"/>
      <c r="D88" s="116"/>
      <c r="E88" s="116"/>
      <c r="F88" s="115"/>
      <c r="G88" s="116"/>
      <c r="H88" s="116"/>
      <c r="I88" s="116"/>
      <c r="J88" s="116"/>
    </row>
    <row r="89" spans="1:10" ht="14.25" customHeight="1">
      <c r="A89" s="115"/>
      <c r="B89" s="116"/>
      <c r="C89" s="115"/>
      <c r="D89" s="116"/>
      <c r="E89" s="116"/>
      <c r="F89" s="18"/>
      <c r="G89" s="117"/>
      <c r="H89" s="116"/>
      <c r="I89" s="117"/>
      <c r="J89" s="116"/>
    </row>
    <row r="90" spans="1:10" ht="24.95" customHeight="1">
      <c r="A90" s="118"/>
      <c r="B90" s="116"/>
      <c r="C90" s="115"/>
      <c r="D90" s="116"/>
      <c r="E90" s="116"/>
      <c r="F90" s="115"/>
      <c r="G90" s="116"/>
      <c r="H90" s="116"/>
      <c r="I90" s="116"/>
      <c r="J90" s="116"/>
    </row>
    <row r="91" spans="1:10" ht="14.25" customHeight="1">
      <c r="A91" s="115"/>
      <c r="B91" s="116"/>
      <c r="C91" s="115"/>
      <c r="D91" s="116"/>
      <c r="E91" s="116"/>
      <c r="F91" s="18"/>
      <c r="G91" s="117"/>
      <c r="H91" s="116"/>
      <c r="I91" s="117"/>
      <c r="J91" s="116"/>
    </row>
    <row r="92" spans="1:10" ht="24.95" customHeight="1">
      <c r="A92" s="118"/>
      <c r="B92" s="116"/>
      <c r="C92" s="115"/>
      <c r="D92" s="116"/>
      <c r="E92" s="116"/>
      <c r="F92" s="115"/>
      <c r="G92" s="116"/>
      <c r="H92" s="116"/>
      <c r="I92" s="116"/>
      <c r="J92" s="116"/>
    </row>
    <row r="93" spans="1:10" ht="14.25" customHeight="1">
      <c r="A93" s="115"/>
      <c r="B93" s="116"/>
      <c r="C93" s="115"/>
      <c r="D93" s="116"/>
      <c r="E93" s="116"/>
      <c r="F93" s="18"/>
      <c r="G93" s="117"/>
      <c r="H93" s="116"/>
      <c r="I93" s="117"/>
      <c r="J93" s="116"/>
    </row>
    <row r="94" spans="1:10" ht="24.95" customHeight="1" thickBot="1">
      <c r="A94" s="118"/>
      <c r="B94" s="116"/>
      <c r="C94" s="115"/>
      <c r="D94" s="116"/>
      <c r="E94" s="116"/>
      <c r="F94" s="115"/>
      <c r="G94" s="116"/>
      <c r="H94" s="116"/>
      <c r="I94" s="116"/>
      <c r="J94" s="116"/>
    </row>
    <row r="95" spans="1:10" s="16" customFormat="1" ht="18" customHeight="1">
      <c r="A95" s="26" t="s">
        <v>82</v>
      </c>
      <c r="B95" s="27" t="s">
        <v>83</v>
      </c>
      <c r="C95" s="119" t="s">
        <v>84</v>
      </c>
      <c r="D95" s="120"/>
      <c r="E95" s="28" t="s">
        <v>85</v>
      </c>
      <c r="F95" s="29" t="s">
        <v>86</v>
      </c>
      <c r="G95" s="30" t="s">
        <v>87</v>
      </c>
      <c r="H95" s="31" t="s">
        <v>88</v>
      </c>
      <c r="I95" s="113" t="s">
        <v>89</v>
      </c>
      <c r="J95" s="114"/>
    </row>
    <row r="96" spans="1:10" s="25" customFormat="1" ht="18" customHeight="1">
      <c r="A96" s="32" t="s">
        <v>119</v>
      </c>
      <c r="B96" s="33">
        <v>508</v>
      </c>
      <c r="C96" s="103" t="s">
        <v>60</v>
      </c>
      <c r="D96" s="104"/>
      <c r="E96" s="105">
        <v>7</v>
      </c>
      <c r="F96" s="34" t="s">
        <v>134</v>
      </c>
      <c r="G96" s="35">
        <v>46153</v>
      </c>
      <c r="H96" s="36">
        <v>7</v>
      </c>
      <c r="I96" s="37" t="s">
        <v>90</v>
      </c>
      <c r="J96" s="38">
        <v>46153</v>
      </c>
    </row>
    <row r="97" spans="1:14" s="16" customFormat="1" ht="18" customHeight="1">
      <c r="A97" s="42" t="s">
        <v>91</v>
      </c>
      <c r="B97" s="43" t="s">
        <v>92</v>
      </c>
      <c r="C97" s="103"/>
      <c r="D97" s="104"/>
      <c r="E97" s="105"/>
      <c r="F97" s="44" t="s">
        <v>135</v>
      </c>
      <c r="G97" s="35"/>
      <c r="H97" s="36"/>
      <c r="I97" s="37" t="s">
        <v>93</v>
      </c>
      <c r="J97" s="39">
        <v>1300</v>
      </c>
      <c r="K97" s="45"/>
    </row>
    <row r="98" spans="1:14" s="25" customFormat="1" ht="18" customHeight="1">
      <c r="A98" s="46">
        <v>0</v>
      </c>
      <c r="B98" s="47">
        <v>507.5</v>
      </c>
      <c r="C98" s="106" t="s">
        <v>94</v>
      </c>
      <c r="D98" s="107" t="s">
        <v>120</v>
      </c>
      <c r="E98" s="107"/>
      <c r="F98" s="108"/>
      <c r="G98" s="35"/>
      <c r="H98" s="36"/>
      <c r="I98" s="37" t="s">
        <v>95</v>
      </c>
      <c r="J98" s="39">
        <v>650</v>
      </c>
      <c r="K98" s="48"/>
    </row>
    <row r="99" spans="1:14" s="16" customFormat="1" ht="18" customHeight="1">
      <c r="A99" s="49" t="s">
        <v>96</v>
      </c>
      <c r="B99" s="50" t="s">
        <v>97</v>
      </c>
      <c r="C99" s="106"/>
      <c r="D99" s="107" t="s">
        <v>121</v>
      </c>
      <c r="E99" s="107"/>
      <c r="F99" s="108"/>
      <c r="G99" s="35"/>
      <c r="H99" s="36"/>
      <c r="I99" s="37" t="s">
        <v>98</v>
      </c>
      <c r="J99" s="39">
        <v>0</v>
      </c>
      <c r="K99" s="45"/>
    </row>
    <row r="100" spans="1:14" s="25" customFormat="1" ht="18" customHeight="1" thickBot="1">
      <c r="A100" s="51">
        <v>-1</v>
      </c>
      <c r="B100" s="52">
        <v>2</v>
      </c>
      <c r="C100" s="53" t="s">
        <v>99</v>
      </c>
      <c r="D100" s="109"/>
      <c r="E100" s="109"/>
      <c r="F100" s="110"/>
      <c r="G100" s="54"/>
      <c r="H100" s="55"/>
      <c r="I100" s="37" t="s">
        <v>100</v>
      </c>
      <c r="J100" s="40">
        <v>0</v>
      </c>
      <c r="K100" s="48"/>
    </row>
    <row r="101" spans="1:14" s="16" customFormat="1" ht="18" customHeight="1" thickBot="1">
      <c r="A101" s="56" t="s">
        <v>101</v>
      </c>
      <c r="B101" s="57" t="str" cm="1">
        <f t="array" ref="B101">IF(SUM(--(ISTEXT(B102:B112)*(B102:B112&lt;&gt;"")))=0,"計測Lot","計測Lot・加工数")</f>
        <v>計測Lot・加工数</v>
      </c>
      <c r="C101" s="58" t="s">
        <v>102</v>
      </c>
      <c r="D101" s="59" t="s">
        <v>103</v>
      </c>
      <c r="E101" s="60" t="s">
        <v>104</v>
      </c>
      <c r="F101" s="61" t="str" cm="1">
        <f t="array" ref="F101">IF(SUM(--(ISTEXT(B102:B112)*(B102:B112&lt;&gt;"")))=0,"記入不要","使用Lot")</f>
        <v>使用Lot</v>
      </c>
      <c r="G101" s="62" t="s">
        <v>105</v>
      </c>
      <c r="H101" s="63" t="s">
        <v>106</v>
      </c>
      <c r="I101" s="64" t="s">
        <v>107</v>
      </c>
      <c r="J101" s="41">
        <v>0</v>
      </c>
      <c r="K101" s="45"/>
    </row>
    <row r="102" spans="1:14" s="25" customFormat="1" ht="18" customHeight="1">
      <c r="A102" s="65"/>
      <c r="B102" s="69"/>
      <c r="C102" s="72"/>
      <c r="D102" s="73"/>
      <c r="E102" s="74"/>
      <c r="F102" s="75">
        <v>0</v>
      </c>
      <c r="G102" s="76">
        <v>0</v>
      </c>
      <c r="H102" s="77"/>
      <c r="I102" s="111" t="s">
        <v>108</v>
      </c>
      <c r="J102" s="112"/>
      <c r="K102" s="78"/>
    </row>
    <row r="103" spans="1:14" s="16" customFormat="1" ht="18" customHeight="1">
      <c r="A103" s="66">
        <v>46150</v>
      </c>
      <c r="B103" s="70" t="s">
        <v>143</v>
      </c>
      <c r="C103" s="79"/>
      <c r="D103" s="80">
        <v>507.5</v>
      </c>
      <c r="E103" s="81">
        <v>507.45</v>
      </c>
      <c r="F103" s="82" t="s">
        <v>143</v>
      </c>
      <c r="G103" s="79">
        <v>100</v>
      </c>
      <c r="H103" s="83">
        <v>50</v>
      </c>
      <c r="I103" s="84" t="s">
        <v>109</v>
      </c>
      <c r="J103" s="83"/>
      <c r="K103" s="78"/>
    </row>
    <row r="104" spans="1:14" s="89" customFormat="1" ht="18.95" customHeight="1">
      <c r="A104" s="67">
        <v>46153</v>
      </c>
      <c r="B104" s="70" t="s">
        <v>144</v>
      </c>
      <c r="C104" s="79"/>
      <c r="D104" s="80">
        <v>507.5</v>
      </c>
      <c r="E104" s="81">
        <v>507.4</v>
      </c>
      <c r="F104" s="82" t="s">
        <v>125</v>
      </c>
      <c r="G104" s="79">
        <v>600</v>
      </c>
      <c r="H104" s="83">
        <v>300</v>
      </c>
      <c r="I104" s="84" t="s">
        <v>110</v>
      </c>
      <c r="J104" s="83"/>
      <c r="K104" s="87"/>
      <c r="L104" s="88"/>
      <c r="M104" s="88"/>
      <c r="N104" s="88"/>
    </row>
    <row r="105" spans="1:14" s="92" customFormat="1" ht="18.95" customHeight="1">
      <c r="A105" s="67">
        <v>46153</v>
      </c>
      <c r="B105" s="70" t="s">
        <v>145</v>
      </c>
      <c r="C105" s="79"/>
      <c r="D105" s="80">
        <v>507.5</v>
      </c>
      <c r="E105" s="81">
        <v>507.38</v>
      </c>
      <c r="F105" s="82" t="s">
        <v>124</v>
      </c>
      <c r="G105" s="79">
        <v>600</v>
      </c>
      <c r="H105" s="83">
        <v>300</v>
      </c>
      <c r="I105" s="84" t="s">
        <v>111</v>
      </c>
      <c r="J105" s="83"/>
      <c r="K105" s="90"/>
      <c r="L105" s="91"/>
      <c r="M105" s="91"/>
      <c r="N105" s="91"/>
    </row>
    <row r="106" spans="1:14" s="92" customFormat="1" ht="18.95" customHeight="1">
      <c r="A106" s="67">
        <v>46153</v>
      </c>
      <c r="B106" s="70" t="s">
        <v>124</v>
      </c>
      <c r="C106" s="79"/>
      <c r="D106" s="80">
        <v>507.5</v>
      </c>
      <c r="E106" s="81">
        <v>507.48</v>
      </c>
      <c r="F106" s="82"/>
      <c r="G106" s="79">
        <v>0</v>
      </c>
      <c r="H106" s="83"/>
      <c r="I106" s="84" t="s">
        <v>112</v>
      </c>
      <c r="J106" s="83"/>
      <c r="K106" s="90"/>
      <c r="L106" s="91"/>
      <c r="M106" s="91"/>
      <c r="N106" s="91"/>
    </row>
    <row r="107" spans="1:14" s="92" customFormat="1" ht="18.95" customHeight="1">
      <c r="A107" s="67">
        <v>46153</v>
      </c>
      <c r="B107" s="70" t="s">
        <v>124</v>
      </c>
      <c r="C107" s="79"/>
      <c r="D107" s="80">
        <v>507.5</v>
      </c>
      <c r="E107" s="81">
        <v>507.49</v>
      </c>
      <c r="F107" s="82"/>
      <c r="G107" s="79">
        <v>0</v>
      </c>
      <c r="H107" s="83"/>
      <c r="I107" s="84" t="s">
        <v>113</v>
      </c>
      <c r="J107" s="83"/>
      <c r="K107" s="90"/>
      <c r="L107" s="91"/>
      <c r="M107" s="91"/>
      <c r="N107" s="91"/>
    </row>
    <row r="108" spans="1:14" s="92" customFormat="1" ht="18.95" customHeight="1">
      <c r="A108" s="67">
        <v>46153</v>
      </c>
      <c r="B108" s="70" t="s">
        <v>139</v>
      </c>
      <c r="C108" s="79"/>
      <c r="D108" s="80">
        <v>507.5</v>
      </c>
      <c r="E108" s="81">
        <v>507.5</v>
      </c>
      <c r="F108" s="82"/>
      <c r="G108" s="79">
        <v>0</v>
      </c>
      <c r="H108" s="83"/>
      <c r="I108" s="84" t="s">
        <v>114</v>
      </c>
      <c r="J108" s="83"/>
      <c r="K108" s="90"/>
      <c r="L108" s="91"/>
      <c r="M108" s="91"/>
      <c r="N108" s="91"/>
    </row>
    <row r="109" spans="1:14" s="92" customFormat="1" ht="18.95" customHeight="1">
      <c r="A109" s="67"/>
      <c r="B109" s="70" t="s">
        <v>133</v>
      </c>
      <c r="C109" s="79"/>
      <c r="D109" s="80">
        <v>507.5</v>
      </c>
      <c r="E109" s="81"/>
      <c r="F109" s="82"/>
      <c r="G109" s="79">
        <v>0</v>
      </c>
      <c r="H109" s="83"/>
      <c r="I109" s="93" t="s">
        <v>115</v>
      </c>
      <c r="J109" s="83"/>
      <c r="K109" s="90"/>
      <c r="L109" s="91"/>
      <c r="M109" s="91"/>
      <c r="N109" s="91"/>
    </row>
    <row r="110" spans="1:14" s="92" customFormat="1" ht="18.95" customHeight="1">
      <c r="A110" s="67"/>
      <c r="B110" s="70" t="s">
        <v>133</v>
      </c>
      <c r="C110" s="79"/>
      <c r="D110" s="80">
        <v>507.5</v>
      </c>
      <c r="E110" s="81"/>
      <c r="F110" s="82"/>
      <c r="G110" s="79">
        <v>0</v>
      </c>
      <c r="H110" s="83"/>
      <c r="I110" s="93" t="s">
        <v>116</v>
      </c>
      <c r="J110" s="83"/>
      <c r="K110" s="90"/>
      <c r="L110" s="91"/>
      <c r="M110" s="91"/>
      <c r="N110" s="91"/>
    </row>
    <row r="111" spans="1:14" s="92" customFormat="1" ht="18.95" customHeight="1">
      <c r="A111" s="67"/>
      <c r="B111" s="70" t="s">
        <v>133</v>
      </c>
      <c r="C111" s="79"/>
      <c r="D111" s="80"/>
      <c r="E111" s="81"/>
      <c r="F111" s="82"/>
      <c r="G111" s="79">
        <v>0</v>
      </c>
      <c r="H111" s="83"/>
      <c r="I111" s="84" t="s">
        <v>117</v>
      </c>
      <c r="J111" s="85"/>
      <c r="K111" s="90"/>
      <c r="L111" s="91"/>
      <c r="M111" s="91"/>
      <c r="N111" s="91"/>
    </row>
    <row r="112" spans="1:14" s="92" customFormat="1" ht="18.95" customHeight="1" thickBot="1">
      <c r="A112" s="68" t="s">
        <v>132</v>
      </c>
      <c r="B112" s="71" t="s">
        <v>133</v>
      </c>
      <c r="C112" s="94"/>
      <c r="D112" s="95"/>
      <c r="E112" s="96"/>
      <c r="F112" s="97"/>
      <c r="G112" s="98"/>
      <c r="H112" s="99"/>
      <c r="I112" s="100" t="s">
        <v>118</v>
      </c>
      <c r="J112" s="86">
        <v>0</v>
      </c>
      <c r="K112" s="90"/>
      <c r="L112" s="91"/>
      <c r="M112" s="91"/>
      <c r="N112" s="91"/>
    </row>
    <row r="113" spans="1:10" ht="6" customHeight="1" thickBot="1">
      <c r="A113" s="101"/>
      <c r="B113" s="102"/>
      <c r="C113" s="102"/>
      <c r="D113" s="101"/>
      <c r="E113" s="102"/>
      <c r="F113" s="102"/>
      <c r="G113" s="102"/>
      <c r="H113" s="102"/>
    </row>
    <row r="114" spans="1:10" ht="6" customHeight="1" thickTop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4.25" customHeight="1" thickBot="1">
      <c r="A115" s="3"/>
      <c r="B115" s="146" t="s">
        <v>0</v>
      </c>
      <c r="C115" s="116"/>
      <c r="D115" s="116"/>
      <c r="E115" s="3"/>
      <c r="F115" s="3"/>
      <c r="G115" s="3"/>
      <c r="H115" s="3"/>
      <c r="I115" s="3"/>
      <c r="J115" s="3"/>
    </row>
    <row r="116" spans="1:10" ht="14.25" customHeight="1" thickTop="1">
      <c r="A116" s="4"/>
      <c r="B116" s="116"/>
      <c r="C116" s="116"/>
      <c r="D116" s="116"/>
      <c r="E116" s="4"/>
      <c r="F116" s="4"/>
      <c r="G116" s="4"/>
      <c r="H116" s="4"/>
      <c r="I116" s="4"/>
      <c r="J116" s="4"/>
    </row>
    <row r="117" spans="1:10" ht="14.25" customHeight="1">
      <c r="A117" s="147" t="s">
        <v>1</v>
      </c>
      <c r="B117" s="147" t="s">
        <v>62</v>
      </c>
      <c r="C117" s="147" t="s">
        <v>3</v>
      </c>
      <c r="D117" s="148">
        <v>565</v>
      </c>
      <c r="E117" s="147" t="s">
        <v>4</v>
      </c>
      <c r="F117" s="149" t="s">
        <v>63</v>
      </c>
      <c r="G117" s="116"/>
      <c r="H117" s="116"/>
      <c r="I117" s="5" t="s">
        <v>6</v>
      </c>
      <c r="J117" s="5" t="s">
        <v>7</v>
      </c>
    </row>
    <row r="118" spans="1:10" ht="14.25" customHeight="1">
      <c r="A118" s="116"/>
      <c r="B118" s="116"/>
      <c r="C118" s="116"/>
      <c r="D118" s="116"/>
      <c r="E118" s="116"/>
      <c r="F118" s="116"/>
      <c r="G118" s="116"/>
      <c r="H118" s="116"/>
      <c r="I118" s="150"/>
      <c r="J118" s="150"/>
    </row>
    <row r="119" spans="1:10" ht="17.45" customHeight="1">
      <c r="A119" s="138" t="s">
        <v>8</v>
      </c>
      <c r="B119" s="138" t="s">
        <v>64</v>
      </c>
      <c r="E119" s="138" t="s">
        <v>10</v>
      </c>
      <c r="F119" s="139" t="s">
        <v>11</v>
      </c>
      <c r="G119" s="116"/>
      <c r="H119" s="116"/>
      <c r="I119" s="151"/>
      <c r="J119" s="151"/>
    </row>
    <row r="120" spans="1:10" ht="17.45" customHeight="1">
      <c r="A120" s="116"/>
      <c r="B120" s="116"/>
      <c r="E120" s="116"/>
      <c r="F120" s="116"/>
      <c r="G120" s="116"/>
      <c r="H120" s="116"/>
      <c r="I120" s="8"/>
      <c r="J120" s="8"/>
    </row>
    <row r="121" spans="1:10" ht="17.45" customHeight="1">
      <c r="A121" s="138" t="s">
        <v>12</v>
      </c>
      <c r="B121" s="138" t="s">
        <v>65</v>
      </c>
      <c r="E121" s="9" t="s">
        <v>14</v>
      </c>
      <c r="F121" s="139" t="s">
        <v>15</v>
      </c>
      <c r="G121" s="116"/>
      <c r="H121" s="7"/>
      <c r="I121" s="8"/>
      <c r="J121" s="8"/>
    </row>
    <row r="122" spans="1:10" ht="17.45" customHeight="1">
      <c r="A122" s="116"/>
      <c r="B122" s="116"/>
      <c r="E122" s="9" t="s">
        <v>16</v>
      </c>
      <c r="F122" s="7" t="s">
        <v>17</v>
      </c>
      <c r="G122" s="7"/>
      <c r="H122" s="7"/>
      <c r="I122" s="10"/>
      <c r="J122" s="10"/>
    </row>
    <row r="123" spans="1:10" ht="17.45" customHeight="1">
      <c r="A123" s="9" t="s">
        <v>18</v>
      </c>
      <c r="B123" s="11">
        <v>46156</v>
      </c>
      <c r="E123" s="9" t="s">
        <v>19</v>
      </c>
      <c r="F123" s="140">
        <v>200</v>
      </c>
      <c r="G123" s="116"/>
      <c r="H123" s="7"/>
    </row>
    <row r="124" spans="1:10" ht="17.45" customHeight="1">
      <c r="A124" s="9" t="s">
        <v>20</v>
      </c>
      <c r="B124" s="11">
        <v>46156</v>
      </c>
      <c r="E124" s="9" t="s">
        <v>21</v>
      </c>
      <c r="F124" s="7">
        <v>6.5</v>
      </c>
      <c r="G124" s="141" t="s">
        <v>22</v>
      </c>
      <c r="H124" s="143">
        <v>1300</v>
      </c>
      <c r="I124" s="144"/>
      <c r="J124" s="145"/>
    </row>
    <row r="125" spans="1:10" ht="17.45" customHeight="1">
      <c r="A125" s="12"/>
      <c r="B125" s="13"/>
      <c r="C125" s="13"/>
      <c r="D125" s="13"/>
      <c r="E125" s="9" t="s">
        <v>23</v>
      </c>
      <c r="F125" s="7" t="s">
        <v>24</v>
      </c>
      <c r="G125" s="142"/>
      <c r="H125" s="142"/>
      <c r="I125" s="124"/>
      <c r="J125" s="132"/>
    </row>
    <row r="126" spans="1:10" ht="13.5" customHeight="1">
      <c r="A126" s="126" t="s">
        <v>66</v>
      </c>
      <c r="B126" s="116"/>
      <c r="C126" s="116"/>
      <c r="D126" s="13"/>
      <c r="F126" s="6"/>
      <c r="G126" s="127" t="s">
        <v>26</v>
      </c>
      <c r="H126" s="129" t="s">
        <v>27</v>
      </c>
      <c r="I126" s="130" t="s">
        <v>28</v>
      </c>
      <c r="J126" s="131"/>
    </row>
    <row r="127" spans="1:10" ht="13.5" customHeight="1">
      <c r="A127" s="116"/>
      <c r="B127" s="116"/>
      <c r="C127" s="116"/>
      <c r="D127" s="13"/>
      <c r="F127" s="6"/>
      <c r="G127" s="128"/>
      <c r="H127" s="128"/>
      <c r="I127" s="124"/>
      <c r="J127" s="132"/>
    </row>
    <row r="128" spans="1:10" ht="13.5" customHeight="1">
      <c r="A128" s="2" t="s">
        <v>29</v>
      </c>
    </row>
    <row r="129" spans="1:10" ht="63" customHeight="1" thickBot="1">
      <c r="A129" s="133"/>
      <c r="B129" s="134"/>
      <c r="C129" s="134"/>
      <c r="D129" s="134"/>
      <c r="E129" s="134"/>
      <c r="F129" s="134"/>
      <c r="G129" s="134"/>
      <c r="H129" s="134"/>
      <c r="I129" s="134"/>
      <c r="J129" s="134"/>
    </row>
    <row r="130" spans="1:10" ht="18.75">
      <c r="A130" s="14" t="s">
        <v>30</v>
      </c>
      <c r="B130" s="15" t="s">
        <v>31</v>
      </c>
      <c r="C130" s="135" t="s">
        <v>32</v>
      </c>
      <c r="D130" s="136"/>
      <c r="E130" s="15" t="s">
        <v>33</v>
      </c>
      <c r="F130" s="135" t="s">
        <v>34</v>
      </c>
      <c r="G130" s="136"/>
      <c r="H130" s="136"/>
      <c r="I130" s="137" t="s">
        <v>35</v>
      </c>
      <c r="J130" s="136"/>
    </row>
    <row r="131" spans="1:10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ht="16.5" customHeight="1">
      <c r="A132" s="17">
        <v>1</v>
      </c>
      <c r="B132" s="18" t="s">
        <v>36</v>
      </c>
      <c r="C132" s="115" t="s">
        <v>37</v>
      </c>
      <c r="D132" s="116"/>
      <c r="E132" s="18" t="s">
        <v>38</v>
      </c>
      <c r="F132" s="115" t="s">
        <v>39</v>
      </c>
      <c r="G132" s="116"/>
      <c r="H132" s="116"/>
      <c r="I132" s="125"/>
      <c r="J132" s="116"/>
    </row>
    <row r="133" spans="1:10" ht="16.5" customHeight="1">
      <c r="A133" s="17">
        <v>1</v>
      </c>
      <c r="B133" s="19" t="s">
        <v>36</v>
      </c>
      <c r="C133" s="115" t="s">
        <v>37</v>
      </c>
      <c r="D133" s="116"/>
      <c r="E133" s="18" t="s">
        <v>40</v>
      </c>
      <c r="F133" s="115" t="s">
        <v>41</v>
      </c>
      <c r="G133" s="116"/>
      <c r="H133" s="116"/>
      <c r="I133" s="125"/>
      <c r="J133" s="116"/>
    </row>
    <row r="134" spans="1:10" ht="16.5" customHeight="1">
      <c r="A134" s="17"/>
      <c r="B134" s="19"/>
      <c r="C134" s="115"/>
      <c r="D134" s="116"/>
      <c r="E134" s="18"/>
      <c r="F134" s="115"/>
      <c r="G134" s="116"/>
      <c r="H134" s="116"/>
      <c r="I134" s="125"/>
      <c r="J134" s="116"/>
    </row>
    <row r="135" spans="1:10" ht="16.5" customHeight="1">
      <c r="A135" s="17"/>
      <c r="B135" s="19"/>
      <c r="C135" s="115"/>
      <c r="D135" s="116"/>
      <c r="E135" s="18"/>
      <c r="F135" s="115"/>
      <c r="G135" s="116"/>
      <c r="H135" s="116"/>
      <c r="I135" s="125"/>
      <c r="J135" s="116"/>
    </row>
    <row r="136" spans="1:10" ht="16.5" customHeight="1">
      <c r="A136" s="17"/>
      <c r="B136" s="19"/>
      <c r="C136" s="115"/>
      <c r="D136" s="116"/>
      <c r="E136" s="18"/>
      <c r="F136" s="115"/>
      <c r="G136" s="116"/>
      <c r="H136" s="116"/>
      <c r="I136" s="125"/>
      <c r="J136" s="116"/>
    </row>
    <row r="137" spans="1:10" ht="16.5" customHeight="1">
      <c r="A137" s="17"/>
      <c r="B137" s="19"/>
      <c r="C137" s="115"/>
      <c r="D137" s="116"/>
      <c r="E137" s="18"/>
      <c r="F137" s="115"/>
      <c r="G137" s="116"/>
      <c r="H137" s="116"/>
      <c r="I137" s="125"/>
      <c r="J137" s="116"/>
    </row>
    <row r="138" spans="1:10" ht="16.5" customHeight="1" thickBo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</row>
    <row r="139" spans="1:10" ht="18.75">
      <c r="A139" s="121" t="s">
        <v>42</v>
      </c>
      <c r="B139" s="122"/>
      <c r="C139" s="121" t="s">
        <v>43</v>
      </c>
      <c r="D139" s="122"/>
      <c r="E139" s="122"/>
      <c r="F139" s="21" t="s">
        <v>44</v>
      </c>
      <c r="G139" s="121" t="s">
        <v>45</v>
      </c>
      <c r="H139" s="122"/>
      <c r="I139" s="121" t="s">
        <v>46</v>
      </c>
      <c r="J139" s="122"/>
    </row>
    <row r="140" spans="1:10" ht="14.25" customHeight="1">
      <c r="A140" s="22"/>
      <c r="B140" s="23"/>
      <c r="C140" s="123" t="s">
        <v>47</v>
      </c>
      <c r="D140" s="124"/>
      <c r="E140" s="23"/>
      <c r="F140" s="123" t="s">
        <v>29</v>
      </c>
      <c r="G140" s="124"/>
      <c r="H140" s="124"/>
      <c r="I140" s="124"/>
      <c r="J140" s="124"/>
    </row>
    <row r="141" spans="1:10">
      <c r="A141" s="24"/>
      <c r="C141" s="25"/>
      <c r="D141" s="25"/>
      <c r="E141" s="25"/>
    </row>
    <row r="142" spans="1:10" ht="14.25" customHeight="1">
      <c r="A142" s="115" t="s">
        <v>48</v>
      </c>
      <c r="B142" s="116"/>
      <c r="C142" s="115" t="s">
        <v>49</v>
      </c>
      <c r="D142" s="116"/>
      <c r="E142" s="116"/>
      <c r="F142" s="18" t="s">
        <v>27</v>
      </c>
      <c r="G142" s="117">
        <v>650</v>
      </c>
      <c r="H142" s="116"/>
      <c r="I142" s="117">
        <v>3.25</v>
      </c>
      <c r="J142" s="116"/>
    </row>
    <row r="143" spans="1:10" ht="24.95" customHeight="1">
      <c r="A143" s="118" t="s">
        <v>50</v>
      </c>
      <c r="B143" s="116"/>
      <c r="C143" s="115" t="s">
        <v>11</v>
      </c>
      <c r="D143" s="116"/>
      <c r="E143" s="116"/>
      <c r="F143" s="115"/>
      <c r="G143" s="116"/>
      <c r="H143" s="116"/>
      <c r="I143" s="116"/>
      <c r="J143" s="116"/>
    </row>
    <row r="144" spans="1:10" ht="14.25" customHeight="1">
      <c r="A144" s="115" t="s">
        <v>59</v>
      </c>
      <c r="B144" s="116"/>
      <c r="C144" s="115" t="s">
        <v>60</v>
      </c>
      <c r="D144" s="116"/>
      <c r="E144" s="116"/>
      <c r="F144" s="18" t="s">
        <v>27</v>
      </c>
      <c r="G144" s="117">
        <v>6.5</v>
      </c>
      <c r="H144" s="116"/>
      <c r="I144" s="117">
        <v>3.2500000000000001E-2</v>
      </c>
      <c r="J144" s="116"/>
    </row>
    <row r="145" spans="1:11" ht="24.95" customHeight="1">
      <c r="A145" s="118" t="s">
        <v>61</v>
      </c>
      <c r="B145" s="116"/>
      <c r="C145" s="115"/>
      <c r="D145" s="116"/>
      <c r="E145" s="116"/>
      <c r="F145" s="115"/>
      <c r="G145" s="116"/>
      <c r="H145" s="116"/>
      <c r="I145" s="116"/>
      <c r="J145" s="116"/>
    </row>
    <row r="146" spans="1:11" ht="14.25" customHeight="1">
      <c r="A146" s="115"/>
      <c r="B146" s="116"/>
      <c r="C146" s="115"/>
      <c r="D146" s="116"/>
      <c r="E146" s="116"/>
      <c r="F146" s="18"/>
      <c r="G146" s="117"/>
      <c r="H146" s="116"/>
      <c r="I146" s="117"/>
      <c r="J146" s="116"/>
    </row>
    <row r="147" spans="1:11" ht="24.95" customHeight="1">
      <c r="A147" s="118"/>
      <c r="B147" s="116"/>
      <c r="C147" s="115"/>
      <c r="D147" s="116"/>
      <c r="E147" s="116"/>
      <c r="F147" s="115"/>
      <c r="G147" s="116"/>
      <c r="H147" s="116"/>
      <c r="I147" s="116"/>
      <c r="J147" s="116"/>
    </row>
    <row r="148" spans="1:11" ht="14.25" customHeight="1">
      <c r="A148" s="115"/>
      <c r="B148" s="116"/>
      <c r="C148" s="115"/>
      <c r="D148" s="116"/>
      <c r="E148" s="116"/>
      <c r="F148" s="18"/>
      <c r="G148" s="117"/>
      <c r="H148" s="116"/>
      <c r="I148" s="117"/>
      <c r="J148" s="116"/>
    </row>
    <row r="149" spans="1:11" ht="24.95" customHeight="1">
      <c r="A149" s="118"/>
      <c r="B149" s="116"/>
      <c r="C149" s="115"/>
      <c r="D149" s="116"/>
      <c r="E149" s="116"/>
      <c r="F149" s="115"/>
      <c r="G149" s="116"/>
      <c r="H149" s="116"/>
      <c r="I149" s="116"/>
      <c r="J149" s="116"/>
    </row>
    <row r="150" spans="1:11" ht="14.25" customHeight="1">
      <c r="A150" s="115"/>
      <c r="B150" s="116"/>
      <c r="C150" s="115"/>
      <c r="D150" s="116"/>
      <c r="E150" s="116"/>
      <c r="F150" s="18"/>
      <c r="G150" s="117"/>
      <c r="H150" s="116"/>
      <c r="I150" s="117"/>
      <c r="J150" s="116"/>
    </row>
    <row r="151" spans="1:11" ht="24.95" customHeight="1" thickBot="1">
      <c r="A151" s="118"/>
      <c r="B151" s="116"/>
      <c r="C151" s="115"/>
      <c r="D151" s="116"/>
      <c r="E151" s="116"/>
      <c r="F151" s="115"/>
      <c r="G151" s="116"/>
      <c r="H151" s="116"/>
      <c r="I151" s="116"/>
      <c r="J151" s="116"/>
    </row>
    <row r="152" spans="1:11" s="16" customFormat="1" ht="18" customHeight="1">
      <c r="A152" s="26" t="s">
        <v>82</v>
      </c>
      <c r="B152" s="27" t="s">
        <v>83</v>
      </c>
      <c r="C152" s="119" t="s">
        <v>84</v>
      </c>
      <c r="D152" s="120"/>
      <c r="E152" s="28" t="s">
        <v>85</v>
      </c>
      <c r="F152" s="29" t="s">
        <v>86</v>
      </c>
      <c r="G152" s="30" t="s">
        <v>87</v>
      </c>
      <c r="H152" s="31" t="s">
        <v>88</v>
      </c>
      <c r="I152" s="113" t="s">
        <v>89</v>
      </c>
      <c r="J152" s="114"/>
    </row>
    <row r="153" spans="1:11" s="25" customFormat="1" ht="18" customHeight="1">
      <c r="A153" s="32" t="s">
        <v>119</v>
      </c>
      <c r="B153" s="33">
        <v>565</v>
      </c>
      <c r="C153" s="103" t="s">
        <v>60</v>
      </c>
      <c r="D153" s="104"/>
      <c r="E153" s="105">
        <v>7</v>
      </c>
      <c r="F153" s="34" t="s">
        <v>134</v>
      </c>
      <c r="G153" s="35">
        <v>46150</v>
      </c>
      <c r="H153" s="36">
        <v>7</v>
      </c>
      <c r="I153" s="37" t="s">
        <v>90</v>
      </c>
      <c r="J153" s="38">
        <v>46150</v>
      </c>
    </row>
    <row r="154" spans="1:11" s="16" customFormat="1" ht="18" customHeight="1">
      <c r="A154" s="42" t="s">
        <v>91</v>
      </c>
      <c r="B154" s="43" t="s">
        <v>92</v>
      </c>
      <c r="C154" s="103"/>
      <c r="D154" s="104"/>
      <c r="E154" s="105"/>
      <c r="F154" s="44" t="s">
        <v>135</v>
      </c>
      <c r="G154" s="35"/>
      <c r="H154" s="36"/>
      <c r="I154" s="37" t="s">
        <v>93</v>
      </c>
      <c r="J154" s="39">
        <v>1300</v>
      </c>
      <c r="K154" s="45"/>
    </row>
    <row r="155" spans="1:11" s="25" customFormat="1" ht="18" customHeight="1">
      <c r="A155" s="46">
        <v>0</v>
      </c>
      <c r="B155" s="47">
        <v>564.5</v>
      </c>
      <c r="C155" s="106" t="s">
        <v>94</v>
      </c>
      <c r="D155" s="107" t="s">
        <v>120</v>
      </c>
      <c r="E155" s="107"/>
      <c r="F155" s="108"/>
      <c r="G155" s="35"/>
      <c r="H155" s="36"/>
      <c r="I155" s="37" t="s">
        <v>95</v>
      </c>
      <c r="J155" s="39">
        <v>650</v>
      </c>
      <c r="K155" s="48"/>
    </row>
    <row r="156" spans="1:11" s="16" customFormat="1" ht="18" customHeight="1">
      <c r="A156" s="49" t="s">
        <v>96</v>
      </c>
      <c r="B156" s="50" t="s">
        <v>97</v>
      </c>
      <c r="C156" s="106"/>
      <c r="D156" s="107" t="s">
        <v>121</v>
      </c>
      <c r="E156" s="107"/>
      <c r="F156" s="108"/>
      <c r="G156" s="35"/>
      <c r="H156" s="36"/>
      <c r="I156" s="37" t="s">
        <v>98</v>
      </c>
      <c r="J156" s="39">
        <v>0</v>
      </c>
      <c r="K156" s="45"/>
    </row>
    <row r="157" spans="1:11" s="25" customFormat="1" ht="18" customHeight="1" thickBot="1">
      <c r="A157" s="51">
        <v>-1</v>
      </c>
      <c r="B157" s="52">
        <v>2</v>
      </c>
      <c r="C157" s="53" t="s">
        <v>99</v>
      </c>
      <c r="D157" s="109"/>
      <c r="E157" s="109"/>
      <c r="F157" s="110"/>
      <c r="G157" s="54"/>
      <c r="H157" s="55"/>
      <c r="I157" s="37" t="s">
        <v>100</v>
      </c>
      <c r="J157" s="40">
        <v>0</v>
      </c>
      <c r="K157" s="48"/>
    </row>
    <row r="158" spans="1:11" s="16" customFormat="1" ht="18" customHeight="1" thickBot="1">
      <c r="A158" s="56" t="s">
        <v>101</v>
      </c>
      <c r="B158" s="57" t="str" cm="1">
        <f t="array" ref="B158">IF(SUM(--(ISTEXT(B159:B169)*(B159:B169&lt;&gt;"")))=0,"計測Lot","計測Lot・加工数")</f>
        <v>計測Lot・加工数</v>
      </c>
      <c r="C158" s="58" t="s">
        <v>102</v>
      </c>
      <c r="D158" s="59" t="s">
        <v>103</v>
      </c>
      <c r="E158" s="60" t="s">
        <v>104</v>
      </c>
      <c r="F158" s="61" t="str" cm="1">
        <f t="array" ref="F158">IF(SUM(--(ISTEXT(B159:B169)*(B159:B169&lt;&gt;"")))=0,"記入不要","使用Lot")</f>
        <v>使用Lot</v>
      </c>
      <c r="G158" s="62" t="s">
        <v>105</v>
      </c>
      <c r="H158" s="63" t="s">
        <v>106</v>
      </c>
      <c r="I158" s="64" t="s">
        <v>107</v>
      </c>
      <c r="J158" s="41">
        <v>0</v>
      </c>
      <c r="K158" s="45"/>
    </row>
    <row r="159" spans="1:11" s="25" customFormat="1" ht="18" customHeight="1">
      <c r="A159" s="65"/>
      <c r="B159" s="69"/>
      <c r="C159" s="72"/>
      <c r="D159" s="73"/>
      <c r="E159" s="74"/>
      <c r="F159" s="75">
        <v>0</v>
      </c>
      <c r="G159" s="76">
        <v>0</v>
      </c>
      <c r="H159" s="77"/>
      <c r="I159" s="111" t="s">
        <v>108</v>
      </c>
      <c r="J159" s="112"/>
      <c r="K159" s="78"/>
    </row>
    <row r="160" spans="1:11" s="16" customFormat="1" ht="18" customHeight="1">
      <c r="A160" s="66">
        <v>46150</v>
      </c>
      <c r="B160" s="70" t="s">
        <v>146</v>
      </c>
      <c r="C160" s="79"/>
      <c r="D160" s="80">
        <v>564.5</v>
      </c>
      <c r="E160" s="81">
        <v>564.65</v>
      </c>
      <c r="F160" s="82" t="s">
        <v>128</v>
      </c>
      <c r="G160" s="79">
        <v>500</v>
      </c>
      <c r="H160" s="83">
        <v>250</v>
      </c>
      <c r="I160" s="84" t="s">
        <v>109</v>
      </c>
      <c r="J160" s="83"/>
      <c r="K160" s="78"/>
    </row>
    <row r="161" spans="1:14" s="89" customFormat="1" ht="18.95" customHeight="1">
      <c r="A161" s="67">
        <v>46150</v>
      </c>
      <c r="B161" s="70" t="s">
        <v>147</v>
      </c>
      <c r="C161" s="79"/>
      <c r="D161" s="80">
        <v>564.5</v>
      </c>
      <c r="E161" s="81">
        <v>564.58000000000004</v>
      </c>
      <c r="F161" s="82" t="s">
        <v>147</v>
      </c>
      <c r="G161" s="79">
        <v>700</v>
      </c>
      <c r="H161" s="83">
        <v>350</v>
      </c>
      <c r="I161" s="84" t="s">
        <v>110</v>
      </c>
      <c r="J161" s="83"/>
      <c r="K161" s="87"/>
      <c r="L161" s="88"/>
      <c r="M161" s="88"/>
      <c r="N161" s="88"/>
    </row>
    <row r="162" spans="1:14" s="92" customFormat="1" ht="18.95" customHeight="1">
      <c r="A162" s="67">
        <v>46150</v>
      </c>
      <c r="B162" s="70" t="s">
        <v>148</v>
      </c>
      <c r="C162" s="79"/>
      <c r="D162" s="80">
        <v>564.5</v>
      </c>
      <c r="E162" s="81">
        <v>564.55999999999995</v>
      </c>
      <c r="F162" s="82" t="s">
        <v>143</v>
      </c>
      <c r="G162" s="79">
        <v>100</v>
      </c>
      <c r="H162" s="83">
        <v>50</v>
      </c>
      <c r="I162" s="84" t="s">
        <v>111</v>
      </c>
      <c r="J162" s="83"/>
      <c r="K162" s="90"/>
      <c r="L162" s="91"/>
      <c r="M162" s="91"/>
      <c r="N162" s="91"/>
    </row>
    <row r="163" spans="1:14" s="92" customFormat="1" ht="18.95" customHeight="1">
      <c r="A163" s="67">
        <v>46150</v>
      </c>
      <c r="B163" s="70" t="s">
        <v>149</v>
      </c>
      <c r="C163" s="79"/>
      <c r="D163" s="80">
        <v>564.5</v>
      </c>
      <c r="E163" s="81">
        <v>564.47</v>
      </c>
      <c r="F163" s="82"/>
      <c r="G163" s="79">
        <v>0</v>
      </c>
      <c r="H163" s="83"/>
      <c r="I163" s="84" t="s">
        <v>112</v>
      </c>
      <c r="J163" s="83"/>
      <c r="K163" s="90"/>
      <c r="L163" s="91"/>
      <c r="M163" s="91"/>
      <c r="N163" s="91"/>
    </row>
    <row r="164" spans="1:14" s="92" customFormat="1" ht="18.95" customHeight="1">
      <c r="A164" s="67">
        <v>46150</v>
      </c>
      <c r="B164" s="70" t="s">
        <v>150</v>
      </c>
      <c r="C164" s="79"/>
      <c r="D164" s="80">
        <v>564.5</v>
      </c>
      <c r="E164" s="81">
        <v>564.52</v>
      </c>
      <c r="F164" s="82"/>
      <c r="G164" s="79">
        <v>0</v>
      </c>
      <c r="H164" s="83"/>
      <c r="I164" s="84" t="s">
        <v>113</v>
      </c>
      <c r="J164" s="83"/>
      <c r="K164" s="90"/>
      <c r="L164" s="91"/>
      <c r="M164" s="91"/>
      <c r="N164" s="91"/>
    </row>
    <row r="165" spans="1:14" s="92" customFormat="1" ht="18.95" customHeight="1">
      <c r="A165" s="67">
        <v>46150</v>
      </c>
      <c r="B165" s="70" t="s">
        <v>144</v>
      </c>
      <c r="C165" s="79"/>
      <c r="D165" s="80">
        <v>564.5</v>
      </c>
      <c r="E165" s="81">
        <v>564.57000000000005</v>
      </c>
      <c r="F165" s="82"/>
      <c r="G165" s="79">
        <v>0</v>
      </c>
      <c r="H165" s="83"/>
      <c r="I165" s="84" t="s">
        <v>114</v>
      </c>
      <c r="J165" s="83"/>
      <c r="K165" s="90"/>
      <c r="L165" s="91"/>
      <c r="M165" s="91"/>
      <c r="N165" s="91"/>
    </row>
    <row r="166" spans="1:14" s="92" customFormat="1" ht="18.95" customHeight="1">
      <c r="A166" s="67">
        <v>46150</v>
      </c>
      <c r="B166" s="70" t="s">
        <v>143</v>
      </c>
      <c r="C166" s="79"/>
      <c r="D166" s="80">
        <v>564.5</v>
      </c>
      <c r="E166" s="81">
        <v>564.51</v>
      </c>
      <c r="F166" s="82"/>
      <c r="G166" s="79">
        <v>0</v>
      </c>
      <c r="H166" s="83"/>
      <c r="I166" s="93" t="s">
        <v>115</v>
      </c>
      <c r="J166" s="83"/>
      <c r="K166" s="90"/>
      <c r="L166" s="91"/>
      <c r="M166" s="91"/>
      <c r="N166" s="91"/>
    </row>
    <row r="167" spans="1:14" s="92" customFormat="1" ht="18.95" customHeight="1">
      <c r="A167" s="67"/>
      <c r="B167" s="70" t="s">
        <v>133</v>
      </c>
      <c r="C167" s="79"/>
      <c r="D167" s="80">
        <v>564.5</v>
      </c>
      <c r="E167" s="81"/>
      <c r="F167" s="82"/>
      <c r="G167" s="79">
        <v>0</v>
      </c>
      <c r="H167" s="83"/>
      <c r="I167" s="93" t="s">
        <v>116</v>
      </c>
      <c r="J167" s="83"/>
      <c r="K167" s="90"/>
      <c r="L167" s="91"/>
      <c r="M167" s="91"/>
      <c r="N167" s="91"/>
    </row>
    <row r="168" spans="1:14" s="92" customFormat="1" ht="18.95" customHeight="1">
      <c r="A168" s="67"/>
      <c r="B168" s="70" t="s">
        <v>133</v>
      </c>
      <c r="C168" s="79"/>
      <c r="D168" s="80"/>
      <c r="E168" s="81"/>
      <c r="F168" s="82"/>
      <c r="G168" s="79">
        <v>0</v>
      </c>
      <c r="H168" s="83"/>
      <c r="I168" s="84" t="s">
        <v>117</v>
      </c>
      <c r="J168" s="85"/>
      <c r="K168" s="90"/>
      <c r="L168" s="91"/>
      <c r="M168" s="91"/>
      <c r="N168" s="91"/>
    </row>
    <row r="169" spans="1:14" s="92" customFormat="1" ht="18.95" customHeight="1" thickBot="1">
      <c r="A169" s="68" t="s">
        <v>132</v>
      </c>
      <c r="B169" s="71" t="s">
        <v>133</v>
      </c>
      <c r="C169" s="94"/>
      <c r="D169" s="95"/>
      <c r="E169" s="96"/>
      <c r="F169" s="97"/>
      <c r="G169" s="98"/>
      <c r="H169" s="99"/>
      <c r="I169" s="100" t="s">
        <v>118</v>
      </c>
      <c r="J169" s="86">
        <v>0</v>
      </c>
      <c r="K169" s="90"/>
      <c r="L169" s="91"/>
      <c r="M169" s="91"/>
      <c r="N169" s="91"/>
    </row>
    <row r="170" spans="1:14" ht="6" customHeight="1" thickBot="1">
      <c r="A170" s="101"/>
      <c r="B170" s="102"/>
      <c r="C170" s="102"/>
      <c r="D170" s="101"/>
      <c r="E170" s="102"/>
      <c r="F170" s="102"/>
      <c r="G170" s="102"/>
      <c r="H170" s="102"/>
    </row>
    <row r="171" spans="1:14" ht="6" customHeight="1" thickTop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4" ht="14.25" customHeight="1" thickBot="1">
      <c r="A172" s="3"/>
      <c r="B172" s="146" t="s">
        <v>0</v>
      </c>
      <c r="C172" s="116"/>
      <c r="D172" s="116"/>
      <c r="E172" s="3"/>
      <c r="F172" s="3"/>
      <c r="G172" s="3"/>
      <c r="H172" s="3"/>
      <c r="I172" s="3"/>
      <c r="J172" s="3"/>
    </row>
    <row r="173" spans="1:14" ht="14.25" customHeight="1" thickTop="1">
      <c r="A173" s="4"/>
      <c r="B173" s="116"/>
      <c r="C173" s="116"/>
      <c r="D173" s="116"/>
      <c r="E173" s="4"/>
      <c r="F173" s="4"/>
      <c r="G173" s="4"/>
      <c r="H173" s="4"/>
      <c r="I173" s="4"/>
      <c r="J173" s="4"/>
    </row>
    <row r="174" spans="1:14" ht="14.25" customHeight="1">
      <c r="A174" s="147" t="s">
        <v>1</v>
      </c>
      <c r="B174" s="147" t="s">
        <v>67</v>
      </c>
      <c r="C174" s="147" t="s">
        <v>3</v>
      </c>
      <c r="D174" s="148">
        <v>652</v>
      </c>
      <c r="E174" s="147" t="s">
        <v>4</v>
      </c>
      <c r="F174" s="149" t="s">
        <v>68</v>
      </c>
      <c r="G174" s="116"/>
      <c r="H174" s="116"/>
      <c r="I174" s="5" t="s">
        <v>6</v>
      </c>
      <c r="J174" s="5" t="s">
        <v>7</v>
      </c>
    </row>
    <row r="175" spans="1:14" ht="14.25" customHeight="1">
      <c r="A175" s="116"/>
      <c r="B175" s="116"/>
      <c r="C175" s="116"/>
      <c r="D175" s="116"/>
      <c r="E175" s="116"/>
      <c r="F175" s="116"/>
      <c r="G175" s="116"/>
      <c r="H175" s="116"/>
      <c r="I175" s="150"/>
      <c r="J175" s="150"/>
    </row>
    <row r="176" spans="1:14" ht="17.45" customHeight="1">
      <c r="A176" s="138" t="s">
        <v>8</v>
      </c>
      <c r="B176" s="138" t="s">
        <v>69</v>
      </c>
      <c r="E176" s="138" t="s">
        <v>10</v>
      </c>
      <c r="F176" s="139" t="s">
        <v>11</v>
      </c>
      <c r="G176" s="116"/>
      <c r="H176" s="116"/>
      <c r="I176" s="151"/>
      <c r="J176" s="151"/>
    </row>
    <row r="177" spans="1:10" ht="17.45" customHeight="1">
      <c r="A177" s="116"/>
      <c r="B177" s="116"/>
      <c r="E177" s="116"/>
      <c r="F177" s="116"/>
      <c r="G177" s="116"/>
      <c r="H177" s="116"/>
      <c r="I177" s="8"/>
      <c r="J177" s="8"/>
    </row>
    <row r="178" spans="1:10" ht="17.45" customHeight="1">
      <c r="A178" s="138" t="s">
        <v>12</v>
      </c>
      <c r="B178" s="138" t="s">
        <v>70</v>
      </c>
      <c r="E178" s="9" t="s">
        <v>14</v>
      </c>
      <c r="F178" s="139" t="s">
        <v>15</v>
      </c>
      <c r="G178" s="116"/>
      <c r="H178" s="7"/>
      <c r="I178" s="8"/>
      <c r="J178" s="8"/>
    </row>
    <row r="179" spans="1:10" ht="17.45" customHeight="1">
      <c r="A179" s="116"/>
      <c r="B179" s="116"/>
      <c r="E179" s="9" t="s">
        <v>16</v>
      </c>
      <c r="F179" s="7" t="s">
        <v>17</v>
      </c>
      <c r="G179" s="7"/>
      <c r="H179" s="7"/>
      <c r="I179" s="10"/>
      <c r="J179" s="10"/>
    </row>
    <row r="180" spans="1:10" ht="17.45" customHeight="1">
      <c r="A180" s="9" t="s">
        <v>18</v>
      </c>
      <c r="B180" s="11">
        <v>46157</v>
      </c>
      <c r="E180" s="9" t="s">
        <v>19</v>
      </c>
      <c r="F180" s="140">
        <v>200</v>
      </c>
      <c r="G180" s="116"/>
      <c r="H180" s="7"/>
    </row>
    <row r="181" spans="1:10" ht="17.45" customHeight="1">
      <c r="A181" s="9" t="s">
        <v>20</v>
      </c>
      <c r="B181" s="11">
        <v>46157</v>
      </c>
      <c r="E181" s="9" t="s">
        <v>21</v>
      </c>
      <c r="F181" s="7">
        <v>18</v>
      </c>
      <c r="G181" s="141" t="s">
        <v>22</v>
      </c>
      <c r="H181" s="143">
        <v>3600</v>
      </c>
      <c r="I181" s="144"/>
      <c r="J181" s="145"/>
    </row>
    <row r="182" spans="1:10" ht="17.45" customHeight="1">
      <c r="A182" s="12"/>
      <c r="B182" s="13"/>
      <c r="C182" s="13"/>
      <c r="D182" s="13"/>
      <c r="E182" s="9" t="s">
        <v>23</v>
      </c>
      <c r="F182" s="7" t="s">
        <v>24</v>
      </c>
      <c r="G182" s="142"/>
      <c r="H182" s="142"/>
      <c r="I182" s="124"/>
      <c r="J182" s="132"/>
    </row>
    <row r="183" spans="1:10" ht="13.5" customHeight="1">
      <c r="A183" s="126" t="s">
        <v>71</v>
      </c>
      <c r="B183" s="116"/>
      <c r="C183" s="116"/>
      <c r="D183" s="13"/>
      <c r="F183" s="6"/>
      <c r="G183" s="127" t="s">
        <v>26</v>
      </c>
      <c r="H183" s="129" t="s">
        <v>27</v>
      </c>
      <c r="I183" s="130" t="s">
        <v>28</v>
      </c>
      <c r="J183" s="131"/>
    </row>
    <row r="184" spans="1:10" ht="13.5" customHeight="1">
      <c r="A184" s="116"/>
      <c r="B184" s="116"/>
      <c r="C184" s="116"/>
      <c r="D184" s="13"/>
      <c r="F184" s="6"/>
      <c r="G184" s="128"/>
      <c r="H184" s="128"/>
      <c r="I184" s="124"/>
      <c r="J184" s="132"/>
    </row>
    <row r="185" spans="1:10" ht="13.5" customHeight="1">
      <c r="A185" s="2" t="s">
        <v>29</v>
      </c>
    </row>
    <row r="186" spans="1:10" ht="63" customHeight="1" thickBot="1">
      <c r="A186" s="133"/>
      <c r="B186" s="134"/>
      <c r="C186" s="134"/>
      <c r="D186" s="134"/>
      <c r="E186" s="134"/>
      <c r="F186" s="134"/>
      <c r="G186" s="134"/>
      <c r="H186" s="134"/>
      <c r="I186" s="134"/>
      <c r="J186" s="134"/>
    </row>
    <row r="187" spans="1:10" ht="18.75">
      <c r="A187" s="14" t="s">
        <v>30</v>
      </c>
      <c r="B187" s="15" t="s">
        <v>31</v>
      </c>
      <c r="C187" s="135" t="s">
        <v>32</v>
      </c>
      <c r="D187" s="136"/>
      <c r="E187" s="15" t="s">
        <v>33</v>
      </c>
      <c r="F187" s="135" t="s">
        <v>34</v>
      </c>
      <c r="G187" s="136"/>
      <c r="H187" s="136"/>
      <c r="I187" s="137" t="s">
        <v>35</v>
      </c>
      <c r="J187" s="136"/>
    </row>
    <row r="188" spans="1:10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ht="16.5" customHeight="1">
      <c r="A189" s="17">
        <v>1</v>
      </c>
      <c r="B189" s="18" t="s">
        <v>36</v>
      </c>
      <c r="C189" s="115" t="s">
        <v>37</v>
      </c>
      <c r="D189" s="116"/>
      <c r="E189" s="18" t="s">
        <v>38</v>
      </c>
      <c r="F189" s="115" t="s">
        <v>39</v>
      </c>
      <c r="G189" s="116"/>
      <c r="H189" s="116"/>
      <c r="I189" s="125"/>
      <c r="J189" s="116"/>
    </row>
    <row r="190" spans="1:10" ht="16.5" customHeight="1">
      <c r="A190" s="17">
        <v>1</v>
      </c>
      <c r="B190" s="19" t="s">
        <v>36</v>
      </c>
      <c r="C190" s="115" t="s">
        <v>37</v>
      </c>
      <c r="D190" s="116"/>
      <c r="E190" s="18" t="s">
        <v>40</v>
      </c>
      <c r="F190" s="115" t="s">
        <v>41</v>
      </c>
      <c r="G190" s="116"/>
      <c r="H190" s="116"/>
      <c r="I190" s="125"/>
      <c r="J190" s="116"/>
    </row>
    <row r="191" spans="1:10" ht="16.5" customHeight="1">
      <c r="A191" s="17"/>
      <c r="B191" s="19"/>
      <c r="C191" s="115"/>
      <c r="D191" s="116"/>
      <c r="E191" s="18"/>
      <c r="F191" s="115"/>
      <c r="G191" s="116"/>
      <c r="H191" s="116"/>
      <c r="I191" s="125"/>
      <c r="J191" s="116"/>
    </row>
    <row r="192" spans="1:10" ht="16.5" customHeight="1">
      <c r="A192" s="17"/>
      <c r="B192" s="19"/>
      <c r="C192" s="115"/>
      <c r="D192" s="116"/>
      <c r="E192" s="18"/>
      <c r="F192" s="115"/>
      <c r="G192" s="116"/>
      <c r="H192" s="116"/>
      <c r="I192" s="125"/>
      <c r="J192" s="116"/>
    </row>
    <row r="193" spans="1:10" ht="16.5" customHeight="1">
      <c r="A193" s="17"/>
      <c r="B193" s="19"/>
      <c r="C193" s="115"/>
      <c r="D193" s="116"/>
      <c r="E193" s="18"/>
      <c r="F193" s="115"/>
      <c r="G193" s="116"/>
      <c r="H193" s="116"/>
      <c r="I193" s="125"/>
      <c r="J193" s="116"/>
    </row>
    <row r="194" spans="1:10" ht="16.5" customHeight="1">
      <c r="A194" s="17"/>
      <c r="B194" s="19"/>
      <c r="C194" s="115"/>
      <c r="D194" s="116"/>
      <c r="E194" s="18"/>
      <c r="F194" s="115"/>
      <c r="G194" s="116"/>
      <c r="H194" s="116"/>
      <c r="I194" s="125"/>
      <c r="J194" s="116"/>
    </row>
    <row r="195" spans="1:10" ht="16.5" customHeight="1" thickBo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</row>
    <row r="196" spans="1:10" ht="18.75">
      <c r="A196" s="121" t="s">
        <v>42</v>
      </c>
      <c r="B196" s="122"/>
      <c r="C196" s="121" t="s">
        <v>43</v>
      </c>
      <c r="D196" s="122"/>
      <c r="E196" s="122"/>
      <c r="F196" s="21" t="s">
        <v>44</v>
      </c>
      <c r="G196" s="121" t="s">
        <v>45</v>
      </c>
      <c r="H196" s="122"/>
      <c r="I196" s="121" t="s">
        <v>46</v>
      </c>
      <c r="J196" s="122"/>
    </row>
    <row r="197" spans="1:10" ht="14.25" customHeight="1">
      <c r="A197" s="22"/>
      <c r="B197" s="23"/>
      <c r="C197" s="123" t="s">
        <v>47</v>
      </c>
      <c r="D197" s="124"/>
      <c r="E197" s="23"/>
      <c r="F197" s="123" t="s">
        <v>29</v>
      </c>
      <c r="G197" s="124"/>
      <c r="H197" s="124"/>
      <c r="I197" s="124"/>
      <c r="J197" s="124"/>
    </row>
    <row r="198" spans="1:10">
      <c r="A198" s="24"/>
      <c r="C198" s="25"/>
      <c r="D198" s="25"/>
      <c r="E198" s="25"/>
    </row>
    <row r="199" spans="1:10" ht="14.25" customHeight="1">
      <c r="A199" s="115" t="s">
        <v>48</v>
      </c>
      <c r="B199" s="116"/>
      <c r="C199" s="115" t="s">
        <v>49</v>
      </c>
      <c r="D199" s="116"/>
      <c r="E199" s="116"/>
      <c r="F199" s="18" t="s">
        <v>27</v>
      </c>
      <c r="G199" s="117">
        <v>1800</v>
      </c>
      <c r="H199" s="116"/>
      <c r="I199" s="117">
        <v>9</v>
      </c>
      <c r="J199" s="116"/>
    </row>
    <row r="200" spans="1:10" ht="24.95" customHeight="1">
      <c r="A200" s="118" t="s">
        <v>50</v>
      </c>
      <c r="B200" s="116"/>
      <c r="C200" s="115" t="s">
        <v>11</v>
      </c>
      <c r="D200" s="116"/>
      <c r="E200" s="116"/>
      <c r="F200" s="115"/>
      <c r="G200" s="116"/>
      <c r="H200" s="116"/>
      <c r="I200" s="116"/>
      <c r="J200" s="116"/>
    </row>
    <row r="201" spans="1:10" ht="14.25" customHeight="1">
      <c r="A201" s="115" t="s">
        <v>72</v>
      </c>
      <c r="B201" s="116"/>
      <c r="C201" s="115" t="s">
        <v>73</v>
      </c>
      <c r="D201" s="116"/>
      <c r="E201" s="116"/>
      <c r="F201" s="18" t="s">
        <v>27</v>
      </c>
      <c r="G201" s="117">
        <v>18</v>
      </c>
      <c r="H201" s="116"/>
      <c r="I201" s="117">
        <v>0.09</v>
      </c>
      <c r="J201" s="116"/>
    </row>
    <row r="202" spans="1:10" ht="24.95" customHeight="1">
      <c r="A202" s="118" t="s">
        <v>74</v>
      </c>
      <c r="B202" s="116"/>
      <c r="C202" s="115"/>
      <c r="D202" s="116"/>
      <c r="E202" s="116"/>
      <c r="F202" s="115"/>
      <c r="G202" s="116"/>
      <c r="H202" s="116"/>
      <c r="I202" s="116"/>
      <c r="J202" s="116"/>
    </row>
    <row r="203" spans="1:10" ht="14.25" customHeight="1">
      <c r="A203" s="115"/>
      <c r="B203" s="116"/>
      <c r="C203" s="115"/>
      <c r="D203" s="116"/>
      <c r="E203" s="116"/>
      <c r="F203" s="18"/>
      <c r="G203" s="117"/>
      <c r="H203" s="116"/>
      <c r="I203" s="117"/>
      <c r="J203" s="116"/>
    </row>
    <row r="204" spans="1:10" ht="24.95" customHeight="1">
      <c r="A204" s="118"/>
      <c r="B204" s="116"/>
      <c r="C204" s="115"/>
      <c r="D204" s="116"/>
      <c r="E204" s="116"/>
      <c r="F204" s="115"/>
      <c r="G204" s="116"/>
      <c r="H204" s="116"/>
      <c r="I204" s="116"/>
      <c r="J204" s="116"/>
    </row>
    <row r="205" spans="1:10" ht="14.25" customHeight="1">
      <c r="A205" s="115"/>
      <c r="B205" s="116"/>
      <c r="C205" s="115"/>
      <c r="D205" s="116"/>
      <c r="E205" s="116"/>
      <c r="F205" s="18"/>
      <c r="G205" s="117"/>
      <c r="H205" s="116"/>
      <c r="I205" s="117"/>
      <c r="J205" s="116"/>
    </row>
    <row r="206" spans="1:10" ht="24.95" customHeight="1">
      <c r="A206" s="118"/>
      <c r="B206" s="116"/>
      <c r="C206" s="115"/>
      <c r="D206" s="116"/>
      <c r="E206" s="116"/>
      <c r="F206" s="115"/>
      <c r="G206" s="116"/>
      <c r="H206" s="116"/>
      <c r="I206" s="116"/>
      <c r="J206" s="116"/>
    </row>
    <row r="207" spans="1:10" ht="14.25" customHeight="1">
      <c r="A207" s="115"/>
      <c r="B207" s="116"/>
      <c r="C207" s="115"/>
      <c r="D207" s="116"/>
      <c r="E207" s="116"/>
      <c r="F207" s="18"/>
      <c r="G207" s="117"/>
      <c r="H207" s="116"/>
      <c r="I207" s="117"/>
      <c r="J207" s="116"/>
    </row>
    <row r="208" spans="1:10" ht="24.95" customHeight="1" thickBot="1">
      <c r="A208" s="118"/>
      <c r="B208" s="116"/>
      <c r="C208" s="115"/>
      <c r="D208" s="116"/>
      <c r="E208" s="116"/>
      <c r="F208" s="115"/>
      <c r="G208" s="116"/>
      <c r="H208" s="116"/>
      <c r="I208" s="116"/>
      <c r="J208" s="116"/>
    </row>
    <row r="209" spans="1:14" s="16" customFormat="1" ht="18" customHeight="1">
      <c r="A209" s="26" t="s">
        <v>82</v>
      </c>
      <c r="B209" s="27" t="s">
        <v>83</v>
      </c>
      <c r="C209" s="119" t="s">
        <v>84</v>
      </c>
      <c r="D209" s="120"/>
      <c r="E209" s="28" t="s">
        <v>85</v>
      </c>
      <c r="F209" s="29" t="s">
        <v>86</v>
      </c>
      <c r="G209" s="30" t="s">
        <v>87</v>
      </c>
      <c r="H209" s="31" t="s">
        <v>88</v>
      </c>
      <c r="I209" s="113" t="s">
        <v>89</v>
      </c>
      <c r="J209" s="114"/>
    </row>
    <row r="210" spans="1:14" s="25" customFormat="1" ht="18" customHeight="1">
      <c r="A210" s="32" t="s">
        <v>119</v>
      </c>
      <c r="B210" s="33">
        <v>652</v>
      </c>
      <c r="C210" s="103" t="s">
        <v>73</v>
      </c>
      <c r="D210" s="104"/>
      <c r="E210" s="105">
        <v>18</v>
      </c>
      <c r="F210" s="34" t="s">
        <v>134</v>
      </c>
      <c r="G210" s="35">
        <v>46142</v>
      </c>
      <c r="H210" s="36">
        <v>1</v>
      </c>
      <c r="I210" s="37" t="s">
        <v>90</v>
      </c>
      <c r="J210" s="38">
        <v>46150</v>
      </c>
    </row>
    <row r="211" spans="1:14" s="16" customFormat="1" ht="18" customHeight="1">
      <c r="A211" s="42" t="s">
        <v>91</v>
      </c>
      <c r="B211" s="43" t="s">
        <v>92</v>
      </c>
      <c r="C211" s="103"/>
      <c r="D211" s="104"/>
      <c r="E211" s="105"/>
      <c r="F211" s="44" t="s">
        <v>135</v>
      </c>
      <c r="G211" s="35">
        <v>46143</v>
      </c>
      <c r="H211" s="36">
        <v>11</v>
      </c>
      <c r="I211" s="37" t="s">
        <v>93</v>
      </c>
      <c r="J211" s="39">
        <v>3600</v>
      </c>
      <c r="K211" s="45"/>
    </row>
    <row r="212" spans="1:14" s="25" customFormat="1" ht="18" customHeight="1">
      <c r="A212" s="46">
        <v>0</v>
      </c>
      <c r="B212" s="47">
        <v>651.5</v>
      </c>
      <c r="C212" s="106" t="s">
        <v>94</v>
      </c>
      <c r="D212" s="107" t="s">
        <v>120</v>
      </c>
      <c r="E212" s="107"/>
      <c r="F212" s="108"/>
      <c r="G212" s="35">
        <v>46149</v>
      </c>
      <c r="H212" s="36">
        <v>5</v>
      </c>
      <c r="I212" s="37" t="s">
        <v>95</v>
      </c>
      <c r="J212" s="39">
        <v>1800</v>
      </c>
      <c r="K212" s="48"/>
    </row>
    <row r="213" spans="1:14" s="16" customFormat="1" ht="18" customHeight="1">
      <c r="A213" s="49" t="s">
        <v>96</v>
      </c>
      <c r="B213" s="50" t="s">
        <v>97</v>
      </c>
      <c r="C213" s="106"/>
      <c r="D213" s="107" t="s">
        <v>121</v>
      </c>
      <c r="E213" s="107"/>
      <c r="F213" s="108"/>
      <c r="G213" s="35">
        <v>46150</v>
      </c>
      <c r="H213" s="36">
        <v>1</v>
      </c>
      <c r="I213" s="37" t="s">
        <v>98</v>
      </c>
      <c r="J213" s="39">
        <v>0</v>
      </c>
      <c r="K213" s="45"/>
    </row>
    <row r="214" spans="1:14" s="25" customFormat="1" ht="18" customHeight="1" thickBot="1">
      <c r="A214" s="51">
        <v>-1</v>
      </c>
      <c r="B214" s="52">
        <v>2</v>
      </c>
      <c r="C214" s="53" t="s">
        <v>99</v>
      </c>
      <c r="D214" s="109"/>
      <c r="E214" s="109"/>
      <c r="F214" s="110"/>
      <c r="G214" s="54"/>
      <c r="H214" s="55"/>
      <c r="I214" s="37" t="s">
        <v>100</v>
      </c>
      <c r="J214" s="40">
        <v>0</v>
      </c>
      <c r="K214" s="48"/>
    </row>
    <row r="215" spans="1:14" s="16" customFormat="1" ht="18" customHeight="1" thickBot="1">
      <c r="A215" s="56" t="s">
        <v>101</v>
      </c>
      <c r="B215" s="57" t="str" cm="1">
        <f t="array" ref="B215">IF(SUM(--(ISTEXT(B216:B226)*(B216:B226&lt;&gt;"")))=0,"計測Lot","計測Lot・加工数")</f>
        <v>計測Lot・加工数</v>
      </c>
      <c r="C215" s="58" t="s">
        <v>102</v>
      </c>
      <c r="D215" s="59" t="s">
        <v>103</v>
      </c>
      <c r="E215" s="60" t="s">
        <v>104</v>
      </c>
      <c r="F215" s="61" t="str" cm="1">
        <f t="array" ref="F215">IF(SUM(--(ISTEXT(B216:B226)*(B216:B226&lt;&gt;"")))=0,"記入不要","使用Lot")</f>
        <v>使用Lot</v>
      </c>
      <c r="G215" s="62" t="s">
        <v>105</v>
      </c>
      <c r="H215" s="63" t="s">
        <v>106</v>
      </c>
      <c r="I215" s="64" t="s">
        <v>107</v>
      </c>
      <c r="J215" s="41">
        <v>0</v>
      </c>
      <c r="K215" s="45"/>
    </row>
    <row r="216" spans="1:14" s="25" customFormat="1" ht="18" customHeight="1">
      <c r="A216" s="65"/>
      <c r="B216" s="69"/>
      <c r="C216" s="72"/>
      <c r="D216" s="73"/>
      <c r="E216" s="74"/>
      <c r="F216" s="75">
        <v>0</v>
      </c>
      <c r="G216" s="76">
        <v>0</v>
      </c>
      <c r="H216" s="77"/>
      <c r="I216" s="111" t="s">
        <v>108</v>
      </c>
      <c r="J216" s="112"/>
      <c r="K216" s="78"/>
    </row>
    <row r="217" spans="1:14" s="16" customFormat="1" ht="18" customHeight="1">
      <c r="A217" s="66">
        <v>46142</v>
      </c>
      <c r="B217" s="70" t="s">
        <v>122</v>
      </c>
      <c r="C217" s="79"/>
      <c r="D217" s="80">
        <v>651.5</v>
      </c>
      <c r="E217" s="81">
        <v>651.47</v>
      </c>
      <c r="F217" s="82" t="s">
        <v>122</v>
      </c>
      <c r="G217" s="79">
        <v>600</v>
      </c>
      <c r="H217" s="83">
        <v>300</v>
      </c>
      <c r="I217" s="84" t="s">
        <v>109</v>
      </c>
      <c r="J217" s="83"/>
      <c r="K217" s="78"/>
    </row>
    <row r="218" spans="1:14" s="89" customFormat="1" ht="18.95" customHeight="1">
      <c r="A218" s="67">
        <v>46142</v>
      </c>
      <c r="B218" s="70" t="s">
        <v>123</v>
      </c>
      <c r="C218" s="79"/>
      <c r="D218" s="80">
        <v>651.5</v>
      </c>
      <c r="E218" s="81">
        <v>651.4</v>
      </c>
      <c r="F218" s="82" t="s">
        <v>124</v>
      </c>
      <c r="G218" s="79">
        <v>200</v>
      </c>
      <c r="H218" s="83">
        <v>100</v>
      </c>
      <c r="I218" s="84" t="s">
        <v>110</v>
      </c>
      <c r="J218" s="83"/>
      <c r="K218" s="87"/>
      <c r="L218" s="88"/>
      <c r="M218" s="88"/>
      <c r="N218" s="88"/>
    </row>
    <row r="219" spans="1:14" s="92" customFormat="1" ht="18.95" customHeight="1">
      <c r="A219" s="67">
        <v>46143</v>
      </c>
      <c r="B219" s="70" t="s">
        <v>124</v>
      </c>
      <c r="C219" s="79"/>
      <c r="D219" s="80">
        <v>651.5</v>
      </c>
      <c r="E219" s="81">
        <v>651.45000000000005</v>
      </c>
      <c r="F219" s="82" t="s">
        <v>125</v>
      </c>
      <c r="G219" s="79">
        <v>200</v>
      </c>
      <c r="H219" s="83">
        <v>100</v>
      </c>
      <c r="I219" s="84" t="s">
        <v>111</v>
      </c>
      <c r="J219" s="83"/>
      <c r="K219" s="90"/>
      <c r="L219" s="91"/>
      <c r="M219" s="91"/>
      <c r="N219" s="91"/>
    </row>
    <row r="220" spans="1:14" s="92" customFormat="1" ht="18.95" customHeight="1">
      <c r="A220" s="67">
        <v>46143</v>
      </c>
      <c r="B220" s="70" t="s">
        <v>126</v>
      </c>
      <c r="C220" s="79"/>
      <c r="D220" s="80">
        <v>651.5</v>
      </c>
      <c r="E220" s="81">
        <v>651.45000000000005</v>
      </c>
      <c r="F220" s="82" t="s">
        <v>127</v>
      </c>
      <c r="G220" s="79">
        <v>1400</v>
      </c>
      <c r="H220" s="83">
        <v>700</v>
      </c>
      <c r="I220" s="84" t="s">
        <v>112</v>
      </c>
      <c r="J220" s="83"/>
      <c r="K220" s="90"/>
      <c r="L220" s="91"/>
      <c r="M220" s="91"/>
      <c r="N220" s="91"/>
    </row>
    <row r="221" spans="1:14" s="92" customFormat="1" ht="18.95" customHeight="1">
      <c r="A221" s="67">
        <v>46143</v>
      </c>
      <c r="B221" s="70" t="s">
        <v>125</v>
      </c>
      <c r="C221" s="79"/>
      <c r="D221" s="80">
        <v>651.5</v>
      </c>
      <c r="E221" s="81">
        <v>651.54</v>
      </c>
      <c r="F221" s="82" t="s">
        <v>128</v>
      </c>
      <c r="G221" s="79">
        <v>1200</v>
      </c>
      <c r="H221" s="83">
        <v>600</v>
      </c>
      <c r="I221" s="84" t="s">
        <v>113</v>
      </c>
      <c r="J221" s="83"/>
      <c r="K221" s="90"/>
      <c r="L221" s="91"/>
      <c r="M221" s="91"/>
      <c r="N221" s="91"/>
    </row>
    <row r="222" spans="1:14" s="92" customFormat="1" ht="18.95" customHeight="1">
      <c r="A222" s="67">
        <v>46143</v>
      </c>
      <c r="B222" s="70" t="s">
        <v>129</v>
      </c>
      <c r="C222" s="79"/>
      <c r="D222" s="80">
        <v>651.5</v>
      </c>
      <c r="E222" s="81">
        <v>651.46</v>
      </c>
      <c r="F222" s="82"/>
      <c r="G222" s="79">
        <v>0</v>
      </c>
      <c r="H222" s="83"/>
      <c r="I222" s="84" t="s">
        <v>114</v>
      </c>
      <c r="J222" s="83"/>
      <c r="K222" s="90"/>
      <c r="L222" s="91"/>
      <c r="M222" s="91"/>
      <c r="N222" s="91"/>
    </row>
    <row r="223" spans="1:14" s="92" customFormat="1" ht="18.95" customHeight="1">
      <c r="A223" s="67">
        <v>46143</v>
      </c>
      <c r="B223" s="70" t="s">
        <v>122</v>
      </c>
      <c r="C223" s="79"/>
      <c r="D223" s="80">
        <v>651.5</v>
      </c>
      <c r="E223" s="81">
        <v>651.48</v>
      </c>
      <c r="F223" s="82"/>
      <c r="G223" s="79">
        <v>0</v>
      </c>
      <c r="H223" s="83"/>
      <c r="I223" s="93" t="s">
        <v>115</v>
      </c>
      <c r="J223" s="83"/>
      <c r="K223" s="90"/>
      <c r="L223" s="91"/>
      <c r="M223" s="91"/>
      <c r="N223" s="91"/>
    </row>
    <row r="224" spans="1:14" s="92" customFormat="1" ht="18.95" customHeight="1">
      <c r="A224" s="67">
        <v>46149</v>
      </c>
      <c r="B224" s="70" t="s">
        <v>130</v>
      </c>
      <c r="C224" s="79"/>
      <c r="D224" s="80">
        <v>651.5</v>
      </c>
      <c r="E224" s="81">
        <v>651.51</v>
      </c>
      <c r="F224" s="82"/>
      <c r="G224" s="79">
        <v>0</v>
      </c>
      <c r="H224" s="83"/>
      <c r="I224" s="93" t="s">
        <v>116</v>
      </c>
      <c r="J224" s="83"/>
      <c r="K224" s="90"/>
      <c r="L224" s="91"/>
      <c r="M224" s="91"/>
      <c r="N224" s="91"/>
    </row>
    <row r="225" spans="1:14" s="92" customFormat="1" ht="18.95" customHeight="1">
      <c r="A225" s="67">
        <v>46150</v>
      </c>
      <c r="B225" s="70" t="s">
        <v>131</v>
      </c>
      <c r="C225" s="79"/>
      <c r="D225" s="80"/>
      <c r="E225" s="81">
        <v>651.54999999999995</v>
      </c>
      <c r="F225" s="82"/>
      <c r="G225" s="79">
        <v>0</v>
      </c>
      <c r="H225" s="83"/>
      <c r="I225" s="84" t="s">
        <v>117</v>
      </c>
      <c r="J225" s="85"/>
      <c r="K225" s="90"/>
      <c r="L225" s="91"/>
      <c r="M225" s="91"/>
      <c r="N225" s="91"/>
    </row>
    <row r="226" spans="1:14" s="92" customFormat="1" ht="18.95" customHeight="1" thickBot="1">
      <c r="A226" s="68" t="s">
        <v>132</v>
      </c>
      <c r="B226" s="71" t="s">
        <v>133</v>
      </c>
      <c r="C226" s="94"/>
      <c r="D226" s="95"/>
      <c r="E226" s="96"/>
      <c r="F226" s="97"/>
      <c r="G226" s="98"/>
      <c r="H226" s="99"/>
      <c r="I226" s="100" t="s">
        <v>118</v>
      </c>
      <c r="J226" s="86">
        <v>0</v>
      </c>
      <c r="K226" s="90"/>
      <c r="L226" s="91"/>
      <c r="M226" s="91"/>
      <c r="N226" s="91"/>
    </row>
    <row r="227" spans="1:14" ht="6" customHeight="1" thickBot="1">
      <c r="A227" s="101"/>
      <c r="B227" s="102"/>
      <c r="C227" s="102"/>
      <c r="D227" s="101"/>
      <c r="E227" s="102"/>
      <c r="F227" s="102"/>
      <c r="G227" s="102"/>
      <c r="H227" s="102"/>
    </row>
    <row r="228" spans="1:14" ht="6" customHeight="1" thickTop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4" ht="14.25" customHeight="1" thickBot="1">
      <c r="A229" s="3"/>
      <c r="B229" s="146" t="s">
        <v>0</v>
      </c>
      <c r="C229" s="116"/>
      <c r="D229" s="116"/>
      <c r="E229" s="3"/>
      <c r="F229" s="3"/>
      <c r="G229" s="3"/>
      <c r="H229" s="3"/>
      <c r="I229" s="3"/>
      <c r="J229" s="3"/>
    </row>
    <row r="230" spans="1:14" ht="14.25" customHeight="1" thickTop="1">
      <c r="A230" s="4"/>
      <c r="B230" s="116"/>
      <c r="C230" s="116"/>
      <c r="D230" s="116"/>
      <c r="E230" s="4"/>
      <c r="F230" s="4"/>
      <c r="G230" s="4"/>
      <c r="H230" s="4"/>
      <c r="I230" s="4"/>
      <c r="J230" s="4"/>
    </row>
    <row r="231" spans="1:14" ht="14.25" customHeight="1">
      <c r="A231" s="147" t="s">
        <v>1</v>
      </c>
      <c r="B231" s="147" t="s">
        <v>75</v>
      </c>
      <c r="C231" s="147" t="s">
        <v>3</v>
      </c>
      <c r="D231" s="148">
        <v>715</v>
      </c>
      <c r="E231" s="147" t="s">
        <v>4</v>
      </c>
      <c r="F231" s="149" t="s">
        <v>76</v>
      </c>
      <c r="G231" s="116"/>
      <c r="H231" s="116"/>
      <c r="I231" s="5" t="s">
        <v>6</v>
      </c>
      <c r="J231" s="5" t="s">
        <v>7</v>
      </c>
    </row>
    <row r="232" spans="1:14" ht="14.25" customHeight="1">
      <c r="A232" s="116"/>
      <c r="B232" s="116"/>
      <c r="C232" s="116"/>
      <c r="D232" s="116"/>
      <c r="E232" s="116"/>
      <c r="F232" s="116"/>
      <c r="G232" s="116"/>
      <c r="H232" s="116"/>
      <c r="I232" s="150"/>
      <c r="J232" s="150"/>
    </row>
    <row r="233" spans="1:14" ht="17.45" customHeight="1">
      <c r="A233" s="138" t="s">
        <v>8</v>
      </c>
      <c r="B233" s="138" t="s">
        <v>77</v>
      </c>
      <c r="E233" s="138" t="s">
        <v>10</v>
      </c>
      <c r="F233" s="139" t="s">
        <v>11</v>
      </c>
      <c r="G233" s="116"/>
      <c r="H233" s="116"/>
      <c r="I233" s="151"/>
      <c r="J233" s="151"/>
    </row>
    <row r="234" spans="1:14" ht="17.45" customHeight="1">
      <c r="A234" s="116"/>
      <c r="B234" s="116"/>
      <c r="E234" s="116"/>
      <c r="F234" s="116"/>
      <c r="G234" s="116"/>
      <c r="H234" s="116"/>
      <c r="I234" s="8"/>
      <c r="J234" s="8"/>
    </row>
    <row r="235" spans="1:14" ht="17.45" customHeight="1">
      <c r="A235" s="138" t="s">
        <v>12</v>
      </c>
      <c r="B235" s="138" t="s">
        <v>78</v>
      </c>
      <c r="E235" s="9" t="s">
        <v>14</v>
      </c>
      <c r="F235" s="139" t="s">
        <v>15</v>
      </c>
      <c r="G235" s="116"/>
      <c r="H235" s="7"/>
      <c r="I235" s="8"/>
      <c r="J235" s="8"/>
    </row>
    <row r="236" spans="1:14" ht="17.45" customHeight="1">
      <c r="A236" s="116"/>
      <c r="B236" s="116"/>
      <c r="E236" s="9" t="s">
        <v>16</v>
      </c>
      <c r="F236" s="7" t="s">
        <v>17</v>
      </c>
      <c r="G236" s="7"/>
      <c r="H236" s="7"/>
      <c r="I236" s="10"/>
      <c r="J236" s="10"/>
    </row>
    <row r="237" spans="1:14" ht="17.45" customHeight="1">
      <c r="A237" s="9" t="s">
        <v>18</v>
      </c>
      <c r="B237" s="11">
        <v>46157</v>
      </c>
      <c r="E237" s="9" t="s">
        <v>19</v>
      </c>
      <c r="F237" s="140">
        <v>200</v>
      </c>
      <c r="G237" s="116"/>
      <c r="H237" s="7"/>
    </row>
    <row r="238" spans="1:14" ht="17.45" customHeight="1">
      <c r="A238" s="9" t="s">
        <v>20</v>
      </c>
      <c r="B238" s="11">
        <v>46157</v>
      </c>
      <c r="E238" s="9" t="s">
        <v>21</v>
      </c>
      <c r="F238" s="7">
        <v>1.5</v>
      </c>
      <c r="G238" s="141" t="s">
        <v>22</v>
      </c>
      <c r="H238" s="143">
        <v>300</v>
      </c>
      <c r="I238" s="144"/>
      <c r="J238" s="145"/>
    </row>
    <row r="239" spans="1:14" ht="17.45" customHeight="1">
      <c r="A239" s="12"/>
      <c r="B239" s="13"/>
      <c r="C239" s="13"/>
      <c r="D239" s="13"/>
      <c r="E239" s="9" t="s">
        <v>23</v>
      </c>
      <c r="F239" s="7" t="s">
        <v>24</v>
      </c>
      <c r="G239" s="142"/>
      <c r="H239" s="142"/>
      <c r="I239" s="124"/>
      <c r="J239" s="132"/>
    </row>
    <row r="240" spans="1:14" ht="13.5" customHeight="1">
      <c r="A240" s="126" t="s">
        <v>79</v>
      </c>
      <c r="B240" s="116"/>
      <c r="C240" s="116"/>
      <c r="D240" s="13"/>
      <c r="F240" s="6"/>
      <c r="G240" s="127" t="s">
        <v>26</v>
      </c>
      <c r="H240" s="129" t="s">
        <v>27</v>
      </c>
      <c r="I240" s="130" t="s">
        <v>28</v>
      </c>
      <c r="J240" s="131"/>
    </row>
    <row r="241" spans="1:10" ht="13.5" customHeight="1">
      <c r="A241" s="116"/>
      <c r="B241" s="116"/>
      <c r="C241" s="116"/>
      <c r="D241" s="13"/>
      <c r="F241" s="6"/>
      <c r="G241" s="128"/>
      <c r="H241" s="128"/>
      <c r="I241" s="124"/>
      <c r="J241" s="132"/>
    </row>
    <row r="242" spans="1:10" ht="13.5" customHeight="1">
      <c r="A242" s="2" t="s">
        <v>29</v>
      </c>
    </row>
    <row r="243" spans="1:10" ht="63" customHeight="1" thickBot="1">
      <c r="A243" s="133"/>
      <c r="B243" s="134"/>
      <c r="C243" s="134"/>
      <c r="D243" s="134"/>
      <c r="E243" s="134"/>
      <c r="F243" s="134"/>
      <c r="G243" s="134"/>
      <c r="H243" s="134"/>
      <c r="I243" s="134"/>
      <c r="J243" s="134"/>
    </row>
    <row r="244" spans="1:10" ht="18.75">
      <c r="A244" s="14" t="s">
        <v>30</v>
      </c>
      <c r="B244" s="15" t="s">
        <v>31</v>
      </c>
      <c r="C244" s="135" t="s">
        <v>32</v>
      </c>
      <c r="D244" s="136"/>
      <c r="E244" s="15" t="s">
        <v>33</v>
      </c>
      <c r="F244" s="135" t="s">
        <v>34</v>
      </c>
      <c r="G244" s="136"/>
      <c r="H244" s="136"/>
      <c r="I244" s="137" t="s">
        <v>35</v>
      </c>
      <c r="J244" s="136"/>
    </row>
    <row r="245" spans="1:10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ht="16.5" customHeight="1">
      <c r="A246" s="17">
        <v>1</v>
      </c>
      <c r="B246" s="18" t="s">
        <v>36</v>
      </c>
      <c r="C246" s="115" t="s">
        <v>37</v>
      </c>
      <c r="D246" s="116"/>
      <c r="E246" s="18" t="s">
        <v>38</v>
      </c>
      <c r="F246" s="115" t="s">
        <v>39</v>
      </c>
      <c r="G246" s="116"/>
      <c r="H246" s="116"/>
      <c r="I246" s="125"/>
      <c r="J246" s="116"/>
    </row>
    <row r="247" spans="1:10" ht="16.5" customHeight="1">
      <c r="A247" s="17">
        <v>1</v>
      </c>
      <c r="B247" s="19" t="s">
        <v>36</v>
      </c>
      <c r="C247" s="115" t="s">
        <v>37</v>
      </c>
      <c r="D247" s="116"/>
      <c r="E247" s="18" t="s">
        <v>40</v>
      </c>
      <c r="F247" s="115" t="s">
        <v>41</v>
      </c>
      <c r="G247" s="116"/>
      <c r="H247" s="116"/>
      <c r="I247" s="125"/>
      <c r="J247" s="116"/>
    </row>
    <row r="248" spans="1:10" ht="16.5" customHeight="1">
      <c r="A248" s="17"/>
      <c r="B248" s="19"/>
      <c r="C248" s="115"/>
      <c r="D248" s="116"/>
      <c r="E248" s="18"/>
      <c r="F248" s="115"/>
      <c r="G248" s="116"/>
      <c r="H248" s="116"/>
      <c r="I248" s="125"/>
      <c r="J248" s="116"/>
    </row>
    <row r="249" spans="1:10" ht="16.5" customHeight="1">
      <c r="A249" s="17"/>
      <c r="B249" s="19"/>
      <c r="C249" s="115"/>
      <c r="D249" s="116"/>
      <c r="E249" s="18"/>
      <c r="F249" s="115"/>
      <c r="G249" s="116"/>
      <c r="H249" s="116"/>
      <c r="I249" s="125"/>
      <c r="J249" s="116"/>
    </row>
    <row r="250" spans="1:10" ht="16.5" customHeight="1">
      <c r="A250" s="17"/>
      <c r="B250" s="19"/>
      <c r="C250" s="115"/>
      <c r="D250" s="116"/>
      <c r="E250" s="18"/>
      <c r="F250" s="115"/>
      <c r="G250" s="116"/>
      <c r="H250" s="116"/>
      <c r="I250" s="125"/>
      <c r="J250" s="116"/>
    </row>
    <row r="251" spans="1:10" ht="16.5" customHeight="1">
      <c r="A251" s="17"/>
      <c r="B251" s="19"/>
      <c r="C251" s="115"/>
      <c r="D251" s="116"/>
      <c r="E251" s="18"/>
      <c r="F251" s="115"/>
      <c r="G251" s="116"/>
      <c r="H251" s="116"/>
      <c r="I251" s="125"/>
      <c r="J251" s="116"/>
    </row>
    <row r="252" spans="1:10" ht="16.5" customHeight="1" thickBo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</row>
    <row r="253" spans="1:10" ht="18.75">
      <c r="A253" s="121" t="s">
        <v>42</v>
      </c>
      <c r="B253" s="122"/>
      <c r="C253" s="121" t="s">
        <v>43</v>
      </c>
      <c r="D253" s="122"/>
      <c r="E253" s="122"/>
      <c r="F253" s="21" t="s">
        <v>44</v>
      </c>
      <c r="G253" s="121" t="s">
        <v>45</v>
      </c>
      <c r="H253" s="122"/>
      <c r="I253" s="121" t="s">
        <v>46</v>
      </c>
      <c r="J253" s="122"/>
    </row>
    <row r="254" spans="1:10" ht="14.25" customHeight="1">
      <c r="A254" s="22"/>
      <c r="B254" s="23"/>
      <c r="C254" s="123" t="s">
        <v>47</v>
      </c>
      <c r="D254" s="124"/>
      <c r="E254" s="23"/>
      <c r="F254" s="123" t="s">
        <v>29</v>
      </c>
      <c r="G254" s="124"/>
      <c r="H254" s="124"/>
      <c r="I254" s="124"/>
      <c r="J254" s="124"/>
    </row>
    <row r="255" spans="1:10">
      <c r="A255" s="24"/>
      <c r="C255" s="25"/>
      <c r="D255" s="25"/>
      <c r="E255" s="25"/>
    </row>
    <row r="256" spans="1:10" ht="14.25" customHeight="1">
      <c r="A256" s="115" t="s">
        <v>48</v>
      </c>
      <c r="B256" s="116"/>
      <c r="C256" s="115" t="s">
        <v>49</v>
      </c>
      <c r="D256" s="116"/>
      <c r="E256" s="116"/>
      <c r="F256" s="18" t="s">
        <v>27</v>
      </c>
      <c r="G256" s="117">
        <v>150</v>
      </c>
      <c r="H256" s="116"/>
      <c r="I256" s="117">
        <v>0.75</v>
      </c>
      <c r="J256" s="116"/>
    </row>
    <row r="257" spans="1:11" ht="24.95" customHeight="1">
      <c r="A257" s="118" t="s">
        <v>50</v>
      </c>
      <c r="B257" s="116"/>
      <c r="C257" s="115" t="s">
        <v>11</v>
      </c>
      <c r="D257" s="116"/>
      <c r="E257" s="116"/>
      <c r="F257" s="115"/>
      <c r="G257" s="116"/>
      <c r="H257" s="116"/>
      <c r="I257" s="116"/>
      <c r="J257" s="116"/>
    </row>
    <row r="258" spans="1:11" ht="14.25" customHeight="1">
      <c r="A258" s="115" t="s">
        <v>81</v>
      </c>
      <c r="B258" s="116"/>
      <c r="C258" s="115" t="s">
        <v>80</v>
      </c>
      <c r="D258" s="116"/>
      <c r="E258" s="116"/>
      <c r="F258" s="18" t="s">
        <v>27</v>
      </c>
      <c r="G258" s="117">
        <v>1.5</v>
      </c>
      <c r="H258" s="116"/>
      <c r="I258" s="117">
        <v>7.4999999999999997E-3</v>
      </c>
      <c r="J258" s="116"/>
    </row>
    <row r="259" spans="1:11" ht="24.95" customHeight="1">
      <c r="A259" s="118" t="s">
        <v>74</v>
      </c>
      <c r="B259" s="116"/>
      <c r="C259" s="115"/>
      <c r="D259" s="116"/>
      <c r="E259" s="116"/>
      <c r="F259" s="115"/>
      <c r="G259" s="116"/>
      <c r="H259" s="116"/>
      <c r="I259" s="116"/>
      <c r="J259" s="116"/>
    </row>
    <row r="260" spans="1:11" ht="14.25" customHeight="1">
      <c r="A260" s="115"/>
      <c r="B260" s="116"/>
      <c r="C260" s="115"/>
      <c r="D260" s="116"/>
      <c r="E260" s="116"/>
      <c r="F260" s="18"/>
      <c r="G260" s="117"/>
      <c r="H260" s="116"/>
      <c r="I260" s="117"/>
      <c r="J260" s="116"/>
    </row>
    <row r="261" spans="1:11" ht="24.95" customHeight="1">
      <c r="A261" s="118"/>
      <c r="B261" s="116"/>
      <c r="C261" s="115"/>
      <c r="D261" s="116"/>
      <c r="E261" s="116"/>
      <c r="F261" s="115"/>
      <c r="G261" s="116"/>
      <c r="H261" s="116"/>
      <c r="I261" s="116"/>
      <c r="J261" s="116"/>
    </row>
    <row r="262" spans="1:11" ht="14.25" customHeight="1">
      <c r="A262" s="115"/>
      <c r="B262" s="116"/>
      <c r="C262" s="115"/>
      <c r="D262" s="116"/>
      <c r="E262" s="116"/>
      <c r="F262" s="18"/>
      <c r="G262" s="117"/>
      <c r="H262" s="116"/>
      <c r="I262" s="117"/>
      <c r="J262" s="116"/>
    </row>
    <row r="263" spans="1:11" ht="24.95" customHeight="1">
      <c r="A263" s="118"/>
      <c r="B263" s="116"/>
      <c r="C263" s="115"/>
      <c r="D263" s="116"/>
      <c r="E263" s="116"/>
      <c r="F263" s="115"/>
      <c r="G263" s="116"/>
      <c r="H263" s="116"/>
      <c r="I263" s="116"/>
      <c r="J263" s="116"/>
    </row>
    <row r="264" spans="1:11" ht="14.25" customHeight="1">
      <c r="A264" s="115"/>
      <c r="B264" s="116"/>
      <c r="C264" s="115"/>
      <c r="D264" s="116"/>
      <c r="E264" s="116"/>
      <c r="F264" s="18"/>
      <c r="G264" s="117"/>
      <c r="H264" s="116"/>
      <c r="I264" s="117"/>
      <c r="J264" s="116"/>
    </row>
    <row r="265" spans="1:11" ht="24.95" customHeight="1" thickBot="1">
      <c r="A265" s="118"/>
      <c r="B265" s="116"/>
      <c r="C265" s="115"/>
      <c r="D265" s="116"/>
      <c r="E265" s="116"/>
      <c r="F265" s="115"/>
      <c r="G265" s="116"/>
      <c r="H265" s="116"/>
      <c r="I265" s="116"/>
      <c r="J265" s="116"/>
    </row>
    <row r="266" spans="1:11" s="16" customFormat="1" ht="18" customHeight="1">
      <c r="A266" s="26" t="s">
        <v>82</v>
      </c>
      <c r="B266" s="27" t="s">
        <v>83</v>
      </c>
      <c r="C266" s="119" t="s">
        <v>84</v>
      </c>
      <c r="D266" s="120"/>
      <c r="E266" s="28" t="s">
        <v>85</v>
      </c>
      <c r="F266" s="29" t="s">
        <v>86</v>
      </c>
      <c r="G266" s="30" t="s">
        <v>87</v>
      </c>
      <c r="H266" s="31" t="s">
        <v>88</v>
      </c>
      <c r="I266" s="113" t="s">
        <v>89</v>
      </c>
      <c r="J266" s="114"/>
    </row>
    <row r="267" spans="1:11" s="25" customFormat="1" ht="18" customHeight="1">
      <c r="A267" s="32" t="s">
        <v>119</v>
      </c>
      <c r="B267" s="33">
        <v>715</v>
      </c>
      <c r="C267" s="103" t="s">
        <v>73</v>
      </c>
      <c r="D267" s="104"/>
      <c r="E267" s="105">
        <v>2</v>
      </c>
      <c r="F267" s="34" t="s">
        <v>134</v>
      </c>
      <c r="G267" s="35">
        <v>46142</v>
      </c>
      <c r="H267" s="36">
        <v>2</v>
      </c>
      <c r="I267" s="37" t="s">
        <v>90</v>
      </c>
      <c r="J267" s="38">
        <v>46142</v>
      </c>
    </row>
    <row r="268" spans="1:11" s="16" customFormat="1" ht="18" customHeight="1">
      <c r="A268" s="42" t="s">
        <v>91</v>
      </c>
      <c r="B268" s="43" t="s">
        <v>92</v>
      </c>
      <c r="C268" s="103"/>
      <c r="D268" s="104"/>
      <c r="E268" s="105"/>
      <c r="F268" s="44" t="s">
        <v>135</v>
      </c>
      <c r="G268" s="35"/>
      <c r="H268" s="36"/>
      <c r="I268" s="37" t="s">
        <v>93</v>
      </c>
      <c r="J268" s="39">
        <v>300</v>
      </c>
      <c r="K268" s="45"/>
    </row>
    <row r="269" spans="1:11" s="25" customFormat="1" ht="18" customHeight="1">
      <c r="A269" s="46">
        <v>0</v>
      </c>
      <c r="B269" s="47">
        <v>714.5</v>
      </c>
      <c r="C269" s="106" t="s">
        <v>94</v>
      </c>
      <c r="D269" s="107" t="s">
        <v>120</v>
      </c>
      <c r="E269" s="107"/>
      <c r="F269" s="108"/>
      <c r="G269" s="35"/>
      <c r="H269" s="36"/>
      <c r="I269" s="37" t="s">
        <v>95</v>
      </c>
      <c r="J269" s="39">
        <v>150</v>
      </c>
      <c r="K269" s="48"/>
    </row>
    <row r="270" spans="1:11" s="16" customFormat="1" ht="18" customHeight="1">
      <c r="A270" s="49" t="s">
        <v>96</v>
      </c>
      <c r="B270" s="50" t="s">
        <v>97</v>
      </c>
      <c r="C270" s="106"/>
      <c r="D270" s="107" t="s">
        <v>121</v>
      </c>
      <c r="E270" s="107"/>
      <c r="F270" s="108"/>
      <c r="G270" s="35"/>
      <c r="H270" s="36"/>
      <c r="I270" s="37" t="s">
        <v>98</v>
      </c>
      <c r="J270" s="39">
        <v>0</v>
      </c>
      <c r="K270" s="45"/>
    </row>
    <row r="271" spans="1:11" s="25" customFormat="1" ht="18" customHeight="1" thickBot="1">
      <c r="A271" s="51">
        <v>-1</v>
      </c>
      <c r="B271" s="52">
        <v>2</v>
      </c>
      <c r="C271" s="53" t="s">
        <v>99</v>
      </c>
      <c r="D271" s="109"/>
      <c r="E271" s="109"/>
      <c r="F271" s="110"/>
      <c r="G271" s="54"/>
      <c r="H271" s="55"/>
      <c r="I271" s="37" t="s">
        <v>100</v>
      </c>
      <c r="J271" s="40">
        <v>0</v>
      </c>
      <c r="K271" s="48"/>
    </row>
    <row r="272" spans="1:11" s="16" customFormat="1" ht="18" customHeight="1" thickBot="1">
      <c r="A272" s="56" t="s">
        <v>101</v>
      </c>
      <c r="B272" s="57" t="str" cm="1">
        <f t="array" ref="B272">IF(SUM(--(ISTEXT(B273:B283)*(B273:B283&lt;&gt;"")))=0,"計測Lot","計測Lot・加工数")</f>
        <v>計測Lot・加工数</v>
      </c>
      <c r="C272" s="58" t="s">
        <v>102</v>
      </c>
      <c r="D272" s="59" t="s">
        <v>103</v>
      </c>
      <c r="E272" s="60" t="s">
        <v>104</v>
      </c>
      <c r="F272" s="61" t="str" cm="1">
        <f t="array" ref="F272">IF(SUM(--(ISTEXT(B273:B283)*(B273:B283&lt;&gt;"")))=0,"記入不要","使用Lot")</f>
        <v>使用Lot</v>
      </c>
      <c r="G272" s="62" t="s">
        <v>105</v>
      </c>
      <c r="H272" s="63" t="s">
        <v>106</v>
      </c>
      <c r="I272" s="64" t="s">
        <v>107</v>
      </c>
      <c r="J272" s="41">
        <v>0</v>
      </c>
      <c r="K272" s="45"/>
    </row>
    <row r="273" spans="1:14" s="25" customFormat="1" ht="18" customHeight="1">
      <c r="A273" s="65"/>
      <c r="B273" s="69"/>
      <c r="C273" s="72"/>
      <c r="D273" s="73"/>
      <c r="E273" s="74"/>
      <c r="F273" s="75">
        <v>0</v>
      </c>
      <c r="G273" s="76">
        <v>0</v>
      </c>
      <c r="H273" s="77"/>
      <c r="I273" s="111" t="s">
        <v>108</v>
      </c>
      <c r="J273" s="112"/>
      <c r="K273" s="78"/>
    </row>
    <row r="274" spans="1:14" s="16" customFormat="1" ht="18" customHeight="1">
      <c r="A274" s="66">
        <v>46142</v>
      </c>
      <c r="B274" s="70" t="s">
        <v>124</v>
      </c>
      <c r="C274" s="79"/>
      <c r="D274" s="80">
        <v>714.5</v>
      </c>
      <c r="E274" s="81">
        <v>714.45</v>
      </c>
      <c r="F274" s="82" t="s">
        <v>124</v>
      </c>
      <c r="G274" s="79">
        <v>200</v>
      </c>
      <c r="H274" s="83">
        <v>100</v>
      </c>
      <c r="I274" s="84" t="s">
        <v>109</v>
      </c>
      <c r="J274" s="83"/>
      <c r="K274" s="78"/>
    </row>
    <row r="275" spans="1:14" s="89" customFormat="1" ht="18.95" customHeight="1">
      <c r="A275" s="67">
        <v>46142</v>
      </c>
      <c r="B275" s="70" t="s">
        <v>126</v>
      </c>
      <c r="C275" s="79"/>
      <c r="D275" s="80">
        <v>714.5</v>
      </c>
      <c r="E275" s="81">
        <v>714.38</v>
      </c>
      <c r="F275" s="82" t="s">
        <v>122</v>
      </c>
      <c r="G275" s="79">
        <v>100</v>
      </c>
      <c r="H275" s="83">
        <v>50</v>
      </c>
      <c r="I275" s="84" t="s">
        <v>110</v>
      </c>
      <c r="J275" s="83"/>
      <c r="K275" s="87"/>
      <c r="L275" s="88"/>
      <c r="M275" s="88"/>
      <c r="N275" s="88"/>
    </row>
    <row r="276" spans="1:14" s="92" customFormat="1" ht="18.95" customHeight="1">
      <c r="A276" s="67">
        <v>46142</v>
      </c>
      <c r="B276" s="70" t="s">
        <v>122</v>
      </c>
      <c r="C276" s="79"/>
      <c r="D276" s="80">
        <v>714.5</v>
      </c>
      <c r="E276" s="81">
        <v>714.4</v>
      </c>
      <c r="F276" s="82"/>
      <c r="G276" s="79">
        <v>0</v>
      </c>
      <c r="H276" s="83"/>
      <c r="I276" s="84" t="s">
        <v>111</v>
      </c>
      <c r="J276" s="83"/>
      <c r="K276" s="90"/>
      <c r="L276" s="91"/>
      <c r="M276" s="91"/>
      <c r="N276" s="91"/>
    </row>
    <row r="277" spans="1:14" s="92" customFormat="1" ht="18.95" customHeight="1">
      <c r="A277" s="67">
        <v>46142</v>
      </c>
      <c r="B277" s="70" t="s">
        <v>136</v>
      </c>
      <c r="C277" s="79"/>
      <c r="D277" s="80">
        <v>714.5</v>
      </c>
      <c r="E277" s="81">
        <v>714.38</v>
      </c>
      <c r="F277" s="82"/>
      <c r="G277" s="79">
        <v>0</v>
      </c>
      <c r="H277" s="83"/>
      <c r="I277" s="84" t="s">
        <v>112</v>
      </c>
      <c r="J277" s="83"/>
      <c r="K277" s="90"/>
      <c r="L277" s="91"/>
      <c r="M277" s="91"/>
      <c r="N277" s="91"/>
    </row>
    <row r="278" spans="1:14" s="92" customFormat="1" ht="18.95" customHeight="1">
      <c r="A278" s="67"/>
      <c r="B278" s="70" t="s">
        <v>133</v>
      </c>
      <c r="C278" s="79"/>
      <c r="D278" s="80">
        <v>714.5</v>
      </c>
      <c r="E278" s="81"/>
      <c r="F278" s="82"/>
      <c r="G278" s="79">
        <v>0</v>
      </c>
      <c r="H278" s="83"/>
      <c r="I278" s="84" t="s">
        <v>113</v>
      </c>
      <c r="J278" s="83"/>
      <c r="K278" s="90"/>
      <c r="L278" s="91"/>
      <c r="M278" s="91"/>
      <c r="N278" s="91"/>
    </row>
    <row r="279" spans="1:14" s="92" customFormat="1" ht="18.95" customHeight="1">
      <c r="A279" s="67"/>
      <c r="B279" s="70" t="s">
        <v>133</v>
      </c>
      <c r="C279" s="79"/>
      <c r="D279" s="80">
        <v>714.5</v>
      </c>
      <c r="E279" s="81"/>
      <c r="F279" s="82"/>
      <c r="G279" s="79">
        <v>0</v>
      </c>
      <c r="H279" s="83"/>
      <c r="I279" s="84" t="s">
        <v>114</v>
      </c>
      <c r="J279" s="83"/>
      <c r="K279" s="90"/>
      <c r="L279" s="91"/>
      <c r="M279" s="91"/>
      <c r="N279" s="91"/>
    </row>
    <row r="280" spans="1:14" s="92" customFormat="1" ht="18.95" customHeight="1">
      <c r="A280" s="67"/>
      <c r="B280" s="70" t="s">
        <v>133</v>
      </c>
      <c r="C280" s="79"/>
      <c r="D280" s="80">
        <v>714.5</v>
      </c>
      <c r="E280" s="81"/>
      <c r="F280" s="82"/>
      <c r="G280" s="79">
        <v>0</v>
      </c>
      <c r="H280" s="83"/>
      <c r="I280" s="93" t="s">
        <v>115</v>
      </c>
      <c r="J280" s="83"/>
      <c r="K280" s="90"/>
      <c r="L280" s="91"/>
      <c r="M280" s="91"/>
      <c r="N280" s="91"/>
    </row>
    <row r="281" spans="1:14" s="92" customFormat="1" ht="18.95" customHeight="1">
      <c r="A281" s="67"/>
      <c r="B281" s="70" t="s">
        <v>133</v>
      </c>
      <c r="C281" s="79"/>
      <c r="D281" s="80">
        <v>714.5</v>
      </c>
      <c r="E281" s="81"/>
      <c r="F281" s="82"/>
      <c r="G281" s="79">
        <v>0</v>
      </c>
      <c r="H281" s="83"/>
      <c r="I281" s="93" t="s">
        <v>116</v>
      </c>
      <c r="J281" s="83"/>
      <c r="K281" s="90"/>
      <c r="L281" s="91"/>
      <c r="M281" s="91"/>
      <c r="N281" s="91"/>
    </row>
    <row r="282" spans="1:14" s="92" customFormat="1" ht="18.95" customHeight="1">
      <c r="A282" s="67"/>
      <c r="B282" s="70" t="s">
        <v>133</v>
      </c>
      <c r="C282" s="79"/>
      <c r="D282" s="80"/>
      <c r="E282" s="81"/>
      <c r="F282" s="82"/>
      <c r="G282" s="79">
        <v>0</v>
      </c>
      <c r="H282" s="83"/>
      <c r="I282" s="84" t="s">
        <v>117</v>
      </c>
      <c r="J282" s="85"/>
      <c r="K282" s="90"/>
      <c r="L282" s="91"/>
      <c r="M282" s="91"/>
      <c r="N282" s="91"/>
    </row>
    <row r="283" spans="1:14" s="92" customFormat="1" ht="18.95" customHeight="1" thickBot="1">
      <c r="A283" s="68" t="s">
        <v>132</v>
      </c>
      <c r="B283" s="71" t="s">
        <v>133</v>
      </c>
      <c r="C283" s="94"/>
      <c r="D283" s="95"/>
      <c r="E283" s="96"/>
      <c r="F283" s="97"/>
      <c r="G283" s="98"/>
      <c r="H283" s="99"/>
      <c r="I283" s="100" t="s">
        <v>118</v>
      </c>
      <c r="J283" s="86">
        <v>0</v>
      </c>
      <c r="K283" s="90"/>
      <c r="L283" s="91"/>
      <c r="M283" s="91"/>
      <c r="N283" s="91"/>
    </row>
    <row r="284" spans="1:14" ht="6" customHeight="1" thickBot="1">
      <c r="A284" s="101"/>
      <c r="B284" s="102"/>
      <c r="C284" s="102"/>
      <c r="D284" s="101"/>
      <c r="E284" s="102"/>
      <c r="F284" s="102"/>
      <c r="G284" s="102"/>
      <c r="H284" s="102"/>
    </row>
    <row r="285" spans="1:14" ht="6" customHeight="1" thickTop="1">
      <c r="A285" s="1"/>
      <c r="B285" s="1"/>
      <c r="C285" s="1"/>
      <c r="D285" s="1"/>
      <c r="E285" s="1"/>
      <c r="F285" s="1"/>
      <c r="G285" s="1"/>
      <c r="H285" s="1"/>
      <c r="I285" s="1"/>
      <c r="J285" s="1"/>
    </row>
  </sheetData>
  <mergeCells count="475">
    <mergeCell ref="F3:H4"/>
    <mergeCell ref="I4:I5"/>
    <mergeCell ref="J4:J5"/>
    <mergeCell ref="A5:A6"/>
    <mergeCell ref="B5:B6"/>
    <mergeCell ref="E5:E6"/>
    <mergeCell ref="F5:H6"/>
    <mergeCell ref="B1:D2"/>
    <mergeCell ref="A3:A4"/>
    <mergeCell ref="B3:B4"/>
    <mergeCell ref="C3:C4"/>
    <mergeCell ref="D3:D4"/>
    <mergeCell ref="E3:E4"/>
    <mergeCell ref="A12:C13"/>
    <mergeCell ref="G12:G13"/>
    <mergeCell ref="H12:H13"/>
    <mergeCell ref="I12:J13"/>
    <mergeCell ref="A15:J15"/>
    <mergeCell ref="C16:D16"/>
    <mergeCell ref="F16:H16"/>
    <mergeCell ref="I16:J16"/>
    <mergeCell ref="A7:A8"/>
    <mergeCell ref="B7:B8"/>
    <mergeCell ref="F7:G7"/>
    <mergeCell ref="F9:G9"/>
    <mergeCell ref="G10:G11"/>
    <mergeCell ref="H10:J11"/>
    <mergeCell ref="C20:D20"/>
    <mergeCell ref="F20:H20"/>
    <mergeCell ref="I20:J20"/>
    <mergeCell ref="C21:D21"/>
    <mergeCell ref="F21:H21"/>
    <mergeCell ref="I21:J21"/>
    <mergeCell ref="C18:D18"/>
    <mergeCell ref="F18:H18"/>
    <mergeCell ref="I18:J18"/>
    <mergeCell ref="C19:D19"/>
    <mergeCell ref="F19:H19"/>
    <mergeCell ref="I19:J19"/>
    <mergeCell ref="A25:B25"/>
    <mergeCell ref="C25:E25"/>
    <mergeCell ref="G25:H25"/>
    <mergeCell ref="I25:J25"/>
    <mergeCell ref="C26:D26"/>
    <mergeCell ref="F26:J26"/>
    <mergeCell ref="C22:D22"/>
    <mergeCell ref="F22:H22"/>
    <mergeCell ref="I22:J22"/>
    <mergeCell ref="C23:D23"/>
    <mergeCell ref="F23:H23"/>
    <mergeCell ref="I23:J23"/>
    <mergeCell ref="A30:B30"/>
    <mergeCell ref="C30:E30"/>
    <mergeCell ref="G30:H30"/>
    <mergeCell ref="I30:J30"/>
    <mergeCell ref="A31:B31"/>
    <mergeCell ref="C31:E31"/>
    <mergeCell ref="F31:J31"/>
    <mergeCell ref="A28:B28"/>
    <mergeCell ref="C28:E28"/>
    <mergeCell ref="G28:H28"/>
    <mergeCell ref="I28:J28"/>
    <mergeCell ref="A29:B29"/>
    <mergeCell ref="C29:E29"/>
    <mergeCell ref="F29:J29"/>
    <mergeCell ref="A34:B34"/>
    <mergeCell ref="C34:E34"/>
    <mergeCell ref="G34:H34"/>
    <mergeCell ref="I34:J34"/>
    <mergeCell ref="A35:B35"/>
    <mergeCell ref="C35:E35"/>
    <mergeCell ref="F35:J35"/>
    <mergeCell ref="A32:B32"/>
    <mergeCell ref="C32:E32"/>
    <mergeCell ref="G32:H32"/>
    <mergeCell ref="I32:J32"/>
    <mergeCell ref="A33:B33"/>
    <mergeCell ref="C33:E33"/>
    <mergeCell ref="F33:J33"/>
    <mergeCell ref="I38:J38"/>
    <mergeCell ref="A36:B36"/>
    <mergeCell ref="C36:E36"/>
    <mergeCell ref="G36:H36"/>
    <mergeCell ref="I36:J36"/>
    <mergeCell ref="A37:B37"/>
    <mergeCell ref="C37:E37"/>
    <mergeCell ref="F37:J37"/>
    <mergeCell ref="C38:D38"/>
    <mergeCell ref="C39:D40"/>
    <mergeCell ref="E39:E40"/>
    <mergeCell ref="C41:C42"/>
    <mergeCell ref="D41:F41"/>
    <mergeCell ref="D42:F42"/>
    <mergeCell ref="D43:F43"/>
    <mergeCell ref="I45:J45"/>
    <mergeCell ref="F60:H61"/>
    <mergeCell ref="I61:I62"/>
    <mergeCell ref="J61:J62"/>
    <mergeCell ref="A62:A63"/>
    <mergeCell ref="B62:B63"/>
    <mergeCell ref="E62:E63"/>
    <mergeCell ref="F62:H63"/>
    <mergeCell ref="B58:D59"/>
    <mergeCell ref="A60:A61"/>
    <mergeCell ref="B60:B61"/>
    <mergeCell ref="C60:C61"/>
    <mergeCell ref="D60:D61"/>
    <mergeCell ref="E60:E61"/>
    <mergeCell ref="A69:C70"/>
    <mergeCell ref="G69:G70"/>
    <mergeCell ref="H69:H70"/>
    <mergeCell ref="I69:J70"/>
    <mergeCell ref="A72:J72"/>
    <mergeCell ref="C73:D73"/>
    <mergeCell ref="F73:H73"/>
    <mergeCell ref="I73:J73"/>
    <mergeCell ref="A64:A65"/>
    <mergeCell ref="B64:B65"/>
    <mergeCell ref="F64:G64"/>
    <mergeCell ref="F66:G66"/>
    <mergeCell ref="G67:G68"/>
    <mergeCell ref="H67:J68"/>
    <mergeCell ref="C77:D77"/>
    <mergeCell ref="F77:H77"/>
    <mergeCell ref="I77:J77"/>
    <mergeCell ref="C78:D78"/>
    <mergeCell ref="F78:H78"/>
    <mergeCell ref="I78:J78"/>
    <mergeCell ref="C75:D75"/>
    <mergeCell ref="F75:H75"/>
    <mergeCell ref="I75:J75"/>
    <mergeCell ref="C76:D76"/>
    <mergeCell ref="F76:H76"/>
    <mergeCell ref="I76:J76"/>
    <mergeCell ref="A82:B82"/>
    <mergeCell ref="C82:E82"/>
    <mergeCell ref="G82:H82"/>
    <mergeCell ref="I82:J82"/>
    <mergeCell ref="C83:D83"/>
    <mergeCell ref="F83:J83"/>
    <mergeCell ref="C79:D79"/>
    <mergeCell ref="F79:H79"/>
    <mergeCell ref="I79:J79"/>
    <mergeCell ref="C80:D80"/>
    <mergeCell ref="F80:H80"/>
    <mergeCell ref="I80:J80"/>
    <mergeCell ref="A87:B87"/>
    <mergeCell ref="C87:E87"/>
    <mergeCell ref="G87:H87"/>
    <mergeCell ref="I87:J87"/>
    <mergeCell ref="A88:B88"/>
    <mergeCell ref="C88:E88"/>
    <mergeCell ref="F88:J88"/>
    <mergeCell ref="A85:B85"/>
    <mergeCell ref="C85:E85"/>
    <mergeCell ref="G85:H85"/>
    <mergeCell ref="I85:J85"/>
    <mergeCell ref="A86:B86"/>
    <mergeCell ref="C86:E86"/>
    <mergeCell ref="F86:J86"/>
    <mergeCell ref="A91:B91"/>
    <mergeCell ref="C91:E91"/>
    <mergeCell ref="G91:H91"/>
    <mergeCell ref="I91:J91"/>
    <mergeCell ref="A92:B92"/>
    <mergeCell ref="C92:E92"/>
    <mergeCell ref="F92:J92"/>
    <mergeCell ref="A89:B89"/>
    <mergeCell ref="C89:E89"/>
    <mergeCell ref="G89:H89"/>
    <mergeCell ref="I89:J89"/>
    <mergeCell ref="A90:B90"/>
    <mergeCell ref="C90:E90"/>
    <mergeCell ref="F90:J90"/>
    <mergeCell ref="I95:J95"/>
    <mergeCell ref="A93:B93"/>
    <mergeCell ref="C93:E93"/>
    <mergeCell ref="G93:H93"/>
    <mergeCell ref="I93:J93"/>
    <mergeCell ref="A94:B94"/>
    <mergeCell ref="C94:E94"/>
    <mergeCell ref="F94:J94"/>
    <mergeCell ref="C95:D95"/>
    <mergeCell ref="C96:D97"/>
    <mergeCell ref="E96:E97"/>
    <mergeCell ref="C98:C99"/>
    <mergeCell ref="D98:F98"/>
    <mergeCell ref="D99:F99"/>
    <mergeCell ref="D100:F100"/>
    <mergeCell ref="I102:J102"/>
    <mergeCell ref="F117:H118"/>
    <mergeCell ref="I118:I119"/>
    <mergeCell ref="J118:J119"/>
    <mergeCell ref="A119:A120"/>
    <mergeCell ref="B119:B120"/>
    <mergeCell ref="E119:E120"/>
    <mergeCell ref="F119:H120"/>
    <mergeCell ref="B115:D116"/>
    <mergeCell ref="A117:A118"/>
    <mergeCell ref="B117:B118"/>
    <mergeCell ref="C117:C118"/>
    <mergeCell ref="D117:D118"/>
    <mergeCell ref="E117:E118"/>
    <mergeCell ref="A126:C127"/>
    <mergeCell ref="G126:G127"/>
    <mergeCell ref="H126:H127"/>
    <mergeCell ref="I126:J127"/>
    <mergeCell ref="A129:J129"/>
    <mergeCell ref="C130:D130"/>
    <mergeCell ref="F130:H130"/>
    <mergeCell ref="I130:J130"/>
    <mergeCell ref="A121:A122"/>
    <mergeCell ref="B121:B122"/>
    <mergeCell ref="F121:G121"/>
    <mergeCell ref="F123:G123"/>
    <mergeCell ref="G124:G125"/>
    <mergeCell ref="H124:J125"/>
    <mergeCell ref="C134:D134"/>
    <mergeCell ref="F134:H134"/>
    <mergeCell ref="I134:J134"/>
    <mergeCell ref="C135:D135"/>
    <mergeCell ref="F135:H135"/>
    <mergeCell ref="I135:J135"/>
    <mergeCell ref="C132:D132"/>
    <mergeCell ref="F132:H132"/>
    <mergeCell ref="I132:J132"/>
    <mergeCell ref="C133:D133"/>
    <mergeCell ref="F133:H133"/>
    <mergeCell ref="I133:J133"/>
    <mergeCell ref="A139:B139"/>
    <mergeCell ref="C139:E139"/>
    <mergeCell ref="G139:H139"/>
    <mergeCell ref="I139:J139"/>
    <mergeCell ref="C140:D140"/>
    <mergeCell ref="F140:J140"/>
    <mergeCell ref="C136:D136"/>
    <mergeCell ref="F136:H136"/>
    <mergeCell ref="I136:J136"/>
    <mergeCell ref="C137:D137"/>
    <mergeCell ref="F137:H137"/>
    <mergeCell ref="I137:J137"/>
    <mergeCell ref="A144:B144"/>
    <mergeCell ref="C144:E144"/>
    <mergeCell ref="G144:H144"/>
    <mergeCell ref="I144:J144"/>
    <mergeCell ref="A145:B145"/>
    <mergeCell ref="C145:E145"/>
    <mergeCell ref="F145:J145"/>
    <mergeCell ref="A142:B142"/>
    <mergeCell ref="C142:E142"/>
    <mergeCell ref="G142:H142"/>
    <mergeCell ref="I142:J142"/>
    <mergeCell ref="A143:B143"/>
    <mergeCell ref="C143:E143"/>
    <mergeCell ref="F143:J143"/>
    <mergeCell ref="A148:B148"/>
    <mergeCell ref="C148:E148"/>
    <mergeCell ref="G148:H148"/>
    <mergeCell ref="I148:J148"/>
    <mergeCell ref="A149:B149"/>
    <mergeCell ref="C149:E149"/>
    <mergeCell ref="F149:J149"/>
    <mergeCell ref="A146:B146"/>
    <mergeCell ref="C146:E146"/>
    <mergeCell ref="G146:H146"/>
    <mergeCell ref="I146:J146"/>
    <mergeCell ref="A147:B147"/>
    <mergeCell ref="C147:E147"/>
    <mergeCell ref="F147:J147"/>
    <mergeCell ref="I152:J152"/>
    <mergeCell ref="A150:B150"/>
    <mergeCell ref="C150:E150"/>
    <mergeCell ref="G150:H150"/>
    <mergeCell ref="I150:J150"/>
    <mergeCell ref="A151:B151"/>
    <mergeCell ref="C151:E151"/>
    <mergeCell ref="F151:J151"/>
    <mergeCell ref="C152:D152"/>
    <mergeCell ref="C153:D154"/>
    <mergeCell ref="E153:E154"/>
    <mergeCell ref="C155:C156"/>
    <mergeCell ref="D155:F155"/>
    <mergeCell ref="D156:F156"/>
    <mergeCell ref="D157:F157"/>
    <mergeCell ref="I159:J159"/>
    <mergeCell ref="F174:H175"/>
    <mergeCell ref="I175:I176"/>
    <mergeCell ref="J175:J176"/>
    <mergeCell ref="A176:A177"/>
    <mergeCell ref="B176:B177"/>
    <mergeCell ref="E176:E177"/>
    <mergeCell ref="F176:H177"/>
    <mergeCell ref="B172:D173"/>
    <mergeCell ref="A174:A175"/>
    <mergeCell ref="B174:B175"/>
    <mergeCell ref="C174:C175"/>
    <mergeCell ref="D174:D175"/>
    <mergeCell ref="E174:E175"/>
    <mergeCell ref="A183:C184"/>
    <mergeCell ref="G183:G184"/>
    <mergeCell ref="H183:H184"/>
    <mergeCell ref="I183:J184"/>
    <mergeCell ref="A186:J186"/>
    <mergeCell ref="C187:D187"/>
    <mergeCell ref="F187:H187"/>
    <mergeCell ref="I187:J187"/>
    <mergeCell ref="A178:A179"/>
    <mergeCell ref="B178:B179"/>
    <mergeCell ref="F178:G178"/>
    <mergeCell ref="F180:G180"/>
    <mergeCell ref="G181:G182"/>
    <mergeCell ref="H181:J182"/>
    <mergeCell ref="C191:D191"/>
    <mergeCell ref="F191:H191"/>
    <mergeCell ref="I191:J191"/>
    <mergeCell ref="C192:D192"/>
    <mergeCell ref="F192:H192"/>
    <mergeCell ref="I192:J192"/>
    <mergeCell ref="C189:D189"/>
    <mergeCell ref="F189:H189"/>
    <mergeCell ref="I189:J189"/>
    <mergeCell ref="C190:D190"/>
    <mergeCell ref="F190:H190"/>
    <mergeCell ref="I190:J190"/>
    <mergeCell ref="A196:B196"/>
    <mergeCell ref="C196:E196"/>
    <mergeCell ref="G196:H196"/>
    <mergeCell ref="I196:J196"/>
    <mergeCell ref="C197:D197"/>
    <mergeCell ref="F197:J197"/>
    <mergeCell ref="C193:D193"/>
    <mergeCell ref="F193:H193"/>
    <mergeCell ref="I193:J193"/>
    <mergeCell ref="C194:D194"/>
    <mergeCell ref="F194:H194"/>
    <mergeCell ref="I194:J194"/>
    <mergeCell ref="A201:B201"/>
    <mergeCell ref="C201:E201"/>
    <mergeCell ref="G201:H201"/>
    <mergeCell ref="I201:J201"/>
    <mergeCell ref="A202:B202"/>
    <mergeCell ref="C202:E202"/>
    <mergeCell ref="F202:J202"/>
    <mergeCell ref="A199:B199"/>
    <mergeCell ref="C199:E199"/>
    <mergeCell ref="G199:H199"/>
    <mergeCell ref="I199:J199"/>
    <mergeCell ref="A200:B200"/>
    <mergeCell ref="C200:E200"/>
    <mergeCell ref="F200:J200"/>
    <mergeCell ref="A205:B205"/>
    <mergeCell ref="C205:E205"/>
    <mergeCell ref="G205:H205"/>
    <mergeCell ref="I205:J205"/>
    <mergeCell ref="A206:B206"/>
    <mergeCell ref="C206:E206"/>
    <mergeCell ref="F206:J206"/>
    <mergeCell ref="A203:B203"/>
    <mergeCell ref="C203:E203"/>
    <mergeCell ref="G203:H203"/>
    <mergeCell ref="I203:J203"/>
    <mergeCell ref="A204:B204"/>
    <mergeCell ref="C204:E204"/>
    <mergeCell ref="F204:J204"/>
    <mergeCell ref="I209:J209"/>
    <mergeCell ref="A207:B207"/>
    <mergeCell ref="C207:E207"/>
    <mergeCell ref="G207:H207"/>
    <mergeCell ref="I207:J207"/>
    <mergeCell ref="A208:B208"/>
    <mergeCell ref="C208:E208"/>
    <mergeCell ref="F208:J208"/>
    <mergeCell ref="C209:D209"/>
    <mergeCell ref="C210:D211"/>
    <mergeCell ref="E210:E211"/>
    <mergeCell ref="C212:C213"/>
    <mergeCell ref="D212:F212"/>
    <mergeCell ref="D213:F213"/>
    <mergeCell ref="D214:F214"/>
    <mergeCell ref="I216:J216"/>
    <mergeCell ref="F231:H232"/>
    <mergeCell ref="I232:I233"/>
    <mergeCell ref="J232:J233"/>
    <mergeCell ref="A233:A234"/>
    <mergeCell ref="B233:B234"/>
    <mergeCell ref="E233:E234"/>
    <mergeCell ref="F233:H234"/>
    <mergeCell ref="B229:D230"/>
    <mergeCell ref="A231:A232"/>
    <mergeCell ref="B231:B232"/>
    <mergeCell ref="C231:C232"/>
    <mergeCell ref="D231:D232"/>
    <mergeCell ref="E231:E232"/>
    <mergeCell ref="A240:C241"/>
    <mergeCell ref="G240:G241"/>
    <mergeCell ref="H240:H241"/>
    <mergeCell ref="I240:J241"/>
    <mergeCell ref="A243:J243"/>
    <mergeCell ref="C244:D244"/>
    <mergeCell ref="F244:H244"/>
    <mergeCell ref="I244:J244"/>
    <mergeCell ref="A235:A236"/>
    <mergeCell ref="B235:B236"/>
    <mergeCell ref="F235:G235"/>
    <mergeCell ref="F237:G237"/>
    <mergeCell ref="G238:G239"/>
    <mergeCell ref="H238:J239"/>
    <mergeCell ref="C248:D248"/>
    <mergeCell ref="F248:H248"/>
    <mergeCell ref="I248:J248"/>
    <mergeCell ref="C249:D249"/>
    <mergeCell ref="F249:H249"/>
    <mergeCell ref="I249:J249"/>
    <mergeCell ref="C246:D246"/>
    <mergeCell ref="F246:H246"/>
    <mergeCell ref="I246:J246"/>
    <mergeCell ref="C247:D247"/>
    <mergeCell ref="F247:H247"/>
    <mergeCell ref="I247:J247"/>
    <mergeCell ref="A253:B253"/>
    <mergeCell ref="C253:E253"/>
    <mergeCell ref="G253:H253"/>
    <mergeCell ref="I253:J253"/>
    <mergeCell ref="C254:D254"/>
    <mergeCell ref="F254:J254"/>
    <mergeCell ref="C250:D250"/>
    <mergeCell ref="F250:H250"/>
    <mergeCell ref="I250:J250"/>
    <mergeCell ref="C251:D251"/>
    <mergeCell ref="F251:H251"/>
    <mergeCell ref="I251:J251"/>
    <mergeCell ref="A258:B258"/>
    <mergeCell ref="C258:E258"/>
    <mergeCell ref="G258:H258"/>
    <mergeCell ref="I258:J258"/>
    <mergeCell ref="A259:B259"/>
    <mergeCell ref="C259:E259"/>
    <mergeCell ref="F259:J259"/>
    <mergeCell ref="A256:B256"/>
    <mergeCell ref="C256:E256"/>
    <mergeCell ref="G256:H256"/>
    <mergeCell ref="I256:J256"/>
    <mergeCell ref="A257:B257"/>
    <mergeCell ref="C257:E257"/>
    <mergeCell ref="F257:J257"/>
    <mergeCell ref="A262:B262"/>
    <mergeCell ref="C262:E262"/>
    <mergeCell ref="G262:H262"/>
    <mergeCell ref="I262:J262"/>
    <mergeCell ref="A263:B263"/>
    <mergeCell ref="C263:E263"/>
    <mergeCell ref="F263:J263"/>
    <mergeCell ref="A260:B260"/>
    <mergeCell ref="C260:E260"/>
    <mergeCell ref="G260:H260"/>
    <mergeCell ref="I260:J260"/>
    <mergeCell ref="A261:B261"/>
    <mergeCell ref="C261:E261"/>
    <mergeCell ref="F261:J261"/>
    <mergeCell ref="C267:D268"/>
    <mergeCell ref="E267:E268"/>
    <mergeCell ref="C269:C270"/>
    <mergeCell ref="D269:F269"/>
    <mergeCell ref="D270:F270"/>
    <mergeCell ref="D271:F271"/>
    <mergeCell ref="I273:J273"/>
    <mergeCell ref="I266:J266"/>
    <mergeCell ref="A264:B264"/>
    <mergeCell ref="C264:E264"/>
    <mergeCell ref="G264:H264"/>
    <mergeCell ref="I264:J264"/>
    <mergeCell ref="A265:B265"/>
    <mergeCell ref="C265:E265"/>
    <mergeCell ref="F265:J265"/>
    <mergeCell ref="C266:D266"/>
  </mergeCells>
  <phoneticPr fontId="2"/>
  <conditionalFormatting sqref="A216:B226 D216:E216 C217:E226">
    <cfRule type="cellIs" dxfId="9" priority="10" operator="between">
      <formula>0</formula>
      <formula>0</formula>
    </cfRule>
  </conditionalFormatting>
  <conditionalFormatting sqref="A226:H226">
    <cfRule type="expression" dxfId="8" priority="9">
      <formula>ISNUMBER(SEARCH("灯具",$F174))</formula>
    </cfRule>
  </conditionalFormatting>
  <conditionalFormatting sqref="A273:B283 D273:E273 C274:E283">
    <cfRule type="cellIs" dxfId="7" priority="8" operator="between">
      <formula>0</formula>
      <formula>0</formula>
    </cfRule>
  </conditionalFormatting>
  <conditionalFormatting sqref="A283:H283">
    <cfRule type="expression" dxfId="6" priority="7">
      <formula>ISNUMBER(SEARCH("灯具",$F231))</formula>
    </cfRule>
  </conditionalFormatting>
  <conditionalFormatting sqref="A45:B55 D45:E45 C46:E55">
    <cfRule type="cellIs" dxfId="5" priority="6" operator="between">
      <formula>0</formula>
      <formula>0</formula>
    </cfRule>
  </conditionalFormatting>
  <conditionalFormatting sqref="A55:H55">
    <cfRule type="expression" dxfId="4" priority="5">
      <formula>ISNUMBER(SEARCH("灯具",$F3))</formula>
    </cfRule>
  </conditionalFormatting>
  <conditionalFormatting sqref="A102:B112 D102:E102 C103:E112">
    <cfRule type="cellIs" dxfId="3" priority="4" operator="between">
      <formula>0</formula>
      <formula>0</formula>
    </cfRule>
  </conditionalFormatting>
  <conditionalFormatting sqref="A112:H112">
    <cfRule type="expression" dxfId="2" priority="3">
      <formula>ISNUMBER(SEARCH("灯具",$F60))</formula>
    </cfRule>
  </conditionalFormatting>
  <conditionalFormatting sqref="A159:B169 D159:E159 C160:E169">
    <cfRule type="cellIs" dxfId="1" priority="2" operator="between">
      <formula>0</formula>
      <formula>0</formula>
    </cfRule>
  </conditionalFormatting>
  <conditionalFormatting sqref="A169:H169">
    <cfRule type="expression" dxfId="0" priority="1">
      <formula>ISNUMBER(SEARCH("灯具",$F117))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4" manualBreakCount="4">
    <brk id="57" max="16383" man="1"/>
    <brk id="114" max="16383" man="1"/>
    <brk id="171" max="16383" man="1"/>
    <brk id="2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上瀬 隆司</dc:creator>
  <cp:lastModifiedBy>鉄平 富田</cp:lastModifiedBy>
  <cp:lastPrinted>2026-03-31T00:47:20Z</cp:lastPrinted>
  <dcterms:created xsi:type="dcterms:W3CDTF">2026-03-30T02:19:33Z</dcterms:created>
  <dcterms:modified xsi:type="dcterms:W3CDTF">2026-05-12T05:04:36Z</dcterms:modified>
</cp:coreProperties>
</file>