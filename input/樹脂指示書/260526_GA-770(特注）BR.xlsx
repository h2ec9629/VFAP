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73" documentId="8_{ACF2C6D7-DDA0-4676-972B-EFD9221097FC}" xr6:coauthVersionLast="47" xr6:coauthVersionMax="47" xr10:uidLastSave="{A27D09CC-6607-443E-8730-2B371AB2FAB5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F44" i="1" l="1" a="1"/>
  <c r="F44" i="1" s="1"/>
  <c r="B44" i="1" a="1"/>
  <c r="B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<sst xmlns="http://schemas.openxmlformats.org/spreadsheetml/2006/main" count="94" uniqueCount="89">
  <si>
    <t>検査梱包指示書</t>
  </si>
  <si>
    <t>品目番号</t>
  </si>
  <si>
    <t>J1AAFAB01299999</t>
  </si>
  <si>
    <t>名称</t>
  </si>
  <si>
    <t>GA-770 (特注)BR</t>
  </si>
  <si>
    <t>上長</t>
  </si>
  <si>
    <t>係員</t>
  </si>
  <si>
    <t>製造指図№</t>
  </si>
  <si>
    <t>000000000014963</t>
  </si>
  <si>
    <t>原料名</t>
  </si>
  <si>
    <t>J1VR256D</t>
  </si>
  <si>
    <t>発注明細№</t>
  </si>
  <si>
    <t>000000000859608</t>
  </si>
  <si>
    <t>色　名</t>
  </si>
  <si>
    <t>ﾌﾞﾛﾝｽﾞ</t>
  </si>
  <si>
    <t>製品Grp</t>
  </si>
  <si>
    <t>J1AA</t>
  </si>
  <si>
    <t>開始日</t>
  </si>
  <si>
    <t>バッチ単位数</t>
  </si>
  <si>
    <t>終了日</t>
  </si>
  <si>
    <t>バッチ数</t>
  </si>
  <si>
    <t>指示数量</t>
  </si>
  <si>
    <t>*J1AAFAB01299999*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</si>
  <si>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</si>
  <si>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</si>
  <si>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</si>
  <si>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</si>
  <si>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</si>
  <si>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</si>
  <si>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</si>
  <si>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</si>
  <si>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</si>
  <si>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</si>
  <si>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</si>
  <si>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</si>
  <si>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</si>
  <si>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</si>
  <si>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</si>
  <si>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</si>
  <si>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</si>
  <si>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</si>
  <si>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</si>
  <si>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</si>
  <si>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</si>
  <si>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</si>
  <si>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J1AAFAA01215400</t>
  </si>
  <si>
    <t>@GA-770</t>
  </si>
  <si>
    <t>*J1AAFAA01215400*</t>
  </si>
  <si>
    <t>(J1VR256D)</t>
  </si>
  <si>
    <t>J6DK0030</t>
  </si>
  <si>
    <t>SB-246</t>
  </si>
  <si>
    <t>*J6DK0030*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</si>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</sst>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0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11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7" fillId="0" borderId="0" xfId="1" applyNumberFormat="1" applyFont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9" fillId="0" borderId="0" xfId="1" applyNumberFormat="1" applyFont="1" applyAlignment="1">
      <alignment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A3B3320C-E4F6-4118-B3E9-E0DEBB597594}"/>
  </cellStyles>
  <dxfs count="4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76070</xdr:colOff>
      <xdr:row>4</xdr:row>
      <xdr:rowOff>19050</xdr:rowOff>
    </xdr:from>
    <xdr:to>
      <xdr:col>8</xdr:col>
      <xdr:colOff>790445</xdr:colOff>
      <xdr:row>7</xdr:row>
      <xdr:rowOff>76200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E7C4058-00DC-F1B9-060A-26885E1C1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1320" y="742950"/>
          <a:ext cx="714375" cy="714375"/>
        </a:xfrm>
        <a:prstGeom prst="rect">
          <a:avLst/>
        </a:prstGeom>
      </xdr:spPr>
    </xdr:pic>
    <xdr:clientData/>
  </xdr:twoCellAnchor>
  <xdr:twoCellAnchor editAs="oneCell">
    <xdr:from>
      <xdr:col>9</xdr:col>
      <xdr:colOff>76070</xdr:colOff>
      <xdr:row>4</xdr:row>
      <xdr:rowOff>28575</xdr:rowOff>
    </xdr:from>
    <xdr:to>
      <xdr:col>9</xdr:col>
      <xdr:colOff>790445</xdr:colOff>
      <xdr:row>7</xdr:row>
      <xdr:rowOff>85725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4B214CB-CDA5-3913-6777-E802D017F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00945" y="752475"/>
          <a:ext cx="714375" cy="7143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指図書 (2)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D124">
            <v>46128</v>
          </cell>
          <cell r="E124" t="str">
            <v>26D14-01</v>
          </cell>
          <cell r="F124">
            <v>9</v>
          </cell>
          <cell r="M124">
            <v>46178</v>
          </cell>
          <cell r="N124">
            <v>5</v>
          </cell>
          <cell r="P124">
            <v>46178</v>
          </cell>
          <cell r="R124">
            <v>6</v>
          </cell>
          <cell r="U124" t="str">
            <v>000000000014333</v>
          </cell>
        </row>
        <row r="125">
          <cell r="D125">
            <v>46178</v>
          </cell>
          <cell r="E125" t="str">
            <v>26E22-01</v>
          </cell>
          <cell r="F125">
            <v>87</v>
          </cell>
          <cell r="P125">
            <v>80</v>
          </cell>
          <cell r="R125">
            <v>10</v>
          </cell>
          <cell r="U125" t="str">
            <v>000000000014333</v>
          </cell>
        </row>
        <row r="126">
          <cell r="C126">
            <v>80</v>
          </cell>
          <cell r="P126">
            <v>96</v>
          </cell>
          <cell r="U126" t="str">
            <v>000000000014333</v>
          </cell>
        </row>
        <row r="127">
          <cell r="C127">
            <v>80</v>
          </cell>
          <cell r="P127">
            <v>16</v>
          </cell>
          <cell r="U127" t="str">
            <v>000000000014333</v>
          </cell>
        </row>
        <row r="128">
          <cell r="C128">
            <v>1</v>
          </cell>
          <cell r="P128">
            <v>16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5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80</v>
          </cell>
          <cell r="P130">
            <v>96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M133" t="str">
            <v>I</v>
          </cell>
          <cell r="N133" t="str">
            <v>T</v>
          </cell>
          <cell r="R133">
            <v>16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M135">
            <v>46178</v>
          </cell>
          <cell r="N135">
            <v>4</v>
          </cell>
          <cell r="P135">
            <v>46181</v>
          </cell>
          <cell r="R135">
            <v>4</v>
          </cell>
          <cell r="U135" t="str">
            <v>000000000014336</v>
          </cell>
        </row>
        <row r="136">
          <cell r="D136">
            <v>46178</v>
          </cell>
          <cell r="E136" t="str">
            <v>26E22-01</v>
          </cell>
          <cell r="M136">
            <v>46181</v>
          </cell>
          <cell r="N136">
            <v>1</v>
          </cell>
          <cell r="P136">
            <v>80</v>
          </cell>
          <cell r="R136">
            <v>13</v>
          </cell>
          <cell r="U136" t="str">
            <v>000000000014336</v>
          </cell>
        </row>
        <row r="137">
          <cell r="C137">
            <v>80</v>
          </cell>
          <cell r="D137">
            <v>46181</v>
          </cell>
          <cell r="E137" t="str">
            <v>26E22-01</v>
          </cell>
          <cell r="F137">
            <v>97</v>
          </cell>
          <cell r="P137">
            <v>97</v>
          </cell>
          <cell r="U137" t="str">
            <v>000000000014336</v>
          </cell>
        </row>
        <row r="138">
          <cell r="C138">
            <v>80</v>
          </cell>
          <cell r="P138">
            <v>17</v>
          </cell>
          <cell r="U138" t="str">
            <v>000000000014336</v>
          </cell>
        </row>
        <row r="139">
          <cell r="C139">
            <v>1</v>
          </cell>
          <cell r="P139">
            <v>17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5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80</v>
          </cell>
          <cell r="P141">
            <v>97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5</v>
          </cell>
          <cell r="U143" t="str">
            <v>000000000014336</v>
          </cell>
        </row>
        <row r="144">
          <cell r="M144" t="str">
            <v>I</v>
          </cell>
          <cell r="N144" t="str">
            <v>T</v>
          </cell>
          <cell r="R144">
            <v>17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M146">
            <v>46181</v>
          </cell>
          <cell r="N146">
            <v>5</v>
          </cell>
          <cell r="P146">
            <v>46181</v>
          </cell>
          <cell r="R146">
            <v>2</v>
          </cell>
          <cell r="U146" t="str">
            <v>000000000014604</v>
          </cell>
        </row>
        <row r="147">
          <cell r="D147">
            <v>46178</v>
          </cell>
          <cell r="E147" t="str">
            <v>26E22-04</v>
          </cell>
          <cell r="P147">
            <v>500</v>
          </cell>
          <cell r="U147" t="str">
            <v>000000000014604</v>
          </cell>
        </row>
        <row r="148">
          <cell r="C148">
            <v>500</v>
          </cell>
          <cell r="D148">
            <v>46181</v>
          </cell>
          <cell r="E148" t="str">
            <v>26E22-04</v>
          </cell>
          <cell r="P148">
            <v>628</v>
          </cell>
          <cell r="R148">
            <v>2</v>
          </cell>
          <cell r="U148" t="str">
            <v>000000000014604</v>
          </cell>
        </row>
        <row r="149">
          <cell r="C149">
            <v>500</v>
          </cell>
          <cell r="D149">
            <v>46181</v>
          </cell>
          <cell r="E149" t="str">
            <v>26E22-04</v>
          </cell>
          <cell r="F149">
            <v>400</v>
          </cell>
          <cell r="P149">
            <v>128</v>
          </cell>
          <cell r="U149" t="str">
            <v>000000000014604</v>
          </cell>
        </row>
        <row r="150">
          <cell r="C150">
            <v>1</v>
          </cell>
          <cell r="D150">
            <v>46181</v>
          </cell>
          <cell r="E150" t="str">
            <v>26E22-04</v>
          </cell>
          <cell r="F150">
            <v>100</v>
          </cell>
          <cell r="P150">
            <v>128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5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500</v>
          </cell>
          <cell r="P152">
            <v>628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5</v>
          </cell>
          <cell r="M154" t="str">
            <v>I</v>
          </cell>
          <cell r="R154">
            <v>124</v>
          </cell>
          <cell r="U154" t="str">
            <v>000000000014604</v>
          </cell>
        </row>
        <row r="155">
          <cell r="M155" t="str">
            <v>T</v>
          </cell>
          <cell r="R155">
            <v>128</v>
          </cell>
          <cell r="U155" t="str">
            <v>000000000014604</v>
          </cell>
        </row>
        <row r="156">
          <cell r="D156" t="str">
            <v>不良補填</v>
          </cell>
          <cell r="E156" t="str">
            <v>26D18-08</v>
          </cell>
          <cell r="F156">
            <v>128</v>
          </cell>
          <cell r="U156" t="str">
            <v>000000000014604</v>
          </cell>
        </row>
        <row r="157">
          <cell r="C157" t="str">
            <v>8FL281304 6110　L=1478</v>
          </cell>
          <cell r="M157">
            <v>46181</v>
          </cell>
          <cell r="N157">
            <v>1</v>
          </cell>
          <cell r="P157">
            <v>46181</v>
          </cell>
          <cell r="U157" t="str">
            <v>000000000014605</v>
          </cell>
        </row>
        <row r="158">
          <cell r="D158">
            <v>46181</v>
          </cell>
          <cell r="E158" t="str">
            <v>26E22-04</v>
          </cell>
          <cell r="P158">
            <v>100</v>
          </cell>
          <cell r="U158" t="str">
            <v>000000000014605</v>
          </cell>
        </row>
        <row r="159">
          <cell r="C159">
            <v>100</v>
          </cell>
          <cell r="D159">
            <v>46181</v>
          </cell>
          <cell r="E159" t="str">
            <v>26E22-04</v>
          </cell>
          <cell r="F159">
            <v>100</v>
          </cell>
          <cell r="P159">
            <v>102</v>
          </cell>
          <cell r="R159">
            <v>2</v>
          </cell>
          <cell r="U159" t="str">
            <v>000000000014605</v>
          </cell>
        </row>
        <row r="160">
          <cell r="C160">
            <v>100</v>
          </cell>
          <cell r="P160">
            <v>2</v>
          </cell>
          <cell r="U160" t="str">
            <v>000000000014605</v>
          </cell>
        </row>
        <row r="161">
          <cell r="C161">
            <v>1</v>
          </cell>
          <cell r="P161">
            <v>2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1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100</v>
          </cell>
          <cell r="P163">
            <v>102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1</v>
          </cell>
          <cell r="M165" t="str">
            <v>I</v>
          </cell>
          <cell r="U165" t="str">
            <v>000000000014605</v>
          </cell>
        </row>
        <row r="166">
          <cell r="M166" t="str">
            <v>T</v>
          </cell>
          <cell r="R166">
            <v>2</v>
          </cell>
          <cell r="U166" t="str">
            <v>000000000014605</v>
          </cell>
        </row>
        <row r="167">
          <cell r="D167" t="str">
            <v>不良補填</v>
          </cell>
          <cell r="E167" t="str">
            <v>26D18-08</v>
          </cell>
          <cell r="F167">
            <v>2</v>
          </cell>
          <cell r="U167" t="str">
            <v>000000000014605</v>
          </cell>
        </row>
        <row r="168">
          <cell r="C168" t="str">
            <v>8FL281304 6110　L=1478</v>
          </cell>
          <cell r="M168">
            <v>46181</v>
          </cell>
          <cell r="N168">
            <v>1</v>
          </cell>
          <cell r="P168">
            <v>46181</v>
          </cell>
          <cell r="U168" t="str">
            <v>000000000014606</v>
          </cell>
        </row>
        <row r="169">
          <cell r="D169">
            <v>46181</v>
          </cell>
          <cell r="E169" t="str">
            <v>26E22-04</v>
          </cell>
          <cell r="P169">
            <v>100</v>
          </cell>
          <cell r="U169" t="str">
            <v>000000000014606</v>
          </cell>
        </row>
        <row r="170">
          <cell r="C170">
            <v>100</v>
          </cell>
          <cell r="D170">
            <v>46181</v>
          </cell>
          <cell r="E170" t="str">
            <v>26E22-04</v>
          </cell>
          <cell r="F170">
            <v>100</v>
          </cell>
          <cell r="P170">
            <v>100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1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100</v>
          </cell>
          <cell r="P174">
            <v>100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1</v>
          </cell>
          <cell r="M176" t="str">
            <v>I</v>
          </cell>
          <cell r="U176" t="str">
            <v>000000000014606</v>
          </cell>
        </row>
        <row r="177">
          <cell r="M177" t="str">
            <v>U</v>
          </cell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D179">
            <v>46065</v>
          </cell>
          <cell r="E179" t="str">
            <v>26A23-05</v>
          </cell>
          <cell r="F179">
            <v>8</v>
          </cell>
          <cell r="M179">
            <v>46181</v>
          </cell>
          <cell r="N179">
            <v>1</v>
          </cell>
          <cell r="P179">
            <v>46182</v>
          </cell>
          <cell r="R179">
            <v>1</v>
          </cell>
          <cell r="U179" t="str">
            <v>000000000014578</v>
          </cell>
        </row>
        <row r="180">
          <cell r="D180">
            <v>46181</v>
          </cell>
          <cell r="E180" t="str">
            <v>26E21-03</v>
          </cell>
          <cell r="M180">
            <v>46182</v>
          </cell>
          <cell r="N180">
            <v>2</v>
          </cell>
          <cell r="P180">
            <v>300</v>
          </cell>
          <cell r="U180" t="str">
            <v>000000000014578</v>
          </cell>
        </row>
        <row r="181">
          <cell r="C181">
            <v>300</v>
          </cell>
          <cell r="D181">
            <v>46181</v>
          </cell>
          <cell r="E181" t="str">
            <v>26E21-03</v>
          </cell>
          <cell r="F181">
            <v>100</v>
          </cell>
          <cell r="P181">
            <v>100.33333333333333</v>
          </cell>
          <cell r="U181" t="str">
            <v>000000000014578</v>
          </cell>
        </row>
        <row r="182">
          <cell r="C182">
            <v>300</v>
          </cell>
          <cell r="D182">
            <v>46181</v>
          </cell>
          <cell r="E182" t="str">
            <v>26E22-04</v>
          </cell>
          <cell r="P182">
            <v>1</v>
          </cell>
          <cell r="U182" t="str">
            <v>000000000014578</v>
          </cell>
        </row>
        <row r="183">
          <cell r="C183">
            <v>3</v>
          </cell>
          <cell r="D183">
            <v>46181</v>
          </cell>
          <cell r="E183" t="str">
            <v>26E22-04</v>
          </cell>
          <cell r="F183">
            <v>192</v>
          </cell>
          <cell r="P183">
            <v>0.33333333333333331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3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300</v>
          </cell>
          <cell r="P185">
            <v>301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3</v>
          </cell>
          <cell r="M187" t="str">
            <v>I</v>
          </cell>
          <cell r="U187" t="str">
            <v>000000000014578</v>
          </cell>
        </row>
        <row r="188">
          <cell r="M188" t="str">
            <v>U</v>
          </cell>
          <cell r="N188" t="str">
            <v>T</v>
          </cell>
          <cell r="R188">
            <v>1</v>
          </cell>
          <cell r="U188" t="str">
            <v>000000000014578</v>
          </cell>
        </row>
        <row r="189">
          <cell r="D189" t="str">
            <v>不良補填</v>
          </cell>
          <cell r="E189" t="str">
            <v>26E21-03</v>
          </cell>
          <cell r="F189">
            <v>1</v>
          </cell>
          <cell r="U189" t="str">
            <v>000000000014578</v>
          </cell>
        </row>
        <row r="190">
          <cell r="C190" t="str">
            <v>8FL281304 4910　L=592</v>
          </cell>
          <cell r="M190">
            <v>46182</v>
          </cell>
          <cell r="N190">
            <v>1</v>
          </cell>
          <cell r="P190">
            <v>46182</v>
          </cell>
          <cell r="U190" t="str">
            <v>000000000014579</v>
          </cell>
        </row>
        <row r="191">
          <cell r="D191">
            <v>46181</v>
          </cell>
          <cell r="E191" t="str">
            <v>26E22-04</v>
          </cell>
          <cell r="P191">
            <v>100</v>
          </cell>
          <cell r="U191" t="str">
            <v>000000000014579</v>
          </cell>
        </row>
        <row r="192">
          <cell r="C192">
            <v>100</v>
          </cell>
          <cell r="D192">
            <v>46181</v>
          </cell>
          <cell r="E192" t="str">
            <v>26E22-04</v>
          </cell>
          <cell r="F192">
            <v>100</v>
          </cell>
          <cell r="P192">
            <v>33.333333333333336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1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100</v>
          </cell>
          <cell r="P196">
            <v>100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1</v>
          </cell>
          <cell r="M198" t="str">
            <v>I</v>
          </cell>
          <cell r="U198" t="str">
            <v>000000000014579</v>
          </cell>
        </row>
        <row r="199">
          <cell r="M199" t="str">
            <v>T</v>
          </cell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M201">
            <v>46182</v>
          </cell>
          <cell r="N201">
            <v>2</v>
          </cell>
          <cell r="P201">
            <v>46182</v>
          </cell>
          <cell r="R201">
            <v>4</v>
          </cell>
          <cell r="U201" t="str">
            <v>000000000014573</v>
          </cell>
        </row>
        <row r="202">
          <cell r="D202">
            <v>46181</v>
          </cell>
          <cell r="E202" t="str">
            <v>端材</v>
          </cell>
          <cell r="P202">
            <v>200</v>
          </cell>
          <cell r="U202" t="str">
            <v>000000000014573</v>
          </cell>
        </row>
        <row r="203">
          <cell r="C203">
            <v>200</v>
          </cell>
          <cell r="D203">
            <v>46181</v>
          </cell>
          <cell r="E203" t="str">
            <v>端材</v>
          </cell>
          <cell r="F203">
            <v>200</v>
          </cell>
          <cell r="P203">
            <v>1.1666666666666667</v>
          </cell>
          <cell r="R203">
            <v>3</v>
          </cell>
          <cell r="U203" t="str">
            <v>000000000014573</v>
          </cell>
        </row>
        <row r="204">
          <cell r="C204">
            <v>200</v>
          </cell>
          <cell r="P204">
            <v>7</v>
          </cell>
          <cell r="U204" t="str">
            <v>000000000014573</v>
          </cell>
        </row>
        <row r="205">
          <cell r="C205">
            <v>6</v>
          </cell>
          <cell r="P205">
            <v>1.1666666666666667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2</v>
          </cell>
          <cell r="P206">
            <v>200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200</v>
          </cell>
          <cell r="P207">
            <v>207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2</v>
          </cell>
          <cell r="M209" t="str">
            <v>I</v>
          </cell>
          <cell r="U209" t="str">
            <v>000000000014573</v>
          </cell>
        </row>
        <row r="210">
          <cell r="M210" t="str">
            <v>T</v>
          </cell>
          <cell r="R210">
            <v>7</v>
          </cell>
          <cell r="U210" t="str">
            <v>000000000014573</v>
          </cell>
        </row>
        <row r="211">
          <cell r="D211" t="str">
            <v>不良補填</v>
          </cell>
          <cell r="E211" t="str">
            <v>26B24-01</v>
          </cell>
          <cell r="F211">
            <v>7</v>
          </cell>
          <cell r="U211" t="str">
            <v>000000000014573</v>
          </cell>
        </row>
        <row r="212">
          <cell r="C212" t="str">
            <v>8FL281304 4810　L=297</v>
          </cell>
          <cell r="M212">
            <v>46182</v>
          </cell>
          <cell r="N212">
            <v>1</v>
          </cell>
          <cell r="P212">
            <v>46182</v>
          </cell>
          <cell r="U212" t="str">
            <v>000000000014574</v>
          </cell>
        </row>
        <row r="213">
          <cell r="D213">
            <v>46181</v>
          </cell>
          <cell r="E213" t="str">
            <v>端材</v>
          </cell>
          <cell r="P213">
            <v>100</v>
          </cell>
          <cell r="U213" t="str">
            <v>000000000014574</v>
          </cell>
        </row>
        <row r="214">
          <cell r="C214">
            <v>100</v>
          </cell>
          <cell r="D214">
            <v>46181</v>
          </cell>
          <cell r="E214" t="str">
            <v>端材</v>
          </cell>
          <cell r="F214">
            <v>100</v>
          </cell>
          <cell r="P214">
            <v>0.16666666666666666</v>
          </cell>
          <cell r="R214">
            <v>1</v>
          </cell>
          <cell r="U214" t="str">
            <v>000000000014574</v>
          </cell>
        </row>
        <row r="215">
          <cell r="C215">
            <v>100</v>
          </cell>
          <cell r="P215">
            <v>1</v>
          </cell>
          <cell r="U215" t="str">
            <v>000000000014574</v>
          </cell>
        </row>
        <row r="216">
          <cell r="C216">
            <v>6</v>
          </cell>
          <cell r="P216">
            <v>0.16666666666666666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1</v>
          </cell>
          <cell r="P217">
            <v>100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100</v>
          </cell>
          <cell r="P218">
            <v>101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1</v>
          </cell>
          <cell r="M220" t="str">
            <v>I</v>
          </cell>
          <cell r="U220" t="str">
            <v>000000000014574</v>
          </cell>
        </row>
        <row r="221">
          <cell r="M221" t="str">
            <v>T</v>
          </cell>
          <cell r="R221">
            <v>1</v>
          </cell>
          <cell r="U221" t="str">
            <v>000000000014574</v>
          </cell>
        </row>
        <row r="222">
          <cell r="D222" t="str">
            <v>不良補填</v>
          </cell>
          <cell r="E222" t="str">
            <v>26B24-01</v>
          </cell>
          <cell r="F222">
            <v>1</v>
          </cell>
          <cell r="U222" t="str">
            <v>000000000014574</v>
          </cell>
        </row>
        <row r="223">
          <cell r="C223" t="str">
            <v>8FL281304 4810　L=297</v>
          </cell>
          <cell r="M223">
            <v>46182</v>
          </cell>
          <cell r="N223">
            <v>3</v>
          </cell>
          <cell r="P223">
            <v>46182</v>
          </cell>
          <cell r="R223">
            <v>1</v>
          </cell>
          <cell r="U223" t="str">
            <v>000000000014575</v>
          </cell>
        </row>
        <row r="224">
          <cell r="D224">
            <v>46181</v>
          </cell>
          <cell r="E224" t="str">
            <v>端材</v>
          </cell>
          <cell r="P224">
            <v>300</v>
          </cell>
          <cell r="U224" t="str">
            <v>000000000014575</v>
          </cell>
        </row>
        <row r="225">
          <cell r="C225">
            <v>300</v>
          </cell>
          <cell r="D225">
            <v>46181</v>
          </cell>
          <cell r="E225" t="str">
            <v>端材</v>
          </cell>
          <cell r="F225">
            <v>32</v>
          </cell>
          <cell r="P225">
            <v>44.833333333333336</v>
          </cell>
          <cell r="U225" t="str">
            <v>000000000014575</v>
          </cell>
        </row>
        <row r="226">
          <cell r="C226">
            <v>300</v>
          </cell>
          <cell r="D226">
            <v>46181</v>
          </cell>
          <cell r="E226" t="str">
            <v>26E22-04</v>
          </cell>
          <cell r="P226">
            <v>1</v>
          </cell>
          <cell r="U226" t="str">
            <v>000000000014575</v>
          </cell>
        </row>
        <row r="227">
          <cell r="C227">
            <v>6</v>
          </cell>
          <cell r="D227">
            <v>46181</v>
          </cell>
          <cell r="E227" t="str">
            <v>26E22-04</v>
          </cell>
          <cell r="F227">
            <v>12</v>
          </cell>
          <cell r="P227">
            <v>0.16666666666666666</v>
          </cell>
          <cell r="U227" t="str">
            <v>000000000014575</v>
          </cell>
        </row>
        <row r="228">
          <cell r="C228">
            <v>100</v>
          </cell>
          <cell r="D228">
            <v>46182</v>
          </cell>
          <cell r="E228" t="str">
            <v>26E23-05</v>
          </cell>
          <cell r="M228" t="str">
            <v>合計</v>
          </cell>
          <cell r="N228">
            <v>3</v>
          </cell>
          <cell r="P228">
            <v>32</v>
          </cell>
          <cell r="U228" t="str">
            <v>000000000014575</v>
          </cell>
        </row>
        <row r="229">
          <cell r="C229" t="str">
            <v>LED-A300</v>
          </cell>
          <cell r="D229">
            <v>46182</v>
          </cell>
          <cell r="E229" t="str">
            <v>26E23-05</v>
          </cell>
          <cell r="F229">
            <v>256</v>
          </cell>
          <cell r="M229" t="str">
            <v>入数</v>
          </cell>
          <cell r="N229">
            <v>300</v>
          </cell>
          <cell r="P229">
            <v>301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3</v>
          </cell>
          <cell r="M231" t="str">
            <v>I</v>
          </cell>
          <cell r="U231" t="str">
            <v>000000000014575</v>
          </cell>
        </row>
        <row r="232">
          <cell r="M232" t="str">
            <v>T</v>
          </cell>
          <cell r="R232">
            <v>1</v>
          </cell>
          <cell r="U232" t="str">
            <v>000000000014575</v>
          </cell>
        </row>
        <row r="233">
          <cell r="D233" t="str">
            <v>不良補填</v>
          </cell>
          <cell r="E233" t="str">
            <v>26B24-01</v>
          </cell>
          <cell r="F233">
            <v>1</v>
          </cell>
          <cell r="U233" t="str">
            <v>000000000014575</v>
          </cell>
        </row>
        <row r="234">
          <cell r="C234" t="str">
            <v>8FL281304 5010　L=888</v>
          </cell>
          <cell r="M234">
            <v>46182</v>
          </cell>
          <cell r="N234">
            <v>5</v>
          </cell>
          <cell r="P234">
            <v>46183</v>
          </cell>
          <cell r="R234">
            <v>1</v>
          </cell>
          <cell r="U234" t="str">
            <v>000000000014595</v>
          </cell>
        </row>
        <row r="235">
          <cell r="D235">
            <v>46182</v>
          </cell>
          <cell r="E235" t="str">
            <v>26E23-05</v>
          </cell>
          <cell r="M235">
            <v>46183</v>
          </cell>
          <cell r="N235">
            <v>1</v>
          </cell>
          <cell r="P235">
            <v>600</v>
          </cell>
          <cell r="U235" t="str">
            <v>000000000014595</v>
          </cell>
        </row>
        <row r="236">
          <cell r="C236">
            <v>600</v>
          </cell>
          <cell r="D236">
            <v>46182</v>
          </cell>
          <cell r="E236" t="str">
            <v>26E23-05</v>
          </cell>
          <cell r="F236">
            <v>400</v>
          </cell>
          <cell r="P236">
            <v>300.5</v>
          </cell>
          <cell r="U236" t="str">
            <v>000000000014595</v>
          </cell>
        </row>
        <row r="237">
          <cell r="C237">
            <v>600</v>
          </cell>
          <cell r="D237">
            <v>46182</v>
          </cell>
          <cell r="E237" t="str">
            <v>26E23-05</v>
          </cell>
          <cell r="F237">
            <v>200</v>
          </cell>
          <cell r="P237">
            <v>1</v>
          </cell>
          <cell r="U237" t="str">
            <v>000000000014595</v>
          </cell>
        </row>
        <row r="238">
          <cell r="C238">
            <v>2</v>
          </cell>
          <cell r="P238">
            <v>0.5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6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600</v>
          </cell>
          <cell r="P240">
            <v>601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6</v>
          </cell>
          <cell r="M242" t="str">
            <v>I</v>
          </cell>
          <cell r="U242" t="str">
            <v>000000000014595</v>
          </cell>
        </row>
        <row r="243">
          <cell r="M243" t="str">
            <v>U</v>
          </cell>
          <cell r="N243" t="str">
            <v>T</v>
          </cell>
          <cell r="R243">
            <v>1</v>
          </cell>
          <cell r="U243" t="str">
            <v>000000000014595</v>
          </cell>
        </row>
        <row r="244">
          <cell r="D244" t="str">
            <v>不良補填</v>
          </cell>
          <cell r="E244" t="str">
            <v>26E23-05</v>
          </cell>
          <cell r="F244">
            <v>1</v>
          </cell>
          <cell r="U244" t="str">
            <v>000000000014595</v>
          </cell>
        </row>
        <row r="245">
          <cell r="C245" t="str">
            <v>8FL281304 5010　L=888</v>
          </cell>
          <cell r="M245">
            <v>46183</v>
          </cell>
          <cell r="N245">
            <v>4</v>
          </cell>
          <cell r="P245">
            <v>46183</v>
          </cell>
          <cell r="U245" t="str">
            <v>000000000014596</v>
          </cell>
        </row>
        <row r="246">
          <cell r="D246">
            <v>46182</v>
          </cell>
          <cell r="E246" t="str">
            <v>26E23-05</v>
          </cell>
          <cell r="P246">
            <v>400</v>
          </cell>
          <cell r="U246" t="str">
            <v>000000000014596</v>
          </cell>
        </row>
        <row r="247">
          <cell r="C247">
            <v>400</v>
          </cell>
          <cell r="D247">
            <v>46182</v>
          </cell>
          <cell r="E247" t="str">
            <v>26E23-05</v>
          </cell>
          <cell r="F247">
            <v>400</v>
          </cell>
          <cell r="P247">
            <v>200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4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400</v>
          </cell>
          <cell r="P251">
            <v>400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4</v>
          </cell>
          <cell r="M253" t="str">
            <v>I</v>
          </cell>
          <cell r="U253" t="str">
            <v>000000000014596</v>
          </cell>
        </row>
        <row r="254">
          <cell r="M254" t="str">
            <v>T</v>
          </cell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M256">
            <v>46183</v>
          </cell>
          <cell r="N256">
            <v>1</v>
          </cell>
          <cell r="P256">
            <v>46183</v>
          </cell>
          <cell r="U256" t="str">
            <v>000000000014597</v>
          </cell>
        </row>
        <row r="257">
          <cell r="D257">
            <v>46182</v>
          </cell>
          <cell r="E257" t="str">
            <v>26E23-05</v>
          </cell>
          <cell r="P257">
            <v>100</v>
          </cell>
          <cell r="U257" t="str">
            <v>000000000014597</v>
          </cell>
        </row>
        <row r="258">
          <cell r="C258">
            <v>100</v>
          </cell>
          <cell r="D258">
            <v>46182</v>
          </cell>
          <cell r="E258" t="str">
            <v>26E23-05</v>
          </cell>
          <cell r="F258">
            <v>100</v>
          </cell>
          <cell r="P258">
            <v>50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1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100</v>
          </cell>
          <cell r="P262">
            <v>100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1</v>
          </cell>
          <cell r="M264" t="str">
            <v>I</v>
          </cell>
          <cell r="U264" t="str">
            <v>000000000014597</v>
          </cell>
        </row>
        <row r="265">
          <cell r="M265" t="str">
            <v>T</v>
          </cell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 　2200    L=221.8</v>
          </cell>
          <cell r="P300">
            <v>0</v>
          </cell>
          <cell r="U300" t="str">
            <v>000000000014999</v>
          </cell>
        </row>
        <row r="301">
          <cell r="P301">
            <v>0</v>
          </cell>
          <cell r="U301" t="str">
            <v>000000000014999</v>
          </cell>
        </row>
        <row r="302">
          <cell r="P302">
            <v>0</v>
          </cell>
          <cell r="U302" t="str">
            <v>000000000014999</v>
          </cell>
        </row>
        <row r="303">
          <cell r="C303">
            <v>10</v>
          </cell>
          <cell r="P303">
            <v>0</v>
          </cell>
          <cell r="U303" t="str">
            <v>000000000014999</v>
          </cell>
        </row>
        <row r="304">
          <cell r="C304">
            <v>2</v>
          </cell>
          <cell r="P304">
            <v>0</v>
          </cell>
          <cell r="U304" t="str">
            <v>000000000014999</v>
          </cell>
        </row>
        <row r="305">
          <cell r="C305">
            <v>2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000000000014999</v>
          </cell>
        </row>
        <row r="306">
          <cell r="C306" t="str">
            <v>H型ジョイナー端材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000000000014999</v>
          </cell>
        </row>
        <row r="307">
          <cell r="M307" t="str">
            <v>作業者</v>
          </cell>
          <cell r="U307" t="str">
            <v>000000000014999</v>
          </cell>
        </row>
        <row r="308">
          <cell r="C308">
            <v>0</v>
          </cell>
          <cell r="U308" t="str">
            <v>000000000014999</v>
          </cell>
        </row>
        <row r="309">
          <cell r="R309">
            <v>0</v>
          </cell>
          <cell r="U309" t="str">
            <v>000000000014999</v>
          </cell>
        </row>
        <row r="310">
          <cell r="D310" t="str">
            <v>不良補填</v>
          </cell>
          <cell r="F310" t="str">
            <v/>
          </cell>
          <cell r="U310" t="str">
            <v>000000000014999</v>
          </cell>
        </row>
        <row r="311">
          <cell r="C311" t="str">
            <v>灯具カバーPC IN 2070　L=1966</v>
          </cell>
          <cell r="P311">
            <v>0</v>
          </cell>
          <cell r="U311" t="str">
            <v>000000000014865</v>
          </cell>
        </row>
        <row r="312">
          <cell r="P312">
            <v>0</v>
          </cell>
          <cell r="U312" t="str">
            <v>000000000014865</v>
          </cell>
        </row>
        <row r="313">
          <cell r="P313">
            <v>0</v>
          </cell>
          <cell r="U313" t="str">
            <v>000000000014865</v>
          </cell>
        </row>
        <row r="314">
          <cell r="C314">
            <v>208</v>
          </cell>
          <cell r="P314">
            <v>0</v>
          </cell>
          <cell r="U314" t="str">
            <v>000000000014865</v>
          </cell>
        </row>
        <row r="315">
          <cell r="C315">
            <v>1</v>
          </cell>
          <cell r="P315">
            <v>0</v>
          </cell>
          <cell r="U315" t="str">
            <v>000000000014865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000000000014865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000000000014865</v>
          </cell>
        </row>
        <row r="318">
          <cell r="M318" t="str">
            <v>作業者</v>
          </cell>
          <cell r="U318" t="str">
            <v>000000000014865</v>
          </cell>
        </row>
        <row r="319">
          <cell r="C319">
            <v>0</v>
          </cell>
          <cell r="U319" t="str">
            <v>000000000014865</v>
          </cell>
        </row>
        <row r="320">
          <cell r="R320">
            <v>0</v>
          </cell>
          <cell r="U320" t="str">
            <v>000000000014865</v>
          </cell>
        </row>
        <row r="321">
          <cell r="D321" t="str">
            <v>不良補填</v>
          </cell>
          <cell r="F321" t="str">
            <v/>
          </cell>
          <cell r="U321" t="str">
            <v>000000000014865</v>
          </cell>
        </row>
        <row r="322">
          <cell r="C322" t="str">
            <v>灯具カバーPC IN 2110　L=1815</v>
          </cell>
          <cell r="P322">
            <v>0</v>
          </cell>
          <cell r="U322" t="str">
            <v>000000000014335</v>
          </cell>
        </row>
        <row r="323">
          <cell r="P323">
            <v>0</v>
          </cell>
          <cell r="U323" t="str">
            <v>000000000014335</v>
          </cell>
        </row>
        <row r="324">
          <cell r="P324">
            <v>0</v>
          </cell>
          <cell r="U324" t="str">
            <v>000000000014335</v>
          </cell>
        </row>
        <row r="325">
          <cell r="C325">
            <v>208</v>
          </cell>
          <cell r="P325">
            <v>0</v>
          </cell>
          <cell r="U325" t="str">
            <v>000000000014335</v>
          </cell>
        </row>
        <row r="326">
          <cell r="C326">
            <v>1</v>
          </cell>
          <cell r="P326">
            <v>0</v>
          </cell>
          <cell r="U326" t="str">
            <v>000000000014335</v>
          </cell>
        </row>
        <row r="327">
          <cell r="C327">
            <v>16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000000000014335</v>
          </cell>
        </row>
        <row r="328">
          <cell r="C328" t="str">
            <v>灯具-2　L＝1996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000000000014335</v>
          </cell>
        </row>
        <row r="329">
          <cell r="M329" t="str">
            <v>作業者</v>
          </cell>
          <cell r="U329" t="str">
            <v>000000000014335</v>
          </cell>
        </row>
        <row r="330">
          <cell r="C330">
            <v>0</v>
          </cell>
          <cell r="U330" t="str">
            <v>000000000014335</v>
          </cell>
        </row>
        <row r="331">
          <cell r="R331">
            <v>0</v>
          </cell>
          <cell r="U331" t="str">
            <v>000000000014335</v>
          </cell>
        </row>
        <row r="332">
          <cell r="D332" t="str">
            <v>不良補填</v>
          </cell>
          <cell r="F332" t="str">
            <v/>
          </cell>
          <cell r="U332" t="str">
            <v>000000000014335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"/>
  <sheetViews>
    <sheetView tabSelected="1" topLeftCell="A28" workbookViewId="0">
      <selection activeCell="A38" sqref="A38:J55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33" t="s">
        <v>0</v>
      </c>
      <c r="C1" s="116"/>
      <c r="D1" s="11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6"/>
      <c r="C2" s="116"/>
      <c r="D2" s="116"/>
      <c r="E2" s="12"/>
      <c r="F2" s="12"/>
      <c r="G2" s="12"/>
      <c r="H2" s="12"/>
      <c r="I2" s="12"/>
      <c r="J2" s="12"/>
    </row>
    <row r="3" spans="1:10" ht="14.25" customHeight="1">
      <c r="A3" s="117" t="s">
        <v>1</v>
      </c>
      <c r="B3" s="117" t="s">
        <v>2</v>
      </c>
      <c r="C3" s="117"/>
      <c r="D3" s="121"/>
      <c r="E3" s="117" t="s">
        <v>3</v>
      </c>
      <c r="F3" s="115" t="s">
        <v>4</v>
      </c>
      <c r="G3" s="116"/>
      <c r="H3" s="116"/>
      <c r="I3" s="24" t="s">
        <v>5</v>
      </c>
      <c r="J3" s="24" t="s">
        <v>6</v>
      </c>
    </row>
    <row r="4" spans="1:10" ht="14.25" customHeight="1">
      <c r="A4" s="116"/>
      <c r="B4" s="116"/>
      <c r="C4" s="116"/>
      <c r="D4" s="116"/>
      <c r="E4" s="116"/>
      <c r="F4" s="116"/>
      <c r="G4" s="116"/>
      <c r="H4" s="116"/>
      <c r="I4" s="119"/>
      <c r="J4" s="119"/>
    </row>
    <row r="5" spans="1:10" ht="17.45" customHeight="1">
      <c r="A5" s="118" t="s">
        <v>7</v>
      </c>
      <c r="B5" s="118" t="s">
        <v>8</v>
      </c>
      <c r="E5" s="118" t="s">
        <v>9</v>
      </c>
      <c r="F5" s="127" t="s">
        <v>10</v>
      </c>
      <c r="G5" s="116"/>
      <c r="H5" s="116"/>
      <c r="I5" s="120"/>
      <c r="J5" s="120"/>
    </row>
    <row r="6" spans="1:10" ht="17.45" customHeight="1">
      <c r="A6" s="116"/>
      <c r="B6" s="116"/>
      <c r="E6" s="116"/>
      <c r="F6" s="116"/>
      <c r="G6" s="116"/>
      <c r="H6" s="116"/>
      <c r="I6" s="13"/>
      <c r="J6" s="13"/>
    </row>
    <row r="7" spans="1:10" ht="17.45" customHeight="1">
      <c r="A7" s="118" t="s">
        <v>11</v>
      </c>
      <c r="B7" s="118" t="s">
        <v>12</v>
      </c>
      <c r="E7" s="2" t="s">
        <v>13</v>
      </c>
      <c r="F7" s="127" t="s">
        <v>14</v>
      </c>
      <c r="G7" s="116"/>
      <c r="H7" s="21"/>
      <c r="I7" s="13"/>
      <c r="J7" s="13"/>
    </row>
    <row r="8" spans="1:10" ht="17.45" customHeight="1">
      <c r="A8" s="116"/>
      <c r="B8" s="116"/>
      <c r="E8" s="2" t="s">
        <v>15</v>
      </c>
      <c r="F8" s="21" t="s">
        <v>16</v>
      </c>
      <c r="G8" s="21"/>
      <c r="H8" s="21"/>
      <c r="I8" s="14"/>
      <c r="J8" s="14"/>
    </row>
    <row r="9" spans="1:10" ht="17.45" customHeight="1">
      <c r="A9" s="2" t="s">
        <v>17</v>
      </c>
      <c r="B9" s="4">
        <v>46178</v>
      </c>
      <c r="E9" s="2" t="s">
        <v>18</v>
      </c>
      <c r="F9" s="153">
        <v>1</v>
      </c>
      <c r="G9" s="116"/>
      <c r="H9" s="21"/>
    </row>
    <row r="10" spans="1:10" ht="17.45" customHeight="1">
      <c r="A10" s="2" t="s">
        <v>19</v>
      </c>
      <c r="B10" s="4">
        <v>46178</v>
      </c>
      <c r="E10" s="2" t="s">
        <v>20</v>
      </c>
      <c r="F10" s="21">
        <v>6</v>
      </c>
      <c r="G10" s="143" t="s">
        <v>21</v>
      </c>
      <c r="H10" s="136">
        <v>6</v>
      </c>
      <c r="I10" s="137"/>
      <c r="J10" s="138"/>
    </row>
    <row r="11" spans="1:10" ht="17.45" customHeight="1">
      <c r="A11" s="19"/>
      <c r="B11" s="20"/>
      <c r="C11" s="20"/>
      <c r="D11" s="20"/>
      <c r="E11" s="2"/>
      <c r="F11" s="21"/>
      <c r="G11" s="139"/>
      <c r="H11" s="139"/>
      <c r="I11" s="114"/>
      <c r="J11" s="126"/>
    </row>
    <row r="12" spans="1:10" ht="13.5" customHeight="1">
      <c r="A12" s="130" t="s">
        <v>22</v>
      </c>
      <c r="B12" s="116"/>
      <c r="C12" s="116"/>
      <c r="D12" s="20"/>
      <c r="F12" s="3"/>
      <c r="G12" s="134" t="s">
        <v>23</v>
      </c>
      <c r="H12" s="152" t="s">
        <v>24</v>
      </c>
      <c r="I12" s="124" t="s">
        <v>25</v>
      </c>
      <c r="J12" s="125"/>
    </row>
    <row r="13" spans="1:10" ht="13.5" customHeight="1">
      <c r="A13" s="116"/>
      <c r="B13" s="116"/>
      <c r="C13" s="116"/>
      <c r="D13" s="20"/>
      <c r="F13" s="3"/>
      <c r="G13" s="135"/>
      <c r="H13" s="135"/>
      <c r="I13" s="114"/>
      <c r="J13" s="126"/>
    </row>
    <row r="14" spans="1:10" ht="13.5" customHeight="1">
      <c r="A14" s="1" t="s">
        <v>26</v>
      </c>
    </row>
    <row r="15" spans="1:10" ht="63" customHeight="1" thickBot="1">
      <c r="A15" s="122"/>
      <c r="B15" s="123"/>
      <c r="C15" s="123"/>
      <c r="D15" s="123"/>
      <c r="E15" s="123"/>
      <c r="F15" s="123"/>
      <c r="G15" s="123"/>
      <c r="H15" s="123"/>
      <c r="I15" s="123"/>
      <c r="J15" s="123"/>
    </row>
    <row r="16" spans="1:10" ht="18.75">
      <c r="A16" s="23" t="s">
        <v>27</v>
      </c>
      <c r="B16" s="16" t="s">
        <v>28</v>
      </c>
      <c r="C16" s="128" t="s">
        <v>29</v>
      </c>
      <c r="D16" s="129"/>
      <c r="E16" s="16" t="s">
        <v>30</v>
      </c>
      <c r="F16" s="128" t="s">
        <v>31</v>
      </c>
      <c r="G16" s="129"/>
      <c r="H16" s="129"/>
      <c r="I16" s="140" t="s">
        <v>32</v>
      </c>
      <c r="J16" s="129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33</v>
      </c>
      <c r="C18" s="107" t="s">
        <v>34</v>
      </c>
      <c r="D18" s="108"/>
      <c r="E18" s="25" t="s">
        <v>35</v>
      </c>
      <c r="F18" s="107" t="s">
        <v>36</v>
      </c>
      <c r="G18" s="108"/>
      <c r="H18" s="108"/>
      <c r="I18" s="112"/>
      <c r="J18" s="108"/>
    </row>
    <row r="19" spans="1:10" s="7" customFormat="1" ht="16.5" customHeight="1">
      <c r="A19" s="22">
        <v>1</v>
      </c>
      <c r="B19" s="26" t="s">
        <v>33</v>
      </c>
      <c r="C19" s="107" t="s">
        <v>34</v>
      </c>
      <c r="D19" s="108"/>
      <c r="E19" s="25" t="s">
        <v>37</v>
      </c>
      <c r="F19" s="107" t="s">
        <v>38</v>
      </c>
      <c r="G19" s="108"/>
      <c r="H19" s="108"/>
      <c r="I19" s="112"/>
      <c r="J19" s="108"/>
    </row>
    <row r="20" spans="1:10" s="7" customFormat="1" ht="16.5" customHeight="1">
      <c r="A20" s="22"/>
      <c r="B20" s="26"/>
      <c r="C20" s="107"/>
      <c r="D20" s="108"/>
      <c r="E20" s="25"/>
      <c r="F20" s="107"/>
      <c r="G20" s="108"/>
      <c r="H20" s="108"/>
      <c r="I20" s="112"/>
      <c r="J20" s="108"/>
    </row>
    <row r="21" spans="1:10" s="7" customFormat="1" ht="16.5" customHeight="1">
      <c r="A21" s="22"/>
      <c r="B21" s="26"/>
      <c r="C21" s="107"/>
      <c r="D21" s="108"/>
      <c r="E21" s="25"/>
      <c r="F21" s="107"/>
      <c r="G21" s="108"/>
      <c r="H21" s="108"/>
      <c r="I21" s="112"/>
      <c r="J21" s="108"/>
    </row>
    <row r="22" spans="1:10" s="7" customFormat="1" ht="16.5" customHeight="1">
      <c r="A22" s="22"/>
      <c r="B22" s="26"/>
      <c r="C22" s="107"/>
      <c r="D22" s="108"/>
      <c r="E22" s="25"/>
      <c r="F22" s="107"/>
      <c r="G22" s="108"/>
      <c r="H22" s="108"/>
      <c r="I22" s="112"/>
      <c r="J22" s="108"/>
    </row>
    <row r="23" spans="1:10" s="7" customFormat="1" ht="16.5" customHeight="1">
      <c r="A23" s="22"/>
      <c r="B23" s="26"/>
      <c r="C23" s="107"/>
      <c r="D23" s="108"/>
      <c r="E23" s="25"/>
      <c r="F23" s="107"/>
      <c r="G23" s="108"/>
      <c r="H23" s="108"/>
      <c r="I23" s="112"/>
      <c r="J23" s="108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1" t="s">
        <v>39</v>
      </c>
      <c r="B25" s="132"/>
      <c r="C25" s="131" t="s">
        <v>40</v>
      </c>
      <c r="D25" s="132"/>
      <c r="E25" s="132"/>
      <c r="F25" s="17" t="s">
        <v>41</v>
      </c>
      <c r="G25" s="131" t="s">
        <v>42</v>
      </c>
      <c r="H25" s="132"/>
      <c r="I25" s="131" t="s">
        <v>43</v>
      </c>
      <c r="J25" s="132"/>
    </row>
    <row r="26" spans="1:10" ht="14.25" customHeight="1">
      <c r="A26" s="8"/>
      <c r="B26" s="18"/>
      <c r="C26" s="113" t="s">
        <v>44</v>
      </c>
      <c r="D26" s="114"/>
      <c r="E26" s="18"/>
      <c r="F26" s="113" t="s">
        <v>26</v>
      </c>
      <c r="G26" s="114"/>
      <c r="H26" s="114"/>
      <c r="I26" s="114"/>
      <c r="J26" s="114"/>
    </row>
    <row r="27" spans="1:10">
      <c r="A27" s="9"/>
      <c r="C27" s="7"/>
      <c r="D27" s="7"/>
      <c r="E27" s="7"/>
    </row>
    <row r="28" spans="1:10" s="5" customFormat="1" ht="14.25" customHeight="1">
      <c r="A28" s="107" t="s">
        <v>45</v>
      </c>
      <c r="B28" s="110"/>
      <c r="C28" s="107" t="s">
        <v>46</v>
      </c>
      <c r="D28" s="110"/>
      <c r="E28" s="110"/>
      <c r="F28" s="27" t="s">
        <v>24</v>
      </c>
      <c r="G28" s="111">
        <v>6</v>
      </c>
      <c r="H28" s="110"/>
      <c r="I28" s="111">
        <v>0.12</v>
      </c>
      <c r="J28" s="110"/>
    </row>
    <row r="29" spans="1:10" s="7" customFormat="1" ht="24.95" customHeight="1">
      <c r="A29" s="109" t="s">
        <v>47</v>
      </c>
      <c r="B29" s="108"/>
      <c r="C29" s="107" t="s">
        <v>48</v>
      </c>
      <c r="D29" s="108"/>
      <c r="E29" s="108"/>
      <c r="F29" s="107"/>
      <c r="G29" s="108"/>
      <c r="H29" s="108"/>
      <c r="I29" s="108"/>
      <c r="J29" s="108"/>
    </row>
    <row r="30" spans="1:10" s="5" customFormat="1" ht="14.25" customHeight="1">
      <c r="A30" s="107" t="s">
        <v>49</v>
      </c>
      <c r="B30" s="110"/>
      <c r="C30" s="107" t="s">
        <v>50</v>
      </c>
      <c r="D30" s="110"/>
      <c r="E30" s="110"/>
      <c r="F30" s="27" t="s">
        <v>24</v>
      </c>
      <c r="G30" s="111">
        <v>1.02</v>
      </c>
      <c r="H30" s="110"/>
      <c r="I30" s="111">
        <v>2.0400000000000001E-2</v>
      </c>
      <c r="J30" s="110"/>
    </row>
    <row r="31" spans="1:10" s="7" customFormat="1" ht="24.95" customHeight="1">
      <c r="A31" s="109" t="s">
        <v>51</v>
      </c>
      <c r="B31" s="108"/>
      <c r="C31" s="107"/>
      <c r="D31" s="108"/>
      <c r="E31" s="108"/>
      <c r="F31" s="107"/>
      <c r="G31" s="108"/>
      <c r="H31" s="108"/>
      <c r="I31" s="108"/>
      <c r="J31" s="108"/>
    </row>
    <row r="32" spans="1:10" s="5" customFormat="1" ht="14.25" customHeight="1">
      <c r="A32" s="107"/>
      <c r="B32" s="110"/>
      <c r="C32" s="107"/>
      <c r="D32" s="110"/>
      <c r="E32" s="110"/>
      <c r="F32" s="27"/>
      <c r="G32" s="111"/>
      <c r="H32" s="110"/>
      <c r="I32" s="111"/>
      <c r="J32" s="110"/>
    </row>
    <row r="33" spans="1:14" s="7" customFormat="1" ht="24.95" customHeight="1">
      <c r="A33" s="109"/>
      <c r="B33" s="108"/>
      <c r="C33" s="107"/>
      <c r="D33" s="108"/>
      <c r="E33" s="108"/>
      <c r="F33" s="107"/>
      <c r="G33" s="108"/>
      <c r="H33" s="108"/>
      <c r="I33" s="108"/>
      <c r="J33" s="108"/>
    </row>
    <row r="34" spans="1:14" s="5" customFormat="1" ht="14.25" customHeight="1">
      <c r="A34" s="107"/>
      <c r="B34" s="110"/>
      <c r="C34" s="107"/>
      <c r="D34" s="110"/>
      <c r="E34" s="110"/>
      <c r="F34" s="27"/>
      <c r="G34" s="111"/>
      <c r="H34" s="110"/>
      <c r="I34" s="111"/>
      <c r="J34" s="110"/>
    </row>
    <row r="35" spans="1:14" s="7" customFormat="1" ht="24.95" customHeight="1">
      <c r="A35" s="109"/>
      <c r="B35" s="108"/>
      <c r="C35" s="107"/>
      <c r="D35" s="108"/>
      <c r="E35" s="108"/>
      <c r="F35" s="107"/>
      <c r="G35" s="108"/>
      <c r="H35" s="108"/>
      <c r="I35" s="108"/>
      <c r="J35" s="108"/>
    </row>
    <row r="36" spans="1:14" s="5" customFormat="1" ht="14.25" customHeight="1">
      <c r="A36" s="107"/>
      <c r="B36" s="110"/>
      <c r="C36" s="107"/>
      <c r="D36" s="110"/>
      <c r="E36" s="110"/>
      <c r="F36" s="27"/>
      <c r="G36" s="111"/>
      <c r="H36" s="110"/>
      <c r="I36" s="111"/>
      <c r="J36" s="110"/>
    </row>
    <row r="37" spans="1:14" s="7" customFormat="1" ht="24.95" customHeight="1" thickBot="1">
      <c r="A37" s="109"/>
      <c r="B37" s="108"/>
      <c r="C37" s="107"/>
      <c r="D37" s="108"/>
      <c r="E37" s="108"/>
      <c r="F37" s="107"/>
      <c r="G37" s="108"/>
      <c r="H37" s="108"/>
      <c r="I37" s="108"/>
      <c r="J37" s="108"/>
    </row>
    <row r="38" spans="1:14" s="5" customFormat="1" ht="18" customHeight="1">
      <c r="A38" s="28" t="s">
        <v>52</v>
      </c>
      <c r="B38" s="29" t="s">
        <v>53</v>
      </c>
      <c r="C38" s="144" t="s">
        <v>54</v>
      </c>
      <c r="D38" s="145"/>
      <c r="E38" s="30" t="s">
        <v>55</v>
      </c>
      <c r="F38" s="31" t="s">
        <v>56</v>
      </c>
      <c r="G38" s="32" t="s">
        <v>57</v>
      </c>
      <c r="H38" s="33" t="s">
        <v>58</v>
      </c>
      <c r="I38" s="105" t="s">
        <v>59</v>
      </c>
      <c r="J38" s="106"/>
    </row>
    <row r="39" spans="1:14" s="7" customFormat="1" ht="18" customHeight="1">
      <c r="A39" s="34" t="str">
        <f>_xlfn.XLOOKUP(B3,[1]VFDB2!$A:$A,[1]VFDB2!$J:$J)</f>
        <v>-</v>
      </c>
      <c r="B39" s="35">
        <f>D3</f>
        <v>0</v>
      </c>
      <c r="C39" s="146" t="str">
        <f>_xlfn.XLOOKUP(B3,[1]VFDB2!$A:$A,[1]VFDB2!$Z:$Z)</f>
        <v>SB-246</v>
      </c>
      <c r="D39" s="147"/>
      <c r="E39" s="148" cm="1">
        <f t="array" ref="E39">IFERROR(INDEX(_xlfn._xlws.FILTER([2]加工記録２!C:C,[2]加工記録２!U:U=B5),9),"")</f>
        <v>1</v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>切断加工：I</v>
      </c>
      <c r="G39" s="37" cm="1">
        <f t="array" ref="G39:H43">IFERROR(IF(_xlfn.TAKE(_xlfn._xlws.FILTER([2]加工記録２!$M:$N,[2]加工記録２!$U:$U=B5),5)=0,"",_xlfn.TAKE(_xlfn._xlws.FILTER([2]加工記録２!$M:$N,[2]加工記録２!$U:$U=B5),5)),"")</f>
        <v>46176</v>
      </c>
      <c r="H39" s="38">
        <v>1</v>
      </c>
      <c r="I39" s="39" t="s">
        <v>60</v>
      </c>
      <c r="J39" s="40" cm="1">
        <f t="array" ref="J39:J44">IFERROR(INDEX(_xlfn._xlws.FILTER([2]加工記録２!P:P, [2]加工記録２!U:U=B5),_xlfn.SEQUENCE(6)),"")</f>
        <v>46176</v>
      </c>
    </row>
    <row r="40" spans="1:14" s="5" customFormat="1" ht="18" customHeight="1">
      <c r="A40" s="44" t="s">
        <v>61</v>
      </c>
      <c r="B40" s="45" t="s">
        <v>62</v>
      </c>
      <c r="C40" s="146"/>
      <c r="D40" s="147"/>
      <c r="E40" s="148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>外観検査：</v>
      </c>
      <c r="G40" s="37" t="str">
        <v/>
      </c>
      <c r="H40" s="38" t="str">
        <v/>
      </c>
      <c r="I40" s="39" t="s">
        <v>63</v>
      </c>
      <c r="J40" s="41">
        <v>6</v>
      </c>
      <c r="K40" s="47"/>
    </row>
    <row r="41" spans="1:14" s="7" customFormat="1" ht="18" customHeight="1">
      <c r="A41" s="48">
        <f>_xlfn.XLOOKUP(B3,[1]VFDB2!$A:$A,[1]VFDB2!$L:$L)</f>
        <v>0</v>
      </c>
      <c r="B41" s="49" t="str">
        <f>_xlfn.XLOOKUP(B3,[1]VFDB2!$A:$A,[1]VFDB2!$AC:$AC)</f>
        <v>図面確認</v>
      </c>
      <c r="C41" s="149" t="s">
        <v>64</v>
      </c>
      <c r="D41" s="150" t="str">
        <f>_xlfn.XLOOKUP(B3,[1]VFDB2!$A:$A,[1]VFDB2!$W:$W)</f>
        <v>-</v>
      </c>
      <c r="E41" s="150"/>
      <c r="F41" s="151"/>
      <c r="G41" s="37" t="str">
        <v/>
      </c>
      <c r="H41" s="38" t="str">
        <v/>
      </c>
      <c r="I41" s="39" t="s">
        <v>65</v>
      </c>
      <c r="J41" s="41">
        <v>284</v>
      </c>
      <c r="K41" s="50"/>
    </row>
    <row r="42" spans="1:14" s="5" customFormat="1" ht="18" customHeight="1">
      <c r="A42" s="51" t="s">
        <v>66</v>
      </c>
      <c r="B42" s="52" t="s">
        <v>67</v>
      </c>
      <c r="C42" s="149"/>
      <c r="D42" s="150">
        <f>_xlfn.XLOOKUP(B3,[1]VFDB2!$A:$A,[1]VFDB2!$R:$R)</f>
        <v>0</v>
      </c>
      <c r="E42" s="150"/>
      <c r="F42" s="151"/>
      <c r="G42" s="37" t="str">
        <v/>
      </c>
      <c r="H42" s="38" t="str">
        <v/>
      </c>
      <c r="I42" s="39" t="s">
        <v>68</v>
      </c>
      <c r="J42" s="41">
        <v>1</v>
      </c>
      <c r="K42" s="47"/>
    </row>
    <row r="43" spans="1:14" s="7" customFormat="1" ht="18" customHeight="1" thickBot="1">
      <c r="A43" s="53">
        <f>_xlfn.XLOOKUP(B3,[1]VFDB2!$A:$A,[1]VFDB2!$K:$K)</f>
        <v>-1</v>
      </c>
      <c r="B43" s="54">
        <f>_xlfn.XLOOKUP(B3,[1]VFDB2!$A:$A,[1]VFDB2!$P:$P)</f>
        <v>1</v>
      </c>
      <c r="C43" s="55" t="s">
        <v>69</v>
      </c>
      <c r="D43" s="154" t="str">
        <f>_xlfn.XLOOKUP(B3,[1]VFDB2!$A:$A,[1]VFDB2!$V:$V)</f>
        <v>-</v>
      </c>
      <c r="E43" s="154"/>
      <c r="F43" s="155"/>
      <c r="G43" s="56" t="str">
        <v/>
      </c>
      <c r="H43" s="57" t="str">
        <v/>
      </c>
      <c r="I43" s="39" t="s">
        <v>70</v>
      </c>
      <c r="J43" s="42">
        <v>1</v>
      </c>
      <c r="K43" s="50"/>
    </row>
    <row r="44" spans="1:14" s="5" customFormat="1" ht="18" customHeight="1" thickBot="1">
      <c r="A44" s="58" t="s">
        <v>71</v>
      </c>
      <c r="B44" s="59" t="str" cm="1">
        <f t="array" ref="B44">IF(SUM(--(ISTEXT(B45:B55)*(B45:B55&lt;&gt;"")))=0,"計測Lot","計測Lot・加工数")</f>
        <v>計測Lot・加工数</v>
      </c>
      <c r="C44" s="60" t="s">
        <v>72</v>
      </c>
      <c r="D44" s="61" t="s">
        <v>73</v>
      </c>
      <c r="E44" s="62" t="s">
        <v>74</v>
      </c>
      <c r="F44" s="63" t="str" cm="1">
        <f t="array" ref="F44">IF(SUM(--(ISTEXT(B45:B55)*(B45:B55&lt;&gt;"")))=0,"記入不要","使用Lot")</f>
        <v>使用Lot</v>
      </c>
      <c r="G44" s="64" t="s">
        <v>75</v>
      </c>
      <c r="H44" s="65" t="s">
        <v>76</v>
      </c>
      <c r="I44" s="66" t="s">
        <v>77</v>
      </c>
      <c r="J44" s="43">
        <v>0</v>
      </c>
      <c r="K44" s="47"/>
    </row>
    <row r="45" spans="1:14" s="7" customFormat="1" ht="18" customHeight="1">
      <c r="A45" s="67" cm="1">
        <f t="array" ref="A45:A55">IFERROR(INDEX(_xlfn._xlws.FILTER([2]加工記録２!$D:$D,[2]加工記録２!$U:$U=B5),_xlfn.SEQUENCE(11),0),"")</f>
        <v>0</v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41" t="s">
        <v>78</v>
      </c>
      <c r="J45" s="142"/>
      <c r="K45" s="80"/>
    </row>
    <row r="46" spans="1:14" s="5" customFormat="1" ht="18" customHeight="1">
      <c r="A46" s="68">
        <v>46176</v>
      </c>
      <c r="B46" s="72" t="str">
        <v>26B21B-02</v>
      </c>
      <c r="C46" s="81"/>
      <c r="D46" s="82"/>
      <c r="E46" s="83"/>
      <c r="F46" s="84"/>
      <c r="G46" s="81"/>
      <c r="H46" s="85"/>
      <c r="I46" s="86" t="s">
        <v>79</v>
      </c>
      <c r="J46" s="85" cm="1">
        <f t="array" ref="J46:J55">IFERROR(INDEX(_xlfn._xlws.FILTER([2]加工記録２!R:R, [2]加工記録２!U:U=B5),_xlfn.SEQUENCE(10)),"")</f>
        <v>0</v>
      </c>
      <c r="K46" s="80"/>
    </row>
    <row r="47" spans="1:14" s="91" customFormat="1" ht="18.95" customHeight="1">
      <c r="A47" s="69">
        <v>46176</v>
      </c>
      <c r="B47" s="72" t="str">
        <v>26B21B-02 × 7</v>
      </c>
      <c r="C47" s="81"/>
      <c r="D47" s="82"/>
      <c r="E47" s="83"/>
      <c r="F47" s="84"/>
      <c r="G47" s="81"/>
      <c r="H47" s="85"/>
      <c r="I47" s="86" t="s">
        <v>80</v>
      </c>
      <c r="J47" s="85">
        <v>0</v>
      </c>
      <c r="K47" s="89"/>
      <c r="L47" s="90"/>
      <c r="M47" s="90"/>
      <c r="N47" s="90"/>
    </row>
    <row r="48" spans="1:14" s="94" customFormat="1" ht="18.95" customHeight="1">
      <c r="A48" s="69">
        <v>0</v>
      </c>
      <c r="B48" s="72" t="str">
        <v/>
      </c>
      <c r="C48" s="81"/>
      <c r="D48" s="82"/>
      <c r="E48" s="83"/>
      <c r="F48" s="84"/>
      <c r="G48" s="81"/>
      <c r="H48" s="85"/>
      <c r="I48" s="86" t="s">
        <v>81</v>
      </c>
      <c r="J48" s="85">
        <v>0</v>
      </c>
      <c r="K48" s="92"/>
      <c r="L48" s="93"/>
      <c r="M48" s="93"/>
      <c r="N48" s="93"/>
    </row>
    <row r="49" spans="1:14" s="94" customFormat="1" ht="18.95" customHeight="1">
      <c r="A49" s="69">
        <v>0</v>
      </c>
      <c r="B49" s="72" t="str">
        <v/>
      </c>
      <c r="C49" s="81"/>
      <c r="D49" s="82"/>
      <c r="E49" s="83"/>
      <c r="F49" s="84"/>
      <c r="G49" s="81"/>
      <c r="H49" s="85"/>
      <c r="I49" s="86" t="s">
        <v>82</v>
      </c>
      <c r="J49" s="85">
        <v>0</v>
      </c>
      <c r="K49" s="92"/>
      <c r="L49" s="93"/>
      <c r="M49" s="93"/>
      <c r="N49" s="93"/>
    </row>
    <row r="50" spans="1:14" s="94" customFormat="1" ht="18.95" customHeight="1">
      <c r="A50" s="69">
        <v>0</v>
      </c>
      <c r="B50" s="72" t="str">
        <v/>
      </c>
      <c r="C50" s="81"/>
      <c r="D50" s="82"/>
      <c r="E50" s="83"/>
      <c r="F50" s="84"/>
      <c r="G50" s="81"/>
      <c r="H50" s="85"/>
      <c r="I50" s="86" t="s">
        <v>83</v>
      </c>
      <c r="J50" s="85">
        <v>0</v>
      </c>
      <c r="K50" s="92"/>
      <c r="L50" s="93"/>
      <c r="M50" s="93"/>
      <c r="N50" s="93"/>
    </row>
    <row r="51" spans="1:14" s="94" customFormat="1" ht="18.95" customHeight="1">
      <c r="A51" s="69">
        <v>0</v>
      </c>
      <c r="B51" s="72" t="str">
        <v/>
      </c>
      <c r="C51" s="81"/>
      <c r="D51" s="82"/>
      <c r="E51" s="83"/>
      <c r="F51" s="84"/>
      <c r="G51" s="81"/>
      <c r="H51" s="85"/>
      <c r="I51" s="86" t="s">
        <v>84</v>
      </c>
      <c r="J51" s="85">
        <v>0</v>
      </c>
      <c r="K51" s="92"/>
      <c r="L51" s="93"/>
      <c r="M51" s="93"/>
      <c r="N51" s="93"/>
    </row>
    <row r="52" spans="1:14" s="94" customFormat="1" ht="18.95" customHeight="1">
      <c r="A52" s="69">
        <v>0</v>
      </c>
      <c r="B52" s="72" t="str">
        <v/>
      </c>
      <c r="C52" s="81"/>
      <c r="D52" s="82"/>
      <c r="E52" s="83"/>
      <c r="F52" s="84"/>
      <c r="G52" s="81"/>
      <c r="H52" s="85"/>
      <c r="I52" s="95" t="s">
        <v>85</v>
      </c>
      <c r="J52" s="85">
        <v>0</v>
      </c>
      <c r="K52" s="92"/>
      <c r="L52" s="93"/>
      <c r="M52" s="93"/>
      <c r="N52" s="93"/>
    </row>
    <row r="53" spans="1:14" s="94" customFormat="1" ht="18.95" customHeight="1">
      <c r="A53" s="69">
        <v>0</v>
      </c>
      <c r="B53" s="72" t="str">
        <v/>
      </c>
      <c r="C53" s="81"/>
      <c r="D53" s="82"/>
      <c r="E53" s="83"/>
      <c r="F53" s="84"/>
      <c r="G53" s="81"/>
      <c r="H53" s="85"/>
      <c r="I53" s="95" t="s">
        <v>86</v>
      </c>
      <c r="J53" s="85">
        <v>0</v>
      </c>
      <c r="K53" s="92"/>
      <c r="L53" s="93"/>
      <c r="M53" s="93"/>
      <c r="N53" s="93"/>
    </row>
    <row r="54" spans="1:14" s="94" customFormat="1" ht="18.95" customHeight="1">
      <c r="A54" s="69">
        <v>0</v>
      </c>
      <c r="B54" s="72" t="str">
        <v/>
      </c>
      <c r="C54" s="81"/>
      <c r="D54" s="82"/>
      <c r="E54" s="83"/>
      <c r="F54" s="84"/>
      <c r="G54" s="81"/>
      <c r="H54" s="85"/>
      <c r="I54" s="86" t="s">
        <v>87</v>
      </c>
      <c r="J54" s="87">
        <v>1</v>
      </c>
      <c r="K54" s="92"/>
      <c r="L54" s="93"/>
      <c r="M54" s="93"/>
      <c r="N54" s="93"/>
    </row>
    <row r="55" spans="1:14" s="94" customFormat="1" ht="18.95" customHeight="1" thickBot="1">
      <c r="A55" s="70" t="str">
        <v>不良補填</v>
      </c>
      <c r="B55" s="73" t="str">
        <v/>
      </c>
      <c r="C55" s="96"/>
      <c r="D55" s="97"/>
      <c r="E55" s="98"/>
      <c r="F55" s="99"/>
      <c r="G55" s="100"/>
      <c r="H55" s="101"/>
      <c r="I55" s="102" t="s">
        <v>88</v>
      </c>
      <c r="J55" s="88">
        <v>1</v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I45:J45"/>
    <mergeCell ref="A7:A8"/>
    <mergeCell ref="G10:G11"/>
    <mergeCell ref="F22:H22"/>
    <mergeCell ref="C38:D38"/>
    <mergeCell ref="C39:D40"/>
    <mergeCell ref="E39:E40"/>
    <mergeCell ref="C41:C42"/>
    <mergeCell ref="D41:F41"/>
    <mergeCell ref="H12:H13"/>
    <mergeCell ref="F9:G9"/>
    <mergeCell ref="C33:E33"/>
    <mergeCell ref="D42:F42"/>
    <mergeCell ref="D43:F43"/>
    <mergeCell ref="I30:J30"/>
    <mergeCell ref="A30:B30"/>
    <mergeCell ref="B1:D2"/>
    <mergeCell ref="I20:J20"/>
    <mergeCell ref="G12:G13"/>
    <mergeCell ref="C19:D19"/>
    <mergeCell ref="A28:B28"/>
    <mergeCell ref="F21:H21"/>
    <mergeCell ref="C25:E25"/>
    <mergeCell ref="B3:B4"/>
    <mergeCell ref="H10:J11"/>
    <mergeCell ref="I16:J16"/>
    <mergeCell ref="I25:J25"/>
    <mergeCell ref="J4:J5"/>
    <mergeCell ref="C3:C4"/>
    <mergeCell ref="G25:H25"/>
    <mergeCell ref="E3:E4"/>
    <mergeCell ref="F18:H18"/>
    <mergeCell ref="C18:D18"/>
    <mergeCell ref="C35:E35"/>
    <mergeCell ref="A34:B34"/>
    <mergeCell ref="E5:E6"/>
    <mergeCell ref="F29:J29"/>
    <mergeCell ref="I12:J13"/>
    <mergeCell ref="F5:H6"/>
    <mergeCell ref="C16:D16"/>
    <mergeCell ref="C31:E31"/>
    <mergeCell ref="F7:G7"/>
    <mergeCell ref="F23:H23"/>
    <mergeCell ref="C20:D20"/>
    <mergeCell ref="F16:H16"/>
    <mergeCell ref="F20:H20"/>
    <mergeCell ref="A12:C13"/>
    <mergeCell ref="A25:B25"/>
    <mergeCell ref="F3:H4"/>
    <mergeCell ref="I18:J18"/>
    <mergeCell ref="G34:H34"/>
    <mergeCell ref="A33:B33"/>
    <mergeCell ref="A3:A4"/>
    <mergeCell ref="A5:A6"/>
    <mergeCell ref="I4:I5"/>
    <mergeCell ref="B5:B6"/>
    <mergeCell ref="F19:H19"/>
    <mergeCell ref="A29:B29"/>
    <mergeCell ref="I32:J32"/>
    <mergeCell ref="D3:D4"/>
    <mergeCell ref="A15:J15"/>
    <mergeCell ref="C32:E32"/>
    <mergeCell ref="I19:J19"/>
    <mergeCell ref="B7:B8"/>
    <mergeCell ref="F31:J31"/>
    <mergeCell ref="C34:E34"/>
    <mergeCell ref="C22:D22"/>
    <mergeCell ref="F26:J26"/>
    <mergeCell ref="I21:J21"/>
    <mergeCell ref="C28:E28"/>
    <mergeCell ref="C21:D21"/>
    <mergeCell ref="I22:J22"/>
    <mergeCell ref="I28:J28"/>
    <mergeCell ref="G28:H28"/>
    <mergeCell ref="I23:J23"/>
    <mergeCell ref="C30:E30"/>
    <mergeCell ref="C23:D23"/>
    <mergeCell ref="C26:D26"/>
    <mergeCell ref="G30:H30"/>
    <mergeCell ref="I38:J38"/>
    <mergeCell ref="C29:E29"/>
    <mergeCell ref="A31:B31"/>
    <mergeCell ref="C37:E37"/>
    <mergeCell ref="A32:B32"/>
    <mergeCell ref="A36:B36"/>
    <mergeCell ref="A37:B37"/>
    <mergeCell ref="F37:J37"/>
    <mergeCell ref="G32:H32"/>
    <mergeCell ref="I34:J34"/>
    <mergeCell ref="G36:H36"/>
    <mergeCell ref="I36:J36"/>
    <mergeCell ref="A35:B35"/>
    <mergeCell ref="C36:E36"/>
    <mergeCell ref="F35:J35"/>
    <mergeCell ref="F33:J33"/>
  </mergeCells>
  <phoneticPr fontId="2"/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2026-01-05T23:52:14Z</cp:lastPrinted>
  <dcterms:created xsi:type="dcterms:W3CDTF">2024-07-11T02:08:33Z</dcterms:created>
  <dcterms:modified xsi:type="dcterms:W3CDTF">2026-06-10T23:03:33Z</dcterms:modified>
</cp:coreProperties>
</file>