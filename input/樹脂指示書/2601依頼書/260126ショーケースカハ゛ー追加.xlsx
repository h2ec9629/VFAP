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EC15F04E-5CA1-4A75-A880-C469EA903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" i="1" l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<sst xmlns="http://schemas.openxmlformats.org/spreadsheetml/2006/main" count="105" uniqueCount="101">
  <si>
    <t>検査梱包指示書</t>
  </si>
  <si>
    <t>品目番号</t>
  </si>
  <si>
    <t>J1JAZZB10807480</t>
  </si>
  <si>
    <t>Ｌ寸</t>
  </si>
  <si>
    <t>名称</t>
  </si>
  <si>
    <t>8FL2813048310</t>
  </si>
  <si>
    <t>上長</t>
  </si>
  <si>
    <t>係員</t>
  </si>
  <si>
    <t>製造指図№</t>
  </si>
  <si>
    <t>000000000011647</t>
  </si>
  <si>
    <t>原料名</t>
  </si>
  <si>
    <t>(CASE 748MILK-W4)</t>
  </si>
  <si>
    <t>発注明細№</t>
  </si>
  <si>
    <t>000000000827344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</si>
  <si>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</si>
  <si>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</si>
  <si>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</si>
  <si>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</si>
  <si>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</si>
  <si>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</si>
  <si>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</si>
  <si>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</si>
  <si>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</si>
  <si>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</si>
  <si>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</si>
  <si>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*J1JAZZB10807480*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</si>
  <si>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</si>
  <si>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</si>
  <si>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</si>
  <si>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</si>
  <si>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</si>
  <si>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</si>
  <si>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</si>
  <si>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</si>
  <si>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</si>
  <si>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</si>
  <si>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</si>
  <si>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</si>
  <si>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</si>
  <si>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</si>
  <si>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</si>
  <si>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</si>
  <si>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</si>
  <si>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</si>
  <si>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</si>
  <si>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</si>
  <si>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</si>
  <si>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</si>
  <si>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</si>
  <si>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</si>
  <si>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</si>
  <si>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</si>
  <si>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J6DW0089</t>
  </si>
  <si>
    <t>LED-A888　898X275X166</t>
  </si>
  <si>
    <t>*J6DW0089*</t>
  </si>
  <si>
    <t>L888×W275×H166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</si>
  <si>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</si>
  <si>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</si>
  <si>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</si>
  <si>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</si>
  <si>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</si>
  <si>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</si>
  <si>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</si>
  <si>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</si>
  <si>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</si>
  <si>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</si>
  <si>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</si>
  <si>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</si>
  <si>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</si>
  <si>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</si>
  <si>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</si>
  <si>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</si>
  <si>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</si>
  <si>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</si>
  <si>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</si>
  <si>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</si>
  <si>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</si>
  <si>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</si>
  <si>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</si>
  <si>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</si>
  <si>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</si>
  <si>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</si>
  <si>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</si>
  <si>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</si>
  <si>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</si>
  <si>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</si>
  <si>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</si>
  <si>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</si>
  <si>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</si>
  <si>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</si>
  <si>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</si>
  <si>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</si>
  <si>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</si>
  <si>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</si>
  <si>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</si>
  <si>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</si>
  <si>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</si>
  <si>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</si>
  <si>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</si>
  <si>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作業者</t>
    <rPh sb="0" eb="3">
      <t>サギョウシャ</t>
    </rPh>
    <phoneticPr fontId="2"/>
  </si>
  <si>
    <t>加工数</t>
    <rPh sb="0" eb="3">
      <t>カコウスウ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</si>
</sst>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yy\,mm\,dd"/>
    <numFmt numFmtId="183" formatCode="#&quot;箱&quot;"/>
    <numFmt numFmtId="184" formatCode="0.00_ "/>
    <numFmt numFmtId="185" formatCode="mm/dd;;"/>
    <numFmt numFmtId="186" formatCode="#;;"/>
    <numFmt numFmtId="187" formatCode="mm&quot;月&quot;dd&quot;日&quot;;;"/>
    <numFmt numFmtId="188" formatCode="&quot;切断作業&quot;"/>
    <numFmt numFmtId="189" formatCode="&quot;外観検査&quot;#"/>
    <numFmt numFmtId="190" formatCode="&quot;端&quot;mm/dd;;"/>
    <numFmt numFmtId="191" formatCode="&quot;初&quot;mm/dd;;"/>
    <numFmt numFmtId="192" formatCode="&quot;不&quot;mm/dd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49" fontId="20" fillId="0" borderId="22" xfId="1" applyNumberFormat="1" applyFont="1" applyBorder="1" applyAlignment="1">
      <alignment horizontal="center" vertical="center" shrinkToFit="1"/>
    </xf>
    <xf numFmtId="49" fontId="21" fillId="3" borderId="21" xfId="0" applyNumberFormat="1" applyFont="1" applyFill="1" applyBorder="1" applyAlignment="1">
      <alignment horizontal="center" vertical="center"/>
    </xf>
    <xf numFmtId="49" fontId="22" fillId="0" borderId="0" xfId="1" applyNumberFormat="1" applyFont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49" fontId="21" fillId="3" borderId="21" xfId="1" applyNumberFormat="1" applyFont="1" applyFill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/>
    </xf>
    <xf numFmtId="49" fontId="23" fillId="5" borderId="25" xfId="1" applyNumberFormat="1" applyFont="1" applyFill="1" applyBorder="1" applyAlignment="1">
      <alignment horizontal="center" vertical="center" shrinkToFit="1"/>
    </xf>
    <xf numFmtId="0" fontId="26" fillId="7" borderId="16" xfId="0" applyFont="1" applyFill="1" applyBorder="1" applyAlignment="1">
      <alignment horizontal="center" vertical="center"/>
    </xf>
    <xf numFmtId="0" fontId="26" fillId="7" borderId="17" xfId="0" applyFont="1" applyFill="1" applyBorder="1" applyAlignment="1">
      <alignment horizontal="center" vertical="center"/>
    </xf>
    <xf numFmtId="49" fontId="26" fillId="7" borderId="18" xfId="0" applyNumberFormat="1" applyFont="1" applyFill="1" applyBorder="1" applyAlignment="1">
      <alignment horizontal="center" vertical="center" shrinkToFit="1"/>
    </xf>
    <xf numFmtId="49" fontId="26" fillId="7" borderId="20" xfId="0" applyNumberFormat="1" applyFont="1" applyFill="1" applyBorder="1" applyAlignment="1">
      <alignment horizontal="center" vertical="center" shrinkToFit="1"/>
    </xf>
    <xf numFmtId="49" fontId="20" fillId="0" borderId="25" xfId="1" applyNumberFormat="1" applyFont="1" applyBorder="1" applyAlignment="1">
      <alignment horizontal="center" vertical="center" shrinkToFit="1"/>
    </xf>
    <xf numFmtId="185" fontId="17" fillId="0" borderId="21" xfId="3" applyNumberFormat="1" applyFont="1" applyBorder="1" applyAlignment="1">
      <alignment horizontal="center" vertical="center" shrinkToFit="1"/>
    </xf>
    <xf numFmtId="186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184" fontId="17" fillId="5" borderId="29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4" xfId="0" applyNumberFormat="1" applyFont="1" applyFill="1" applyBorder="1" applyAlignment="1">
      <alignment horizontal="center" vertical="center"/>
    </xf>
    <xf numFmtId="180" fontId="17" fillId="0" borderId="15" xfId="3" applyNumberFormat="1" applyFont="1" applyBorder="1" applyAlignment="1">
      <alignment horizontal="center" vertical="center" shrinkToFit="1"/>
    </xf>
    <xf numFmtId="184" fontId="17" fillId="0" borderId="15" xfId="3" applyNumberFormat="1" applyFont="1" applyBorder="1" applyAlignment="1">
      <alignment horizontal="center" vertical="center" shrinkToFit="1"/>
    </xf>
    <xf numFmtId="180" fontId="17" fillId="0" borderId="24" xfId="3" applyNumberFormat="1" applyFont="1" applyBorder="1" applyAlignment="1">
      <alignment horizontal="center" vertical="center" shrinkToFit="1"/>
    </xf>
    <xf numFmtId="180" fontId="17" fillId="5" borderId="30" xfId="3" applyNumberFormat="1" applyFont="1" applyFill="1" applyBorder="1" applyAlignment="1">
      <alignment horizontal="center" vertical="center" shrinkToFit="1"/>
    </xf>
    <xf numFmtId="184" fontId="17" fillId="5" borderId="30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49" fontId="20" fillId="0" borderId="0" xfId="1" applyNumberFormat="1" applyFont="1" applyAlignment="1">
      <alignment horizontal="left" vertical="center" shrinkToFit="1"/>
    </xf>
    <xf numFmtId="0" fontId="27" fillId="0" borderId="22" xfId="2" applyFont="1" applyFill="1" applyBorder="1" applyAlignment="1">
      <alignment horizontal="center" vertical="center"/>
    </xf>
    <xf numFmtId="49" fontId="30" fillId="0" borderId="0" xfId="0" applyNumberFormat="1" applyFont="1">
      <alignment vertical="center"/>
    </xf>
    <xf numFmtId="0" fontId="30" fillId="0" borderId="0" xfId="0" applyFont="1">
      <alignment vertical="center"/>
    </xf>
    <xf numFmtId="49" fontId="28" fillId="0" borderId="0" xfId="0" applyNumberFormat="1" applyFont="1" applyAlignment="1">
      <alignment vertical="top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20" fillId="0" borderId="0" xfId="0" applyNumberFormat="1" applyFont="1" applyAlignment="1">
      <alignment vertical="top" shrinkToFit="1"/>
    </xf>
    <xf numFmtId="49" fontId="20" fillId="0" borderId="22" xfId="0" applyNumberFormat="1" applyFont="1" applyBorder="1" applyAlignment="1">
      <alignment horizontal="center" vertical="top" shrinkToFit="1"/>
    </xf>
    <xf numFmtId="0" fontId="27" fillId="0" borderId="25" xfId="2" applyFont="1" applyFill="1" applyBorder="1" applyAlignment="1">
      <alignment horizontal="center" vertical="center"/>
    </xf>
    <xf numFmtId="49" fontId="29" fillId="0" borderId="0" xfId="3" applyNumberFormat="1" applyFont="1" applyAlignment="1">
      <alignment horizontal="center" vertical="center" shrinkToFit="1"/>
    </xf>
    <xf numFmtId="49" fontId="29" fillId="0" borderId="0" xfId="3" applyNumberFormat="1" applyFont="1" applyAlignment="1">
      <alignment vertical="center" shrinkToFit="1"/>
    </xf>
    <xf numFmtId="187" fontId="20" fillId="0" borderId="24" xfId="1" applyNumberFormat="1" applyFont="1" applyBorder="1" applyAlignment="1">
      <alignment horizontal="center" vertical="center" shrinkToFit="1"/>
    </xf>
    <xf numFmtId="49" fontId="17" fillId="5" borderId="25" xfId="3" applyNumberFormat="1" applyFont="1" applyFill="1" applyBorder="1" applyAlignment="1">
      <alignment horizontal="left" vertical="center" shrinkToFit="1"/>
    </xf>
    <xf numFmtId="0" fontId="20" fillId="5" borderId="29" xfId="3" applyFont="1" applyFill="1" applyBorder="1" applyAlignment="1">
      <alignment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5" borderId="19" xfId="1" applyNumberFormat="1" applyFont="1" applyFill="1" applyBorder="1" applyAlignment="1">
      <alignment horizontal="center" vertical="center" shrinkToFit="1"/>
    </xf>
    <xf numFmtId="49" fontId="18" fillId="5" borderId="20" xfId="1" applyNumberFormat="1" applyFont="1" applyFill="1" applyBorder="1" applyAlignment="1">
      <alignment horizontal="center" vertical="center" shrinkToFit="1"/>
    </xf>
    <xf numFmtId="49" fontId="16" fillId="3" borderId="16" xfId="1" applyNumberFormat="1" applyFont="1" applyFill="1" applyBorder="1" applyAlignment="1">
      <alignment horizontal="center" vertical="center" shrinkToFit="1"/>
    </xf>
    <xf numFmtId="49" fontId="20" fillId="4" borderId="20" xfId="1" applyNumberFormat="1" applyFont="1" applyFill="1" applyBorder="1" applyAlignment="1">
      <alignment horizontal="center" vertical="center" shrinkToFit="1"/>
    </xf>
    <xf numFmtId="179" fontId="18" fillId="0" borderId="21" xfId="0" applyNumberFormat="1" applyFont="1" applyBorder="1" applyAlignment="1">
      <alignment horizontal="center" vertical="center"/>
    </xf>
    <xf numFmtId="188" fontId="32" fillId="0" borderId="24" xfId="1" applyNumberFormat="1" applyFont="1" applyBorder="1" applyAlignment="1">
      <alignment vertical="center" shrinkToFit="1"/>
    </xf>
    <xf numFmtId="0" fontId="16" fillId="3" borderId="21" xfId="0" applyFont="1" applyFill="1" applyBorder="1" applyAlignment="1">
      <alignment horizontal="center" vertical="center"/>
    </xf>
    <xf numFmtId="189" fontId="32" fillId="0" borderId="24" xfId="1" applyNumberFormat="1" applyFont="1" applyBorder="1" applyAlignment="1">
      <alignment vertical="center" shrinkToFit="1"/>
    </xf>
    <xf numFmtId="184" fontId="18" fillId="0" borderId="21" xfId="0" applyNumberFormat="1" applyFont="1" applyBorder="1" applyAlignment="1">
      <alignment horizontal="center" vertical="center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25" fillId="0" borderId="27" xfId="1" applyFont="1" applyBorder="1" applyAlignment="1">
      <alignment horizontal="center" vertical="center" shrinkToFit="1"/>
    </xf>
    <xf numFmtId="49" fontId="26" fillId="7" borderId="5" xfId="1" applyNumberFormat="1" applyFont="1" applyFill="1" applyBorder="1" applyAlignment="1">
      <alignment horizontal="center" vertical="center" shrinkToFit="1"/>
    </xf>
    <xf numFmtId="49" fontId="26" fillId="7" borderId="5" xfId="0" applyNumberFormat="1" applyFont="1" applyFill="1" applyBorder="1" applyAlignment="1">
      <alignment horizontal="center" vertical="center" shrinkToFit="1"/>
    </xf>
    <xf numFmtId="0" fontId="32" fillId="0" borderId="21" xfId="0" applyFont="1" applyBorder="1" applyAlignment="1">
      <alignment horizontal="center" vertical="center"/>
    </xf>
    <xf numFmtId="182" fontId="33" fillId="0" borderId="23" xfId="1" applyNumberFormat="1" applyFont="1" applyBorder="1" applyAlignment="1">
      <alignment horizontal="center" vertical="center" shrinkToFit="1"/>
    </xf>
    <xf numFmtId="183" fontId="33" fillId="0" borderId="24" xfId="1" applyNumberFormat="1" applyFont="1" applyBorder="1" applyAlignment="1">
      <alignment horizontal="center" vertical="center" shrinkToFit="1"/>
    </xf>
    <xf numFmtId="180" fontId="33" fillId="0" borderId="24" xfId="1" applyNumberFormat="1" applyFont="1" applyBorder="1" applyAlignment="1">
      <alignment horizontal="center" vertical="center" shrinkToFit="1"/>
    </xf>
    <xf numFmtId="180" fontId="33" fillId="0" borderId="32" xfId="1" applyNumberFormat="1" applyFont="1" applyBorder="1" applyAlignment="1">
      <alignment horizontal="center" vertical="center" shrinkToFit="1"/>
    </xf>
    <xf numFmtId="180" fontId="33" fillId="0" borderId="26" xfId="1" applyNumberFormat="1" applyFont="1" applyBorder="1" applyAlignment="1">
      <alignment horizontal="center" vertical="center" shrinkToFit="1"/>
    </xf>
    <xf numFmtId="182" fontId="33" fillId="0" borderId="33" xfId="1" applyNumberFormat="1" applyFont="1" applyBorder="1" applyAlignment="1">
      <alignment horizontal="center" vertical="center" shrinkToFit="1"/>
    </xf>
    <xf numFmtId="183" fontId="33" fillId="0" borderId="26" xfId="1" applyNumberFormat="1" applyFont="1" applyBorder="1" applyAlignment="1">
      <alignment horizontal="center" vertical="center" shrinkToFit="1"/>
    </xf>
    <xf numFmtId="0" fontId="26" fillId="7" borderId="14" xfId="0" applyFont="1" applyFill="1" applyBorder="1" applyAlignment="1">
      <alignment horizontal="center" vertical="center"/>
    </xf>
    <xf numFmtId="0" fontId="26" fillId="7" borderId="17" xfId="0" applyFont="1" applyFill="1" applyBorder="1" applyAlignment="1">
      <alignment horizontal="center" vertical="center" shrinkToFit="1"/>
    </xf>
    <xf numFmtId="190" fontId="17" fillId="5" borderId="21" xfId="0" applyNumberFormat="1" applyFont="1" applyFill="1" applyBorder="1" applyAlignment="1">
      <alignment horizontal="center" vertical="center"/>
    </xf>
    <xf numFmtId="191" fontId="17" fillId="0" borderId="21" xfId="3" applyNumberFormat="1" applyFont="1" applyBorder="1" applyAlignment="1">
      <alignment horizontal="center" vertical="center" shrinkToFit="1"/>
    </xf>
    <xf numFmtId="192" fontId="27" fillId="5" borderId="27" xfId="3" applyNumberFormat="1" applyFont="1" applyFill="1" applyBorder="1" applyAlignment="1">
      <alignment horizontal="center" vertical="center" shrinkToFit="1"/>
    </xf>
    <xf numFmtId="184" fontId="17" fillId="5" borderId="34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4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33" fillId="0" borderId="24" xfId="0" applyNumberFormat="1" applyFont="1" applyBorder="1" applyAlignment="1">
      <alignment horizontal="center" vertical="top" shrinkToFit="1"/>
    </xf>
    <xf numFmtId="180" fontId="25" fillId="0" borderId="26" xfId="1" applyNumberFormat="1" applyFont="1" applyBorder="1" applyAlignment="1">
      <alignment horizontal="center" vertical="center" shrinkToFit="1"/>
    </xf>
    <xf numFmtId="184" fontId="17" fillId="5" borderId="35" xfId="3" applyNumberFormat="1" applyFont="1" applyFill="1" applyBorder="1" applyAlignment="1">
      <alignment horizontal="right" vertical="center" shrinkToFit="1"/>
    </xf>
    <xf numFmtId="180" fontId="17" fillId="5" borderId="25" xfId="3" applyNumberFormat="1" applyFont="1" applyFill="1" applyBorder="1" applyAlignment="1">
      <alignment horizontal="center" vertical="center" shrinkToFit="1"/>
    </xf>
    <xf numFmtId="49" fontId="18" fillId="5" borderId="17" xfId="1" applyNumberFormat="1" applyFont="1" applyFill="1" applyBorder="1" applyAlignment="1">
      <alignment horizontal="center" vertical="center" shrinkToFit="1"/>
    </xf>
    <xf numFmtId="49" fontId="18" fillId="5" borderId="20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28" fillId="5" borderId="16" xfId="0" applyNumberFormat="1" applyFont="1" applyFill="1" applyBorder="1" applyAlignment="1">
      <alignment horizontal="center" vertical="top" shrinkToFit="1"/>
    </xf>
    <xf numFmtId="49" fontId="28" fillId="5" borderId="31" xfId="0" applyNumberFormat="1" applyFont="1" applyFill="1" applyBorder="1" applyAlignment="1">
      <alignment horizontal="center" vertical="top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19" fillId="6" borderId="22" xfId="0" applyNumberFormat="1" applyFont="1" applyFill="1" applyBorder="1" applyAlignment="1">
      <alignment horizontal="center" vertical="center" shrinkToFit="1"/>
    </xf>
    <xf numFmtId="180" fontId="19" fillId="6" borderId="15" xfId="0" applyNumberFormat="1" applyFont="1" applyFill="1" applyBorder="1" applyAlignment="1">
      <alignment horizontal="center" vertical="center" shrinkToFit="1"/>
    </xf>
    <xf numFmtId="181" fontId="19" fillId="0" borderId="15" xfId="1" applyNumberFormat="1" applyFont="1" applyBorder="1" applyAlignment="1">
      <alignment horizontal="center" vertical="center" shrinkToFit="1"/>
    </xf>
    <xf numFmtId="49" fontId="23" fillId="5" borderId="22" xfId="1" applyNumberFormat="1" applyFont="1" applyFill="1" applyBorder="1" applyAlignment="1">
      <alignment horizontal="center" vertical="center" wrapText="1" shrinkToFit="1"/>
    </xf>
    <xf numFmtId="180" fontId="18" fillId="6" borderId="15" xfId="0" applyNumberFormat="1" applyFont="1" applyFill="1" applyBorder="1" applyAlignment="1">
      <alignment horizontal="left" vertical="center" shrinkToFit="1"/>
    </xf>
    <xf numFmtId="180" fontId="18" fillId="6" borderId="24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8" fillId="6" borderId="28" xfId="0" applyNumberFormat="1" applyFont="1" applyFill="1" applyBorder="1" applyAlignment="1">
      <alignment horizontal="left" vertical="center" shrinkToFit="1"/>
    </xf>
    <xf numFmtId="180" fontId="18" fillId="6" borderId="26" xfId="0" applyNumberFormat="1" applyFont="1" applyFill="1" applyBorder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7BF164BA-2D1D-49FD-9815-18D95B57BC57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104776</xdr:colOff>
      <xdr:row>4</xdr:row>
      <xdr:rowOff>9526</xdr:rowOff>
    </xdr:from>
    <xdr:to>
      <xdr:col>9</xdr:col>
      <xdr:colOff>714376</xdr:colOff>
      <xdr:row>6</xdr:row>
      <xdr:rowOff>180976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C218309-7AE3-F9A1-ADE2-2A575E85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1" y="733426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4</xdr:row>
      <xdr:rowOff>38100</xdr:rowOff>
    </xdr:from>
    <xdr:to>
      <xdr:col>8</xdr:col>
      <xdr:colOff>723900</xdr:colOff>
      <xdr:row>6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E99236F-3A64-9B17-4F6E-2EE61164B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762000"/>
          <a:ext cx="581025" cy="581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3.xlsm" TargetMode="External"/><Relationship Id="rId2" Type="http://schemas.openxmlformats.org/officeDocument/2006/relationships/externalLinkPath" Target="file:///C:\Users\user\Desktop\sgt2603.xlsm" TargetMode="External"/><Relationship Id="rId1" Type="http://schemas.openxmlformats.org/officeDocument/2006/relationships/externalLinkPath" Target="/Users/user/Desktop/sgt26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L=840(切断）</v>
          </cell>
          <cell r="D3">
            <v>46077</v>
          </cell>
          <cell r="E3" t="str">
            <v>26B18-01</v>
          </cell>
          <cell r="F3">
            <v>11</v>
          </cell>
          <cell r="J3" t="str">
            <v>26B18-01</v>
          </cell>
          <cell r="K3">
            <v>11</v>
          </cell>
          <cell r="L3">
            <v>11</v>
          </cell>
          <cell r="M3">
            <v>46079</v>
          </cell>
          <cell r="N3">
            <v>7</v>
          </cell>
          <cell r="P3">
            <v>46080</v>
          </cell>
          <cell r="R3">
            <v>23</v>
          </cell>
          <cell r="U3" t="str">
            <v>000000000012370</v>
          </cell>
        </row>
        <row r="4">
          <cell r="D4">
            <v>46078</v>
          </cell>
          <cell r="E4" t="str">
            <v>26B19-02(2110)</v>
          </cell>
          <cell r="G4">
            <v>20</v>
          </cell>
          <cell r="H4">
            <v>840</v>
          </cell>
          <cell r="I4">
            <v>839.73</v>
          </cell>
          <cell r="J4" t="str">
            <v>26B19-02(2110)</v>
          </cell>
          <cell r="K4">
            <v>191</v>
          </cell>
          <cell r="L4">
            <v>191</v>
          </cell>
          <cell r="M4">
            <v>46080</v>
          </cell>
          <cell r="N4">
            <v>4</v>
          </cell>
          <cell r="P4">
            <v>176</v>
          </cell>
          <cell r="R4">
            <v>3</v>
          </cell>
          <cell r="U4" t="str">
            <v>000000000012370</v>
          </cell>
        </row>
        <row r="5">
          <cell r="C5">
            <v>176</v>
          </cell>
          <cell r="D5">
            <v>46078</v>
          </cell>
          <cell r="E5" t="str">
            <v>26B19-02(2110)</v>
          </cell>
          <cell r="F5">
            <v>194</v>
          </cell>
          <cell r="G5">
            <v>20</v>
          </cell>
          <cell r="H5">
            <v>840</v>
          </cell>
          <cell r="I5">
            <v>839.94</v>
          </cell>
          <cell r="K5">
            <v>0</v>
          </cell>
          <cell r="L5" t="str">
            <v/>
          </cell>
          <cell r="P5">
            <v>202</v>
          </cell>
          <cell r="U5" t="str">
            <v>000000000012370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26</v>
          </cell>
          <cell r="U6" t="str">
            <v>000000000012370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26</v>
          </cell>
          <cell r="U7" t="str">
            <v>000000000012370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000000000012370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176</v>
          </cell>
          <cell r="P9">
            <v>202</v>
          </cell>
          <cell r="U9" t="str">
            <v>000000000012370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000000000012370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U11" t="str">
            <v>000000000012370</v>
          </cell>
        </row>
        <row r="12">
          <cell r="K12">
            <v>0</v>
          </cell>
          <cell r="L12" t="str">
            <v/>
          </cell>
          <cell r="M12" t="str">
            <v>T</v>
          </cell>
          <cell r="N12" t="str">
            <v>M</v>
          </cell>
          <cell r="R12">
            <v>26</v>
          </cell>
          <cell r="U12" t="str">
            <v>000000000012370</v>
          </cell>
        </row>
        <row r="13">
          <cell r="D13" t="str">
            <v>不良補填</v>
          </cell>
          <cell r="F13" t="str">
            <v/>
          </cell>
          <cell r="U13" t="str">
            <v>000000000012370</v>
          </cell>
        </row>
        <row r="14">
          <cell r="C14" t="str">
            <v>灯具カバーPC IN 2090　L=840(切断）</v>
          </cell>
          <cell r="D14">
            <v>46052</v>
          </cell>
          <cell r="E14" t="str">
            <v>26A22-01</v>
          </cell>
          <cell r="F14">
            <v>13</v>
          </cell>
          <cell r="J14" t="str">
            <v>26A22-01</v>
          </cell>
          <cell r="K14">
            <v>13</v>
          </cell>
          <cell r="L14">
            <v>13</v>
          </cell>
          <cell r="M14">
            <v>46079</v>
          </cell>
          <cell r="N14">
            <v>11</v>
          </cell>
          <cell r="P14">
            <v>46079</v>
          </cell>
          <cell r="R14">
            <v>21</v>
          </cell>
          <cell r="U14" t="str">
            <v>000000000012146</v>
          </cell>
        </row>
        <row r="15">
          <cell r="D15">
            <v>46077</v>
          </cell>
          <cell r="E15" t="str">
            <v>26B18-01(2110)</v>
          </cell>
          <cell r="G15">
            <v>20</v>
          </cell>
          <cell r="H15">
            <v>840</v>
          </cell>
          <cell r="I15">
            <v>839.91</v>
          </cell>
          <cell r="J15" t="str">
            <v>26B18-01(2110)</v>
          </cell>
          <cell r="K15">
            <v>192</v>
          </cell>
          <cell r="L15">
            <v>192</v>
          </cell>
          <cell r="P15">
            <v>176</v>
          </cell>
          <cell r="R15">
            <v>8</v>
          </cell>
          <cell r="U15" t="str">
            <v>000000000012146</v>
          </cell>
        </row>
        <row r="16">
          <cell r="C16">
            <v>176</v>
          </cell>
          <cell r="D16">
            <v>46077</v>
          </cell>
          <cell r="E16" t="str">
            <v>26B18-01(2110)</v>
          </cell>
          <cell r="G16">
            <v>20</v>
          </cell>
          <cell r="H16">
            <v>840</v>
          </cell>
          <cell r="I16">
            <v>839.74</v>
          </cell>
          <cell r="K16">
            <v>0</v>
          </cell>
          <cell r="L16" t="str">
            <v/>
          </cell>
          <cell r="P16">
            <v>205</v>
          </cell>
          <cell r="U16" t="str">
            <v>000000000012146</v>
          </cell>
        </row>
        <row r="17">
          <cell r="C17">
            <v>176</v>
          </cell>
          <cell r="D17">
            <v>46077</v>
          </cell>
          <cell r="E17" t="str">
            <v>26B18-01(2110)</v>
          </cell>
          <cell r="F17">
            <v>189</v>
          </cell>
          <cell r="G17">
            <v>20</v>
          </cell>
          <cell r="H17">
            <v>840</v>
          </cell>
          <cell r="I17">
            <v>839.69</v>
          </cell>
          <cell r="K17">
            <v>0</v>
          </cell>
          <cell r="L17" t="str">
            <v/>
          </cell>
          <cell r="P17">
            <v>29</v>
          </cell>
          <cell r="U17" t="str">
            <v>000000000012146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29</v>
          </cell>
          <cell r="U18" t="str">
            <v>000000000012146</v>
          </cell>
        </row>
        <row r="19">
          <cell r="C19">
            <v>16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000000000012146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176</v>
          </cell>
          <cell r="P20">
            <v>205</v>
          </cell>
          <cell r="U20" t="str">
            <v>000000000012146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000000000012146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M22" t="str">
            <v>C</v>
          </cell>
          <cell r="U22" t="str">
            <v>000000000012146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M</v>
          </cell>
          <cell r="R23">
            <v>29</v>
          </cell>
          <cell r="U23" t="str">
            <v>000000000012146</v>
          </cell>
        </row>
        <row r="24">
          <cell r="D24" t="str">
            <v>不良補填</v>
          </cell>
          <cell r="F24" t="str">
            <v/>
          </cell>
          <cell r="U24" t="str">
            <v>000000000012146</v>
          </cell>
        </row>
        <row r="25">
          <cell r="C25" t="str">
            <v>灯具カバーPC IN 2050　L=1183.5(2070切断)</v>
          </cell>
          <cell r="D25">
            <v>46063</v>
          </cell>
          <cell r="E25" t="str">
            <v>26A23-01</v>
          </cell>
          <cell r="F25">
            <v>15</v>
          </cell>
          <cell r="J25" t="str">
            <v>26A23-01</v>
          </cell>
          <cell r="K25">
            <v>15</v>
          </cell>
          <cell r="L25">
            <v>15</v>
          </cell>
          <cell r="M25">
            <v>46080</v>
          </cell>
          <cell r="N25">
            <v>9</v>
          </cell>
          <cell r="P25">
            <v>46080</v>
          </cell>
          <cell r="R25">
            <v>16</v>
          </cell>
          <cell r="U25" t="str">
            <v>000000000012149</v>
          </cell>
        </row>
        <row r="26">
          <cell r="D26">
            <v>46079</v>
          </cell>
          <cell r="E26" t="str">
            <v>26B20-01(2070)</v>
          </cell>
          <cell r="G26">
            <v>20</v>
          </cell>
          <cell r="H26">
            <v>1183.5</v>
          </cell>
          <cell r="I26">
            <v>1183.51</v>
          </cell>
          <cell r="J26" t="str">
            <v>26B20-01(2070)</v>
          </cell>
          <cell r="K26">
            <v>149</v>
          </cell>
          <cell r="L26">
            <v>149</v>
          </cell>
          <cell r="P26">
            <v>144</v>
          </cell>
          <cell r="R26">
            <v>4</v>
          </cell>
          <cell r="U26" t="str">
            <v>000000000012149</v>
          </cell>
        </row>
        <row r="27">
          <cell r="C27">
            <v>144</v>
          </cell>
          <cell r="D27">
            <v>46079</v>
          </cell>
          <cell r="E27" t="str">
            <v>26B20-01(2070)</v>
          </cell>
          <cell r="F27">
            <v>149</v>
          </cell>
          <cell r="G27">
            <v>20</v>
          </cell>
          <cell r="H27">
            <v>1183.5</v>
          </cell>
          <cell r="I27">
            <v>1183.67</v>
          </cell>
          <cell r="K27">
            <v>0</v>
          </cell>
          <cell r="L27" t="str">
            <v/>
          </cell>
          <cell r="P27">
            <v>164</v>
          </cell>
          <cell r="U27" t="str">
            <v>000000000012149</v>
          </cell>
        </row>
        <row r="28">
          <cell r="C28">
            <v>144</v>
          </cell>
          <cell r="H28" t="str">
            <v/>
          </cell>
          <cell r="K28">
            <v>0</v>
          </cell>
          <cell r="L28" t="str">
            <v/>
          </cell>
          <cell r="P28">
            <v>20</v>
          </cell>
          <cell r="U28" t="str">
            <v>000000000012149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20</v>
          </cell>
          <cell r="U29" t="str">
            <v>000000000012149</v>
          </cell>
        </row>
        <row r="30">
          <cell r="C30">
            <v>16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9</v>
          </cell>
          <cell r="P30">
            <v>0</v>
          </cell>
          <cell r="U30" t="str">
            <v>000000000012149</v>
          </cell>
        </row>
        <row r="31">
          <cell r="C31" t="str">
            <v>灯具-1　L=1370</v>
          </cell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144</v>
          </cell>
          <cell r="P31">
            <v>164</v>
          </cell>
          <cell r="U31" t="str">
            <v>000000000012149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000000000012149</v>
          </cell>
        </row>
        <row r="33">
          <cell r="C33">
            <v>9</v>
          </cell>
          <cell r="H33" t="str">
            <v/>
          </cell>
          <cell r="K33">
            <v>0</v>
          </cell>
          <cell r="L33" t="str">
            <v/>
          </cell>
          <cell r="M33" t="str">
            <v>C</v>
          </cell>
          <cell r="U33" t="str">
            <v>000000000012149</v>
          </cell>
        </row>
        <row r="34">
          <cell r="K34">
            <v>0</v>
          </cell>
          <cell r="L34" t="str">
            <v/>
          </cell>
          <cell r="M34" t="str">
            <v>T</v>
          </cell>
          <cell r="N34" t="str">
            <v>M</v>
          </cell>
          <cell r="R34">
            <v>20</v>
          </cell>
          <cell r="U34" t="str">
            <v>000000000012149</v>
          </cell>
        </row>
        <row r="35">
          <cell r="D35" t="str">
            <v>不良補填</v>
          </cell>
          <cell r="F35" t="str">
            <v/>
          </cell>
          <cell r="U35" t="str">
            <v>000000000012149</v>
          </cell>
        </row>
        <row r="36">
          <cell r="C36" t="str">
            <v>灯具カバーPC  　2160    L=613.3</v>
          </cell>
          <cell r="J36">
            <v>0</v>
          </cell>
          <cell r="K36">
            <v>0</v>
          </cell>
          <cell r="L36" t="str">
            <v/>
          </cell>
          <cell r="M36">
            <v>46079</v>
          </cell>
          <cell r="N36">
            <v>10</v>
          </cell>
          <cell r="P36">
            <v>46079</v>
          </cell>
          <cell r="R36">
            <v>1</v>
          </cell>
          <cell r="U36" t="str">
            <v>000000000012155</v>
          </cell>
        </row>
        <row r="37">
          <cell r="D37">
            <v>46078</v>
          </cell>
          <cell r="E37" t="str">
            <v>26B18-01(2110)</v>
          </cell>
          <cell r="G37">
            <v>20</v>
          </cell>
          <cell r="H37">
            <v>613.29999999999995</v>
          </cell>
          <cell r="I37">
            <v>613.55999999999995</v>
          </cell>
          <cell r="J37" t="str">
            <v>26B18-01(2110)</v>
          </cell>
          <cell r="K37">
            <v>25</v>
          </cell>
          <cell r="L37">
            <v>12.5</v>
          </cell>
          <cell r="P37">
            <v>20</v>
          </cell>
          <cell r="R37">
            <v>4</v>
          </cell>
          <cell r="U37" t="str">
            <v>000000000012155</v>
          </cell>
        </row>
        <row r="38">
          <cell r="C38">
            <v>20</v>
          </cell>
          <cell r="D38">
            <v>46078</v>
          </cell>
          <cell r="E38" t="str">
            <v>26B18-01(2110)</v>
          </cell>
          <cell r="F38">
            <v>25</v>
          </cell>
          <cell r="G38">
            <v>20</v>
          </cell>
          <cell r="H38">
            <v>613.29999999999995</v>
          </cell>
          <cell r="I38">
            <v>613.66999999999996</v>
          </cell>
          <cell r="K38">
            <v>0</v>
          </cell>
          <cell r="L38" t="str">
            <v/>
          </cell>
          <cell r="P38">
            <v>12.5</v>
          </cell>
          <cell r="U38" t="str">
            <v>000000000012155</v>
          </cell>
        </row>
        <row r="39">
          <cell r="C39">
            <v>20</v>
          </cell>
          <cell r="H39" t="str">
            <v/>
          </cell>
          <cell r="K39">
            <v>0</v>
          </cell>
          <cell r="L39" t="str">
            <v/>
          </cell>
          <cell r="P39">
            <v>5</v>
          </cell>
          <cell r="U39" t="str">
            <v>000000000012155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2.5</v>
          </cell>
          <cell r="U40" t="str">
            <v>000000000012155</v>
          </cell>
        </row>
        <row r="41">
          <cell r="C41">
            <v>2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10</v>
          </cell>
          <cell r="P41">
            <v>0</v>
          </cell>
          <cell r="U41" t="str">
            <v>000000000012155</v>
          </cell>
        </row>
        <row r="42">
          <cell r="C42" t="str">
            <v>H型ジョイナー端材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20</v>
          </cell>
          <cell r="P42">
            <v>25</v>
          </cell>
          <cell r="U42" t="str">
            <v>000000000012155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000000000012155</v>
          </cell>
        </row>
        <row r="44">
          <cell r="C44">
            <v>10</v>
          </cell>
          <cell r="H44" t="str">
            <v/>
          </cell>
          <cell r="K44">
            <v>0</v>
          </cell>
          <cell r="L44" t="str">
            <v/>
          </cell>
          <cell r="M44" t="str">
            <v>C</v>
          </cell>
          <cell r="U44" t="str">
            <v>000000000012155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N45" t="str">
            <v>M</v>
          </cell>
          <cell r="R45">
            <v>5</v>
          </cell>
          <cell r="U45" t="str">
            <v>000000000012155</v>
          </cell>
        </row>
        <row r="46">
          <cell r="D46" t="str">
            <v>不良補填</v>
          </cell>
          <cell r="F46" t="str">
            <v/>
          </cell>
          <cell r="U46" t="str">
            <v>000000000012155</v>
          </cell>
        </row>
        <row r="47">
          <cell r="C47" t="str">
            <v>照明ｶﾊﾞｰS15　L=550</v>
          </cell>
          <cell r="J47">
            <v>0</v>
          </cell>
          <cell r="K47">
            <v>0</v>
          </cell>
          <cell r="L47" t="str">
            <v/>
          </cell>
          <cell r="M47">
            <v>46078</v>
          </cell>
          <cell r="N47">
            <v>10</v>
          </cell>
          <cell r="P47">
            <v>46078</v>
          </cell>
          <cell r="U47" t="str">
            <v>000000000012386</v>
          </cell>
        </row>
        <row r="48">
          <cell r="D48">
            <v>46078</v>
          </cell>
          <cell r="E48" t="str">
            <v>26B19</v>
          </cell>
          <cell r="G48">
            <v>20</v>
          </cell>
          <cell r="H48">
            <v>550</v>
          </cell>
          <cell r="I48">
            <v>549.91999999999996</v>
          </cell>
          <cell r="J48" t="str">
            <v>26B19</v>
          </cell>
          <cell r="K48">
            <v>500</v>
          </cell>
          <cell r="L48">
            <v>166.66666666666666</v>
          </cell>
          <cell r="P48">
            <v>500</v>
          </cell>
          <cell r="U48" t="str">
            <v>000000000012386</v>
          </cell>
        </row>
        <row r="49">
          <cell r="C49">
            <v>500</v>
          </cell>
          <cell r="D49">
            <v>46078</v>
          </cell>
          <cell r="E49" t="str">
            <v>26B19</v>
          </cell>
          <cell r="F49">
            <v>500</v>
          </cell>
          <cell r="G49">
            <v>20</v>
          </cell>
          <cell r="H49">
            <v>550</v>
          </cell>
          <cell r="I49">
            <v>549.89</v>
          </cell>
          <cell r="K49">
            <v>0</v>
          </cell>
          <cell r="L49" t="str">
            <v/>
          </cell>
          <cell r="P49">
            <v>166.66666666666666</v>
          </cell>
          <cell r="U49" t="str">
            <v>000000000012386</v>
          </cell>
        </row>
        <row r="50">
          <cell r="C50">
            <v>500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000000000012386</v>
          </cell>
        </row>
        <row r="51">
          <cell r="C51">
            <v>3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000000000012386</v>
          </cell>
        </row>
        <row r="52">
          <cell r="C52">
            <v>50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10</v>
          </cell>
          <cell r="P52">
            <v>0</v>
          </cell>
          <cell r="U52" t="str">
            <v>000000000012386</v>
          </cell>
        </row>
        <row r="53">
          <cell r="C53" t="str">
            <v>基材梱包箱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500</v>
          </cell>
          <cell r="P53">
            <v>500</v>
          </cell>
          <cell r="U53" t="str">
            <v>000000000012386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000000000012386</v>
          </cell>
        </row>
        <row r="55">
          <cell r="C55">
            <v>3.3333333333333335</v>
          </cell>
          <cell r="H55" t="str">
            <v/>
          </cell>
          <cell r="K55">
            <v>0</v>
          </cell>
          <cell r="L55" t="str">
            <v/>
          </cell>
          <cell r="M55" t="str">
            <v>M</v>
          </cell>
          <cell r="U55" t="str">
            <v>000000000012386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000000000012386</v>
          </cell>
        </row>
        <row r="57">
          <cell r="D57" t="str">
            <v>不良補填</v>
          </cell>
          <cell r="F57" t="str">
            <v/>
          </cell>
          <cell r="U57" t="str">
            <v>000000000012386</v>
          </cell>
        </row>
        <row r="58">
          <cell r="C58" t="str">
            <v>灯具カバーPC IN 2070　L=1966</v>
          </cell>
          <cell r="D58">
            <v>46048</v>
          </cell>
          <cell r="E58" t="str">
            <v>26A21-01</v>
          </cell>
          <cell r="F58">
            <v>9</v>
          </cell>
          <cell r="J58" t="str">
            <v>26A21-01</v>
          </cell>
          <cell r="K58">
            <v>9</v>
          </cell>
          <cell r="L58">
            <v>9</v>
          </cell>
          <cell r="M58">
            <v>46080</v>
          </cell>
          <cell r="N58">
            <v>1</v>
          </cell>
          <cell r="P58">
            <v>46083</v>
          </cell>
          <cell r="R58">
            <v>45</v>
          </cell>
          <cell r="U58" t="str">
            <v>000000000012153</v>
          </cell>
        </row>
        <row r="59">
          <cell r="D59">
            <v>46080</v>
          </cell>
          <cell r="E59" t="str">
            <v>26B20-02</v>
          </cell>
          <cell r="H59" t="str">
            <v/>
          </cell>
          <cell r="J59" t="str">
            <v>26B20-02</v>
          </cell>
          <cell r="K59">
            <v>187</v>
          </cell>
          <cell r="L59">
            <v>187</v>
          </cell>
          <cell r="M59">
            <v>46083</v>
          </cell>
          <cell r="N59">
            <v>8</v>
          </cell>
          <cell r="P59">
            <v>144</v>
          </cell>
          <cell r="R59">
            <v>7</v>
          </cell>
          <cell r="U59" t="str">
            <v>000000000012153</v>
          </cell>
        </row>
        <row r="60">
          <cell r="C60">
            <v>144</v>
          </cell>
          <cell r="D60">
            <v>46083</v>
          </cell>
          <cell r="E60" t="str">
            <v>26B20-02</v>
          </cell>
          <cell r="F60">
            <v>187</v>
          </cell>
          <cell r="H60" t="str">
            <v/>
          </cell>
          <cell r="K60">
            <v>0</v>
          </cell>
          <cell r="L60" t="str">
            <v/>
          </cell>
          <cell r="P60">
            <v>196</v>
          </cell>
          <cell r="U60" t="str">
            <v>000000000012153</v>
          </cell>
        </row>
        <row r="61">
          <cell r="C61">
            <v>144</v>
          </cell>
          <cell r="H61" t="str">
            <v/>
          </cell>
          <cell r="K61">
            <v>0</v>
          </cell>
          <cell r="L61" t="str">
            <v/>
          </cell>
          <cell r="P61">
            <v>52</v>
          </cell>
          <cell r="U61" t="str">
            <v>000000000012153</v>
          </cell>
        </row>
        <row r="62">
          <cell r="C62">
            <v>1</v>
          </cell>
          <cell r="H62" t="str">
            <v/>
          </cell>
          <cell r="K62">
            <v>0</v>
          </cell>
          <cell r="L62" t="str">
            <v/>
          </cell>
          <cell r="P62">
            <v>52</v>
          </cell>
          <cell r="U62" t="str">
            <v>000000000012153</v>
          </cell>
        </row>
        <row r="63">
          <cell r="C63">
            <v>16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9</v>
          </cell>
          <cell r="P63">
            <v>0</v>
          </cell>
          <cell r="U63" t="str">
            <v>000000000012153</v>
          </cell>
        </row>
        <row r="64">
          <cell r="C64" t="str">
            <v>灯具-2　L＝1996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144</v>
          </cell>
          <cell r="P64">
            <v>196</v>
          </cell>
          <cell r="U64" t="str">
            <v>000000000012153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000000000012153</v>
          </cell>
        </row>
        <row r="66">
          <cell r="C66">
            <v>9</v>
          </cell>
          <cell r="H66" t="str">
            <v/>
          </cell>
          <cell r="K66">
            <v>0</v>
          </cell>
          <cell r="L66" t="str">
            <v/>
          </cell>
          <cell r="M66" t="str">
            <v>C</v>
          </cell>
          <cell r="U66" t="str">
            <v>000000000012153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M</v>
          </cell>
          <cell r="R67">
            <v>52</v>
          </cell>
          <cell r="U67" t="str">
            <v>000000000012153</v>
          </cell>
        </row>
        <row r="68">
          <cell r="D68" t="str">
            <v>不良補填</v>
          </cell>
          <cell r="F68" t="str">
            <v/>
          </cell>
          <cell r="U68" t="str">
            <v>000000000012153</v>
          </cell>
        </row>
        <row r="69">
          <cell r="C69" t="str">
            <v>灯具カバーPC IN 2080　L=1540</v>
          </cell>
          <cell r="D69">
            <v>46049</v>
          </cell>
          <cell r="E69" t="str">
            <v>26A21-01</v>
          </cell>
          <cell r="F69">
            <v>2</v>
          </cell>
          <cell r="J69" t="str">
            <v>26A21-01</v>
          </cell>
          <cell r="K69">
            <v>2</v>
          </cell>
          <cell r="L69">
            <v>2</v>
          </cell>
          <cell r="M69">
            <v>46083</v>
          </cell>
          <cell r="N69">
            <v>1</v>
          </cell>
          <cell r="P69">
            <v>46084</v>
          </cell>
          <cell r="R69">
            <v>14</v>
          </cell>
          <cell r="U69" t="str">
            <v>000000000012151</v>
          </cell>
        </row>
        <row r="70">
          <cell r="D70">
            <v>46083</v>
          </cell>
          <cell r="E70" t="str">
            <v>26B21-01</v>
          </cell>
          <cell r="H70" t="str">
            <v/>
          </cell>
          <cell r="J70" t="str">
            <v>26B21-01</v>
          </cell>
          <cell r="K70">
            <v>97</v>
          </cell>
          <cell r="L70">
            <v>97</v>
          </cell>
          <cell r="M70">
            <v>46084</v>
          </cell>
          <cell r="N70">
            <v>4</v>
          </cell>
          <cell r="P70">
            <v>80</v>
          </cell>
          <cell r="R70">
            <v>5</v>
          </cell>
          <cell r="U70" t="str">
            <v>000000000012151</v>
          </cell>
        </row>
        <row r="71">
          <cell r="C71">
            <v>80</v>
          </cell>
          <cell r="D71">
            <v>46084</v>
          </cell>
          <cell r="E71" t="str">
            <v>26B21-01</v>
          </cell>
          <cell r="F71">
            <v>97</v>
          </cell>
          <cell r="H71" t="str">
            <v/>
          </cell>
          <cell r="K71">
            <v>0</v>
          </cell>
          <cell r="L71" t="str">
            <v/>
          </cell>
          <cell r="P71">
            <v>99</v>
          </cell>
          <cell r="U71" t="str">
            <v>000000000012151</v>
          </cell>
        </row>
        <row r="72">
          <cell r="C72">
            <v>80</v>
          </cell>
          <cell r="H72" t="str">
            <v/>
          </cell>
          <cell r="K72">
            <v>0</v>
          </cell>
          <cell r="L72" t="str">
            <v/>
          </cell>
          <cell r="P72">
            <v>19</v>
          </cell>
          <cell r="U72" t="str">
            <v>000000000012151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19</v>
          </cell>
          <cell r="U73" t="str">
            <v>000000000012151</v>
          </cell>
        </row>
        <row r="74">
          <cell r="C74">
            <v>16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5</v>
          </cell>
          <cell r="P74">
            <v>0</v>
          </cell>
          <cell r="U74" t="str">
            <v>000000000012151</v>
          </cell>
        </row>
        <row r="75">
          <cell r="C75" t="str">
            <v>灯具-2　L＝1996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80</v>
          </cell>
          <cell r="P75">
            <v>99</v>
          </cell>
          <cell r="U75" t="str">
            <v>000000000012151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000000000012151</v>
          </cell>
        </row>
        <row r="77">
          <cell r="C77">
            <v>5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000000000012151</v>
          </cell>
        </row>
        <row r="78">
          <cell r="K78">
            <v>0</v>
          </cell>
          <cell r="L78" t="str">
            <v/>
          </cell>
          <cell r="M78" t="str">
            <v>T</v>
          </cell>
          <cell r="N78" t="str">
            <v>I</v>
          </cell>
          <cell r="R78">
            <v>19</v>
          </cell>
          <cell r="U78" t="str">
            <v>000000000012151</v>
          </cell>
        </row>
        <row r="79">
          <cell r="D79" t="str">
            <v>不良補填</v>
          </cell>
          <cell r="F79" t="str">
            <v/>
          </cell>
          <cell r="U79" t="str">
            <v>000000000012151</v>
          </cell>
        </row>
        <row r="80">
          <cell r="C80" t="str">
            <v>8FL281304 5010　L=888</v>
          </cell>
          <cell r="J80">
            <v>0</v>
          </cell>
          <cell r="K80">
            <v>0</v>
          </cell>
          <cell r="L80" t="str">
            <v/>
          </cell>
          <cell r="M80">
            <v>46084</v>
          </cell>
          <cell r="N80">
            <v>3</v>
          </cell>
          <cell r="P80">
            <v>46086</v>
          </cell>
          <cell r="R80">
            <v>4</v>
          </cell>
          <cell r="U80" t="str">
            <v>000000000012195</v>
          </cell>
        </row>
        <row r="81">
          <cell r="D81">
            <v>46083</v>
          </cell>
          <cell r="E81" t="str">
            <v>26A29-08</v>
          </cell>
          <cell r="G81">
            <v>20</v>
          </cell>
          <cell r="H81">
            <v>888</v>
          </cell>
          <cell r="I81">
            <v>887.95</v>
          </cell>
          <cell r="J81" t="str">
            <v>26A29-08</v>
          </cell>
          <cell r="K81">
            <v>756</v>
          </cell>
          <cell r="L81">
            <v>378</v>
          </cell>
          <cell r="M81">
            <v>46085</v>
          </cell>
          <cell r="N81">
            <v>6</v>
          </cell>
          <cell r="P81">
            <v>1200</v>
          </cell>
          <cell r="U81" t="str">
            <v>000000000012195</v>
          </cell>
        </row>
        <row r="82">
          <cell r="C82">
            <v>1200</v>
          </cell>
          <cell r="D82">
            <v>46083</v>
          </cell>
          <cell r="E82" t="str">
            <v>26A29-08</v>
          </cell>
          <cell r="F82">
            <v>400</v>
          </cell>
          <cell r="G82">
            <v>20</v>
          </cell>
          <cell r="H82">
            <v>888</v>
          </cell>
          <cell r="I82">
            <v>887.99</v>
          </cell>
          <cell r="J82" t="str">
            <v>26B24-01</v>
          </cell>
          <cell r="K82">
            <v>444</v>
          </cell>
          <cell r="L82">
            <v>222</v>
          </cell>
          <cell r="M82">
            <v>46086</v>
          </cell>
          <cell r="N82">
            <v>3</v>
          </cell>
          <cell r="P82">
            <v>602</v>
          </cell>
          <cell r="U82" t="str">
            <v>000000000012195</v>
          </cell>
        </row>
        <row r="83">
          <cell r="C83">
            <v>1200</v>
          </cell>
          <cell r="D83">
            <v>46084</v>
          </cell>
          <cell r="E83" t="str">
            <v>26A29-08</v>
          </cell>
          <cell r="F83">
            <v>356</v>
          </cell>
          <cell r="G83">
            <v>18</v>
          </cell>
          <cell r="H83">
            <v>887.88</v>
          </cell>
          <cell r="I83">
            <v>888.09</v>
          </cell>
          <cell r="J83" t="str">
            <v>26A23-05</v>
          </cell>
          <cell r="K83">
            <v>4</v>
          </cell>
          <cell r="L83">
            <v>2</v>
          </cell>
          <cell r="P83">
            <v>4</v>
          </cell>
          <cell r="U83" t="str">
            <v>000000000012195</v>
          </cell>
        </row>
        <row r="84">
          <cell r="C84">
            <v>2</v>
          </cell>
          <cell r="D84">
            <v>46084</v>
          </cell>
          <cell r="E84" t="str">
            <v>26B24-01</v>
          </cell>
          <cell r="F84">
            <v>44</v>
          </cell>
          <cell r="G84">
            <v>20</v>
          </cell>
          <cell r="H84">
            <v>888</v>
          </cell>
          <cell r="I84">
            <v>888.02</v>
          </cell>
          <cell r="K84">
            <v>0</v>
          </cell>
          <cell r="L84" t="str">
            <v/>
          </cell>
          <cell r="P84">
            <v>2</v>
          </cell>
          <cell r="U84" t="str">
            <v>000000000012195</v>
          </cell>
        </row>
        <row r="85">
          <cell r="C85">
            <v>100</v>
          </cell>
          <cell r="D85">
            <v>46085</v>
          </cell>
          <cell r="E85" t="str">
            <v>26B24-01</v>
          </cell>
          <cell r="F85">
            <v>400</v>
          </cell>
          <cell r="G85">
            <v>18</v>
          </cell>
          <cell r="H85">
            <v>887.88</v>
          </cell>
          <cell r="I85">
            <v>888.07</v>
          </cell>
          <cell r="K85">
            <v>0</v>
          </cell>
          <cell r="L85" t="str">
            <v/>
          </cell>
          <cell r="M85" t="str">
            <v>合計</v>
          </cell>
          <cell r="N85">
            <v>12</v>
          </cell>
          <cell r="P85">
            <v>0</v>
          </cell>
          <cell r="U85" t="str">
            <v>000000000012195</v>
          </cell>
        </row>
        <row r="86">
          <cell r="C86" t="str">
            <v>LED-A888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1200</v>
          </cell>
          <cell r="P86">
            <v>1204</v>
          </cell>
          <cell r="U86" t="str">
            <v>000000000012195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000000000012195</v>
          </cell>
        </row>
        <row r="88">
          <cell r="C88">
            <v>12</v>
          </cell>
          <cell r="H88" t="str">
            <v/>
          </cell>
          <cell r="K88">
            <v>0</v>
          </cell>
          <cell r="L88" t="str">
            <v/>
          </cell>
          <cell r="M88" t="str">
            <v>C</v>
          </cell>
          <cell r="N88" t="str">
            <v>I</v>
          </cell>
          <cell r="U88" t="str">
            <v>000000000012195</v>
          </cell>
        </row>
        <row r="89">
          <cell r="D89">
            <v>46086</v>
          </cell>
          <cell r="E89" t="str">
            <v>26A23-05</v>
          </cell>
          <cell r="F89">
            <v>4</v>
          </cell>
          <cell r="K89">
            <v>0</v>
          </cell>
          <cell r="L89" t="str">
            <v/>
          </cell>
          <cell r="M89" t="str">
            <v>T</v>
          </cell>
          <cell r="N89" t="str">
            <v>U</v>
          </cell>
          <cell r="R89">
            <v>4</v>
          </cell>
          <cell r="U89" t="str">
            <v>000000000012195</v>
          </cell>
        </row>
        <row r="90">
          <cell r="D90" t="str">
            <v>不良補填</v>
          </cell>
          <cell r="F90">
            <v>4</v>
          </cell>
          <cell r="U90" t="str">
            <v>000000000012195</v>
          </cell>
        </row>
        <row r="91">
          <cell r="C91" t="str">
            <v>8FL281304 8310　L=748</v>
          </cell>
          <cell r="J91">
            <v>0</v>
          </cell>
          <cell r="K91">
            <v>0</v>
          </cell>
          <cell r="L91" t="str">
            <v/>
          </cell>
          <cell r="M91">
            <v>46086</v>
          </cell>
          <cell r="N91">
            <v>4</v>
          </cell>
          <cell r="P91">
            <v>46086</v>
          </cell>
          <cell r="R91">
            <v>2</v>
          </cell>
          <cell r="U91" t="str">
            <v>000000000012194</v>
          </cell>
        </row>
        <row r="92">
          <cell r="D92">
            <v>46085</v>
          </cell>
          <cell r="E92" t="str">
            <v>26B24-01</v>
          </cell>
          <cell r="G92">
            <v>20</v>
          </cell>
          <cell r="H92">
            <v>748</v>
          </cell>
          <cell r="I92">
            <v>748.03</v>
          </cell>
          <cell r="J92" t="str">
            <v>26B24-01</v>
          </cell>
          <cell r="K92">
            <v>400</v>
          </cell>
          <cell r="L92">
            <v>200</v>
          </cell>
          <cell r="P92">
            <v>400</v>
          </cell>
          <cell r="U92" t="str">
            <v>000000000012194</v>
          </cell>
        </row>
        <row r="93">
          <cell r="C93">
            <v>400</v>
          </cell>
          <cell r="D93">
            <v>46085</v>
          </cell>
          <cell r="E93" t="str">
            <v>26B24-01</v>
          </cell>
          <cell r="F93">
            <v>400</v>
          </cell>
          <cell r="G93">
            <v>18</v>
          </cell>
          <cell r="H93">
            <v>747.9</v>
          </cell>
          <cell r="I93">
            <v>748.12</v>
          </cell>
          <cell r="J93" t="str">
            <v>26A29-08</v>
          </cell>
          <cell r="K93">
            <v>3</v>
          </cell>
          <cell r="L93">
            <v>1.5</v>
          </cell>
          <cell r="P93">
            <v>201.5</v>
          </cell>
          <cell r="R93">
            <v>1</v>
          </cell>
          <cell r="U93" t="str">
            <v>000000000012194</v>
          </cell>
        </row>
        <row r="94">
          <cell r="C94">
            <v>400</v>
          </cell>
          <cell r="H94" t="str">
            <v/>
          </cell>
          <cell r="K94">
            <v>0</v>
          </cell>
          <cell r="L94" t="str">
            <v/>
          </cell>
          <cell r="P94">
            <v>3</v>
          </cell>
          <cell r="U94" t="str">
            <v>000000000012194</v>
          </cell>
        </row>
        <row r="95">
          <cell r="C95">
            <v>2</v>
          </cell>
          <cell r="H95" t="str">
            <v/>
          </cell>
          <cell r="K95">
            <v>0</v>
          </cell>
          <cell r="L95" t="str">
            <v/>
          </cell>
          <cell r="P95">
            <v>1.5</v>
          </cell>
          <cell r="U95" t="str">
            <v>000000000012194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4</v>
          </cell>
          <cell r="P96">
            <v>0</v>
          </cell>
          <cell r="U96" t="str">
            <v>000000000012194</v>
          </cell>
        </row>
        <row r="97">
          <cell r="C97" t="str">
            <v>LED-A888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400</v>
          </cell>
          <cell r="P97">
            <v>403</v>
          </cell>
          <cell r="U97" t="str">
            <v>000000000012194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000000000012194</v>
          </cell>
        </row>
        <row r="99">
          <cell r="C99">
            <v>4</v>
          </cell>
          <cell r="H99" t="str">
            <v/>
          </cell>
          <cell r="K99">
            <v>0</v>
          </cell>
          <cell r="L99" t="str">
            <v/>
          </cell>
          <cell r="M99" t="str">
            <v>I</v>
          </cell>
          <cell r="U99" t="str">
            <v>000000000012194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R100">
            <v>3</v>
          </cell>
          <cell r="U100" t="str">
            <v>000000000012194</v>
          </cell>
        </row>
        <row r="101">
          <cell r="D101" t="str">
            <v>不良補填</v>
          </cell>
          <cell r="E101" t="str">
            <v>26A29-08</v>
          </cell>
          <cell r="F101">
            <v>3</v>
          </cell>
          <cell r="U101" t="str">
            <v>000000000012194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M102">
            <v>46086</v>
          </cell>
          <cell r="N102">
            <v>1</v>
          </cell>
          <cell r="P102">
            <v>46086</v>
          </cell>
          <cell r="U102" t="str">
            <v>000000000012192</v>
          </cell>
        </row>
        <row r="103">
          <cell r="D103">
            <v>46085</v>
          </cell>
          <cell r="E103" t="str">
            <v>26B24-01</v>
          </cell>
          <cell r="G103">
            <v>20</v>
          </cell>
          <cell r="H103">
            <v>591.5</v>
          </cell>
          <cell r="I103">
            <v>591.5</v>
          </cell>
          <cell r="J103" t="str">
            <v>26B24-01</v>
          </cell>
          <cell r="K103">
            <v>100</v>
          </cell>
          <cell r="L103">
            <v>33.333333333333336</v>
          </cell>
          <cell r="P103">
            <v>100</v>
          </cell>
          <cell r="U103" t="str">
            <v>000000000012192</v>
          </cell>
        </row>
        <row r="104">
          <cell r="C104">
            <v>100</v>
          </cell>
          <cell r="D104">
            <v>46086</v>
          </cell>
          <cell r="E104" t="str">
            <v>26B24-01</v>
          </cell>
          <cell r="G104">
            <v>16</v>
          </cell>
          <cell r="H104">
            <v>591.35</v>
          </cell>
          <cell r="I104">
            <v>591.53</v>
          </cell>
          <cell r="K104">
            <v>0</v>
          </cell>
          <cell r="L104" t="str">
            <v/>
          </cell>
          <cell r="P104">
            <v>33.333333333333336</v>
          </cell>
          <cell r="U104" t="str">
            <v>000000000012192</v>
          </cell>
        </row>
        <row r="105">
          <cell r="C105">
            <v>100</v>
          </cell>
          <cell r="D105">
            <v>46086</v>
          </cell>
          <cell r="E105" t="str">
            <v>26B24-01</v>
          </cell>
          <cell r="F105">
            <v>100</v>
          </cell>
          <cell r="G105">
            <v>18</v>
          </cell>
          <cell r="H105">
            <v>591.41999999999996</v>
          </cell>
          <cell r="I105">
            <v>591.54</v>
          </cell>
          <cell r="K105">
            <v>0</v>
          </cell>
          <cell r="L105" t="str">
            <v/>
          </cell>
          <cell r="P105">
            <v>0</v>
          </cell>
          <cell r="U105" t="str">
            <v>000000000012192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000000000012192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1</v>
          </cell>
          <cell r="P107">
            <v>0</v>
          </cell>
          <cell r="U107" t="str">
            <v>000000000012192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100</v>
          </cell>
          <cell r="P108">
            <v>100</v>
          </cell>
          <cell r="U108" t="str">
            <v>000000000012192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000000000012192</v>
          </cell>
        </row>
        <row r="110">
          <cell r="C110">
            <v>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000000000012192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R111">
            <v>0</v>
          </cell>
          <cell r="U111" t="str">
            <v>000000000012192</v>
          </cell>
        </row>
        <row r="112">
          <cell r="D112" t="str">
            <v>不良補填</v>
          </cell>
          <cell r="F112">
            <v>0</v>
          </cell>
          <cell r="U112" t="str">
            <v>000000000012192</v>
          </cell>
        </row>
        <row r="113">
          <cell r="C113" t="str">
            <v>8FL281304 8110　L=444</v>
          </cell>
          <cell r="J113">
            <v>0</v>
          </cell>
          <cell r="K113">
            <v>0</v>
          </cell>
          <cell r="L113" t="str">
            <v/>
          </cell>
          <cell r="M113">
            <v>46086</v>
          </cell>
          <cell r="N113">
            <v>1</v>
          </cell>
          <cell r="P113">
            <v>46086</v>
          </cell>
          <cell r="R113">
            <v>1</v>
          </cell>
          <cell r="U113" t="str">
            <v>000000000012191</v>
          </cell>
        </row>
        <row r="114">
          <cell r="D114">
            <v>46086</v>
          </cell>
          <cell r="E114" t="str">
            <v>26B24-01</v>
          </cell>
          <cell r="G114">
            <v>20</v>
          </cell>
          <cell r="H114">
            <v>443.5</v>
          </cell>
          <cell r="I114">
            <v>443.61</v>
          </cell>
          <cell r="J114" t="str">
            <v>26B24-01</v>
          </cell>
          <cell r="K114">
            <v>100</v>
          </cell>
          <cell r="L114">
            <v>25</v>
          </cell>
          <cell r="P114">
            <v>100</v>
          </cell>
          <cell r="U114" t="str">
            <v>000000000012191</v>
          </cell>
        </row>
        <row r="115">
          <cell r="C115">
            <v>100</v>
          </cell>
          <cell r="D115">
            <v>46086</v>
          </cell>
          <cell r="E115" t="str">
            <v>26B24-01</v>
          </cell>
          <cell r="F115">
            <v>100</v>
          </cell>
          <cell r="G115">
            <v>20</v>
          </cell>
          <cell r="H115">
            <v>443.5</v>
          </cell>
          <cell r="I115">
            <v>443.62</v>
          </cell>
          <cell r="J115" t="str">
            <v>25L19-08</v>
          </cell>
          <cell r="K115">
            <v>3</v>
          </cell>
          <cell r="L115">
            <v>0.75</v>
          </cell>
          <cell r="P115">
            <v>25.75</v>
          </cell>
          <cell r="U115" t="str">
            <v>000000000012191</v>
          </cell>
        </row>
        <row r="116">
          <cell r="C116">
            <v>100</v>
          </cell>
          <cell r="H116" t="str">
            <v/>
          </cell>
          <cell r="K116">
            <v>0</v>
          </cell>
          <cell r="L116" t="str">
            <v/>
          </cell>
          <cell r="P116">
            <v>3</v>
          </cell>
          <cell r="U116" t="str">
            <v>000000000012191</v>
          </cell>
        </row>
        <row r="117">
          <cell r="C117">
            <v>4</v>
          </cell>
          <cell r="H117" t="str">
            <v/>
          </cell>
          <cell r="K117">
            <v>0</v>
          </cell>
          <cell r="L117" t="str">
            <v/>
          </cell>
          <cell r="P117">
            <v>0.75</v>
          </cell>
          <cell r="U117" t="str">
            <v>000000000012191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</v>
          </cell>
          <cell r="P118">
            <v>0</v>
          </cell>
          <cell r="U118" t="str">
            <v>000000000012191</v>
          </cell>
        </row>
        <row r="119">
          <cell r="C119" t="str">
            <v>LED-A444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100</v>
          </cell>
          <cell r="P119">
            <v>103</v>
          </cell>
          <cell r="U119" t="str">
            <v>000000000012191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000000000012191</v>
          </cell>
        </row>
        <row r="121">
          <cell r="C121">
            <v>1</v>
          </cell>
          <cell r="H121" t="str">
            <v/>
          </cell>
          <cell r="K121">
            <v>0</v>
          </cell>
          <cell r="L121" t="str">
            <v/>
          </cell>
          <cell r="M121" t="str">
            <v>C</v>
          </cell>
          <cell r="R121">
            <v>2</v>
          </cell>
          <cell r="U121" t="str">
            <v>000000000012191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3</v>
          </cell>
          <cell r="U122" t="str">
            <v>000000000012191</v>
          </cell>
        </row>
        <row r="123">
          <cell r="D123" t="str">
            <v>不良補填</v>
          </cell>
          <cell r="E123" t="str">
            <v>25L19-08</v>
          </cell>
          <cell r="F123">
            <v>3</v>
          </cell>
          <cell r="U123" t="str">
            <v>000000000012191</v>
          </cell>
        </row>
        <row r="124">
          <cell r="C124" t="str">
            <v>8FL281304 4810　L=297</v>
          </cell>
          <cell r="D124">
            <v>46065</v>
          </cell>
          <cell r="E124" t="str">
            <v>26A24-06</v>
          </cell>
          <cell r="F124">
            <v>5</v>
          </cell>
          <cell r="J124" t="str">
            <v>26A24-06</v>
          </cell>
          <cell r="K124">
            <v>5</v>
          </cell>
          <cell r="L124">
            <v>0</v>
          </cell>
          <cell r="M124">
            <v>46086</v>
          </cell>
          <cell r="N124">
            <v>3</v>
          </cell>
          <cell r="P124">
            <v>46086</v>
          </cell>
          <cell r="U124" t="str">
            <v>000000000012189</v>
          </cell>
        </row>
        <row r="125">
          <cell r="D125">
            <v>46086</v>
          </cell>
          <cell r="E125" t="str">
            <v>端材</v>
          </cell>
          <cell r="F125">
            <v>22</v>
          </cell>
          <cell r="G125">
            <v>20</v>
          </cell>
          <cell r="H125">
            <v>297</v>
          </cell>
          <cell r="J125" t="str">
            <v>端材</v>
          </cell>
          <cell r="K125">
            <v>22</v>
          </cell>
          <cell r="L125" t="str">
            <v>0</v>
          </cell>
          <cell r="P125">
            <v>300</v>
          </cell>
          <cell r="U125" t="str">
            <v>000000000012189</v>
          </cell>
        </row>
        <row r="126">
          <cell r="C126">
            <v>300</v>
          </cell>
          <cell r="D126">
            <v>46086</v>
          </cell>
          <cell r="E126" t="str">
            <v>26B24-01</v>
          </cell>
          <cell r="F126">
            <v>273</v>
          </cell>
          <cell r="G126">
            <v>20</v>
          </cell>
          <cell r="H126">
            <v>297</v>
          </cell>
          <cell r="J126" t="str">
            <v>26B24-01</v>
          </cell>
          <cell r="K126">
            <v>273</v>
          </cell>
          <cell r="L126">
            <v>45.5</v>
          </cell>
          <cell r="P126">
            <v>46.333333333333336</v>
          </cell>
          <cell r="U126" t="str">
            <v>000000000012189</v>
          </cell>
        </row>
        <row r="127">
          <cell r="C127">
            <v>300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000000000012189</v>
          </cell>
        </row>
        <row r="128">
          <cell r="C128">
            <v>6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000000000012189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3</v>
          </cell>
          <cell r="P129">
            <v>22</v>
          </cell>
          <cell r="U129" t="str">
            <v>000000000012189</v>
          </cell>
        </row>
        <row r="130">
          <cell r="C130" t="str">
            <v>LED-A300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300</v>
          </cell>
          <cell r="P130">
            <v>300</v>
          </cell>
          <cell r="U130" t="str">
            <v>000000000012189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000000000012189</v>
          </cell>
        </row>
        <row r="132">
          <cell r="C132">
            <v>3</v>
          </cell>
          <cell r="H132" t="str">
            <v/>
          </cell>
          <cell r="K132">
            <v>0</v>
          </cell>
          <cell r="L132" t="str">
            <v/>
          </cell>
          <cell r="M132" t="str">
            <v>I</v>
          </cell>
          <cell r="U132" t="str">
            <v>000000000012189</v>
          </cell>
        </row>
        <row r="133">
          <cell r="K133">
            <v>0</v>
          </cell>
          <cell r="L133" t="str">
            <v/>
          </cell>
          <cell r="M133" t="str">
            <v>U</v>
          </cell>
          <cell r="R133">
            <v>0</v>
          </cell>
          <cell r="U133" t="str">
            <v>000000000012189</v>
          </cell>
        </row>
        <row r="134">
          <cell r="D134" t="str">
            <v>不良補填</v>
          </cell>
          <cell r="F134">
            <v>0</v>
          </cell>
          <cell r="U134" t="str">
            <v>000000000012189</v>
          </cell>
        </row>
        <row r="135">
          <cell r="C135" t="str">
            <v>灯具カバーPC IN 2050　L=1183.5</v>
          </cell>
          <cell r="D135">
            <v>46080</v>
          </cell>
          <cell r="E135" t="str">
            <v>26B20-01</v>
          </cell>
          <cell r="F135">
            <v>11</v>
          </cell>
          <cell r="J135" t="str">
            <v>26B20-01</v>
          </cell>
          <cell r="K135">
            <v>11</v>
          </cell>
          <cell r="L135">
            <v>11</v>
          </cell>
          <cell r="M135">
            <v>46084</v>
          </cell>
          <cell r="N135">
            <v>9</v>
          </cell>
          <cell r="P135">
            <v>46085</v>
          </cell>
          <cell r="R135">
            <v>27</v>
          </cell>
          <cell r="U135" t="str">
            <v>000000000012148</v>
          </cell>
        </row>
        <row r="136">
          <cell r="D136">
            <v>46084</v>
          </cell>
          <cell r="E136" t="str">
            <v>26B19-01</v>
          </cell>
          <cell r="H136" t="str">
            <v/>
          </cell>
          <cell r="J136" t="str">
            <v>26B19-01</v>
          </cell>
          <cell r="K136">
            <v>197</v>
          </cell>
          <cell r="L136">
            <v>197</v>
          </cell>
          <cell r="M136">
            <v>46085</v>
          </cell>
          <cell r="N136">
            <v>2</v>
          </cell>
          <cell r="P136">
            <v>176</v>
          </cell>
          <cell r="R136">
            <v>5</v>
          </cell>
          <cell r="U136" t="str">
            <v>000000000012148</v>
          </cell>
        </row>
        <row r="137">
          <cell r="C137">
            <v>176</v>
          </cell>
          <cell r="D137">
            <v>46085</v>
          </cell>
          <cell r="E137" t="str">
            <v>26B19-01</v>
          </cell>
          <cell r="F137">
            <v>197</v>
          </cell>
          <cell r="H137" t="str">
            <v/>
          </cell>
          <cell r="K137">
            <v>0</v>
          </cell>
          <cell r="L137" t="str">
            <v/>
          </cell>
          <cell r="P137">
            <v>208</v>
          </cell>
          <cell r="U137" t="str">
            <v>000000000012148</v>
          </cell>
        </row>
        <row r="138">
          <cell r="C138">
            <v>176</v>
          </cell>
          <cell r="H138" t="str">
            <v/>
          </cell>
          <cell r="K138">
            <v>0</v>
          </cell>
          <cell r="L138" t="str">
            <v/>
          </cell>
          <cell r="P138">
            <v>32</v>
          </cell>
          <cell r="U138" t="str">
            <v>000000000012148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32</v>
          </cell>
          <cell r="U139" t="str">
            <v>000000000012148</v>
          </cell>
        </row>
        <row r="140">
          <cell r="C140">
            <v>16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11</v>
          </cell>
          <cell r="P140">
            <v>0</v>
          </cell>
          <cell r="U140" t="str">
            <v>000000000012148</v>
          </cell>
        </row>
        <row r="141">
          <cell r="C141" t="str">
            <v>灯具-1　L=1370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176</v>
          </cell>
          <cell r="P141">
            <v>208</v>
          </cell>
          <cell r="U141" t="str">
            <v>000000000012148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000000000012148</v>
          </cell>
        </row>
        <row r="143">
          <cell r="C143">
            <v>11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000000000012148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I</v>
          </cell>
          <cell r="R144">
            <v>32</v>
          </cell>
          <cell r="U144" t="str">
            <v>000000000012148</v>
          </cell>
        </row>
        <row r="145">
          <cell r="D145" t="str">
            <v>不良補填</v>
          </cell>
          <cell r="F145" t="str">
            <v/>
          </cell>
          <cell r="U145" t="str">
            <v>000000000012148</v>
          </cell>
        </row>
        <row r="146">
          <cell r="C146" t="str">
            <v>8FL281304 4810　L=297</v>
          </cell>
          <cell r="J146">
            <v>0</v>
          </cell>
          <cell r="K146">
            <v>0</v>
          </cell>
          <cell r="L146" t="str">
            <v/>
          </cell>
          <cell r="M146">
            <v>46086</v>
          </cell>
          <cell r="N146">
            <v>2</v>
          </cell>
          <cell r="P146">
            <v>46087</v>
          </cell>
          <cell r="R146">
            <v>3</v>
          </cell>
          <cell r="U146" t="str">
            <v>000000000012190</v>
          </cell>
        </row>
        <row r="147">
          <cell r="D147">
            <v>46086</v>
          </cell>
          <cell r="E147" t="str">
            <v>26B24-01</v>
          </cell>
          <cell r="G147">
            <v>20</v>
          </cell>
          <cell r="H147">
            <v>297</v>
          </cell>
          <cell r="I147">
            <v>297.16000000000003</v>
          </cell>
          <cell r="J147" t="str">
            <v>26B24-01</v>
          </cell>
          <cell r="K147">
            <v>303</v>
          </cell>
          <cell r="L147">
            <v>50.5</v>
          </cell>
          <cell r="M147">
            <v>46087</v>
          </cell>
          <cell r="N147">
            <v>1</v>
          </cell>
          <cell r="P147">
            <v>300</v>
          </cell>
          <cell r="U147" t="str">
            <v>000000000012190</v>
          </cell>
        </row>
        <row r="148">
          <cell r="C148">
            <v>300</v>
          </cell>
          <cell r="D148">
            <v>46086</v>
          </cell>
          <cell r="E148" t="str">
            <v>26B24-01</v>
          </cell>
          <cell r="F148">
            <v>300</v>
          </cell>
          <cell r="G148">
            <v>20</v>
          </cell>
          <cell r="H148">
            <v>297</v>
          </cell>
          <cell r="I148">
            <v>297.14999999999998</v>
          </cell>
          <cell r="K148">
            <v>0</v>
          </cell>
          <cell r="L148" t="str">
            <v/>
          </cell>
          <cell r="P148">
            <v>50.5</v>
          </cell>
          <cell r="U148" t="str">
            <v>000000000012190</v>
          </cell>
        </row>
        <row r="149">
          <cell r="C149">
            <v>300</v>
          </cell>
          <cell r="H149" t="str">
            <v/>
          </cell>
          <cell r="K149">
            <v>0</v>
          </cell>
          <cell r="L149" t="str">
            <v/>
          </cell>
          <cell r="P149">
            <v>3</v>
          </cell>
          <cell r="U149" t="str">
            <v>000000000012190</v>
          </cell>
        </row>
        <row r="150">
          <cell r="C150">
            <v>6</v>
          </cell>
          <cell r="H150" t="str">
            <v/>
          </cell>
          <cell r="K150">
            <v>0</v>
          </cell>
          <cell r="L150" t="str">
            <v/>
          </cell>
          <cell r="P150">
            <v>0.5</v>
          </cell>
          <cell r="U150" t="str">
            <v>000000000012190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000000000012190</v>
          </cell>
        </row>
        <row r="152">
          <cell r="C152" t="str">
            <v>LED-A300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300</v>
          </cell>
          <cell r="P152">
            <v>303</v>
          </cell>
          <cell r="U152" t="str">
            <v>000000000012190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000000000012190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I</v>
          </cell>
          <cell r="U154" t="str">
            <v>000000000012190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3</v>
          </cell>
          <cell r="U155" t="str">
            <v>000000000012190</v>
          </cell>
        </row>
        <row r="156">
          <cell r="D156">
            <v>46087</v>
          </cell>
          <cell r="E156" t="str">
            <v>26B24-01</v>
          </cell>
          <cell r="F156">
            <v>3</v>
          </cell>
          <cell r="U156" t="str">
            <v>000000000012190</v>
          </cell>
        </row>
        <row r="157">
          <cell r="C157" t="str">
            <v>8FL281304 6110　L=1478</v>
          </cell>
          <cell r="J157">
            <v>0</v>
          </cell>
          <cell r="K157">
            <v>0</v>
          </cell>
          <cell r="L157" t="str">
            <v/>
          </cell>
          <cell r="M157">
            <v>46087</v>
          </cell>
          <cell r="N157">
            <v>1</v>
          </cell>
          <cell r="P157">
            <v>46087</v>
          </cell>
          <cell r="R157">
            <v>1</v>
          </cell>
          <cell r="U157" t="str">
            <v>000000000012197</v>
          </cell>
        </row>
        <row r="158">
          <cell r="D158">
            <v>46086</v>
          </cell>
          <cell r="E158" t="str">
            <v>26B24-01</v>
          </cell>
          <cell r="G158">
            <v>20</v>
          </cell>
          <cell r="H158">
            <v>1478</v>
          </cell>
          <cell r="I158">
            <v>1477.89</v>
          </cell>
          <cell r="J158" t="str">
            <v>26B24-01</v>
          </cell>
          <cell r="K158">
            <v>100</v>
          </cell>
          <cell r="L158">
            <v>100</v>
          </cell>
          <cell r="P158">
            <v>100</v>
          </cell>
          <cell r="U158" t="str">
            <v>000000000012197</v>
          </cell>
        </row>
        <row r="159">
          <cell r="C159">
            <v>100</v>
          </cell>
          <cell r="D159">
            <v>46086</v>
          </cell>
          <cell r="E159" t="str">
            <v>26B24-01</v>
          </cell>
          <cell r="F159">
            <v>100</v>
          </cell>
          <cell r="G159">
            <v>20</v>
          </cell>
          <cell r="H159">
            <v>1478</v>
          </cell>
          <cell r="I159">
            <v>1477.93</v>
          </cell>
          <cell r="J159" t="str">
            <v>26A21-02</v>
          </cell>
          <cell r="K159">
            <v>1</v>
          </cell>
          <cell r="L159">
            <v>1</v>
          </cell>
          <cell r="P159">
            <v>101</v>
          </cell>
          <cell r="U159" t="str">
            <v>000000000012197</v>
          </cell>
        </row>
        <row r="160">
          <cell r="C160">
            <v>100</v>
          </cell>
          <cell r="H160" t="str">
            <v/>
          </cell>
          <cell r="K160">
            <v>0</v>
          </cell>
          <cell r="L160" t="str">
            <v/>
          </cell>
          <cell r="P160">
            <v>1</v>
          </cell>
          <cell r="U160" t="str">
            <v>000000000012197</v>
          </cell>
        </row>
        <row r="161">
          <cell r="C161">
            <v>1</v>
          </cell>
          <cell r="H161" t="str">
            <v/>
          </cell>
          <cell r="K161">
            <v>0</v>
          </cell>
          <cell r="L161" t="str">
            <v/>
          </cell>
          <cell r="P161">
            <v>1</v>
          </cell>
          <cell r="U161" t="str">
            <v>000000000012197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000000000012197</v>
          </cell>
        </row>
        <row r="163">
          <cell r="C163" t="str">
            <v>LED-A1478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100</v>
          </cell>
          <cell r="P163">
            <v>101</v>
          </cell>
          <cell r="U163" t="str">
            <v>000000000012197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000000000012197</v>
          </cell>
        </row>
        <row r="165">
          <cell r="C165">
            <v>1</v>
          </cell>
          <cell r="H165" t="str">
            <v/>
          </cell>
          <cell r="K165">
            <v>0</v>
          </cell>
          <cell r="L165" t="str">
            <v/>
          </cell>
          <cell r="M165" t="str">
            <v>C</v>
          </cell>
          <cell r="N165" t="str">
            <v>I</v>
          </cell>
          <cell r="U165" t="str">
            <v>000000000012197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1</v>
          </cell>
          <cell r="U166" t="str">
            <v>000000000012197</v>
          </cell>
        </row>
        <row r="167">
          <cell r="D167">
            <v>46055</v>
          </cell>
          <cell r="E167" t="str">
            <v>26A21-02</v>
          </cell>
          <cell r="F167">
            <v>1</v>
          </cell>
          <cell r="U167" t="str">
            <v>000000000012197</v>
          </cell>
        </row>
        <row r="168">
          <cell r="C168" t="str">
            <v>灯具カバーPC IN 2060　L=1258.5</v>
          </cell>
          <cell r="J168">
            <v>0</v>
          </cell>
          <cell r="K168">
            <v>0</v>
          </cell>
          <cell r="L168" t="str">
            <v/>
          </cell>
          <cell r="M168">
            <v>46087</v>
          </cell>
          <cell r="N168">
            <v>5</v>
          </cell>
          <cell r="P168">
            <v>46087</v>
          </cell>
          <cell r="R168">
            <v>6</v>
          </cell>
          <cell r="U168" t="str">
            <v>000000000012150</v>
          </cell>
        </row>
        <row r="169">
          <cell r="D169">
            <v>46087</v>
          </cell>
          <cell r="E169" t="str">
            <v>26B21-01</v>
          </cell>
          <cell r="F169">
            <v>89</v>
          </cell>
          <cell r="H169" t="str">
            <v/>
          </cell>
          <cell r="J169" t="str">
            <v>26B21-01</v>
          </cell>
          <cell r="K169">
            <v>89</v>
          </cell>
          <cell r="L169">
            <v>89</v>
          </cell>
          <cell r="P169">
            <v>80</v>
          </cell>
          <cell r="R169">
            <v>3</v>
          </cell>
          <cell r="U169" t="str">
            <v>000000000012150</v>
          </cell>
        </row>
        <row r="170">
          <cell r="C170">
            <v>80</v>
          </cell>
          <cell r="H170" t="str">
            <v/>
          </cell>
          <cell r="K170">
            <v>0</v>
          </cell>
          <cell r="L170" t="str">
            <v/>
          </cell>
          <cell r="P170">
            <v>89</v>
          </cell>
          <cell r="U170" t="str">
            <v>000000000012150</v>
          </cell>
        </row>
        <row r="171">
          <cell r="C171">
            <v>80</v>
          </cell>
          <cell r="H171" t="str">
            <v/>
          </cell>
          <cell r="K171">
            <v>0</v>
          </cell>
          <cell r="L171" t="str">
            <v/>
          </cell>
          <cell r="P171">
            <v>9</v>
          </cell>
          <cell r="U171" t="str">
            <v>000000000012150</v>
          </cell>
        </row>
        <row r="172">
          <cell r="C172">
            <v>1</v>
          </cell>
          <cell r="H172" t="str">
            <v/>
          </cell>
          <cell r="K172">
            <v>0</v>
          </cell>
          <cell r="L172" t="str">
            <v/>
          </cell>
          <cell r="P172">
            <v>9</v>
          </cell>
          <cell r="U172" t="str">
            <v>000000000012150</v>
          </cell>
        </row>
        <row r="173">
          <cell r="C173">
            <v>16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000000000012150</v>
          </cell>
        </row>
        <row r="174">
          <cell r="C174" t="str">
            <v>灯具-1　L=1370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80</v>
          </cell>
          <cell r="P174">
            <v>89</v>
          </cell>
          <cell r="U174" t="str">
            <v>000000000012150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000000000012150</v>
          </cell>
        </row>
        <row r="176">
          <cell r="C176">
            <v>5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000000000012150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I</v>
          </cell>
          <cell r="R177">
            <v>9</v>
          </cell>
          <cell r="U177" t="str">
            <v>000000000012150</v>
          </cell>
        </row>
        <row r="178">
          <cell r="D178" t="str">
            <v>不良補填</v>
          </cell>
          <cell r="F178" t="str">
            <v/>
          </cell>
          <cell r="U178" t="str">
            <v>000000000012150</v>
          </cell>
        </row>
        <row r="179">
          <cell r="C179" t="str">
            <v>灯具カバーPC IN 2110　L=1815</v>
          </cell>
          <cell r="D179">
            <v>46078</v>
          </cell>
          <cell r="E179" t="str">
            <v>26B19-03</v>
          </cell>
          <cell r="F179">
            <v>15</v>
          </cell>
          <cell r="J179" t="str">
            <v>26B19-03</v>
          </cell>
          <cell r="K179">
            <v>15</v>
          </cell>
          <cell r="L179">
            <v>15</v>
          </cell>
          <cell r="M179">
            <v>46087</v>
          </cell>
          <cell r="N179">
            <v>3</v>
          </cell>
          <cell r="P179">
            <v>46090</v>
          </cell>
          <cell r="R179">
            <v>11</v>
          </cell>
          <cell r="U179" t="str">
            <v>000000000012152-2</v>
          </cell>
        </row>
        <row r="180">
          <cell r="D180">
            <v>46087</v>
          </cell>
          <cell r="E180" t="str">
            <v>26B21-04</v>
          </cell>
          <cell r="F180">
            <v>192</v>
          </cell>
          <cell r="H180" t="str">
            <v/>
          </cell>
          <cell r="J180" t="str">
            <v>26B21-04</v>
          </cell>
          <cell r="K180">
            <v>192</v>
          </cell>
          <cell r="L180">
            <v>192</v>
          </cell>
          <cell r="M180">
            <v>46090</v>
          </cell>
          <cell r="N180">
            <v>9</v>
          </cell>
          <cell r="P180">
            <v>192</v>
          </cell>
          <cell r="R180">
            <v>4</v>
          </cell>
          <cell r="U180" t="str">
            <v>000000000012152-2</v>
          </cell>
        </row>
        <row r="181">
          <cell r="C181">
            <v>192</v>
          </cell>
          <cell r="H181" t="str">
            <v/>
          </cell>
          <cell r="K181">
            <v>0</v>
          </cell>
          <cell r="L181" t="str">
            <v/>
          </cell>
          <cell r="P181">
            <v>207</v>
          </cell>
          <cell r="U181" t="str">
            <v>000000000012152-2</v>
          </cell>
        </row>
        <row r="182">
          <cell r="C182">
            <v>192</v>
          </cell>
          <cell r="H182" t="str">
            <v/>
          </cell>
          <cell r="K182">
            <v>0</v>
          </cell>
          <cell r="L182" t="str">
            <v/>
          </cell>
          <cell r="P182">
            <v>15</v>
          </cell>
          <cell r="U182" t="str">
            <v>000000000012152-2</v>
          </cell>
        </row>
        <row r="183">
          <cell r="C183">
            <v>1</v>
          </cell>
          <cell r="H183" t="str">
            <v/>
          </cell>
          <cell r="K183">
            <v>0</v>
          </cell>
          <cell r="L183" t="str">
            <v/>
          </cell>
          <cell r="P183">
            <v>15</v>
          </cell>
          <cell r="U183" t="str">
            <v>000000000012152-2</v>
          </cell>
        </row>
        <row r="184">
          <cell r="C184">
            <v>16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12</v>
          </cell>
          <cell r="P184">
            <v>0</v>
          </cell>
          <cell r="U184" t="str">
            <v>000000000012152-2</v>
          </cell>
        </row>
        <row r="185">
          <cell r="C185" t="str">
            <v>灯具-2　L＝1996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192</v>
          </cell>
          <cell r="P185">
            <v>207</v>
          </cell>
          <cell r="U185" t="str">
            <v>000000000012152-2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000000000012152-2</v>
          </cell>
        </row>
        <row r="187">
          <cell r="C187">
            <v>12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000000000012152-2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N188" t="str">
            <v>I</v>
          </cell>
          <cell r="R188">
            <v>15</v>
          </cell>
          <cell r="U188" t="str">
            <v>000000000012152-2</v>
          </cell>
        </row>
        <row r="189">
          <cell r="D189" t="str">
            <v>不良補填</v>
          </cell>
          <cell r="F189" t="str">
            <v/>
          </cell>
          <cell r="U189" t="str">
            <v>000000000012152-2</v>
          </cell>
        </row>
        <row r="190">
          <cell r="C190" t="str">
            <v>8FL281304 6110　L=1478</v>
          </cell>
          <cell r="D190">
            <v>46055</v>
          </cell>
          <cell r="E190" t="str">
            <v>26A21-02</v>
          </cell>
          <cell r="F190">
            <v>4</v>
          </cell>
          <cell r="J190" t="str">
            <v>26A21-02</v>
          </cell>
          <cell r="K190">
            <v>4</v>
          </cell>
          <cell r="L190">
            <v>4</v>
          </cell>
          <cell r="M190">
            <v>46090</v>
          </cell>
          <cell r="N190">
            <v>2</v>
          </cell>
          <cell r="P190">
            <v>46091</v>
          </cell>
          <cell r="R190">
            <v>15</v>
          </cell>
          <cell r="U190" t="str">
            <v>000000000012198</v>
          </cell>
        </row>
        <row r="191">
          <cell r="D191">
            <v>46087</v>
          </cell>
          <cell r="E191" t="str">
            <v>26B24-01</v>
          </cell>
          <cell r="G191">
            <v>20</v>
          </cell>
          <cell r="H191">
            <v>1478</v>
          </cell>
          <cell r="I191">
            <v>1478.05</v>
          </cell>
          <cell r="J191" t="str">
            <v>26B24-01</v>
          </cell>
          <cell r="K191">
            <v>117</v>
          </cell>
          <cell r="L191">
            <v>117</v>
          </cell>
          <cell r="M191">
            <v>46091</v>
          </cell>
          <cell r="N191">
            <v>8</v>
          </cell>
          <cell r="P191">
            <v>1000</v>
          </cell>
          <cell r="R191">
            <v>1</v>
          </cell>
          <cell r="U191" t="str">
            <v>000000000012198</v>
          </cell>
        </row>
        <row r="192">
          <cell r="C192">
            <v>1000</v>
          </cell>
          <cell r="D192">
            <v>46087</v>
          </cell>
          <cell r="E192" t="str">
            <v>26B24-01</v>
          </cell>
          <cell r="F192">
            <v>97</v>
          </cell>
          <cell r="G192">
            <v>20</v>
          </cell>
          <cell r="H192">
            <v>1478</v>
          </cell>
          <cell r="I192">
            <v>1477.96</v>
          </cell>
          <cell r="J192" t="str">
            <v>26B25-02</v>
          </cell>
          <cell r="K192">
            <v>699</v>
          </cell>
          <cell r="L192">
            <v>699</v>
          </cell>
          <cell r="P192">
            <v>1020</v>
          </cell>
          <cell r="U192" t="str">
            <v>000000000012198</v>
          </cell>
        </row>
        <row r="193">
          <cell r="C193">
            <v>1000</v>
          </cell>
          <cell r="D193">
            <v>46090</v>
          </cell>
          <cell r="E193" t="str">
            <v>26B25-02</v>
          </cell>
          <cell r="F193">
            <v>299</v>
          </cell>
          <cell r="G193">
            <v>16</v>
          </cell>
          <cell r="H193">
            <v>1477.61</v>
          </cell>
          <cell r="I193">
            <v>1477.64</v>
          </cell>
          <cell r="J193" t="str">
            <v>26B26-02</v>
          </cell>
          <cell r="K193">
            <v>46</v>
          </cell>
          <cell r="L193">
            <v>46</v>
          </cell>
          <cell r="P193">
            <v>20</v>
          </cell>
          <cell r="U193" t="str">
            <v>000000000012198</v>
          </cell>
        </row>
        <row r="194">
          <cell r="C194">
            <v>1</v>
          </cell>
          <cell r="D194">
            <v>46090</v>
          </cell>
          <cell r="E194" t="str">
            <v>26B25-02</v>
          </cell>
          <cell r="F194">
            <v>400</v>
          </cell>
          <cell r="G194">
            <v>20</v>
          </cell>
          <cell r="H194">
            <v>1478</v>
          </cell>
          <cell r="I194">
            <v>1478.15</v>
          </cell>
          <cell r="J194" t="str">
            <v>26B26-03</v>
          </cell>
          <cell r="K194">
            <v>154</v>
          </cell>
          <cell r="L194">
            <v>154</v>
          </cell>
          <cell r="P194">
            <v>20</v>
          </cell>
          <cell r="U194" t="str">
            <v>000000000012198</v>
          </cell>
        </row>
        <row r="195">
          <cell r="C195">
            <v>100</v>
          </cell>
          <cell r="D195">
            <v>46090</v>
          </cell>
          <cell r="E195" t="str">
            <v>26B26-02</v>
          </cell>
          <cell r="F195">
            <v>46</v>
          </cell>
          <cell r="G195">
            <v>20</v>
          </cell>
          <cell r="H195">
            <v>1478</v>
          </cell>
          <cell r="I195">
            <v>1478.16</v>
          </cell>
          <cell r="K195">
            <v>0</v>
          </cell>
          <cell r="L195" t="str">
            <v/>
          </cell>
          <cell r="M195" t="str">
            <v>合計</v>
          </cell>
          <cell r="N195">
            <v>10</v>
          </cell>
          <cell r="P195">
            <v>0</v>
          </cell>
          <cell r="U195" t="str">
            <v>000000000012198</v>
          </cell>
        </row>
        <row r="196">
          <cell r="C196" t="str">
            <v>LED-A1478</v>
          </cell>
          <cell r="D196">
            <v>46090</v>
          </cell>
          <cell r="E196" t="str">
            <v>26B26-03</v>
          </cell>
          <cell r="F196">
            <v>154</v>
          </cell>
          <cell r="G196">
            <v>20</v>
          </cell>
          <cell r="H196">
            <v>1478</v>
          </cell>
          <cell r="I196">
            <v>1478.13</v>
          </cell>
          <cell r="K196">
            <v>0</v>
          </cell>
          <cell r="L196" t="str">
            <v/>
          </cell>
          <cell r="M196" t="str">
            <v>入数</v>
          </cell>
          <cell r="N196">
            <v>1000</v>
          </cell>
          <cell r="P196">
            <v>1020</v>
          </cell>
          <cell r="U196" t="str">
            <v>000000000012198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000000000012198</v>
          </cell>
        </row>
        <row r="198">
          <cell r="C198">
            <v>10</v>
          </cell>
          <cell r="H198" t="str">
            <v/>
          </cell>
          <cell r="K198">
            <v>0</v>
          </cell>
          <cell r="L198" t="str">
            <v/>
          </cell>
          <cell r="M198" t="str">
            <v>C</v>
          </cell>
          <cell r="N198" t="str">
            <v>I</v>
          </cell>
          <cell r="R198">
            <v>4</v>
          </cell>
          <cell r="U198" t="str">
            <v>000000000012198</v>
          </cell>
        </row>
        <row r="199">
          <cell r="K199">
            <v>0</v>
          </cell>
          <cell r="L199" t="str">
            <v/>
          </cell>
          <cell r="M199" t="str">
            <v>T</v>
          </cell>
          <cell r="N199" t="str">
            <v>U</v>
          </cell>
          <cell r="R199">
            <v>20</v>
          </cell>
          <cell r="U199" t="str">
            <v>000000000012198</v>
          </cell>
        </row>
        <row r="200">
          <cell r="D200">
            <v>46087</v>
          </cell>
          <cell r="E200" t="str">
            <v>26B24-01</v>
          </cell>
          <cell r="F200">
            <v>20</v>
          </cell>
          <cell r="U200" t="str">
            <v>000000000012198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M201">
            <v>46090</v>
          </cell>
          <cell r="N201">
            <v>1</v>
          </cell>
          <cell r="P201">
            <v>46090</v>
          </cell>
          <cell r="R201">
            <v>2</v>
          </cell>
          <cell r="U201" t="str">
            <v>000000000012711</v>
          </cell>
        </row>
        <row r="202">
          <cell r="D202">
            <v>46090</v>
          </cell>
          <cell r="E202" t="str">
            <v>26B25-02</v>
          </cell>
          <cell r="G202">
            <v>20</v>
          </cell>
          <cell r="H202">
            <v>888</v>
          </cell>
          <cell r="I202">
            <v>888.06</v>
          </cell>
          <cell r="J202" t="str">
            <v>26B25-02</v>
          </cell>
          <cell r="K202">
            <v>100</v>
          </cell>
          <cell r="L202">
            <v>50</v>
          </cell>
          <cell r="P202">
            <v>100</v>
          </cell>
          <cell r="U202" t="str">
            <v>000000000012711</v>
          </cell>
        </row>
        <row r="203">
          <cell r="C203">
            <v>100</v>
          </cell>
          <cell r="D203">
            <v>46090</v>
          </cell>
          <cell r="E203" t="str">
            <v>26B25-02</v>
          </cell>
          <cell r="F203">
            <v>100</v>
          </cell>
          <cell r="G203">
            <v>20</v>
          </cell>
          <cell r="H203">
            <v>888</v>
          </cell>
          <cell r="I203">
            <v>887.98</v>
          </cell>
          <cell r="J203" t="str">
            <v>26B24-01</v>
          </cell>
          <cell r="K203">
            <v>3</v>
          </cell>
          <cell r="L203">
            <v>1.5</v>
          </cell>
          <cell r="P203">
            <v>51.5</v>
          </cell>
          <cell r="R203">
            <v>1</v>
          </cell>
          <cell r="U203" t="str">
            <v>000000000012711</v>
          </cell>
        </row>
        <row r="204">
          <cell r="C204">
            <v>100</v>
          </cell>
          <cell r="H204" t="str">
            <v/>
          </cell>
          <cell r="K204">
            <v>0</v>
          </cell>
          <cell r="L204" t="str">
            <v/>
          </cell>
          <cell r="P204">
            <v>3</v>
          </cell>
          <cell r="U204" t="str">
            <v>000000000012711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1.5</v>
          </cell>
          <cell r="U205" t="str">
            <v>000000000012711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1</v>
          </cell>
          <cell r="P206">
            <v>0</v>
          </cell>
          <cell r="U206" t="str">
            <v>000000000012711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100</v>
          </cell>
          <cell r="P207">
            <v>103</v>
          </cell>
          <cell r="U207" t="str">
            <v>000000000012711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000000000012711</v>
          </cell>
        </row>
        <row r="209">
          <cell r="C209">
            <v>1</v>
          </cell>
          <cell r="H209" t="str">
            <v/>
          </cell>
          <cell r="K209">
            <v>0</v>
          </cell>
          <cell r="L209" t="str">
            <v/>
          </cell>
          <cell r="M209" t="str">
            <v>I</v>
          </cell>
          <cell r="U209" t="str">
            <v>000000000012711</v>
          </cell>
        </row>
        <row r="210">
          <cell r="K210">
            <v>0</v>
          </cell>
          <cell r="L210" t="str">
            <v/>
          </cell>
          <cell r="M210" t="str">
            <v>U</v>
          </cell>
          <cell r="R210">
            <v>3</v>
          </cell>
          <cell r="U210" t="str">
            <v>000000000012711</v>
          </cell>
        </row>
        <row r="211">
          <cell r="D211">
            <v>46086</v>
          </cell>
          <cell r="E211" t="str">
            <v>26B24-01</v>
          </cell>
          <cell r="F211">
            <v>3</v>
          </cell>
          <cell r="U211" t="str">
            <v>000000000012711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M212">
            <v>46091</v>
          </cell>
          <cell r="N212">
            <v>4</v>
          </cell>
          <cell r="P212">
            <v>46092</v>
          </cell>
          <cell r="R212">
            <v>4</v>
          </cell>
          <cell r="U212" t="str">
            <v>000000000012196</v>
          </cell>
        </row>
        <row r="213">
          <cell r="D213">
            <v>46091</v>
          </cell>
          <cell r="E213" t="str">
            <v>26B26-03</v>
          </cell>
          <cell r="G213">
            <v>16</v>
          </cell>
          <cell r="H213">
            <v>887.77</v>
          </cell>
          <cell r="I213">
            <v>887.79</v>
          </cell>
          <cell r="J213" t="str">
            <v>26B26-03</v>
          </cell>
          <cell r="K213">
            <v>1200</v>
          </cell>
          <cell r="L213">
            <v>600</v>
          </cell>
          <cell r="M213">
            <v>46092</v>
          </cell>
          <cell r="N213">
            <v>8</v>
          </cell>
          <cell r="P213">
            <v>1200</v>
          </cell>
          <cell r="U213" t="str">
            <v>000000000012196</v>
          </cell>
        </row>
        <row r="214">
          <cell r="C214">
            <v>1200</v>
          </cell>
          <cell r="D214">
            <v>46091</v>
          </cell>
          <cell r="E214" t="str">
            <v>26B26-03</v>
          </cell>
          <cell r="F214">
            <v>400</v>
          </cell>
          <cell r="G214">
            <v>18</v>
          </cell>
          <cell r="H214">
            <v>887.88</v>
          </cell>
          <cell r="I214">
            <v>887.89</v>
          </cell>
          <cell r="J214" t="str">
            <v>26B24-01</v>
          </cell>
          <cell r="K214">
            <v>6</v>
          </cell>
          <cell r="L214">
            <v>3</v>
          </cell>
          <cell r="P214">
            <v>603</v>
          </cell>
          <cell r="R214">
            <v>2</v>
          </cell>
          <cell r="U214" t="str">
            <v>000000000012196</v>
          </cell>
        </row>
        <row r="215">
          <cell r="C215">
            <v>1200</v>
          </cell>
          <cell r="D215">
            <v>46091</v>
          </cell>
          <cell r="E215" t="str">
            <v>26B26-03</v>
          </cell>
          <cell r="F215">
            <v>400</v>
          </cell>
          <cell r="G215">
            <v>18</v>
          </cell>
          <cell r="H215">
            <v>887.88</v>
          </cell>
          <cell r="I215">
            <v>887.89</v>
          </cell>
          <cell r="K215">
            <v>0</v>
          </cell>
          <cell r="L215" t="str">
            <v/>
          </cell>
          <cell r="P215">
            <v>6</v>
          </cell>
          <cell r="U215" t="str">
            <v>000000000012196</v>
          </cell>
        </row>
        <row r="216">
          <cell r="C216">
            <v>2</v>
          </cell>
          <cell r="D216">
            <v>46091</v>
          </cell>
          <cell r="E216" t="str">
            <v>26B26-03</v>
          </cell>
          <cell r="F216">
            <v>400</v>
          </cell>
          <cell r="G216">
            <v>20</v>
          </cell>
          <cell r="H216">
            <v>888</v>
          </cell>
          <cell r="I216">
            <v>887.94</v>
          </cell>
          <cell r="K216">
            <v>0</v>
          </cell>
          <cell r="L216" t="str">
            <v/>
          </cell>
          <cell r="P216">
            <v>3</v>
          </cell>
          <cell r="U216" t="str">
            <v>000000000012196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12</v>
          </cell>
          <cell r="P217">
            <v>0</v>
          </cell>
          <cell r="U217" t="str">
            <v>000000000012196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1200</v>
          </cell>
          <cell r="P218">
            <v>1206</v>
          </cell>
          <cell r="U218" t="str">
            <v>000000000012196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000000000012196</v>
          </cell>
        </row>
        <row r="220">
          <cell r="C220">
            <v>12</v>
          </cell>
          <cell r="H220" t="str">
            <v/>
          </cell>
          <cell r="K220">
            <v>0</v>
          </cell>
          <cell r="L220" t="str">
            <v/>
          </cell>
          <cell r="M220" t="str">
            <v>I</v>
          </cell>
          <cell r="U220" t="str">
            <v>000000000012196</v>
          </cell>
        </row>
        <row r="221">
          <cell r="K221">
            <v>0</v>
          </cell>
          <cell r="L221" t="str">
            <v/>
          </cell>
          <cell r="M221" t="str">
            <v>U</v>
          </cell>
          <cell r="N221" t="str">
            <v>T</v>
          </cell>
          <cell r="R221">
            <v>6</v>
          </cell>
          <cell r="U221" t="str">
            <v>000000000012196</v>
          </cell>
        </row>
        <row r="222">
          <cell r="D222">
            <v>46086</v>
          </cell>
          <cell r="E222" t="str">
            <v>26B24-01</v>
          </cell>
          <cell r="F222">
            <v>6</v>
          </cell>
          <cell r="U222" t="str">
            <v>000000000012196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M223">
            <v>46092</v>
          </cell>
          <cell r="N223">
            <v>1</v>
          </cell>
          <cell r="P223">
            <v>46092</v>
          </cell>
          <cell r="R223">
            <v>2</v>
          </cell>
          <cell r="U223" t="str">
            <v>000000000012389</v>
          </cell>
        </row>
        <row r="224">
          <cell r="D224">
            <v>46092</v>
          </cell>
          <cell r="E224" t="str">
            <v>26C04-01</v>
          </cell>
          <cell r="G224">
            <v>20</v>
          </cell>
          <cell r="H224">
            <v>888</v>
          </cell>
          <cell r="I224">
            <v>887.91</v>
          </cell>
          <cell r="J224" t="str">
            <v>26C04-01</v>
          </cell>
          <cell r="K224">
            <v>100</v>
          </cell>
          <cell r="L224">
            <v>50</v>
          </cell>
          <cell r="P224">
            <v>100</v>
          </cell>
          <cell r="U224" t="str">
            <v>000000000012389</v>
          </cell>
        </row>
        <row r="225">
          <cell r="C225">
            <v>100</v>
          </cell>
          <cell r="D225">
            <v>46092</v>
          </cell>
          <cell r="E225" t="str">
            <v>26C04-01</v>
          </cell>
          <cell r="F225">
            <v>100</v>
          </cell>
          <cell r="G225">
            <v>20</v>
          </cell>
          <cell r="H225">
            <v>888</v>
          </cell>
          <cell r="I225">
            <v>887.98</v>
          </cell>
          <cell r="J225" t="str">
            <v>26B24-01</v>
          </cell>
          <cell r="K225">
            <v>2</v>
          </cell>
          <cell r="L225">
            <v>1</v>
          </cell>
          <cell r="P225">
            <v>51</v>
          </cell>
          <cell r="U225" t="str">
            <v>000000000012389</v>
          </cell>
        </row>
        <row r="226">
          <cell r="C226">
            <v>100</v>
          </cell>
          <cell r="H226" t="str">
            <v/>
          </cell>
          <cell r="K226">
            <v>0</v>
          </cell>
          <cell r="L226" t="str">
            <v/>
          </cell>
          <cell r="P226">
            <v>2</v>
          </cell>
          <cell r="U226" t="str">
            <v>000000000012389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1</v>
          </cell>
          <cell r="U227" t="str">
            <v>000000000012389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000000000012389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100</v>
          </cell>
          <cell r="P229">
            <v>102</v>
          </cell>
          <cell r="U229" t="str">
            <v>000000000012389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000000000012389</v>
          </cell>
        </row>
        <row r="231">
          <cell r="C231">
            <v>1</v>
          </cell>
          <cell r="H231" t="str">
            <v/>
          </cell>
          <cell r="K231">
            <v>0</v>
          </cell>
          <cell r="L231" t="str">
            <v/>
          </cell>
          <cell r="M231" t="str">
            <v>I</v>
          </cell>
          <cell r="U231" t="str">
            <v>000000000012389</v>
          </cell>
        </row>
        <row r="232">
          <cell r="K232">
            <v>0</v>
          </cell>
          <cell r="L232" t="str">
            <v/>
          </cell>
          <cell r="M232" t="str">
            <v>U</v>
          </cell>
          <cell r="R232">
            <v>2</v>
          </cell>
          <cell r="U232" t="str">
            <v>000000000012389</v>
          </cell>
        </row>
        <row r="233">
          <cell r="D233">
            <v>46086</v>
          </cell>
          <cell r="E233" t="str">
            <v>26B24-01</v>
          </cell>
          <cell r="F233">
            <v>2</v>
          </cell>
          <cell r="U233" t="str">
            <v>000000000012389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M234">
            <v>46092</v>
          </cell>
          <cell r="N234">
            <v>4</v>
          </cell>
          <cell r="P234">
            <v>46092</v>
          </cell>
          <cell r="U234" t="str">
            <v>000000000012712</v>
          </cell>
        </row>
        <row r="235">
          <cell r="D235">
            <v>46091</v>
          </cell>
          <cell r="E235" t="str">
            <v>26B26-03</v>
          </cell>
          <cell r="G235">
            <v>20</v>
          </cell>
          <cell r="H235">
            <v>888</v>
          </cell>
          <cell r="I235">
            <v>887.91</v>
          </cell>
          <cell r="J235" t="str">
            <v>26B26-03</v>
          </cell>
          <cell r="K235">
            <v>88</v>
          </cell>
          <cell r="L235">
            <v>44</v>
          </cell>
          <cell r="P235">
            <v>400</v>
          </cell>
          <cell r="U235" t="str">
            <v>000000000012712</v>
          </cell>
        </row>
        <row r="236">
          <cell r="C236">
            <v>400</v>
          </cell>
          <cell r="D236">
            <v>46091</v>
          </cell>
          <cell r="E236" t="str">
            <v>26B26-03</v>
          </cell>
          <cell r="F236">
            <v>88</v>
          </cell>
          <cell r="G236">
            <v>20</v>
          </cell>
          <cell r="H236">
            <v>888</v>
          </cell>
          <cell r="I236">
            <v>887.9</v>
          </cell>
          <cell r="J236" t="str">
            <v>26C04-01</v>
          </cell>
          <cell r="K236">
            <v>312</v>
          </cell>
          <cell r="L236">
            <v>156</v>
          </cell>
          <cell r="P236">
            <v>200</v>
          </cell>
          <cell r="U236" t="str">
            <v>000000000012712</v>
          </cell>
        </row>
        <row r="237">
          <cell r="C237">
            <v>400</v>
          </cell>
          <cell r="D237">
            <v>46092</v>
          </cell>
          <cell r="E237" t="str">
            <v>26C04-01</v>
          </cell>
          <cell r="F237">
            <v>312</v>
          </cell>
          <cell r="G237">
            <v>20</v>
          </cell>
          <cell r="H237">
            <v>888</v>
          </cell>
          <cell r="I237">
            <v>887.92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000000000012712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000000000012712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4</v>
          </cell>
          <cell r="P239">
            <v>0</v>
          </cell>
          <cell r="U239" t="str">
            <v>000000000012712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400</v>
          </cell>
          <cell r="P240">
            <v>400</v>
          </cell>
          <cell r="U240" t="str">
            <v>000000000012712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000000000012712</v>
          </cell>
        </row>
        <row r="242">
          <cell r="C242">
            <v>4</v>
          </cell>
          <cell r="H242" t="str">
            <v/>
          </cell>
          <cell r="K242">
            <v>0</v>
          </cell>
          <cell r="L242" t="str">
            <v/>
          </cell>
          <cell r="M242" t="str">
            <v>I</v>
          </cell>
          <cell r="U242" t="str">
            <v>000000000012712</v>
          </cell>
        </row>
        <row r="243">
          <cell r="K243">
            <v>0</v>
          </cell>
          <cell r="L243" t="str">
            <v/>
          </cell>
          <cell r="M243" t="str">
            <v>U</v>
          </cell>
          <cell r="R243">
            <v>0</v>
          </cell>
          <cell r="U243" t="str">
            <v>000000000012712</v>
          </cell>
        </row>
        <row r="244">
          <cell r="D244" t="str">
            <v>不良補填</v>
          </cell>
          <cell r="F244">
            <v>0</v>
          </cell>
          <cell r="U244" t="str">
            <v>000000000012712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000000000012199-1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000000000012199-1</v>
          </cell>
        </row>
        <row r="247">
          <cell r="C247">
            <v>1400</v>
          </cell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000000000012199-1</v>
          </cell>
        </row>
        <row r="248">
          <cell r="C248">
            <v>2000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000000000012199-1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000000000012199-1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000000000012199-1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000000000012199-1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000000000012199-1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000000000012199-1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000000000012199-1</v>
          </cell>
        </row>
        <row r="255">
          <cell r="D255" t="str">
            <v>不良補填</v>
          </cell>
          <cell r="F255">
            <v>0</v>
          </cell>
          <cell r="U255" t="str">
            <v>000000000012199-1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000000000012199-2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000000000012199-2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000000000012199-2</v>
          </cell>
        </row>
        <row r="259">
          <cell r="C259">
            <v>2000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000000000012199-2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000000000012199-2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000000000012199-2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000000000012199-2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000000000012199-2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000000000012199-2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000000000012199-2</v>
          </cell>
        </row>
        <row r="266">
          <cell r="D266" t="str">
            <v>不良補填</v>
          </cell>
          <cell r="F266">
            <v>0</v>
          </cell>
          <cell r="U266" t="str">
            <v>000000000012199-2</v>
          </cell>
        </row>
        <row r="267">
          <cell r="C267" t="str">
            <v>8FL281304 5010　L=888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000000000012849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000000000012849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000000000012849</v>
          </cell>
        </row>
        <row r="270">
          <cell r="C270">
            <v>200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000000000012849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000000000012849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000000000012849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000000000012849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000000000012849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000000000012849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000000000012849</v>
          </cell>
        </row>
        <row r="277">
          <cell r="D277" t="str">
            <v>不良補填</v>
          </cell>
          <cell r="F277">
            <v>0</v>
          </cell>
          <cell r="U277" t="str">
            <v>000000000012849</v>
          </cell>
        </row>
        <row r="278">
          <cell r="C278" t="str">
            <v>8FL281304 5010　L=888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000000000012914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000000000012914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000000000012914</v>
          </cell>
        </row>
        <row r="281">
          <cell r="C281">
            <v>2000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000000000012914</v>
          </cell>
        </row>
        <row r="282">
          <cell r="C282">
            <v>2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000000000012914</v>
          </cell>
        </row>
        <row r="283">
          <cell r="C283">
            <v>100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000000000012914</v>
          </cell>
        </row>
        <row r="284">
          <cell r="C284" t="str">
            <v>LED-A888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000000000012914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000000000012914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000000000012914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000000000012914</v>
          </cell>
        </row>
        <row r="288">
          <cell r="D288" t="str">
            <v>不良補填</v>
          </cell>
          <cell r="F288">
            <v>0</v>
          </cell>
          <cell r="U288" t="str">
            <v>000000000012914</v>
          </cell>
        </row>
        <row r="289">
          <cell r="C289" t="str">
            <v>8FL281304 5010　L=888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000000000012929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000000000012929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000000000012929</v>
          </cell>
        </row>
        <row r="292">
          <cell r="C292">
            <v>100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000000000012929</v>
          </cell>
        </row>
        <row r="293">
          <cell r="C293">
            <v>2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000000000012929</v>
          </cell>
        </row>
        <row r="294">
          <cell r="C294">
            <v>100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000000000012929</v>
          </cell>
        </row>
        <row r="295">
          <cell r="C295" t="str">
            <v>LED-A888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000000000012929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000000000012929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000000000012929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000000000012929</v>
          </cell>
        </row>
        <row r="299">
          <cell r="D299" t="str">
            <v>不良補填</v>
          </cell>
          <cell r="F299">
            <v>0</v>
          </cell>
          <cell r="U299" t="str">
            <v>000000000012929</v>
          </cell>
        </row>
        <row r="300">
          <cell r="C300" t="str">
            <v>8FL281304 5010　L=888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000000000012915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000000000012915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000000000012915</v>
          </cell>
        </row>
        <row r="303">
          <cell r="C303">
            <v>300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000000000012915</v>
          </cell>
        </row>
        <row r="304">
          <cell r="C304">
            <v>2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000000000012915</v>
          </cell>
        </row>
        <row r="305">
          <cell r="C305">
            <v>100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000000000012915</v>
          </cell>
        </row>
        <row r="306">
          <cell r="C306" t="str">
            <v>LED-A888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000000000012915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000000000012915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000000000012915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000000000012915</v>
          </cell>
        </row>
        <row r="310">
          <cell r="D310" t="str">
            <v>不良補填</v>
          </cell>
          <cell r="F310">
            <v>0</v>
          </cell>
          <cell r="U310" t="str">
            <v>000000000012915</v>
          </cell>
        </row>
        <row r="311">
          <cell r="C311" t="str">
            <v>8FL281304 6110　L=1478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000000000012916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000000000012916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000000000012916</v>
          </cell>
        </row>
        <row r="314">
          <cell r="C314">
            <v>100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000000000012916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000000000012916</v>
          </cell>
        </row>
        <row r="316">
          <cell r="C316">
            <v>100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000000000012916</v>
          </cell>
        </row>
        <row r="317">
          <cell r="C317" t="str">
            <v>LED-A1478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000000000012916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000000000012916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000000000012916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000000000012916</v>
          </cell>
        </row>
        <row r="321">
          <cell r="D321" t="str">
            <v>不良補填</v>
          </cell>
          <cell r="F321">
            <v>0</v>
          </cell>
          <cell r="U321" t="str">
            <v>000000000012916</v>
          </cell>
        </row>
        <row r="322">
          <cell r="C322" t="str">
            <v>8FL281304 8310　L=748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000000000012913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000000000012913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000000000012913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000000000012913</v>
          </cell>
        </row>
        <row r="326">
          <cell r="C326">
            <v>2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000000000012913</v>
          </cell>
        </row>
        <row r="327">
          <cell r="C327">
            <v>100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000000000012913</v>
          </cell>
        </row>
        <row r="328">
          <cell r="C328" t="str">
            <v>LED-A888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000000000012913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000000000012913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000000000012913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000000000012913</v>
          </cell>
        </row>
        <row r="332">
          <cell r="D332" t="str">
            <v>不良補填</v>
          </cell>
          <cell r="F332">
            <v>0</v>
          </cell>
          <cell r="U332" t="str">
            <v>000000000012913</v>
          </cell>
        </row>
        <row r="333">
          <cell r="C333" t="str">
            <v>8FL281304 4810　L=297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000000000012912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000000000012912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000000000012912</v>
          </cell>
        </row>
        <row r="336">
          <cell r="C336">
            <v>300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000000000012912</v>
          </cell>
        </row>
        <row r="337">
          <cell r="C337">
            <v>6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000000000012912</v>
          </cell>
        </row>
        <row r="338">
          <cell r="C338">
            <v>100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000000000012912</v>
          </cell>
        </row>
        <row r="339">
          <cell r="C339" t="str">
            <v>LED-A300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000000000012912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000000000012912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000000000012912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000000000012912</v>
          </cell>
        </row>
        <row r="343">
          <cell r="D343" t="str">
            <v>不良補填</v>
          </cell>
          <cell r="F343">
            <v>0</v>
          </cell>
          <cell r="U343" t="str">
            <v>000000000012912</v>
          </cell>
        </row>
        <row r="344">
          <cell r="C344" t="str">
            <v>採光ルーバーパネルB　L=1996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000000000012939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000000000012939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000000000012939</v>
          </cell>
        </row>
        <row r="347">
          <cell r="C347">
            <v>252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000000000012939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000000000012939</v>
          </cell>
        </row>
        <row r="349">
          <cell r="C349">
            <v>42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000000000012939</v>
          </cell>
        </row>
        <row r="350">
          <cell r="C350" t="str">
            <v>上-1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000000000012939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000000000012939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000000000012939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000000000012939</v>
          </cell>
        </row>
        <row r="354">
          <cell r="D354" t="str">
            <v>不良補填</v>
          </cell>
          <cell r="F354" t="str">
            <v/>
          </cell>
          <cell r="U354" t="str">
            <v>000000000012939</v>
          </cell>
        </row>
        <row r="355">
          <cell r="C355" t="str">
            <v>採光ルーバーパネルB　L=1996</v>
          </cell>
          <cell r="U355" t="str">
            <v>000000000012940</v>
          </cell>
        </row>
        <row r="356">
          <cell r="U356" t="str">
            <v>000000000012940</v>
          </cell>
        </row>
        <row r="357">
          <cell r="U357" t="str">
            <v>000000000012940</v>
          </cell>
        </row>
        <row r="358">
          <cell r="C358">
            <v>924</v>
          </cell>
          <cell r="U358" t="str">
            <v>000000000012940</v>
          </cell>
        </row>
        <row r="359">
          <cell r="C359">
            <v>1</v>
          </cell>
          <cell r="U359" t="str">
            <v>000000000012940</v>
          </cell>
        </row>
        <row r="360">
          <cell r="C360">
            <v>42</v>
          </cell>
          <cell r="U360" t="str">
            <v>000000000012940</v>
          </cell>
        </row>
        <row r="361">
          <cell r="C361" t="str">
            <v>上-1</v>
          </cell>
          <cell r="U361" t="str">
            <v>000000000012940</v>
          </cell>
        </row>
        <row r="362">
          <cell r="U362" t="str">
            <v>000000000012940</v>
          </cell>
        </row>
        <row r="363">
          <cell r="U363" t="str">
            <v>000000000012940</v>
          </cell>
        </row>
        <row r="364">
          <cell r="U364" t="str">
            <v>000000000012940</v>
          </cell>
        </row>
        <row r="365">
          <cell r="U365" t="str">
            <v>000000000012940</v>
          </cell>
        </row>
        <row r="366">
          <cell r="C366" t="str">
            <v>灯具カバーPC IN 2070　L=1966</v>
          </cell>
          <cell r="U366" t="str">
            <v>000000000012950</v>
          </cell>
        </row>
        <row r="367">
          <cell r="U367" t="str">
            <v>000000000012950</v>
          </cell>
        </row>
        <row r="368">
          <cell r="U368" t="str">
            <v>000000000012950</v>
          </cell>
        </row>
        <row r="369">
          <cell r="C369">
            <v>48</v>
          </cell>
          <cell r="U369" t="str">
            <v>000000000012950</v>
          </cell>
        </row>
        <row r="370">
          <cell r="C370">
            <v>1</v>
          </cell>
          <cell r="U370" t="str">
            <v>000000000012950</v>
          </cell>
        </row>
        <row r="371">
          <cell r="C371">
            <v>16</v>
          </cell>
          <cell r="U371" t="str">
            <v>000000000012950</v>
          </cell>
        </row>
        <row r="372">
          <cell r="C372" t="str">
            <v>灯具-2　L＝1996</v>
          </cell>
          <cell r="U372" t="str">
            <v>000000000012950</v>
          </cell>
        </row>
        <row r="373">
          <cell r="U373" t="str">
            <v>000000000012950</v>
          </cell>
        </row>
        <row r="374">
          <cell r="U374" t="str">
            <v>000000000012950</v>
          </cell>
        </row>
        <row r="375">
          <cell r="U375" t="str">
            <v>000000000012950</v>
          </cell>
        </row>
        <row r="376">
          <cell r="U376" t="str">
            <v>000000000012950</v>
          </cell>
        </row>
        <row r="377">
          <cell r="C377" t="str">
            <v>灯具カバーPC IN 2070　L=1966</v>
          </cell>
          <cell r="U377" t="str">
            <v>000000000012949</v>
          </cell>
        </row>
        <row r="378">
          <cell r="U378" t="str">
            <v>000000000012949</v>
          </cell>
        </row>
        <row r="379">
          <cell r="U379" t="str">
            <v>000000000012949</v>
          </cell>
        </row>
        <row r="380">
          <cell r="C380">
            <v>48</v>
          </cell>
          <cell r="U380" t="str">
            <v>000000000012949</v>
          </cell>
        </row>
        <row r="381">
          <cell r="C381">
            <v>1</v>
          </cell>
          <cell r="U381" t="str">
            <v>000000000012949</v>
          </cell>
        </row>
        <row r="382">
          <cell r="C382">
            <v>16</v>
          </cell>
          <cell r="U382" t="str">
            <v>000000000012949</v>
          </cell>
        </row>
        <row r="383">
          <cell r="C383" t="str">
            <v>灯具-2　L＝1996</v>
          </cell>
          <cell r="U383" t="str">
            <v>000000000012949</v>
          </cell>
        </row>
        <row r="384">
          <cell r="U384" t="str">
            <v>000000000012949</v>
          </cell>
        </row>
        <row r="385">
          <cell r="U385" t="str">
            <v>000000000012949</v>
          </cell>
        </row>
        <row r="386">
          <cell r="U386" t="str">
            <v>000000000012949</v>
          </cell>
        </row>
        <row r="387">
          <cell r="U387" t="str">
            <v>000000000012949</v>
          </cell>
        </row>
        <row r="388">
          <cell r="C388" t="str">
            <v>灯具カバーPC IN 2070　L=1966</v>
          </cell>
          <cell r="U388" t="str">
            <v>000000000012951</v>
          </cell>
        </row>
        <row r="389">
          <cell r="U389" t="str">
            <v>000000000012951</v>
          </cell>
        </row>
        <row r="390">
          <cell r="U390" t="str">
            <v>000000000012951</v>
          </cell>
        </row>
        <row r="391">
          <cell r="C391">
            <v>96</v>
          </cell>
          <cell r="U391" t="str">
            <v>000000000012951</v>
          </cell>
        </row>
        <row r="392">
          <cell r="C392">
            <v>1</v>
          </cell>
          <cell r="U392" t="str">
            <v>000000000012951</v>
          </cell>
        </row>
        <row r="393">
          <cell r="C393">
            <v>16</v>
          </cell>
          <cell r="U393" t="str">
            <v>000000000012951</v>
          </cell>
        </row>
        <row r="394">
          <cell r="C394" t="str">
            <v>灯具-2　L＝1996</v>
          </cell>
          <cell r="U394" t="str">
            <v>000000000012951</v>
          </cell>
        </row>
        <row r="395">
          <cell r="U395" t="str">
            <v>000000000012951</v>
          </cell>
        </row>
        <row r="396">
          <cell r="U396" t="str">
            <v>000000000012951</v>
          </cell>
        </row>
        <row r="397">
          <cell r="U397" t="str">
            <v>000000000012951</v>
          </cell>
        </row>
        <row r="398">
          <cell r="U398" t="str">
            <v>000000000012951</v>
          </cell>
        </row>
        <row r="399">
          <cell r="C399" t="str">
            <v>灯具カバーPC IN 2110　L=1815</v>
          </cell>
          <cell r="U399" t="str">
            <v>000000000012946</v>
          </cell>
        </row>
        <row r="400">
          <cell r="U400" t="str">
            <v>000000000012946</v>
          </cell>
        </row>
        <row r="401">
          <cell r="U401" t="str">
            <v>000000000012946</v>
          </cell>
        </row>
        <row r="402">
          <cell r="C402">
            <v>48</v>
          </cell>
          <cell r="U402" t="str">
            <v>000000000012946</v>
          </cell>
        </row>
        <row r="403">
          <cell r="C403">
            <v>1</v>
          </cell>
          <cell r="U403" t="str">
            <v>000000000012946</v>
          </cell>
        </row>
        <row r="404">
          <cell r="C404">
            <v>16</v>
          </cell>
          <cell r="U404" t="str">
            <v>000000000012946</v>
          </cell>
        </row>
        <row r="405">
          <cell r="C405" t="str">
            <v>灯具-2　L＝1996</v>
          </cell>
          <cell r="U405" t="str">
            <v>000000000012946</v>
          </cell>
        </row>
        <row r="406">
          <cell r="U406" t="str">
            <v>000000000012946</v>
          </cell>
        </row>
        <row r="407">
          <cell r="U407" t="str">
            <v>000000000012946</v>
          </cell>
        </row>
        <row r="408">
          <cell r="U408" t="str">
            <v>000000000012946</v>
          </cell>
        </row>
        <row r="409">
          <cell r="U409" t="str">
            <v>000000000012946</v>
          </cell>
        </row>
        <row r="410">
          <cell r="C410" t="str">
            <v>灯具カバーPC IN 2110　L=1815</v>
          </cell>
          <cell r="U410" t="str">
            <v>000000000012947</v>
          </cell>
        </row>
        <row r="411">
          <cell r="U411" t="str">
            <v>000000000012947</v>
          </cell>
        </row>
        <row r="412">
          <cell r="U412" t="str">
            <v>000000000012947</v>
          </cell>
        </row>
        <row r="413">
          <cell r="C413">
            <v>144</v>
          </cell>
          <cell r="U413" t="str">
            <v>000000000012947</v>
          </cell>
        </row>
        <row r="414">
          <cell r="C414">
            <v>1</v>
          </cell>
          <cell r="U414" t="str">
            <v>000000000012947</v>
          </cell>
        </row>
        <row r="415">
          <cell r="C415">
            <v>16</v>
          </cell>
          <cell r="U415" t="str">
            <v>000000000012947</v>
          </cell>
        </row>
        <row r="416">
          <cell r="C416" t="str">
            <v>灯具-2　L＝1996</v>
          </cell>
          <cell r="U416" t="str">
            <v>000000000012947</v>
          </cell>
        </row>
        <row r="417">
          <cell r="U417" t="str">
            <v>000000000012947</v>
          </cell>
        </row>
        <row r="418">
          <cell r="U418" t="str">
            <v>000000000012947</v>
          </cell>
        </row>
        <row r="419">
          <cell r="U419" t="str">
            <v>000000000012947</v>
          </cell>
        </row>
        <row r="420">
          <cell r="U420" t="str">
            <v>000000000012947</v>
          </cell>
        </row>
        <row r="421">
          <cell r="C421" t="str">
            <v>灯具カバーPC IN 2130　L=908</v>
          </cell>
          <cell r="U421" t="str">
            <v>000000000012943</v>
          </cell>
        </row>
        <row r="422">
          <cell r="U422" t="str">
            <v>000000000012943</v>
          </cell>
        </row>
        <row r="423">
          <cell r="U423" t="str">
            <v>000000000012943</v>
          </cell>
        </row>
        <row r="424">
          <cell r="C424">
            <v>192</v>
          </cell>
          <cell r="U424" t="str">
            <v>000000000012943</v>
          </cell>
        </row>
        <row r="425">
          <cell r="C425">
            <v>1</v>
          </cell>
          <cell r="U425" t="str">
            <v>000000000012943</v>
          </cell>
        </row>
        <row r="426">
          <cell r="C426">
            <v>16</v>
          </cell>
          <cell r="U426" t="str">
            <v>000000000012943</v>
          </cell>
        </row>
        <row r="427">
          <cell r="C427" t="str">
            <v>灯具-3　L=970</v>
          </cell>
          <cell r="U427" t="str">
            <v>000000000012943</v>
          </cell>
        </row>
        <row r="428">
          <cell r="U428" t="str">
            <v>000000000012943</v>
          </cell>
        </row>
        <row r="429">
          <cell r="U429" t="str">
            <v>000000000012943</v>
          </cell>
        </row>
        <row r="430">
          <cell r="U430" t="str">
            <v>000000000012943</v>
          </cell>
        </row>
        <row r="431">
          <cell r="U431" t="str">
            <v>000000000012943</v>
          </cell>
        </row>
        <row r="432">
          <cell r="C432" t="str">
            <v>灯具カバーPC IN 2140　L=547</v>
          </cell>
          <cell r="U432" t="str">
            <v>000000000012941</v>
          </cell>
        </row>
        <row r="433">
          <cell r="U433" t="str">
            <v>000000000012941</v>
          </cell>
        </row>
        <row r="434">
          <cell r="U434" t="str">
            <v>000000000012941</v>
          </cell>
        </row>
        <row r="435">
          <cell r="C435">
            <v>96</v>
          </cell>
          <cell r="U435" t="str">
            <v>000000000012941</v>
          </cell>
        </row>
        <row r="436">
          <cell r="C436">
            <v>1</v>
          </cell>
          <cell r="U436" t="str">
            <v>000000000012941</v>
          </cell>
        </row>
        <row r="437">
          <cell r="C437">
            <v>16</v>
          </cell>
          <cell r="U437" t="str">
            <v>000000000012941</v>
          </cell>
        </row>
        <row r="438">
          <cell r="C438" t="str">
            <v>灯具-1　L=1370</v>
          </cell>
          <cell r="U438" t="str">
            <v>000000000012941</v>
          </cell>
        </row>
        <row r="439">
          <cell r="U439" t="str">
            <v>000000000012941</v>
          </cell>
        </row>
        <row r="440">
          <cell r="U440" t="str">
            <v>000000000012941</v>
          </cell>
        </row>
        <row r="441">
          <cell r="U441" t="str">
            <v>000000000012941</v>
          </cell>
        </row>
        <row r="442">
          <cell r="U442" t="str">
            <v>000000000012941</v>
          </cell>
        </row>
        <row r="443">
          <cell r="C443" t="str">
            <v>灯具カバーPC IN 2070　L=1966</v>
          </cell>
          <cell r="U443" t="str">
            <v>000000000012952</v>
          </cell>
        </row>
        <row r="444">
          <cell r="U444" t="str">
            <v>000000000012952</v>
          </cell>
        </row>
        <row r="445">
          <cell r="U445" t="str">
            <v>000000000012952</v>
          </cell>
        </row>
        <row r="446">
          <cell r="C446">
            <v>192</v>
          </cell>
          <cell r="U446" t="str">
            <v>000000000012952</v>
          </cell>
        </row>
        <row r="447">
          <cell r="C447">
            <v>1</v>
          </cell>
          <cell r="U447" t="str">
            <v>000000000012952</v>
          </cell>
        </row>
        <row r="448">
          <cell r="C448">
            <v>16</v>
          </cell>
          <cell r="U448" t="str">
            <v>000000000012952</v>
          </cell>
        </row>
        <row r="449">
          <cell r="C449" t="str">
            <v>灯具-2　L＝1996</v>
          </cell>
          <cell r="U449" t="str">
            <v>000000000012952</v>
          </cell>
        </row>
        <row r="450">
          <cell r="U450" t="str">
            <v>000000000012952</v>
          </cell>
        </row>
        <row r="451">
          <cell r="U451" t="str">
            <v>000000000012952</v>
          </cell>
        </row>
        <row r="452">
          <cell r="U452" t="str">
            <v>000000000012952</v>
          </cell>
        </row>
        <row r="453">
          <cell r="U453" t="str">
            <v>000000000012952</v>
          </cell>
        </row>
        <row r="454">
          <cell r="C454" t="str">
            <v>灯具カバーPC IN 2090　L=840</v>
          </cell>
          <cell r="U454" t="str">
            <v>000000000012942</v>
          </cell>
        </row>
        <row r="455">
          <cell r="U455" t="str">
            <v>000000000012942</v>
          </cell>
        </row>
        <row r="456">
          <cell r="U456" t="str">
            <v>000000000012942</v>
          </cell>
        </row>
        <row r="457">
          <cell r="C457">
            <v>192</v>
          </cell>
          <cell r="U457" t="str">
            <v>000000000012942</v>
          </cell>
        </row>
        <row r="458">
          <cell r="C458">
            <v>1</v>
          </cell>
          <cell r="U458" t="str">
            <v>000000000012942</v>
          </cell>
        </row>
        <row r="459">
          <cell r="C459">
            <v>16</v>
          </cell>
          <cell r="U459" t="str">
            <v>000000000012942</v>
          </cell>
        </row>
        <row r="460">
          <cell r="C460" t="str">
            <v>灯具-3　L=970</v>
          </cell>
          <cell r="U460" t="str">
            <v>000000000012942</v>
          </cell>
        </row>
        <row r="461">
          <cell r="U461" t="str">
            <v>000000000012942</v>
          </cell>
        </row>
        <row r="462">
          <cell r="U462" t="str">
            <v>000000000012942</v>
          </cell>
        </row>
        <row r="463">
          <cell r="U463" t="str">
            <v>000000000012942</v>
          </cell>
        </row>
        <row r="464">
          <cell r="U464" t="str">
            <v>000000000012942</v>
          </cell>
        </row>
        <row r="465">
          <cell r="C465" t="str">
            <v>灯具カバーPC IN 2130　L=908</v>
          </cell>
          <cell r="U465" t="str">
            <v>000000000012944</v>
          </cell>
        </row>
        <row r="466">
          <cell r="U466" t="str">
            <v>000000000012944</v>
          </cell>
        </row>
        <row r="467">
          <cell r="U467" t="str">
            <v>000000000012944</v>
          </cell>
        </row>
        <row r="468">
          <cell r="C468">
            <v>192</v>
          </cell>
          <cell r="U468" t="str">
            <v>000000000012944</v>
          </cell>
        </row>
        <row r="469">
          <cell r="C469">
            <v>1</v>
          </cell>
          <cell r="U469" t="str">
            <v>000000000012944</v>
          </cell>
        </row>
        <row r="470">
          <cell r="C470">
            <v>16</v>
          </cell>
          <cell r="U470" t="str">
            <v>000000000012944</v>
          </cell>
        </row>
        <row r="471">
          <cell r="C471" t="str">
            <v>灯具-3　L=970</v>
          </cell>
          <cell r="U471" t="str">
            <v>000000000012944</v>
          </cell>
        </row>
        <row r="472">
          <cell r="U472" t="str">
            <v>000000000012944</v>
          </cell>
        </row>
        <row r="473">
          <cell r="U473" t="str">
            <v>000000000012944</v>
          </cell>
        </row>
        <row r="474">
          <cell r="U474" t="str">
            <v>000000000012944</v>
          </cell>
        </row>
        <row r="475">
          <cell r="U475" t="str">
            <v>000000000012944</v>
          </cell>
        </row>
        <row r="476">
          <cell r="C476" t="str">
            <v>灯具カバーPC IN 2110　L=1815</v>
          </cell>
          <cell r="U476" t="str">
            <v>000000000012948</v>
          </cell>
        </row>
        <row r="477">
          <cell r="U477" t="str">
            <v>000000000012948</v>
          </cell>
        </row>
        <row r="478">
          <cell r="U478" t="str">
            <v>000000000012948</v>
          </cell>
        </row>
        <row r="479">
          <cell r="C479">
            <v>192</v>
          </cell>
          <cell r="U479" t="str">
            <v>000000000012948</v>
          </cell>
        </row>
        <row r="480">
          <cell r="C480">
            <v>1</v>
          </cell>
          <cell r="U480" t="str">
            <v>000000000012948</v>
          </cell>
        </row>
        <row r="481">
          <cell r="C481">
            <v>16</v>
          </cell>
          <cell r="U481" t="str">
            <v>000000000012948</v>
          </cell>
        </row>
        <row r="482">
          <cell r="C482" t="str">
            <v>灯具-2　L＝1996</v>
          </cell>
          <cell r="U482" t="str">
            <v>000000000012948</v>
          </cell>
        </row>
        <row r="483">
          <cell r="U483" t="str">
            <v>000000000012948</v>
          </cell>
        </row>
        <row r="484">
          <cell r="U484" t="str">
            <v>000000000012948</v>
          </cell>
        </row>
        <row r="485">
          <cell r="U485" t="str">
            <v>000000000012948</v>
          </cell>
        </row>
        <row r="486">
          <cell r="U486" t="str">
            <v>000000000012948</v>
          </cell>
        </row>
        <row r="487">
          <cell r="C487" t="str">
            <v>灯具カバーPC IN 2050　L=1183.5</v>
          </cell>
          <cell r="U487" t="str">
            <v>000000000012945</v>
          </cell>
        </row>
        <row r="488">
          <cell r="U488" t="str">
            <v>000000000012945</v>
          </cell>
        </row>
        <row r="489">
          <cell r="U489" t="str">
            <v>000000000012945</v>
          </cell>
        </row>
        <row r="490">
          <cell r="C490">
            <v>192</v>
          </cell>
          <cell r="U490" t="str">
            <v>000000000012945</v>
          </cell>
        </row>
        <row r="491">
          <cell r="C491">
            <v>1</v>
          </cell>
          <cell r="U491" t="str">
            <v>000000000012945</v>
          </cell>
        </row>
        <row r="492">
          <cell r="C492">
            <v>16</v>
          </cell>
          <cell r="U492" t="str">
            <v>000000000012945</v>
          </cell>
        </row>
        <row r="493">
          <cell r="C493" t="str">
            <v>灯具-1　L=1370</v>
          </cell>
          <cell r="U493" t="str">
            <v>000000000012945</v>
          </cell>
        </row>
        <row r="494">
          <cell r="U494" t="str">
            <v>000000000012945</v>
          </cell>
        </row>
        <row r="495">
          <cell r="U495" t="str">
            <v>000000000012945</v>
          </cell>
        </row>
        <row r="496">
          <cell r="U496" t="str">
            <v>000000000012945</v>
          </cell>
        </row>
        <row r="497">
          <cell r="U497" t="str">
            <v>000000000012945</v>
          </cell>
        </row>
        <row r="498">
          <cell r="C498" t="str">
            <v>灯具カバーPC IN 2060　L=1258.5</v>
          </cell>
          <cell r="U498" t="str">
            <v>000000000012987</v>
          </cell>
        </row>
        <row r="499">
          <cell r="U499" t="str">
            <v>000000000012987</v>
          </cell>
        </row>
        <row r="500">
          <cell r="U500" t="str">
            <v>000000000012987</v>
          </cell>
        </row>
        <row r="501">
          <cell r="C501">
            <v>96</v>
          </cell>
          <cell r="U501" t="str">
            <v>000000000012987</v>
          </cell>
        </row>
        <row r="502">
          <cell r="C502">
            <v>1</v>
          </cell>
          <cell r="U502" t="str">
            <v>000000000012987</v>
          </cell>
        </row>
        <row r="503">
          <cell r="C503">
            <v>16</v>
          </cell>
          <cell r="U503" t="str">
            <v>000000000012987</v>
          </cell>
        </row>
        <row r="504">
          <cell r="C504" t="str">
            <v>灯具-1　L=1370</v>
          </cell>
          <cell r="U504" t="str">
            <v>000000000012987</v>
          </cell>
        </row>
        <row r="505">
          <cell r="U505" t="str">
            <v>000000000012987</v>
          </cell>
        </row>
        <row r="506">
          <cell r="U506" t="str">
            <v>000000000012987</v>
          </cell>
        </row>
        <row r="507">
          <cell r="U507" t="str">
            <v>000000000012987</v>
          </cell>
        </row>
        <row r="508">
          <cell r="U508" t="str">
            <v>000000000012987</v>
          </cell>
        </row>
        <row r="509">
          <cell r="C509" t="str">
            <v>灯具カバーPC IN 2140　L=547(切断)</v>
          </cell>
          <cell r="U509" t="str">
            <v>000000000012369</v>
          </cell>
        </row>
        <row r="510">
          <cell r="U510" t="str">
            <v>000000000012369</v>
          </cell>
        </row>
        <row r="511">
          <cell r="C511">
            <v>112</v>
          </cell>
          <cell r="U511" t="str">
            <v>000000000012369</v>
          </cell>
        </row>
        <row r="512">
          <cell r="C512">
            <v>400</v>
          </cell>
          <cell r="U512" t="str">
            <v>000000000012369</v>
          </cell>
        </row>
        <row r="513">
          <cell r="C513">
            <v>2</v>
          </cell>
          <cell r="U513" t="str">
            <v>000000000012369</v>
          </cell>
        </row>
        <row r="514">
          <cell r="C514">
            <v>16</v>
          </cell>
          <cell r="U514" t="str">
            <v>000000000012369</v>
          </cell>
        </row>
        <row r="515">
          <cell r="C515" t="str">
            <v>灯具-1　L=1370</v>
          </cell>
          <cell r="U515" t="str">
            <v>000000000012369</v>
          </cell>
        </row>
        <row r="516">
          <cell r="U516" t="str">
            <v>000000000012369</v>
          </cell>
        </row>
        <row r="517">
          <cell r="U517" t="str">
            <v>000000000012369</v>
          </cell>
        </row>
        <row r="518">
          <cell r="U518" t="str">
            <v>000000000012369</v>
          </cell>
        </row>
        <row r="519">
          <cell r="U519" t="str">
            <v>000000000012369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24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3" t="s">
        <v>0</v>
      </c>
      <c r="C1" s="116"/>
      <c r="D1" s="11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6"/>
      <c r="C2" s="116"/>
      <c r="D2" s="116"/>
      <c r="E2" s="12"/>
      <c r="F2" s="12"/>
      <c r="G2" s="12"/>
      <c r="H2" s="12"/>
      <c r="I2" s="12"/>
      <c r="J2" s="12"/>
    </row>
    <row r="3" spans="1:10" ht="14.25" customHeight="1">
      <c r="A3" s="117" t="s">
        <v>1</v>
      </c>
      <c r="B3" s="117" t="s">
        <v>2</v>
      </c>
      <c r="C3" s="117" t="s">
        <v>3</v>
      </c>
      <c r="D3" s="121">
        <v>748</v>
      </c>
      <c r="E3" s="117" t="s">
        <v>4</v>
      </c>
      <c r="F3" s="115" t="s">
        <v>5</v>
      </c>
      <c r="G3" s="116"/>
      <c r="H3" s="116"/>
      <c r="I3" s="24" t="s">
        <v>6</v>
      </c>
      <c r="J3" s="24" t="s">
        <v>7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19"/>
      <c r="J4" s="119"/>
    </row>
    <row r="5" spans="1:10" ht="17.45" customHeight="1">
      <c r="A5" s="118" t="s">
        <v>8</v>
      </c>
      <c r="B5" s="118" t="s">
        <v>9</v>
      </c>
      <c r="E5" s="118" t="s">
        <v>10</v>
      </c>
      <c r="F5" s="127" t="s">
        <v>11</v>
      </c>
      <c r="G5" s="116"/>
      <c r="H5" s="116"/>
      <c r="I5" s="120"/>
      <c r="J5" s="120"/>
    </row>
    <row r="6" spans="1:10" ht="17.45" customHeight="1">
      <c r="A6" s="116"/>
      <c r="B6" s="116"/>
      <c r="E6" s="116"/>
      <c r="F6" s="116"/>
      <c r="G6" s="116"/>
      <c r="H6" s="116"/>
      <c r="I6" s="13"/>
      <c r="J6" s="13"/>
    </row>
    <row r="7" spans="1:10" ht="17.45" customHeight="1">
      <c r="A7" s="118" t="s">
        <v>12</v>
      </c>
      <c r="B7" s="118" t="s">
        <v>13</v>
      </c>
      <c r="E7" s="2" t="s">
        <v>14</v>
      </c>
      <c r="F7" s="127" t="s">
        <v>15</v>
      </c>
      <c r="G7" s="116"/>
      <c r="H7" s="21"/>
      <c r="I7" s="13"/>
      <c r="J7" s="13"/>
    </row>
    <row r="8" spans="1:10" ht="17.45" customHeight="1">
      <c r="A8" s="116"/>
      <c r="B8" s="11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46065</v>
      </c>
      <c r="E9" s="2" t="s">
        <v>19</v>
      </c>
      <c r="F9" s="153">
        <v>100</v>
      </c>
      <c r="G9" s="116"/>
      <c r="H9" s="21"/>
    </row>
    <row r="10" spans="1:10" ht="17.45" customHeight="1">
      <c r="A10" s="2" t="s">
        <v>20</v>
      </c>
      <c r="B10" s="4">
        <v>46065</v>
      </c>
      <c r="E10" s="2" t="s">
        <v>21</v>
      </c>
      <c r="F10" s="21">
        <v>2</v>
      </c>
      <c r="G10" s="143" t="s">
        <v>22</v>
      </c>
      <c r="H10" s="136">
        <v>200</v>
      </c>
      <c r="I10" s="137"/>
      <c r="J10" s="138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9"/>
      <c r="H11" s="139"/>
      <c r="I11" s="114"/>
      <c r="J11" s="126"/>
    </row>
    <row r="12" spans="1:10" ht="13.5" customHeight="1">
      <c r="A12" s="130" t="s">
        <v>25</v>
      </c>
      <c r="B12" s="116"/>
      <c r="C12" s="116"/>
      <c r="D12" s="20"/>
      <c r="F12" s="3"/>
      <c r="G12" s="134" t="s">
        <v>26</v>
      </c>
      <c r="H12" s="152" t="s">
        <v>27</v>
      </c>
      <c r="I12" s="124" t="s">
        <v>28</v>
      </c>
      <c r="J12" s="125"/>
    </row>
    <row r="13" spans="1:10" ht="13.5" customHeight="1">
      <c r="A13" s="116"/>
      <c r="B13" s="116"/>
      <c r="C13" s="116"/>
      <c r="D13" s="20"/>
      <c r="F13" s="3"/>
      <c r="G13" s="135"/>
      <c r="H13" s="135"/>
      <c r="I13" s="114"/>
      <c r="J13" s="126"/>
    </row>
    <row r="14" spans="1:10" ht="13.5" customHeight="1">
      <c r="A14" s="1" t="s">
        <v>29</v>
      </c>
    </row>
    <row r="15" spans="1:10" ht="63" customHeight="1" thickBo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ht="18.75">
      <c r="A16" s="23" t="s">
        <v>30</v>
      </c>
      <c r="B16" s="16" t="s">
        <v>31</v>
      </c>
      <c r="C16" s="128" t="s">
        <v>32</v>
      </c>
      <c r="D16" s="129"/>
      <c r="E16" s="16" t="s">
        <v>33</v>
      </c>
      <c r="F16" s="128" t="s">
        <v>34</v>
      </c>
      <c r="G16" s="129"/>
      <c r="H16" s="129"/>
      <c r="I16" s="140" t="s">
        <v>35</v>
      </c>
      <c r="J16" s="12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7" t="s">
        <v>37</v>
      </c>
      <c r="D18" s="108"/>
      <c r="E18" s="25" t="s">
        <v>38</v>
      </c>
      <c r="F18" s="107" t="s">
        <v>39</v>
      </c>
      <c r="G18" s="108"/>
      <c r="H18" s="108"/>
      <c r="I18" s="112"/>
      <c r="J18" s="108"/>
    </row>
    <row r="19" spans="1:10" s="7" customFormat="1" ht="16.5" customHeight="1">
      <c r="A19" s="22">
        <v>1</v>
      </c>
      <c r="B19" s="26" t="s">
        <v>36</v>
      </c>
      <c r="C19" s="107" t="s">
        <v>37</v>
      </c>
      <c r="D19" s="108"/>
      <c r="E19" s="25" t="s">
        <v>40</v>
      </c>
      <c r="F19" s="107" t="s">
        <v>41</v>
      </c>
      <c r="G19" s="108"/>
      <c r="H19" s="108"/>
      <c r="I19" s="112"/>
      <c r="J19" s="108"/>
    </row>
    <row r="20" spans="1:10" s="7" customFormat="1" ht="16.5" customHeight="1">
      <c r="A20" s="22"/>
      <c r="B20" s="26"/>
      <c r="C20" s="107"/>
      <c r="D20" s="108"/>
      <c r="E20" s="25"/>
      <c r="F20" s="107"/>
      <c r="G20" s="108"/>
      <c r="H20" s="108"/>
      <c r="I20" s="112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12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12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12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13" t="s">
        <v>47</v>
      </c>
      <c r="D26" s="114"/>
      <c r="E26" s="18"/>
      <c r="F26" s="113" t="s">
        <v>29</v>
      </c>
      <c r="G26" s="114"/>
      <c r="H26" s="114"/>
      <c r="I26" s="114"/>
      <c r="J26" s="114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10"/>
      <c r="C28" s="107" t="s">
        <v>49</v>
      </c>
      <c r="D28" s="110"/>
      <c r="E28" s="110"/>
      <c r="F28" s="27" t="s">
        <v>50</v>
      </c>
      <c r="G28" s="111">
        <v>100</v>
      </c>
      <c r="H28" s="110"/>
      <c r="I28" s="111">
        <v>1</v>
      </c>
      <c r="J28" s="110"/>
    </row>
    <row r="29" spans="1:10" s="7" customFormat="1" ht="24.95" customHeight="1">
      <c r="A29" s="109" t="s">
        <v>51</v>
      </c>
      <c r="B29" s="108"/>
      <c r="C29" s="107"/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52</v>
      </c>
      <c r="B30" s="110"/>
      <c r="C30" s="107" t="s">
        <v>53</v>
      </c>
      <c r="D30" s="110"/>
      <c r="E30" s="110"/>
      <c r="F30" s="27" t="s">
        <v>36</v>
      </c>
      <c r="G30" s="111">
        <v>2</v>
      </c>
      <c r="H30" s="110"/>
      <c r="I30" s="111">
        <v>0.02</v>
      </c>
      <c r="J30" s="110"/>
    </row>
    <row r="31" spans="1:10" s="7" customFormat="1" ht="24.95" customHeight="1">
      <c r="A31" s="109" t="s">
        <v>54</v>
      </c>
      <c r="B31" s="108"/>
      <c r="C31" s="107" t="s">
        <v>55</v>
      </c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 t="s">
        <v>56</v>
      </c>
      <c r="B32" s="110"/>
      <c r="C32" s="107" t="s">
        <v>57</v>
      </c>
      <c r="D32" s="110"/>
      <c r="E32" s="110"/>
      <c r="F32" s="27"/>
      <c r="G32" s="111">
        <v>0.2</v>
      </c>
      <c r="H32" s="110"/>
      <c r="I32" s="111">
        <v>2E-3</v>
      </c>
      <c r="J32" s="110"/>
    </row>
    <row r="33" spans="1:14" s="7" customFormat="1" ht="24.95" customHeight="1">
      <c r="A33" s="109" t="s">
        <v>58</v>
      </c>
      <c r="B33" s="108"/>
      <c r="C33" s="107" t="s">
        <v>59</v>
      </c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 t="s">
        <v>60</v>
      </c>
      <c r="B34" s="110"/>
      <c r="C34" s="107" t="s">
        <v>61</v>
      </c>
      <c r="D34" s="110"/>
      <c r="E34" s="110"/>
      <c r="F34" s="27"/>
      <c r="G34" s="111">
        <v>0.2</v>
      </c>
      <c r="H34" s="110"/>
      <c r="I34" s="111">
        <v>2E-3</v>
      </c>
      <c r="J34" s="110"/>
    </row>
    <row r="35" spans="1:14" s="7" customFormat="1" ht="24.95" customHeight="1">
      <c r="A35" s="109" t="s">
        <v>62</v>
      </c>
      <c r="B35" s="108"/>
      <c r="C35" s="107" t="s">
        <v>63</v>
      </c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0"/>
      <c r="C36" s="107"/>
      <c r="D36" s="110"/>
      <c r="E36" s="110"/>
      <c r="F36" s="27"/>
      <c r="G36" s="111"/>
      <c r="H36" s="110"/>
      <c r="I36" s="111"/>
      <c r="J36" s="110"/>
    </row>
    <row r="37" spans="1:14" s="7" customFormat="1" ht="24.95" customHeight="1" thickBot="1">
      <c r="A37" s="109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64</v>
      </c>
      <c r="B38" s="73" t="s">
        <v>65</v>
      </c>
      <c r="C38" s="144" t="s">
        <v>66</v>
      </c>
      <c r="D38" s="145"/>
      <c r="E38" s="70" t="s">
        <v>67</v>
      </c>
      <c r="F38" s="74" t="s">
        <v>99</v>
      </c>
      <c r="G38" s="71" t="s">
        <v>68</v>
      </c>
      <c r="H38" s="72" t="s">
        <v>69</v>
      </c>
      <c r="I38" s="105" t="s">
        <v>70</v>
      </c>
      <c r="J38" s="106"/>
    </row>
    <row r="39" spans="1:14" s="7" customFormat="1" ht="18" customHeight="1">
      <c r="A39" s="84" t="str">
        <f>_xlfn.XLOOKUP(B3,[1]VFDB2!$A:$A,[1]VFDB2!$J:$J)</f>
        <v>〇</v>
      </c>
      <c r="B39" s="75">
        <f>D3</f>
        <v>748</v>
      </c>
      <c r="C39" s="146" t="str">
        <f>_xlfn.XLOOKUP(B3,[1]VFDB2!$A:$A,[1]VFDB2!$Z:$Z)</f>
        <v>LED-A888</v>
      </c>
      <c r="D39" s="147"/>
      <c r="E39" s="148" t="str" cm="1">
        <f t="array" ref="E39">IFERROR(INDEX(_xlfn._xlws.FILTER([2]加工記録２!C:C,[2]加工記録２!U:U=B5),9),"")</f>
        <v/>
      </c>
      <c r="F39" s="7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5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86"/>
      <c r="I39" s="30" t="s">
        <v>71</v>
      </c>
      <c r="J39" s="67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31" t="s">
        <v>72</v>
      </c>
      <c r="B40" s="77" t="s">
        <v>73</v>
      </c>
      <c r="C40" s="146"/>
      <c r="D40" s="147"/>
      <c r="E40" s="148"/>
      <c r="F40" s="7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5"/>
      <c r="H40" s="86"/>
      <c r="I40" s="30" t="s">
        <v>74</v>
      </c>
      <c r="J40" s="87" t="str">
        <v/>
      </c>
      <c r="K40" s="32"/>
    </row>
    <row r="41" spans="1:14" s="7" customFormat="1" ht="18" customHeight="1">
      <c r="A41" s="29" t="str">
        <f>_xlfn.XLOOKUP(B3,[1]VFDB2!$A:$A,[1]VFDB2!$L:$L)</f>
        <v>+0.5</v>
      </c>
      <c r="B41" s="79" t="str">
        <f>_xlfn.XLOOKUP(B3,[1]VFDB2!$A:$A,[1]VFDB2!$AC:$AC)</f>
        <v>換算表確認</v>
      </c>
      <c r="C41" s="149" t="s">
        <v>75</v>
      </c>
      <c r="D41" s="150" t="str">
        <f>_xlfn.XLOOKUP(B3,[1]VFDB2!$A:$A,[1]VFDB2!$W:$W)</f>
        <v>L=888用　クラフト紙</v>
      </c>
      <c r="E41" s="150"/>
      <c r="F41" s="151"/>
      <c r="G41" s="85"/>
      <c r="H41" s="86"/>
      <c r="I41" s="30" t="s">
        <v>76</v>
      </c>
      <c r="J41" s="87" t="str">
        <v/>
      </c>
      <c r="K41" s="33"/>
    </row>
    <row r="42" spans="1:14" s="5" customFormat="1" ht="18" customHeight="1">
      <c r="A42" s="34" t="s">
        <v>77</v>
      </c>
      <c r="B42" s="80" t="s">
        <v>78</v>
      </c>
      <c r="C42" s="149"/>
      <c r="D42" s="150" t="str">
        <f>_xlfn.XLOOKUP(B3,[1]VFDB2!$A:$A,[1]VFDB2!$R:$R)</f>
        <v>ラベル１枚　長手無　鉢巻１回</v>
      </c>
      <c r="E42" s="150"/>
      <c r="F42" s="151"/>
      <c r="G42" s="85"/>
      <c r="H42" s="86"/>
      <c r="I42" s="30" t="s">
        <v>79</v>
      </c>
      <c r="J42" s="87" t="str">
        <v/>
      </c>
      <c r="K42" s="32"/>
    </row>
    <row r="43" spans="1:14" s="7" customFormat="1" ht="18" customHeight="1" thickBot="1">
      <c r="A43" s="35" t="str">
        <f>_xlfn.XLOOKUP(B3,[1]VFDB2!$A:$A,[1]VFDB2!$K:$K)</f>
        <v>－0.5</v>
      </c>
      <c r="B43" s="81">
        <f>_xlfn.XLOOKUP(B3,[1]VFDB2!$A:$A,[1]VFDB2!$P:$P)</f>
        <v>2</v>
      </c>
      <c r="C43" s="36" t="s">
        <v>80</v>
      </c>
      <c r="D43" s="154" t="str">
        <f>_xlfn.XLOOKUP(B3,[1]VFDB2!$A:$A,[1]VFDB2!$V:$V)</f>
        <v>1箱目の梱包数 目視確認　以降、重量測定</v>
      </c>
      <c r="E43" s="154"/>
      <c r="F43" s="155"/>
      <c r="G43" s="90"/>
      <c r="H43" s="91"/>
      <c r="I43" s="30" t="s">
        <v>81</v>
      </c>
      <c r="J43" s="88" t="str">
        <v/>
      </c>
      <c r="K43" s="33"/>
    </row>
    <row r="44" spans="1:14" s="5" customFormat="1" ht="18" customHeight="1" thickBot="1">
      <c r="A44" s="37" t="s">
        <v>82</v>
      </c>
      <c r="B44" s="38" t="str" cm="1">
        <f t="array" ref="B44">IF(SUM(--(ISTEXT(B45:B55)*(B45:B55&lt;&gt;"")))=0,"計測Lot","計測Lot・加工数")</f>
        <v>計測Lot</v>
      </c>
      <c r="C44" s="82" t="s">
        <v>83</v>
      </c>
      <c r="D44" s="83" t="s">
        <v>84</v>
      </c>
      <c r="E44" s="92" t="s">
        <v>85</v>
      </c>
      <c r="F44" s="93" t="str" cm="1">
        <f t="array" ref="F44">IF(SUM(--(ISTEXT(B45:B55)*(B45:B55&lt;&gt;"")))=0,"記入不要","使用Lot")</f>
        <v>記入不要</v>
      </c>
      <c r="G44" s="39" t="s">
        <v>100</v>
      </c>
      <c r="H44" s="40" t="s">
        <v>86</v>
      </c>
      <c r="I44" s="41" t="s">
        <v>87</v>
      </c>
      <c r="J44" s="89" t="str">
        <v/>
      </c>
      <c r="K44" s="32"/>
    </row>
    <row r="45" spans="1:14" s="7" customFormat="1" ht="18" customHeight="1">
      <c r="A45" s="94" t="str" cm="1">
        <f t="array" ref="A45:A55">IFERROR(INDEX(_xlfn._xlws.FILTER([2]加工記録２!$D:$D,[2]加工記録２!$U:$U=B5),_xlfn.SEQUENCE(11),0),"")</f>
        <v/>
      </c>
      <c r="B45" s="43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69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45"/>
      <c r="E45" s="97"/>
      <c r="F45" s="98"/>
      <c r="G45" s="46"/>
      <c r="H45" s="47"/>
      <c r="I45" s="141" t="s">
        <v>88</v>
      </c>
      <c r="J45" s="142"/>
      <c r="K45" s="55"/>
    </row>
    <row r="46" spans="1:14" s="5" customFormat="1" ht="18" customHeight="1">
      <c r="A46" s="95" t="str">
        <v/>
      </c>
      <c r="B46" s="44" t="str">
        <v/>
      </c>
      <c r="C46" s="48"/>
      <c r="D46" s="49"/>
      <c r="E46" s="99"/>
      <c r="F46" s="100"/>
      <c r="G46" s="48"/>
      <c r="H46" s="50"/>
      <c r="I46" s="56" t="s">
        <v>89</v>
      </c>
      <c r="J46" s="50" t="str" cm="1">
        <f t="array" ref="J46:J55">IFERROR(INDEX(_xlfn._xlws.FILTER([2]加工記録２!R:R, [2]加工記録２!U:U=B5),_xlfn.SEQUENCE(10)),"")</f>
        <v/>
      </c>
      <c r="K46" s="55"/>
    </row>
    <row r="47" spans="1:14" s="59" customFormat="1" ht="18.95" customHeight="1">
      <c r="A47" s="42" t="str">
        <v/>
      </c>
      <c r="B47" s="44" t="str">
        <v/>
      </c>
      <c r="C47" s="48"/>
      <c r="D47" s="49"/>
      <c r="E47" s="99"/>
      <c r="F47" s="100"/>
      <c r="G47" s="48"/>
      <c r="H47" s="50"/>
      <c r="I47" s="56" t="s">
        <v>90</v>
      </c>
      <c r="J47" s="50" t="str">
        <v/>
      </c>
      <c r="K47" s="57"/>
      <c r="L47" s="58"/>
      <c r="M47" s="58"/>
      <c r="N47" s="58"/>
    </row>
    <row r="48" spans="1:14" s="62" customFormat="1" ht="18.95" customHeight="1">
      <c r="A48" s="42" t="str">
        <v/>
      </c>
      <c r="B48" s="44" t="str">
        <v/>
      </c>
      <c r="C48" s="48"/>
      <c r="D48" s="49"/>
      <c r="E48" s="99"/>
      <c r="F48" s="100"/>
      <c r="G48" s="48"/>
      <c r="H48" s="50"/>
      <c r="I48" s="56" t="s">
        <v>91</v>
      </c>
      <c r="J48" s="50" t="str">
        <v/>
      </c>
      <c r="K48" s="60"/>
      <c r="L48" s="61"/>
      <c r="M48" s="61"/>
      <c r="N48" s="61"/>
    </row>
    <row r="49" spans="1:14" s="62" customFormat="1" ht="18.95" customHeight="1">
      <c r="A49" s="42" t="str">
        <v/>
      </c>
      <c r="B49" s="44" t="str">
        <v/>
      </c>
      <c r="C49" s="48"/>
      <c r="D49" s="49"/>
      <c r="E49" s="99"/>
      <c r="F49" s="100"/>
      <c r="G49" s="48"/>
      <c r="H49" s="50"/>
      <c r="I49" s="56" t="s">
        <v>92</v>
      </c>
      <c r="J49" s="50" t="str">
        <v/>
      </c>
      <c r="K49" s="60"/>
      <c r="L49" s="61"/>
      <c r="M49" s="61"/>
      <c r="N49" s="61"/>
    </row>
    <row r="50" spans="1:14" s="62" customFormat="1" ht="18.95" customHeight="1">
      <c r="A50" s="42" t="str">
        <v/>
      </c>
      <c r="B50" s="44" t="str">
        <v/>
      </c>
      <c r="C50" s="48"/>
      <c r="D50" s="49"/>
      <c r="E50" s="99"/>
      <c r="F50" s="100"/>
      <c r="G50" s="48"/>
      <c r="H50" s="50"/>
      <c r="I50" s="56" t="s">
        <v>93</v>
      </c>
      <c r="J50" s="50" t="str">
        <v/>
      </c>
      <c r="K50" s="60"/>
      <c r="L50" s="61"/>
      <c r="M50" s="61"/>
      <c r="N50" s="61"/>
    </row>
    <row r="51" spans="1:14" s="62" customFormat="1" ht="18.95" customHeight="1">
      <c r="A51" s="42" t="str">
        <v/>
      </c>
      <c r="B51" s="44" t="str">
        <v/>
      </c>
      <c r="C51" s="48"/>
      <c r="D51" s="49"/>
      <c r="E51" s="99"/>
      <c r="F51" s="100"/>
      <c r="G51" s="48"/>
      <c r="H51" s="50"/>
      <c r="I51" s="56" t="s">
        <v>94</v>
      </c>
      <c r="J51" s="50" t="str">
        <v/>
      </c>
      <c r="K51" s="60"/>
      <c r="L51" s="61"/>
      <c r="M51" s="61"/>
      <c r="N51" s="61"/>
    </row>
    <row r="52" spans="1:14" s="62" customFormat="1" ht="18.95" customHeight="1">
      <c r="A52" s="42" t="str">
        <v/>
      </c>
      <c r="B52" s="44" t="str">
        <v/>
      </c>
      <c r="C52" s="48"/>
      <c r="D52" s="49"/>
      <c r="E52" s="99"/>
      <c r="F52" s="100"/>
      <c r="G52" s="48"/>
      <c r="H52" s="50"/>
      <c r="I52" s="63" t="s">
        <v>95</v>
      </c>
      <c r="J52" s="50" t="str">
        <v/>
      </c>
      <c r="K52" s="60"/>
      <c r="L52" s="61"/>
      <c r="M52" s="61"/>
      <c r="N52" s="61"/>
    </row>
    <row r="53" spans="1:14" s="62" customFormat="1" ht="18.95" customHeight="1">
      <c r="A53" s="42" t="str">
        <v/>
      </c>
      <c r="B53" s="44" t="str">
        <v/>
      </c>
      <c r="C53" s="48"/>
      <c r="D53" s="49"/>
      <c r="E53" s="99"/>
      <c r="F53" s="100"/>
      <c r="G53" s="48"/>
      <c r="H53" s="50"/>
      <c r="I53" s="63" t="s">
        <v>96</v>
      </c>
      <c r="J53" s="50" t="str">
        <v/>
      </c>
      <c r="K53" s="60"/>
      <c r="L53" s="61"/>
      <c r="M53" s="61"/>
      <c r="N53" s="61"/>
    </row>
    <row r="54" spans="1:14" s="62" customFormat="1" ht="18.95" customHeight="1">
      <c r="A54" s="42" t="str">
        <v/>
      </c>
      <c r="B54" s="44" t="str">
        <v/>
      </c>
      <c r="C54" s="48"/>
      <c r="D54" s="49"/>
      <c r="E54" s="99"/>
      <c r="F54" s="100"/>
      <c r="G54" s="48"/>
      <c r="H54" s="50"/>
      <c r="I54" s="56" t="s">
        <v>97</v>
      </c>
      <c r="J54" s="101" t="str">
        <v/>
      </c>
      <c r="K54" s="60"/>
      <c r="L54" s="61"/>
      <c r="M54" s="61"/>
      <c r="N54" s="61"/>
    </row>
    <row r="55" spans="1:14" s="62" customFormat="1" ht="18.95" customHeight="1" thickBot="1">
      <c r="A55" s="96" t="str">
        <v/>
      </c>
      <c r="B55" s="68" t="str">
        <v/>
      </c>
      <c r="C55" s="51"/>
      <c r="D55" s="52"/>
      <c r="E55" s="103"/>
      <c r="F55" s="104"/>
      <c r="G55" s="53"/>
      <c r="H55" s="54"/>
      <c r="I55" s="64" t="s">
        <v>98</v>
      </c>
      <c r="J55" s="102" t="str">
        <v/>
      </c>
      <c r="K55" s="60"/>
      <c r="L55" s="61"/>
      <c r="M55" s="61"/>
      <c r="N55" s="61"/>
    </row>
    <row r="56" spans="1:14" ht="6" customHeight="1" thickBot="1">
      <c r="A56" s="65"/>
      <c r="B56" s="66"/>
      <c r="C56" s="66"/>
      <c r="D56" s="65"/>
      <c r="E56" s="66"/>
      <c r="F56" s="66"/>
      <c r="G56" s="66"/>
      <c r="H56" s="66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2026-01-05T23:52:14Z</cp:lastPrinted>
  <dcterms:created xsi:type="dcterms:W3CDTF">2024-07-11T02:08:33Z</dcterms:created>
  <dcterms:modified xsi:type="dcterms:W3CDTF">2026-03-13T05:57:05Z</dcterms:modified>
</cp:coreProperties>
</file>